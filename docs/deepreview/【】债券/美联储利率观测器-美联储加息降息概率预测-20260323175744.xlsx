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F2AA97DA-FD87-4089-BC42-F7F9E9EAA8EB}" xr6:coauthVersionLast="36" xr6:coauthVersionMax="36" xr10:uidLastSave="{00000000-0000-0000-0000-000000000000}"/>
  <bookViews>
    <workbookView xWindow="0" yWindow="0" windowWidth="21570" windowHeight="7815" tabRatio="854" xr2:uid="{00000000-000D-0000-FFFF-FFFF00000000}"/>
  </bookViews>
  <sheets>
    <sheet name="美联储利率观测器" sheetId="3" r:id="rId1"/>
    <sheet name="美联储议息会议日历" sheetId="5" r:id="rId2"/>
    <sheet name="日历计算" sheetId="28" r:id="rId3"/>
    <sheet name="使用说明" sheetId="15" r:id="rId4"/>
    <sheet name="加息降息概率计算" sheetId="4" state="hidden" r:id="rId5"/>
    <sheet name="Wind模板" sheetId="6" state="veryHidden" r:id="rId6"/>
    <sheet name="加息降息概率计算-1P" sheetId="8" state="hidden" r:id="rId7"/>
    <sheet name="加息降息概率计算-2P" sheetId="9" state="hidden" r:id="rId8"/>
    <sheet name="加息降息概率计算-3P" sheetId="10" state="hidden" r:id="rId9"/>
    <sheet name="加息降息概率计算-4P" sheetId="11" state="hidden" r:id="rId10"/>
    <sheet name="加息降息概率计算-5P" sheetId="12" state="hidden" r:id="rId11"/>
    <sheet name="加息降息概率计算-6P" sheetId="13" state="hidden" r:id="rId12"/>
    <sheet name="加息降息概率计算-7P" sheetId="14" state="hidden" r:id="rId13"/>
    <sheet name="加息降息概率计算-8P" sheetId="16" state="hidden" r:id="rId14"/>
    <sheet name="加息降息概率计算-9P" sheetId="17" state="hidden" r:id="rId15"/>
    <sheet name="加息降息概率计算-10P" sheetId="18" state="hidden" r:id="rId16"/>
    <sheet name="加息降息概率计算-11P" sheetId="20" state="hidden" r:id="rId17"/>
    <sheet name="加息降息概率计算-12P" sheetId="21" state="hidden" r:id="rId18"/>
    <sheet name="加息降息概率计算-13P" sheetId="22" state="hidden" r:id="rId19"/>
    <sheet name="加息降息概率计算-14P" sheetId="23" state="hidden" r:id="rId20"/>
    <sheet name="加息降息概率计算-15P" sheetId="24" state="hidden" r:id="rId21"/>
    <sheet name="加息降息概率计算-16P" sheetId="25" state="hidden" r:id="rId22"/>
    <sheet name="加息降息概率计算-17P" sheetId="26" state="hidden" r:id="rId23"/>
    <sheet name="加息降息概率计算-18P" sheetId="27" state="hidden" r:id="rId24"/>
    <sheet name="FF期货结算价" sheetId="1" state="hidden" r:id="rId25"/>
  </sheets>
  <externalReferences>
    <externalReference r:id="rId26"/>
  </externalReferences>
  <definedNames>
    <definedName name="_xlnm._FilterDatabase" localSheetId="24" hidden="1">FF期货结算价!$E$2:$E$34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28" l="1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N49" i="28" l="1"/>
  <c r="N48" i="28"/>
  <c r="N47" i="28"/>
  <c r="M47" i="28" s="1"/>
  <c r="N46" i="28"/>
  <c r="M46" i="28" s="1"/>
  <c r="N45" i="28"/>
  <c r="N44" i="28"/>
  <c r="N43" i="28"/>
  <c r="M43" i="28" s="1"/>
  <c r="N42" i="28"/>
  <c r="M42" i="28" s="1"/>
  <c r="N41" i="28"/>
  <c r="M41" i="28" s="1"/>
  <c r="N40" i="28"/>
  <c r="M40" i="28" s="1"/>
  <c r="N39" i="28"/>
  <c r="M39" i="28" s="1"/>
  <c r="N38" i="28"/>
  <c r="M38" i="28" s="1"/>
  <c r="M49" i="28"/>
  <c r="M48" i="28"/>
  <c r="N37" i="28"/>
  <c r="N36" i="28"/>
  <c r="M36" i="28" s="1"/>
  <c r="N35" i="28"/>
  <c r="N34" i="28"/>
  <c r="M34" i="28" s="1"/>
  <c r="N33" i="28"/>
  <c r="N32" i="28"/>
  <c r="N31" i="28"/>
  <c r="N30" i="28"/>
  <c r="M30" i="28" s="1"/>
  <c r="N29" i="28"/>
  <c r="M29" i="28" s="1"/>
  <c r="N28" i="28"/>
  <c r="M28" i="28" s="1"/>
  <c r="N27" i="28"/>
  <c r="M27" i="28" s="1"/>
  <c r="N26" i="28"/>
  <c r="M26" i="28" s="1"/>
  <c r="N25" i="28"/>
  <c r="M25" i="28" s="1"/>
  <c r="N24" i="28"/>
  <c r="M24" i="28" s="1"/>
  <c r="N23" i="28"/>
  <c r="N22" i="28"/>
  <c r="M22" i="28" s="1"/>
  <c r="N21" i="28"/>
  <c r="N20" i="28"/>
  <c r="M20" i="28" s="1"/>
  <c r="N19" i="28"/>
  <c r="M19" i="28" s="1"/>
  <c r="N18" i="28"/>
  <c r="M18" i="28" s="1"/>
  <c r="N17" i="28"/>
  <c r="M17" i="28" s="1"/>
  <c r="N16" i="28"/>
  <c r="M16" i="28" s="1"/>
  <c r="N15" i="28"/>
  <c r="M15" i="28" s="1"/>
  <c r="N14" i="28"/>
  <c r="M14" i="28" s="1"/>
  <c r="N13" i="28"/>
  <c r="M13" i="28" s="1"/>
  <c r="N12" i="28"/>
  <c r="M12" i="28" s="1"/>
  <c r="N11" i="28"/>
  <c r="M11" i="28" s="1"/>
  <c r="N10" i="28"/>
  <c r="M10" i="28" s="1"/>
  <c r="N9" i="28"/>
  <c r="M9" i="28" s="1"/>
  <c r="N8" i="28"/>
  <c r="M8" i="28" s="1"/>
  <c r="N7" i="28"/>
  <c r="M7" i="28" s="1"/>
  <c r="N6" i="28"/>
  <c r="M6" i="28" s="1"/>
  <c r="N5" i="28"/>
  <c r="M5" i="28" s="1"/>
  <c r="N4" i="28"/>
  <c r="M4" i="28" s="1"/>
  <c r="N3" i="28"/>
  <c r="M3" i="28" s="1"/>
  <c r="N2" i="28"/>
  <c r="M2" i="28" s="1"/>
  <c r="M37" i="28"/>
  <c r="M44" i="28"/>
  <c r="M45" i="28"/>
  <c r="M35" i="28"/>
  <c r="M33" i="28"/>
  <c r="M32" i="28"/>
  <c r="M31" i="28"/>
  <c r="M23" i="28"/>
  <c r="M21" i="28"/>
  <c r="A28" i="28" l="1"/>
  <c r="A27" i="28"/>
  <c r="A29" i="28" l="1"/>
  <c r="AF48" i="3"/>
  <c r="AF44" i="3"/>
  <c r="A37" i="28" l="1"/>
  <c r="A36" i="28"/>
  <c r="A35" i="28"/>
  <c r="A34" i="28"/>
  <c r="A33" i="28"/>
  <c r="A32" i="28"/>
  <c r="A31" i="28"/>
  <c r="A30" i="28"/>
  <c r="K2" i="28" l="1"/>
  <c r="J2" i="28" s="1"/>
  <c r="K3" i="28"/>
  <c r="J3" i="28" s="1"/>
  <c r="K9" i="28"/>
  <c r="J9" i="28" s="1"/>
  <c r="K8" i="28"/>
  <c r="J8" i="28" s="1"/>
  <c r="K7" i="28"/>
  <c r="J7" i="28" s="1"/>
  <c r="K25" i="28"/>
  <c r="J25" i="28" s="1"/>
  <c r="K31" i="28"/>
  <c r="J31" i="28" s="1"/>
  <c r="K37" i="28"/>
  <c r="J37" i="28" s="1"/>
  <c r="K14" i="28"/>
  <c r="J14" i="28" s="1"/>
  <c r="K20" i="28"/>
  <c r="J20" i="28" s="1"/>
  <c r="K26" i="28"/>
  <c r="J26" i="28" s="1"/>
  <c r="K39" i="28"/>
  <c r="J39" i="28" s="1"/>
  <c r="K40" i="28"/>
  <c r="J40" i="28" s="1"/>
  <c r="K27" i="28"/>
  <c r="J27" i="28" s="1"/>
  <c r="K41" i="28"/>
  <c r="J41" i="28" s="1"/>
  <c r="K38" i="28"/>
  <c r="J38" i="28" s="1"/>
  <c r="K42" i="28"/>
  <c r="J42" i="28" s="1"/>
  <c r="K10" i="28"/>
  <c r="J10" i="28" s="1"/>
  <c r="K28" i="28"/>
  <c r="J28" i="28" s="1"/>
  <c r="K34" i="28"/>
  <c r="J34" i="28" s="1"/>
  <c r="K43" i="28"/>
  <c r="J43" i="28" s="1"/>
  <c r="K4" i="28"/>
  <c r="J4" i="28" s="1"/>
  <c r="K44" i="28"/>
  <c r="J44" i="28" s="1"/>
  <c r="K5" i="28"/>
  <c r="J5" i="28" s="1"/>
  <c r="K17" i="28"/>
  <c r="J17" i="28" s="1"/>
  <c r="K23" i="28"/>
  <c r="J23" i="28" s="1"/>
  <c r="K29" i="28"/>
  <c r="J29" i="28" s="1"/>
  <c r="K45" i="28"/>
  <c r="J45" i="28" s="1"/>
  <c r="K11" i="28"/>
  <c r="J11" i="28" s="1"/>
  <c r="K46" i="28"/>
  <c r="J46" i="28" s="1"/>
  <c r="K24" i="28"/>
  <c r="J24" i="28" s="1"/>
  <c r="K30" i="28"/>
  <c r="J30" i="28" s="1"/>
  <c r="K47" i="28"/>
  <c r="J47" i="28" s="1"/>
  <c r="K48" i="28"/>
  <c r="J48" i="28" s="1"/>
  <c r="K18" i="28"/>
  <c r="J18" i="28" s="1"/>
  <c r="K15" i="28"/>
  <c r="J15" i="28" s="1"/>
  <c r="K13" i="28"/>
  <c r="J13" i="28" s="1"/>
  <c r="K16" i="28"/>
  <c r="J16" i="28" s="1"/>
  <c r="K19" i="28"/>
  <c r="J19" i="28" s="1"/>
  <c r="K22" i="28"/>
  <c r="J22" i="28" s="1"/>
  <c r="K32" i="28"/>
  <c r="J32" i="28" s="1"/>
  <c r="K35" i="28"/>
  <c r="J35" i="28" s="1"/>
  <c r="K12" i="28"/>
  <c r="J12" i="28" s="1"/>
  <c r="K21" i="28"/>
  <c r="J21" i="28" s="1"/>
  <c r="K33" i="28"/>
  <c r="J33" i="28" s="1"/>
  <c r="K36" i="28"/>
  <c r="J36" i="28" s="1"/>
  <c r="K6" i="28"/>
  <c r="J6" i="28" s="1"/>
  <c r="Y1" i="27"/>
  <c r="Y1" i="26"/>
  <c r="Y1" i="25"/>
  <c r="Y1" i="24"/>
  <c r="Y1" i="23"/>
  <c r="Y1" i="22"/>
  <c r="Y1" i="21"/>
  <c r="Y1" i="20"/>
  <c r="Y1" i="18" l="1"/>
  <c r="Y1" i="17"/>
  <c r="Y1" i="16"/>
  <c r="O31" i="3"/>
  <c r="X31" i="3" s="1"/>
  <c r="O30" i="3"/>
  <c r="X30" i="3" s="1"/>
  <c r="O29" i="3"/>
  <c r="X29" i="3" s="1"/>
  <c r="O28" i="3"/>
  <c r="X28" i="3" s="1"/>
  <c r="O27" i="3"/>
  <c r="X27" i="3" s="1"/>
  <c r="O26" i="3"/>
  <c r="X26" i="3" s="1"/>
  <c r="O25" i="3"/>
  <c r="X25" i="3" s="1"/>
  <c r="O24" i="3"/>
  <c r="X24" i="3" s="1"/>
  <c r="O23" i="3"/>
  <c r="X23" i="3" s="1"/>
  <c r="O22" i="3"/>
  <c r="X22" i="3" s="1"/>
  <c r="O21" i="3"/>
  <c r="X21" i="3" s="1"/>
  <c r="Y1" i="14"/>
  <c r="Y1" i="13"/>
  <c r="Y1" i="12"/>
  <c r="Y1" i="11"/>
  <c r="Y1" i="10"/>
  <c r="Y1" i="9"/>
  <c r="Y1" i="8"/>
  <c r="W1" i="1" l="1"/>
  <c r="V1" i="1"/>
  <c r="U1" i="1"/>
  <c r="T1" i="1"/>
  <c r="S1" i="1"/>
  <c r="R1" i="1"/>
  <c r="Q1" i="1"/>
  <c r="P1" i="1"/>
  <c r="O1" i="1"/>
  <c r="N1" i="1"/>
  <c r="M1" i="1"/>
  <c r="L1" i="5" l="1"/>
  <c r="G2" i="28" s="1"/>
  <c r="G3" i="28" l="1"/>
  <c r="C5" i="1"/>
  <c r="E3" i="28"/>
  <c r="G14" i="28"/>
  <c r="E11" i="28"/>
  <c r="G9" i="28"/>
  <c r="G31" i="28"/>
  <c r="G29" i="28"/>
  <c r="G27" i="28"/>
  <c r="G25" i="28"/>
  <c r="G23" i="28"/>
  <c r="G20" i="28"/>
  <c r="G11" i="28"/>
  <c r="E23" i="28"/>
  <c r="E14" i="28"/>
  <c r="E8" i="28"/>
  <c r="E5" i="28"/>
  <c r="G13" i="28"/>
  <c r="G10" i="28"/>
  <c r="G21" i="28"/>
  <c r="G18" i="28"/>
  <c r="G15" i="28"/>
  <c r="G12" i="28"/>
  <c r="G4" i="28"/>
  <c r="E21" i="28"/>
  <c r="E18" i="28"/>
  <c r="E15" i="28"/>
  <c r="E12" i="28"/>
  <c r="E9" i="28"/>
  <c r="F19" i="3" s="1"/>
  <c r="E6" i="28"/>
  <c r="G30" i="28"/>
  <c r="G28" i="28"/>
  <c r="G26" i="28"/>
  <c r="G24" i="28"/>
  <c r="D21" i="28"/>
  <c r="D18" i="28"/>
  <c r="D15" i="28"/>
  <c r="D12" i="28"/>
  <c r="D9" i="28"/>
  <c r="D6" i="28"/>
  <c r="D3" i="28"/>
  <c r="G7" i="28"/>
  <c r="G22" i="28"/>
  <c r="G19" i="28"/>
  <c r="E22" i="28"/>
  <c r="E19" i="28"/>
  <c r="E16" i="28"/>
  <c r="E13" i="28"/>
  <c r="E10" i="28"/>
  <c r="E7" i="28"/>
  <c r="F17" i="3" s="1"/>
  <c r="E4" i="28"/>
  <c r="G17" i="28"/>
  <c r="G5" i="28"/>
  <c r="E17" i="28"/>
  <c r="D20" i="28"/>
  <c r="D14" i="28"/>
  <c r="G6" i="28"/>
  <c r="G16" i="28"/>
  <c r="D22" i="28"/>
  <c r="D19" i="28"/>
  <c r="D16" i="28"/>
  <c r="D13" i="28"/>
  <c r="D10" i="28"/>
  <c r="D7" i="28"/>
  <c r="D4" i="28"/>
  <c r="G8" i="28"/>
  <c r="E20" i="28"/>
  <c r="E2" i="28"/>
  <c r="D23" i="28"/>
  <c r="D17" i="28"/>
  <c r="D11" i="28"/>
  <c r="D8" i="28"/>
  <c r="D5" i="28"/>
  <c r="O20" i="3"/>
  <c r="O19" i="3"/>
  <c r="K1" i="1" s="1"/>
  <c r="O18" i="3"/>
  <c r="J1" i="1" s="1"/>
  <c r="O17" i="3"/>
  <c r="I1" i="1" s="1"/>
  <c r="O16" i="3"/>
  <c r="H1" i="1" s="1"/>
  <c r="O15" i="3"/>
  <c r="G1" i="1" s="1"/>
  <c r="O13" i="3"/>
  <c r="E1" i="1" s="1"/>
  <c r="O14" i="3"/>
  <c r="F1" i="1" s="1"/>
  <c r="H3" i="28" l="1"/>
  <c r="H19" i="28"/>
  <c r="H18" i="28"/>
  <c r="H2" i="28"/>
  <c r="H11" i="28"/>
  <c r="H16" i="28"/>
  <c r="H4" i="28"/>
  <c r="H20" i="28"/>
  <c r="H24" i="28"/>
  <c r="H12" i="28"/>
  <c r="H23" i="28"/>
  <c r="H6" i="28"/>
  <c r="H26" i="28"/>
  <c r="H15" i="28"/>
  <c r="H25" i="28"/>
  <c r="H8" i="28"/>
  <c r="H22" i="28"/>
  <c r="H30" i="28"/>
  <c r="H21" i="28"/>
  <c r="H29" i="28"/>
  <c r="H27" i="28"/>
  <c r="H7" i="28"/>
  <c r="H10" i="28"/>
  <c r="H31" i="28"/>
  <c r="H5" i="28"/>
  <c r="H13" i="28"/>
  <c r="H9" i="28"/>
  <c r="H28" i="28"/>
  <c r="H17" i="28"/>
  <c r="H14" i="28"/>
  <c r="X20" i="3"/>
  <c r="L1" i="1"/>
  <c r="X19" i="3"/>
  <c r="X18" i="3"/>
  <c r="X16" i="3"/>
  <c r="X17" i="3"/>
  <c r="X15" i="3"/>
  <c r="X14" i="3"/>
  <c r="X13" i="3"/>
  <c r="AA1" i="3"/>
  <c r="O9" i="3" l="1"/>
  <c r="X9" i="3"/>
  <c r="C24" i="3" l="1"/>
  <c r="C21" i="3" l="1"/>
  <c r="C31" i="3"/>
  <c r="C27" i="3"/>
  <c r="C29" i="3"/>
  <c r="C30" i="3"/>
  <c r="C28" i="3"/>
  <c r="C25" i="3"/>
  <c r="C26" i="3"/>
  <c r="C23" i="3"/>
  <c r="C22" i="3"/>
  <c r="C33" i="1" l="1"/>
  <c r="C17" i="1"/>
  <c r="C29" i="1"/>
  <c r="C28" i="1"/>
  <c r="C32" i="1"/>
  <c r="C19" i="1"/>
  <c r="C20" i="1"/>
  <c r="C30" i="1"/>
  <c r="C23" i="1"/>
  <c r="C31" i="1"/>
  <c r="C22" i="1"/>
  <c r="C18" i="1"/>
  <c r="C25" i="1"/>
  <c r="C26" i="1"/>
  <c r="C24" i="1"/>
  <c r="C21" i="1"/>
  <c r="C27" i="1"/>
  <c r="C6" i="1"/>
  <c r="H6" i="3"/>
  <c r="G6" i="3"/>
  <c r="B32" i="1"/>
  <c r="O32" i="1"/>
  <c r="V32" i="1"/>
  <c r="B18" i="1"/>
  <c r="B33" i="1"/>
  <c r="O33" i="1"/>
  <c r="Q32" i="1"/>
  <c r="F32" i="1"/>
  <c r="H18" i="1"/>
  <c r="Q33" i="1"/>
  <c r="U33" i="1"/>
  <c r="K33" i="1"/>
  <c r="B20" i="1"/>
  <c r="H32" i="1"/>
  <c r="B24" i="1"/>
  <c r="B21" i="1"/>
  <c r="G32" i="1"/>
  <c r="U32" i="1"/>
  <c r="S24" i="1"/>
  <c r="F21" i="1"/>
  <c r="I21" i="1"/>
  <c r="J18" i="1"/>
  <c r="O20" i="1"/>
  <c r="R33" i="1"/>
  <c r="V33" i="1"/>
  <c r="U21" i="1"/>
  <c r="R32" i="1"/>
  <c r="N20" i="1"/>
  <c r="N24" i="1"/>
  <c r="W18" i="1"/>
  <c r="P21" i="1"/>
  <c r="B25" i="1"/>
  <c r="G25" i="1"/>
  <c r="G21" i="1"/>
  <c r="I33" i="1"/>
  <c r="K20" i="1"/>
  <c r="E33" i="1"/>
  <c r="B31" i="1"/>
  <c r="L21" i="1"/>
  <c r="S18" i="1"/>
  <c r="T31" i="1"/>
  <c r="P32" i="1"/>
  <c r="E24" i="1"/>
  <c r="J21" i="1"/>
  <c r="O18" i="1"/>
  <c r="K18" i="1"/>
  <c r="Q20" i="1"/>
  <c r="M33" i="1"/>
  <c r="J33" i="1"/>
  <c r="O21" i="1"/>
  <c r="B27" i="1"/>
  <c r="L31" i="1"/>
  <c r="F27" i="1"/>
  <c r="M27" i="1"/>
  <c r="M18" i="1"/>
  <c r="W31" i="1"/>
  <c r="K32" i="1"/>
  <c r="I24" i="1"/>
  <c r="E21" i="1"/>
  <c r="G18" i="1"/>
  <c r="E20" i="1"/>
  <c r="S33" i="1"/>
  <c r="R20" i="1"/>
  <c r="V31" i="1"/>
  <c r="G27" i="1"/>
  <c r="V27" i="1"/>
  <c r="H27" i="1"/>
  <c r="J24" i="1"/>
  <c r="Q24" i="1"/>
  <c r="S31" i="1"/>
  <c r="L32" i="1"/>
  <c r="G24" i="1"/>
  <c r="R21" i="1"/>
  <c r="P18" i="1"/>
  <c r="U20" i="1"/>
  <c r="I20" i="1"/>
  <c r="G33" i="1"/>
  <c r="H25" i="1"/>
  <c r="N25" i="1"/>
  <c r="E18" i="1"/>
  <c r="B22" i="1"/>
  <c r="P31" i="1"/>
  <c r="O27" i="1"/>
  <c r="R22" i="1"/>
  <c r="I27" i="1"/>
  <c r="M32" i="1"/>
  <c r="U18" i="1"/>
  <c r="F25" i="1"/>
  <c r="E31" i="1"/>
  <c r="N32" i="1"/>
  <c r="V24" i="1"/>
  <c r="V21" i="1"/>
  <c r="V18" i="1"/>
  <c r="T20" i="1"/>
  <c r="M20" i="1"/>
  <c r="L33" i="1"/>
  <c r="V25" i="1"/>
  <c r="L25" i="1"/>
  <c r="I31" i="1"/>
  <c r="W27" i="1"/>
  <c r="R24" i="1"/>
  <c r="B28" i="1"/>
  <c r="B17" i="1"/>
  <c r="K28" i="1"/>
  <c r="N28" i="1"/>
  <c r="B6" i="1"/>
  <c r="E17" i="1"/>
  <c r="W22" i="1"/>
  <c r="W17" i="1"/>
  <c r="J31" i="1"/>
  <c r="V6" i="1"/>
  <c r="S32" i="1"/>
  <c r="W24" i="1"/>
  <c r="H21" i="1"/>
  <c r="T18" i="1"/>
  <c r="J20" i="1"/>
  <c r="W20" i="1"/>
  <c r="P33" i="1"/>
  <c r="Q25" i="1"/>
  <c r="W25" i="1"/>
  <c r="B26" i="1"/>
  <c r="K27" i="1"/>
  <c r="Q31" i="1"/>
  <c r="W26" i="1"/>
  <c r="B23" i="1"/>
  <c r="T32" i="1"/>
  <c r="J32" i="1"/>
  <c r="S27" i="1"/>
  <c r="G22" i="1"/>
  <c r="P26" i="1"/>
  <c r="G26" i="1"/>
  <c r="I18" i="1"/>
  <c r="K21" i="1"/>
  <c r="Q17" i="1"/>
  <c r="R31" i="1"/>
  <c r="U6" i="1"/>
  <c r="M23" i="1"/>
  <c r="I32" i="1"/>
  <c r="F24" i="1"/>
  <c r="M21" i="1"/>
  <c r="F18" i="1"/>
  <c r="F20" i="1"/>
  <c r="S20" i="1"/>
  <c r="N33" i="1"/>
  <c r="R25" i="1"/>
  <c r="T26" i="1"/>
  <c r="R28" i="1"/>
  <c r="B19" i="1"/>
  <c r="H19" i="1"/>
  <c r="K31" i="1"/>
  <c r="U31" i="1"/>
  <c r="Q26" i="1"/>
  <c r="S19" i="1"/>
  <c r="B29" i="1"/>
  <c r="H6" i="1"/>
  <c r="J27" i="1"/>
  <c r="V29" i="1"/>
  <c r="N26" i="1"/>
  <c r="S21" i="1"/>
  <c r="L18" i="1"/>
  <c r="N6" i="1"/>
  <c r="B30" i="1"/>
  <c r="I17" i="1"/>
  <c r="E22" i="1"/>
  <c r="F6" i="1"/>
  <c r="O23" i="1"/>
  <c r="W32" i="1"/>
  <c r="L29" i="1"/>
  <c r="K24" i="1"/>
  <c r="Q21" i="1"/>
  <c r="Q18" i="1"/>
  <c r="V20" i="1"/>
  <c r="H33" i="1"/>
  <c r="T33" i="1"/>
  <c r="T25" i="1"/>
  <c r="R30" i="1"/>
  <c r="V30" i="1"/>
  <c r="H30" i="1"/>
  <c r="E32" i="1"/>
  <c r="H20" i="1"/>
  <c r="P25" i="1"/>
  <c r="U27" i="1"/>
  <c r="J30" i="1"/>
  <c r="N18" i="1"/>
  <c r="R18" i="1"/>
  <c r="F33" i="1"/>
  <c r="W33" i="1"/>
  <c r="G20" i="1"/>
  <c r="P20" i="1"/>
  <c r="L20" i="1"/>
  <c r="O24" i="1"/>
  <c r="M24" i="1"/>
  <c r="T24" i="1"/>
  <c r="L24" i="1"/>
  <c r="U24" i="1"/>
  <c r="P24" i="1"/>
  <c r="H24" i="1"/>
  <c r="W21" i="1"/>
  <c r="T21" i="1"/>
  <c r="N21" i="1"/>
  <c r="O25" i="1"/>
  <c r="K25" i="1"/>
  <c r="U25" i="1"/>
  <c r="M25" i="1"/>
  <c r="I25" i="1"/>
  <c r="J25" i="1"/>
  <c r="S25" i="1"/>
  <c r="E25" i="1"/>
  <c r="F31" i="1"/>
  <c r="H31" i="1"/>
  <c r="M31" i="1"/>
  <c r="N31" i="1"/>
  <c r="O31" i="1"/>
  <c r="G31" i="1"/>
  <c r="R27" i="1"/>
  <c r="P27" i="1"/>
  <c r="N27" i="1"/>
  <c r="T27" i="1"/>
  <c r="L27" i="1"/>
  <c r="Q27" i="1"/>
  <c r="E27" i="1"/>
  <c r="P22" i="1"/>
  <c r="N22" i="1"/>
  <c r="O22" i="1"/>
  <c r="H22" i="1"/>
  <c r="F22" i="1"/>
  <c r="Q22" i="1"/>
  <c r="J22" i="1"/>
  <c r="T22" i="1"/>
  <c r="L22" i="1"/>
  <c r="M22" i="1"/>
  <c r="K22" i="1"/>
  <c r="I22" i="1"/>
  <c r="V22" i="1"/>
  <c r="U22" i="1"/>
  <c r="S22" i="1"/>
  <c r="T28" i="1"/>
  <c r="S28" i="1"/>
  <c r="Q28" i="1"/>
  <c r="U28" i="1"/>
  <c r="V28" i="1"/>
  <c r="O28" i="1"/>
  <c r="W28" i="1"/>
  <c r="J28" i="1"/>
  <c r="F28" i="1"/>
  <c r="G28" i="1"/>
  <c r="E28" i="1"/>
  <c r="P28" i="1"/>
  <c r="L28" i="1"/>
  <c r="I28" i="1"/>
  <c r="H28" i="1"/>
  <c r="O17" i="1"/>
  <c r="P17" i="1"/>
  <c r="J17" i="1"/>
  <c r="L17" i="1"/>
  <c r="M17" i="1"/>
  <c r="T17" i="1"/>
  <c r="F17" i="1"/>
  <c r="R17" i="1"/>
  <c r="V17" i="1"/>
  <c r="S17" i="1"/>
  <c r="N17" i="1"/>
  <c r="K17" i="1"/>
  <c r="U17" i="1"/>
  <c r="G17" i="1"/>
  <c r="H17" i="1"/>
  <c r="I6" i="1"/>
  <c r="S6" i="1"/>
  <c r="R6" i="1"/>
  <c r="P6" i="1"/>
  <c r="W6" i="1"/>
  <c r="T6" i="1"/>
  <c r="Q6" i="1"/>
  <c r="M6" i="1"/>
  <c r="L6" i="1"/>
  <c r="G6" i="1"/>
  <c r="O6" i="1"/>
  <c r="J6" i="1"/>
  <c r="K6" i="1"/>
  <c r="F26" i="1"/>
  <c r="U26" i="1"/>
  <c r="K26" i="1"/>
  <c r="L26" i="1"/>
  <c r="H26" i="1"/>
  <c r="J26" i="1"/>
  <c r="I26" i="1"/>
  <c r="R26" i="1"/>
  <c r="O26" i="1"/>
  <c r="S26" i="1"/>
  <c r="M26" i="1"/>
  <c r="V26" i="1"/>
  <c r="W23" i="1"/>
  <c r="E23" i="1"/>
  <c r="N23" i="1"/>
  <c r="I23" i="1"/>
  <c r="U23" i="1"/>
  <c r="H23" i="1"/>
  <c r="R23" i="1"/>
  <c r="K23" i="1"/>
  <c r="G23" i="1"/>
  <c r="L23" i="1"/>
  <c r="Q23" i="1"/>
  <c r="S23" i="1"/>
  <c r="P23" i="1"/>
  <c r="V23" i="1"/>
  <c r="F23" i="1"/>
  <c r="T23" i="1"/>
  <c r="J23" i="1"/>
  <c r="W19" i="1"/>
  <c r="P19" i="1"/>
  <c r="T19" i="1"/>
  <c r="R19" i="1"/>
  <c r="L19" i="1"/>
  <c r="G19" i="1"/>
  <c r="O19" i="1"/>
  <c r="J19" i="1"/>
  <c r="M19" i="1"/>
  <c r="U19" i="1"/>
  <c r="F19" i="1"/>
  <c r="V19" i="1"/>
  <c r="Q19" i="1"/>
  <c r="E19" i="1"/>
  <c r="N19" i="1"/>
  <c r="K19" i="1"/>
  <c r="J29" i="1"/>
  <c r="F29" i="1"/>
  <c r="I29" i="1"/>
  <c r="W29" i="1"/>
  <c r="E29" i="1"/>
  <c r="T29" i="1"/>
  <c r="G29" i="1"/>
  <c r="P29" i="1"/>
  <c r="N29" i="1"/>
  <c r="M29" i="1"/>
  <c r="R29" i="1"/>
  <c r="S29" i="1"/>
  <c r="H29" i="1"/>
  <c r="Q29" i="1"/>
  <c r="O29" i="1"/>
  <c r="K29" i="1"/>
  <c r="U29" i="1"/>
  <c r="N30" i="1"/>
  <c r="F30" i="1"/>
  <c r="Q30" i="1"/>
  <c r="U30" i="1"/>
  <c r="K30" i="1"/>
  <c r="W30" i="1"/>
  <c r="T30" i="1"/>
  <c r="O30" i="1"/>
  <c r="E30" i="1"/>
  <c r="P30" i="1"/>
  <c r="S30" i="1"/>
  <c r="L30" i="1"/>
  <c r="M30" i="1"/>
  <c r="G30" i="1"/>
  <c r="I30" i="1"/>
  <c r="C34" i="1" l="1"/>
  <c r="D9" i="27"/>
  <c r="D8" i="27" s="1"/>
  <c r="C8" i="27" s="1"/>
  <c r="D6" i="27"/>
  <c r="D5" i="27" s="1"/>
  <c r="C5" i="27" s="1"/>
  <c r="D12" i="27"/>
  <c r="D11" i="27" s="1"/>
  <c r="C11" i="27" s="1"/>
  <c r="D36" i="27"/>
  <c r="C36" i="27" s="1"/>
  <c r="D15" i="27"/>
  <c r="D14" i="27" s="1"/>
  <c r="C14" i="27" s="1"/>
  <c r="D45" i="27"/>
  <c r="D46" i="27" s="1"/>
  <c r="H46" i="27" s="1"/>
  <c r="D24" i="27"/>
  <c r="D23" i="27" s="1"/>
  <c r="C23" i="27" s="1"/>
  <c r="D42" i="27"/>
  <c r="C42" i="27" s="1"/>
  <c r="D33" i="27"/>
  <c r="D32" i="27" s="1"/>
  <c r="C32" i="27" s="1"/>
  <c r="D21" i="27"/>
  <c r="D22" i="27" s="1"/>
  <c r="H22" i="27" s="1"/>
  <c r="D27" i="27"/>
  <c r="D26" i="27" s="1"/>
  <c r="C26" i="27" s="1"/>
  <c r="D18" i="27"/>
  <c r="D19" i="27" s="1"/>
  <c r="H19" i="27" s="1"/>
  <c r="D39" i="27"/>
  <c r="D40" i="27" s="1"/>
  <c r="H40" i="27" s="1"/>
  <c r="D30" i="27"/>
  <c r="D31" i="27" s="1"/>
  <c r="H31" i="27" s="1"/>
  <c r="D51" i="27"/>
  <c r="D50" i="27" s="1"/>
  <c r="C50" i="27" s="1"/>
  <c r="D87" i="27"/>
  <c r="D88" i="27" s="1"/>
  <c r="H88" i="27" s="1"/>
  <c r="D48" i="27"/>
  <c r="D47" i="27" s="1"/>
  <c r="C47" i="27" s="1"/>
  <c r="D54" i="27"/>
  <c r="D55" i="27" s="1"/>
  <c r="H55" i="27" s="1"/>
  <c r="D90" i="27"/>
  <c r="D89" i="27" s="1"/>
  <c r="C89" i="27" s="1"/>
  <c r="D36" i="25"/>
  <c r="D35" i="25" s="1"/>
  <c r="C35" i="25" s="1"/>
  <c r="D36" i="26"/>
  <c r="D51" i="25"/>
  <c r="D50" i="25" s="1"/>
  <c r="C50" i="25" s="1"/>
  <c r="D51" i="26"/>
  <c r="D39" i="25"/>
  <c r="D40" i="25" s="1"/>
  <c r="H40" i="25" s="1"/>
  <c r="D39" i="26"/>
  <c r="D12" i="25"/>
  <c r="D11" i="25" s="1"/>
  <c r="C11" i="25" s="1"/>
  <c r="D12" i="26"/>
  <c r="D87" i="25"/>
  <c r="D88" i="25" s="1"/>
  <c r="H88" i="25" s="1"/>
  <c r="D87" i="26"/>
  <c r="D15" i="25"/>
  <c r="D16" i="25" s="1"/>
  <c r="H16" i="25" s="1"/>
  <c r="D15" i="26"/>
  <c r="D90" i="25"/>
  <c r="D91" i="25" s="1"/>
  <c r="H91" i="25" s="1"/>
  <c r="D90" i="26"/>
  <c r="D45" i="25"/>
  <c r="D46" i="25" s="1"/>
  <c r="H46" i="25" s="1"/>
  <c r="D45" i="26"/>
  <c r="D24" i="25"/>
  <c r="D23" i="25" s="1"/>
  <c r="C23" i="25" s="1"/>
  <c r="D24" i="26"/>
  <c r="D48" i="25"/>
  <c r="D47" i="25" s="1"/>
  <c r="C47" i="25" s="1"/>
  <c r="D48" i="26"/>
  <c r="D42" i="25"/>
  <c r="D43" i="25" s="1"/>
  <c r="H43" i="25" s="1"/>
  <c r="D42" i="26"/>
  <c r="D9" i="25"/>
  <c r="D10" i="25" s="1"/>
  <c r="H10" i="25" s="1"/>
  <c r="D9" i="26"/>
  <c r="D33" i="25"/>
  <c r="D34" i="25" s="1"/>
  <c r="H34" i="25" s="1"/>
  <c r="D33" i="26"/>
  <c r="D21" i="25"/>
  <c r="D22" i="25" s="1"/>
  <c r="H22" i="25" s="1"/>
  <c r="D21" i="26"/>
  <c r="D27" i="25"/>
  <c r="D28" i="25" s="1"/>
  <c r="H28" i="25" s="1"/>
  <c r="D27" i="26"/>
  <c r="D18" i="25"/>
  <c r="D19" i="25" s="1"/>
  <c r="H19" i="25" s="1"/>
  <c r="D18" i="26"/>
  <c r="D54" i="25"/>
  <c r="C54" i="25" s="1"/>
  <c r="D54" i="26"/>
  <c r="D30" i="25"/>
  <c r="D31" i="25" s="1"/>
  <c r="H31" i="25" s="1"/>
  <c r="D30" i="26"/>
  <c r="D6" i="25"/>
  <c r="D7" i="25" s="1"/>
  <c r="H7" i="25" s="1"/>
  <c r="D6" i="26"/>
  <c r="D51" i="23"/>
  <c r="C51" i="23" s="1"/>
  <c r="D51" i="24"/>
  <c r="D39" i="23"/>
  <c r="C39" i="23" s="1"/>
  <c r="D39" i="24"/>
  <c r="D12" i="23"/>
  <c r="D11" i="23" s="1"/>
  <c r="C11" i="23" s="1"/>
  <c r="D12" i="24"/>
  <c r="D87" i="23"/>
  <c r="D88" i="23" s="1"/>
  <c r="H88" i="23" s="1"/>
  <c r="D87" i="24"/>
  <c r="D15" i="23"/>
  <c r="D16" i="23" s="1"/>
  <c r="H16" i="23" s="1"/>
  <c r="D15" i="24"/>
  <c r="D90" i="23"/>
  <c r="D91" i="23" s="1"/>
  <c r="H91" i="23" s="1"/>
  <c r="D90" i="24"/>
  <c r="D45" i="23"/>
  <c r="C45" i="23" s="1"/>
  <c r="D45" i="24"/>
  <c r="D24" i="23"/>
  <c r="D23" i="23" s="1"/>
  <c r="C23" i="23" s="1"/>
  <c r="D24" i="24"/>
  <c r="D48" i="23"/>
  <c r="D47" i="23" s="1"/>
  <c r="C47" i="23" s="1"/>
  <c r="D48" i="24"/>
  <c r="D36" i="23"/>
  <c r="C36" i="23" s="1"/>
  <c r="D36" i="24"/>
  <c r="D42" i="23"/>
  <c r="D41" i="23" s="1"/>
  <c r="C41" i="23" s="1"/>
  <c r="D42" i="24"/>
  <c r="D9" i="23"/>
  <c r="D8" i="23" s="1"/>
  <c r="C8" i="23" s="1"/>
  <c r="D9" i="24"/>
  <c r="D33" i="23"/>
  <c r="D34" i="23" s="1"/>
  <c r="H34" i="23" s="1"/>
  <c r="D33" i="24"/>
  <c r="D21" i="23"/>
  <c r="D22" i="23" s="1"/>
  <c r="H22" i="23" s="1"/>
  <c r="D21" i="24"/>
  <c r="D27" i="23"/>
  <c r="D28" i="23" s="1"/>
  <c r="H28" i="23" s="1"/>
  <c r="D27" i="24"/>
  <c r="D18" i="23"/>
  <c r="C18" i="23" s="1"/>
  <c r="D18" i="24"/>
  <c r="D54" i="23"/>
  <c r="D55" i="23" s="1"/>
  <c r="H55" i="23" s="1"/>
  <c r="D54" i="24"/>
  <c r="D30" i="23"/>
  <c r="D31" i="23" s="1"/>
  <c r="H31" i="23" s="1"/>
  <c r="D30" i="24"/>
  <c r="D6" i="23"/>
  <c r="C6" i="23" s="1"/>
  <c r="D6" i="24"/>
  <c r="D54" i="21"/>
  <c r="D55" i="21" s="1"/>
  <c r="H55" i="21" s="1"/>
  <c r="D54" i="22"/>
  <c r="D39" i="21"/>
  <c r="D38" i="21" s="1"/>
  <c r="C38" i="21" s="1"/>
  <c r="D39" i="22"/>
  <c r="D12" i="21"/>
  <c r="D11" i="21" s="1"/>
  <c r="C11" i="21" s="1"/>
  <c r="D12" i="22"/>
  <c r="D51" i="21"/>
  <c r="D52" i="21" s="1"/>
  <c r="H52" i="21" s="1"/>
  <c r="D51" i="22"/>
  <c r="D36" i="21"/>
  <c r="C36" i="21" s="1"/>
  <c r="D36" i="22"/>
  <c r="D87" i="21"/>
  <c r="D88" i="21" s="1"/>
  <c r="H88" i="21" s="1"/>
  <c r="D87" i="22"/>
  <c r="D90" i="21"/>
  <c r="D91" i="21" s="1"/>
  <c r="H91" i="21" s="1"/>
  <c r="D90" i="22"/>
  <c r="D45" i="21"/>
  <c r="D46" i="21" s="1"/>
  <c r="H46" i="21" s="1"/>
  <c r="D45" i="22"/>
  <c r="D15" i="21"/>
  <c r="D16" i="21" s="1"/>
  <c r="H16" i="21" s="1"/>
  <c r="D15" i="22"/>
  <c r="D24" i="21"/>
  <c r="D23" i="21" s="1"/>
  <c r="C23" i="21" s="1"/>
  <c r="D24" i="22"/>
  <c r="D48" i="21"/>
  <c r="D47" i="21" s="1"/>
  <c r="C47" i="21" s="1"/>
  <c r="D48" i="22"/>
  <c r="D42" i="21"/>
  <c r="D43" i="21" s="1"/>
  <c r="H43" i="21" s="1"/>
  <c r="D42" i="22"/>
  <c r="D9" i="21"/>
  <c r="C9" i="21" s="1"/>
  <c r="D9" i="22"/>
  <c r="D33" i="21"/>
  <c r="D32" i="21" s="1"/>
  <c r="C32" i="21" s="1"/>
  <c r="D33" i="22"/>
  <c r="D21" i="21"/>
  <c r="D20" i="21" s="1"/>
  <c r="C20" i="21" s="1"/>
  <c r="D21" i="22"/>
  <c r="D27" i="21"/>
  <c r="D28" i="21" s="1"/>
  <c r="H28" i="21" s="1"/>
  <c r="D27" i="22"/>
  <c r="D18" i="21"/>
  <c r="D19" i="21" s="1"/>
  <c r="H19" i="21" s="1"/>
  <c r="D18" i="22"/>
  <c r="D30" i="21"/>
  <c r="C30" i="21" s="1"/>
  <c r="D30" i="22"/>
  <c r="D6" i="21"/>
  <c r="D7" i="21" s="1"/>
  <c r="H7" i="21" s="1"/>
  <c r="D6" i="22"/>
  <c r="D51" i="18"/>
  <c r="D52" i="18" s="1"/>
  <c r="H52" i="18" s="1"/>
  <c r="D51" i="20"/>
  <c r="D12" i="18"/>
  <c r="C12" i="18" s="1"/>
  <c r="D12" i="20"/>
  <c r="D36" i="18"/>
  <c r="C36" i="18" s="1"/>
  <c r="D36" i="20"/>
  <c r="D87" i="18"/>
  <c r="D88" i="18" s="1"/>
  <c r="H88" i="18" s="1"/>
  <c r="D87" i="20"/>
  <c r="D15" i="18"/>
  <c r="C15" i="18" s="1"/>
  <c r="D15" i="20"/>
  <c r="D90" i="18"/>
  <c r="D91" i="18" s="1"/>
  <c r="H91" i="18" s="1"/>
  <c r="D90" i="20"/>
  <c r="D45" i="18"/>
  <c r="C45" i="18" s="1"/>
  <c r="D45" i="20"/>
  <c r="D24" i="18"/>
  <c r="C24" i="18" s="1"/>
  <c r="D24" i="20"/>
  <c r="D48" i="18"/>
  <c r="C48" i="18" s="1"/>
  <c r="D48" i="20"/>
  <c r="D42" i="18"/>
  <c r="D43" i="18" s="1"/>
  <c r="H43" i="18" s="1"/>
  <c r="D42" i="20"/>
  <c r="D9" i="18"/>
  <c r="D10" i="18" s="1"/>
  <c r="H10" i="18" s="1"/>
  <c r="D9" i="20"/>
  <c r="D33" i="18"/>
  <c r="D34" i="18" s="1"/>
  <c r="H34" i="18" s="1"/>
  <c r="D33" i="20"/>
  <c r="D21" i="18"/>
  <c r="D22" i="18" s="1"/>
  <c r="H22" i="18" s="1"/>
  <c r="D21" i="20"/>
  <c r="D27" i="18"/>
  <c r="C27" i="18" s="1"/>
  <c r="D27" i="20"/>
  <c r="D18" i="18"/>
  <c r="C18" i="18" s="1"/>
  <c r="D18" i="20"/>
  <c r="D54" i="18"/>
  <c r="C54" i="18" s="1"/>
  <c r="D54" i="20"/>
  <c r="D39" i="18"/>
  <c r="D40" i="18" s="1"/>
  <c r="H40" i="18" s="1"/>
  <c r="D39" i="20"/>
  <c r="D30" i="18"/>
  <c r="D31" i="18" s="1"/>
  <c r="H31" i="18" s="1"/>
  <c r="D30" i="20"/>
  <c r="D6" i="18"/>
  <c r="D7" i="18" s="1"/>
  <c r="H7" i="18" s="1"/>
  <c r="D6" i="20"/>
  <c r="D6" i="13"/>
  <c r="D5" i="13" s="1"/>
  <c r="D6" i="12"/>
  <c r="D5" i="12" s="1"/>
  <c r="D6" i="11"/>
  <c r="C6" i="11" s="1"/>
  <c r="D6" i="10"/>
  <c r="C6" i="10" s="1"/>
  <c r="D6" i="9"/>
  <c r="C6" i="9" s="1"/>
  <c r="D6" i="4"/>
  <c r="D5" i="4" s="1"/>
  <c r="C5" i="4" s="1"/>
  <c r="D6" i="14"/>
  <c r="D7" i="14" s="1"/>
  <c r="H7" i="14" s="1"/>
  <c r="D6" i="8"/>
  <c r="D7" i="8" s="1"/>
  <c r="H7" i="8" s="1"/>
  <c r="D6" i="17"/>
  <c r="D7" i="17" s="1"/>
  <c r="H7" i="17" s="1"/>
  <c r="D6" i="16"/>
  <c r="D39" i="16"/>
  <c r="C39" i="16" s="1"/>
  <c r="D39" i="17"/>
  <c r="D33" i="16"/>
  <c r="D34" i="16" s="1"/>
  <c r="H34" i="16" s="1"/>
  <c r="D33" i="17"/>
  <c r="D12" i="16"/>
  <c r="D11" i="16" s="1"/>
  <c r="C11" i="16" s="1"/>
  <c r="D12" i="17"/>
  <c r="D51" i="16"/>
  <c r="C51" i="16" s="1"/>
  <c r="D51" i="17"/>
  <c r="D36" i="16"/>
  <c r="C36" i="16" s="1"/>
  <c r="D36" i="17"/>
  <c r="D21" i="16"/>
  <c r="D22" i="16" s="1"/>
  <c r="H22" i="16" s="1"/>
  <c r="D21" i="17"/>
  <c r="D87" i="16"/>
  <c r="C87" i="16" s="1"/>
  <c r="D87" i="17"/>
  <c r="D15" i="16"/>
  <c r="D14" i="16" s="1"/>
  <c r="C14" i="16" s="1"/>
  <c r="D15" i="17"/>
  <c r="D9" i="16"/>
  <c r="D10" i="16" s="1"/>
  <c r="H10" i="16" s="1"/>
  <c r="D9" i="17"/>
  <c r="D90" i="16"/>
  <c r="D91" i="16" s="1"/>
  <c r="H91" i="16" s="1"/>
  <c r="D90" i="17"/>
  <c r="D45" i="16"/>
  <c r="D46" i="16" s="1"/>
  <c r="H46" i="16" s="1"/>
  <c r="D45" i="17"/>
  <c r="D42" i="16"/>
  <c r="D43" i="16" s="1"/>
  <c r="H43" i="16" s="1"/>
  <c r="D42" i="17"/>
  <c r="D24" i="16"/>
  <c r="D23" i="16" s="1"/>
  <c r="C23" i="16" s="1"/>
  <c r="D24" i="17"/>
  <c r="D48" i="16"/>
  <c r="C48" i="16" s="1"/>
  <c r="D48" i="17"/>
  <c r="D27" i="16"/>
  <c r="D26" i="16" s="1"/>
  <c r="C26" i="16" s="1"/>
  <c r="D27" i="17"/>
  <c r="D54" i="16"/>
  <c r="D55" i="16" s="1"/>
  <c r="H55" i="16" s="1"/>
  <c r="D54" i="17"/>
  <c r="D18" i="16"/>
  <c r="D19" i="16" s="1"/>
  <c r="H19" i="16" s="1"/>
  <c r="D18" i="17"/>
  <c r="D30" i="16"/>
  <c r="D31" i="16" s="1"/>
  <c r="H31" i="16" s="1"/>
  <c r="D30" i="17"/>
  <c r="D42" i="14"/>
  <c r="D42" i="9"/>
  <c r="D42" i="10"/>
  <c r="D42" i="11"/>
  <c r="D42" i="12"/>
  <c r="D42" i="13"/>
  <c r="D42" i="4"/>
  <c r="D42" i="8"/>
  <c r="D9" i="14"/>
  <c r="D9" i="12"/>
  <c r="D9" i="8"/>
  <c r="D9" i="13"/>
  <c r="D9" i="9"/>
  <c r="D9" i="4"/>
  <c r="D9" i="10"/>
  <c r="D9" i="11"/>
  <c r="D30" i="4"/>
  <c r="D30" i="8"/>
  <c r="D30" i="13"/>
  <c r="D30" i="9"/>
  <c r="D30" i="14"/>
  <c r="D30" i="10"/>
  <c r="D30" i="11"/>
  <c r="D30" i="12"/>
  <c r="D21" i="9"/>
  <c r="D21" i="13"/>
  <c r="D21" i="10"/>
  <c r="D21" i="14"/>
  <c r="D21" i="11"/>
  <c r="D21" i="12"/>
  <c r="D21" i="8"/>
  <c r="D21" i="4"/>
  <c r="D51" i="4"/>
  <c r="D51" i="9"/>
  <c r="D51" i="10"/>
  <c r="D51" i="11"/>
  <c r="D51" i="13"/>
  <c r="D51" i="12"/>
  <c r="D51" i="14"/>
  <c r="D51" i="8"/>
  <c r="D33" i="14"/>
  <c r="D33" i="9"/>
  <c r="D33" i="10"/>
  <c r="D33" i="4"/>
  <c r="D33" i="11"/>
  <c r="D33" i="12"/>
  <c r="D33" i="13"/>
  <c r="D33" i="8"/>
  <c r="D54" i="13"/>
  <c r="D54" i="10"/>
  <c r="D54" i="14"/>
  <c r="D54" i="11"/>
  <c r="D54" i="12"/>
  <c r="D54" i="8"/>
  <c r="D54" i="9"/>
  <c r="D39" i="14"/>
  <c r="D39" i="12"/>
  <c r="D39" i="13"/>
  <c r="D39" i="4"/>
  <c r="D39" i="10"/>
  <c r="D39" i="11"/>
  <c r="D39" i="8"/>
  <c r="D39" i="9"/>
  <c r="D18" i="9"/>
  <c r="D18" i="13"/>
  <c r="D18" i="10"/>
  <c r="D18" i="14"/>
  <c r="D18" i="11"/>
  <c r="D18" i="12"/>
  <c r="D18" i="8"/>
  <c r="D18" i="4"/>
  <c r="D12" i="14"/>
  <c r="D12" i="13"/>
  <c r="D12" i="11"/>
  <c r="D12" i="4"/>
  <c r="D12" i="9"/>
  <c r="D12" i="8"/>
  <c r="D12" i="12"/>
  <c r="D12" i="10"/>
  <c r="D36" i="14"/>
  <c r="D36" i="12"/>
  <c r="D36" i="8"/>
  <c r="D36" i="4"/>
  <c r="D36" i="13"/>
  <c r="D36" i="9"/>
  <c r="D36" i="11"/>
  <c r="D36" i="10"/>
  <c r="D27" i="12"/>
  <c r="D27" i="10"/>
  <c r="D27" i="8"/>
  <c r="D27" i="13"/>
  <c r="D27" i="9"/>
  <c r="D27" i="14"/>
  <c r="D27" i="11"/>
  <c r="D27" i="4"/>
  <c r="D15" i="14"/>
  <c r="D15" i="11"/>
  <c r="D15" i="13"/>
  <c r="D15" i="4"/>
  <c r="D15" i="8"/>
  <c r="D15" i="9"/>
  <c r="D15" i="12"/>
  <c r="D15" i="10"/>
  <c r="D45" i="14"/>
  <c r="D45" i="10"/>
  <c r="D45" i="11"/>
  <c r="D45" i="12"/>
  <c r="D45" i="4"/>
  <c r="D45" i="8"/>
  <c r="D45" i="9"/>
  <c r="D45" i="13"/>
  <c r="D24" i="12"/>
  <c r="D24" i="4"/>
  <c r="D24" i="8"/>
  <c r="D24" i="13"/>
  <c r="D24" i="14"/>
  <c r="D24" i="9"/>
  <c r="D24" i="10"/>
  <c r="D24" i="11"/>
  <c r="D48" i="14"/>
  <c r="D48" i="11"/>
  <c r="D48" i="8"/>
  <c r="D48" i="9"/>
  <c r="D48" i="12"/>
  <c r="D48" i="13"/>
  <c r="D48" i="10"/>
  <c r="D48" i="4"/>
  <c r="D87" i="13"/>
  <c r="D88" i="13" s="1"/>
  <c r="H88" i="13" s="1"/>
  <c r="D87" i="14"/>
  <c r="D90" i="13"/>
  <c r="D91" i="13" s="1"/>
  <c r="H91" i="13" s="1"/>
  <c r="D90" i="14"/>
  <c r="D87" i="11"/>
  <c r="D88" i="11" s="1"/>
  <c r="H88" i="11" s="1"/>
  <c r="D87" i="12"/>
  <c r="D90" i="11"/>
  <c r="D91" i="11" s="1"/>
  <c r="H91" i="11" s="1"/>
  <c r="D90" i="12"/>
  <c r="D87" i="9"/>
  <c r="D88" i="9" s="1"/>
  <c r="H88" i="9" s="1"/>
  <c r="D87" i="10"/>
  <c r="D90" i="9"/>
  <c r="D89" i="9" s="1"/>
  <c r="C89" i="9" s="1"/>
  <c r="D90" i="10"/>
  <c r="D87" i="8"/>
  <c r="D90" i="8"/>
  <c r="I19" i="1"/>
  <c r="E6" i="1"/>
  <c r="E26" i="1"/>
  <c r="M28" i="1"/>
  <c r="B5" i="1"/>
  <c r="R5" i="1" s="1"/>
  <c r="P5" i="1"/>
  <c r="J5" i="1"/>
  <c r="B34" i="1"/>
  <c r="W5" i="1"/>
  <c r="G5" i="1"/>
  <c r="K34" i="1"/>
  <c r="G34" i="1"/>
  <c r="F34" i="1"/>
  <c r="N5" i="1"/>
  <c r="V5" i="1"/>
  <c r="Q5" i="1"/>
  <c r="E5" i="1"/>
  <c r="K5" i="1"/>
  <c r="L34" i="1"/>
  <c r="H5" i="1"/>
  <c r="S5" i="1"/>
  <c r="V34" i="1"/>
  <c r="T5" i="1"/>
  <c r="O5" i="1"/>
  <c r="M5" i="1"/>
  <c r="U5" i="1"/>
  <c r="S34" i="1"/>
  <c r="I34" i="1"/>
  <c r="Q34" i="1"/>
  <c r="E34" i="1"/>
  <c r="T34" i="1"/>
  <c r="W34" i="1"/>
  <c r="M34" i="1"/>
  <c r="P34" i="1"/>
  <c r="N34" i="1"/>
  <c r="R34" i="1"/>
  <c r="J34" i="1"/>
  <c r="O34" i="1"/>
  <c r="H34" i="1"/>
  <c r="U34" i="1"/>
  <c r="D10" i="27" l="1"/>
  <c r="H10" i="27" s="1"/>
  <c r="H8" i="27" s="1"/>
  <c r="I8" i="27" s="1"/>
  <c r="C9" i="27"/>
  <c r="D6" i="1"/>
  <c r="D35" i="27"/>
  <c r="C35" i="27" s="1"/>
  <c r="C6" i="18"/>
  <c r="D38" i="27"/>
  <c r="C38" i="27" s="1"/>
  <c r="C24" i="27"/>
  <c r="D91" i="27"/>
  <c r="H91" i="27" s="1"/>
  <c r="H89" i="27" s="1"/>
  <c r="I89" i="27" s="1"/>
  <c r="C90" i="27"/>
  <c r="D37" i="27"/>
  <c r="H37" i="27" s="1"/>
  <c r="D25" i="27"/>
  <c r="H25" i="27" s="1"/>
  <c r="H23" i="27" s="1"/>
  <c r="I23" i="27" s="1"/>
  <c r="C39" i="27"/>
  <c r="D40" i="21"/>
  <c r="H40" i="21" s="1"/>
  <c r="H38" i="21" s="1"/>
  <c r="I38" i="21" s="1"/>
  <c r="C6" i="27"/>
  <c r="D7" i="27"/>
  <c r="H7" i="27" s="1"/>
  <c r="H5" i="27" s="1"/>
  <c r="I5" i="27" s="1"/>
  <c r="C12" i="27"/>
  <c r="C33" i="27"/>
  <c r="D34" i="27"/>
  <c r="H34" i="27" s="1"/>
  <c r="H32" i="27" s="1"/>
  <c r="I32" i="27" s="1"/>
  <c r="D13" i="27"/>
  <c r="H13" i="27" s="1"/>
  <c r="H11" i="27" s="1"/>
  <c r="I11" i="27" s="1"/>
  <c r="D52" i="27"/>
  <c r="H52" i="27" s="1"/>
  <c r="H50" i="27" s="1"/>
  <c r="I50" i="27" s="1"/>
  <c r="C27" i="27"/>
  <c r="C21" i="27"/>
  <c r="D20" i="27"/>
  <c r="C20" i="27" s="1"/>
  <c r="D28" i="27"/>
  <c r="H28" i="27" s="1"/>
  <c r="H26" i="27" s="1"/>
  <c r="I26" i="27" s="1"/>
  <c r="C15" i="27"/>
  <c r="D16" i="27"/>
  <c r="H16" i="27" s="1"/>
  <c r="H14" i="27" s="1"/>
  <c r="I14" i="27" s="1"/>
  <c r="D86" i="27"/>
  <c r="C86" i="27" s="1"/>
  <c r="C48" i="27"/>
  <c r="D49" i="27"/>
  <c r="H49" i="27" s="1"/>
  <c r="H47" i="27" s="1"/>
  <c r="I47" i="27" s="1"/>
  <c r="C87" i="27"/>
  <c r="C51" i="27"/>
  <c r="C54" i="27"/>
  <c r="D53" i="27"/>
  <c r="C53" i="27" s="1"/>
  <c r="C18" i="27"/>
  <c r="D17" i="27"/>
  <c r="C17" i="27" s="1"/>
  <c r="C45" i="27"/>
  <c r="D44" i="27"/>
  <c r="C44" i="27" s="1"/>
  <c r="D41" i="27"/>
  <c r="C41" i="27" s="1"/>
  <c r="D43" i="27"/>
  <c r="H43" i="27" s="1"/>
  <c r="C30" i="27"/>
  <c r="D29" i="27"/>
  <c r="C29" i="27" s="1"/>
  <c r="D52" i="25"/>
  <c r="H52" i="25" s="1"/>
  <c r="D13" i="25"/>
  <c r="H13" i="25" s="1"/>
  <c r="H11" i="25" s="1"/>
  <c r="I11" i="25" s="1"/>
  <c r="D53" i="25"/>
  <c r="C53" i="25" s="1"/>
  <c r="D89" i="25"/>
  <c r="C89" i="25" s="1"/>
  <c r="D41" i="25"/>
  <c r="C41" i="25" s="1"/>
  <c r="C90" i="25"/>
  <c r="C87" i="25"/>
  <c r="D55" i="25"/>
  <c r="H55" i="25" s="1"/>
  <c r="C18" i="25"/>
  <c r="D26" i="25"/>
  <c r="C26" i="25" s="1"/>
  <c r="C24" i="25"/>
  <c r="C45" i="25"/>
  <c r="D38" i="25"/>
  <c r="C38" i="25" s="1"/>
  <c r="C27" i="25"/>
  <c r="C33" i="25"/>
  <c r="D37" i="25"/>
  <c r="H37" i="25" s="1"/>
  <c r="H35" i="25" s="1"/>
  <c r="I35" i="25" s="1"/>
  <c r="D32" i="25"/>
  <c r="C32" i="25" s="1"/>
  <c r="C36" i="25"/>
  <c r="C6" i="25"/>
  <c r="D25" i="25"/>
  <c r="H25" i="25" s="1"/>
  <c r="H23" i="25" s="1"/>
  <c r="I23" i="25" s="1"/>
  <c r="C39" i="25"/>
  <c r="D5" i="25"/>
  <c r="C5" i="25" s="1"/>
  <c r="D86" i="25"/>
  <c r="C86" i="25" s="1"/>
  <c r="C42" i="25"/>
  <c r="C33" i="23"/>
  <c r="D44" i="23"/>
  <c r="C44" i="23" s="1"/>
  <c r="D46" i="23"/>
  <c r="H46" i="23" s="1"/>
  <c r="C6" i="12"/>
  <c r="D52" i="23"/>
  <c r="H52" i="23" s="1"/>
  <c r="C51" i="25"/>
  <c r="C21" i="25"/>
  <c r="D20" i="25"/>
  <c r="C20" i="25" s="1"/>
  <c r="D35" i="23"/>
  <c r="C35" i="23" s="1"/>
  <c r="D5" i="23"/>
  <c r="C5" i="23" s="1"/>
  <c r="D44" i="25"/>
  <c r="C44" i="25" s="1"/>
  <c r="C12" i="25"/>
  <c r="D17" i="25"/>
  <c r="C17" i="25" s="1"/>
  <c r="D49" i="25"/>
  <c r="H49" i="25" s="1"/>
  <c r="H47" i="25" s="1"/>
  <c r="I47" i="25" s="1"/>
  <c r="C48" i="25"/>
  <c r="D32" i="23"/>
  <c r="C32" i="23" s="1"/>
  <c r="D50" i="23"/>
  <c r="C50" i="23" s="1"/>
  <c r="D7" i="23"/>
  <c r="H7" i="23" s="1"/>
  <c r="C42" i="23"/>
  <c r="C15" i="23"/>
  <c r="C12" i="23"/>
  <c r="C9" i="25"/>
  <c r="D17" i="23"/>
  <c r="C17" i="23" s="1"/>
  <c r="C12" i="21"/>
  <c r="C9" i="23"/>
  <c r="D8" i="25"/>
  <c r="C8" i="25" s="1"/>
  <c r="D10" i="23"/>
  <c r="H10" i="23" s="1"/>
  <c r="H8" i="23" s="1"/>
  <c r="I8" i="23" s="1"/>
  <c r="D29" i="23"/>
  <c r="C29" i="23" s="1"/>
  <c r="C30" i="25"/>
  <c r="C54" i="23"/>
  <c r="D29" i="25"/>
  <c r="C29" i="25" s="1"/>
  <c r="C21" i="23"/>
  <c r="C30" i="23"/>
  <c r="D89" i="23"/>
  <c r="C89" i="23" s="1"/>
  <c r="D31" i="26"/>
  <c r="H31" i="26" s="1"/>
  <c r="D29" i="26"/>
  <c r="C29" i="26" s="1"/>
  <c r="C30" i="26"/>
  <c r="D10" i="26"/>
  <c r="H10" i="26" s="1"/>
  <c r="D8" i="26"/>
  <c r="C8" i="26" s="1"/>
  <c r="C9" i="26"/>
  <c r="D16" i="26"/>
  <c r="H16" i="26" s="1"/>
  <c r="D14" i="26"/>
  <c r="C14" i="26" s="1"/>
  <c r="C15" i="26"/>
  <c r="D55" i="26"/>
  <c r="H55" i="26" s="1"/>
  <c r="D53" i="26"/>
  <c r="C53" i="26" s="1"/>
  <c r="C54" i="26"/>
  <c r="D43" i="26"/>
  <c r="H43" i="26" s="1"/>
  <c r="D41" i="26"/>
  <c r="C41" i="26" s="1"/>
  <c r="C42" i="26"/>
  <c r="D88" i="26"/>
  <c r="H88" i="26" s="1"/>
  <c r="D86" i="26"/>
  <c r="C86" i="26" s="1"/>
  <c r="C87" i="26"/>
  <c r="D53" i="23"/>
  <c r="C53" i="23" s="1"/>
  <c r="D43" i="23"/>
  <c r="H43" i="23" s="1"/>
  <c r="H41" i="23" s="1"/>
  <c r="I41" i="23" s="1"/>
  <c r="D38" i="23"/>
  <c r="C38" i="23" s="1"/>
  <c r="D40" i="23"/>
  <c r="H40" i="23" s="1"/>
  <c r="C15" i="25"/>
  <c r="D19" i="26"/>
  <c r="H19" i="26" s="1"/>
  <c r="D17" i="26"/>
  <c r="C17" i="26" s="1"/>
  <c r="C18" i="26"/>
  <c r="D47" i="26"/>
  <c r="C47" i="26" s="1"/>
  <c r="C48" i="26"/>
  <c r="D49" i="26"/>
  <c r="H49" i="26" s="1"/>
  <c r="D11" i="26"/>
  <c r="C11" i="26" s="1"/>
  <c r="C12" i="26"/>
  <c r="D13" i="26"/>
  <c r="H13" i="26" s="1"/>
  <c r="C39" i="21"/>
  <c r="D26" i="23"/>
  <c r="C26" i="23" s="1"/>
  <c r="C48" i="23"/>
  <c r="D13" i="23"/>
  <c r="H13" i="23" s="1"/>
  <c r="H11" i="23" s="1"/>
  <c r="I11" i="23" s="1"/>
  <c r="D14" i="25"/>
  <c r="C14" i="25" s="1"/>
  <c r="C27" i="23"/>
  <c r="D25" i="23"/>
  <c r="H25" i="23" s="1"/>
  <c r="H23" i="23" s="1"/>
  <c r="I23" i="23" s="1"/>
  <c r="D28" i="26"/>
  <c r="H28" i="26" s="1"/>
  <c r="D26" i="26"/>
  <c r="C26" i="26" s="1"/>
  <c r="C27" i="26"/>
  <c r="D23" i="26"/>
  <c r="C23" i="26" s="1"/>
  <c r="C24" i="26"/>
  <c r="D25" i="26"/>
  <c r="H25" i="26" s="1"/>
  <c r="D40" i="26"/>
  <c r="H40" i="26" s="1"/>
  <c r="D38" i="26"/>
  <c r="C38" i="26" s="1"/>
  <c r="C39" i="26"/>
  <c r="D20" i="23"/>
  <c r="C20" i="23" s="1"/>
  <c r="C24" i="23"/>
  <c r="D22" i="26"/>
  <c r="H22" i="26" s="1"/>
  <c r="C21" i="26"/>
  <c r="D20" i="26"/>
  <c r="C20" i="26" s="1"/>
  <c r="D46" i="26"/>
  <c r="H46" i="26" s="1"/>
  <c r="C45" i="26"/>
  <c r="D44" i="26"/>
  <c r="C44" i="26" s="1"/>
  <c r="D52" i="26"/>
  <c r="H52" i="26" s="1"/>
  <c r="D50" i="26"/>
  <c r="C50" i="26" s="1"/>
  <c r="C51" i="26"/>
  <c r="D7" i="26"/>
  <c r="H7" i="26" s="1"/>
  <c r="D5" i="26"/>
  <c r="C5" i="26" s="1"/>
  <c r="C6" i="26"/>
  <c r="D34" i="26"/>
  <c r="H34" i="26" s="1"/>
  <c r="C33" i="26"/>
  <c r="D32" i="26"/>
  <c r="C32" i="26" s="1"/>
  <c r="D91" i="26"/>
  <c r="H91" i="26" s="1"/>
  <c r="D89" i="26"/>
  <c r="C89" i="26" s="1"/>
  <c r="C90" i="26"/>
  <c r="D35" i="26"/>
  <c r="C35" i="26" s="1"/>
  <c r="C36" i="26"/>
  <c r="D37" i="26"/>
  <c r="H37" i="26" s="1"/>
  <c r="C90" i="23"/>
  <c r="D49" i="23"/>
  <c r="H49" i="23" s="1"/>
  <c r="H47" i="23" s="1"/>
  <c r="I47" i="23" s="1"/>
  <c r="D14" i="23"/>
  <c r="C14" i="23" s="1"/>
  <c r="H50" i="25"/>
  <c r="I50" i="25" s="1"/>
  <c r="D31" i="24"/>
  <c r="H31" i="24" s="1"/>
  <c r="D29" i="24"/>
  <c r="C29" i="24" s="1"/>
  <c r="C30" i="24"/>
  <c r="D10" i="24"/>
  <c r="H10" i="24" s="1"/>
  <c r="C9" i="24"/>
  <c r="D8" i="24"/>
  <c r="C8" i="24" s="1"/>
  <c r="D91" i="24"/>
  <c r="H91" i="24" s="1"/>
  <c r="D89" i="24"/>
  <c r="C89" i="24" s="1"/>
  <c r="C90" i="24"/>
  <c r="D55" i="24"/>
  <c r="H55" i="24" s="1"/>
  <c r="D53" i="24"/>
  <c r="C53" i="24" s="1"/>
  <c r="C54" i="24"/>
  <c r="D43" i="24"/>
  <c r="H43" i="24" s="1"/>
  <c r="D41" i="24"/>
  <c r="C41" i="24" s="1"/>
  <c r="C42" i="24"/>
  <c r="D16" i="24"/>
  <c r="H16" i="24" s="1"/>
  <c r="D14" i="24"/>
  <c r="C14" i="24" s="1"/>
  <c r="C15" i="24"/>
  <c r="D19" i="24"/>
  <c r="H19" i="24" s="1"/>
  <c r="D17" i="24"/>
  <c r="C17" i="24" s="1"/>
  <c r="C18" i="24"/>
  <c r="D35" i="24"/>
  <c r="C35" i="24" s="1"/>
  <c r="C36" i="24"/>
  <c r="D37" i="24"/>
  <c r="H37" i="24" s="1"/>
  <c r="D88" i="24"/>
  <c r="H88" i="24" s="1"/>
  <c r="D86" i="24"/>
  <c r="C86" i="24" s="1"/>
  <c r="C87" i="24"/>
  <c r="D28" i="24"/>
  <c r="H28" i="24" s="1"/>
  <c r="D26" i="24"/>
  <c r="C26" i="24" s="1"/>
  <c r="C27" i="24"/>
  <c r="D47" i="24"/>
  <c r="C47" i="24" s="1"/>
  <c r="C48" i="24"/>
  <c r="D49" i="24"/>
  <c r="H49" i="24" s="1"/>
  <c r="D11" i="24"/>
  <c r="C11" i="24" s="1"/>
  <c r="C12" i="24"/>
  <c r="D13" i="24"/>
  <c r="H13" i="24" s="1"/>
  <c r="C87" i="23"/>
  <c r="D86" i="23"/>
  <c r="C86" i="23" s="1"/>
  <c r="D22" i="24"/>
  <c r="H22" i="24" s="1"/>
  <c r="C21" i="24"/>
  <c r="D20" i="24"/>
  <c r="C20" i="24" s="1"/>
  <c r="D23" i="24"/>
  <c r="C23" i="24" s="1"/>
  <c r="C24" i="24"/>
  <c r="D25" i="24"/>
  <c r="H25" i="24" s="1"/>
  <c r="D40" i="24"/>
  <c r="H40" i="24" s="1"/>
  <c r="D38" i="24"/>
  <c r="C38" i="24" s="1"/>
  <c r="C39" i="24"/>
  <c r="D19" i="23"/>
  <c r="H19" i="23" s="1"/>
  <c r="D37" i="23"/>
  <c r="H37" i="23" s="1"/>
  <c r="D7" i="24"/>
  <c r="H7" i="24" s="1"/>
  <c r="D5" i="24"/>
  <c r="C5" i="24" s="1"/>
  <c r="C6" i="24"/>
  <c r="D34" i="24"/>
  <c r="H34" i="24" s="1"/>
  <c r="C33" i="24"/>
  <c r="D32" i="24"/>
  <c r="C32" i="24" s="1"/>
  <c r="D46" i="24"/>
  <c r="H46" i="24" s="1"/>
  <c r="C45" i="24"/>
  <c r="D44" i="24"/>
  <c r="C44" i="24" s="1"/>
  <c r="D52" i="24"/>
  <c r="H52" i="24" s="1"/>
  <c r="D50" i="24"/>
  <c r="C50" i="24" s="1"/>
  <c r="C51" i="24"/>
  <c r="C54" i="21"/>
  <c r="D53" i="21"/>
  <c r="C53" i="21" s="1"/>
  <c r="D44" i="21"/>
  <c r="C44" i="21" s="1"/>
  <c r="D35" i="21"/>
  <c r="C35" i="21" s="1"/>
  <c r="C33" i="21"/>
  <c r="D34" i="21"/>
  <c r="H34" i="21" s="1"/>
  <c r="H32" i="21" s="1"/>
  <c r="I32" i="21" s="1"/>
  <c r="C45" i="21"/>
  <c r="D14" i="21"/>
  <c r="C14" i="21" s="1"/>
  <c r="D7" i="10"/>
  <c r="H7" i="10" s="1"/>
  <c r="C21" i="21"/>
  <c r="D22" i="21"/>
  <c r="H22" i="21" s="1"/>
  <c r="H20" i="21" s="1"/>
  <c r="I20" i="21" s="1"/>
  <c r="C15" i="21"/>
  <c r="D5" i="10"/>
  <c r="C5" i="10" s="1"/>
  <c r="D13" i="21"/>
  <c r="H13" i="21" s="1"/>
  <c r="H11" i="21" s="1"/>
  <c r="I11" i="21" s="1"/>
  <c r="D5" i="21"/>
  <c r="C5" i="21" s="1"/>
  <c r="D44" i="18"/>
  <c r="C44" i="18" s="1"/>
  <c r="D5" i="9"/>
  <c r="C5" i="9" s="1"/>
  <c r="D86" i="18"/>
  <c r="C86" i="18" s="1"/>
  <c r="D31" i="21"/>
  <c r="H31" i="21" s="1"/>
  <c r="D37" i="21"/>
  <c r="H37" i="21" s="1"/>
  <c r="D29" i="21"/>
  <c r="C29" i="21" s="1"/>
  <c r="D49" i="21"/>
  <c r="H49" i="21" s="1"/>
  <c r="H47" i="21" s="1"/>
  <c r="I47" i="21" s="1"/>
  <c r="C48" i="21"/>
  <c r="C18" i="21"/>
  <c r="D17" i="21"/>
  <c r="C17" i="21" s="1"/>
  <c r="D53" i="18"/>
  <c r="C53" i="18" s="1"/>
  <c r="C27" i="21"/>
  <c r="D11" i="18"/>
  <c r="C11" i="18" s="1"/>
  <c r="D26" i="21"/>
  <c r="C26" i="21" s="1"/>
  <c r="D25" i="21"/>
  <c r="H25" i="21" s="1"/>
  <c r="H23" i="21" s="1"/>
  <c r="I23" i="21" s="1"/>
  <c r="D7" i="12"/>
  <c r="H7" i="12" s="1"/>
  <c r="H5" i="12" s="1"/>
  <c r="I5" i="12" s="1"/>
  <c r="C24" i="21"/>
  <c r="C6" i="21"/>
  <c r="C51" i="21"/>
  <c r="D50" i="21"/>
  <c r="C50" i="21" s="1"/>
  <c r="D7" i="13"/>
  <c r="H7" i="13" s="1"/>
  <c r="H5" i="13" s="1"/>
  <c r="I5" i="13" s="1"/>
  <c r="D8" i="21"/>
  <c r="C8" i="21" s="1"/>
  <c r="D55" i="18"/>
  <c r="H55" i="18" s="1"/>
  <c r="H53" i="18" s="1"/>
  <c r="I53" i="18" s="1"/>
  <c r="C87" i="18"/>
  <c r="C42" i="21"/>
  <c r="D41" i="21"/>
  <c r="C41" i="21" s="1"/>
  <c r="D5" i="18"/>
  <c r="C5" i="18" s="1"/>
  <c r="D7" i="9"/>
  <c r="H7" i="9" s="1"/>
  <c r="C42" i="18"/>
  <c r="C87" i="21"/>
  <c r="D41" i="18"/>
  <c r="C41" i="18" s="1"/>
  <c r="D86" i="21"/>
  <c r="C86" i="21" s="1"/>
  <c r="D10" i="21"/>
  <c r="H10" i="21" s="1"/>
  <c r="D31" i="22"/>
  <c r="H31" i="22" s="1"/>
  <c r="D29" i="22"/>
  <c r="C29" i="22" s="1"/>
  <c r="C30" i="22"/>
  <c r="D43" i="22"/>
  <c r="H43" i="22" s="1"/>
  <c r="D41" i="22"/>
  <c r="C41" i="22" s="1"/>
  <c r="C42" i="22"/>
  <c r="D88" i="22"/>
  <c r="H88" i="22" s="1"/>
  <c r="D86" i="22"/>
  <c r="C86" i="22" s="1"/>
  <c r="C87" i="22"/>
  <c r="C90" i="21"/>
  <c r="D89" i="21"/>
  <c r="C89" i="21" s="1"/>
  <c r="D19" i="22"/>
  <c r="H19" i="22" s="1"/>
  <c r="D17" i="22"/>
  <c r="C17" i="22" s="1"/>
  <c r="C18" i="22"/>
  <c r="D47" i="22"/>
  <c r="C47" i="22" s="1"/>
  <c r="C48" i="22"/>
  <c r="D49" i="22"/>
  <c r="H49" i="22" s="1"/>
  <c r="D35" i="22"/>
  <c r="C35" i="22" s="1"/>
  <c r="C36" i="22"/>
  <c r="D37" i="22"/>
  <c r="H37" i="22" s="1"/>
  <c r="D7" i="11"/>
  <c r="H7" i="11" s="1"/>
  <c r="D28" i="22"/>
  <c r="H28" i="22" s="1"/>
  <c r="D26" i="22"/>
  <c r="C26" i="22" s="1"/>
  <c r="C27" i="22"/>
  <c r="D23" i="22"/>
  <c r="C23" i="22" s="1"/>
  <c r="C24" i="22"/>
  <c r="D25" i="22"/>
  <c r="H25" i="22" s="1"/>
  <c r="D52" i="22"/>
  <c r="H52" i="22" s="1"/>
  <c r="D50" i="22"/>
  <c r="C50" i="22" s="1"/>
  <c r="C51" i="22"/>
  <c r="D46" i="18"/>
  <c r="H46" i="18" s="1"/>
  <c r="D22" i="22"/>
  <c r="H22" i="22" s="1"/>
  <c r="C21" i="22"/>
  <c r="D20" i="22"/>
  <c r="C20" i="22" s="1"/>
  <c r="D16" i="22"/>
  <c r="H16" i="22" s="1"/>
  <c r="C15" i="22"/>
  <c r="D14" i="22"/>
  <c r="C14" i="22" s="1"/>
  <c r="D11" i="22"/>
  <c r="C11" i="22" s="1"/>
  <c r="C12" i="22"/>
  <c r="D13" i="22"/>
  <c r="H13" i="22" s="1"/>
  <c r="D34" i="22"/>
  <c r="H34" i="22" s="1"/>
  <c r="C33" i="22"/>
  <c r="D32" i="22"/>
  <c r="C32" i="22" s="1"/>
  <c r="D46" i="22"/>
  <c r="H46" i="22" s="1"/>
  <c r="C45" i="22"/>
  <c r="D44" i="22"/>
  <c r="C44" i="22" s="1"/>
  <c r="D40" i="22"/>
  <c r="H40" i="22" s="1"/>
  <c r="D38" i="22"/>
  <c r="C38" i="22" s="1"/>
  <c r="C39" i="22"/>
  <c r="D7" i="22"/>
  <c r="H7" i="22" s="1"/>
  <c r="D5" i="22"/>
  <c r="C5" i="22" s="1"/>
  <c r="C6" i="22"/>
  <c r="D10" i="22"/>
  <c r="H10" i="22" s="1"/>
  <c r="C9" i="22"/>
  <c r="D8" i="22"/>
  <c r="C8" i="22" s="1"/>
  <c r="D91" i="22"/>
  <c r="H91" i="22" s="1"/>
  <c r="C90" i="22"/>
  <c r="D89" i="22"/>
  <c r="C89" i="22" s="1"/>
  <c r="D55" i="22"/>
  <c r="H55" i="22" s="1"/>
  <c r="D53" i="22"/>
  <c r="C53" i="22" s="1"/>
  <c r="C54" i="22"/>
  <c r="D26" i="18"/>
  <c r="C26" i="18" s="1"/>
  <c r="C6" i="13"/>
  <c r="D25" i="18"/>
  <c r="H25" i="18" s="1"/>
  <c r="D19" i="18"/>
  <c r="H19" i="18" s="1"/>
  <c r="C21" i="18"/>
  <c r="D5" i="11"/>
  <c r="C5" i="11" s="1"/>
  <c r="D20" i="18"/>
  <c r="C20" i="18" s="1"/>
  <c r="D37" i="18"/>
  <c r="H37" i="18" s="1"/>
  <c r="C51" i="18"/>
  <c r="D50" i="18"/>
  <c r="C50" i="18" s="1"/>
  <c r="D17" i="18"/>
  <c r="C17" i="18" s="1"/>
  <c r="D28" i="18"/>
  <c r="H28" i="18" s="1"/>
  <c r="D35" i="18"/>
  <c r="C35" i="18" s="1"/>
  <c r="D49" i="18"/>
  <c r="H49" i="18" s="1"/>
  <c r="D47" i="18"/>
  <c r="C47" i="18" s="1"/>
  <c r="D23" i="18"/>
  <c r="C23" i="18" s="1"/>
  <c r="D13" i="18"/>
  <c r="H13" i="18" s="1"/>
  <c r="D5" i="14"/>
  <c r="C5" i="14" s="1"/>
  <c r="D14" i="18"/>
  <c r="C14" i="18" s="1"/>
  <c r="C6" i="4"/>
  <c r="D16" i="18"/>
  <c r="H16" i="18" s="1"/>
  <c r="D7" i="4"/>
  <c r="H7" i="4" s="1"/>
  <c r="H5" i="4" s="1"/>
  <c r="I5" i="4" s="1"/>
  <c r="C9" i="18"/>
  <c r="C33" i="18"/>
  <c r="D8" i="18"/>
  <c r="C8" i="18" s="1"/>
  <c r="D31" i="20"/>
  <c r="H31" i="20" s="1"/>
  <c r="D29" i="20"/>
  <c r="C29" i="20" s="1"/>
  <c r="C30" i="20"/>
  <c r="D34" i="20"/>
  <c r="H34" i="20" s="1"/>
  <c r="C33" i="20"/>
  <c r="D32" i="20"/>
  <c r="C32" i="20" s="1"/>
  <c r="D91" i="20"/>
  <c r="H91" i="20" s="1"/>
  <c r="D89" i="20"/>
  <c r="C89" i="20" s="1"/>
  <c r="C90" i="20"/>
  <c r="D40" i="20"/>
  <c r="H40" i="20" s="1"/>
  <c r="D38" i="20"/>
  <c r="C38" i="20" s="1"/>
  <c r="C39" i="20"/>
  <c r="D10" i="20"/>
  <c r="H10" i="20" s="1"/>
  <c r="C9" i="20"/>
  <c r="D8" i="20"/>
  <c r="C8" i="20" s="1"/>
  <c r="D16" i="20"/>
  <c r="H16" i="20" s="1"/>
  <c r="D14" i="20"/>
  <c r="C14" i="20" s="1"/>
  <c r="C15" i="20"/>
  <c r="D32" i="18"/>
  <c r="C32" i="18" s="1"/>
  <c r="C30" i="18"/>
  <c r="C90" i="18"/>
  <c r="D55" i="20"/>
  <c r="H55" i="20" s="1"/>
  <c r="D53" i="20"/>
  <c r="C53" i="20" s="1"/>
  <c r="C54" i="20"/>
  <c r="D43" i="20"/>
  <c r="H43" i="20" s="1"/>
  <c r="D41" i="20"/>
  <c r="C41" i="20" s="1"/>
  <c r="C42" i="20"/>
  <c r="D88" i="20"/>
  <c r="H88" i="20" s="1"/>
  <c r="D86" i="20"/>
  <c r="C86" i="20" s="1"/>
  <c r="C87" i="20"/>
  <c r="D29" i="18"/>
  <c r="C29" i="18" s="1"/>
  <c r="D89" i="18"/>
  <c r="C89" i="18" s="1"/>
  <c r="D19" i="20"/>
  <c r="H19" i="20" s="1"/>
  <c r="D17" i="20"/>
  <c r="C17" i="20" s="1"/>
  <c r="C18" i="20"/>
  <c r="D47" i="20"/>
  <c r="C47" i="20" s="1"/>
  <c r="C48" i="20"/>
  <c r="D49" i="20"/>
  <c r="H49" i="20" s="1"/>
  <c r="D35" i="20"/>
  <c r="C35" i="20" s="1"/>
  <c r="C36" i="20"/>
  <c r="D37" i="20"/>
  <c r="H37" i="20" s="1"/>
  <c r="C39" i="18"/>
  <c r="D38" i="18"/>
  <c r="C38" i="18" s="1"/>
  <c r="D28" i="20"/>
  <c r="H28" i="20" s="1"/>
  <c r="D26" i="20"/>
  <c r="C26" i="20" s="1"/>
  <c r="C27" i="20"/>
  <c r="D23" i="20"/>
  <c r="C23" i="20" s="1"/>
  <c r="C24" i="20"/>
  <c r="D25" i="20"/>
  <c r="H25" i="20" s="1"/>
  <c r="D11" i="20"/>
  <c r="C11" i="20" s="1"/>
  <c r="C12" i="20"/>
  <c r="D13" i="20"/>
  <c r="H13" i="20" s="1"/>
  <c r="D7" i="20"/>
  <c r="H7" i="20" s="1"/>
  <c r="D5" i="20"/>
  <c r="C5" i="20" s="1"/>
  <c r="C6" i="20"/>
  <c r="D22" i="20"/>
  <c r="H22" i="20" s="1"/>
  <c r="C21" i="20"/>
  <c r="D20" i="20"/>
  <c r="C20" i="20" s="1"/>
  <c r="D46" i="20"/>
  <c r="H46" i="20" s="1"/>
  <c r="C45" i="20"/>
  <c r="D44" i="20"/>
  <c r="C44" i="20" s="1"/>
  <c r="D52" i="20"/>
  <c r="H52" i="20" s="1"/>
  <c r="D50" i="20"/>
  <c r="C50" i="20" s="1"/>
  <c r="C51" i="20"/>
  <c r="C6" i="14"/>
  <c r="D5" i="8"/>
  <c r="C5" i="8" s="1"/>
  <c r="C6" i="8"/>
  <c r="D17" i="16"/>
  <c r="C17" i="16" s="1"/>
  <c r="D47" i="16"/>
  <c r="C47" i="16" s="1"/>
  <c r="C15" i="16"/>
  <c r="D49" i="16"/>
  <c r="H49" i="16" s="1"/>
  <c r="D16" i="16"/>
  <c r="H16" i="16" s="1"/>
  <c r="H14" i="16" s="1"/>
  <c r="I14" i="16" s="1"/>
  <c r="D32" i="16"/>
  <c r="C32" i="16" s="1"/>
  <c r="C6" i="17"/>
  <c r="D5" i="17"/>
  <c r="C5" i="17" s="1"/>
  <c r="C42" i="16"/>
  <c r="C6" i="16"/>
  <c r="D7" i="16"/>
  <c r="H7" i="16" s="1"/>
  <c r="D5" i="16"/>
  <c r="D86" i="16"/>
  <c r="C86" i="16" s="1"/>
  <c r="D35" i="16"/>
  <c r="C35" i="16" s="1"/>
  <c r="D44" i="16"/>
  <c r="C44" i="16" s="1"/>
  <c r="D37" i="16"/>
  <c r="H37" i="16" s="1"/>
  <c r="C24" i="16"/>
  <c r="D13" i="16"/>
  <c r="H13" i="16" s="1"/>
  <c r="H11" i="16" s="1"/>
  <c r="I11" i="16" s="1"/>
  <c r="C12" i="16"/>
  <c r="D38" i="16"/>
  <c r="C38" i="16" s="1"/>
  <c r="D50" i="16"/>
  <c r="C50" i="16" s="1"/>
  <c r="D88" i="16"/>
  <c r="H88" i="16" s="1"/>
  <c r="D25" i="16"/>
  <c r="H25" i="16" s="1"/>
  <c r="H23" i="16" s="1"/>
  <c r="I23" i="16" s="1"/>
  <c r="D89" i="16"/>
  <c r="C89" i="16" s="1"/>
  <c r="D40" i="16"/>
  <c r="H40" i="16" s="1"/>
  <c r="C9" i="16"/>
  <c r="D8" i="16"/>
  <c r="C8" i="16" s="1"/>
  <c r="C30" i="16"/>
  <c r="C45" i="16"/>
  <c r="D29" i="16"/>
  <c r="C29" i="16" s="1"/>
  <c r="C54" i="16"/>
  <c r="D53" i="16"/>
  <c r="C53" i="16" s="1"/>
  <c r="D41" i="16"/>
  <c r="C41" i="16" s="1"/>
  <c r="D52" i="16"/>
  <c r="H52" i="16" s="1"/>
  <c r="C90" i="16"/>
  <c r="D28" i="16"/>
  <c r="H28" i="16" s="1"/>
  <c r="H26" i="16" s="1"/>
  <c r="I26" i="16" s="1"/>
  <c r="C33" i="16"/>
  <c r="C18" i="16"/>
  <c r="C27" i="16"/>
  <c r="D43" i="17"/>
  <c r="H43" i="17" s="1"/>
  <c r="D41" i="17"/>
  <c r="C41" i="17" s="1"/>
  <c r="C42" i="17"/>
  <c r="D22" i="17"/>
  <c r="H22" i="17" s="1"/>
  <c r="D20" i="17"/>
  <c r="C20" i="17" s="1"/>
  <c r="C21" i="17"/>
  <c r="D46" i="17"/>
  <c r="H46" i="17" s="1"/>
  <c r="C45" i="17"/>
  <c r="D44" i="17"/>
  <c r="C44" i="17" s="1"/>
  <c r="D35" i="17"/>
  <c r="C35" i="17" s="1"/>
  <c r="C36" i="17"/>
  <c r="D37" i="17"/>
  <c r="H37" i="17" s="1"/>
  <c r="D55" i="17"/>
  <c r="H55" i="17" s="1"/>
  <c r="D53" i="17"/>
  <c r="C53" i="17" s="1"/>
  <c r="C54" i="17"/>
  <c r="D91" i="17"/>
  <c r="H91" i="17" s="1"/>
  <c r="D89" i="17"/>
  <c r="C89" i="17" s="1"/>
  <c r="C90" i="17"/>
  <c r="D52" i="17"/>
  <c r="H52" i="17" s="1"/>
  <c r="D50" i="17"/>
  <c r="C50" i="17" s="1"/>
  <c r="C51" i="17"/>
  <c r="D28" i="17"/>
  <c r="H28" i="17" s="1"/>
  <c r="D26" i="17"/>
  <c r="C26" i="17" s="1"/>
  <c r="C27" i="17"/>
  <c r="D10" i="17"/>
  <c r="H10" i="17" s="1"/>
  <c r="D8" i="17"/>
  <c r="C8" i="17" s="1"/>
  <c r="C9" i="17"/>
  <c r="D11" i="17"/>
  <c r="C11" i="17" s="1"/>
  <c r="C12" i="17"/>
  <c r="D13" i="17"/>
  <c r="H13" i="17" s="1"/>
  <c r="D47" i="17"/>
  <c r="C47" i="17" s="1"/>
  <c r="C48" i="17"/>
  <c r="D49" i="17"/>
  <c r="H49" i="17" s="1"/>
  <c r="D16" i="17"/>
  <c r="H16" i="17" s="1"/>
  <c r="D14" i="17"/>
  <c r="C14" i="17" s="1"/>
  <c r="C15" i="17"/>
  <c r="D34" i="17"/>
  <c r="H34" i="17" s="1"/>
  <c r="D32" i="17"/>
  <c r="C32" i="17" s="1"/>
  <c r="C33" i="17"/>
  <c r="C21" i="16"/>
  <c r="D31" i="17"/>
  <c r="H31" i="17" s="1"/>
  <c r="D29" i="17"/>
  <c r="C29" i="17" s="1"/>
  <c r="C30" i="17"/>
  <c r="D20" i="16"/>
  <c r="C20" i="16" s="1"/>
  <c r="D23" i="17"/>
  <c r="C23" i="17" s="1"/>
  <c r="C24" i="17"/>
  <c r="D25" i="17"/>
  <c r="H25" i="17" s="1"/>
  <c r="D88" i="17"/>
  <c r="H88" i="17" s="1"/>
  <c r="D86" i="17"/>
  <c r="C86" i="17" s="1"/>
  <c r="C87" i="17"/>
  <c r="D40" i="17"/>
  <c r="H40" i="17" s="1"/>
  <c r="D38" i="17"/>
  <c r="C38" i="17" s="1"/>
  <c r="C39" i="17"/>
  <c r="D19" i="17"/>
  <c r="H19" i="17" s="1"/>
  <c r="D17" i="17"/>
  <c r="C17" i="17" s="1"/>
  <c r="C18" i="17"/>
  <c r="C48" i="9"/>
  <c r="D47" i="9"/>
  <c r="D49" i="9"/>
  <c r="H49" i="9" s="1"/>
  <c r="D28" i="14"/>
  <c r="H28" i="14" s="1"/>
  <c r="D26" i="14"/>
  <c r="C27" i="14"/>
  <c r="D35" i="13"/>
  <c r="C36" i="13"/>
  <c r="D37" i="13"/>
  <c r="H37" i="13" s="1"/>
  <c r="D11" i="4"/>
  <c r="C11" i="4" s="1"/>
  <c r="D13" i="4"/>
  <c r="H13" i="4" s="1"/>
  <c r="C12" i="4"/>
  <c r="D55" i="8"/>
  <c r="H55" i="8" s="1"/>
  <c r="D53" i="8"/>
  <c r="C54" i="8"/>
  <c r="D34" i="9"/>
  <c r="H34" i="9" s="1"/>
  <c r="D32" i="9"/>
  <c r="C33" i="9"/>
  <c r="C51" i="4"/>
  <c r="D50" i="4"/>
  <c r="D52" i="4"/>
  <c r="H52" i="4" s="1"/>
  <c r="D31" i="12"/>
  <c r="H31" i="12" s="1"/>
  <c r="D29" i="12"/>
  <c r="C30" i="12"/>
  <c r="D8" i="13"/>
  <c r="C9" i="13"/>
  <c r="D10" i="13"/>
  <c r="H10" i="13" s="1"/>
  <c r="D28" i="13"/>
  <c r="H28" i="13" s="1"/>
  <c r="C27" i="13"/>
  <c r="D26" i="13"/>
  <c r="D55" i="11"/>
  <c r="H55" i="11" s="1"/>
  <c r="C54" i="11"/>
  <c r="D53" i="11"/>
  <c r="D22" i="8"/>
  <c r="H22" i="8" s="1"/>
  <c r="D20" i="8"/>
  <c r="C21" i="8"/>
  <c r="D31" i="10"/>
  <c r="H31" i="10" s="1"/>
  <c r="D29" i="10"/>
  <c r="C30" i="10"/>
  <c r="D10" i="12"/>
  <c r="H10" i="12" s="1"/>
  <c r="C9" i="12"/>
  <c r="D8" i="12"/>
  <c r="C36" i="4"/>
  <c r="D35" i="4"/>
  <c r="D37" i="4"/>
  <c r="H37" i="4" s="1"/>
  <c r="D55" i="12"/>
  <c r="H55" i="12" s="1"/>
  <c r="D53" i="12"/>
  <c r="C54" i="12"/>
  <c r="C30" i="11"/>
  <c r="D31" i="11"/>
  <c r="H31" i="11" s="1"/>
  <c r="D29" i="11"/>
  <c r="D11" i="13"/>
  <c r="C12" i="13"/>
  <c r="D13" i="13"/>
  <c r="H13" i="13" s="1"/>
  <c r="C48" i="14"/>
  <c r="D47" i="14"/>
  <c r="D49" i="14"/>
  <c r="H49" i="14" s="1"/>
  <c r="D46" i="13"/>
  <c r="H46" i="13" s="1"/>
  <c r="C45" i="13"/>
  <c r="D44" i="13"/>
  <c r="D14" i="12"/>
  <c r="C14" i="12" s="1"/>
  <c r="C15" i="12"/>
  <c r="D16" i="12"/>
  <c r="H16" i="12" s="1"/>
  <c r="C27" i="8"/>
  <c r="D28" i="8"/>
  <c r="H28" i="8" s="1"/>
  <c r="D26" i="8"/>
  <c r="D35" i="12"/>
  <c r="C35" i="12" s="1"/>
  <c r="D37" i="12"/>
  <c r="H37" i="12" s="1"/>
  <c r="C36" i="12"/>
  <c r="D11" i="14"/>
  <c r="C12" i="14"/>
  <c r="D13" i="14"/>
  <c r="H13" i="14" s="1"/>
  <c r="D38" i="9"/>
  <c r="D40" i="9"/>
  <c r="H40" i="9" s="1"/>
  <c r="C39" i="9"/>
  <c r="D55" i="14"/>
  <c r="H55" i="14" s="1"/>
  <c r="D53" i="14"/>
  <c r="C54" i="14"/>
  <c r="C5" i="12"/>
  <c r="C21" i="12"/>
  <c r="D20" i="12"/>
  <c r="D22" i="12"/>
  <c r="H22" i="12" s="1"/>
  <c r="D31" i="14"/>
  <c r="H31" i="14" s="1"/>
  <c r="D29" i="14"/>
  <c r="C30" i="14"/>
  <c r="D10" i="14"/>
  <c r="H10" i="14" s="1"/>
  <c r="D8" i="14"/>
  <c r="C9" i="14"/>
  <c r="C48" i="8"/>
  <c r="D49" i="8"/>
  <c r="H49" i="8" s="1"/>
  <c r="D47" i="8"/>
  <c r="C27" i="9"/>
  <c r="D28" i="9"/>
  <c r="H28" i="9" s="1"/>
  <c r="D26" i="9"/>
  <c r="D34" i="14"/>
  <c r="H34" i="14" s="1"/>
  <c r="D32" i="14"/>
  <c r="C33" i="14"/>
  <c r="D16" i="10"/>
  <c r="H16" i="10" s="1"/>
  <c r="C15" i="10"/>
  <c r="D14" i="10"/>
  <c r="C24" i="11"/>
  <c r="D23" i="11"/>
  <c r="D25" i="11"/>
  <c r="H25" i="11" s="1"/>
  <c r="D46" i="9"/>
  <c r="H46" i="9" s="1"/>
  <c r="D44" i="9"/>
  <c r="C45" i="9"/>
  <c r="D16" i="9"/>
  <c r="H16" i="9" s="1"/>
  <c r="C15" i="9"/>
  <c r="D14" i="9"/>
  <c r="D28" i="10"/>
  <c r="H28" i="10" s="1"/>
  <c r="D26" i="10"/>
  <c r="C27" i="10"/>
  <c r="C36" i="14"/>
  <c r="D37" i="14"/>
  <c r="H37" i="14" s="1"/>
  <c r="D35" i="14"/>
  <c r="D17" i="4"/>
  <c r="C18" i="4"/>
  <c r="D19" i="4"/>
  <c r="H19" i="4" s="1"/>
  <c r="D40" i="8"/>
  <c r="H40" i="8" s="1"/>
  <c r="C39" i="8"/>
  <c r="D38" i="8"/>
  <c r="D55" i="10"/>
  <c r="H55" i="10" s="1"/>
  <c r="D53" i="10"/>
  <c r="C54" i="10"/>
  <c r="D20" i="11"/>
  <c r="C20" i="11" s="1"/>
  <c r="D22" i="11"/>
  <c r="H22" i="11" s="1"/>
  <c r="C21" i="11"/>
  <c r="D29" i="9"/>
  <c r="C29" i="9" s="1"/>
  <c r="C30" i="9"/>
  <c r="D31" i="9"/>
  <c r="H31" i="9" s="1"/>
  <c r="D43" i="8"/>
  <c r="H43" i="8" s="1"/>
  <c r="C42" i="8"/>
  <c r="D41" i="8"/>
  <c r="C12" i="11"/>
  <c r="D11" i="11"/>
  <c r="D13" i="11"/>
  <c r="H13" i="11" s="1"/>
  <c r="C21" i="4"/>
  <c r="D22" i="4"/>
  <c r="H22" i="4" s="1"/>
  <c r="D20" i="4"/>
  <c r="D35" i="8"/>
  <c r="C35" i="8" s="1"/>
  <c r="D37" i="8"/>
  <c r="H37" i="8" s="1"/>
  <c r="C36" i="8"/>
  <c r="D23" i="10"/>
  <c r="C24" i="10"/>
  <c r="D25" i="10"/>
  <c r="H25" i="10" s="1"/>
  <c r="D44" i="8"/>
  <c r="C44" i="8" s="1"/>
  <c r="D46" i="8"/>
  <c r="H46" i="8" s="1"/>
  <c r="C45" i="8"/>
  <c r="D16" i="8"/>
  <c r="H16" i="8" s="1"/>
  <c r="C15" i="8"/>
  <c r="D14" i="8"/>
  <c r="C27" i="12"/>
  <c r="D28" i="12"/>
  <c r="H28" i="12" s="1"/>
  <c r="D26" i="12"/>
  <c r="D19" i="8"/>
  <c r="H19" i="8" s="1"/>
  <c r="D17" i="8"/>
  <c r="C18" i="8"/>
  <c r="D38" i="11"/>
  <c r="D40" i="11"/>
  <c r="H40" i="11" s="1"/>
  <c r="C39" i="11"/>
  <c r="D55" i="13"/>
  <c r="H55" i="13" s="1"/>
  <c r="D53" i="13"/>
  <c r="C54" i="13"/>
  <c r="D50" i="8"/>
  <c r="D52" i="8"/>
  <c r="H52" i="8" s="1"/>
  <c r="C51" i="8"/>
  <c r="C21" i="14"/>
  <c r="D22" i="14"/>
  <c r="H22" i="14" s="1"/>
  <c r="D20" i="14"/>
  <c r="C30" i="13"/>
  <c r="D29" i="13"/>
  <c r="D31" i="13"/>
  <c r="H31" i="13" s="1"/>
  <c r="C42" i="4"/>
  <c r="D41" i="4"/>
  <c r="D43" i="4"/>
  <c r="H43" i="4" s="1"/>
  <c r="D8" i="8"/>
  <c r="C8" i="8" s="1"/>
  <c r="D10" i="8"/>
  <c r="H10" i="8" s="1"/>
  <c r="C9" i="8"/>
  <c r="D47" i="11"/>
  <c r="C48" i="11"/>
  <c r="D49" i="11"/>
  <c r="H49" i="11" s="1"/>
  <c r="D23" i="9"/>
  <c r="C23" i="9" s="1"/>
  <c r="C24" i="9"/>
  <c r="D25" i="9"/>
  <c r="H25" i="9" s="1"/>
  <c r="C45" i="4"/>
  <c r="D46" i="4"/>
  <c r="H46" i="4" s="1"/>
  <c r="D44" i="4"/>
  <c r="D14" i="4"/>
  <c r="C14" i="4" s="1"/>
  <c r="D16" i="4"/>
  <c r="H16" i="4" s="1"/>
  <c r="C15" i="4"/>
  <c r="D19" i="12"/>
  <c r="H19" i="12" s="1"/>
  <c r="D17" i="12"/>
  <c r="C18" i="12"/>
  <c r="C39" i="10"/>
  <c r="D40" i="10"/>
  <c r="H40" i="10" s="1"/>
  <c r="D38" i="10"/>
  <c r="D34" i="8"/>
  <c r="H34" i="8" s="1"/>
  <c r="C33" i="8"/>
  <c r="D32" i="8"/>
  <c r="D52" i="14"/>
  <c r="H52" i="14" s="1"/>
  <c r="D50" i="14"/>
  <c r="C51" i="14"/>
  <c r="D22" i="10"/>
  <c r="H22" i="10" s="1"/>
  <c r="D20" i="10"/>
  <c r="C21" i="10"/>
  <c r="D29" i="8"/>
  <c r="D31" i="8"/>
  <c r="H31" i="8" s="1"/>
  <c r="C30" i="8"/>
  <c r="D43" i="13"/>
  <c r="H43" i="13" s="1"/>
  <c r="C42" i="13"/>
  <c r="D41" i="13"/>
  <c r="D23" i="14"/>
  <c r="C24" i="14"/>
  <c r="D25" i="14"/>
  <c r="H25" i="14" s="1"/>
  <c r="C45" i="12"/>
  <c r="D46" i="12"/>
  <c r="H46" i="12" s="1"/>
  <c r="D44" i="12"/>
  <c r="D16" i="13"/>
  <c r="H16" i="13" s="1"/>
  <c r="D14" i="13"/>
  <c r="C15" i="13"/>
  <c r="D19" i="11"/>
  <c r="H19" i="11" s="1"/>
  <c r="D17" i="11"/>
  <c r="C18" i="11"/>
  <c r="C39" i="4"/>
  <c r="D38" i="4"/>
  <c r="D40" i="4"/>
  <c r="H40" i="4" s="1"/>
  <c r="C33" i="13"/>
  <c r="D34" i="13"/>
  <c r="H34" i="13" s="1"/>
  <c r="D32" i="13"/>
  <c r="D50" i="12"/>
  <c r="C51" i="12"/>
  <c r="D52" i="12"/>
  <c r="H52" i="12" s="1"/>
  <c r="C21" i="13"/>
  <c r="D20" i="13"/>
  <c r="D22" i="13"/>
  <c r="H22" i="13" s="1"/>
  <c r="C30" i="4"/>
  <c r="D31" i="4"/>
  <c r="H31" i="4" s="1"/>
  <c r="D29" i="4"/>
  <c r="C42" i="12"/>
  <c r="D41" i="12"/>
  <c r="D43" i="12"/>
  <c r="H43" i="12" s="1"/>
  <c r="D11" i="10"/>
  <c r="D13" i="10"/>
  <c r="H13" i="10" s="1"/>
  <c r="C12" i="10"/>
  <c r="D19" i="14"/>
  <c r="H19" i="14" s="1"/>
  <c r="D17" i="14"/>
  <c r="C18" i="14"/>
  <c r="D40" i="13"/>
  <c r="H40" i="13" s="1"/>
  <c r="D38" i="13"/>
  <c r="C39" i="13"/>
  <c r="D34" i="12"/>
  <c r="H34" i="12" s="1"/>
  <c r="D32" i="12"/>
  <c r="C33" i="12"/>
  <c r="D50" i="13"/>
  <c r="C50" i="13" s="1"/>
  <c r="C51" i="13"/>
  <c r="D52" i="13"/>
  <c r="H52" i="13" s="1"/>
  <c r="D22" i="9"/>
  <c r="H22" i="9" s="1"/>
  <c r="D20" i="9"/>
  <c r="C21" i="9"/>
  <c r="C9" i="11"/>
  <c r="D10" i="11"/>
  <c r="H10" i="11" s="1"/>
  <c r="D8" i="11"/>
  <c r="D43" i="11"/>
  <c r="H43" i="11" s="1"/>
  <c r="D41" i="11"/>
  <c r="C42" i="11"/>
  <c r="C48" i="4"/>
  <c r="D49" i="4"/>
  <c r="H49" i="4" s="1"/>
  <c r="D47" i="4"/>
  <c r="D25" i="13"/>
  <c r="H25" i="13" s="1"/>
  <c r="C24" i="13"/>
  <c r="D23" i="13"/>
  <c r="D46" i="11"/>
  <c r="H46" i="11" s="1"/>
  <c r="D44" i="11"/>
  <c r="C45" i="11"/>
  <c r="D16" i="11"/>
  <c r="H16" i="11" s="1"/>
  <c r="D14" i="11"/>
  <c r="C15" i="11"/>
  <c r="C48" i="10"/>
  <c r="D49" i="10"/>
  <c r="H49" i="10" s="1"/>
  <c r="D47" i="10"/>
  <c r="C47" i="10" s="1"/>
  <c r="D23" i="8"/>
  <c r="C24" i="8"/>
  <c r="D25" i="8"/>
  <c r="H25" i="8" s="1"/>
  <c r="D46" i="10"/>
  <c r="H46" i="10" s="1"/>
  <c r="C45" i="10"/>
  <c r="D44" i="10"/>
  <c r="D16" i="14"/>
  <c r="H16" i="14" s="1"/>
  <c r="D14" i="14"/>
  <c r="C15" i="14"/>
  <c r="D35" i="10"/>
  <c r="C35" i="10" s="1"/>
  <c r="D37" i="10"/>
  <c r="H37" i="10" s="1"/>
  <c r="C36" i="10"/>
  <c r="D11" i="12"/>
  <c r="C11" i="12" s="1"/>
  <c r="C12" i="12"/>
  <c r="D13" i="12"/>
  <c r="H13" i="12" s="1"/>
  <c r="D19" i="10"/>
  <c r="H19" i="10" s="1"/>
  <c r="D17" i="10"/>
  <c r="C18" i="10"/>
  <c r="D40" i="12"/>
  <c r="H40" i="12" s="1"/>
  <c r="D38" i="12"/>
  <c r="C39" i="12"/>
  <c r="D34" i="11"/>
  <c r="H34" i="11" s="1"/>
  <c r="D32" i="11"/>
  <c r="C33" i="11"/>
  <c r="D52" i="11"/>
  <c r="H52" i="11" s="1"/>
  <c r="D50" i="11"/>
  <c r="C51" i="11"/>
  <c r="D10" i="10"/>
  <c r="H10" i="10" s="1"/>
  <c r="D8" i="10"/>
  <c r="C9" i="10"/>
  <c r="C42" i="10"/>
  <c r="D43" i="10"/>
  <c r="H43" i="10" s="1"/>
  <c r="D41" i="10"/>
  <c r="D47" i="13"/>
  <c r="C48" i="13"/>
  <c r="D49" i="13"/>
  <c r="H49" i="13" s="1"/>
  <c r="C24" i="4"/>
  <c r="D25" i="4"/>
  <c r="H25" i="4" s="1"/>
  <c r="D23" i="4"/>
  <c r="C45" i="14"/>
  <c r="D46" i="14"/>
  <c r="H46" i="14" s="1"/>
  <c r="D44" i="14"/>
  <c r="C27" i="4"/>
  <c r="D26" i="4"/>
  <c r="D28" i="4"/>
  <c r="H28" i="4" s="1"/>
  <c r="D37" i="11"/>
  <c r="H37" i="11" s="1"/>
  <c r="D35" i="11"/>
  <c r="C36" i="11"/>
  <c r="D13" i="8"/>
  <c r="H13" i="8" s="1"/>
  <c r="D11" i="8"/>
  <c r="C12" i="8"/>
  <c r="C18" i="13"/>
  <c r="D17" i="13"/>
  <c r="D19" i="13"/>
  <c r="H19" i="13" s="1"/>
  <c r="D40" i="14"/>
  <c r="H40" i="14" s="1"/>
  <c r="D38" i="14"/>
  <c r="C39" i="14"/>
  <c r="C33" i="4"/>
  <c r="D34" i="4"/>
  <c r="H34" i="4" s="1"/>
  <c r="D32" i="4"/>
  <c r="D52" i="10"/>
  <c r="H52" i="10" s="1"/>
  <c r="D50" i="10"/>
  <c r="C51" i="10"/>
  <c r="C5" i="13"/>
  <c r="D8" i="4"/>
  <c r="C8" i="4" s="1"/>
  <c r="D10" i="4"/>
  <c r="H10" i="4" s="1"/>
  <c r="C9" i="4"/>
  <c r="C42" i="9"/>
  <c r="D43" i="9"/>
  <c r="H43" i="9" s="1"/>
  <c r="D41" i="9"/>
  <c r="D47" i="12"/>
  <c r="D49" i="12"/>
  <c r="H49" i="12" s="1"/>
  <c r="C48" i="12"/>
  <c r="D23" i="12"/>
  <c r="C24" i="12"/>
  <c r="D25" i="12"/>
  <c r="H25" i="12" s="1"/>
  <c r="D26" i="11"/>
  <c r="C26" i="11" s="1"/>
  <c r="C27" i="11"/>
  <c r="D28" i="11"/>
  <c r="H28" i="11" s="1"/>
  <c r="D35" i="9"/>
  <c r="D37" i="9"/>
  <c r="H37" i="9" s="1"/>
  <c r="C36" i="9"/>
  <c r="D13" i="9"/>
  <c r="H13" i="9" s="1"/>
  <c r="C12" i="9"/>
  <c r="D11" i="9"/>
  <c r="D17" i="9"/>
  <c r="C17" i="9" s="1"/>
  <c r="D19" i="9"/>
  <c r="H19" i="9" s="1"/>
  <c r="C18" i="9"/>
  <c r="D53" i="9"/>
  <c r="C53" i="9" s="1"/>
  <c r="C54" i="9"/>
  <c r="D55" i="9"/>
  <c r="H55" i="9" s="1"/>
  <c r="D32" i="10"/>
  <c r="C32" i="10" s="1"/>
  <c r="D34" i="10"/>
  <c r="H34" i="10" s="1"/>
  <c r="C33" i="10"/>
  <c r="D52" i="9"/>
  <c r="H52" i="9" s="1"/>
  <c r="C51" i="9"/>
  <c r="D50" i="9"/>
  <c r="D10" i="9"/>
  <c r="H10" i="9" s="1"/>
  <c r="D8" i="9"/>
  <c r="C9" i="9"/>
  <c r="D43" i="14"/>
  <c r="H43" i="14" s="1"/>
  <c r="D41" i="14"/>
  <c r="C42" i="14"/>
  <c r="C90" i="13"/>
  <c r="C90" i="11"/>
  <c r="D89" i="11"/>
  <c r="C89" i="11" s="1"/>
  <c r="D89" i="13"/>
  <c r="C89" i="13" s="1"/>
  <c r="C87" i="13"/>
  <c r="D86" i="13"/>
  <c r="C86" i="13" s="1"/>
  <c r="C87" i="11"/>
  <c r="D86" i="11"/>
  <c r="C86" i="11" s="1"/>
  <c r="D91" i="9"/>
  <c r="H91" i="9" s="1"/>
  <c r="H89" i="9" s="1"/>
  <c r="I89" i="9" s="1"/>
  <c r="D91" i="14"/>
  <c r="H91" i="14" s="1"/>
  <c r="C90" i="14"/>
  <c r="D89" i="14"/>
  <c r="C89" i="14" s="1"/>
  <c r="D88" i="14"/>
  <c r="H88" i="14" s="1"/>
  <c r="D86" i="14"/>
  <c r="C86" i="14" s="1"/>
  <c r="C87" i="14"/>
  <c r="D91" i="12"/>
  <c r="H91" i="12" s="1"/>
  <c r="D89" i="12"/>
  <c r="C89" i="12" s="1"/>
  <c r="C90" i="12"/>
  <c r="D88" i="12"/>
  <c r="H88" i="12" s="1"/>
  <c r="D86" i="12"/>
  <c r="C86" i="12" s="1"/>
  <c r="C87" i="12"/>
  <c r="C90" i="9"/>
  <c r="D86" i="9"/>
  <c r="C86" i="9" s="1"/>
  <c r="C87" i="9"/>
  <c r="D91" i="10"/>
  <c r="H91" i="10" s="1"/>
  <c r="D89" i="10"/>
  <c r="C89" i="10" s="1"/>
  <c r="C90" i="10"/>
  <c r="D88" i="10"/>
  <c r="H88" i="10" s="1"/>
  <c r="D86" i="10"/>
  <c r="C86" i="10" s="1"/>
  <c r="C87" i="10"/>
  <c r="D91" i="8"/>
  <c r="H91" i="8" s="1"/>
  <c r="D89" i="8"/>
  <c r="C89" i="8" s="1"/>
  <c r="C90" i="8"/>
  <c r="D88" i="8"/>
  <c r="H88" i="8" s="1"/>
  <c r="D86" i="8"/>
  <c r="C86" i="8" s="1"/>
  <c r="C87" i="8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I5" i="1"/>
  <c r="F5" i="1"/>
  <c r="L5" i="1"/>
  <c r="H38" i="27" l="1"/>
  <c r="I38" i="27" s="1"/>
  <c r="H35" i="27"/>
  <c r="I35" i="27" s="1"/>
  <c r="H17" i="27"/>
  <c r="I17" i="27" s="1"/>
  <c r="H20" i="27"/>
  <c r="I20" i="27" s="1"/>
  <c r="H41" i="27"/>
  <c r="I41" i="27" s="1"/>
  <c r="H86" i="27"/>
  <c r="I86" i="27" s="1"/>
  <c r="H29" i="27"/>
  <c r="I29" i="27" s="1"/>
  <c r="H89" i="25"/>
  <c r="I89" i="25" s="1"/>
  <c r="H32" i="25"/>
  <c r="I32" i="25" s="1"/>
  <c r="H41" i="25"/>
  <c r="I41" i="25" s="1"/>
  <c r="H53" i="27"/>
  <c r="I53" i="27" s="1"/>
  <c r="H44" i="27"/>
  <c r="I44" i="27" s="1"/>
  <c r="H26" i="25"/>
  <c r="I26" i="25" s="1"/>
  <c r="H53" i="25"/>
  <c r="I53" i="25" s="1"/>
  <c r="H17" i="23"/>
  <c r="I17" i="23" s="1"/>
  <c r="H5" i="14"/>
  <c r="I5" i="14" s="1"/>
  <c r="H14" i="21"/>
  <c r="I14" i="21" s="1"/>
  <c r="H20" i="23"/>
  <c r="I20" i="23" s="1"/>
  <c r="H44" i="25"/>
  <c r="I44" i="25" s="1"/>
  <c r="H14" i="25"/>
  <c r="I14" i="25" s="1"/>
  <c r="H89" i="13"/>
  <c r="I89" i="13" s="1"/>
  <c r="H5" i="9"/>
  <c r="I5" i="9" s="1"/>
  <c r="H5" i="23"/>
  <c r="I5" i="23" s="1"/>
  <c r="H29" i="23"/>
  <c r="I29" i="23" s="1"/>
  <c r="H50" i="23"/>
  <c r="I50" i="23" s="1"/>
  <c r="H86" i="25"/>
  <c r="I86" i="25" s="1"/>
  <c r="H32" i="23"/>
  <c r="I32" i="23" s="1"/>
  <c r="H53" i="23"/>
  <c r="I53" i="23" s="1"/>
  <c r="H38" i="25"/>
  <c r="I38" i="25" s="1"/>
  <c r="H44" i="23"/>
  <c r="I44" i="23" s="1"/>
  <c r="H89" i="23"/>
  <c r="I89" i="23" s="1"/>
  <c r="I52" i="27"/>
  <c r="I25" i="27"/>
  <c r="H20" i="25"/>
  <c r="I20" i="25" s="1"/>
  <c r="H35" i="23"/>
  <c r="I35" i="23" s="1"/>
  <c r="H5" i="25"/>
  <c r="I5" i="25" s="1"/>
  <c r="I49" i="27"/>
  <c r="I10" i="27"/>
  <c r="H86" i="18"/>
  <c r="I86" i="18" s="1"/>
  <c r="I91" i="27"/>
  <c r="I7" i="27"/>
  <c r="H29" i="25"/>
  <c r="I29" i="25" s="1"/>
  <c r="I28" i="27"/>
  <c r="I16" i="27"/>
  <c r="I34" i="27"/>
  <c r="H5" i="18"/>
  <c r="I5" i="18" s="1"/>
  <c r="H17" i="25"/>
  <c r="I17" i="25" s="1"/>
  <c r="I13" i="27"/>
  <c r="H8" i="25"/>
  <c r="I8" i="25" s="1"/>
  <c r="H14" i="23"/>
  <c r="I14" i="23" s="1"/>
  <c r="H35" i="21"/>
  <c r="I35" i="21" s="1"/>
  <c r="I13" i="23"/>
  <c r="H86" i="23"/>
  <c r="I86" i="23" s="1"/>
  <c r="H26" i="23"/>
  <c r="I26" i="23" s="1"/>
  <c r="H5" i="10"/>
  <c r="I5" i="10" s="1"/>
  <c r="H53" i="21"/>
  <c r="I53" i="21" s="1"/>
  <c r="H38" i="26"/>
  <c r="I38" i="26" s="1"/>
  <c r="H53" i="26"/>
  <c r="I53" i="26" s="1"/>
  <c r="H14" i="26"/>
  <c r="I14" i="26" s="1"/>
  <c r="H89" i="26"/>
  <c r="I89" i="26" s="1"/>
  <c r="H44" i="26"/>
  <c r="I44" i="26" s="1"/>
  <c r="H47" i="26"/>
  <c r="I47" i="26" s="1"/>
  <c r="H23" i="26"/>
  <c r="I23" i="26" s="1"/>
  <c r="H26" i="26"/>
  <c r="I26" i="26" s="1"/>
  <c r="H86" i="26"/>
  <c r="I86" i="26" s="1"/>
  <c r="H8" i="26"/>
  <c r="I8" i="26" s="1"/>
  <c r="I52" i="25"/>
  <c r="H32" i="26"/>
  <c r="I32" i="26" s="1"/>
  <c r="H20" i="26"/>
  <c r="I20" i="26" s="1"/>
  <c r="H50" i="26"/>
  <c r="I50" i="26" s="1"/>
  <c r="H41" i="26"/>
  <c r="I41" i="26" s="1"/>
  <c r="H29" i="26"/>
  <c r="I29" i="26" s="1"/>
  <c r="H38" i="23"/>
  <c r="I38" i="23" s="1"/>
  <c r="H5" i="26"/>
  <c r="I5" i="26" s="1"/>
  <c r="H17" i="26"/>
  <c r="I17" i="26" s="1"/>
  <c r="H11" i="26"/>
  <c r="I11" i="26" s="1"/>
  <c r="H35" i="26"/>
  <c r="I35" i="26" s="1"/>
  <c r="I25" i="25"/>
  <c r="I49" i="25"/>
  <c r="I13" i="25"/>
  <c r="I37" i="25"/>
  <c r="H5" i="21"/>
  <c r="I5" i="21" s="1"/>
  <c r="H44" i="21"/>
  <c r="I44" i="21" s="1"/>
  <c r="H89" i="21"/>
  <c r="I89" i="21" s="1"/>
  <c r="H11" i="24"/>
  <c r="I11" i="24" s="1"/>
  <c r="H35" i="24"/>
  <c r="I35" i="24" s="1"/>
  <c r="H50" i="24"/>
  <c r="I50" i="24" s="1"/>
  <c r="H53" i="24"/>
  <c r="I53" i="24" s="1"/>
  <c r="H38" i="24"/>
  <c r="I38" i="24" s="1"/>
  <c r="H47" i="24"/>
  <c r="I47" i="24" s="1"/>
  <c r="H44" i="24"/>
  <c r="I44" i="24" s="1"/>
  <c r="H23" i="24"/>
  <c r="I23" i="24" s="1"/>
  <c r="H17" i="24"/>
  <c r="I17" i="24" s="1"/>
  <c r="H89" i="24"/>
  <c r="I89" i="24" s="1"/>
  <c r="H32" i="24"/>
  <c r="I32" i="24" s="1"/>
  <c r="H26" i="24"/>
  <c r="I26" i="24" s="1"/>
  <c r="H14" i="24"/>
  <c r="I14" i="24" s="1"/>
  <c r="H8" i="24"/>
  <c r="I8" i="24" s="1"/>
  <c r="H20" i="24"/>
  <c r="I20" i="24" s="1"/>
  <c r="H5" i="24"/>
  <c r="I5" i="24" s="1"/>
  <c r="H86" i="24"/>
  <c r="I86" i="24" s="1"/>
  <c r="H41" i="24"/>
  <c r="I41" i="24" s="1"/>
  <c r="H29" i="24"/>
  <c r="I29" i="24" s="1"/>
  <c r="I25" i="23"/>
  <c r="I10" i="23"/>
  <c r="I49" i="23"/>
  <c r="I43" i="23"/>
  <c r="H8" i="18"/>
  <c r="I8" i="18" s="1"/>
  <c r="H44" i="18"/>
  <c r="I44" i="18" s="1"/>
  <c r="H5" i="11"/>
  <c r="I5" i="11" s="1"/>
  <c r="H41" i="18"/>
  <c r="I41" i="18" s="1"/>
  <c r="H29" i="21"/>
  <c r="I29" i="21" s="1"/>
  <c r="H50" i="18"/>
  <c r="I50" i="18" s="1"/>
  <c r="H50" i="21"/>
  <c r="I50" i="21" s="1"/>
  <c r="H17" i="21"/>
  <c r="I17" i="21" s="1"/>
  <c r="H8" i="21"/>
  <c r="I8" i="21" s="1"/>
  <c r="H86" i="21"/>
  <c r="I86" i="21" s="1"/>
  <c r="H23" i="18"/>
  <c r="I23" i="18" s="1"/>
  <c r="H41" i="21"/>
  <c r="I41" i="21" s="1"/>
  <c r="H26" i="21"/>
  <c r="I26" i="21" s="1"/>
  <c r="H89" i="18"/>
  <c r="I89" i="18" s="1"/>
  <c r="H17" i="16"/>
  <c r="I17" i="16" s="1"/>
  <c r="H11" i="18"/>
  <c r="I11" i="18" s="1"/>
  <c r="H47" i="18"/>
  <c r="I47" i="18" s="1"/>
  <c r="H35" i="18"/>
  <c r="I35" i="18" s="1"/>
  <c r="H26" i="18"/>
  <c r="I26" i="18" s="1"/>
  <c r="H53" i="22"/>
  <c r="I53" i="22" s="1"/>
  <c r="H38" i="22"/>
  <c r="I38" i="22" s="1"/>
  <c r="H14" i="22"/>
  <c r="I14" i="22" s="1"/>
  <c r="H26" i="22"/>
  <c r="I26" i="22" s="1"/>
  <c r="H44" i="22"/>
  <c r="I44" i="22" s="1"/>
  <c r="H20" i="22"/>
  <c r="I20" i="22" s="1"/>
  <c r="H35" i="22"/>
  <c r="I35" i="22" s="1"/>
  <c r="H44" i="16"/>
  <c r="I44" i="16" s="1"/>
  <c r="H86" i="22"/>
  <c r="I86" i="22" s="1"/>
  <c r="H89" i="22"/>
  <c r="I89" i="22" s="1"/>
  <c r="H8" i="16"/>
  <c r="I8" i="16" s="1"/>
  <c r="H20" i="18"/>
  <c r="I20" i="18" s="1"/>
  <c r="H8" i="22"/>
  <c r="I8" i="22" s="1"/>
  <c r="H32" i="22"/>
  <c r="I32" i="22" s="1"/>
  <c r="H47" i="22"/>
  <c r="I47" i="22" s="1"/>
  <c r="H11" i="22"/>
  <c r="I11" i="22" s="1"/>
  <c r="H50" i="22"/>
  <c r="I50" i="22" s="1"/>
  <c r="H41" i="22"/>
  <c r="I41" i="22" s="1"/>
  <c r="H23" i="22"/>
  <c r="I23" i="22" s="1"/>
  <c r="H5" i="22"/>
  <c r="I5" i="22" s="1"/>
  <c r="H29" i="22"/>
  <c r="I29" i="22" s="1"/>
  <c r="H17" i="22"/>
  <c r="I17" i="22" s="1"/>
  <c r="H17" i="18"/>
  <c r="I17" i="18" s="1"/>
  <c r="I22" i="21"/>
  <c r="H47" i="16"/>
  <c r="I47" i="16" s="1"/>
  <c r="H29" i="18"/>
  <c r="I29" i="18" s="1"/>
  <c r="H38" i="18"/>
  <c r="I38" i="18" s="1"/>
  <c r="H32" i="18"/>
  <c r="I32" i="18" s="1"/>
  <c r="I34" i="21"/>
  <c r="I25" i="21"/>
  <c r="H5" i="8"/>
  <c r="I5" i="8" s="1"/>
  <c r="I49" i="21"/>
  <c r="I40" i="21"/>
  <c r="I13" i="21"/>
  <c r="H14" i="18"/>
  <c r="I14" i="18" s="1"/>
  <c r="H35" i="16"/>
  <c r="I35" i="16" s="1"/>
  <c r="H44" i="20"/>
  <c r="I44" i="20" s="1"/>
  <c r="H53" i="20"/>
  <c r="I53" i="20" s="1"/>
  <c r="H38" i="20"/>
  <c r="I38" i="20" s="1"/>
  <c r="H17" i="20"/>
  <c r="I17" i="20" s="1"/>
  <c r="H20" i="20"/>
  <c r="I20" i="20" s="1"/>
  <c r="H26" i="20"/>
  <c r="I26" i="20" s="1"/>
  <c r="H89" i="20"/>
  <c r="I89" i="20" s="1"/>
  <c r="H5" i="20"/>
  <c r="I5" i="20" s="1"/>
  <c r="H35" i="20"/>
  <c r="I35" i="20" s="1"/>
  <c r="H11" i="20"/>
  <c r="I11" i="20" s="1"/>
  <c r="H86" i="20"/>
  <c r="I86" i="20" s="1"/>
  <c r="H14" i="20"/>
  <c r="I14" i="20" s="1"/>
  <c r="H32" i="20"/>
  <c r="I32" i="20" s="1"/>
  <c r="H50" i="20"/>
  <c r="I50" i="20" s="1"/>
  <c r="H47" i="20"/>
  <c r="I47" i="20" s="1"/>
  <c r="H23" i="20"/>
  <c r="I23" i="20" s="1"/>
  <c r="H41" i="20"/>
  <c r="I41" i="20" s="1"/>
  <c r="H8" i="20"/>
  <c r="I8" i="20" s="1"/>
  <c r="H29" i="20"/>
  <c r="I29" i="20" s="1"/>
  <c r="H32" i="16"/>
  <c r="I32" i="16" s="1"/>
  <c r="I7" i="13"/>
  <c r="H29" i="16"/>
  <c r="I29" i="16" s="1"/>
  <c r="H41" i="16"/>
  <c r="I41" i="16" s="1"/>
  <c r="H50" i="16"/>
  <c r="I50" i="16" s="1"/>
  <c r="H5" i="17"/>
  <c r="I5" i="17" s="1"/>
  <c r="H38" i="16"/>
  <c r="I38" i="16" s="1"/>
  <c r="H89" i="16"/>
  <c r="I89" i="16" s="1"/>
  <c r="H86" i="16"/>
  <c r="I86" i="16" s="1"/>
  <c r="H53" i="16"/>
  <c r="I53" i="16" s="1"/>
  <c r="C5" i="16"/>
  <c r="H5" i="16"/>
  <c r="I55" i="18"/>
  <c r="H47" i="17"/>
  <c r="I47" i="17" s="1"/>
  <c r="I25" i="16"/>
  <c r="H50" i="17"/>
  <c r="I50" i="17" s="1"/>
  <c r="H17" i="17"/>
  <c r="I17" i="17" s="1"/>
  <c r="H11" i="17"/>
  <c r="I11" i="17" s="1"/>
  <c r="H29" i="17"/>
  <c r="I29" i="17" s="1"/>
  <c r="H44" i="17"/>
  <c r="I44" i="17" s="1"/>
  <c r="I16" i="16"/>
  <c r="H89" i="17"/>
  <c r="I89" i="17" s="1"/>
  <c r="H38" i="17"/>
  <c r="I38" i="17" s="1"/>
  <c r="H86" i="13"/>
  <c r="I86" i="13" s="1"/>
  <c r="H32" i="17"/>
  <c r="I32" i="17" s="1"/>
  <c r="H8" i="17"/>
  <c r="I8" i="17" s="1"/>
  <c r="H53" i="17"/>
  <c r="I53" i="17" s="1"/>
  <c r="H20" i="17"/>
  <c r="I20" i="17" s="1"/>
  <c r="I28" i="16"/>
  <c r="H20" i="16"/>
  <c r="I20" i="16" s="1"/>
  <c r="H86" i="17"/>
  <c r="I86" i="17" s="1"/>
  <c r="H23" i="17"/>
  <c r="I23" i="17" s="1"/>
  <c r="H14" i="17"/>
  <c r="I14" i="17" s="1"/>
  <c r="H26" i="17"/>
  <c r="I26" i="17" s="1"/>
  <c r="H35" i="17"/>
  <c r="I35" i="17" s="1"/>
  <c r="H41" i="17"/>
  <c r="I41" i="17" s="1"/>
  <c r="I13" i="16"/>
  <c r="I7" i="4"/>
  <c r="I7" i="12"/>
  <c r="C23" i="12"/>
  <c r="H23" i="12"/>
  <c r="I23" i="12" s="1"/>
  <c r="C23" i="4"/>
  <c r="H23" i="4"/>
  <c r="I23" i="4" s="1"/>
  <c r="H11" i="12"/>
  <c r="I11" i="12" s="1"/>
  <c r="C23" i="13"/>
  <c r="H23" i="13"/>
  <c r="I23" i="13" s="1"/>
  <c r="C35" i="14"/>
  <c r="H35" i="14"/>
  <c r="I35" i="14" s="1"/>
  <c r="C20" i="12"/>
  <c r="H20" i="12"/>
  <c r="I20" i="12" s="1"/>
  <c r="C11" i="14"/>
  <c r="H11" i="14"/>
  <c r="I11" i="14" s="1"/>
  <c r="C17" i="14"/>
  <c r="H17" i="14"/>
  <c r="I17" i="14" s="1"/>
  <c r="C17" i="11"/>
  <c r="H17" i="11"/>
  <c r="I17" i="11" s="1"/>
  <c r="C23" i="8"/>
  <c r="H23" i="8"/>
  <c r="I23" i="8" s="1"/>
  <c r="C38" i="11"/>
  <c r="H38" i="11"/>
  <c r="I38" i="11" s="1"/>
  <c r="C47" i="8"/>
  <c r="H47" i="8"/>
  <c r="I47" i="8" s="1"/>
  <c r="H35" i="12"/>
  <c r="I35" i="12" s="1"/>
  <c r="C47" i="14"/>
  <c r="H47" i="14"/>
  <c r="I47" i="14" s="1"/>
  <c r="C35" i="4"/>
  <c r="H35" i="4"/>
  <c r="I35" i="4" s="1"/>
  <c r="C53" i="11"/>
  <c r="H53" i="11"/>
  <c r="I53" i="11" s="1"/>
  <c r="C20" i="9"/>
  <c r="H20" i="9"/>
  <c r="I20" i="9" s="1"/>
  <c r="C20" i="13"/>
  <c r="H20" i="13"/>
  <c r="I20" i="13" s="1"/>
  <c r="C23" i="14"/>
  <c r="H23" i="14"/>
  <c r="I23" i="14" s="1"/>
  <c r="H11" i="4"/>
  <c r="I11" i="4" s="1"/>
  <c r="H32" i="10"/>
  <c r="I32" i="10" s="1"/>
  <c r="C47" i="12"/>
  <c r="H47" i="12"/>
  <c r="I47" i="12" s="1"/>
  <c r="C32" i="4"/>
  <c r="H32" i="4"/>
  <c r="I32" i="4" s="1"/>
  <c r="C47" i="4"/>
  <c r="H47" i="4"/>
  <c r="I47" i="4" s="1"/>
  <c r="H50" i="13"/>
  <c r="I50" i="13" s="1"/>
  <c r="C41" i="13"/>
  <c r="H41" i="13"/>
  <c r="I41" i="13" s="1"/>
  <c r="C32" i="8"/>
  <c r="H32" i="8"/>
  <c r="I32" i="8" s="1"/>
  <c r="H14" i="4"/>
  <c r="I14" i="4" s="1"/>
  <c r="C47" i="11"/>
  <c r="H47" i="11"/>
  <c r="I47" i="11" s="1"/>
  <c r="C20" i="14"/>
  <c r="H20" i="14"/>
  <c r="I20" i="14" s="1"/>
  <c r="H44" i="8"/>
  <c r="I44" i="8" s="1"/>
  <c r="C11" i="11"/>
  <c r="H11" i="11"/>
  <c r="I11" i="11" s="1"/>
  <c r="C14" i="10"/>
  <c r="H14" i="10"/>
  <c r="I14" i="10" s="1"/>
  <c r="H89" i="11"/>
  <c r="I89" i="11" s="1"/>
  <c r="C35" i="9"/>
  <c r="H35" i="9"/>
  <c r="I35" i="9" s="1"/>
  <c r="C41" i="9"/>
  <c r="H41" i="9"/>
  <c r="I41" i="9" s="1"/>
  <c r="C35" i="11"/>
  <c r="H35" i="11"/>
  <c r="I35" i="11" s="1"/>
  <c r="C32" i="11"/>
  <c r="H32" i="11"/>
  <c r="I32" i="11" s="1"/>
  <c r="H35" i="10"/>
  <c r="I35" i="10" s="1"/>
  <c r="H47" i="10"/>
  <c r="I47" i="10" s="1"/>
  <c r="C17" i="8"/>
  <c r="H17" i="8"/>
  <c r="I17" i="8" s="1"/>
  <c r="C53" i="10"/>
  <c r="H53" i="10"/>
  <c r="I53" i="10" s="1"/>
  <c r="C26" i="10"/>
  <c r="H26" i="10"/>
  <c r="I26" i="10" s="1"/>
  <c r="C26" i="8"/>
  <c r="H26" i="8"/>
  <c r="I26" i="8" s="1"/>
  <c r="C8" i="12"/>
  <c r="H8" i="12"/>
  <c r="I8" i="12" s="1"/>
  <c r="C50" i="4"/>
  <c r="H50" i="4"/>
  <c r="I50" i="4" s="1"/>
  <c r="C41" i="14"/>
  <c r="H41" i="14"/>
  <c r="I41" i="14" s="1"/>
  <c r="H53" i="9"/>
  <c r="I53" i="9" s="1"/>
  <c r="H26" i="11"/>
  <c r="I26" i="11" s="1"/>
  <c r="C47" i="13"/>
  <c r="H47" i="13"/>
  <c r="I47" i="13" s="1"/>
  <c r="C11" i="10"/>
  <c r="H11" i="10"/>
  <c r="I11" i="10" s="1"/>
  <c r="C50" i="12"/>
  <c r="H50" i="12"/>
  <c r="I50" i="12" s="1"/>
  <c r="C44" i="4"/>
  <c r="H44" i="4"/>
  <c r="I44" i="4" s="1"/>
  <c r="H8" i="8"/>
  <c r="I8" i="8" s="1"/>
  <c r="C53" i="14"/>
  <c r="H53" i="14"/>
  <c r="I53" i="14" s="1"/>
  <c r="C35" i="13"/>
  <c r="H35" i="13"/>
  <c r="I35" i="13" s="1"/>
  <c r="C50" i="11"/>
  <c r="H50" i="11"/>
  <c r="I50" i="11" s="1"/>
  <c r="C50" i="14"/>
  <c r="H50" i="14"/>
  <c r="I50" i="14" s="1"/>
  <c r="C41" i="10"/>
  <c r="H41" i="10"/>
  <c r="I41" i="10" s="1"/>
  <c r="C32" i="13"/>
  <c r="H32" i="13"/>
  <c r="I32" i="13" s="1"/>
  <c r="C14" i="13"/>
  <c r="H14" i="13"/>
  <c r="I14" i="13" s="1"/>
  <c r="C38" i="10"/>
  <c r="H38" i="10"/>
  <c r="I38" i="10" s="1"/>
  <c r="C41" i="8"/>
  <c r="H41" i="8"/>
  <c r="I41" i="8" s="1"/>
  <c r="C38" i="8"/>
  <c r="H38" i="8"/>
  <c r="I38" i="8" s="1"/>
  <c r="C14" i="9"/>
  <c r="H14" i="9"/>
  <c r="I14" i="9" s="1"/>
  <c r="C8" i="14"/>
  <c r="H8" i="14"/>
  <c r="I8" i="14" s="1"/>
  <c r="C11" i="13"/>
  <c r="H11" i="13"/>
  <c r="I11" i="13" s="1"/>
  <c r="C26" i="13"/>
  <c r="H26" i="13"/>
  <c r="I26" i="13" s="1"/>
  <c r="C38" i="14"/>
  <c r="H38" i="14"/>
  <c r="I38" i="14" s="1"/>
  <c r="C26" i="4"/>
  <c r="H26" i="4"/>
  <c r="I26" i="4" s="1"/>
  <c r="C38" i="12"/>
  <c r="H38" i="12"/>
  <c r="I38" i="12" s="1"/>
  <c r="C14" i="14"/>
  <c r="H14" i="14"/>
  <c r="I14" i="14" s="1"/>
  <c r="C14" i="11"/>
  <c r="H14" i="11"/>
  <c r="I14" i="11" s="1"/>
  <c r="C41" i="11"/>
  <c r="H41" i="11"/>
  <c r="I41" i="11" s="1"/>
  <c r="C32" i="12"/>
  <c r="H32" i="12"/>
  <c r="I32" i="12" s="1"/>
  <c r="C41" i="12"/>
  <c r="H41" i="12"/>
  <c r="I41" i="12" s="1"/>
  <c r="C23" i="10"/>
  <c r="H23" i="10"/>
  <c r="I23" i="10" s="1"/>
  <c r="C32" i="14"/>
  <c r="H32" i="14"/>
  <c r="I32" i="14" s="1"/>
  <c r="H14" i="12"/>
  <c r="I14" i="12" s="1"/>
  <c r="C29" i="11"/>
  <c r="H29" i="11"/>
  <c r="I29" i="11" s="1"/>
  <c r="C32" i="9"/>
  <c r="H32" i="9"/>
  <c r="I32" i="9" s="1"/>
  <c r="C26" i="14"/>
  <c r="H26" i="14"/>
  <c r="I26" i="14" s="1"/>
  <c r="C11" i="8"/>
  <c r="H11" i="8"/>
  <c r="I11" i="8" s="1"/>
  <c r="C8" i="9"/>
  <c r="H8" i="9"/>
  <c r="I8" i="9" s="1"/>
  <c r="H8" i="4"/>
  <c r="I8" i="4" s="1"/>
  <c r="C44" i="12"/>
  <c r="H44" i="12"/>
  <c r="I44" i="12" s="1"/>
  <c r="C29" i="8"/>
  <c r="H29" i="8"/>
  <c r="I29" i="8" s="1"/>
  <c r="H23" i="9"/>
  <c r="I23" i="9" s="1"/>
  <c r="C50" i="8"/>
  <c r="H50" i="8"/>
  <c r="I50" i="8" s="1"/>
  <c r="C26" i="12"/>
  <c r="H26" i="12"/>
  <c r="I26" i="12" s="1"/>
  <c r="C29" i="10"/>
  <c r="H29" i="10"/>
  <c r="I29" i="10" s="1"/>
  <c r="C29" i="12"/>
  <c r="H29" i="12"/>
  <c r="I29" i="12" s="1"/>
  <c r="H17" i="9"/>
  <c r="I17" i="9" s="1"/>
  <c r="C44" i="14"/>
  <c r="H44" i="14"/>
  <c r="I44" i="14" s="1"/>
  <c r="C44" i="10"/>
  <c r="H44" i="10"/>
  <c r="I44" i="10" s="1"/>
  <c r="C8" i="11"/>
  <c r="H8" i="11"/>
  <c r="I8" i="11" s="1"/>
  <c r="C29" i="4"/>
  <c r="H29" i="4"/>
  <c r="I29" i="4" s="1"/>
  <c r="H35" i="8"/>
  <c r="I35" i="8" s="1"/>
  <c r="H29" i="9"/>
  <c r="I29" i="9" s="1"/>
  <c r="C29" i="14"/>
  <c r="H29" i="14"/>
  <c r="I29" i="14" s="1"/>
  <c r="C38" i="9"/>
  <c r="H38" i="9"/>
  <c r="I38" i="9" s="1"/>
  <c r="C50" i="10"/>
  <c r="H50" i="10"/>
  <c r="I50" i="10" s="1"/>
  <c r="C17" i="13"/>
  <c r="H17" i="13"/>
  <c r="I17" i="13" s="1"/>
  <c r="C8" i="10"/>
  <c r="H8" i="10"/>
  <c r="I8" i="10" s="1"/>
  <c r="C17" i="10"/>
  <c r="H17" i="10"/>
  <c r="I17" i="10" s="1"/>
  <c r="C44" i="11"/>
  <c r="H44" i="11"/>
  <c r="I44" i="11" s="1"/>
  <c r="C38" i="13"/>
  <c r="H38" i="13"/>
  <c r="I38" i="13" s="1"/>
  <c r="C38" i="4"/>
  <c r="H38" i="4"/>
  <c r="I38" i="4" s="1"/>
  <c r="C20" i="10"/>
  <c r="H20" i="10"/>
  <c r="I20" i="10" s="1"/>
  <c r="C17" i="12"/>
  <c r="H17" i="12"/>
  <c r="I17" i="12" s="1"/>
  <c r="C41" i="4"/>
  <c r="H41" i="4"/>
  <c r="I41" i="4" s="1"/>
  <c r="C53" i="13"/>
  <c r="H53" i="13"/>
  <c r="I53" i="13" s="1"/>
  <c r="C44" i="9"/>
  <c r="H44" i="9"/>
  <c r="I44" i="9" s="1"/>
  <c r="C44" i="13"/>
  <c r="H44" i="13"/>
  <c r="I44" i="13" s="1"/>
  <c r="C53" i="8"/>
  <c r="H53" i="8"/>
  <c r="I53" i="8" s="1"/>
  <c r="C47" i="9"/>
  <c r="H47" i="9"/>
  <c r="I47" i="9" s="1"/>
  <c r="C29" i="13"/>
  <c r="H29" i="13"/>
  <c r="I29" i="13" s="1"/>
  <c r="H20" i="11"/>
  <c r="I20" i="11" s="1"/>
  <c r="C23" i="11"/>
  <c r="H23" i="11"/>
  <c r="I23" i="11" s="1"/>
  <c r="C50" i="9"/>
  <c r="H50" i="9"/>
  <c r="I50" i="9" s="1"/>
  <c r="C11" i="9"/>
  <c r="H11" i="9"/>
  <c r="I11" i="9" s="1"/>
  <c r="C14" i="8"/>
  <c r="H14" i="8"/>
  <c r="I14" i="8" s="1"/>
  <c r="C20" i="4"/>
  <c r="H20" i="4"/>
  <c r="I20" i="4" s="1"/>
  <c r="C17" i="4"/>
  <c r="H17" i="4"/>
  <c r="I17" i="4" s="1"/>
  <c r="C26" i="9"/>
  <c r="H26" i="9"/>
  <c r="I26" i="9" s="1"/>
  <c r="C53" i="12"/>
  <c r="H53" i="12"/>
  <c r="I53" i="12" s="1"/>
  <c r="C20" i="8"/>
  <c r="H20" i="8"/>
  <c r="I20" i="8" s="1"/>
  <c r="C8" i="13"/>
  <c r="H8" i="13"/>
  <c r="I8" i="13" s="1"/>
  <c r="H86" i="11"/>
  <c r="I86" i="11" s="1"/>
  <c r="H86" i="14"/>
  <c r="I86" i="14" s="1"/>
  <c r="H86" i="9"/>
  <c r="I86" i="9" s="1"/>
  <c r="H89" i="14"/>
  <c r="I89" i="14" s="1"/>
  <c r="H86" i="12"/>
  <c r="I86" i="12" s="1"/>
  <c r="H89" i="12"/>
  <c r="I89" i="12" s="1"/>
  <c r="H86" i="10"/>
  <c r="I86" i="10" s="1"/>
  <c r="H89" i="10"/>
  <c r="I89" i="10" s="1"/>
  <c r="I91" i="9"/>
  <c r="H86" i="8"/>
  <c r="I86" i="8" s="1"/>
  <c r="H89" i="8"/>
  <c r="I89" i="8" s="1"/>
  <c r="I91" i="13" l="1"/>
  <c r="I40" i="27"/>
  <c r="I37" i="27"/>
  <c r="I43" i="25"/>
  <c r="I22" i="27"/>
  <c r="I19" i="27"/>
  <c r="I88" i="27"/>
  <c r="I31" i="27"/>
  <c r="I91" i="25"/>
  <c r="I43" i="27"/>
  <c r="I34" i="25"/>
  <c r="I55" i="27"/>
  <c r="I46" i="27"/>
  <c r="I7" i="14"/>
  <c r="I22" i="23"/>
  <c r="I28" i="25"/>
  <c r="I16" i="21"/>
  <c r="I46" i="25"/>
  <c r="I19" i="23"/>
  <c r="I16" i="25"/>
  <c r="I55" i="25"/>
  <c r="I52" i="23"/>
  <c r="I7" i="23"/>
  <c r="I55" i="23"/>
  <c r="I88" i="25"/>
  <c r="I7" i="9"/>
  <c r="I10" i="18"/>
  <c r="I34" i="23"/>
  <c r="I28" i="23"/>
  <c r="I31" i="23"/>
  <c r="I7" i="18"/>
  <c r="I88" i="18"/>
  <c r="I7" i="25"/>
  <c r="I46" i="23"/>
  <c r="I91" i="21"/>
  <c r="I40" i="25"/>
  <c r="I16" i="23"/>
  <c r="I91" i="23"/>
  <c r="I22" i="25"/>
  <c r="I37" i="23"/>
  <c r="I19" i="25"/>
  <c r="I88" i="23"/>
  <c r="I37" i="21"/>
  <c r="I31" i="25"/>
  <c r="I46" i="21"/>
  <c r="I10" i="25"/>
  <c r="I55" i="21"/>
  <c r="I7" i="10"/>
  <c r="I46" i="26"/>
  <c r="I37" i="24"/>
  <c r="I91" i="26"/>
  <c r="I16" i="26"/>
  <c r="I25" i="26"/>
  <c r="I31" i="21"/>
  <c r="I13" i="26"/>
  <c r="I19" i="26"/>
  <c r="I25" i="24"/>
  <c r="I49" i="26"/>
  <c r="I7" i="11"/>
  <c r="I43" i="26"/>
  <c r="I37" i="26"/>
  <c r="I46" i="18"/>
  <c r="I28" i="24"/>
  <c r="I22" i="26"/>
  <c r="I40" i="23"/>
  <c r="I31" i="26"/>
  <c r="I52" i="26"/>
  <c r="I10" i="26"/>
  <c r="I34" i="26"/>
  <c r="I88" i="26"/>
  <c r="I55" i="26"/>
  <c r="I40" i="26"/>
  <c r="I46" i="24"/>
  <c r="I7" i="26"/>
  <c r="I28" i="26"/>
  <c r="I34" i="24"/>
  <c r="I31" i="24"/>
  <c r="I43" i="24"/>
  <c r="I91" i="24"/>
  <c r="I7" i="21"/>
  <c r="I19" i="24"/>
  <c r="I22" i="24"/>
  <c r="I55" i="24"/>
  <c r="I52" i="24"/>
  <c r="I88" i="24"/>
  <c r="I10" i="24"/>
  <c r="I16" i="24"/>
  <c r="I7" i="24"/>
  <c r="I49" i="24"/>
  <c r="I13" i="24"/>
  <c r="I40" i="24"/>
  <c r="I52" i="21"/>
  <c r="I43" i="18"/>
  <c r="I52" i="18"/>
  <c r="I10" i="16"/>
  <c r="I46" i="16"/>
  <c r="I88" i="21"/>
  <c r="I25" i="18"/>
  <c r="I28" i="21"/>
  <c r="I43" i="21"/>
  <c r="I91" i="18"/>
  <c r="I16" i="18"/>
  <c r="I10" i="21"/>
  <c r="I13" i="18"/>
  <c r="I19" i="21"/>
  <c r="I22" i="18"/>
  <c r="I28" i="18"/>
  <c r="I49" i="18"/>
  <c r="I40" i="18"/>
  <c r="I19" i="16"/>
  <c r="I37" i="18"/>
  <c r="I49" i="16"/>
  <c r="I19" i="18"/>
  <c r="I7" i="8"/>
  <c r="I49" i="22"/>
  <c r="I28" i="22"/>
  <c r="I34" i="22"/>
  <c r="I19" i="22"/>
  <c r="I25" i="22"/>
  <c r="I91" i="22"/>
  <c r="I88" i="22"/>
  <c r="I31" i="22"/>
  <c r="I43" i="22"/>
  <c r="I10" i="22"/>
  <c r="I37" i="22"/>
  <c r="I16" i="22"/>
  <c r="I52" i="22"/>
  <c r="I40" i="22"/>
  <c r="I13" i="22"/>
  <c r="I22" i="22"/>
  <c r="I34" i="18"/>
  <c r="I7" i="22"/>
  <c r="I46" i="22"/>
  <c r="I55" i="22"/>
  <c r="I40" i="16"/>
  <c r="I31" i="18"/>
  <c r="I37" i="16"/>
  <c r="I16" i="20"/>
  <c r="I37" i="20"/>
  <c r="I46" i="20"/>
  <c r="I43" i="20"/>
  <c r="I25" i="20"/>
  <c r="I49" i="20"/>
  <c r="I31" i="16"/>
  <c r="I22" i="20"/>
  <c r="I31" i="20"/>
  <c r="I88" i="20"/>
  <c r="I40" i="20"/>
  <c r="I52" i="20"/>
  <c r="I13" i="20"/>
  <c r="I91" i="20"/>
  <c r="I43" i="16"/>
  <c r="I28" i="20"/>
  <c r="I55" i="20"/>
  <c r="I10" i="20"/>
  <c r="I34" i="20"/>
  <c r="I7" i="20"/>
  <c r="I19" i="20"/>
  <c r="I7" i="17"/>
  <c r="I34" i="16"/>
  <c r="I52" i="16"/>
  <c r="I25" i="14"/>
  <c r="I91" i="16"/>
  <c r="I88" i="16"/>
  <c r="I37" i="4"/>
  <c r="I49" i="11"/>
  <c r="I55" i="16"/>
  <c r="I16" i="4"/>
  <c r="I5" i="16"/>
  <c r="I7" i="16"/>
  <c r="I22" i="12"/>
  <c r="I91" i="11"/>
  <c r="I13" i="14"/>
  <c r="I88" i="13"/>
  <c r="I25" i="4"/>
  <c r="I10" i="10"/>
  <c r="I25" i="12"/>
  <c r="I16" i="10"/>
  <c r="I34" i="17"/>
  <c r="I34" i="8"/>
  <c r="I55" i="11"/>
  <c r="I40" i="8"/>
  <c r="I43" i="17"/>
  <c r="I16" i="17"/>
  <c r="I40" i="17"/>
  <c r="I91" i="17"/>
  <c r="I46" i="17"/>
  <c r="I22" i="16"/>
  <c r="I37" i="17"/>
  <c r="I88" i="17"/>
  <c r="I19" i="17"/>
  <c r="I46" i="12"/>
  <c r="I28" i="17"/>
  <c r="I52" i="17"/>
  <c r="I31" i="17"/>
  <c r="I22" i="17"/>
  <c r="I25" i="17"/>
  <c r="I55" i="17"/>
  <c r="I10" i="17"/>
  <c r="I13" i="17"/>
  <c r="I49" i="17"/>
  <c r="I10" i="14"/>
  <c r="I10" i="11"/>
  <c r="I34" i="13"/>
  <c r="I31" i="10"/>
  <c r="I34" i="9"/>
  <c r="I22" i="14"/>
  <c r="I40" i="12"/>
  <c r="I34" i="14"/>
  <c r="I22" i="10"/>
  <c r="I55" i="10"/>
  <c r="I16" i="14"/>
  <c r="I40" i="13"/>
  <c r="I49" i="10"/>
  <c r="I49" i="14"/>
  <c r="I46" i="10"/>
  <c r="I31" i="9"/>
  <c r="I25" i="9"/>
  <c r="I28" i="8"/>
  <c r="I46" i="11"/>
  <c r="I16" i="12"/>
  <c r="I46" i="8"/>
  <c r="I10" i="9"/>
  <c r="I43" i="13"/>
  <c r="I37" i="14"/>
  <c r="I46" i="4"/>
  <c r="I28" i="13"/>
  <c r="I37" i="10"/>
  <c r="I49" i="8"/>
  <c r="I19" i="14"/>
  <c r="I40" i="9"/>
  <c r="I40" i="11"/>
  <c r="I28" i="10"/>
  <c r="I34" i="11"/>
  <c r="I13" i="10"/>
  <c r="I43" i="8"/>
  <c r="I43" i="11"/>
  <c r="I31" i="8"/>
  <c r="I10" i="12"/>
  <c r="I37" i="11"/>
  <c r="I34" i="12"/>
  <c r="I37" i="8"/>
  <c r="I16" i="11"/>
  <c r="I16" i="13"/>
  <c r="I28" i="11"/>
  <c r="I31" i="4"/>
  <c r="I43" i="4"/>
  <c r="I43" i="10"/>
  <c r="I55" i="14"/>
  <c r="I55" i="9"/>
  <c r="I55" i="13"/>
  <c r="I10" i="4"/>
  <c r="I52" i="12"/>
  <c r="I16" i="8"/>
  <c r="I22" i="9"/>
  <c r="I22" i="4"/>
  <c r="I19" i="12"/>
  <c r="I46" i="14"/>
  <c r="I13" i="9"/>
  <c r="I52" i="8"/>
  <c r="I28" i="4"/>
  <c r="I25" i="13"/>
  <c r="I22" i="8"/>
  <c r="I31" i="13"/>
  <c r="I31" i="14"/>
  <c r="I19" i="4"/>
  <c r="I28" i="14"/>
  <c r="I40" i="10"/>
  <c r="I43" i="14"/>
  <c r="I37" i="13"/>
  <c r="I49" i="13"/>
  <c r="I37" i="12"/>
  <c r="I55" i="12"/>
  <c r="I22" i="13"/>
  <c r="I22" i="11"/>
  <c r="I52" i="4"/>
  <c r="I46" i="13"/>
  <c r="I40" i="14"/>
  <c r="I52" i="11"/>
  <c r="I46" i="9"/>
  <c r="I52" i="9"/>
  <c r="I13" i="8"/>
  <c r="I25" i="8"/>
  <c r="I25" i="10"/>
  <c r="I13" i="11"/>
  <c r="I52" i="10"/>
  <c r="I13" i="12"/>
  <c r="I55" i="8"/>
  <c r="I19" i="10"/>
  <c r="I49" i="9"/>
  <c r="I28" i="12"/>
  <c r="I19" i="13"/>
  <c r="I31" i="11"/>
  <c r="I19" i="8"/>
  <c r="I34" i="4"/>
  <c r="I37" i="9"/>
  <c r="I31" i="12"/>
  <c r="I49" i="12"/>
  <c r="I10" i="13"/>
  <c r="I19" i="9"/>
  <c r="I10" i="8"/>
  <c r="I34" i="10"/>
  <c r="I28" i="9"/>
  <c r="I52" i="14"/>
  <c r="I25" i="11"/>
  <c r="I40" i="4"/>
  <c r="I16" i="9"/>
  <c r="I43" i="12"/>
  <c r="I43" i="9"/>
  <c r="I49" i="4"/>
  <c r="I52" i="13"/>
  <c r="I13" i="4"/>
  <c r="I19" i="11"/>
  <c r="I13" i="13"/>
  <c r="I88" i="11"/>
  <c r="I88" i="9"/>
  <c r="I88" i="14"/>
  <c r="I91" i="14"/>
  <c r="I91" i="12"/>
  <c r="I88" i="12"/>
  <c r="I88" i="10"/>
  <c r="I91" i="10"/>
  <c r="I91" i="8"/>
  <c r="I88" i="8"/>
  <c r="Y1" i="4"/>
  <c r="F16" i="3" l="1"/>
  <c r="F15" i="3"/>
  <c r="F14" i="3"/>
  <c r="F6" i="3"/>
  <c r="F18" i="3"/>
  <c r="F20" i="3"/>
  <c r="F13" i="3" l="1"/>
  <c r="F90" i="27"/>
  <c r="G90" i="27" s="1"/>
  <c r="F21" i="27"/>
  <c r="G21" i="27" s="1"/>
  <c r="F24" i="27"/>
  <c r="G24" i="27" s="1"/>
  <c r="F18" i="27"/>
  <c r="G18" i="27" s="1"/>
  <c r="F27" i="27"/>
  <c r="G27" i="27" s="1"/>
  <c r="F54" i="27"/>
  <c r="G54" i="27" s="1"/>
  <c r="F51" i="27"/>
  <c r="G51" i="27" s="1"/>
  <c r="F42" i="27"/>
  <c r="G42" i="27" s="1"/>
  <c r="F30" i="27"/>
  <c r="G30" i="27" s="1"/>
  <c r="F87" i="27"/>
  <c r="G87" i="27" s="1"/>
  <c r="D4" i="5"/>
  <c r="C13" i="3"/>
  <c r="C20" i="3"/>
  <c r="C19" i="3"/>
  <c r="C18" i="3"/>
  <c r="C17" i="3"/>
  <c r="C16" i="3"/>
  <c r="C15" i="3"/>
  <c r="C14" i="3"/>
  <c r="L4" i="5"/>
  <c r="F33" i="26" l="1"/>
  <c r="G33" i="26" s="1"/>
  <c r="F33" i="27"/>
  <c r="G33" i="27" s="1"/>
  <c r="F39" i="26"/>
  <c r="G39" i="26" s="1"/>
  <c r="F39" i="27"/>
  <c r="G39" i="27" s="1"/>
  <c r="F12" i="26"/>
  <c r="G12" i="26" s="1"/>
  <c r="F12" i="27"/>
  <c r="G12" i="27" s="1"/>
  <c r="F36" i="26"/>
  <c r="G36" i="26" s="1"/>
  <c r="F36" i="27"/>
  <c r="G36" i="27" s="1"/>
  <c r="F15" i="26"/>
  <c r="G15" i="26" s="1"/>
  <c r="F15" i="27"/>
  <c r="G15" i="27" s="1"/>
  <c r="F45" i="26"/>
  <c r="G45" i="26" s="1"/>
  <c r="F45" i="27"/>
  <c r="G45" i="27" s="1"/>
  <c r="F6" i="26"/>
  <c r="G6" i="26" s="1"/>
  <c r="F6" i="27"/>
  <c r="G6" i="27" s="1"/>
  <c r="F48" i="26"/>
  <c r="G48" i="26" s="1"/>
  <c r="F48" i="27"/>
  <c r="G48" i="27" s="1"/>
  <c r="F9" i="26"/>
  <c r="G9" i="26" s="1"/>
  <c r="F9" i="27"/>
  <c r="G9" i="27" s="1"/>
  <c r="F51" i="25"/>
  <c r="G51" i="25" s="1"/>
  <c r="F51" i="26"/>
  <c r="G51" i="26" s="1"/>
  <c r="F42" i="25"/>
  <c r="G42" i="25" s="1"/>
  <c r="F42" i="26"/>
  <c r="G42" i="26" s="1"/>
  <c r="F54" i="25"/>
  <c r="G54" i="25" s="1"/>
  <c r="F54" i="26"/>
  <c r="G54" i="26" s="1"/>
  <c r="F27" i="25"/>
  <c r="G27" i="25" s="1"/>
  <c r="F27" i="26"/>
  <c r="G27" i="26" s="1"/>
  <c r="F90" i="25"/>
  <c r="G90" i="25" s="1"/>
  <c r="F90" i="26"/>
  <c r="G90" i="26" s="1"/>
  <c r="F87" i="25"/>
  <c r="G87" i="25" s="1"/>
  <c r="F87" i="26"/>
  <c r="G87" i="26" s="1"/>
  <c r="F18" i="25"/>
  <c r="G18" i="25" s="1"/>
  <c r="F18" i="26"/>
  <c r="G18" i="26" s="1"/>
  <c r="F24" i="25"/>
  <c r="G24" i="25" s="1"/>
  <c r="F24" i="26"/>
  <c r="G24" i="26" s="1"/>
  <c r="F30" i="25"/>
  <c r="G30" i="25" s="1"/>
  <c r="F30" i="26"/>
  <c r="G30" i="26" s="1"/>
  <c r="F21" i="25"/>
  <c r="G21" i="25" s="1"/>
  <c r="F21" i="26"/>
  <c r="G21" i="26" s="1"/>
  <c r="F15" i="24"/>
  <c r="G15" i="24" s="1"/>
  <c r="F15" i="25"/>
  <c r="G15" i="25" s="1"/>
  <c r="F45" i="24"/>
  <c r="G45" i="24" s="1"/>
  <c r="F45" i="25"/>
  <c r="G45" i="25" s="1"/>
  <c r="F6" i="24"/>
  <c r="G6" i="24" s="1"/>
  <c r="F6" i="25"/>
  <c r="G6" i="25" s="1"/>
  <c r="F36" i="24"/>
  <c r="G36" i="24" s="1"/>
  <c r="F36" i="25"/>
  <c r="G36" i="25" s="1"/>
  <c r="F48" i="24"/>
  <c r="G48" i="24" s="1"/>
  <c r="F48" i="25"/>
  <c r="G48" i="25" s="1"/>
  <c r="F9" i="24"/>
  <c r="G9" i="24" s="1"/>
  <c r="F9" i="25"/>
  <c r="G9" i="25" s="1"/>
  <c r="F33" i="24"/>
  <c r="G33" i="24" s="1"/>
  <c r="F33" i="25"/>
  <c r="G33" i="25" s="1"/>
  <c r="F39" i="24"/>
  <c r="G39" i="24" s="1"/>
  <c r="F39" i="25"/>
  <c r="G39" i="25" s="1"/>
  <c r="F12" i="24"/>
  <c r="G12" i="24" s="1"/>
  <c r="F12" i="25"/>
  <c r="G12" i="25" s="1"/>
  <c r="F30" i="23"/>
  <c r="G30" i="23" s="1"/>
  <c r="F30" i="24"/>
  <c r="G30" i="24" s="1"/>
  <c r="F21" i="23"/>
  <c r="G21" i="23" s="1"/>
  <c r="F21" i="24"/>
  <c r="G21" i="24" s="1"/>
  <c r="F51" i="23"/>
  <c r="G51" i="23" s="1"/>
  <c r="F51" i="24"/>
  <c r="G51" i="24" s="1"/>
  <c r="F54" i="23"/>
  <c r="G54" i="23" s="1"/>
  <c r="F54" i="24"/>
  <c r="G54" i="24" s="1"/>
  <c r="F27" i="23"/>
  <c r="G27" i="23" s="1"/>
  <c r="F27" i="24"/>
  <c r="G27" i="24" s="1"/>
  <c r="F42" i="23"/>
  <c r="G42" i="23" s="1"/>
  <c r="F42" i="24"/>
  <c r="G42" i="24" s="1"/>
  <c r="F90" i="23"/>
  <c r="G90" i="23" s="1"/>
  <c r="F90" i="24"/>
  <c r="G90" i="24" s="1"/>
  <c r="F87" i="23"/>
  <c r="G87" i="23" s="1"/>
  <c r="F87" i="24"/>
  <c r="G87" i="24" s="1"/>
  <c r="F18" i="23"/>
  <c r="G18" i="23" s="1"/>
  <c r="F18" i="24"/>
  <c r="G18" i="24" s="1"/>
  <c r="F24" i="23"/>
  <c r="G24" i="23" s="1"/>
  <c r="F24" i="24"/>
  <c r="G24" i="24" s="1"/>
  <c r="F39" i="22"/>
  <c r="G39" i="22" s="1"/>
  <c r="F39" i="23"/>
  <c r="G39" i="23" s="1"/>
  <c r="F12" i="22"/>
  <c r="G12" i="22" s="1"/>
  <c r="F12" i="23"/>
  <c r="G12" i="23" s="1"/>
  <c r="F36" i="22"/>
  <c r="G36" i="22" s="1"/>
  <c r="F36" i="23"/>
  <c r="G36" i="23" s="1"/>
  <c r="F15" i="22"/>
  <c r="G15" i="22" s="1"/>
  <c r="F15" i="23"/>
  <c r="G15" i="23" s="1"/>
  <c r="F33" i="22"/>
  <c r="G33" i="22" s="1"/>
  <c r="F33" i="23"/>
  <c r="G33" i="23" s="1"/>
  <c r="F45" i="22"/>
  <c r="G45" i="22" s="1"/>
  <c r="F45" i="23"/>
  <c r="G45" i="23" s="1"/>
  <c r="F6" i="22"/>
  <c r="G6" i="22" s="1"/>
  <c r="F6" i="23"/>
  <c r="G6" i="23" s="1"/>
  <c r="F48" i="22"/>
  <c r="G48" i="22" s="1"/>
  <c r="F48" i="23"/>
  <c r="G48" i="23" s="1"/>
  <c r="F9" i="22"/>
  <c r="G9" i="22" s="1"/>
  <c r="F9" i="23"/>
  <c r="G9" i="23" s="1"/>
  <c r="F42" i="21"/>
  <c r="G42" i="21" s="1"/>
  <c r="F42" i="22"/>
  <c r="G42" i="22" s="1"/>
  <c r="F27" i="21"/>
  <c r="G27" i="21" s="1"/>
  <c r="F27" i="22"/>
  <c r="G27" i="22" s="1"/>
  <c r="F90" i="21"/>
  <c r="G90" i="21" s="1"/>
  <c r="F90" i="22"/>
  <c r="G90" i="22" s="1"/>
  <c r="F87" i="21"/>
  <c r="G87" i="21" s="1"/>
  <c r="F87" i="22"/>
  <c r="G87" i="22" s="1"/>
  <c r="F18" i="21"/>
  <c r="G18" i="21" s="1"/>
  <c r="F18" i="22"/>
  <c r="G18" i="22" s="1"/>
  <c r="F24" i="21"/>
  <c r="G24" i="21" s="1"/>
  <c r="F24" i="22"/>
  <c r="G24" i="22" s="1"/>
  <c r="F30" i="21"/>
  <c r="G30" i="21" s="1"/>
  <c r="F30" i="22"/>
  <c r="G30" i="22" s="1"/>
  <c r="F21" i="21"/>
  <c r="G21" i="21" s="1"/>
  <c r="F21" i="22"/>
  <c r="G21" i="22" s="1"/>
  <c r="F51" i="21"/>
  <c r="G51" i="21" s="1"/>
  <c r="F51" i="22"/>
  <c r="G51" i="22" s="1"/>
  <c r="F54" i="21"/>
  <c r="G54" i="21" s="1"/>
  <c r="F54" i="22"/>
  <c r="G54" i="22" s="1"/>
  <c r="F33" i="20"/>
  <c r="G33" i="20" s="1"/>
  <c r="F33" i="21"/>
  <c r="G33" i="21" s="1"/>
  <c r="F9" i="20"/>
  <c r="G9" i="20" s="1"/>
  <c r="F9" i="21"/>
  <c r="G9" i="21" s="1"/>
  <c r="F39" i="20"/>
  <c r="G39" i="20" s="1"/>
  <c r="F39" i="21"/>
  <c r="G39" i="21" s="1"/>
  <c r="F12" i="20"/>
  <c r="G12" i="20" s="1"/>
  <c r="F12" i="21"/>
  <c r="G12" i="21" s="1"/>
  <c r="F36" i="20"/>
  <c r="G36" i="20" s="1"/>
  <c r="F36" i="21"/>
  <c r="G36" i="21" s="1"/>
  <c r="F15" i="20"/>
  <c r="G15" i="20" s="1"/>
  <c r="F15" i="21"/>
  <c r="G15" i="21" s="1"/>
  <c r="F45" i="20"/>
  <c r="G45" i="20" s="1"/>
  <c r="F45" i="21"/>
  <c r="G45" i="21" s="1"/>
  <c r="F6" i="20"/>
  <c r="G6" i="20" s="1"/>
  <c r="F6" i="21"/>
  <c r="G6" i="21" s="1"/>
  <c r="F48" i="20"/>
  <c r="G48" i="20" s="1"/>
  <c r="F48" i="21"/>
  <c r="G48" i="21" s="1"/>
  <c r="F51" i="18"/>
  <c r="G51" i="18" s="1"/>
  <c r="F51" i="20"/>
  <c r="G51" i="20" s="1"/>
  <c r="F54" i="18"/>
  <c r="G54" i="18" s="1"/>
  <c r="F54" i="20"/>
  <c r="G54" i="20" s="1"/>
  <c r="F90" i="18"/>
  <c r="G90" i="18" s="1"/>
  <c r="F90" i="20"/>
  <c r="G90" i="20" s="1"/>
  <c r="F87" i="18"/>
  <c r="G87" i="18" s="1"/>
  <c r="F87" i="20"/>
  <c r="G87" i="20" s="1"/>
  <c r="F18" i="18"/>
  <c r="G18" i="18" s="1"/>
  <c r="F18" i="20"/>
  <c r="G18" i="20" s="1"/>
  <c r="F24" i="18"/>
  <c r="G24" i="18" s="1"/>
  <c r="F24" i="20"/>
  <c r="G24" i="20" s="1"/>
  <c r="F42" i="18"/>
  <c r="G42" i="18" s="1"/>
  <c r="F42" i="20"/>
  <c r="G42" i="20" s="1"/>
  <c r="F27" i="18"/>
  <c r="G27" i="18" s="1"/>
  <c r="F27" i="20"/>
  <c r="G27" i="20" s="1"/>
  <c r="F30" i="18"/>
  <c r="G30" i="18" s="1"/>
  <c r="F30" i="20"/>
  <c r="G30" i="20" s="1"/>
  <c r="F21" i="18"/>
  <c r="G21" i="18" s="1"/>
  <c r="F21" i="20"/>
  <c r="G21" i="20" s="1"/>
  <c r="F36" i="17"/>
  <c r="G36" i="17" s="1"/>
  <c r="F36" i="18"/>
  <c r="G36" i="18" s="1"/>
  <c r="F15" i="17"/>
  <c r="G15" i="17" s="1"/>
  <c r="F15" i="18"/>
  <c r="G15" i="18" s="1"/>
  <c r="F12" i="17"/>
  <c r="G12" i="17" s="1"/>
  <c r="F12" i="18"/>
  <c r="G12" i="18" s="1"/>
  <c r="F45" i="17"/>
  <c r="G45" i="17" s="1"/>
  <c r="F45" i="18"/>
  <c r="G45" i="18" s="1"/>
  <c r="F6" i="17"/>
  <c r="G6" i="17" s="1"/>
  <c r="F6" i="18"/>
  <c r="G6" i="18" s="1"/>
  <c r="F39" i="17"/>
  <c r="G39" i="17" s="1"/>
  <c r="F39" i="18"/>
  <c r="G39" i="18" s="1"/>
  <c r="F48" i="17"/>
  <c r="G48" i="17" s="1"/>
  <c r="F48" i="18"/>
  <c r="G48" i="18" s="1"/>
  <c r="F9" i="17"/>
  <c r="G9" i="17" s="1"/>
  <c r="F9" i="18"/>
  <c r="G9" i="18" s="1"/>
  <c r="F33" i="17"/>
  <c r="G33" i="17" s="1"/>
  <c r="F33" i="18"/>
  <c r="G33" i="18" s="1"/>
  <c r="F21" i="16"/>
  <c r="G21" i="16" s="1"/>
  <c r="F21" i="17"/>
  <c r="G21" i="17" s="1"/>
  <c r="F30" i="16"/>
  <c r="G30" i="16" s="1"/>
  <c r="F30" i="17"/>
  <c r="G30" i="17" s="1"/>
  <c r="F51" i="16"/>
  <c r="G51" i="16" s="1"/>
  <c r="F51" i="17"/>
  <c r="G51" i="17" s="1"/>
  <c r="F54" i="16"/>
  <c r="G54" i="16" s="1"/>
  <c r="F54" i="17"/>
  <c r="G54" i="17" s="1"/>
  <c r="F27" i="16"/>
  <c r="G27" i="16" s="1"/>
  <c r="F27" i="17"/>
  <c r="G27" i="17" s="1"/>
  <c r="F42" i="16"/>
  <c r="G42" i="16" s="1"/>
  <c r="F42" i="17"/>
  <c r="G42" i="17" s="1"/>
  <c r="F90" i="16"/>
  <c r="G90" i="16" s="1"/>
  <c r="F90" i="17"/>
  <c r="G90" i="17" s="1"/>
  <c r="F87" i="16"/>
  <c r="G87" i="16" s="1"/>
  <c r="F87" i="17"/>
  <c r="G87" i="17" s="1"/>
  <c r="F18" i="16"/>
  <c r="G18" i="16" s="1"/>
  <c r="F18" i="17"/>
  <c r="G18" i="17" s="1"/>
  <c r="F24" i="16"/>
  <c r="G24" i="16" s="1"/>
  <c r="F24" i="17"/>
  <c r="G24" i="17" s="1"/>
  <c r="F39" i="14"/>
  <c r="G39" i="14" s="1"/>
  <c r="F39" i="16"/>
  <c r="G39" i="16" s="1"/>
  <c r="F12" i="14"/>
  <c r="G12" i="14" s="1"/>
  <c r="F12" i="16"/>
  <c r="G12" i="16" s="1"/>
  <c r="F36" i="14"/>
  <c r="G36" i="14" s="1"/>
  <c r="F36" i="16"/>
  <c r="G36" i="16" s="1"/>
  <c r="F15" i="14"/>
  <c r="G15" i="14" s="1"/>
  <c r="F15" i="16"/>
  <c r="G15" i="16" s="1"/>
  <c r="F33" i="14"/>
  <c r="G33" i="14" s="1"/>
  <c r="F33" i="16"/>
  <c r="G33" i="16" s="1"/>
  <c r="F45" i="14"/>
  <c r="G45" i="14" s="1"/>
  <c r="F45" i="16"/>
  <c r="G45" i="16" s="1"/>
  <c r="F6" i="14"/>
  <c r="G6" i="14" s="1"/>
  <c r="F6" i="16"/>
  <c r="G6" i="16" s="1"/>
  <c r="F48" i="14"/>
  <c r="G48" i="14" s="1"/>
  <c r="F48" i="16"/>
  <c r="G48" i="16" s="1"/>
  <c r="F9" i="14"/>
  <c r="G9" i="14" s="1"/>
  <c r="F9" i="16"/>
  <c r="G9" i="16" s="1"/>
  <c r="F27" i="13"/>
  <c r="G27" i="13" s="1"/>
  <c r="F27" i="14"/>
  <c r="G27" i="14" s="1"/>
  <c r="F87" i="13"/>
  <c r="G87" i="13" s="1"/>
  <c r="F87" i="14"/>
  <c r="G87" i="14" s="1"/>
  <c r="F18" i="13"/>
  <c r="G18" i="13" s="1"/>
  <c r="F18" i="14"/>
  <c r="G18" i="14" s="1"/>
  <c r="F24" i="13"/>
  <c r="G24" i="13" s="1"/>
  <c r="F24" i="14"/>
  <c r="G24" i="14" s="1"/>
  <c r="F42" i="13"/>
  <c r="G42" i="13" s="1"/>
  <c r="F42" i="14"/>
  <c r="G42" i="14" s="1"/>
  <c r="F90" i="13"/>
  <c r="G90" i="13" s="1"/>
  <c r="F90" i="14"/>
  <c r="G90" i="14" s="1"/>
  <c r="F30" i="13"/>
  <c r="G30" i="13" s="1"/>
  <c r="F30" i="14"/>
  <c r="G30" i="14" s="1"/>
  <c r="F21" i="13"/>
  <c r="G21" i="13" s="1"/>
  <c r="F21" i="14"/>
  <c r="G21" i="14" s="1"/>
  <c r="F51" i="13"/>
  <c r="G51" i="13" s="1"/>
  <c r="F51" i="14"/>
  <c r="G51" i="14" s="1"/>
  <c r="F54" i="13"/>
  <c r="G54" i="13" s="1"/>
  <c r="F54" i="14"/>
  <c r="G54" i="14" s="1"/>
  <c r="F39" i="12"/>
  <c r="G39" i="12" s="1"/>
  <c r="F39" i="13"/>
  <c r="G39" i="13" s="1"/>
  <c r="F12" i="12"/>
  <c r="G12" i="12" s="1"/>
  <c r="F12" i="13"/>
  <c r="G12" i="13" s="1"/>
  <c r="F33" i="12"/>
  <c r="G33" i="12" s="1"/>
  <c r="F33" i="13"/>
  <c r="G33" i="13" s="1"/>
  <c r="F36" i="12"/>
  <c r="G36" i="12" s="1"/>
  <c r="F36" i="13"/>
  <c r="G36" i="13" s="1"/>
  <c r="F15" i="12"/>
  <c r="G15" i="12" s="1"/>
  <c r="F15" i="13"/>
  <c r="G15" i="13" s="1"/>
  <c r="F45" i="12"/>
  <c r="G45" i="12" s="1"/>
  <c r="F45" i="13"/>
  <c r="G45" i="13" s="1"/>
  <c r="F6" i="12"/>
  <c r="G6" i="12" s="1"/>
  <c r="F6" i="13"/>
  <c r="G6" i="13" s="1"/>
  <c r="F48" i="12"/>
  <c r="G48" i="12" s="1"/>
  <c r="F48" i="13"/>
  <c r="G48" i="13" s="1"/>
  <c r="F9" i="12"/>
  <c r="G9" i="12" s="1"/>
  <c r="F9" i="13"/>
  <c r="G9" i="13" s="1"/>
  <c r="F27" i="11"/>
  <c r="G27" i="11" s="1"/>
  <c r="F27" i="12"/>
  <c r="G27" i="12" s="1"/>
  <c r="F90" i="11"/>
  <c r="G90" i="11" s="1"/>
  <c r="F90" i="12"/>
  <c r="G90" i="12" s="1"/>
  <c r="F24" i="11"/>
  <c r="G24" i="11" s="1"/>
  <c r="F24" i="12"/>
  <c r="G24" i="12" s="1"/>
  <c r="F87" i="11"/>
  <c r="G87" i="11" s="1"/>
  <c r="F87" i="12"/>
  <c r="G87" i="12" s="1"/>
  <c r="F18" i="11"/>
  <c r="G18" i="11" s="1"/>
  <c r="F18" i="12"/>
  <c r="G18" i="12" s="1"/>
  <c r="F30" i="11"/>
  <c r="G30" i="11" s="1"/>
  <c r="F30" i="12"/>
  <c r="G30" i="12" s="1"/>
  <c r="F21" i="11"/>
  <c r="G21" i="11" s="1"/>
  <c r="F21" i="12"/>
  <c r="G21" i="12" s="1"/>
  <c r="F42" i="11"/>
  <c r="G42" i="11" s="1"/>
  <c r="F42" i="12"/>
  <c r="G42" i="12" s="1"/>
  <c r="F51" i="11"/>
  <c r="G51" i="11" s="1"/>
  <c r="F51" i="12"/>
  <c r="G51" i="12" s="1"/>
  <c r="F54" i="11"/>
  <c r="G54" i="11" s="1"/>
  <c r="F54" i="12"/>
  <c r="G54" i="12" s="1"/>
  <c r="F33" i="10"/>
  <c r="G33" i="10" s="1"/>
  <c r="F33" i="11"/>
  <c r="G33" i="11" s="1"/>
  <c r="F39" i="10"/>
  <c r="G39" i="10" s="1"/>
  <c r="F39" i="11"/>
  <c r="G39" i="11" s="1"/>
  <c r="F12" i="10"/>
  <c r="G12" i="10" s="1"/>
  <c r="F12" i="11"/>
  <c r="G12" i="11" s="1"/>
  <c r="F36" i="10"/>
  <c r="G36" i="10" s="1"/>
  <c r="F36" i="11"/>
  <c r="G36" i="11" s="1"/>
  <c r="F15" i="10"/>
  <c r="G15" i="10" s="1"/>
  <c r="F15" i="11"/>
  <c r="G15" i="11" s="1"/>
  <c r="F45" i="10"/>
  <c r="G45" i="10" s="1"/>
  <c r="F45" i="11"/>
  <c r="G45" i="11" s="1"/>
  <c r="F6" i="10"/>
  <c r="G6" i="10" s="1"/>
  <c r="F6" i="11"/>
  <c r="G6" i="11" s="1"/>
  <c r="F48" i="10"/>
  <c r="G48" i="10" s="1"/>
  <c r="F48" i="11"/>
  <c r="G48" i="11" s="1"/>
  <c r="F9" i="10"/>
  <c r="G9" i="10" s="1"/>
  <c r="F9" i="11"/>
  <c r="G9" i="11" s="1"/>
  <c r="F42" i="9"/>
  <c r="G42" i="9" s="1"/>
  <c r="F42" i="10"/>
  <c r="G42" i="10" s="1"/>
  <c r="F27" i="9"/>
  <c r="G27" i="9" s="1"/>
  <c r="F27" i="10"/>
  <c r="G27" i="10" s="1"/>
  <c r="F87" i="9"/>
  <c r="G87" i="9" s="1"/>
  <c r="F87" i="10"/>
  <c r="G87" i="10" s="1"/>
  <c r="F18" i="9"/>
  <c r="G18" i="9" s="1"/>
  <c r="F18" i="10"/>
  <c r="G18" i="10" s="1"/>
  <c r="F90" i="9"/>
  <c r="G90" i="9" s="1"/>
  <c r="F90" i="10"/>
  <c r="G90" i="10" s="1"/>
  <c r="F24" i="9"/>
  <c r="G24" i="9" s="1"/>
  <c r="F24" i="10"/>
  <c r="G24" i="10" s="1"/>
  <c r="F30" i="9"/>
  <c r="G30" i="9" s="1"/>
  <c r="F30" i="10"/>
  <c r="G30" i="10" s="1"/>
  <c r="F21" i="9"/>
  <c r="G21" i="9" s="1"/>
  <c r="F21" i="10"/>
  <c r="G21" i="10" s="1"/>
  <c r="F51" i="9"/>
  <c r="G51" i="9" s="1"/>
  <c r="F51" i="10"/>
  <c r="G51" i="10" s="1"/>
  <c r="F54" i="9"/>
  <c r="G54" i="9" s="1"/>
  <c r="F54" i="10"/>
  <c r="G54" i="10" s="1"/>
  <c r="F33" i="8"/>
  <c r="G33" i="8" s="1"/>
  <c r="F33" i="9"/>
  <c r="G33" i="9" s="1"/>
  <c r="F39" i="8"/>
  <c r="G39" i="8" s="1"/>
  <c r="F39" i="9"/>
  <c r="G39" i="9" s="1"/>
  <c r="F12" i="8"/>
  <c r="G12" i="8" s="1"/>
  <c r="F12" i="9"/>
  <c r="G12" i="9" s="1"/>
  <c r="F36" i="8"/>
  <c r="G36" i="8" s="1"/>
  <c r="F36" i="9"/>
  <c r="G36" i="9" s="1"/>
  <c r="F15" i="8"/>
  <c r="G15" i="8" s="1"/>
  <c r="F15" i="9"/>
  <c r="G15" i="9" s="1"/>
  <c r="F45" i="8"/>
  <c r="G45" i="8" s="1"/>
  <c r="F45" i="9"/>
  <c r="G45" i="9" s="1"/>
  <c r="F6" i="8"/>
  <c r="G6" i="8" s="1"/>
  <c r="F6" i="9"/>
  <c r="G6" i="9" s="1"/>
  <c r="F48" i="8"/>
  <c r="G48" i="8" s="1"/>
  <c r="F48" i="9"/>
  <c r="G48" i="9" s="1"/>
  <c r="F9" i="8"/>
  <c r="G9" i="8" s="1"/>
  <c r="F9" i="9"/>
  <c r="G9" i="9" s="1"/>
  <c r="F27" i="8"/>
  <c r="G27" i="8" s="1"/>
  <c r="F90" i="8"/>
  <c r="G90" i="8" s="1"/>
  <c r="F24" i="8"/>
  <c r="G24" i="8" s="1"/>
  <c r="F87" i="8"/>
  <c r="G87" i="8" s="1"/>
  <c r="F18" i="8"/>
  <c r="G18" i="8" s="1"/>
  <c r="F30" i="8"/>
  <c r="G30" i="8" s="1"/>
  <c r="F21" i="8"/>
  <c r="G21" i="8" s="1"/>
  <c r="F42" i="8"/>
  <c r="G42" i="8" s="1"/>
  <c r="F51" i="8"/>
  <c r="G51" i="8" s="1"/>
  <c r="F54" i="8"/>
  <c r="G54" i="8" s="1"/>
  <c r="F33" i="4"/>
  <c r="G33" i="4" s="1"/>
  <c r="F39" i="4"/>
  <c r="G39" i="4" s="1"/>
  <c r="F12" i="4"/>
  <c r="G12" i="4" s="1"/>
  <c r="F36" i="4"/>
  <c r="G36" i="4" s="1"/>
  <c r="F15" i="4"/>
  <c r="G15" i="4" s="1"/>
  <c r="F45" i="4"/>
  <c r="G45" i="4" s="1"/>
  <c r="F6" i="4"/>
  <c r="G6" i="4" s="1"/>
  <c r="F48" i="4"/>
  <c r="G48" i="4" s="1"/>
  <c r="F9" i="4"/>
  <c r="G9" i="4" s="1"/>
  <c r="F18" i="4"/>
  <c r="G18" i="4" s="1"/>
  <c r="F21" i="4"/>
  <c r="G21" i="4" s="1"/>
  <c r="F24" i="4"/>
  <c r="G24" i="4" s="1"/>
  <c r="F27" i="4"/>
  <c r="G27" i="4" s="1"/>
  <c r="F30" i="4"/>
  <c r="G30" i="4" s="1"/>
  <c r="F51" i="4"/>
  <c r="G51" i="4" s="1"/>
  <c r="F42" i="4"/>
  <c r="G42" i="4" s="1"/>
  <c r="L5" i="5"/>
  <c r="F4" i="5"/>
  <c r="F5" i="5" s="1"/>
  <c r="G4" i="5"/>
  <c r="G5" i="5" s="1"/>
  <c r="J4" i="5"/>
  <c r="J5" i="5" s="1"/>
  <c r="H4" i="5"/>
  <c r="H5" i="5" s="1"/>
  <c r="I4" i="5"/>
  <c r="I5" i="5" s="1"/>
  <c r="K4" i="5"/>
  <c r="K5" i="5" s="1"/>
  <c r="E4" i="5"/>
  <c r="E5" i="5" s="1"/>
  <c r="D5" i="5" l="1"/>
  <c r="K6" i="3" s="1"/>
  <c r="I6" i="3"/>
  <c r="C7" i="1"/>
  <c r="C9" i="1"/>
  <c r="C15" i="1"/>
  <c r="B15" i="1"/>
  <c r="O15" i="1"/>
  <c r="H15" i="1"/>
  <c r="T15" i="1"/>
  <c r="E15" i="1"/>
  <c r="S15" i="1"/>
  <c r="J15" i="1"/>
  <c r="F15" i="1"/>
  <c r="R15" i="1"/>
  <c r="V15" i="1"/>
  <c r="N15" i="1"/>
  <c r="Q15" i="1"/>
  <c r="B9" i="1"/>
  <c r="E9" i="1"/>
  <c r="L15" i="1"/>
  <c r="Q9" i="1"/>
  <c r="M15" i="1"/>
  <c r="R9" i="1"/>
  <c r="O9" i="1"/>
  <c r="I9" i="1"/>
  <c r="B7" i="1"/>
  <c r="I7" i="1"/>
  <c r="L7" i="1"/>
  <c r="G15" i="1"/>
  <c r="F9" i="1"/>
  <c r="N9" i="1"/>
  <c r="O7" i="1"/>
  <c r="W15" i="1"/>
  <c r="P15" i="1"/>
  <c r="G7" i="1"/>
  <c r="K7" i="1"/>
  <c r="V9" i="1"/>
  <c r="M9" i="1"/>
  <c r="T9" i="1"/>
  <c r="K15" i="1"/>
  <c r="I15" i="1"/>
  <c r="U15" i="1"/>
  <c r="U9" i="1"/>
  <c r="P9" i="1"/>
  <c r="L9" i="1"/>
  <c r="G9" i="1"/>
  <c r="J9" i="1"/>
  <c r="W9" i="1"/>
  <c r="K9" i="1"/>
  <c r="H9" i="1"/>
  <c r="S9" i="1"/>
  <c r="P7" i="1"/>
  <c r="V7" i="1"/>
  <c r="J7" i="1"/>
  <c r="H7" i="1"/>
  <c r="F7" i="1"/>
  <c r="U7" i="1"/>
  <c r="S7" i="1"/>
  <c r="T7" i="1"/>
  <c r="E7" i="1"/>
  <c r="N7" i="1"/>
  <c r="W7" i="1"/>
  <c r="M7" i="1"/>
  <c r="Q7" i="1"/>
  <c r="R7" i="1"/>
  <c r="C10" i="1" l="1"/>
  <c r="C16" i="1"/>
  <c r="C14" i="1"/>
  <c r="C13" i="1"/>
  <c r="C12" i="1"/>
  <c r="C11" i="1"/>
  <c r="C8" i="1"/>
  <c r="D60" i="27"/>
  <c r="D59" i="27" s="1"/>
  <c r="C59" i="27" s="1"/>
  <c r="D84" i="27"/>
  <c r="D85" i="27" s="1"/>
  <c r="H85" i="27" s="1"/>
  <c r="D78" i="27"/>
  <c r="C78" i="27" s="1"/>
  <c r="D72" i="26"/>
  <c r="D71" i="26" s="1"/>
  <c r="C71" i="26" s="1"/>
  <c r="D72" i="27"/>
  <c r="D75" i="26"/>
  <c r="D76" i="26" s="1"/>
  <c r="H76" i="26" s="1"/>
  <c r="D75" i="27"/>
  <c r="D57" i="26"/>
  <c r="D58" i="26" s="1"/>
  <c r="H58" i="26" s="1"/>
  <c r="D57" i="27"/>
  <c r="D63" i="26"/>
  <c r="D64" i="26" s="1"/>
  <c r="H64" i="26" s="1"/>
  <c r="D63" i="27"/>
  <c r="D81" i="26"/>
  <c r="C81" i="26" s="1"/>
  <c r="D81" i="27"/>
  <c r="D66" i="26"/>
  <c r="D67" i="26" s="1"/>
  <c r="H67" i="26" s="1"/>
  <c r="D66" i="27"/>
  <c r="D69" i="26"/>
  <c r="D68" i="26" s="1"/>
  <c r="C68" i="26" s="1"/>
  <c r="D69" i="27"/>
  <c r="D78" i="25"/>
  <c r="D77" i="25" s="1"/>
  <c r="C77" i="25" s="1"/>
  <c r="D78" i="26"/>
  <c r="D84" i="25"/>
  <c r="D83" i="25" s="1"/>
  <c r="C83" i="25" s="1"/>
  <c r="D84" i="26"/>
  <c r="D60" i="25"/>
  <c r="D59" i="25" s="1"/>
  <c r="C59" i="25" s="1"/>
  <c r="D60" i="26"/>
  <c r="D66" i="24"/>
  <c r="D67" i="24" s="1"/>
  <c r="H67" i="24" s="1"/>
  <c r="D66" i="25"/>
  <c r="D72" i="24"/>
  <c r="C72" i="24" s="1"/>
  <c r="D72" i="25"/>
  <c r="D69" i="24"/>
  <c r="D70" i="24" s="1"/>
  <c r="H70" i="24" s="1"/>
  <c r="D69" i="25"/>
  <c r="D75" i="24"/>
  <c r="D76" i="24" s="1"/>
  <c r="H76" i="24" s="1"/>
  <c r="D75" i="25"/>
  <c r="D57" i="24"/>
  <c r="D56" i="24" s="1"/>
  <c r="C56" i="24" s="1"/>
  <c r="D57" i="25"/>
  <c r="D63" i="24"/>
  <c r="D62" i="24" s="1"/>
  <c r="C62" i="24" s="1"/>
  <c r="D63" i="25"/>
  <c r="D81" i="24"/>
  <c r="C81" i="24" s="1"/>
  <c r="D81" i="25"/>
  <c r="D78" i="23"/>
  <c r="D77" i="23" s="1"/>
  <c r="C77" i="23" s="1"/>
  <c r="D78" i="24"/>
  <c r="D60" i="23"/>
  <c r="D59" i="23" s="1"/>
  <c r="C59" i="23" s="1"/>
  <c r="D60" i="24"/>
  <c r="D84" i="23"/>
  <c r="D83" i="23" s="1"/>
  <c r="C83" i="23" s="1"/>
  <c r="D84" i="24"/>
  <c r="D81" i="22"/>
  <c r="D82" i="22" s="1"/>
  <c r="H82" i="22" s="1"/>
  <c r="D81" i="23"/>
  <c r="D57" i="22"/>
  <c r="D58" i="22" s="1"/>
  <c r="H58" i="22" s="1"/>
  <c r="D57" i="23"/>
  <c r="D63" i="22"/>
  <c r="D64" i="22" s="1"/>
  <c r="H64" i="22" s="1"/>
  <c r="D63" i="23"/>
  <c r="D66" i="22"/>
  <c r="D67" i="22" s="1"/>
  <c r="H67" i="22" s="1"/>
  <c r="D66" i="23"/>
  <c r="D69" i="22"/>
  <c r="D68" i="22" s="1"/>
  <c r="C68" i="22" s="1"/>
  <c r="D69" i="23"/>
  <c r="D72" i="22"/>
  <c r="D71" i="22" s="1"/>
  <c r="C71" i="22" s="1"/>
  <c r="D72" i="23"/>
  <c r="D75" i="22"/>
  <c r="C75" i="22" s="1"/>
  <c r="D75" i="23"/>
  <c r="D84" i="21"/>
  <c r="D83" i="21" s="1"/>
  <c r="C83" i="21" s="1"/>
  <c r="D84" i="22"/>
  <c r="D78" i="21"/>
  <c r="D79" i="21" s="1"/>
  <c r="H79" i="21" s="1"/>
  <c r="D78" i="22"/>
  <c r="D60" i="21"/>
  <c r="D59" i="21" s="1"/>
  <c r="C59" i="21" s="1"/>
  <c r="D60" i="22"/>
  <c r="D66" i="20"/>
  <c r="D67" i="20" s="1"/>
  <c r="H67" i="20" s="1"/>
  <c r="D66" i="21"/>
  <c r="D69" i="20"/>
  <c r="D70" i="20" s="1"/>
  <c r="H70" i="20" s="1"/>
  <c r="D69" i="21"/>
  <c r="D72" i="20"/>
  <c r="D71" i="20" s="1"/>
  <c r="C71" i="20" s="1"/>
  <c r="D72" i="21"/>
  <c r="D75" i="20"/>
  <c r="D76" i="20" s="1"/>
  <c r="H76" i="20" s="1"/>
  <c r="D75" i="21"/>
  <c r="D57" i="20"/>
  <c r="D56" i="20" s="1"/>
  <c r="C56" i="20" s="1"/>
  <c r="D57" i="21"/>
  <c r="D63" i="20"/>
  <c r="D62" i="20" s="1"/>
  <c r="C62" i="20" s="1"/>
  <c r="D63" i="21"/>
  <c r="D81" i="20"/>
  <c r="D80" i="20" s="1"/>
  <c r="C80" i="20" s="1"/>
  <c r="D81" i="21"/>
  <c r="D60" i="18"/>
  <c r="C60" i="18" s="1"/>
  <c r="D60" i="20"/>
  <c r="D84" i="18"/>
  <c r="D83" i="18" s="1"/>
  <c r="C83" i="18" s="1"/>
  <c r="D84" i="20"/>
  <c r="D78" i="18"/>
  <c r="D79" i="18" s="1"/>
  <c r="H79" i="18" s="1"/>
  <c r="D78" i="20"/>
  <c r="D63" i="17"/>
  <c r="D64" i="17" s="1"/>
  <c r="H64" i="17" s="1"/>
  <c r="D63" i="18"/>
  <c r="D81" i="17"/>
  <c r="C81" i="17" s="1"/>
  <c r="D81" i="18"/>
  <c r="D66" i="17"/>
  <c r="D67" i="17" s="1"/>
  <c r="H67" i="17" s="1"/>
  <c r="D66" i="18"/>
  <c r="D69" i="17"/>
  <c r="C69" i="17" s="1"/>
  <c r="D69" i="18"/>
  <c r="D72" i="17"/>
  <c r="D71" i="17" s="1"/>
  <c r="C71" i="17" s="1"/>
  <c r="D72" i="18"/>
  <c r="D57" i="17"/>
  <c r="C57" i="17" s="1"/>
  <c r="D57" i="18"/>
  <c r="D75" i="17"/>
  <c r="D76" i="17" s="1"/>
  <c r="H76" i="17" s="1"/>
  <c r="D75" i="18"/>
  <c r="D84" i="16"/>
  <c r="C84" i="16" s="1"/>
  <c r="D84" i="17"/>
  <c r="D60" i="16"/>
  <c r="D61" i="16" s="1"/>
  <c r="H61" i="16" s="1"/>
  <c r="D60" i="17"/>
  <c r="D78" i="16"/>
  <c r="D79" i="16" s="1"/>
  <c r="H79" i="16" s="1"/>
  <c r="D78" i="17"/>
  <c r="D66" i="14"/>
  <c r="D67" i="14" s="1"/>
  <c r="H67" i="14" s="1"/>
  <c r="D66" i="16"/>
  <c r="D69" i="14"/>
  <c r="D68" i="14" s="1"/>
  <c r="C68" i="14" s="1"/>
  <c r="D69" i="16"/>
  <c r="D72" i="14"/>
  <c r="D71" i="14" s="1"/>
  <c r="C71" i="14" s="1"/>
  <c r="D72" i="16"/>
  <c r="D75" i="14"/>
  <c r="D76" i="14" s="1"/>
  <c r="H76" i="14" s="1"/>
  <c r="D75" i="16"/>
  <c r="D57" i="14"/>
  <c r="D56" i="14" s="1"/>
  <c r="C56" i="14" s="1"/>
  <c r="D57" i="16"/>
  <c r="D81" i="14"/>
  <c r="D80" i="14" s="1"/>
  <c r="C80" i="14" s="1"/>
  <c r="D81" i="16"/>
  <c r="D63" i="14"/>
  <c r="D64" i="14" s="1"/>
  <c r="H64" i="14" s="1"/>
  <c r="D63" i="16"/>
  <c r="D60" i="13"/>
  <c r="D59" i="13" s="1"/>
  <c r="C59" i="13" s="1"/>
  <c r="D60" i="14"/>
  <c r="D84" i="13"/>
  <c r="D85" i="13" s="1"/>
  <c r="H85" i="13" s="1"/>
  <c r="D84" i="14"/>
  <c r="D78" i="13"/>
  <c r="D79" i="13" s="1"/>
  <c r="H79" i="13" s="1"/>
  <c r="D78" i="14"/>
  <c r="D72" i="12"/>
  <c r="D71" i="12" s="1"/>
  <c r="C71" i="12" s="1"/>
  <c r="D72" i="13"/>
  <c r="D75" i="12"/>
  <c r="D76" i="12" s="1"/>
  <c r="H76" i="12" s="1"/>
  <c r="D75" i="13"/>
  <c r="D57" i="12"/>
  <c r="D58" i="12" s="1"/>
  <c r="H58" i="12" s="1"/>
  <c r="D57" i="13"/>
  <c r="D81" i="12"/>
  <c r="D82" i="12" s="1"/>
  <c r="H82" i="12" s="1"/>
  <c r="D81" i="13"/>
  <c r="D63" i="12"/>
  <c r="D62" i="12" s="1"/>
  <c r="C62" i="12" s="1"/>
  <c r="D63" i="13"/>
  <c r="D66" i="12"/>
  <c r="D65" i="12" s="1"/>
  <c r="C65" i="12" s="1"/>
  <c r="D66" i="13"/>
  <c r="D69" i="12"/>
  <c r="D70" i="12" s="1"/>
  <c r="H70" i="12" s="1"/>
  <c r="D69" i="13"/>
  <c r="D84" i="11"/>
  <c r="D83" i="11" s="1"/>
  <c r="C83" i="11" s="1"/>
  <c r="D84" i="12"/>
  <c r="D78" i="11"/>
  <c r="C78" i="11" s="1"/>
  <c r="D78" i="12"/>
  <c r="D60" i="11"/>
  <c r="D59" i="11" s="1"/>
  <c r="C59" i="11" s="1"/>
  <c r="D60" i="12"/>
  <c r="D81" i="10"/>
  <c r="D82" i="10" s="1"/>
  <c r="H82" i="10" s="1"/>
  <c r="D81" i="11"/>
  <c r="D63" i="10"/>
  <c r="D64" i="10" s="1"/>
  <c r="H64" i="10" s="1"/>
  <c r="D63" i="11"/>
  <c r="D57" i="10"/>
  <c r="D56" i="10" s="1"/>
  <c r="C56" i="10" s="1"/>
  <c r="D57" i="11"/>
  <c r="D66" i="10"/>
  <c r="D65" i="10" s="1"/>
  <c r="C65" i="10" s="1"/>
  <c r="D66" i="11"/>
  <c r="D69" i="10"/>
  <c r="D68" i="10" s="1"/>
  <c r="C68" i="10" s="1"/>
  <c r="D69" i="11"/>
  <c r="D72" i="10"/>
  <c r="D71" i="10" s="1"/>
  <c r="C71" i="10" s="1"/>
  <c r="D72" i="11"/>
  <c r="D75" i="10"/>
  <c r="C75" i="10" s="1"/>
  <c r="D75" i="11"/>
  <c r="D60" i="9"/>
  <c r="D59" i="9" s="1"/>
  <c r="C59" i="9" s="1"/>
  <c r="D60" i="10"/>
  <c r="D84" i="9"/>
  <c r="D85" i="9" s="1"/>
  <c r="H85" i="9" s="1"/>
  <c r="D84" i="10"/>
  <c r="D78" i="9"/>
  <c r="D77" i="9" s="1"/>
  <c r="C77" i="9" s="1"/>
  <c r="D78" i="10"/>
  <c r="D81" i="8"/>
  <c r="D80" i="8" s="1"/>
  <c r="C80" i="8" s="1"/>
  <c r="D81" i="9"/>
  <c r="D66" i="8"/>
  <c r="D65" i="8" s="1"/>
  <c r="C65" i="8" s="1"/>
  <c r="D66" i="9"/>
  <c r="D69" i="8"/>
  <c r="C69" i="8" s="1"/>
  <c r="D69" i="9"/>
  <c r="D63" i="8"/>
  <c r="D64" i="8" s="1"/>
  <c r="H64" i="8" s="1"/>
  <c r="D63" i="9"/>
  <c r="D72" i="8"/>
  <c r="D71" i="8" s="1"/>
  <c r="C71" i="8" s="1"/>
  <c r="D72" i="9"/>
  <c r="D57" i="8"/>
  <c r="C57" i="8" s="1"/>
  <c r="D57" i="9"/>
  <c r="D75" i="8"/>
  <c r="D76" i="8" s="1"/>
  <c r="H76" i="8" s="1"/>
  <c r="D75" i="9"/>
  <c r="D78" i="8"/>
  <c r="D84" i="8"/>
  <c r="D60" i="8"/>
  <c r="F81" i="27"/>
  <c r="G81" i="27" s="1"/>
  <c r="F69" i="27"/>
  <c r="G69" i="27" s="1"/>
  <c r="F66" i="27"/>
  <c r="G66" i="27" s="1"/>
  <c r="F72" i="27"/>
  <c r="G72" i="27" s="1"/>
  <c r="F63" i="27"/>
  <c r="G63" i="27" s="1"/>
  <c r="F57" i="27"/>
  <c r="G57" i="27" s="1"/>
  <c r="F60" i="27"/>
  <c r="G60" i="27" s="1"/>
  <c r="F84" i="27"/>
  <c r="G84" i="27" s="1"/>
  <c r="F78" i="27"/>
  <c r="G78" i="27" s="1"/>
  <c r="F54" i="4"/>
  <c r="G54" i="4" s="1"/>
  <c r="D54" i="4"/>
  <c r="C54" i="4" s="1"/>
  <c r="D84" i="4"/>
  <c r="D57" i="4"/>
  <c r="D72" i="4"/>
  <c r="D78" i="4"/>
  <c r="D81" i="4"/>
  <c r="D66" i="4"/>
  <c r="D69" i="4"/>
  <c r="D87" i="4"/>
  <c r="D60" i="4"/>
  <c r="D75" i="4"/>
  <c r="D63" i="4"/>
  <c r="D90" i="4"/>
  <c r="B12" i="1"/>
  <c r="I12" i="1"/>
  <c r="S12" i="1"/>
  <c r="U12" i="1"/>
  <c r="H12" i="1"/>
  <c r="L12" i="1"/>
  <c r="T12" i="1"/>
  <c r="K12" i="1"/>
  <c r="J12" i="1"/>
  <c r="B14" i="1"/>
  <c r="B13" i="1"/>
  <c r="I13" i="1"/>
  <c r="F14" i="1"/>
  <c r="T13" i="1"/>
  <c r="F12" i="1"/>
  <c r="M12" i="1"/>
  <c r="P14" i="1"/>
  <c r="G13" i="1"/>
  <c r="Q12" i="1"/>
  <c r="R12" i="1"/>
  <c r="V14" i="1"/>
  <c r="L13" i="1"/>
  <c r="K13" i="1"/>
  <c r="B10" i="1"/>
  <c r="G10" i="1"/>
  <c r="B11" i="1"/>
  <c r="U11" i="1"/>
  <c r="F10" i="1"/>
  <c r="L11" i="1"/>
  <c r="R14" i="1"/>
  <c r="S10" i="1"/>
  <c r="N12" i="1"/>
  <c r="E12" i="1"/>
  <c r="E10" i="1"/>
  <c r="S11" i="1"/>
  <c r="G12" i="1"/>
  <c r="N14" i="1"/>
  <c r="H14" i="1"/>
  <c r="G11" i="1"/>
  <c r="Q13" i="1"/>
  <c r="J10" i="1"/>
  <c r="O13" i="1"/>
  <c r="O14" i="1"/>
  <c r="O12" i="1"/>
  <c r="U14" i="1"/>
  <c r="R10" i="1"/>
  <c r="K10" i="1"/>
  <c r="M11" i="1"/>
  <c r="I14" i="1"/>
  <c r="W12" i="1"/>
  <c r="G14" i="1"/>
  <c r="M14" i="1"/>
  <c r="J11" i="1"/>
  <c r="R13" i="1"/>
  <c r="B16" i="1"/>
  <c r="E11" i="1"/>
  <c r="W10" i="1"/>
  <c r="B8" i="1"/>
  <c r="Q16" i="1"/>
  <c r="P10" i="1"/>
  <c r="S14" i="1"/>
  <c r="F8" i="1"/>
  <c r="P12" i="1"/>
  <c r="P8" i="1"/>
  <c r="T14" i="1"/>
  <c r="T11" i="1"/>
  <c r="U13" i="1"/>
  <c r="W13" i="1"/>
  <c r="K11" i="1"/>
  <c r="V12" i="1"/>
  <c r="L8" i="1"/>
  <c r="P16" i="1"/>
  <c r="V11" i="1"/>
  <c r="U10" i="1"/>
  <c r="I11" i="1"/>
  <c r="Q14" i="1"/>
  <c r="W14" i="1"/>
  <c r="J14" i="1"/>
  <c r="K14" i="1"/>
  <c r="E14" i="1"/>
  <c r="L14" i="1"/>
  <c r="P13" i="1"/>
  <c r="V13" i="1"/>
  <c r="E13" i="1"/>
  <c r="N13" i="1"/>
  <c r="S13" i="1"/>
  <c r="J13" i="1"/>
  <c r="F13" i="1"/>
  <c r="H13" i="1"/>
  <c r="M13" i="1"/>
  <c r="I10" i="1"/>
  <c r="N10" i="1"/>
  <c r="Q10" i="1"/>
  <c r="O10" i="1"/>
  <c r="L10" i="1"/>
  <c r="V10" i="1"/>
  <c r="T10" i="1"/>
  <c r="M10" i="1"/>
  <c r="H10" i="1"/>
  <c r="N11" i="1"/>
  <c r="W11" i="1"/>
  <c r="Q11" i="1"/>
  <c r="P11" i="1"/>
  <c r="O11" i="1"/>
  <c r="R11" i="1"/>
  <c r="F11" i="1"/>
  <c r="H11" i="1"/>
  <c r="V16" i="1"/>
  <c r="T16" i="1"/>
  <c r="O16" i="1"/>
  <c r="S16" i="1"/>
  <c r="F16" i="1"/>
  <c r="E16" i="1"/>
  <c r="G16" i="1"/>
  <c r="R16" i="1"/>
  <c r="W16" i="1"/>
  <c r="N16" i="1"/>
  <c r="I16" i="1"/>
  <c r="K16" i="1"/>
  <c r="U16" i="1"/>
  <c r="H16" i="1"/>
  <c r="J16" i="1"/>
  <c r="L16" i="1"/>
  <c r="M16" i="1"/>
  <c r="I8" i="1"/>
  <c r="S8" i="1"/>
  <c r="O8" i="1"/>
  <c r="K8" i="1"/>
  <c r="V8" i="1"/>
  <c r="E8" i="1"/>
  <c r="Q8" i="1"/>
  <c r="N8" i="1"/>
  <c r="G8" i="1"/>
  <c r="M8" i="1"/>
  <c r="U8" i="1"/>
  <c r="J8" i="1"/>
  <c r="W8" i="1"/>
  <c r="T8" i="1"/>
  <c r="H8" i="1"/>
  <c r="R8" i="1"/>
  <c r="D12" i="1" l="1"/>
  <c r="D14" i="1"/>
  <c r="D8" i="1"/>
  <c r="D10" i="1"/>
  <c r="D11" i="1"/>
  <c r="D13" i="1"/>
  <c r="D16" i="1"/>
  <c r="D77" i="27"/>
  <c r="C77" i="27" s="1"/>
  <c r="D79" i="27"/>
  <c r="H79" i="27" s="1"/>
  <c r="D9" i="1"/>
  <c r="D7" i="1"/>
  <c r="D15" i="1"/>
  <c r="D61" i="27"/>
  <c r="H61" i="27" s="1"/>
  <c r="H59" i="27" s="1"/>
  <c r="I59" i="27" s="1"/>
  <c r="C60" i="27"/>
  <c r="C84" i="27"/>
  <c r="D83" i="27"/>
  <c r="C83" i="27" s="1"/>
  <c r="C72" i="26"/>
  <c r="D73" i="26"/>
  <c r="H73" i="26" s="1"/>
  <c r="H71" i="26" s="1"/>
  <c r="I71" i="26" s="1"/>
  <c r="C63" i="26"/>
  <c r="D62" i="26"/>
  <c r="C62" i="26" s="1"/>
  <c r="D56" i="26"/>
  <c r="C56" i="26" s="1"/>
  <c r="C78" i="25"/>
  <c r="D79" i="25"/>
  <c r="H79" i="25" s="1"/>
  <c r="H77" i="25" s="1"/>
  <c r="I77" i="25" s="1"/>
  <c r="D79" i="23"/>
  <c r="H79" i="23" s="1"/>
  <c r="H77" i="23" s="1"/>
  <c r="I77" i="23" s="1"/>
  <c r="C75" i="26"/>
  <c r="D74" i="26"/>
  <c r="C74" i="26" s="1"/>
  <c r="D82" i="26"/>
  <c r="H82" i="26" s="1"/>
  <c r="D80" i="26"/>
  <c r="C80" i="26" s="1"/>
  <c r="C69" i="26"/>
  <c r="C57" i="26"/>
  <c r="D70" i="26"/>
  <c r="H70" i="26" s="1"/>
  <c r="H68" i="26" s="1"/>
  <c r="I68" i="26" s="1"/>
  <c r="D64" i="24"/>
  <c r="H64" i="24" s="1"/>
  <c r="H62" i="24" s="1"/>
  <c r="I62" i="24" s="1"/>
  <c r="C66" i="26"/>
  <c r="D65" i="26"/>
  <c r="C65" i="26" s="1"/>
  <c r="F75" i="26"/>
  <c r="G75" i="26" s="1"/>
  <c r="F75" i="27"/>
  <c r="G75" i="27" s="1"/>
  <c r="D58" i="24"/>
  <c r="H58" i="24" s="1"/>
  <c r="H56" i="24" s="1"/>
  <c r="I56" i="24" s="1"/>
  <c r="D70" i="27"/>
  <c r="H70" i="27" s="1"/>
  <c r="D68" i="27"/>
  <c r="C68" i="27" s="1"/>
  <c r="C69" i="27"/>
  <c r="D64" i="27"/>
  <c r="H64" i="27" s="1"/>
  <c r="D62" i="27"/>
  <c r="C62" i="27" s="1"/>
  <c r="C63" i="27"/>
  <c r="C81" i="27"/>
  <c r="D82" i="27"/>
  <c r="H82" i="27" s="1"/>
  <c r="D80" i="27"/>
  <c r="C80" i="27" s="1"/>
  <c r="D61" i="25"/>
  <c r="H61" i="25" s="1"/>
  <c r="H59" i="25" s="1"/>
  <c r="I59" i="25" s="1"/>
  <c r="D67" i="27"/>
  <c r="H67" i="27" s="1"/>
  <c r="D65" i="27"/>
  <c r="C65" i="27" s="1"/>
  <c r="C66" i="27"/>
  <c r="D58" i="27"/>
  <c r="H58" i="27" s="1"/>
  <c r="D56" i="27"/>
  <c r="C56" i="27" s="1"/>
  <c r="C57" i="27"/>
  <c r="C60" i="25"/>
  <c r="D76" i="27"/>
  <c r="H76" i="27" s="1"/>
  <c r="D74" i="27"/>
  <c r="C74" i="27" s="1"/>
  <c r="C75" i="27"/>
  <c r="D71" i="27"/>
  <c r="C71" i="27" s="1"/>
  <c r="C72" i="27"/>
  <c r="D73" i="27"/>
  <c r="H73" i="27" s="1"/>
  <c r="D71" i="24"/>
  <c r="C71" i="24" s="1"/>
  <c r="C63" i="22"/>
  <c r="C57" i="24"/>
  <c r="D80" i="24"/>
  <c r="C80" i="24" s="1"/>
  <c r="D73" i="22"/>
  <c r="H73" i="22" s="1"/>
  <c r="H71" i="22" s="1"/>
  <c r="I71" i="22" s="1"/>
  <c r="D82" i="24"/>
  <c r="H82" i="24" s="1"/>
  <c r="D73" i="24"/>
  <c r="H73" i="24" s="1"/>
  <c r="C78" i="23"/>
  <c r="C66" i="24"/>
  <c r="D65" i="24"/>
  <c r="C65" i="24" s="1"/>
  <c r="D74" i="24"/>
  <c r="C74" i="24" s="1"/>
  <c r="D68" i="24"/>
  <c r="C68" i="24" s="1"/>
  <c r="C60" i="23"/>
  <c r="C72" i="22"/>
  <c r="D61" i="23"/>
  <c r="H61" i="23" s="1"/>
  <c r="H59" i="23" s="1"/>
  <c r="I59" i="23" s="1"/>
  <c r="C75" i="24"/>
  <c r="D56" i="22"/>
  <c r="C56" i="22" s="1"/>
  <c r="D85" i="23"/>
  <c r="H85" i="23" s="1"/>
  <c r="H83" i="23" s="1"/>
  <c r="I83" i="23" s="1"/>
  <c r="D83" i="26"/>
  <c r="C83" i="26" s="1"/>
  <c r="C84" i="26"/>
  <c r="D85" i="26"/>
  <c r="H85" i="26" s="1"/>
  <c r="F63" i="25"/>
  <c r="G63" i="25" s="1"/>
  <c r="F63" i="26"/>
  <c r="G63" i="26" s="1"/>
  <c r="F72" i="25"/>
  <c r="G72" i="25" s="1"/>
  <c r="F72" i="26"/>
  <c r="G72" i="26" s="1"/>
  <c r="D85" i="25"/>
  <c r="H85" i="25" s="1"/>
  <c r="H83" i="25" s="1"/>
  <c r="I83" i="25" s="1"/>
  <c r="C84" i="25"/>
  <c r="F66" i="25"/>
  <c r="G66" i="25" s="1"/>
  <c r="F66" i="26"/>
  <c r="G66" i="26" s="1"/>
  <c r="F69" i="25"/>
  <c r="G69" i="25" s="1"/>
  <c r="F69" i="26"/>
  <c r="G69" i="26" s="1"/>
  <c r="C63" i="24"/>
  <c r="F78" i="25"/>
  <c r="G78" i="25" s="1"/>
  <c r="F78" i="26"/>
  <c r="G78" i="26" s="1"/>
  <c r="F81" i="25"/>
  <c r="G81" i="25" s="1"/>
  <c r="F81" i="26"/>
  <c r="G81" i="26" s="1"/>
  <c r="F57" i="25"/>
  <c r="G57" i="25" s="1"/>
  <c r="F57" i="26"/>
  <c r="G57" i="26" s="1"/>
  <c r="D62" i="22"/>
  <c r="C62" i="22" s="1"/>
  <c r="C69" i="24"/>
  <c r="F84" i="25"/>
  <c r="G84" i="25" s="1"/>
  <c r="F84" i="26"/>
  <c r="G84" i="26" s="1"/>
  <c r="F60" i="25"/>
  <c r="G60" i="25" s="1"/>
  <c r="F60" i="26"/>
  <c r="G60" i="26" s="1"/>
  <c r="D74" i="22"/>
  <c r="C74" i="22" s="1"/>
  <c r="D79" i="26"/>
  <c r="H79" i="26" s="1"/>
  <c r="D77" i="26"/>
  <c r="C77" i="26" s="1"/>
  <c r="C78" i="26"/>
  <c r="D59" i="26"/>
  <c r="C59" i="26" s="1"/>
  <c r="C60" i="26"/>
  <c r="D61" i="26"/>
  <c r="H61" i="26" s="1"/>
  <c r="D76" i="25"/>
  <c r="H76" i="25" s="1"/>
  <c r="D74" i="25"/>
  <c r="C74" i="25" s="1"/>
  <c r="C75" i="25"/>
  <c r="D67" i="25"/>
  <c r="H67" i="25" s="1"/>
  <c r="D65" i="25"/>
  <c r="C65" i="25" s="1"/>
  <c r="C66" i="25"/>
  <c r="D71" i="25"/>
  <c r="C71" i="25" s="1"/>
  <c r="C72" i="25"/>
  <c r="D73" i="25"/>
  <c r="H73" i="25" s="1"/>
  <c r="D70" i="22"/>
  <c r="H70" i="22" s="1"/>
  <c r="H68" i="22" s="1"/>
  <c r="I68" i="22" s="1"/>
  <c r="D80" i="22"/>
  <c r="C80" i="22" s="1"/>
  <c r="D70" i="25"/>
  <c r="H70" i="25" s="1"/>
  <c r="D68" i="25"/>
  <c r="C68" i="25" s="1"/>
  <c r="C69" i="25"/>
  <c r="C81" i="22"/>
  <c r="C84" i="23"/>
  <c r="D64" i="25"/>
  <c r="H64" i="25" s="1"/>
  <c r="D62" i="25"/>
  <c r="C62" i="25" s="1"/>
  <c r="C63" i="25"/>
  <c r="F75" i="24"/>
  <c r="G75" i="24" s="1"/>
  <c r="F75" i="25"/>
  <c r="G75" i="25" s="1"/>
  <c r="C66" i="22"/>
  <c r="D58" i="25"/>
  <c r="H58" i="25" s="1"/>
  <c r="D56" i="25"/>
  <c r="C56" i="25" s="1"/>
  <c r="C57" i="25"/>
  <c r="D65" i="22"/>
  <c r="C65" i="22" s="1"/>
  <c r="D82" i="25"/>
  <c r="H82" i="25" s="1"/>
  <c r="D80" i="25"/>
  <c r="C80" i="25" s="1"/>
  <c r="C81" i="25"/>
  <c r="C57" i="22"/>
  <c r="F81" i="23"/>
  <c r="G81" i="23" s="1"/>
  <c r="F81" i="24"/>
  <c r="G81" i="24" s="1"/>
  <c r="F84" i="23"/>
  <c r="G84" i="23" s="1"/>
  <c r="F84" i="24"/>
  <c r="G84" i="24" s="1"/>
  <c r="C69" i="22"/>
  <c r="F63" i="23"/>
  <c r="G63" i="23" s="1"/>
  <c r="F63" i="24"/>
  <c r="G63" i="24" s="1"/>
  <c r="D83" i="24"/>
  <c r="C83" i="24" s="1"/>
  <c r="C84" i="24"/>
  <c r="D85" i="24"/>
  <c r="H85" i="24" s="1"/>
  <c r="F66" i="23"/>
  <c r="G66" i="23" s="1"/>
  <c r="F66" i="24"/>
  <c r="G66" i="24" s="1"/>
  <c r="F72" i="23"/>
  <c r="G72" i="23" s="1"/>
  <c r="F72" i="24"/>
  <c r="G72" i="24" s="1"/>
  <c r="F69" i="23"/>
  <c r="G69" i="23" s="1"/>
  <c r="F69" i="24"/>
  <c r="G69" i="24" s="1"/>
  <c r="F78" i="23"/>
  <c r="G78" i="23" s="1"/>
  <c r="F78" i="24"/>
  <c r="G78" i="24" s="1"/>
  <c r="D59" i="24"/>
  <c r="C59" i="24" s="1"/>
  <c r="C60" i="24"/>
  <c r="D61" i="24"/>
  <c r="H61" i="24" s="1"/>
  <c r="F60" i="23"/>
  <c r="G60" i="23" s="1"/>
  <c r="F60" i="24"/>
  <c r="G60" i="24" s="1"/>
  <c r="D79" i="24"/>
  <c r="H79" i="24" s="1"/>
  <c r="D77" i="24"/>
  <c r="C77" i="24" s="1"/>
  <c r="C78" i="24"/>
  <c r="F57" i="23"/>
  <c r="G57" i="23" s="1"/>
  <c r="F57" i="24"/>
  <c r="G57" i="24" s="1"/>
  <c r="D76" i="22"/>
  <c r="H76" i="22" s="1"/>
  <c r="D76" i="23"/>
  <c r="H76" i="23" s="1"/>
  <c r="C75" i="23"/>
  <c r="D74" i="23"/>
  <c r="C74" i="23" s="1"/>
  <c r="F75" i="22"/>
  <c r="G75" i="22" s="1"/>
  <c r="F75" i="23"/>
  <c r="G75" i="23" s="1"/>
  <c r="D65" i="23"/>
  <c r="C65" i="23" s="1"/>
  <c r="C66" i="23"/>
  <c r="D67" i="23"/>
  <c r="H67" i="23" s="1"/>
  <c r="D64" i="23"/>
  <c r="H64" i="23" s="1"/>
  <c r="C63" i="23"/>
  <c r="D62" i="23"/>
  <c r="C62" i="23" s="1"/>
  <c r="D70" i="23"/>
  <c r="H70" i="23" s="1"/>
  <c r="C69" i="23"/>
  <c r="D68" i="23"/>
  <c r="C68" i="23" s="1"/>
  <c r="D58" i="23"/>
  <c r="H58" i="23" s="1"/>
  <c r="C57" i="23"/>
  <c r="D56" i="23"/>
  <c r="C56" i="23" s="1"/>
  <c r="D71" i="23"/>
  <c r="C71" i="23" s="1"/>
  <c r="C72" i="23"/>
  <c r="D73" i="23"/>
  <c r="H73" i="23" s="1"/>
  <c r="D82" i="23"/>
  <c r="H82" i="23" s="1"/>
  <c r="C81" i="23"/>
  <c r="D80" i="23"/>
  <c r="C80" i="23" s="1"/>
  <c r="D85" i="21"/>
  <c r="H85" i="21" s="1"/>
  <c r="H83" i="21" s="1"/>
  <c r="I83" i="21" s="1"/>
  <c r="C66" i="20"/>
  <c r="D68" i="20"/>
  <c r="C68" i="20" s="1"/>
  <c r="C72" i="20"/>
  <c r="C78" i="21"/>
  <c r="D73" i="20"/>
  <c r="H73" i="20" s="1"/>
  <c r="H71" i="20" s="1"/>
  <c r="I71" i="20" s="1"/>
  <c r="C84" i="21"/>
  <c r="D74" i="20"/>
  <c r="C74" i="20" s="1"/>
  <c r="D61" i="21"/>
  <c r="H61" i="21" s="1"/>
  <c r="H59" i="21" s="1"/>
  <c r="I59" i="21" s="1"/>
  <c r="C60" i="21"/>
  <c r="D77" i="21"/>
  <c r="C77" i="21" s="1"/>
  <c r="C69" i="20"/>
  <c r="F66" i="21"/>
  <c r="G66" i="21" s="1"/>
  <c r="F66" i="22"/>
  <c r="G66" i="22" s="1"/>
  <c r="F69" i="21"/>
  <c r="G69" i="21" s="1"/>
  <c r="F69" i="22"/>
  <c r="G69" i="22" s="1"/>
  <c r="F84" i="21"/>
  <c r="G84" i="21" s="1"/>
  <c r="F84" i="22"/>
  <c r="G84" i="22" s="1"/>
  <c r="F60" i="21"/>
  <c r="G60" i="21" s="1"/>
  <c r="F60" i="22"/>
  <c r="G60" i="22" s="1"/>
  <c r="D79" i="22"/>
  <c r="H79" i="22" s="1"/>
  <c r="C78" i="22"/>
  <c r="D77" i="22"/>
  <c r="C77" i="22" s="1"/>
  <c r="D59" i="22"/>
  <c r="C59" i="22" s="1"/>
  <c r="C60" i="22"/>
  <c r="D61" i="22"/>
  <c r="H61" i="22" s="1"/>
  <c r="D83" i="22"/>
  <c r="C83" i="22" s="1"/>
  <c r="C84" i="22"/>
  <c r="D85" i="22"/>
  <c r="H85" i="22" s="1"/>
  <c r="F78" i="21"/>
  <c r="G78" i="21" s="1"/>
  <c r="F78" i="22"/>
  <c r="G78" i="22" s="1"/>
  <c r="F81" i="21"/>
  <c r="G81" i="21" s="1"/>
  <c r="F81" i="22"/>
  <c r="G81" i="22" s="1"/>
  <c r="F72" i="21"/>
  <c r="G72" i="21" s="1"/>
  <c r="F72" i="22"/>
  <c r="G72" i="22" s="1"/>
  <c r="C75" i="20"/>
  <c r="F57" i="21"/>
  <c r="G57" i="21" s="1"/>
  <c r="F57" i="22"/>
  <c r="G57" i="22" s="1"/>
  <c r="F63" i="21"/>
  <c r="G63" i="21" s="1"/>
  <c r="F63" i="22"/>
  <c r="G63" i="22" s="1"/>
  <c r="D58" i="20"/>
  <c r="H58" i="20" s="1"/>
  <c r="H56" i="20" s="1"/>
  <c r="I56" i="20" s="1"/>
  <c r="D64" i="20"/>
  <c r="H64" i="20" s="1"/>
  <c r="H62" i="20" s="1"/>
  <c r="I62" i="20" s="1"/>
  <c r="C63" i="20"/>
  <c r="D61" i="18"/>
  <c r="H61" i="18" s="1"/>
  <c r="D65" i="20"/>
  <c r="C65" i="20" s="1"/>
  <c r="D59" i="18"/>
  <c r="C59" i="18" s="1"/>
  <c r="C57" i="20"/>
  <c r="C81" i="20"/>
  <c r="D82" i="20"/>
  <c r="H82" i="20" s="1"/>
  <c r="H80" i="20" s="1"/>
  <c r="I80" i="20" s="1"/>
  <c r="D58" i="21"/>
  <c r="H58" i="21" s="1"/>
  <c r="D56" i="21"/>
  <c r="C56" i="21" s="1"/>
  <c r="C57" i="21"/>
  <c r="F75" i="20"/>
  <c r="G75" i="20" s="1"/>
  <c r="F75" i="21"/>
  <c r="G75" i="21" s="1"/>
  <c r="D70" i="21"/>
  <c r="H70" i="21" s="1"/>
  <c r="D68" i="21"/>
  <c r="C68" i="21" s="1"/>
  <c r="C69" i="21"/>
  <c r="D82" i="21"/>
  <c r="H82" i="21" s="1"/>
  <c r="D80" i="21"/>
  <c r="C80" i="21" s="1"/>
  <c r="C81" i="21"/>
  <c r="D71" i="21"/>
  <c r="C71" i="21" s="1"/>
  <c r="C72" i="21"/>
  <c r="D73" i="21"/>
  <c r="H73" i="21" s="1"/>
  <c r="D67" i="21"/>
  <c r="H67" i="21" s="1"/>
  <c r="D65" i="21"/>
  <c r="C65" i="21" s="1"/>
  <c r="C66" i="21"/>
  <c r="D64" i="21"/>
  <c r="H64" i="21" s="1"/>
  <c r="D62" i="21"/>
  <c r="C62" i="21" s="1"/>
  <c r="C63" i="21"/>
  <c r="D76" i="21"/>
  <c r="H76" i="21" s="1"/>
  <c r="D74" i="21"/>
  <c r="C74" i="21" s="1"/>
  <c r="C75" i="21"/>
  <c r="D77" i="18"/>
  <c r="C77" i="18" s="1"/>
  <c r="C63" i="17"/>
  <c r="C78" i="18"/>
  <c r="F60" i="18"/>
  <c r="G60" i="18" s="1"/>
  <c r="F60" i="20"/>
  <c r="G60" i="20" s="1"/>
  <c r="D79" i="20"/>
  <c r="H79" i="20" s="1"/>
  <c r="D77" i="20"/>
  <c r="C77" i="20" s="1"/>
  <c r="C78" i="20"/>
  <c r="D59" i="20"/>
  <c r="C59" i="20" s="1"/>
  <c r="C60" i="20"/>
  <c r="D61" i="20"/>
  <c r="H61" i="20" s="1"/>
  <c r="F78" i="18"/>
  <c r="G78" i="18" s="1"/>
  <c r="F78" i="20"/>
  <c r="G78" i="20" s="1"/>
  <c r="F57" i="18"/>
  <c r="G57" i="18" s="1"/>
  <c r="F57" i="20"/>
  <c r="G57" i="20" s="1"/>
  <c r="D85" i="18"/>
  <c r="H85" i="18" s="1"/>
  <c r="H83" i="18" s="1"/>
  <c r="I83" i="18" s="1"/>
  <c r="F63" i="18"/>
  <c r="G63" i="18" s="1"/>
  <c r="F63" i="20"/>
  <c r="G63" i="20" s="1"/>
  <c r="C84" i="18"/>
  <c r="F72" i="18"/>
  <c r="G72" i="18" s="1"/>
  <c r="F72" i="20"/>
  <c r="G72" i="20" s="1"/>
  <c r="F66" i="18"/>
  <c r="G66" i="18" s="1"/>
  <c r="F66" i="20"/>
  <c r="G66" i="20" s="1"/>
  <c r="F81" i="18"/>
  <c r="G81" i="18" s="1"/>
  <c r="F81" i="20"/>
  <c r="G81" i="20" s="1"/>
  <c r="F84" i="18"/>
  <c r="G84" i="18" s="1"/>
  <c r="F84" i="20"/>
  <c r="G84" i="20" s="1"/>
  <c r="F69" i="18"/>
  <c r="G69" i="18" s="1"/>
  <c r="F69" i="20"/>
  <c r="G69" i="20" s="1"/>
  <c r="D83" i="20"/>
  <c r="C83" i="20" s="1"/>
  <c r="C84" i="20"/>
  <c r="D85" i="20"/>
  <c r="H85" i="20" s="1"/>
  <c r="D62" i="17"/>
  <c r="C62" i="17" s="1"/>
  <c r="D68" i="17"/>
  <c r="C68" i="17" s="1"/>
  <c r="D70" i="17"/>
  <c r="H70" i="17" s="1"/>
  <c r="D59" i="16"/>
  <c r="C59" i="16" s="1"/>
  <c r="C60" i="16"/>
  <c r="D56" i="17"/>
  <c r="C56" i="17" s="1"/>
  <c r="C75" i="17"/>
  <c r="D74" i="17"/>
  <c r="C74" i="17" s="1"/>
  <c r="D77" i="16"/>
  <c r="C77" i="16" s="1"/>
  <c r="C78" i="16"/>
  <c r="D83" i="16"/>
  <c r="C83" i="16" s="1"/>
  <c r="D85" i="16"/>
  <c r="H85" i="16" s="1"/>
  <c r="D65" i="17"/>
  <c r="C65" i="17" s="1"/>
  <c r="C75" i="14"/>
  <c r="D74" i="14"/>
  <c r="C74" i="14" s="1"/>
  <c r="D73" i="17"/>
  <c r="H73" i="17" s="1"/>
  <c r="H71" i="17" s="1"/>
  <c r="I71" i="17" s="1"/>
  <c r="D58" i="17"/>
  <c r="H58" i="17" s="1"/>
  <c r="C72" i="17"/>
  <c r="D80" i="17"/>
  <c r="C80" i="17" s="1"/>
  <c r="D82" i="17"/>
  <c r="H82" i="17" s="1"/>
  <c r="D70" i="14"/>
  <c r="H70" i="14" s="1"/>
  <c r="H68" i="14" s="1"/>
  <c r="I68" i="14" s="1"/>
  <c r="C57" i="14"/>
  <c r="C69" i="14"/>
  <c r="D58" i="14"/>
  <c r="H58" i="14" s="1"/>
  <c r="H56" i="14" s="1"/>
  <c r="I56" i="14" s="1"/>
  <c r="D73" i="14"/>
  <c r="H73" i="14" s="1"/>
  <c r="H71" i="14" s="1"/>
  <c r="I71" i="14" s="1"/>
  <c r="C66" i="14"/>
  <c r="D65" i="14"/>
  <c r="C65" i="14" s="1"/>
  <c r="D76" i="18"/>
  <c r="H76" i="18" s="1"/>
  <c r="D74" i="18"/>
  <c r="C74" i="18" s="1"/>
  <c r="C75" i="18"/>
  <c r="C81" i="18"/>
  <c r="D82" i="18"/>
  <c r="H82" i="18" s="1"/>
  <c r="D80" i="18"/>
  <c r="C80" i="18" s="1"/>
  <c r="D58" i="18"/>
  <c r="H58" i="18" s="1"/>
  <c r="C57" i="18"/>
  <c r="D56" i="18"/>
  <c r="C56" i="18" s="1"/>
  <c r="C72" i="14"/>
  <c r="D67" i="18"/>
  <c r="H67" i="18" s="1"/>
  <c r="D65" i="18"/>
  <c r="C65" i="18" s="1"/>
  <c r="C66" i="18"/>
  <c r="C69" i="18"/>
  <c r="D70" i="18"/>
  <c r="H70" i="18" s="1"/>
  <c r="D68" i="18"/>
  <c r="C68" i="18" s="1"/>
  <c r="F75" i="17"/>
  <c r="G75" i="17" s="1"/>
  <c r="F75" i="18"/>
  <c r="G75" i="18" s="1"/>
  <c r="C66" i="17"/>
  <c r="D64" i="18"/>
  <c r="H64" i="18" s="1"/>
  <c r="D62" i="18"/>
  <c r="C62" i="18" s="1"/>
  <c r="C63" i="18"/>
  <c r="D71" i="18"/>
  <c r="C71" i="18" s="1"/>
  <c r="C72" i="18"/>
  <c r="D73" i="18"/>
  <c r="H73" i="18" s="1"/>
  <c r="D82" i="14"/>
  <c r="H82" i="14" s="1"/>
  <c r="H80" i="14" s="1"/>
  <c r="I80" i="14" s="1"/>
  <c r="D79" i="17"/>
  <c r="H79" i="17" s="1"/>
  <c r="D77" i="17"/>
  <c r="C77" i="17" s="1"/>
  <c r="C78" i="17"/>
  <c r="D83" i="17"/>
  <c r="C83" i="17" s="1"/>
  <c r="C84" i="17"/>
  <c r="D85" i="17"/>
  <c r="H85" i="17" s="1"/>
  <c r="F66" i="16"/>
  <c r="G66" i="16" s="1"/>
  <c r="F66" i="17"/>
  <c r="G66" i="17" s="1"/>
  <c r="F63" i="16"/>
  <c r="G63" i="16" s="1"/>
  <c r="F63" i="17"/>
  <c r="G63" i="17" s="1"/>
  <c r="F72" i="16"/>
  <c r="G72" i="16" s="1"/>
  <c r="F72" i="17"/>
  <c r="G72" i="17" s="1"/>
  <c r="F69" i="16"/>
  <c r="G69" i="16" s="1"/>
  <c r="F69" i="17"/>
  <c r="G69" i="17" s="1"/>
  <c r="F78" i="16"/>
  <c r="G78" i="16" s="1"/>
  <c r="F78" i="17"/>
  <c r="G78" i="17" s="1"/>
  <c r="F81" i="16"/>
  <c r="G81" i="16" s="1"/>
  <c r="F81" i="17"/>
  <c r="G81" i="17" s="1"/>
  <c r="F84" i="16"/>
  <c r="G84" i="16" s="1"/>
  <c r="F84" i="17"/>
  <c r="G84" i="17" s="1"/>
  <c r="F60" i="16"/>
  <c r="G60" i="16" s="1"/>
  <c r="F60" i="17"/>
  <c r="G60" i="17" s="1"/>
  <c r="D59" i="17"/>
  <c r="C59" i="17" s="1"/>
  <c r="C60" i="17"/>
  <c r="D61" i="17"/>
  <c r="H61" i="17" s="1"/>
  <c r="C81" i="14"/>
  <c r="F57" i="16"/>
  <c r="G57" i="16" s="1"/>
  <c r="F57" i="17"/>
  <c r="G57" i="17" s="1"/>
  <c r="F75" i="14"/>
  <c r="G75" i="14" s="1"/>
  <c r="F75" i="16"/>
  <c r="G75" i="16" s="1"/>
  <c r="D62" i="16"/>
  <c r="C62" i="16" s="1"/>
  <c r="C63" i="16"/>
  <c r="D64" i="16"/>
  <c r="H64" i="16" s="1"/>
  <c r="D74" i="16"/>
  <c r="C74" i="16" s="1"/>
  <c r="C75" i="16"/>
  <c r="D76" i="16"/>
  <c r="H76" i="16" s="1"/>
  <c r="D58" i="16"/>
  <c r="H58" i="16" s="1"/>
  <c r="D56" i="16"/>
  <c r="C56" i="16" s="1"/>
  <c r="C57" i="16"/>
  <c r="C72" i="16"/>
  <c r="D73" i="16"/>
  <c r="H73" i="16" s="1"/>
  <c r="D71" i="16"/>
  <c r="C71" i="16" s="1"/>
  <c r="D82" i="16"/>
  <c r="H82" i="16" s="1"/>
  <c r="D80" i="16"/>
  <c r="C80" i="16" s="1"/>
  <c r="C81" i="16"/>
  <c r="D70" i="16"/>
  <c r="H70" i="16" s="1"/>
  <c r="D68" i="16"/>
  <c r="C68" i="16" s="1"/>
  <c r="C69" i="16"/>
  <c r="D67" i="16"/>
  <c r="H67" i="16" s="1"/>
  <c r="D65" i="16"/>
  <c r="C65" i="16" s="1"/>
  <c r="C66" i="16"/>
  <c r="C63" i="14"/>
  <c r="D62" i="14"/>
  <c r="C62" i="14" s="1"/>
  <c r="C72" i="10"/>
  <c r="C60" i="9"/>
  <c r="D83" i="13"/>
  <c r="C83" i="13" s="1"/>
  <c r="D61" i="13"/>
  <c r="H61" i="13" s="1"/>
  <c r="H59" i="13" s="1"/>
  <c r="I59" i="13" s="1"/>
  <c r="C60" i="13"/>
  <c r="C63" i="12"/>
  <c r="D64" i="12"/>
  <c r="H64" i="12" s="1"/>
  <c r="H62" i="12" s="1"/>
  <c r="I62" i="12" s="1"/>
  <c r="D80" i="12"/>
  <c r="C80" i="12" s="1"/>
  <c r="C57" i="12"/>
  <c r="C63" i="10"/>
  <c r="C60" i="11"/>
  <c r="D68" i="12"/>
  <c r="C68" i="12" s="1"/>
  <c r="D67" i="12"/>
  <c r="H67" i="12" s="1"/>
  <c r="H65" i="12" s="1"/>
  <c r="I65" i="12" s="1"/>
  <c r="C84" i="13"/>
  <c r="D62" i="10"/>
  <c r="C62" i="10" s="1"/>
  <c r="D67" i="10"/>
  <c r="H67" i="10" s="1"/>
  <c r="H65" i="10" s="1"/>
  <c r="I65" i="10" s="1"/>
  <c r="D73" i="12"/>
  <c r="H73" i="12" s="1"/>
  <c r="H71" i="12" s="1"/>
  <c r="I71" i="12" s="1"/>
  <c r="C72" i="12"/>
  <c r="C75" i="12"/>
  <c r="D68" i="8"/>
  <c r="C68" i="8" s="1"/>
  <c r="D83" i="9"/>
  <c r="C83" i="9" s="1"/>
  <c r="D74" i="12"/>
  <c r="C74" i="12" s="1"/>
  <c r="D77" i="13"/>
  <c r="C77" i="13" s="1"/>
  <c r="D82" i="8"/>
  <c r="H82" i="8" s="1"/>
  <c r="H80" i="8" s="1"/>
  <c r="I80" i="8" s="1"/>
  <c r="D79" i="11"/>
  <c r="H79" i="11" s="1"/>
  <c r="D56" i="12"/>
  <c r="C56" i="12" s="1"/>
  <c r="D77" i="11"/>
  <c r="C77" i="11" s="1"/>
  <c r="C66" i="12"/>
  <c r="F84" i="13"/>
  <c r="G84" i="13" s="1"/>
  <c r="F84" i="14"/>
  <c r="G84" i="14" s="1"/>
  <c r="C69" i="12"/>
  <c r="C81" i="12"/>
  <c r="C78" i="13"/>
  <c r="D83" i="14"/>
  <c r="C83" i="14" s="1"/>
  <c r="C84" i="14"/>
  <c r="D85" i="14"/>
  <c r="H85" i="14" s="1"/>
  <c r="F60" i="13"/>
  <c r="G60" i="13" s="1"/>
  <c r="F60" i="14"/>
  <c r="G60" i="14" s="1"/>
  <c r="D59" i="14"/>
  <c r="C59" i="14" s="1"/>
  <c r="C60" i="14"/>
  <c r="D61" i="14"/>
  <c r="H61" i="14" s="1"/>
  <c r="C57" i="10"/>
  <c r="F57" i="13"/>
  <c r="G57" i="13" s="1"/>
  <c r="F57" i="14"/>
  <c r="G57" i="14" s="1"/>
  <c r="D79" i="9"/>
  <c r="H79" i="9" s="1"/>
  <c r="H77" i="9" s="1"/>
  <c r="I77" i="9" s="1"/>
  <c r="C69" i="10"/>
  <c r="D58" i="10"/>
  <c r="H58" i="10" s="1"/>
  <c r="H56" i="10" s="1"/>
  <c r="I56" i="10" s="1"/>
  <c r="D79" i="14"/>
  <c r="H79" i="14" s="1"/>
  <c r="D77" i="14"/>
  <c r="C77" i="14" s="1"/>
  <c r="C78" i="14"/>
  <c r="F78" i="13"/>
  <c r="G78" i="13" s="1"/>
  <c r="F78" i="14"/>
  <c r="G78" i="14" s="1"/>
  <c r="F81" i="13"/>
  <c r="G81" i="13" s="1"/>
  <c r="F81" i="14"/>
  <c r="G81" i="14" s="1"/>
  <c r="D76" i="10"/>
  <c r="H76" i="10" s="1"/>
  <c r="D70" i="10"/>
  <c r="H70" i="10" s="1"/>
  <c r="H68" i="10" s="1"/>
  <c r="I68" i="10" s="1"/>
  <c r="F63" i="13"/>
  <c r="G63" i="13" s="1"/>
  <c r="F63" i="14"/>
  <c r="G63" i="14" s="1"/>
  <c r="F72" i="13"/>
  <c r="G72" i="13" s="1"/>
  <c r="F72" i="14"/>
  <c r="G72" i="14" s="1"/>
  <c r="F66" i="13"/>
  <c r="G66" i="13" s="1"/>
  <c r="F66" i="14"/>
  <c r="G66" i="14" s="1"/>
  <c r="F69" i="13"/>
  <c r="G69" i="13" s="1"/>
  <c r="F69" i="14"/>
  <c r="G69" i="14" s="1"/>
  <c r="C81" i="8"/>
  <c r="D61" i="11"/>
  <c r="H61" i="11" s="1"/>
  <c r="H59" i="11" s="1"/>
  <c r="I59" i="11" s="1"/>
  <c r="C66" i="10"/>
  <c r="C84" i="11"/>
  <c r="D85" i="11"/>
  <c r="H85" i="11" s="1"/>
  <c r="H83" i="11" s="1"/>
  <c r="I83" i="11" s="1"/>
  <c r="D67" i="13"/>
  <c r="H67" i="13" s="1"/>
  <c r="C66" i="13"/>
  <c r="D65" i="13"/>
  <c r="C65" i="13" s="1"/>
  <c r="D82" i="13"/>
  <c r="H82" i="13" s="1"/>
  <c r="C81" i="13"/>
  <c r="D80" i="13"/>
  <c r="C80" i="13" s="1"/>
  <c r="F75" i="12"/>
  <c r="G75" i="12" s="1"/>
  <c r="F75" i="13"/>
  <c r="G75" i="13" s="1"/>
  <c r="D64" i="13"/>
  <c r="H64" i="13" s="1"/>
  <c r="D62" i="13"/>
  <c r="C62" i="13" s="1"/>
  <c r="C63" i="13"/>
  <c r="C57" i="13"/>
  <c r="D58" i="13"/>
  <c r="H58" i="13" s="1"/>
  <c r="D56" i="13"/>
  <c r="C56" i="13" s="1"/>
  <c r="C69" i="13"/>
  <c r="D68" i="13"/>
  <c r="C68" i="13" s="1"/>
  <c r="D70" i="13"/>
  <c r="H70" i="13" s="1"/>
  <c r="D76" i="13"/>
  <c r="H76" i="13" s="1"/>
  <c r="D74" i="13"/>
  <c r="C74" i="13" s="1"/>
  <c r="C75" i="13"/>
  <c r="D71" i="13"/>
  <c r="C71" i="13" s="1"/>
  <c r="C72" i="13"/>
  <c r="D73" i="13"/>
  <c r="H73" i="13" s="1"/>
  <c r="F69" i="11"/>
  <c r="G69" i="11" s="1"/>
  <c r="F69" i="12"/>
  <c r="G69" i="12" s="1"/>
  <c r="C66" i="8"/>
  <c r="D74" i="10"/>
  <c r="C74" i="10" s="1"/>
  <c r="F84" i="11"/>
  <c r="G84" i="11" s="1"/>
  <c r="F84" i="12"/>
  <c r="G84" i="12" s="1"/>
  <c r="D67" i="8"/>
  <c r="H67" i="8" s="1"/>
  <c r="H65" i="8" s="1"/>
  <c r="I65" i="8" s="1"/>
  <c r="D80" i="10"/>
  <c r="C80" i="10" s="1"/>
  <c r="F60" i="11"/>
  <c r="G60" i="11" s="1"/>
  <c r="F60" i="12"/>
  <c r="G60" i="12" s="1"/>
  <c r="C81" i="10"/>
  <c r="F78" i="11"/>
  <c r="G78" i="11" s="1"/>
  <c r="F78" i="12"/>
  <c r="G78" i="12" s="1"/>
  <c r="D74" i="8"/>
  <c r="C74" i="8" s="1"/>
  <c r="D59" i="12"/>
  <c r="C59" i="12" s="1"/>
  <c r="C60" i="12"/>
  <c r="D61" i="12"/>
  <c r="H61" i="12" s="1"/>
  <c r="D83" i="12"/>
  <c r="C83" i="12" s="1"/>
  <c r="C84" i="12"/>
  <c r="D85" i="12"/>
  <c r="H85" i="12" s="1"/>
  <c r="F81" i="11"/>
  <c r="G81" i="11" s="1"/>
  <c r="F81" i="12"/>
  <c r="G81" i="12" s="1"/>
  <c r="F57" i="11"/>
  <c r="G57" i="11" s="1"/>
  <c r="F57" i="12"/>
  <c r="G57" i="12" s="1"/>
  <c r="F63" i="11"/>
  <c r="G63" i="11" s="1"/>
  <c r="F63" i="12"/>
  <c r="G63" i="12" s="1"/>
  <c r="C63" i="8"/>
  <c r="D79" i="12"/>
  <c r="H79" i="12" s="1"/>
  <c r="D77" i="12"/>
  <c r="C77" i="12" s="1"/>
  <c r="C78" i="12"/>
  <c r="D62" i="8"/>
  <c r="C62" i="8" s="1"/>
  <c r="F72" i="11"/>
  <c r="G72" i="11" s="1"/>
  <c r="F72" i="12"/>
  <c r="G72" i="12" s="1"/>
  <c r="F66" i="11"/>
  <c r="G66" i="11" s="1"/>
  <c r="F66" i="12"/>
  <c r="G66" i="12" s="1"/>
  <c r="D61" i="9"/>
  <c r="H61" i="9" s="1"/>
  <c r="H59" i="9" s="1"/>
  <c r="I59" i="9" s="1"/>
  <c r="D71" i="11"/>
  <c r="C71" i="11" s="1"/>
  <c r="C72" i="11"/>
  <c r="D73" i="11"/>
  <c r="H73" i="11" s="1"/>
  <c r="D64" i="11"/>
  <c r="H64" i="11" s="1"/>
  <c r="D62" i="11"/>
  <c r="C62" i="11" s="1"/>
  <c r="C63" i="11"/>
  <c r="D70" i="8"/>
  <c r="H70" i="8" s="1"/>
  <c r="C78" i="9"/>
  <c r="D67" i="11"/>
  <c r="H67" i="11" s="1"/>
  <c r="D65" i="11"/>
  <c r="C65" i="11" s="1"/>
  <c r="C66" i="11"/>
  <c r="D82" i="11"/>
  <c r="H82" i="11" s="1"/>
  <c r="D80" i="11"/>
  <c r="C80" i="11" s="1"/>
  <c r="C81" i="11"/>
  <c r="F75" i="10"/>
  <c r="G75" i="10" s="1"/>
  <c r="F75" i="11"/>
  <c r="G75" i="11" s="1"/>
  <c r="D58" i="11"/>
  <c r="H58" i="11" s="1"/>
  <c r="D56" i="11"/>
  <c r="C56" i="11" s="1"/>
  <c r="C57" i="11"/>
  <c r="D73" i="10"/>
  <c r="H73" i="10" s="1"/>
  <c r="H71" i="10" s="1"/>
  <c r="I71" i="10" s="1"/>
  <c r="D76" i="11"/>
  <c r="H76" i="11" s="1"/>
  <c r="D74" i="11"/>
  <c r="C74" i="11" s="1"/>
  <c r="C75" i="11"/>
  <c r="D70" i="11"/>
  <c r="H70" i="11" s="1"/>
  <c r="D68" i="11"/>
  <c r="C68" i="11" s="1"/>
  <c r="C69" i="11"/>
  <c r="F57" i="9"/>
  <c r="G57" i="9" s="1"/>
  <c r="F57" i="10"/>
  <c r="G57" i="10" s="1"/>
  <c r="D56" i="8"/>
  <c r="C56" i="8" s="1"/>
  <c r="D58" i="8"/>
  <c r="H58" i="8" s="1"/>
  <c r="C84" i="9"/>
  <c r="D79" i="10"/>
  <c r="H79" i="10" s="1"/>
  <c r="D77" i="10"/>
  <c r="C77" i="10" s="1"/>
  <c r="C78" i="10"/>
  <c r="C72" i="8"/>
  <c r="F63" i="9"/>
  <c r="G63" i="9" s="1"/>
  <c r="F63" i="10"/>
  <c r="G63" i="10" s="1"/>
  <c r="F72" i="9"/>
  <c r="G72" i="9" s="1"/>
  <c r="F72" i="10"/>
  <c r="G72" i="10" s="1"/>
  <c r="F69" i="9"/>
  <c r="G69" i="9" s="1"/>
  <c r="F69" i="10"/>
  <c r="G69" i="10" s="1"/>
  <c r="F78" i="9"/>
  <c r="G78" i="9" s="1"/>
  <c r="F78" i="10"/>
  <c r="G78" i="10" s="1"/>
  <c r="F81" i="9"/>
  <c r="G81" i="9" s="1"/>
  <c r="F81" i="10"/>
  <c r="G81" i="10" s="1"/>
  <c r="D83" i="10"/>
  <c r="C83" i="10" s="1"/>
  <c r="C84" i="10"/>
  <c r="D85" i="10"/>
  <c r="H85" i="10" s="1"/>
  <c r="F66" i="9"/>
  <c r="G66" i="9" s="1"/>
  <c r="F66" i="10"/>
  <c r="G66" i="10" s="1"/>
  <c r="F84" i="9"/>
  <c r="G84" i="9" s="1"/>
  <c r="F84" i="10"/>
  <c r="G84" i="10" s="1"/>
  <c r="F60" i="9"/>
  <c r="G60" i="9" s="1"/>
  <c r="F60" i="10"/>
  <c r="G60" i="10" s="1"/>
  <c r="D59" i="10"/>
  <c r="C59" i="10" s="1"/>
  <c r="C60" i="10"/>
  <c r="D61" i="10"/>
  <c r="H61" i="10" s="1"/>
  <c r="C75" i="8"/>
  <c r="D76" i="9"/>
  <c r="H76" i="9" s="1"/>
  <c r="C75" i="9"/>
  <c r="D74" i="9"/>
  <c r="C74" i="9" s="1"/>
  <c r="D71" i="9"/>
  <c r="C71" i="9" s="1"/>
  <c r="D73" i="9"/>
  <c r="H73" i="9" s="1"/>
  <c r="C72" i="9"/>
  <c r="F75" i="8"/>
  <c r="G75" i="8" s="1"/>
  <c r="F75" i="9"/>
  <c r="G75" i="9" s="1"/>
  <c r="D58" i="9"/>
  <c r="H58" i="9" s="1"/>
  <c r="D56" i="9"/>
  <c r="C56" i="9" s="1"/>
  <c r="C57" i="9"/>
  <c r="D73" i="8"/>
  <c r="H73" i="8" s="1"/>
  <c r="H71" i="8" s="1"/>
  <c r="I71" i="8" s="1"/>
  <c r="D70" i="9"/>
  <c r="H70" i="9" s="1"/>
  <c r="D68" i="9"/>
  <c r="C68" i="9" s="1"/>
  <c r="C69" i="9"/>
  <c r="D65" i="9"/>
  <c r="C65" i="9" s="1"/>
  <c r="C66" i="9"/>
  <c r="D67" i="9"/>
  <c r="H67" i="9" s="1"/>
  <c r="D82" i="9"/>
  <c r="H82" i="9" s="1"/>
  <c r="D80" i="9"/>
  <c r="C80" i="9" s="1"/>
  <c r="C81" i="9"/>
  <c r="D64" i="9"/>
  <c r="H64" i="9" s="1"/>
  <c r="C63" i="9"/>
  <c r="D62" i="9"/>
  <c r="C62" i="9" s="1"/>
  <c r="F57" i="8"/>
  <c r="G57" i="8" s="1"/>
  <c r="F63" i="8"/>
  <c r="G63" i="8" s="1"/>
  <c r="F72" i="8"/>
  <c r="G72" i="8" s="1"/>
  <c r="D83" i="8"/>
  <c r="C83" i="8" s="1"/>
  <c r="C84" i="8"/>
  <c r="D85" i="8"/>
  <c r="H85" i="8" s="1"/>
  <c r="F66" i="8"/>
  <c r="G66" i="8" s="1"/>
  <c r="F69" i="8"/>
  <c r="G69" i="8" s="1"/>
  <c r="D79" i="8"/>
  <c r="H79" i="8" s="1"/>
  <c r="D77" i="8"/>
  <c r="C77" i="8" s="1"/>
  <c r="C78" i="8"/>
  <c r="F78" i="8"/>
  <c r="G78" i="8" s="1"/>
  <c r="F81" i="8"/>
  <c r="G81" i="8" s="1"/>
  <c r="F84" i="8"/>
  <c r="G84" i="8" s="1"/>
  <c r="F60" i="8"/>
  <c r="G60" i="8" s="1"/>
  <c r="D59" i="8"/>
  <c r="C59" i="8" s="1"/>
  <c r="C60" i="8"/>
  <c r="D61" i="8"/>
  <c r="H61" i="8" s="1"/>
  <c r="F69" i="4"/>
  <c r="G69" i="4" s="1"/>
  <c r="F57" i="4"/>
  <c r="G57" i="4" s="1"/>
  <c r="F75" i="4"/>
  <c r="G75" i="4" s="1"/>
  <c r="F72" i="4"/>
  <c r="G72" i="4" s="1"/>
  <c r="F66" i="4"/>
  <c r="G66" i="4" s="1"/>
  <c r="F60" i="4"/>
  <c r="G60" i="4" s="1"/>
  <c r="F87" i="4"/>
  <c r="G87" i="4" s="1"/>
  <c r="F90" i="4"/>
  <c r="G90" i="4" s="1"/>
  <c r="F63" i="4"/>
  <c r="G63" i="4" s="1"/>
  <c r="F78" i="4"/>
  <c r="G78" i="4" s="1"/>
  <c r="D85" i="4"/>
  <c r="H85" i="4" s="1"/>
  <c r="C84" i="4"/>
  <c r="D83" i="4"/>
  <c r="C63" i="4"/>
  <c r="D62" i="4"/>
  <c r="D64" i="4"/>
  <c r="H64" i="4" s="1"/>
  <c r="C69" i="4"/>
  <c r="D68" i="4"/>
  <c r="D70" i="4"/>
  <c r="H70" i="4" s="1"/>
  <c r="F81" i="4"/>
  <c r="G81" i="4" s="1"/>
  <c r="D61" i="4"/>
  <c r="H61" i="4" s="1"/>
  <c r="D59" i="4"/>
  <c r="C60" i="4"/>
  <c r="D73" i="4"/>
  <c r="H73" i="4" s="1"/>
  <c r="D71" i="4"/>
  <c r="C72" i="4"/>
  <c r="C78" i="4"/>
  <c r="D77" i="4"/>
  <c r="D79" i="4"/>
  <c r="H79" i="4" s="1"/>
  <c r="C66" i="4"/>
  <c r="D65" i="4"/>
  <c r="D67" i="4"/>
  <c r="H67" i="4" s="1"/>
  <c r="C90" i="4"/>
  <c r="D89" i="4"/>
  <c r="D91" i="4"/>
  <c r="H91" i="4" s="1"/>
  <c r="C87" i="4"/>
  <c r="D86" i="4"/>
  <c r="D88" i="4"/>
  <c r="H88" i="4" s="1"/>
  <c r="D53" i="4"/>
  <c r="D55" i="4"/>
  <c r="H55" i="4" s="1"/>
  <c r="C81" i="4"/>
  <c r="D80" i="4"/>
  <c r="D82" i="4"/>
  <c r="H82" i="4" s="1"/>
  <c r="C75" i="4"/>
  <c r="D74" i="4"/>
  <c r="D76" i="4"/>
  <c r="H76" i="4" s="1"/>
  <c r="F84" i="4"/>
  <c r="G84" i="4" s="1"/>
  <c r="C57" i="4"/>
  <c r="D56" i="4"/>
  <c r="D58" i="4"/>
  <c r="H58" i="4" s="1"/>
  <c r="H77" i="27" l="1"/>
  <c r="I77" i="27" s="1"/>
  <c r="H83" i="27"/>
  <c r="I83" i="27" s="1"/>
  <c r="H74" i="26"/>
  <c r="I74" i="26" s="1"/>
  <c r="H56" i="26"/>
  <c r="I56" i="26" s="1"/>
  <c r="H74" i="22"/>
  <c r="I74" i="22" s="1"/>
  <c r="H62" i="26"/>
  <c r="I62" i="26" s="1"/>
  <c r="H83" i="9"/>
  <c r="I83" i="9" s="1"/>
  <c r="H65" i="24"/>
  <c r="I65" i="24" s="1"/>
  <c r="H68" i="24"/>
  <c r="I68" i="24" s="1"/>
  <c r="H62" i="22"/>
  <c r="I62" i="22" s="1"/>
  <c r="H80" i="26"/>
  <c r="I80" i="26" s="1"/>
  <c r="H68" i="20"/>
  <c r="I68" i="20" s="1"/>
  <c r="H71" i="24"/>
  <c r="I71" i="24" s="1"/>
  <c r="H65" i="26"/>
  <c r="I65" i="26" s="1"/>
  <c r="H56" i="22"/>
  <c r="I56" i="22" s="1"/>
  <c r="I61" i="27"/>
  <c r="H65" i="27"/>
  <c r="I65" i="27" s="1"/>
  <c r="H62" i="27"/>
  <c r="I62" i="27" s="1"/>
  <c r="H80" i="27"/>
  <c r="I80" i="27" s="1"/>
  <c r="H68" i="27"/>
  <c r="I68" i="27" s="1"/>
  <c r="H80" i="24"/>
  <c r="I80" i="24" s="1"/>
  <c r="H56" i="27"/>
  <c r="I56" i="27" s="1"/>
  <c r="H71" i="27"/>
  <c r="I71" i="27" s="1"/>
  <c r="H74" i="27"/>
  <c r="I74" i="27" s="1"/>
  <c r="H77" i="21"/>
  <c r="I77" i="21" s="1"/>
  <c r="H74" i="24"/>
  <c r="I74" i="24" s="1"/>
  <c r="H80" i="22"/>
  <c r="I80" i="22" s="1"/>
  <c r="I64" i="24"/>
  <c r="H65" i="22"/>
  <c r="I65" i="22" s="1"/>
  <c r="I61" i="25"/>
  <c r="I61" i="23"/>
  <c r="H59" i="26"/>
  <c r="I59" i="26" s="1"/>
  <c r="H83" i="26"/>
  <c r="I83" i="26" s="1"/>
  <c r="H77" i="18"/>
  <c r="I77" i="18" s="1"/>
  <c r="I70" i="26"/>
  <c r="H77" i="26"/>
  <c r="I77" i="26" s="1"/>
  <c r="I73" i="26"/>
  <c r="H68" i="25"/>
  <c r="I68" i="25" s="1"/>
  <c r="I85" i="25"/>
  <c r="H80" i="25"/>
  <c r="I80" i="25" s="1"/>
  <c r="H65" i="25"/>
  <c r="I65" i="25" s="1"/>
  <c r="H56" i="25"/>
  <c r="I56" i="25" s="1"/>
  <c r="H62" i="25"/>
  <c r="I62" i="25" s="1"/>
  <c r="H74" i="25"/>
  <c r="I74" i="25" s="1"/>
  <c r="H71" i="25"/>
  <c r="I71" i="25" s="1"/>
  <c r="I58" i="24"/>
  <c r="I79" i="25"/>
  <c r="H59" i="24"/>
  <c r="I59" i="24" s="1"/>
  <c r="H77" i="24"/>
  <c r="I77" i="24" s="1"/>
  <c r="H83" i="24"/>
  <c r="I83" i="24" s="1"/>
  <c r="H56" i="23"/>
  <c r="I56" i="23" s="1"/>
  <c r="I79" i="23"/>
  <c r="H68" i="23"/>
  <c r="I68" i="23" s="1"/>
  <c r="H62" i="23"/>
  <c r="I62" i="23" s="1"/>
  <c r="I85" i="23"/>
  <c r="H65" i="23"/>
  <c r="I65" i="23" s="1"/>
  <c r="H80" i="23"/>
  <c r="I80" i="23" s="1"/>
  <c r="H71" i="23"/>
  <c r="I71" i="23" s="1"/>
  <c r="H74" i="23"/>
  <c r="I74" i="23" s="1"/>
  <c r="H74" i="20"/>
  <c r="I74" i="20" s="1"/>
  <c r="H59" i="18"/>
  <c r="I59" i="18" s="1"/>
  <c r="H83" i="22"/>
  <c r="I83" i="22" s="1"/>
  <c r="H65" i="20"/>
  <c r="I65" i="20" s="1"/>
  <c r="I73" i="22"/>
  <c r="I70" i="22"/>
  <c r="H59" i="22"/>
  <c r="I59" i="22" s="1"/>
  <c r="H77" i="22"/>
  <c r="I77" i="22" s="1"/>
  <c r="H59" i="16"/>
  <c r="I59" i="16" s="1"/>
  <c r="I85" i="21"/>
  <c r="H74" i="21"/>
  <c r="I74" i="21" s="1"/>
  <c r="H80" i="21"/>
  <c r="I80" i="21" s="1"/>
  <c r="I61" i="21"/>
  <c r="H62" i="21"/>
  <c r="I62" i="21" s="1"/>
  <c r="H68" i="21"/>
  <c r="I68" i="21" s="1"/>
  <c r="H65" i="21"/>
  <c r="I65" i="21" s="1"/>
  <c r="H71" i="21"/>
  <c r="I71" i="21" s="1"/>
  <c r="H56" i="21"/>
  <c r="I56" i="21" s="1"/>
  <c r="I64" i="20"/>
  <c r="H68" i="8"/>
  <c r="I68" i="8" s="1"/>
  <c r="H80" i="12"/>
  <c r="I80" i="12" s="1"/>
  <c r="H62" i="17"/>
  <c r="I62" i="17" s="1"/>
  <c r="I82" i="20"/>
  <c r="I73" i="20"/>
  <c r="H77" i="20"/>
  <c r="I77" i="20" s="1"/>
  <c r="H59" i="20"/>
  <c r="I59" i="20" s="1"/>
  <c r="H83" i="20"/>
  <c r="I83" i="20" s="1"/>
  <c r="I58" i="20"/>
  <c r="H68" i="17"/>
  <c r="I68" i="17" s="1"/>
  <c r="H56" i="17"/>
  <c r="I56" i="17" s="1"/>
  <c r="H74" i="14"/>
  <c r="I74" i="14" s="1"/>
  <c r="H74" i="17"/>
  <c r="I74" i="17" s="1"/>
  <c r="H83" i="16"/>
  <c r="I83" i="16" s="1"/>
  <c r="H62" i="14"/>
  <c r="I62" i="14" s="1"/>
  <c r="H65" i="17"/>
  <c r="I65" i="17" s="1"/>
  <c r="H80" i="17"/>
  <c r="I80" i="17" s="1"/>
  <c r="H77" i="16"/>
  <c r="I77" i="16" s="1"/>
  <c r="H65" i="14"/>
  <c r="I65" i="14" s="1"/>
  <c r="H77" i="13"/>
  <c r="I77" i="13" s="1"/>
  <c r="H65" i="18"/>
  <c r="I65" i="18" s="1"/>
  <c r="H71" i="18"/>
  <c r="I71" i="18" s="1"/>
  <c r="H80" i="18"/>
  <c r="I80" i="18" s="1"/>
  <c r="H74" i="18"/>
  <c r="I74" i="18" s="1"/>
  <c r="H62" i="18"/>
  <c r="I62" i="18" s="1"/>
  <c r="H68" i="18"/>
  <c r="I68" i="18" s="1"/>
  <c r="I85" i="18"/>
  <c r="H56" i="18"/>
  <c r="I56" i="18" s="1"/>
  <c r="H83" i="17"/>
  <c r="I83" i="17" s="1"/>
  <c r="H77" i="17"/>
  <c r="I77" i="17" s="1"/>
  <c r="I73" i="17"/>
  <c r="H59" i="17"/>
  <c r="I59" i="17" s="1"/>
  <c r="H80" i="16"/>
  <c r="I80" i="16" s="1"/>
  <c r="H74" i="16"/>
  <c r="I74" i="16" s="1"/>
  <c r="H65" i="16"/>
  <c r="I65" i="16" s="1"/>
  <c r="H71" i="16"/>
  <c r="I71" i="16" s="1"/>
  <c r="H62" i="16"/>
  <c r="I62" i="16" s="1"/>
  <c r="H68" i="16"/>
  <c r="I68" i="16" s="1"/>
  <c r="H56" i="16"/>
  <c r="I56" i="16" s="1"/>
  <c r="H56" i="12"/>
  <c r="I56" i="12" s="1"/>
  <c r="H83" i="13"/>
  <c r="I83" i="13" s="1"/>
  <c r="H62" i="10"/>
  <c r="I62" i="10" s="1"/>
  <c r="H77" i="11"/>
  <c r="I77" i="11" s="1"/>
  <c r="H62" i="8"/>
  <c r="I62" i="8" s="1"/>
  <c r="H68" i="12"/>
  <c r="H74" i="10"/>
  <c r="I74" i="10" s="1"/>
  <c r="I73" i="14"/>
  <c r="H74" i="12"/>
  <c r="I74" i="12" s="1"/>
  <c r="I82" i="14"/>
  <c r="H74" i="8"/>
  <c r="I74" i="8" s="1"/>
  <c r="I70" i="14"/>
  <c r="I58" i="14"/>
  <c r="H77" i="14"/>
  <c r="I77" i="14" s="1"/>
  <c r="H59" i="14"/>
  <c r="I59" i="14" s="1"/>
  <c r="H80" i="10"/>
  <c r="I80" i="10" s="1"/>
  <c r="H83" i="14"/>
  <c r="I83" i="14" s="1"/>
  <c r="H62" i="13"/>
  <c r="I62" i="13" s="1"/>
  <c r="H74" i="13"/>
  <c r="I74" i="13" s="1"/>
  <c r="I61" i="13"/>
  <c r="H65" i="13"/>
  <c r="I65" i="13" s="1"/>
  <c r="H68" i="13"/>
  <c r="I68" i="13" s="1"/>
  <c r="H71" i="13"/>
  <c r="I71" i="13" s="1"/>
  <c r="H56" i="13"/>
  <c r="I56" i="13" s="1"/>
  <c r="H80" i="13"/>
  <c r="I80" i="13" s="1"/>
  <c r="I64" i="12"/>
  <c r="H59" i="12"/>
  <c r="I59" i="12" s="1"/>
  <c r="I73" i="12"/>
  <c r="H77" i="12"/>
  <c r="I77" i="12" s="1"/>
  <c r="I67" i="12"/>
  <c r="H83" i="12"/>
  <c r="I83" i="12" s="1"/>
  <c r="H80" i="11"/>
  <c r="I80" i="11" s="1"/>
  <c r="H56" i="8"/>
  <c r="I56" i="8" s="1"/>
  <c r="H65" i="11"/>
  <c r="I65" i="11" s="1"/>
  <c r="I67" i="10"/>
  <c r="H74" i="11"/>
  <c r="I74" i="11" s="1"/>
  <c r="H62" i="11"/>
  <c r="I62" i="11" s="1"/>
  <c r="I85" i="11"/>
  <c r="I61" i="11"/>
  <c r="I79" i="9"/>
  <c r="H56" i="11"/>
  <c r="I56" i="11" s="1"/>
  <c r="H71" i="11"/>
  <c r="I71" i="11" s="1"/>
  <c r="H68" i="11"/>
  <c r="I68" i="11" s="1"/>
  <c r="I61" i="9"/>
  <c r="I58" i="10"/>
  <c r="H59" i="10"/>
  <c r="I59" i="10" s="1"/>
  <c r="H77" i="10"/>
  <c r="I77" i="10" s="1"/>
  <c r="H83" i="10"/>
  <c r="I83" i="10" s="1"/>
  <c r="I73" i="10"/>
  <c r="I70" i="10"/>
  <c r="H62" i="9"/>
  <c r="I62" i="9" s="1"/>
  <c r="H56" i="9"/>
  <c r="I56" i="9" s="1"/>
  <c r="H68" i="9"/>
  <c r="I68" i="9" s="1"/>
  <c r="H80" i="9"/>
  <c r="I80" i="9" s="1"/>
  <c r="H71" i="9"/>
  <c r="I71" i="9" s="1"/>
  <c r="H65" i="9"/>
  <c r="I65" i="9" s="1"/>
  <c r="H74" i="9"/>
  <c r="I74" i="9" s="1"/>
  <c r="H83" i="8"/>
  <c r="I83" i="8" s="1"/>
  <c r="H77" i="8"/>
  <c r="I77" i="8" s="1"/>
  <c r="I67" i="8"/>
  <c r="I82" i="8"/>
  <c r="I73" i="8"/>
  <c r="H59" i="8"/>
  <c r="I59" i="8" s="1"/>
  <c r="H53" i="4"/>
  <c r="I53" i="4" s="1"/>
  <c r="C89" i="4"/>
  <c r="H89" i="4"/>
  <c r="I89" i="4" s="1"/>
  <c r="C68" i="4"/>
  <c r="H68" i="4"/>
  <c r="I68" i="4" s="1"/>
  <c r="C62" i="4"/>
  <c r="H62" i="4"/>
  <c r="I62" i="4" s="1"/>
  <c r="C80" i="4"/>
  <c r="H80" i="4"/>
  <c r="I80" i="4" s="1"/>
  <c r="H83" i="4"/>
  <c r="I83" i="4" s="1"/>
  <c r="C83" i="4"/>
  <c r="C56" i="4"/>
  <c r="H56" i="4"/>
  <c r="I56" i="4" s="1"/>
  <c r="C86" i="4"/>
  <c r="H86" i="4"/>
  <c r="I86" i="4" s="1"/>
  <c r="H59" i="4"/>
  <c r="I59" i="4" s="1"/>
  <c r="C59" i="4"/>
  <c r="C74" i="4"/>
  <c r="H74" i="4"/>
  <c r="I74" i="4" s="1"/>
  <c r="C53" i="4"/>
  <c r="C65" i="4"/>
  <c r="H65" i="4"/>
  <c r="I65" i="4" s="1"/>
  <c r="C77" i="4"/>
  <c r="H77" i="4"/>
  <c r="I77" i="4" s="1"/>
  <c r="H71" i="4"/>
  <c r="I71" i="4" s="1"/>
  <c r="C71" i="4"/>
  <c r="I79" i="27" l="1"/>
  <c r="I85" i="27"/>
  <c r="I76" i="26"/>
  <c r="I76" i="22"/>
  <c r="I58" i="26"/>
  <c r="I64" i="26"/>
  <c r="I85" i="9"/>
  <c r="I67" i="24"/>
  <c r="I70" i="24"/>
  <c r="I82" i="26"/>
  <c r="I70" i="20"/>
  <c r="I58" i="22"/>
  <c r="I64" i="22"/>
  <c r="I67" i="26"/>
  <c r="I73" i="24"/>
  <c r="I79" i="21"/>
  <c r="I82" i="24"/>
  <c r="I64" i="27"/>
  <c r="I73" i="27"/>
  <c r="I67" i="22"/>
  <c r="I70" i="27"/>
  <c r="I76" i="27"/>
  <c r="I58" i="27"/>
  <c r="I82" i="27"/>
  <c r="I82" i="22"/>
  <c r="I67" i="27"/>
  <c r="I76" i="24"/>
  <c r="I61" i="18"/>
  <c r="I79" i="26"/>
  <c r="I79" i="18"/>
  <c r="I64" i="25"/>
  <c r="I70" i="25"/>
  <c r="I61" i="26"/>
  <c r="I73" i="25"/>
  <c r="I85" i="26"/>
  <c r="I67" i="25"/>
  <c r="I58" i="25"/>
  <c r="I76" i="25"/>
  <c r="I82" i="25"/>
  <c r="I79" i="24"/>
  <c r="I67" i="23"/>
  <c r="I85" i="24"/>
  <c r="I61" i="24"/>
  <c r="I73" i="23"/>
  <c r="I70" i="23"/>
  <c r="I82" i="23"/>
  <c r="I76" i="23"/>
  <c r="I64" i="23"/>
  <c r="I58" i="23"/>
  <c r="I70" i="8"/>
  <c r="I76" i="20"/>
  <c r="I61" i="16"/>
  <c r="I79" i="22"/>
  <c r="I67" i="20"/>
  <c r="I85" i="22"/>
  <c r="I61" i="22"/>
  <c r="I82" i="12"/>
  <c r="I64" i="17"/>
  <c r="I70" i="21"/>
  <c r="I73" i="21"/>
  <c r="I64" i="21"/>
  <c r="I82" i="21"/>
  <c r="I67" i="21"/>
  <c r="I76" i="21"/>
  <c r="I58" i="21"/>
  <c r="I85" i="20"/>
  <c r="I79" i="20"/>
  <c r="I61" i="20"/>
  <c r="I76" i="14"/>
  <c r="I58" i="12"/>
  <c r="I85" i="16"/>
  <c r="I58" i="17"/>
  <c r="I70" i="17"/>
  <c r="I76" i="17"/>
  <c r="I67" i="17"/>
  <c r="I64" i="14"/>
  <c r="I67" i="14"/>
  <c r="I82" i="17"/>
  <c r="I79" i="13"/>
  <c r="I79" i="16"/>
  <c r="I76" i="18"/>
  <c r="I70" i="18"/>
  <c r="I58" i="18"/>
  <c r="I73" i="18"/>
  <c r="I64" i="18"/>
  <c r="I82" i="18"/>
  <c r="I67" i="18"/>
  <c r="I79" i="17"/>
  <c r="I61" i="17"/>
  <c r="I82" i="16"/>
  <c r="I85" i="17"/>
  <c r="I76" i="16"/>
  <c r="I58" i="16"/>
  <c r="I70" i="16"/>
  <c r="I73" i="16"/>
  <c r="I67" i="16"/>
  <c r="I64" i="16"/>
  <c r="I76" i="8"/>
  <c r="I79" i="11"/>
  <c r="I76" i="10"/>
  <c r="I85" i="13"/>
  <c r="I64" i="10"/>
  <c r="I64" i="8"/>
  <c r="I82" i="10"/>
  <c r="I68" i="12"/>
  <c r="I70" i="12"/>
  <c r="I76" i="12"/>
  <c r="I79" i="14"/>
  <c r="I61" i="14"/>
  <c r="I85" i="14"/>
  <c r="I64" i="13"/>
  <c r="I79" i="12"/>
  <c r="I67" i="13"/>
  <c r="I73" i="13"/>
  <c r="I82" i="11"/>
  <c r="I82" i="13"/>
  <c r="I58" i="13"/>
  <c r="I76" i="13"/>
  <c r="I70" i="13"/>
  <c r="I58" i="8"/>
  <c r="I73" i="11"/>
  <c r="I85" i="12"/>
  <c r="I61" i="12"/>
  <c r="I58" i="11"/>
  <c r="I67" i="11"/>
  <c r="I70" i="11"/>
  <c r="I64" i="11"/>
  <c r="I76" i="11"/>
  <c r="I67" i="9"/>
  <c r="I85" i="10"/>
  <c r="I73" i="9"/>
  <c r="I79" i="10"/>
  <c r="I61" i="10"/>
  <c r="I70" i="9"/>
  <c r="I82" i="9"/>
  <c r="I58" i="9"/>
  <c r="I76" i="9"/>
  <c r="I64" i="9"/>
  <c r="I61" i="8"/>
  <c r="I79" i="8"/>
  <c r="I85" i="8"/>
  <c r="I85" i="4"/>
  <c r="I82" i="4"/>
  <c r="I70" i="4"/>
  <c r="I64" i="4"/>
  <c r="I55" i="4"/>
  <c r="I79" i="4"/>
  <c r="I67" i="4"/>
  <c r="I58" i="4"/>
  <c r="I76" i="4"/>
  <c r="I88" i="4"/>
  <c r="I61" i="4"/>
  <c r="I91" i="4"/>
  <c r="I73" i="4"/>
  <c r="D5" i="1" l="1"/>
  <c r="J69" i="16" l="1"/>
  <c r="K69" i="16" s="1"/>
  <c r="J60" i="8"/>
  <c r="J81" i="10"/>
  <c r="K81" i="10" s="1"/>
  <c r="J63" i="12"/>
  <c r="K63" i="12" s="1"/>
  <c r="J60" i="17"/>
  <c r="J81" i="22"/>
  <c r="K81" i="22" s="1"/>
  <c r="J24" i="16"/>
  <c r="J30" i="14"/>
  <c r="K30" i="14" s="1"/>
  <c r="J69" i="10"/>
  <c r="K69" i="10" s="1"/>
  <c r="J42" i="21"/>
  <c r="K42" i="21" s="1"/>
  <c r="J63" i="16"/>
  <c r="K63" i="16" s="1"/>
  <c r="J72" i="14"/>
  <c r="J84" i="9"/>
  <c r="K84" i="9" s="1"/>
  <c r="J33" i="26"/>
  <c r="J57" i="14"/>
  <c r="K57" i="14" s="1"/>
  <c r="J60" i="16"/>
  <c r="J63" i="21"/>
  <c r="K63" i="21" s="1"/>
  <c r="J63" i="23"/>
  <c r="K63" i="23" s="1"/>
  <c r="J63" i="20"/>
  <c r="K63" i="20" s="1"/>
  <c r="J30" i="27"/>
  <c r="K30" i="27" s="1"/>
  <c r="J63" i="11"/>
  <c r="K63" i="11" s="1"/>
  <c r="J39" i="13"/>
  <c r="K39" i="13" s="1"/>
  <c r="J42" i="27"/>
  <c r="J81" i="13"/>
  <c r="J15" i="26"/>
  <c r="J81" i="14"/>
  <c r="J78" i="22"/>
  <c r="J72" i="16"/>
  <c r="J60" i="14"/>
  <c r="J48" i="4"/>
  <c r="J60" i="20"/>
  <c r="J51" i="4"/>
  <c r="J69" i="9"/>
  <c r="J81" i="21"/>
  <c r="J60" i="12"/>
  <c r="J51" i="26"/>
  <c r="J9" i="8"/>
  <c r="J81" i="4"/>
  <c r="J72" i="21"/>
  <c r="J57" i="8"/>
  <c r="J84" i="20"/>
  <c r="J69" i="21"/>
  <c r="J21" i="13"/>
  <c r="J39" i="9"/>
  <c r="J63" i="26"/>
  <c r="J42" i="18"/>
  <c r="J9" i="22"/>
  <c r="J57" i="17"/>
  <c r="J9" i="21"/>
  <c r="J60" i="26"/>
  <c r="J21" i="11"/>
  <c r="J84" i="14"/>
  <c r="J81" i="9"/>
  <c r="J81" i="23"/>
  <c r="J81" i="17"/>
  <c r="J84" i="11"/>
  <c r="J24" i="9"/>
  <c r="J69" i="25"/>
  <c r="J57" i="10"/>
  <c r="J72" i="10"/>
  <c r="J63" i="9"/>
  <c r="J33" i="23"/>
  <c r="J15" i="18"/>
  <c r="J39" i="11"/>
  <c r="J15" i="17"/>
  <c r="J60" i="10"/>
  <c r="J33" i="27"/>
  <c r="J57" i="16"/>
  <c r="J90" i="21"/>
  <c r="J63" i="22"/>
  <c r="J72" i="25"/>
  <c r="J48" i="13"/>
  <c r="J60" i="13"/>
  <c r="J57" i="23"/>
  <c r="J48" i="21"/>
  <c r="J9" i="4"/>
  <c r="J48" i="9"/>
  <c r="J60" i="27"/>
  <c r="J69" i="8"/>
  <c r="J72" i="23"/>
  <c r="J78" i="9"/>
  <c r="J30" i="4"/>
  <c r="J84" i="27"/>
  <c r="J84" i="4"/>
  <c r="J63" i="8"/>
  <c r="J69" i="27"/>
  <c r="J78" i="11"/>
  <c r="J81" i="27"/>
  <c r="J63" i="18"/>
  <c r="J42" i="17"/>
  <c r="J15" i="16"/>
  <c r="J81" i="25"/>
  <c r="J48" i="24"/>
  <c r="J81" i="12"/>
  <c r="J72" i="4"/>
  <c r="J72" i="20"/>
  <c r="J33" i="9"/>
  <c r="J15" i="9"/>
  <c r="J39" i="24"/>
  <c r="J69" i="11"/>
  <c r="J84" i="25"/>
  <c r="J72" i="22"/>
  <c r="J81" i="24"/>
  <c r="J78" i="12"/>
  <c r="J60" i="21"/>
  <c r="J72" i="8"/>
  <c r="J48" i="22"/>
  <c r="J69" i="14"/>
  <c r="J63" i="14"/>
  <c r="J81" i="8"/>
  <c r="J78" i="27"/>
  <c r="J48" i="12"/>
  <c r="J15" i="10"/>
  <c r="J69" i="13"/>
  <c r="J33" i="20"/>
  <c r="J36" i="13"/>
  <c r="K36" i="13" s="1"/>
  <c r="J54" i="23"/>
  <c r="K54" i="23" s="1"/>
  <c r="J18" i="24"/>
  <c r="K18" i="24" s="1"/>
  <c r="J87" i="16"/>
  <c r="K87" i="16" s="1"/>
  <c r="J18" i="14"/>
  <c r="K18" i="14" s="1"/>
  <c r="J45" i="25"/>
  <c r="K45" i="25" s="1"/>
  <c r="J66" i="8"/>
  <c r="J45" i="13"/>
  <c r="K45" i="13" s="1"/>
  <c r="J87" i="26"/>
  <c r="K87" i="26" s="1"/>
  <c r="J36" i="8"/>
  <c r="K36" i="8" s="1"/>
  <c r="J54" i="16"/>
  <c r="K54" i="16" s="1"/>
  <c r="J27" i="23"/>
  <c r="K27" i="23" s="1"/>
  <c r="J87" i="23"/>
  <c r="K87" i="23" s="1"/>
  <c r="J54" i="26"/>
  <c r="K54" i="26" s="1"/>
  <c r="J12" i="11"/>
  <c r="K12" i="11" s="1"/>
  <c r="J75" i="4"/>
  <c r="J87" i="9"/>
  <c r="K87" i="9" s="1"/>
  <c r="J75" i="21"/>
  <c r="J87" i="24"/>
  <c r="K87" i="24" s="1"/>
  <c r="J18" i="25"/>
  <c r="K18" i="25" s="1"/>
  <c r="J54" i="4"/>
  <c r="K54" i="4" s="1"/>
  <c r="J45" i="27"/>
  <c r="K45" i="27" s="1"/>
  <c r="J87" i="21"/>
  <c r="K87" i="21" s="1"/>
  <c r="J66" i="17"/>
  <c r="J12" i="8"/>
  <c r="K12" i="8" s="1"/>
  <c r="J87" i="4"/>
  <c r="K87" i="4" s="1"/>
  <c r="J36" i="23"/>
  <c r="K36" i="23" s="1"/>
  <c r="J66" i="25"/>
  <c r="J66" i="22"/>
  <c r="J36" i="21"/>
  <c r="K36" i="21" s="1"/>
  <c r="J27" i="25"/>
  <c r="K27" i="25" s="1"/>
  <c r="J36" i="27"/>
  <c r="K36" i="27" s="1"/>
  <c r="J27" i="26"/>
  <c r="K27" i="26" s="1"/>
  <c r="J27" i="20"/>
  <c r="K27" i="20" s="1"/>
  <c r="J12" i="4"/>
  <c r="K12" i="4" s="1"/>
  <c r="J54" i="25"/>
  <c r="K54" i="25" s="1"/>
  <c r="J75" i="25"/>
  <c r="J45" i="12"/>
  <c r="K45" i="12" s="1"/>
  <c r="J54" i="11"/>
  <c r="K54" i="11" s="1"/>
  <c r="J45" i="20"/>
  <c r="K45" i="20" s="1"/>
  <c r="J27" i="21"/>
  <c r="K27" i="21" s="1"/>
  <c r="J87" i="13"/>
  <c r="K87" i="13" s="1"/>
  <c r="J27" i="22"/>
  <c r="K27" i="22" s="1"/>
  <c r="J12" i="27"/>
  <c r="K12" i="27" s="1"/>
  <c r="J54" i="18"/>
  <c r="K54" i="18" s="1"/>
  <c r="J66" i="18"/>
  <c r="J18" i="23"/>
  <c r="K18" i="23" s="1"/>
  <c r="J36" i="20"/>
  <c r="K36" i="20" s="1"/>
  <c r="J27" i="8"/>
  <c r="K27" i="8" s="1"/>
  <c r="J27" i="11"/>
  <c r="K27" i="11" s="1"/>
  <c r="J54" i="12"/>
  <c r="K54" i="12" s="1"/>
  <c r="J36" i="18"/>
  <c r="K36" i="18" s="1"/>
  <c r="J45" i="4"/>
  <c r="K45" i="4" s="1"/>
  <c r="J36" i="26"/>
  <c r="K36" i="26" s="1"/>
  <c r="J12" i="14"/>
  <c r="K12" i="14" s="1"/>
  <c r="J36" i="11"/>
  <c r="K36" i="11" s="1"/>
  <c r="J75" i="16"/>
  <c r="J18" i="10"/>
  <c r="K18" i="10" s="1"/>
  <c r="J75" i="10"/>
  <c r="J54" i="9"/>
  <c r="K54" i="9" s="1"/>
  <c r="J54" i="14"/>
  <c r="K54" i="14" s="1"/>
  <c r="J12" i="21"/>
  <c r="K12" i="21" s="1"/>
  <c r="J45" i="17"/>
  <c r="K45" i="17" s="1"/>
  <c r="J12" i="17"/>
  <c r="K12" i="17" s="1"/>
  <c r="J18" i="9"/>
  <c r="K18" i="9" s="1"/>
  <c r="J54" i="17"/>
  <c r="K54" i="17" s="1"/>
  <c r="J66" i="20"/>
  <c r="J45" i="10"/>
  <c r="K45" i="10" s="1"/>
  <c r="J87" i="20"/>
  <c r="K87" i="20" s="1"/>
  <c r="J12" i="13"/>
  <c r="K12" i="13" s="1"/>
  <c r="J45" i="21"/>
  <c r="K45" i="21" s="1"/>
  <c r="J36" i="10"/>
  <c r="K36" i="10" s="1"/>
  <c r="J45" i="22"/>
  <c r="K45" i="22" s="1"/>
  <c r="J75" i="18"/>
  <c r="J27" i="18"/>
  <c r="K27" i="18" s="1"/>
  <c r="J18" i="18"/>
  <c r="K18" i="18" s="1"/>
  <c r="J18" i="27"/>
  <c r="K18" i="27" s="1"/>
  <c r="J66" i="21"/>
  <c r="J36" i="25"/>
  <c r="K36" i="25" s="1"/>
  <c r="J87" i="14"/>
  <c r="K87" i="14" s="1"/>
  <c r="J12" i="20"/>
  <c r="K12" i="20" s="1"/>
  <c r="J36" i="14"/>
  <c r="K36" i="14" s="1"/>
  <c r="J54" i="27"/>
  <c r="K54" i="27" s="1"/>
  <c r="J27" i="17"/>
  <c r="K27" i="17" s="1"/>
  <c r="J45" i="24"/>
  <c r="K45" i="24" s="1"/>
  <c r="J12" i="18"/>
  <c r="K12" i="18" s="1"/>
  <c r="J27" i="9"/>
  <c r="K27" i="9" s="1"/>
  <c r="J54" i="13"/>
  <c r="K54" i="13" s="1"/>
  <c r="J12" i="26"/>
  <c r="K12" i="26" s="1"/>
  <c r="J75" i="22"/>
  <c r="J12" i="12"/>
  <c r="K12" i="12" s="1"/>
  <c r="J66" i="16"/>
  <c r="J45" i="16"/>
  <c r="K45" i="16" s="1"/>
  <c r="J36" i="9"/>
  <c r="K36" i="9" s="1"/>
  <c r="J18" i="11"/>
  <c r="K18" i="11" s="1"/>
  <c r="J54" i="24"/>
  <c r="K54" i="24" s="1"/>
  <c r="J54" i="20"/>
  <c r="K54" i="20" s="1"/>
  <c r="J87" i="8"/>
  <c r="K87" i="8" s="1"/>
  <c r="J18" i="20"/>
  <c r="K18" i="20" s="1"/>
  <c r="J45" i="18"/>
  <c r="K45" i="18" s="1"/>
  <c r="J87" i="10"/>
  <c r="K87" i="10" s="1"/>
  <c r="J66" i="12"/>
  <c r="J27" i="14"/>
  <c r="K27" i="14" s="1"/>
  <c r="J87" i="11"/>
  <c r="K87" i="11" s="1"/>
  <c r="J87" i="25"/>
  <c r="K87" i="25" s="1"/>
  <c r="J75" i="9"/>
  <c r="J18" i="22"/>
  <c r="K18" i="22" s="1"/>
  <c r="J27" i="27"/>
  <c r="K27" i="27" s="1"/>
  <c r="J27" i="12"/>
  <c r="K27" i="12" s="1"/>
  <c r="J54" i="8"/>
  <c r="K54" i="8" s="1"/>
  <c r="J18" i="13"/>
  <c r="K18" i="13" s="1"/>
  <c r="J66" i="27"/>
  <c r="J36" i="22"/>
  <c r="K36" i="22" s="1"/>
  <c r="J18" i="26"/>
  <c r="K18" i="26" s="1"/>
  <c r="J87" i="27"/>
  <c r="K87" i="27" s="1"/>
  <c r="J36" i="16"/>
  <c r="K36" i="16" s="1"/>
  <c r="J75" i="12"/>
  <c r="J18" i="16"/>
  <c r="K18" i="16" s="1"/>
  <c r="J66" i="10"/>
  <c r="J45" i="26"/>
  <c r="K45" i="26" s="1"/>
  <c r="J75" i="14"/>
  <c r="J54" i="10"/>
  <c r="K54" i="10" s="1"/>
  <c r="J18" i="4"/>
  <c r="K18" i="4" s="1"/>
  <c r="J54" i="22"/>
  <c r="K54" i="22" s="1"/>
  <c r="J18" i="17"/>
  <c r="K18" i="17" s="1"/>
  <c r="J27" i="10"/>
  <c r="K27" i="10" s="1"/>
  <c r="J66" i="13"/>
  <c r="J18" i="21"/>
  <c r="K18" i="21" s="1"/>
  <c r="J12" i="25"/>
  <c r="K12" i="25" s="1"/>
  <c r="J66" i="4"/>
  <c r="J12" i="16"/>
  <c r="K12" i="16" s="1"/>
  <c r="J36" i="12"/>
  <c r="K36" i="12" s="1"/>
  <c r="J36" i="24"/>
  <c r="K36" i="24" s="1"/>
  <c r="J75" i="17"/>
  <c r="J36" i="17"/>
  <c r="K36" i="17" s="1"/>
  <c r="J54" i="21"/>
  <c r="K54" i="21" s="1"/>
  <c r="J45" i="8"/>
  <c r="K45" i="8" s="1"/>
  <c r="J75" i="8"/>
  <c r="J75" i="23"/>
  <c r="J75" i="13"/>
  <c r="J75" i="27"/>
  <c r="J6" i="26"/>
  <c r="J87" i="22"/>
  <c r="K87" i="22" s="1"/>
  <c r="J66" i="24"/>
  <c r="J27" i="24"/>
  <c r="K27" i="24" s="1"/>
  <c r="J12" i="10"/>
  <c r="K12" i="10" s="1"/>
  <c r="J75" i="20"/>
  <c r="J12" i="23"/>
  <c r="K12" i="23" s="1"/>
  <c r="J18" i="12"/>
  <c r="K18" i="12" s="1"/>
  <c r="J87" i="12"/>
  <c r="K87" i="12" s="1"/>
  <c r="J45" i="23"/>
  <c r="K45" i="23" s="1"/>
  <c r="J27" i="4"/>
  <c r="K27" i="4" s="1"/>
  <c r="J12" i="9"/>
  <c r="K12" i="9" s="1"/>
  <c r="J87" i="18"/>
  <c r="K87" i="18" s="1"/>
  <c r="J66" i="14"/>
  <c r="J75" i="11"/>
  <c r="J66" i="26"/>
  <c r="J12" i="22"/>
  <c r="K12" i="22" s="1"/>
  <c r="J45" i="14"/>
  <c r="K45" i="14" s="1"/>
  <c r="J6" i="25"/>
  <c r="J27" i="13"/>
  <c r="K27" i="13" s="1"/>
  <c r="J66" i="11"/>
  <c r="J18" i="8"/>
  <c r="K18" i="8" s="1"/>
  <c r="J12" i="24"/>
  <c r="K12" i="24" s="1"/>
  <c r="J66" i="23"/>
  <c r="J87" i="17"/>
  <c r="K87" i="17" s="1"/>
  <c r="J45" i="9"/>
  <c r="K45" i="9" s="1"/>
  <c r="J75" i="26"/>
  <c r="J6" i="23"/>
  <c r="J27" i="16"/>
  <c r="K27" i="16" s="1"/>
  <c r="J45" i="11"/>
  <c r="K45" i="11" s="1"/>
  <c r="J36" i="4"/>
  <c r="K36" i="4" s="1"/>
  <c r="J66" i="9"/>
  <c r="J75" i="24"/>
  <c r="J6" i="18"/>
  <c r="J57" i="4"/>
  <c r="J6" i="24"/>
  <c r="J30" i="16"/>
  <c r="J6" i="12"/>
  <c r="J6" i="21"/>
  <c r="J21" i="27"/>
  <c r="J6" i="27"/>
  <c r="J6" i="20"/>
  <c r="J21" i="12"/>
  <c r="J9" i="20"/>
  <c r="J6" i="9"/>
  <c r="J90" i="23"/>
  <c r="J6" i="11"/>
  <c r="J90" i="17"/>
  <c r="J30" i="11"/>
  <c r="J30" i="18"/>
  <c r="J6" i="17"/>
  <c r="J21" i="9"/>
  <c r="J90" i="4"/>
  <c r="J57" i="25"/>
  <c r="J57" i="22"/>
  <c r="J57" i="27"/>
  <c r="J9" i="11"/>
  <c r="J30" i="22"/>
  <c r="J51" i="14"/>
  <c r="J9" i="14"/>
  <c r="J30" i="9"/>
  <c r="J48" i="10"/>
  <c r="J90" i="24"/>
  <c r="J39" i="4"/>
  <c r="J30" i="13"/>
  <c r="J21" i="4"/>
  <c r="J42" i="4"/>
  <c r="J48" i="25"/>
  <c r="J24" i="22"/>
  <c r="J57" i="20"/>
  <c r="J9" i="9"/>
  <c r="J6" i="13"/>
  <c r="J6" i="8"/>
  <c r="J90" i="20"/>
  <c r="J6" i="10"/>
  <c r="J90" i="25"/>
  <c r="J24" i="20"/>
  <c r="J51" i="24"/>
  <c r="J21" i="10"/>
  <c r="J42" i="10"/>
  <c r="J6" i="16"/>
  <c r="J39" i="22"/>
  <c r="J21" i="26"/>
  <c r="J39" i="16"/>
  <c r="J15" i="13"/>
  <c r="J48" i="17"/>
  <c r="J90" i="11"/>
  <c r="J57" i="18"/>
  <c r="J57" i="13"/>
  <c r="J48" i="27"/>
  <c r="J33" i="17"/>
  <c r="J9" i="27"/>
  <c r="J30" i="21"/>
  <c r="J30" i="8"/>
  <c r="J42" i="16"/>
  <c r="J30" i="24"/>
  <c r="J15" i="14"/>
  <c r="J21" i="23"/>
  <c r="J15" i="12"/>
  <c r="J90" i="26"/>
  <c r="J21" i="22"/>
  <c r="J90" i="12"/>
  <c r="J30" i="17"/>
  <c r="J51" i="16"/>
  <c r="J57" i="9"/>
  <c r="J90" i="10"/>
  <c r="J9" i="16"/>
  <c r="J9" i="23"/>
  <c r="J24" i="27"/>
  <c r="J6" i="22"/>
  <c r="J57" i="24"/>
  <c r="J90" i="13"/>
  <c r="J15" i="4"/>
  <c r="J48" i="11"/>
  <c r="J42" i="8"/>
  <c r="J48" i="14"/>
  <c r="J6" i="4"/>
  <c r="J42" i="11"/>
  <c r="J90" i="18"/>
  <c r="J21" i="20"/>
  <c r="J42" i="22"/>
  <c r="J39" i="17"/>
  <c r="J15" i="8"/>
  <c r="J42" i="9"/>
  <c r="J21" i="14"/>
  <c r="J48" i="26"/>
  <c r="J42" i="12"/>
  <c r="J39" i="10"/>
  <c r="J30" i="26"/>
  <c r="J33" i="14"/>
  <c r="J30" i="10"/>
  <c r="J21" i="8"/>
  <c r="J24" i="24"/>
  <c r="J9" i="17"/>
  <c r="J42" i="20"/>
  <c r="J15" i="22"/>
  <c r="J33" i="8"/>
  <c r="J24" i="13"/>
  <c r="J39" i="27"/>
  <c r="J90" i="9"/>
  <c r="J9" i="12"/>
  <c r="J15" i="24"/>
  <c r="J9" i="18"/>
  <c r="J39" i="12"/>
  <c r="J42" i="14"/>
  <c r="J24" i="11"/>
  <c r="J42" i="24"/>
  <c r="J51" i="22"/>
  <c r="J15" i="20"/>
  <c r="J39" i="21"/>
  <c r="J30" i="12"/>
  <c r="J24" i="25"/>
  <c r="J15" i="23"/>
  <c r="J21" i="25"/>
  <c r="J57" i="26"/>
  <c r="J57" i="12"/>
  <c r="J39" i="25"/>
  <c r="J24" i="26"/>
  <c r="J42" i="23"/>
  <c r="J72" i="9"/>
  <c r="J90" i="22"/>
  <c r="J24" i="8"/>
  <c r="J33" i="12"/>
  <c r="J51" i="20"/>
  <c r="J24" i="14"/>
  <c r="J9" i="26"/>
  <c r="J51" i="10"/>
  <c r="J33" i="11"/>
  <c r="J33" i="22"/>
  <c r="J24" i="10"/>
  <c r="J15" i="21"/>
  <c r="J33" i="16"/>
  <c r="J60" i="18"/>
  <c r="J33" i="24"/>
  <c r="J51" i="23"/>
  <c r="J33" i="25"/>
  <c r="J33" i="4"/>
  <c r="J39" i="18"/>
  <c r="J51" i="13"/>
  <c r="J69" i="24"/>
  <c r="J72" i="18"/>
  <c r="J51" i="8"/>
  <c r="J6" i="14"/>
  <c r="J60" i="4"/>
  <c r="J24" i="18"/>
  <c r="J39" i="23"/>
  <c r="J21" i="21"/>
  <c r="J30" i="20"/>
  <c r="J15" i="11"/>
  <c r="J9" i="24"/>
  <c r="J51" i="9"/>
  <c r="J60" i="9"/>
  <c r="J24" i="17"/>
  <c r="J39" i="26"/>
  <c r="J33" i="10"/>
  <c r="J42" i="26"/>
  <c r="J90" i="14"/>
  <c r="J21" i="18"/>
  <c r="J57" i="21"/>
  <c r="J30" i="25"/>
  <c r="J57" i="11"/>
  <c r="J24" i="21"/>
  <c r="J51" i="11"/>
  <c r="J42" i="13"/>
  <c r="J24" i="23"/>
  <c r="J42" i="25"/>
  <c r="J15" i="27"/>
  <c r="J60" i="24"/>
  <c r="J84" i="17"/>
  <c r="J60" i="22"/>
  <c r="J84" i="24"/>
  <c r="J63" i="24"/>
  <c r="J81" i="20"/>
  <c r="J72" i="11"/>
  <c r="J63" i="27"/>
  <c r="J81" i="11"/>
  <c r="J69" i="20"/>
  <c r="J72" i="12"/>
  <c r="J78" i="17"/>
  <c r="J78" i="14"/>
  <c r="J60" i="11"/>
  <c r="J51" i="18"/>
  <c r="J15" i="25"/>
  <c r="J48" i="20"/>
  <c r="J21" i="17"/>
  <c r="J78" i="20"/>
  <c r="J78" i="16"/>
  <c r="J60" i="25"/>
  <c r="J84" i="12"/>
  <c r="J63" i="13"/>
  <c r="J84" i="22"/>
  <c r="J48" i="16"/>
  <c r="J78" i="25"/>
  <c r="J63" i="4"/>
  <c r="J9" i="13"/>
  <c r="J24" i="12"/>
  <c r="J69" i="18"/>
  <c r="J48" i="23"/>
  <c r="J21" i="24"/>
  <c r="J72" i="17"/>
  <c r="J69" i="26"/>
  <c r="J78" i="24"/>
  <c r="J9" i="25"/>
  <c r="J30" i="23"/>
  <c r="J90" i="16"/>
  <c r="J69" i="4"/>
  <c r="J33" i="21"/>
  <c r="J90" i="27"/>
  <c r="J78" i="10"/>
  <c r="J84" i="10"/>
  <c r="J63" i="25"/>
  <c r="J72" i="27"/>
  <c r="J78" i="4"/>
  <c r="J78" i="13"/>
  <c r="J48" i="18"/>
  <c r="J72" i="24"/>
  <c r="J33" i="13"/>
  <c r="J39" i="8"/>
  <c r="J72" i="13"/>
  <c r="J51" i="21"/>
  <c r="J51" i="27"/>
  <c r="J69" i="23"/>
  <c r="J81" i="16"/>
  <c r="J84" i="13"/>
  <c r="J39" i="20"/>
  <c r="J72" i="26"/>
  <c r="J48" i="8"/>
  <c r="J84" i="23"/>
  <c r="J90" i="8"/>
  <c r="J51" i="25"/>
  <c r="J69" i="17"/>
  <c r="J33" i="18"/>
  <c r="J60" i="23"/>
  <c r="J84" i="26"/>
  <c r="J78" i="18"/>
  <c r="J24" i="4"/>
  <c r="J78" i="21"/>
  <c r="J84" i="18"/>
  <c r="J63" i="10"/>
  <c r="J84" i="16"/>
  <c r="J78" i="8"/>
  <c r="J84" i="21"/>
  <c r="J9" i="10"/>
  <c r="J81" i="18"/>
  <c r="J69" i="22"/>
  <c r="J84" i="8"/>
  <c r="J81" i="26"/>
  <c r="J21" i="16"/>
  <c r="J78" i="23"/>
  <c r="J78" i="26"/>
  <c r="J51" i="17"/>
  <c r="J39" i="14"/>
  <c r="J51" i="12"/>
  <c r="J69" i="12"/>
  <c r="J63" i="17"/>
  <c r="K42" i="27" l="1"/>
  <c r="K60" i="16"/>
  <c r="K33" i="26"/>
  <c r="K60" i="17"/>
  <c r="K60" i="8"/>
  <c r="K24" i="16"/>
  <c r="K72" i="14"/>
  <c r="K84" i="21"/>
  <c r="K84" i="16"/>
  <c r="K63" i="4"/>
  <c r="K63" i="10"/>
  <c r="K90" i="8"/>
  <c r="J91" i="8"/>
  <c r="K91" i="8" s="1"/>
  <c r="K90" i="16"/>
  <c r="J91" i="16"/>
  <c r="K91" i="16" s="1"/>
  <c r="K60" i="11"/>
  <c r="K84" i="17"/>
  <c r="J91" i="14"/>
  <c r="K91" i="14" s="1"/>
  <c r="K90" i="14"/>
  <c r="K24" i="18"/>
  <c r="K60" i="18"/>
  <c r="K90" i="22"/>
  <c r="J91" i="22"/>
  <c r="K91" i="22" s="1"/>
  <c r="K15" i="20"/>
  <c r="K33" i="8"/>
  <c r="K21" i="14"/>
  <c r="K15" i="4"/>
  <c r="K21" i="22"/>
  <c r="K57" i="13"/>
  <c r="K24" i="20"/>
  <c r="K30" i="13"/>
  <c r="J91" i="4"/>
  <c r="K91" i="4" s="1"/>
  <c r="K90" i="4"/>
  <c r="K6" i="27"/>
  <c r="K75" i="17"/>
  <c r="K75" i="18"/>
  <c r="K63" i="14"/>
  <c r="K33" i="9"/>
  <c r="K63" i="8"/>
  <c r="K48" i="21"/>
  <c r="K15" i="18"/>
  <c r="K21" i="11"/>
  <c r="K72" i="21"/>
  <c r="K60" i="23"/>
  <c r="K39" i="8"/>
  <c r="K78" i="26"/>
  <c r="K33" i="13"/>
  <c r="K78" i="25"/>
  <c r="K78" i="23"/>
  <c r="K84" i="18"/>
  <c r="K84" i="23"/>
  <c r="K72" i="24"/>
  <c r="K30" i="23"/>
  <c r="K48" i="16"/>
  <c r="K78" i="14"/>
  <c r="K60" i="24"/>
  <c r="K42" i="26"/>
  <c r="K60" i="4"/>
  <c r="K33" i="16"/>
  <c r="K72" i="9"/>
  <c r="K51" i="22"/>
  <c r="K15" i="22"/>
  <c r="K42" i="9"/>
  <c r="K90" i="13"/>
  <c r="J91" i="13"/>
  <c r="K91" i="13" s="1"/>
  <c r="K90" i="26"/>
  <c r="J91" i="26"/>
  <c r="K91" i="26" s="1"/>
  <c r="K57" i="18"/>
  <c r="K90" i="25"/>
  <c r="J91" i="25"/>
  <c r="K91" i="25" s="1"/>
  <c r="K39" i="4"/>
  <c r="K21" i="9"/>
  <c r="K21" i="27"/>
  <c r="K6" i="23"/>
  <c r="K66" i="26"/>
  <c r="K75" i="14"/>
  <c r="K75" i="25"/>
  <c r="K69" i="14"/>
  <c r="K72" i="20"/>
  <c r="K84" i="4"/>
  <c r="K57" i="23"/>
  <c r="K33" i="23"/>
  <c r="K60" i="26"/>
  <c r="K81" i="4"/>
  <c r="K51" i="17"/>
  <c r="K48" i="18"/>
  <c r="K9" i="25"/>
  <c r="J8" i="25"/>
  <c r="K8" i="25" s="1"/>
  <c r="J10" i="25"/>
  <c r="K84" i="22"/>
  <c r="K78" i="17"/>
  <c r="K15" i="27"/>
  <c r="K33" i="10"/>
  <c r="K6" i="14"/>
  <c r="K15" i="21"/>
  <c r="K42" i="23"/>
  <c r="K42" i="24"/>
  <c r="K42" i="20"/>
  <c r="K15" i="8"/>
  <c r="K57" i="24"/>
  <c r="K15" i="12"/>
  <c r="K90" i="11"/>
  <c r="J91" i="11"/>
  <c r="K91" i="11" s="1"/>
  <c r="K6" i="10"/>
  <c r="K90" i="24"/>
  <c r="J91" i="24"/>
  <c r="K91" i="24" s="1"/>
  <c r="K6" i="17"/>
  <c r="K6" i="21"/>
  <c r="K75" i="26"/>
  <c r="K75" i="11"/>
  <c r="K66" i="24"/>
  <c r="K66" i="17"/>
  <c r="K48" i="22"/>
  <c r="K72" i="4"/>
  <c r="K84" i="27"/>
  <c r="K60" i="13"/>
  <c r="K63" i="9"/>
  <c r="K9" i="21"/>
  <c r="J8" i="21"/>
  <c r="K8" i="21" s="1"/>
  <c r="J10" i="21"/>
  <c r="K9" i="8"/>
  <c r="J8" i="8"/>
  <c r="K8" i="8" s="1"/>
  <c r="J10" i="8"/>
  <c r="K78" i="8"/>
  <c r="K78" i="21"/>
  <c r="K24" i="4"/>
  <c r="K72" i="26"/>
  <c r="K78" i="13"/>
  <c r="K78" i="24"/>
  <c r="K63" i="13"/>
  <c r="K72" i="12"/>
  <c r="K42" i="25"/>
  <c r="K39" i="26"/>
  <c r="K51" i="8"/>
  <c r="K24" i="10"/>
  <c r="K24" i="26"/>
  <c r="K24" i="11"/>
  <c r="K9" i="17"/>
  <c r="J8" i="17"/>
  <c r="K8" i="17" s="1"/>
  <c r="J10" i="17"/>
  <c r="K39" i="17"/>
  <c r="K6" i="22"/>
  <c r="K21" i="23"/>
  <c r="K48" i="17"/>
  <c r="K90" i="20"/>
  <c r="J91" i="20"/>
  <c r="K91" i="20" s="1"/>
  <c r="K48" i="10"/>
  <c r="K30" i="18"/>
  <c r="K6" i="12"/>
  <c r="K66" i="14"/>
  <c r="K66" i="10"/>
  <c r="K75" i="10"/>
  <c r="K72" i="8"/>
  <c r="K81" i="12"/>
  <c r="K48" i="13"/>
  <c r="K72" i="10"/>
  <c r="K57" i="17"/>
  <c r="K51" i="26"/>
  <c r="K60" i="14"/>
  <c r="K21" i="16"/>
  <c r="K81" i="26"/>
  <c r="K84" i="8"/>
  <c r="K78" i="18"/>
  <c r="K78" i="4"/>
  <c r="K84" i="12"/>
  <c r="K69" i="20"/>
  <c r="K24" i="23"/>
  <c r="K24" i="17"/>
  <c r="K72" i="18"/>
  <c r="K33" i="22"/>
  <c r="K39" i="25"/>
  <c r="K42" i="14"/>
  <c r="K24" i="24"/>
  <c r="K42" i="22"/>
  <c r="K24" i="27"/>
  <c r="K15" i="14"/>
  <c r="K15" i="13"/>
  <c r="K6" i="8"/>
  <c r="K30" i="9"/>
  <c r="K30" i="11"/>
  <c r="K30" i="16"/>
  <c r="K6" i="26"/>
  <c r="K66" i="4"/>
  <c r="K75" i="9"/>
  <c r="K66" i="18"/>
  <c r="K60" i="21"/>
  <c r="K48" i="24"/>
  <c r="K72" i="25"/>
  <c r="K57" i="10"/>
  <c r="K9" i="22"/>
  <c r="J8" i="22"/>
  <c r="K8" i="22" s="1"/>
  <c r="J10" i="22"/>
  <c r="K60" i="12"/>
  <c r="K48" i="8"/>
  <c r="K39" i="20"/>
  <c r="K69" i="26"/>
  <c r="K69" i="22"/>
  <c r="K84" i="26"/>
  <c r="K84" i="13"/>
  <c r="K72" i="27"/>
  <c r="K72" i="17"/>
  <c r="K60" i="25"/>
  <c r="K81" i="11"/>
  <c r="K42" i="13"/>
  <c r="K60" i="9"/>
  <c r="K69" i="24"/>
  <c r="K33" i="11"/>
  <c r="K57" i="12"/>
  <c r="K39" i="12"/>
  <c r="K21" i="8"/>
  <c r="K21" i="20"/>
  <c r="K9" i="23"/>
  <c r="J8" i="23"/>
  <c r="K8" i="23" s="1"/>
  <c r="J10" i="23"/>
  <c r="K30" i="24"/>
  <c r="K39" i="16"/>
  <c r="K6" i="13"/>
  <c r="K9" i="14"/>
  <c r="J8" i="14"/>
  <c r="K8" i="14" s="1"/>
  <c r="J10" i="14"/>
  <c r="J91" i="17"/>
  <c r="K91" i="17" s="1"/>
  <c r="K90" i="17"/>
  <c r="K6" i="24"/>
  <c r="K66" i="23"/>
  <c r="K75" i="27"/>
  <c r="K75" i="12"/>
  <c r="K75" i="16"/>
  <c r="K78" i="12"/>
  <c r="K81" i="25"/>
  <c r="K30" i="4"/>
  <c r="K63" i="22"/>
  <c r="K69" i="25"/>
  <c r="K42" i="18"/>
  <c r="K81" i="21"/>
  <c r="K72" i="16"/>
  <c r="K51" i="12"/>
  <c r="K81" i="16"/>
  <c r="K63" i="25"/>
  <c r="K21" i="24"/>
  <c r="K78" i="16"/>
  <c r="K63" i="27"/>
  <c r="K51" i="11"/>
  <c r="K51" i="9"/>
  <c r="K51" i="13"/>
  <c r="K51" i="10"/>
  <c r="K57" i="26"/>
  <c r="J8" i="18"/>
  <c r="K8" i="18" s="1"/>
  <c r="K9" i="18"/>
  <c r="J10" i="18"/>
  <c r="K30" i="10"/>
  <c r="K90" i="18"/>
  <c r="J91" i="18"/>
  <c r="K91" i="18" s="1"/>
  <c r="K9" i="16"/>
  <c r="J8" i="16"/>
  <c r="K8" i="16" s="1"/>
  <c r="J10" i="16"/>
  <c r="K42" i="16"/>
  <c r="K21" i="26"/>
  <c r="K9" i="9"/>
  <c r="J10" i="9"/>
  <c r="J8" i="9"/>
  <c r="K8" i="9" s="1"/>
  <c r="K51" i="14"/>
  <c r="K6" i="11"/>
  <c r="K57" i="4"/>
  <c r="K75" i="13"/>
  <c r="K66" i="16"/>
  <c r="K33" i="20"/>
  <c r="K81" i="24"/>
  <c r="K15" i="16"/>
  <c r="K78" i="9"/>
  <c r="K90" i="21"/>
  <c r="J91" i="21"/>
  <c r="K91" i="21" s="1"/>
  <c r="K24" i="9"/>
  <c r="K63" i="26"/>
  <c r="K69" i="9"/>
  <c r="K78" i="22"/>
  <c r="K39" i="14"/>
  <c r="K63" i="17"/>
  <c r="K81" i="18"/>
  <c r="K69" i="23"/>
  <c r="K84" i="10"/>
  <c r="K48" i="23"/>
  <c r="K78" i="20"/>
  <c r="K72" i="11"/>
  <c r="K24" i="21"/>
  <c r="K9" i="24"/>
  <c r="J8" i="24"/>
  <c r="K8" i="24" s="1"/>
  <c r="J10" i="24"/>
  <c r="K39" i="18"/>
  <c r="K9" i="26"/>
  <c r="J8" i="26"/>
  <c r="K8" i="26" s="1"/>
  <c r="J10" i="26"/>
  <c r="K21" i="25"/>
  <c r="K15" i="24"/>
  <c r="K33" i="14"/>
  <c r="K42" i="11"/>
  <c r="K90" i="10"/>
  <c r="J91" i="10"/>
  <c r="K91" i="10" s="1"/>
  <c r="K30" i="8"/>
  <c r="K39" i="22"/>
  <c r="K57" i="20"/>
  <c r="K30" i="22"/>
  <c r="K90" i="23"/>
  <c r="J91" i="23"/>
  <c r="K91" i="23" s="1"/>
  <c r="K6" i="18"/>
  <c r="K75" i="23"/>
  <c r="K66" i="13"/>
  <c r="K66" i="20"/>
  <c r="K66" i="8"/>
  <c r="K69" i="13"/>
  <c r="K72" i="22"/>
  <c r="K42" i="17"/>
  <c r="K72" i="23"/>
  <c r="K57" i="16"/>
  <c r="K84" i="11"/>
  <c r="K39" i="9"/>
  <c r="K51" i="4"/>
  <c r="K81" i="14"/>
  <c r="K51" i="27"/>
  <c r="K78" i="10"/>
  <c r="K69" i="18"/>
  <c r="K21" i="17"/>
  <c r="K81" i="20"/>
  <c r="K57" i="11"/>
  <c r="K15" i="11"/>
  <c r="K33" i="4"/>
  <c r="K24" i="14"/>
  <c r="K15" i="23"/>
  <c r="K9" i="12"/>
  <c r="J8" i="12"/>
  <c r="K8" i="12" s="1"/>
  <c r="J10" i="12"/>
  <c r="K30" i="26"/>
  <c r="K6" i="4"/>
  <c r="K57" i="9"/>
  <c r="K30" i="21"/>
  <c r="K6" i="16"/>
  <c r="K24" i="22"/>
  <c r="K9" i="11"/>
  <c r="J8" i="11"/>
  <c r="K8" i="11" s="1"/>
  <c r="J10" i="11"/>
  <c r="K6" i="9"/>
  <c r="J7" i="9"/>
  <c r="K7" i="9" s="1"/>
  <c r="K75" i="24"/>
  <c r="K66" i="11"/>
  <c r="K75" i="8"/>
  <c r="K66" i="12"/>
  <c r="K75" i="22"/>
  <c r="K66" i="21"/>
  <c r="K75" i="21"/>
  <c r="K15" i="10"/>
  <c r="K84" i="25"/>
  <c r="K63" i="18"/>
  <c r="K69" i="8"/>
  <c r="K33" i="27"/>
  <c r="K81" i="17"/>
  <c r="K21" i="13"/>
  <c r="K60" i="20"/>
  <c r="K15" i="26"/>
  <c r="K9" i="10"/>
  <c r="J8" i="10"/>
  <c r="K8" i="10" s="1"/>
  <c r="J10" i="10"/>
  <c r="K33" i="18"/>
  <c r="K51" i="21"/>
  <c r="J91" i="27"/>
  <c r="K91" i="27" s="1"/>
  <c r="K90" i="27"/>
  <c r="K24" i="12"/>
  <c r="K48" i="20"/>
  <c r="K63" i="24"/>
  <c r="K30" i="25"/>
  <c r="K30" i="20"/>
  <c r="K33" i="25"/>
  <c r="K51" i="20"/>
  <c r="K24" i="25"/>
  <c r="K90" i="9"/>
  <c r="J91" i="9"/>
  <c r="K91" i="9" s="1"/>
  <c r="K39" i="10"/>
  <c r="K48" i="14"/>
  <c r="K51" i="16"/>
  <c r="K9" i="27"/>
  <c r="J8" i="27"/>
  <c r="K8" i="27" s="1"/>
  <c r="J10" i="27"/>
  <c r="K42" i="10"/>
  <c r="K48" i="25"/>
  <c r="K57" i="27"/>
  <c r="K9" i="20"/>
  <c r="J8" i="20"/>
  <c r="K8" i="20" s="1"/>
  <c r="J10" i="20"/>
  <c r="K66" i="9"/>
  <c r="K66" i="22"/>
  <c r="K48" i="12"/>
  <c r="K69" i="11"/>
  <c r="K81" i="27"/>
  <c r="K60" i="27"/>
  <c r="K60" i="10"/>
  <c r="K81" i="23"/>
  <c r="K69" i="21"/>
  <c r="K81" i="13"/>
  <c r="K69" i="12"/>
  <c r="K69" i="17"/>
  <c r="K72" i="13"/>
  <c r="K33" i="21"/>
  <c r="K9" i="13"/>
  <c r="J8" i="13"/>
  <c r="K8" i="13" s="1"/>
  <c r="J10" i="13"/>
  <c r="K15" i="25"/>
  <c r="K84" i="24"/>
  <c r="K57" i="21"/>
  <c r="K21" i="21"/>
  <c r="K51" i="23"/>
  <c r="K33" i="12"/>
  <c r="K30" i="12"/>
  <c r="K39" i="27"/>
  <c r="K42" i="12"/>
  <c r="K42" i="8"/>
  <c r="K30" i="17"/>
  <c r="K33" i="17"/>
  <c r="K21" i="10"/>
  <c r="K42" i="4"/>
  <c r="K57" i="22"/>
  <c r="K21" i="12"/>
  <c r="K6" i="25"/>
  <c r="K66" i="27"/>
  <c r="K66" i="25"/>
  <c r="K75" i="4"/>
  <c r="K78" i="27"/>
  <c r="K39" i="24"/>
  <c r="K78" i="11"/>
  <c r="K48" i="9"/>
  <c r="K15" i="17"/>
  <c r="K81" i="9"/>
  <c r="K84" i="20"/>
  <c r="K51" i="25"/>
  <c r="K69" i="4"/>
  <c r="K51" i="18"/>
  <c r="K60" i="22"/>
  <c r="K21" i="18"/>
  <c r="K39" i="23"/>
  <c r="K33" i="24"/>
  <c r="K24" i="8"/>
  <c r="K39" i="21"/>
  <c r="K24" i="13"/>
  <c r="K48" i="26"/>
  <c r="K48" i="11"/>
  <c r="J91" i="12"/>
  <c r="K91" i="12" s="1"/>
  <c r="K90" i="12"/>
  <c r="K48" i="27"/>
  <c r="K51" i="24"/>
  <c r="K21" i="4"/>
  <c r="K57" i="25"/>
  <c r="K6" i="20"/>
  <c r="K75" i="20"/>
  <c r="K81" i="8"/>
  <c r="K15" i="9"/>
  <c r="K69" i="27"/>
  <c r="K9" i="4"/>
  <c r="J8" i="4"/>
  <c r="K8" i="4" s="1"/>
  <c r="J10" i="4"/>
  <c r="K39" i="11"/>
  <c r="K84" i="14"/>
  <c r="K57" i="8"/>
  <c r="K48" i="4"/>
  <c r="J7" i="16" l="1"/>
  <c r="K7" i="16" s="1"/>
  <c r="J7" i="25"/>
  <c r="J7" i="8"/>
  <c r="K7" i="8" s="1"/>
  <c r="J7" i="22"/>
  <c r="J7" i="18"/>
  <c r="J7" i="26"/>
  <c r="K7" i="26" s="1"/>
  <c r="J5" i="8"/>
  <c r="K5" i="8" s="1"/>
  <c r="J7" i="11"/>
  <c r="J7" i="21"/>
  <c r="J7" i="27"/>
  <c r="J7" i="13"/>
  <c r="J5" i="26"/>
  <c r="K5" i="26" s="1"/>
  <c r="J7" i="12"/>
  <c r="J5" i="16"/>
  <c r="K5" i="16" s="1"/>
  <c r="J7" i="17"/>
  <c r="J7" i="24"/>
  <c r="J7" i="23"/>
  <c r="J7" i="20"/>
  <c r="J7" i="10"/>
  <c r="J7" i="14"/>
  <c r="J5" i="9"/>
  <c r="K5" i="9" s="1"/>
  <c r="L5" i="9" s="1"/>
  <c r="M5" i="9" s="1"/>
  <c r="J7" i="4"/>
  <c r="K10" i="27"/>
  <c r="L8" i="27" s="1"/>
  <c r="M8" i="27" s="1"/>
  <c r="J11" i="27"/>
  <c r="K11" i="27" s="1"/>
  <c r="K10" i="17"/>
  <c r="L8" i="17" s="1"/>
  <c r="M8" i="17" s="1"/>
  <c r="J11" i="17"/>
  <c r="K11" i="17" s="1"/>
  <c r="K10" i="21"/>
  <c r="L8" i="21" s="1"/>
  <c r="M8" i="21" s="1"/>
  <c r="J11" i="21"/>
  <c r="K11" i="21" s="1"/>
  <c r="K10" i="13"/>
  <c r="L8" i="13" s="1"/>
  <c r="M8" i="13" s="1"/>
  <c r="J11" i="13"/>
  <c r="K11" i="13" s="1"/>
  <c r="K10" i="26"/>
  <c r="L8" i="26" s="1"/>
  <c r="M8" i="26" s="1"/>
  <c r="J11" i="26"/>
  <c r="K11" i="26" s="1"/>
  <c r="K10" i="20"/>
  <c r="L8" i="20" s="1"/>
  <c r="M8" i="20" s="1"/>
  <c r="J11" i="20"/>
  <c r="K11" i="20" s="1"/>
  <c r="K10" i="11"/>
  <c r="L8" i="11" s="1"/>
  <c r="M8" i="11" s="1"/>
  <c r="J11" i="11"/>
  <c r="K11" i="11" s="1"/>
  <c r="K10" i="18"/>
  <c r="L8" i="18" s="1"/>
  <c r="M8" i="18" s="1"/>
  <c r="J11" i="18"/>
  <c r="K11" i="18" s="1"/>
  <c r="K10" i="25"/>
  <c r="L8" i="25" s="1"/>
  <c r="M8" i="25" s="1"/>
  <c r="J11" i="25"/>
  <c r="K11" i="25" s="1"/>
  <c r="K10" i="23"/>
  <c r="L8" i="23" s="1"/>
  <c r="M8" i="23" s="1"/>
  <c r="J11" i="23"/>
  <c r="K11" i="23" s="1"/>
  <c r="K10" i="4"/>
  <c r="L8" i="4" s="1"/>
  <c r="M8" i="4" s="1"/>
  <c r="J11" i="4"/>
  <c r="K11" i="4" s="1"/>
  <c r="K10" i="10"/>
  <c r="L8" i="10" s="1"/>
  <c r="M8" i="10" s="1"/>
  <c r="J11" i="10"/>
  <c r="K11" i="10" s="1"/>
  <c r="K10" i="24"/>
  <c r="L8" i="24" s="1"/>
  <c r="M8" i="24" s="1"/>
  <c r="J11" i="24"/>
  <c r="K11" i="24" s="1"/>
  <c r="K10" i="16"/>
  <c r="L8" i="16" s="1"/>
  <c r="M8" i="16" s="1"/>
  <c r="J11" i="16"/>
  <c r="K11" i="16" s="1"/>
  <c r="K10" i="14"/>
  <c r="L8" i="14" s="1"/>
  <c r="M8" i="14" s="1"/>
  <c r="J11" i="14"/>
  <c r="K11" i="14" s="1"/>
  <c r="K10" i="22"/>
  <c r="L8" i="22" s="1"/>
  <c r="M8" i="22" s="1"/>
  <c r="J11" i="22"/>
  <c r="K11" i="22" s="1"/>
  <c r="K10" i="12"/>
  <c r="L8" i="12" s="1"/>
  <c r="M8" i="12" s="1"/>
  <c r="J11" i="12"/>
  <c r="K11" i="12" s="1"/>
  <c r="K10" i="8"/>
  <c r="L8" i="8" s="1"/>
  <c r="M8" i="8" s="1"/>
  <c r="J11" i="8"/>
  <c r="K11" i="8" s="1"/>
  <c r="K10" i="9"/>
  <c r="L8" i="9" s="1"/>
  <c r="M8" i="9" s="1"/>
  <c r="J11" i="9"/>
  <c r="K11" i="9" s="1"/>
  <c r="L5" i="26" l="1"/>
  <c r="M5" i="26" s="1"/>
  <c r="N6" i="26" s="1"/>
  <c r="L5" i="16"/>
  <c r="M5" i="16" s="1"/>
  <c r="N5" i="16" s="1"/>
  <c r="L5" i="8"/>
  <c r="M5" i="8" s="1"/>
  <c r="N6" i="8" s="1"/>
  <c r="K7" i="25"/>
  <c r="J5" i="25"/>
  <c r="K5" i="25" s="1"/>
  <c r="K7" i="18"/>
  <c r="J5" i="18"/>
  <c r="K5" i="18" s="1"/>
  <c r="K7" i="22"/>
  <c r="J5" i="22"/>
  <c r="K5" i="22" s="1"/>
  <c r="K7" i="20"/>
  <c r="J5" i="20"/>
  <c r="K5" i="20" s="1"/>
  <c r="K7" i="23"/>
  <c r="J5" i="23"/>
  <c r="K5" i="23" s="1"/>
  <c r="K7" i="24"/>
  <c r="J5" i="24"/>
  <c r="K5" i="24" s="1"/>
  <c r="K7" i="17"/>
  <c r="J5" i="17"/>
  <c r="K5" i="17" s="1"/>
  <c r="K7" i="12"/>
  <c r="J5" i="12"/>
  <c r="K5" i="12" s="1"/>
  <c r="K7" i="13"/>
  <c r="J5" i="13"/>
  <c r="K5" i="13" s="1"/>
  <c r="K7" i="10"/>
  <c r="J5" i="10"/>
  <c r="K5" i="10" s="1"/>
  <c r="K7" i="4"/>
  <c r="J5" i="4"/>
  <c r="K5" i="4" s="1"/>
  <c r="K7" i="27"/>
  <c r="J5" i="27"/>
  <c r="K5" i="27" s="1"/>
  <c r="K7" i="21"/>
  <c r="J5" i="21"/>
  <c r="K5" i="21" s="1"/>
  <c r="K7" i="14"/>
  <c r="J5" i="14"/>
  <c r="K5" i="14" s="1"/>
  <c r="K7" i="11"/>
  <c r="J5" i="11"/>
  <c r="K5" i="11" s="1"/>
  <c r="N9" i="9"/>
  <c r="N8" i="9"/>
  <c r="N9" i="14"/>
  <c r="N8" i="14"/>
  <c r="N9" i="4"/>
  <c r="N8" i="4"/>
  <c r="N8" i="20"/>
  <c r="N9" i="20"/>
  <c r="N8" i="8"/>
  <c r="N9" i="8"/>
  <c r="N8" i="24"/>
  <c r="N9" i="24"/>
  <c r="N9" i="25"/>
  <c r="N8" i="25"/>
  <c r="N5" i="26"/>
  <c r="N8" i="13"/>
  <c r="N9" i="13"/>
  <c r="N8" i="27"/>
  <c r="N9" i="27"/>
  <c r="N5" i="9"/>
  <c r="N6" i="9"/>
  <c r="N8" i="21"/>
  <c r="N9" i="21"/>
  <c r="N8" i="23"/>
  <c r="N9" i="23"/>
  <c r="N9" i="11"/>
  <c r="N8" i="11"/>
  <c r="N8" i="26"/>
  <c r="N9" i="26"/>
  <c r="N9" i="18"/>
  <c r="N8" i="18"/>
  <c r="N9" i="12"/>
  <c r="N8" i="12"/>
  <c r="N9" i="22"/>
  <c r="N8" i="22"/>
  <c r="N8" i="16"/>
  <c r="N9" i="16"/>
  <c r="N8" i="10"/>
  <c r="N9" i="10"/>
  <c r="N9" i="17"/>
  <c r="N8" i="17"/>
  <c r="N6" i="16" l="1"/>
  <c r="N5" i="8"/>
  <c r="O6" i="8" s="1"/>
  <c r="L5" i="11"/>
  <c r="M5" i="11" s="1"/>
  <c r="N5" i="11" s="1"/>
  <c r="O6" i="11" s="1"/>
  <c r="L5" i="13"/>
  <c r="M5" i="13" s="1"/>
  <c r="N5" i="13" s="1"/>
  <c r="O6" i="13" s="1"/>
  <c r="L5" i="10"/>
  <c r="M5" i="10" s="1"/>
  <c r="N6" i="10" s="1"/>
  <c r="L5" i="22"/>
  <c r="M5" i="22" s="1"/>
  <c r="L5" i="4"/>
  <c r="M5" i="4" s="1"/>
  <c r="N5" i="4" s="1"/>
  <c r="O6" i="4" s="1"/>
  <c r="L5" i="23"/>
  <c r="M5" i="23" s="1"/>
  <c r="N6" i="23" s="1"/>
  <c r="L5" i="14"/>
  <c r="M5" i="14" s="1"/>
  <c r="L5" i="12"/>
  <c r="M5" i="12" s="1"/>
  <c r="L5" i="18"/>
  <c r="M5" i="18" s="1"/>
  <c r="L5" i="21"/>
  <c r="M5" i="21" s="1"/>
  <c r="N5" i="21" s="1"/>
  <c r="O6" i="21" s="1"/>
  <c r="L5" i="25"/>
  <c r="M5" i="25" s="1"/>
  <c r="L5" i="27"/>
  <c r="M5" i="27" s="1"/>
  <c r="N5" i="27" s="1"/>
  <c r="O6" i="27" s="1"/>
  <c r="L5" i="20"/>
  <c r="M5" i="20" s="1"/>
  <c r="L5" i="24"/>
  <c r="M5" i="24" s="1"/>
  <c r="N5" i="24" s="1"/>
  <c r="O6" i="24" s="1"/>
  <c r="L5" i="17"/>
  <c r="M5" i="17" s="1"/>
  <c r="J17" i="4"/>
  <c r="J17" i="8"/>
  <c r="J17" i="11"/>
  <c r="J17" i="26"/>
  <c r="J17" i="27"/>
  <c r="J17" i="18"/>
  <c r="J19" i="18"/>
  <c r="J17" i="21"/>
  <c r="J17" i="13"/>
  <c r="J17" i="25"/>
  <c r="J17" i="20"/>
  <c r="J17" i="9"/>
  <c r="J17" i="14"/>
  <c r="J17" i="22"/>
  <c r="J17" i="23"/>
  <c r="J17" i="12"/>
  <c r="J17" i="17"/>
  <c r="J19" i="16"/>
  <c r="J17" i="10"/>
  <c r="J17" i="16"/>
  <c r="J17" i="24"/>
  <c r="O9" i="17"/>
  <c r="R9" i="17"/>
  <c r="P9" i="17"/>
  <c r="Q9" i="17"/>
  <c r="S9" i="17"/>
  <c r="R9" i="21"/>
  <c r="S9" i="21"/>
  <c r="O9" i="21"/>
  <c r="Q9" i="21"/>
  <c r="P9" i="21"/>
  <c r="Q9" i="26"/>
  <c r="R9" i="26"/>
  <c r="P9" i="26"/>
  <c r="S9" i="26"/>
  <c r="O9" i="26"/>
  <c r="P9" i="27"/>
  <c r="Q9" i="27"/>
  <c r="S9" i="27"/>
  <c r="R9" i="27"/>
  <c r="O9" i="27"/>
  <c r="R9" i="8"/>
  <c r="P9" i="8"/>
  <c r="Q9" i="8"/>
  <c r="O9" i="8"/>
  <c r="S9" i="8"/>
  <c r="Q9" i="18"/>
  <c r="R9" i="18"/>
  <c r="O9" i="18"/>
  <c r="S9" i="18"/>
  <c r="P9" i="18"/>
  <c r="S9" i="9"/>
  <c r="O9" i="9"/>
  <c r="R9" i="9"/>
  <c r="Q9" i="9"/>
  <c r="P9" i="9"/>
  <c r="R6" i="9"/>
  <c r="P6" i="9"/>
  <c r="S6" i="9"/>
  <c r="O6" i="9"/>
  <c r="Q6" i="9"/>
  <c r="O9" i="13"/>
  <c r="S9" i="13"/>
  <c r="R9" i="13"/>
  <c r="P9" i="13"/>
  <c r="Q9" i="13"/>
  <c r="O6" i="26"/>
  <c r="Q6" i="26"/>
  <c r="S6" i="26"/>
  <c r="R6" i="26"/>
  <c r="P6" i="26"/>
  <c r="S9" i="20"/>
  <c r="Q9" i="20"/>
  <c r="P9" i="20"/>
  <c r="O9" i="20"/>
  <c r="R9" i="20"/>
  <c r="P9" i="12"/>
  <c r="O9" i="12"/>
  <c r="Q9" i="12"/>
  <c r="S9" i="12"/>
  <c r="R9" i="12"/>
  <c r="O9" i="11"/>
  <c r="Q9" i="11"/>
  <c r="R9" i="11"/>
  <c r="P9" i="11"/>
  <c r="S9" i="11"/>
  <c r="P6" i="8"/>
  <c r="S9" i="25"/>
  <c r="P9" i="25"/>
  <c r="O9" i="25"/>
  <c r="Q9" i="25"/>
  <c r="R9" i="25"/>
  <c r="Q9" i="24"/>
  <c r="O9" i="24"/>
  <c r="R9" i="24"/>
  <c r="P9" i="24"/>
  <c r="S9" i="24"/>
  <c r="R9" i="10"/>
  <c r="Q9" i="10"/>
  <c r="S9" i="10"/>
  <c r="O9" i="10"/>
  <c r="P9" i="10"/>
  <c r="O9" i="16"/>
  <c r="Q9" i="16"/>
  <c r="P9" i="16"/>
  <c r="S9" i="16"/>
  <c r="R9" i="16"/>
  <c r="R6" i="16"/>
  <c r="P6" i="16"/>
  <c r="O6" i="16"/>
  <c r="Q6" i="16"/>
  <c r="S6" i="16"/>
  <c r="P9" i="23"/>
  <c r="R9" i="23"/>
  <c r="O9" i="23"/>
  <c r="S9" i="23"/>
  <c r="Q9" i="23"/>
  <c r="S9" i="14"/>
  <c r="P9" i="14"/>
  <c r="Q9" i="14"/>
  <c r="O9" i="14"/>
  <c r="R9" i="14"/>
  <c r="S9" i="22"/>
  <c r="R9" i="22"/>
  <c r="Q9" i="22"/>
  <c r="O9" i="22"/>
  <c r="P9" i="22"/>
  <c r="P9" i="4"/>
  <c r="Q9" i="4"/>
  <c r="R9" i="4"/>
  <c r="O9" i="4"/>
  <c r="S9" i="4"/>
  <c r="Q6" i="8" l="1"/>
  <c r="R6" i="8"/>
  <c r="S6" i="8"/>
  <c r="S6" i="11"/>
  <c r="N6" i="11"/>
  <c r="Q6" i="11" s="1"/>
  <c r="S6" i="21"/>
  <c r="S6" i="13"/>
  <c r="N6" i="13"/>
  <c r="Q6" i="13" s="1"/>
  <c r="K17" i="24"/>
  <c r="J16" i="24"/>
  <c r="K16" i="24" s="1"/>
  <c r="J14" i="24"/>
  <c r="K17" i="23"/>
  <c r="J14" i="23"/>
  <c r="J16" i="23"/>
  <c r="K16" i="23" s="1"/>
  <c r="K17" i="13"/>
  <c r="J16" i="13"/>
  <c r="K16" i="13" s="1"/>
  <c r="J14" i="13"/>
  <c r="K17" i="26"/>
  <c r="J14" i="26"/>
  <c r="J16" i="26"/>
  <c r="K16" i="26" s="1"/>
  <c r="K17" i="16"/>
  <c r="J14" i="16"/>
  <c r="J16" i="16"/>
  <c r="K16" i="16" s="1"/>
  <c r="K17" i="22"/>
  <c r="J14" i="22"/>
  <c r="J16" i="22"/>
  <c r="K16" i="22" s="1"/>
  <c r="K17" i="21"/>
  <c r="J16" i="21"/>
  <c r="K16" i="21" s="1"/>
  <c r="J14" i="21"/>
  <c r="K17" i="11"/>
  <c r="J16" i="11"/>
  <c r="K16" i="11" s="1"/>
  <c r="J14" i="11"/>
  <c r="K17" i="10"/>
  <c r="J14" i="10"/>
  <c r="J16" i="10"/>
  <c r="K16" i="10" s="1"/>
  <c r="K17" i="14"/>
  <c r="J14" i="14"/>
  <c r="J16" i="14"/>
  <c r="K16" i="14" s="1"/>
  <c r="K19" i="18"/>
  <c r="J20" i="18"/>
  <c r="K20" i="18" s="1"/>
  <c r="K17" i="8"/>
  <c r="J16" i="8"/>
  <c r="K16" i="8" s="1"/>
  <c r="J14" i="8"/>
  <c r="K19" i="16"/>
  <c r="J20" i="16"/>
  <c r="K20" i="16" s="1"/>
  <c r="K17" i="9"/>
  <c r="J16" i="9"/>
  <c r="K16" i="9" s="1"/>
  <c r="J14" i="9"/>
  <c r="K17" i="18"/>
  <c r="J16" i="18"/>
  <c r="K16" i="18" s="1"/>
  <c r="J14" i="18"/>
  <c r="K17" i="4"/>
  <c r="J14" i="4"/>
  <c r="J16" i="4"/>
  <c r="K16" i="4" s="1"/>
  <c r="K17" i="17"/>
  <c r="J16" i="17"/>
  <c r="K16" i="17" s="1"/>
  <c r="J14" i="17"/>
  <c r="K17" i="20"/>
  <c r="J16" i="20"/>
  <c r="K16" i="20" s="1"/>
  <c r="J14" i="20"/>
  <c r="K17" i="12"/>
  <c r="J14" i="12"/>
  <c r="J16" i="12"/>
  <c r="K16" i="12" s="1"/>
  <c r="K17" i="25"/>
  <c r="J14" i="25"/>
  <c r="J16" i="25"/>
  <c r="K16" i="25" s="1"/>
  <c r="K17" i="27"/>
  <c r="J16" i="27"/>
  <c r="K16" i="27" s="1"/>
  <c r="J14" i="27"/>
  <c r="S6" i="27"/>
  <c r="N5" i="10"/>
  <c r="S6" i="4"/>
  <c r="N5" i="23"/>
  <c r="N6" i="4"/>
  <c r="P6" i="4" s="1"/>
  <c r="N5" i="22"/>
  <c r="N6" i="22"/>
  <c r="S6" i="24"/>
  <c r="N6" i="27"/>
  <c r="P6" i="27" s="1"/>
  <c r="N6" i="18"/>
  <c r="N5" i="18"/>
  <c r="N6" i="12"/>
  <c r="N5" i="12"/>
  <c r="N6" i="14"/>
  <c r="N5" i="14"/>
  <c r="N6" i="21"/>
  <c r="N5" i="25"/>
  <c r="N6" i="25"/>
  <c r="N6" i="24"/>
  <c r="P6" i="11"/>
  <c r="N5" i="20"/>
  <c r="N6" i="20"/>
  <c r="N6" i="17"/>
  <c r="N5" i="17"/>
  <c r="J19" i="9"/>
  <c r="J19" i="20"/>
  <c r="J19" i="21"/>
  <c r="J19" i="25"/>
  <c r="J19" i="23"/>
  <c r="J19" i="22"/>
  <c r="J19" i="14"/>
  <c r="J19" i="17"/>
  <c r="J19" i="4"/>
  <c r="J19" i="8"/>
  <c r="J19" i="12"/>
  <c r="J19" i="27"/>
  <c r="J19" i="10"/>
  <c r="J19" i="24"/>
  <c r="J19" i="26"/>
  <c r="J19" i="11"/>
  <c r="J19" i="13"/>
  <c r="R6" i="11" l="1"/>
  <c r="R6" i="13"/>
  <c r="P6" i="13"/>
  <c r="L17" i="18"/>
  <c r="M17" i="18" s="1"/>
  <c r="N17" i="18" s="1"/>
  <c r="S18" i="18" s="1"/>
  <c r="L17" i="16"/>
  <c r="M17" i="16" s="1"/>
  <c r="N17" i="16" s="1"/>
  <c r="K19" i="10"/>
  <c r="L17" i="10" s="1"/>
  <c r="M17" i="10" s="1"/>
  <c r="J20" i="10"/>
  <c r="K20" i="10" s="1"/>
  <c r="K19" i="14"/>
  <c r="L17" i="14" s="1"/>
  <c r="M17" i="14" s="1"/>
  <c r="N17" i="14" s="1"/>
  <c r="S18" i="14" s="1"/>
  <c r="J20" i="14"/>
  <c r="K20" i="14" s="1"/>
  <c r="K19" i="20"/>
  <c r="L17" i="20" s="1"/>
  <c r="M17" i="20" s="1"/>
  <c r="N18" i="20" s="1"/>
  <c r="J20" i="20"/>
  <c r="K20" i="20" s="1"/>
  <c r="K14" i="11"/>
  <c r="L14" i="11" s="1"/>
  <c r="M14" i="11" s="1"/>
  <c r="J13" i="11"/>
  <c r="K13" i="11" s="1"/>
  <c r="L11" i="11" s="1"/>
  <c r="M11" i="11" s="1"/>
  <c r="K14" i="8"/>
  <c r="L14" i="8" s="1"/>
  <c r="M14" i="8" s="1"/>
  <c r="J13" i="8"/>
  <c r="K13" i="8" s="1"/>
  <c r="L11" i="8" s="1"/>
  <c r="M11" i="8" s="1"/>
  <c r="K14" i="26"/>
  <c r="L14" i="26" s="1"/>
  <c r="M14" i="26" s="1"/>
  <c r="J13" i="26"/>
  <c r="K13" i="26" s="1"/>
  <c r="L11" i="26" s="1"/>
  <c r="M11" i="26" s="1"/>
  <c r="K19" i="12"/>
  <c r="L17" i="12" s="1"/>
  <c r="M17" i="12" s="1"/>
  <c r="J20" i="12"/>
  <c r="K20" i="12" s="1"/>
  <c r="K19" i="22"/>
  <c r="L17" i="22" s="1"/>
  <c r="M17" i="22" s="1"/>
  <c r="N18" i="22" s="1"/>
  <c r="J20" i="22"/>
  <c r="K20" i="22" s="1"/>
  <c r="K19" i="9"/>
  <c r="L17" i="9" s="1"/>
  <c r="M17" i="9" s="1"/>
  <c r="N18" i="9" s="1"/>
  <c r="J20" i="9"/>
  <c r="K20" i="9" s="1"/>
  <c r="K19" i="26"/>
  <c r="L17" i="26" s="1"/>
  <c r="M17" i="26" s="1"/>
  <c r="N17" i="26" s="1"/>
  <c r="J20" i="26"/>
  <c r="K20" i="26" s="1"/>
  <c r="K14" i="25"/>
  <c r="L14" i="25" s="1"/>
  <c r="M14" i="25" s="1"/>
  <c r="J13" i="25"/>
  <c r="K13" i="25" s="1"/>
  <c r="L11" i="25" s="1"/>
  <c r="M11" i="25" s="1"/>
  <c r="K14" i="4"/>
  <c r="L14" i="4" s="1"/>
  <c r="M14" i="4" s="1"/>
  <c r="J13" i="4"/>
  <c r="K13" i="4" s="1"/>
  <c r="L11" i="4" s="1"/>
  <c r="M11" i="4" s="1"/>
  <c r="K14" i="21"/>
  <c r="L14" i="21" s="1"/>
  <c r="M14" i="21" s="1"/>
  <c r="J13" i="21"/>
  <c r="K13" i="21" s="1"/>
  <c r="L11" i="21" s="1"/>
  <c r="M11" i="21" s="1"/>
  <c r="K14" i="13"/>
  <c r="L14" i="13" s="1"/>
  <c r="M14" i="13" s="1"/>
  <c r="J13" i="13"/>
  <c r="K13" i="13" s="1"/>
  <c r="L11" i="13" s="1"/>
  <c r="M11" i="13" s="1"/>
  <c r="K19" i="27"/>
  <c r="L17" i="27" s="1"/>
  <c r="M17" i="27" s="1"/>
  <c r="N18" i="27" s="1"/>
  <c r="J20" i="27"/>
  <c r="K20" i="27" s="1"/>
  <c r="K19" i="25"/>
  <c r="L17" i="25" s="1"/>
  <c r="M17" i="25" s="1"/>
  <c r="N18" i="25" s="1"/>
  <c r="J20" i="25"/>
  <c r="K20" i="25" s="1"/>
  <c r="K19" i="24"/>
  <c r="L17" i="24" s="1"/>
  <c r="M17" i="24" s="1"/>
  <c r="N17" i="24" s="1"/>
  <c r="J20" i="24"/>
  <c r="K20" i="24" s="1"/>
  <c r="K14" i="18"/>
  <c r="L14" i="18" s="1"/>
  <c r="M14" i="18" s="1"/>
  <c r="J13" i="18"/>
  <c r="K13" i="18" s="1"/>
  <c r="L11" i="18" s="1"/>
  <c r="M11" i="18" s="1"/>
  <c r="K19" i="8"/>
  <c r="L17" i="8" s="1"/>
  <c r="M17" i="8" s="1"/>
  <c r="N17" i="8" s="1"/>
  <c r="S18" i="8" s="1"/>
  <c r="J20" i="8"/>
  <c r="K20" i="8" s="1"/>
  <c r="K14" i="12"/>
  <c r="L14" i="12" s="1"/>
  <c r="M14" i="12" s="1"/>
  <c r="J13" i="12"/>
  <c r="K13" i="12" s="1"/>
  <c r="L11" i="12" s="1"/>
  <c r="M11" i="12" s="1"/>
  <c r="K19" i="13"/>
  <c r="L17" i="13" s="1"/>
  <c r="M17" i="13" s="1"/>
  <c r="N17" i="13" s="1"/>
  <c r="S18" i="13" s="1"/>
  <c r="J20" i="13"/>
  <c r="K20" i="13" s="1"/>
  <c r="K14" i="14"/>
  <c r="L14" i="14" s="1"/>
  <c r="M14" i="14" s="1"/>
  <c r="J13" i="14"/>
  <c r="K13" i="14" s="1"/>
  <c r="L11" i="14" s="1"/>
  <c r="M11" i="14" s="1"/>
  <c r="K14" i="22"/>
  <c r="L14" i="22" s="1"/>
  <c r="M14" i="22" s="1"/>
  <c r="J13" i="22"/>
  <c r="K13" i="22" s="1"/>
  <c r="L11" i="22" s="1"/>
  <c r="M11" i="22" s="1"/>
  <c r="K14" i="23"/>
  <c r="L14" i="23" s="1"/>
  <c r="M14" i="23" s="1"/>
  <c r="J13" i="23"/>
  <c r="K13" i="23" s="1"/>
  <c r="L11" i="23" s="1"/>
  <c r="M11" i="23" s="1"/>
  <c r="K19" i="4"/>
  <c r="L17" i="4" s="1"/>
  <c r="M17" i="4" s="1"/>
  <c r="N17" i="4" s="1"/>
  <c r="S18" i="4" s="1"/>
  <c r="J20" i="4"/>
  <c r="K20" i="4" s="1"/>
  <c r="K19" i="23"/>
  <c r="L17" i="23" s="1"/>
  <c r="M17" i="23" s="1"/>
  <c r="N17" i="23" s="1"/>
  <c r="J20" i="23"/>
  <c r="K20" i="23" s="1"/>
  <c r="K19" i="21"/>
  <c r="L17" i="21" s="1"/>
  <c r="M17" i="21" s="1"/>
  <c r="N17" i="21" s="1"/>
  <c r="J20" i="21"/>
  <c r="K20" i="21" s="1"/>
  <c r="K14" i="20"/>
  <c r="L14" i="20" s="1"/>
  <c r="M14" i="20" s="1"/>
  <c r="J13" i="20"/>
  <c r="K13" i="20" s="1"/>
  <c r="L11" i="20" s="1"/>
  <c r="M11" i="20" s="1"/>
  <c r="K14" i="9"/>
  <c r="L14" i="9" s="1"/>
  <c r="M14" i="9" s="1"/>
  <c r="J13" i="9"/>
  <c r="K13" i="9" s="1"/>
  <c r="L11" i="9" s="1"/>
  <c r="M11" i="9" s="1"/>
  <c r="K19" i="11"/>
  <c r="L17" i="11" s="1"/>
  <c r="M17" i="11" s="1"/>
  <c r="N17" i="11" s="1"/>
  <c r="S18" i="11" s="1"/>
  <c r="J20" i="11"/>
  <c r="K20" i="11" s="1"/>
  <c r="K14" i="24"/>
  <c r="L14" i="24" s="1"/>
  <c r="M14" i="24" s="1"/>
  <c r="J13" i="24"/>
  <c r="K13" i="24" s="1"/>
  <c r="L11" i="24" s="1"/>
  <c r="M11" i="24" s="1"/>
  <c r="K19" i="17"/>
  <c r="L17" i="17" s="1"/>
  <c r="M17" i="17" s="1"/>
  <c r="N17" i="17" s="1"/>
  <c r="O18" i="17" s="1"/>
  <c r="J20" i="17"/>
  <c r="K20" i="17" s="1"/>
  <c r="K14" i="10"/>
  <c r="L14" i="10" s="1"/>
  <c r="M14" i="10" s="1"/>
  <c r="J13" i="10"/>
  <c r="K13" i="10" s="1"/>
  <c r="L11" i="10" s="1"/>
  <c r="M11" i="10" s="1"/>
  <c r="K14" i="16"/>
  <c r="L14" i="16" s="1"/>
  <c r="M14" i="16" s="1"/>
  <c r="J13" i="16"/>
  <c r="K13" i="16" s="1"/>
  <c r="L11" i="16" s="1"/>
  <c r="M11" i="16" s="1"/>
  <c r="K14" i="27"/>
  <c r="L14" i="27" s="1"/>
  <c r="M14" i="27" s="1"/>
  <c r="J13" i="27"/>
  <c r="K13" i="27" s="1"/>
  <c r="L11" i="27" s="1"/>
  <c r="M11" i="27" s="1"/>
  <c r="K14" i="17"/>
  <c r="L14" i="17" s="1"/>
  <c r="M14" i="17" s="1"/>
  <c r="J13" i="17"/>
  <c r="K13" i="17" s="1"/>
  <c r="L11" i="17" s="1"/>
  <c r="M11" i="17" s="1"/>
  <c r="Q6" i="4"/>
  <c r="R6" i="4"/>
  <c r="R6" i="10"/>
  <c r="P6" i="10"/>
  <c r="S6" i="10"/>
  <c r="O6" i="10"/>
  <c r="Q6" i="10"/>
  <c r="R6" i="27"/>
  <c r="Q6" i="27"/>
  <c r="O6" i="22"/>
  <c r="S6" i="22"/>
  <c r="P6" i="22"/>
  <c r="Q6" i="22"/>
  <c r="R6" i="22"/>
  <c r="S6" i="23"/>
  <c r="R6" i="23"/>
  <c r="Q6" i="23"/>
  <c r="P6" i="23"/>
  <c r="O6" i="23"/>
  <c r="R6" i="21"/>
  <c r="Q6" i="21"/>
  <c r="P6" i="21"/>
  <c r="S6" i="14"/>
  <c r="Q6" i="14"/>
  <c r="P6" i="14"/>
  <c r="R6" i="14"/>
  <c r="O6" i="14"/>
  <c r="R6" i="12"/>
  <c r="Q6" i="12"/>
  <c r="O6" i="12"/>
  <c r="P6" i="12"/>
  <c r="S6" i="12"/>
  <c r="R6" i="18"/>
  <c r="O6" i="18"/>
  <c r="Q6" i="18"/>
  <c r="P6" i="18"/>
  <c r="S6" i="18"/>
  <c r="P6" i="25"/>
  <c r="Q6" i="25"/>
  <c r="R6" i="25"/>
  <c r="S6" i="25"/>
  <c r="O6" i="25"/>
  <c r="P6" i="20"/>
  <c r="R6" i="20"/>
  <c r="S6" i="20"/>
  <c r="O6" i="20"/>
  <c r="Q6" i="20"/>
  <c r="P6" i="24"/>
  <c r="Q6" i="24"/>
  <c r="R6" i="24"/>
  <c r="S6" i="17"/>
  <c r="O6" i="17"/>
  <c r="R6" i="17"/>
  <c r="Q6" i="17"/>
  <c r="P6" i="17"/>
  <c r="N18" i="12"/>
  <c r="N17" i="12"/>
  <c r="N18" i="10"/>
  <c r="N17" i="10"/>
  <c r="N18" i="16" l="1"/>
  <c r="N18" i="14"/>
  <c r="P18" i="14" s="1"/>
  <c r="N17" i="22"/>
  <c r="Q18" i="22" s="1"/>
  <c r="N18" i="23"/>
  <c r="P18" i="23" s="1"/>
  <c r="N18" i="18"/>
  <c r="R18" i="18" s="1"/>
  <c r="O18" i="18"/>
  <c r="N17" i="20"/>
  <c r="Q18" i="20" s="1"/>
  <c r="N17" i="9"/>
  <c r="R18" i="9" s="1"/>
  <c r="N17" i="27"/>
  <c r="O18" i="27" s="1"/>
  <c r="N18" i="26"/>
  <c r="O18" i="4"/>
  <c r="N18" i="24"/>
  <c r="R18" i="24" s="1"/>
  <c r="N18" i="21"/>
  <c r="Q18" i="21" s="1"/>
  <c r="O18" i="13"/>
  <c r="N18" i="13"/>
  <c r="P18" i="13" s="1"/>
  <c r="S18" i="17"/>
  <c r="N18" i="17"/>
  <c r="P18" i="17" s="1"/>
  <c r="O18" i="14"/>
  <c r="N18" i="11"/>
  <c r="Q18" i="11" s="1"/>
  <c r="O18" i="11"/>
  <c r="N18" i="8"/>
  <c r="R18" i="8" s="1"/>
  <c r="N18" i="4"/>
  <c r="Q18" i="4" s="1"/>
  <c r="N17" i="25"/>
  <c r="O18" i="25" s="1"/>
  <c r="O18" i="8"/>
  <c r="N14" i="22"/>
  <c r="N15" i="22"/>
  <c r="N15" i="27"/>
  <c r="N14" i="27"/>
  <c r="N14" i="14"/>
  <c r="N15" i="14"/>
  <c r="N15" i="10"/>
  <c r="N14" i="10"/>
  <c r="N15" i="20"/>
  <c r="N14" i="20"/>
  <c r="N15" i="13"/>
  <c r="N14" i="13"/>
  <c r="N14" i="16"/>
  <c r="N15" i="16"/>
  <c r="N15" i="24"/>
  <c r="N14" i="24"/>
  <c r="N14" i="21"/>
  <c r="N15" i="21"/>
  <c r="N15" i="9"/>
  <c r="N14" i="9"/>
  <c r="N15" i="11"/>
  <c r="N14" i="11"/>
  <c r="N15" i="17"/>
  <c r="N14" i="17"/>
  <c r="N15" i="23"/>
  <c r="N14" i="23"/>
  <c r="N14" i="18"/>
  <c r="N15" i="18"/>
  <c r="N14" i="12"/>
  <c r="N15" i="12"/>
  <c r="N12" i="10"/>
  <c r="N11" i="10"/>
  <c r="N12" i="9"/>
  <c r="N11" i="9"/>
  <c r="N12" i="22"/>
  <c r="N11" i="22"/>
  <c r="N14" i="4"/>
  <c r="N15" i="4"/>
  <c r="N11" i="13"/>
  <c r="N12" i="13"/>
  <c r="N14" i="25"/>
  <c r="N15" i="25"/>
  <c r="N15" i="26"/>
  <c r="N14" i="26"/>
  <c r="N11" i="20"/>
  <c r="N12" i="20"/>
  <c r="N11" i="14"/>
  <c r="N12" i="14"/>
  <c r="N12" i="18"/>
  <c r="N11" i="18"/>
  <c r="N12" i="11"/>
  <c r="N11" i="11"/>
  <c r="N12" i="21"/>
  <c r="N11" i="21"/>
  <c r="N12" i="24"/>
  <c r="N11" i="24"/>
  <c r="N11" i="17"/>
  <c r="N12" i="17"/>
  <c r="N12" i="4"/>
  <c r="N11" i="4"/>
  <c r="N12" i="27"/>
  <c r="N11" i="27"/>
  <c r="N12" i="25"/>
  <c r="N11" i="25"/>
  <c r="N12" i="26"/>
  <c r="N11" i="26"/>
  <c r="N11" i="16"/>
  <c r="N12" i="16"/>
  <c r="N11" i="23"/>
  <c r="N12" i="23"/>
  <c r="N11" i="12"/>
  <c r="N12" i="12"/>
  <c r="N15" i="8"/>
  <c r="N14" i="8"/>
  <c r="N11" i="8"/>
  <c r="N12" i="8"/>
  <c r="J26" i="24"/>
  <c r="J26" i="10"/>
  <c r="J37" i="18"/>
  <c r="J37" i="23"/>
  <c r="J28" i="21"/>
  <c r="J28" i="9"/>
  <c r="J37" i="26"/>
  <c r="J28" i="22"/>
  <c r="J26" i="8"/>
  <c r="J26" i="27"/>
  <c r="J26" i="20"/>
  <c r="J26" i="16"/>
  <c r="J26" i="25"/>
  <c r="J26" i="23"/>
  <c r="J28" i="10"/>
  <c r="J28" i="23"/>
  <c r="J37" i="25"/>
  <c r="J28" i="12"/>
  <c r="J28" i="8"/>
  <c r="J37" i="24"/>
  <c r="J28" i="13"/>
  <c r="J37" i="20"/>
  <c r="J26" i="13"/>
  <c r="J26" i="9"/>
  <c r="J26" i="14"/>
  <c r="J26" i="12"/>
  <c r="J28" i="16"/>
  <c r="J28" i="4"/>
  <c r="J28" i="14"/>
  <c r="J37" i="12"/>
  <c r="J37" i="4"/>
  <c r="J37" i="22"/>
  <c r="J26" i="21"/>
  <c r="J26" i="4"/>
  <c r="J26" i="17"/>
  <c r="J37" i="9"/>
  <c r="J28" i="20"/>
  <c r="J37" i="13"/>
  <c r="J37" i="17"/>
  <c r="J28" i="18"/>
  <c r="J28" i="25"/>
  <c r="J28" i="17"/>
  <c r="J26" i="11"/>
  <c r="J37" i="8"/>
  <c r="J37" i="14"/>
  <c r="J26" i="22"/>
  <c r="J26" i="18"/>
  <c r="J28" i="24"/>
  <c r="J28" i="27"/>
  <c r="J37" i="11"/>
  <c r="J37" i="16"/>
  <c r="J37" i="21"/>
  <c r="J28" i="11"/>
  <c r="J37" i="10"/>
  <c r="Q18" i="14"/>
  <c r="R18" i="27"/>
  <c r="R18" i="16"/>
  <c r="Q18" i="16"/>
  <c r="O18" i="16"/>
  <c r="S18" i="16"/>
  <c r="P18" i="16"/>
  <c r="O18" i="23"/>
  <c r="R18" i="23"/>
  <c r="Q18" i="23"/>
  <c r="S18" i="23"/>
  <c r="Q18" i="10"/>
  <c r="P18" i="10"/>
  <c r="R18" i="10"/>
  <c r="O18" i="10"/>
  <c r="S18" i="10"/>
  <c r="O18" i="21"/>
  <c r="S18" i="21"/>
  <c r="Q18" i="12"/>
  <c r="P18" i="12"/>
  <c r="O18" i="12"/>
  <c r="R18" i="12"/>
  <c r="S18" i="12"/>
  <c r="S18" i="26"/>
  <c r="P18" i="26"/>
  <c r="R18" i="26"/>
  <c r="O18" i="26"/>
  <c r="Q18" i="26"/>
  <c r="O18" i="24"/>
  <c r="S18" i="24"/>
  <c r="Q18" i="24" l="1"/>
  <c r="O18" i="22"/>
  <c r="R18" i="14"/>
  <c r="S18" i="22"/>
  <c r="Q18" i="27"/>
  <c r="P18" i="24"/>
  <c r="R18" i="22"/>
  <c r="P18" i="22"/>
  <c r="S18" i="27"/>
  <c r="P18" i="27"/>
  <c r="R18" i="20"/>
  <c r="O18" i="20"/>
  <c r="S18" i="20"/>
  <c r="P18" i="20"/>
  <c r="R18" i="21"/>
  <c r="R18" i="17"/>
  <c r="Q18" i="17"/>
  <c r="P18" i="21"/>
  <c r="P18" i="18"/>
  <c r="Q18" i="18"/>
  <c r="Q18" i="13"/>
  <c r="O18" i="9"/>
  <c r="S18" i="9"/>
  <c r="R18" i="13"/>
  <c r="Q18" i="9"/>
  <c r="P18" i="9"/>
  <c r="P18" i="8"/>
  <c r="Q18" i="8"/>
  <c r="R18" i="25"/>
  <c r="P18" i="25"/>
  <c r="Q18" i="25"/>
  <c r="S18" i="25"/>
  <c r="R18" i="11"/>
  <c r="P18" i="11"/>
  <c r="P15" i="25"/>
  <c r="Q15" i="12"/>
  <c r="P18" i="4"/>
  <c r="R18" i="4"/>
  <c r="P15" i="21"/>
  <c r="P15" i="14"/>
  <c r="K37" i="21"/>
  <c r="J38" i="21"/>
  <c r="K38" i="21" s="1"/>
  <c r="K26" i="22"/>
  <c r="J23" i="22"/>
  <c r="J25" i="22"/>
  <c r="K25" i="22" s="1"/>
  <c r="K28" i="18"/>
  <c r="J29" i="18"/>
  <c r="K29" i="18" s="1"/>
  <c r="K26" i="4"/>
  <c r="J23" i="4"/>
  <c r="J25" i="4"/>
  <c r="K25" i="4" s="1"/>
  <c r="K28" i="4"/>
  <c r="J29" i="4"/>
  <c r="K29" i="4" s="1"/>
  <c r="K37" i="20"/>
  <c r="J38" i="20"/>
  <c r="K38" i="20" s="1"/>
  <c r="K28" i="23"/>
  <c r="J29" i="23"/>
  <c r="K29" i="23" s="1"/>
  <c r="K26" i="27"/>
  <c r="J23" i="27"/>
  <c r="J25" i="27"/>
  <c r="K25" i="27" s="1"/>
  <c r="K37" i="23"/>
  <c r="J38" i="23"/>
  <c r="K38" i="23" s="1"/>
  <c r="S12" i="4"/>
  <c r="P12" i="4"/>
  <c r="Q12" i="4"/>
  <c r="R12" i="4"/>
  <c r="O12" i="4"/>
  <c r="S12" i="22"/>
  <c r="R12" i="22"/>
  <c r="P12" i="22"/>
  <c r="O12" i="22"/>
  <c r="Q12" i="22"/>
  <c r="Q15" i="17"/>
  <c r="P15" i="17"/>
  <c r="S15" i="17"/>
  <c r="O15" i="17"/>
  <c r="R15" i="17"/>
  <c r="S15" i="13"/>
  <c r="R15" i="13"/>
  <c r="P15" i="13"/>
  <c r="Q15" i="13"/>
  <c r="O15" i="13"/>
  <c r="O12" i="12"/>
  <c r="S12" i="12"/>
  <c r="P12" i="12"/>
  <c r="Q12" i="12"/>
  <c r="R12" i="12"/>
  <c r="Q12" i="14"/>
  <c r="S12" i="14"/>
  <c r="O12" i="14"/>
  <c r="R12" i="14"/>
  <c r="P12" i="14"/>
  <c r="K37" i="16"/>
  <c r="J38" i="16"/>
  <c r="K38" i="16" s="1"/>
  <c r="K37" i="14"/>
  <c r="J38" i="14"/>
  <c r="K38" i="14" s="1"/>
  <c r="K37" i="17"/>
  <c r="J38" i="17"/>
  <c r="K38" i="17" s="1"/>
  <c r="K26" i="21"/>
  <c r="J23" i="21"/>
  <c r="J25" i="21"/>
  <c r="K25" i="21" s="1"/>
  <c r="K28" i="16"/>
  <c r="J29" i="16"/>
  <c r="K29" i="16" s="1"/>
  <c r="K28" i="13"/>
  <c r="J29" i="13"/>
  <c r="K29" i="13" s="1"/>
  <c r="K28" i="10"/>
  <c r="J29" i="10"/>
  <c r="K29" i="10" s="1"/>
  <c r="K26" i="8"/>
  <c r="J23" i="8"/>
  <c r="J25" i="8"/>
  <c r="K25" i="8" s="1"/>
  <c r="K37" i="18"/>
  <c r="J38" i="18"/>
  <c r="K38" i="18" s="1"/>
  <c r="O12" i="9"/>
  <c r="P12" i="9"/>
  <c r="S12" i="9"/>
  <c r="Q12" i="9"/>
  <c r="R12" i="9"/>
  <c r="Q15" i="11"/>
  <c r="P15" i="11"/>
  <c r="R15" i="11"/>
  <c r="O15" i="11"/>
  <c r="S15" i="11"/>
  <c r="O15" i="20"/>
  <c r="P15" i="20"/>
  <c r="R15" i="20"/>
  <c r="S15" i="20"/>
  <c r="Q15" i="20"/>
  <c r="P12" i="23"/>
  <c r="R12" i="23"/>
  <c r="Q12" i="23"/>
  <c r="S12" i="23"/>
  <c r="O12" i="23"/>
  <c r="O12" i="17"/>
  <c r="S12" i="17"/>
  <c r="P12" i="17"/>
  <c r="R12" i="17"/>
  <c r="Q12" i="17"/>
  <c r="Q12" i="20"/>
  <c r="P12" i="20"/>
  <c r="R12" i="20"/>
  <c r="O12" i="20"/>
  <c r="S12" i="20"/>
  <c r="K37" i="11"/>
  <c r="J38" i="11"/>
  <c r="K38" i="11" s="1"/>
  <c r="K37" i="8"/>
  <c r="J38" i="8"/>
  <c r="K38" i="8" s="1"/>
  <c r="K37" i="13"/>
  <c r="J38" i="13"/>
  <c r="K38" i="13" s="1"/>
  <c r="K37" i="22"/>
  <c r="J38" i="22"/>
  <c r="K38" i="22" s="1"/>
  <c r="K26" i="12"/>
  <c r="J23" i="12"/>
  <c r="J25" i="12"/>
  <c r="K25" i="12" s="1"/>
  <c r="K37" i="24"/>
  <c r="J38" i="24"/>
  <c r="K38" i="24" s="1"/>
  <c r="K26" i="23"/>
  <c r="J23" i="23"/>
  <c r="J25" i="23"/>
  <c r="K25" i="23" s="1"/>
  <c r="K28" i="22"/>
  <c r="J29" i="22"/>
  <c r="K29" i="22" s="1"/>
  <c r="K26" i="10"/>
  <c r="J23" i="10"/>
  <c r="J25" i="10"/>
  <c r="K25" i="10" s="1"/>
  <c r="R12" i="24"/>
  <c r="P12" i="24"/>
  <c r="O12" i="24"/>
  <c r="S12" i="24"/>
  <c r="Q12" i="24"/>
  <c r="R15" i="26"/>
  <c r="O15" i="26"/>
  <c r="P15" i="26"/>
  <c r="Q15" i="26"/>
  <c r="S15" i="26"/>
  <c r="S12" i="10"/>
  <c r="O12" i="10"/>
  <c r="R12" i="10"/>
  <c r="Q12" i="10"/>
  <c r="P12" i="10"/>
  <c r="Q15" i="9"/>
  <c r="S15" i="9"/>
  <c r="O15" i="9"/>
  <c r="R15" i="9"/>
  <c r="P15" i="9"/>
  <c r="P15" i="10"/>
  <c r="O15" i="10"/>
  <c r="Q15" i="10"/>
  <c r="R15" i="10"/>
  <c r="S15" i="10"/>
  <c r="Q12" i="16"/>
  <c r="O12" i="16"/>
  <c r="P12" i="16"/>
  <c r="S12" i="16"/>
  <c r="R12" i="16"/>
  <c r="K28" i="27"/>
  <c r="J29" i="27"/>
  <c r="K29" i="27" s="1"/>
  <c r="K26" i="11"/>
  <c r="J23" i="11"/>
  <c r="J25" i="11"/>
  <c r="K25" i="11" s="1"/>
  <c r="K28" i="20"/>
  <c r="J29" i="20"/>
  <c r="K29" i="20" s="1"/>
  <c r="K37" i="4"/>
  <c r="J38" i="4"/>
  <c r="K38" i="4" s="1"/>
  <c r="K26" i="14"/>
  <c r="J23" i="14"/>
  <c r="J25" i="14"/>
  <c r="K25" i="14" s="1"/>
  <c r="K28" i="8"/>
  <c r="J29" i="8"/>
  <c r="K29" i="8" s="1"/>
  <c r="K26" i="25"/>
  <c r="J23" i="25"/>
  <c r="J25" i="25"/>
  <c r="K25" i="25" s="1"/>
  <c r="K37" i="26"/>
  <c r="J38" i="26"/>
  <c r="K38" i="26" s="1"/>
  <c r="K26" i="24"/>
  <c r="J23" i="24"/>
  <c r="J25" i="24"/>
  <c r="K25" i="24" s="1"/>
  <c r="O12" i="26"/>
  <c r="Q12" i="26"/>
  <c r="S12" i="26"/>
  <c r="P12" i="26"/>
  <c r="R12" i="26"/>
  <c r="R12" i="21"/>
  <c r="S12" i="21"/>
  <c r="P12" i="21"/>
  <c r="O12" i="21"/>
  <c r="Q12" i="21"/>
  <c r="S15" i="25"/>
  <c r="O15" i="25"/>
  <c r="R15" i="25"/>
  <c r="Q15" i="25"/>
  <c r="S15" i="12"/>
  <c r="O15" i="12"/>
  <c r="P15" i="12"/>
  <c r="R15" i="12"/>
  <c r="O15" i="21"/>
  <c r="S15" i="21"/>
  <c r="R15" i="21"/>
  <c r="Q15" i="21"/>
  <c r="S15" i="14"/>
  <c r="O15" i="14"/>
  <c r="Q15" i="14"/>
  <c r="R15" i="14"/>
  <c r="K37" i="10"/>
  <c r="J38" i="10"/>
  <c r="K38" i="10" s="1"/>
  <c r="K28" i="24"/>
  <c r="J29" i="24"/>
  <c r="K29" i="24" s="1"/>
  <c r="K28" i="17"/>
  <c r="J29" i="17"/>
  <c r="K29" i="17" s="1"/>
  <c r="K37" i="9"/>
  <c r="J38" i="9"/>
  <c r="K38" i="9" s="1"/>
  <c r="K37" i="12"/>
  <c r="J38" i="12"/>
  <c r="K38" i="12" s="1"/>
  <c r="K26" i="9"/>
  <c r="J23" i="9"/>
  <c r="J25" i="9"/>
  <c r="K25" i="9" s="1"/>
  <c r="K28" i="12"/>
  <c r="J29" i="12"/>
  <c r="K29" i="12" s="1"/>
  <c r="K26" i="16"/>
  <c r="J23" i="16"/>
  <c r="J25" i="16"/>
  <c r="K25" i="16" s="1"/>
  <c r="K28" i="9"/>
  <c r="J29" i="9"/>
  <c r="K29" i="9" s="1"/>
  <c r="S12" i="25"/>
  <c r="R12" i="25"/>
  <c r="P12" i="25"/>
  <c r="O12" i="25"/>
  <c r="Q12" i="25"/>
  <c r="O12" i="11"/>
  <c r="P12" i="11"/>
  <c r="S12" i="11"/>
  <c r="Q12" i="11"/>
  <c r="R12" i="11"/>
  <c r="O15" i="24"/>
  <c r="Q15" i="24"/>
  <c r="R15" i="24"/>
  <c r="P15" i="24"/>
  <c r="S15" i="24"/>
  <c r="O15" i="27"/>
  <c r="S15" i="27"/>
  <c r="R15" i="27"/>
  <c r="P15" i="27"/>
  <c r="Q15" i="27"/>
  <c r="S12" i="8"/>
  <c r="P12" i="8"/>
  <c r="R12" i="8"/>
  <c r="O12" i="8"/>
  <c r="Q12" i="8"/>
  <c r="P12" i="13"/>
  <c r="S12" i="13"/>
  <c r="R12" i="13"/>
  <c r="Q12" i="13"/>
  <c r="O12" i="13"/>
  <c r="S15" i="18"/>
  <c r="O15" i="18"/>
  <c r="R15" i="18"/>
  <c r="P15" i="18"/>
  <c r="Q15" i="18"/>
  <c r="K28" i="11"/>
  <c r="J29" i="11"/>
  <c r="K29" i="11" s="1"/>
  <c r="K26" i="18"/>
  <c r="L26" i="18" s="1"/>
  <c r="M26" i="18" s="1"/>
  <c r="N27" i="18" s="1"/>
  <c r="J23" i="18"/>
  <c r="J25" i="18"/>
  <c r="K25" i="18" s="1"/>
  <c r="K28" i="25"/>
  <c r="J29" i="25"/>
  <c r="K29" i="25" s="1"/>
  <c r="K26" i="17"/>
  <c r="J23" i="17"/>
  <c r="J25" i="17"/>
  <c r="K25" i="17" s="1"/>
  <c r="K28" i="14"/>
  <c r="J29" i="14"/>
  <c r="K29" i="14" s="1"/>
  <c r="K26" i="13"/>
  <c r="J23" i="13"/>
  <c r="J25" i="13"/>
  <c r="K25" i="13" s="1"/>
  <c r="K37" i="25"/>
  <c r="J38" i="25"/>
  <c r="K38" i="25" s="1"/>
  <c r="K26" i="20"/>
  <c r="J23" i="20"/>
  <c r="J25" i="20"/>
  <c r="K25" i="20" s="1"/>
  <c r="K28" i="21"/>
  <c r="J29" i="21"/>
  <c r="K29" i="21" s="1"/>
  <c r="O15" i="8"/>
  <c r="S15" i="8"/>
  <c r="R15" i="8"/>
  <c r="P15" i="8"/>
  <c r="Q15" i="8"/>
  <c r="Q12" i="27"/>
  <c r="R12" i="27"/>
  <c r="P12" i="27"/>
  <c r="O12" i="27"/>
  <c r="S12" i="27"/>
  <c r="O12" i="18"/>
  <c r="P12" i="18"/>
  <c r="R12" i="18"/>
  <c r="Q12" i="18"/>
  <c r="S12" i="18"/>
  <c r="R15" i="4"/>
  <c r="Q15" i="23"/>
  <c r="S15" i="23"/>
  <c r="O15" i="23"/>
  <c r="P15" i="23"/>
  <c r="R15" i="23"/>
  <c r="R15" i="16"/>
  <c r="Q15" i="22"/>
  <c r="S15" i="4"/>
  <c r="O15" i="4"/>
  <c r="P15" i="4"/>
  <c r="Q15" i="4"/>
  <c r="S15" i="16"/>
  <c r="O15" i="16"/>
  <c r="P15" i="16"/>
  <c r="Q15" i="16"/>
  <c r="S15" i="22"/>
  <c r="O15" i="22"/>
  <c r="P15" i="22"/>
  <c r="R15" i="22"/>
  <c r="L26" i="23" l="1"/>
  <c r="M26" i="23" s="1"/>
  <c r="N26" i="23" s="1"/>
  <c r="S27" i="23" s="1"/>
  <c r="L26" i="13"/>
  <c r="M26" i="13" s="1"/>
  <c r="N27" i="13" s="1"/>
  <c r="L26" i="25"/>
  <c r="M26" i="25" s="1"/>
  <c r="N26" i="25" s="1"/>
  <c r="O27" i="25" s="1"/>
  <c r="L26" i="11"/>
  <c r="M26" i="11" s="1"/>
  <c r="N27" i="11" s="1"/>
  <c r="L26" i="17"/>
  <c r="M26" i="17" s="1"/>
  <c r="N27" i="17" s="1"/>
  <c r="L26" i="16"/>
  <c r="M26" i="16" s="1"/>
  <c r="N27" i="16" s="1"/>
  <c r="L26" i="10"/>
  <c r="M26" i="10" s="1"/>
  <c r="N27" i="10" s="1"/>
  <c r="L26" i="4"/>
  <c r="M26" i="4" s="1"/>
  <c r="N27" i="4" s="1"/>
  <c r="L26" i="24"/>
  <c r="M26" i="24" s="1"/>
  <c r="N27" i="24" s="1"/>
  <c r="L26" i="9"/>
  <c r="M26" i="9" s="1"/>
  <c r="N27" i="9" s="1"/>
  <c r="L26" i="14"/>
  <c r="M26" i="14" s="1"/>
  <c r="N27" i="14" s="1"/>
  <c r="L26" i="27"/>
  <c r="M26" i="27" s="1"/>
  <c r="N26" i="27" s="1"/>
  <c r="S27" i="27" s="1"/>
  <c r="L26" i="22"/>
  <c r="M26" i="22" s="1"/>
  <c r="N27" i="22" s="1"/>
  <c r="L26" i="8"/>
  <c r="M26" i="8" s="1"/>
  <c r="N26" i="8" s="1"/>
  <c r="S27" i="8" s="1"/>
  <c r="L26" i="12"/>
  <c r="M26" i="12" s="1"/>
  <c r="N27" i="12" s="1"/>
  <c r="L26" i="20"/>
  <c r="M26" i="20" s="1"/>
  <c r="N26" i="20" s="1"/>
  <c r="S27" i="20" s="1"/>
  <c r="L26" i="21"/>
  <c r="M26" i="21" s="1"/>
  <c r="N26" i="21" s="1"/>
  <c r="S27" i="21" s="1"/>
  <c r="K23" i="17"/>
  <c r="L23" i="17" s="1"/>
  <c r="M23" i="17" s="1"/>
  <c r="J22" i="17"/>
  <c r="K22" i="17" s="1"/>
  <c r="L20" i="17" s="1"/>
  <c r="M20" i="17" s="1"/>
  <c r="K23" i="25"/>
  <c r="L23" i="25" s="1"/>
  <c r="M23" i="25" s="1"/>
  <c r="J22" i="25"/>
  <c r="K22" i="25" s="1"/>
  <c r="L20" i="25" s="1"/>
  <c r="M20" i="25" s="1"/>
  <c r="K23" i="11"/>
  <c r="L23" i="11" s="1"/>
  <c r="M23" i="11" s="1"/>
  <c r="J22" i="11"/>
  <c r="K22" i="11" s="1"/>
  <c r="L20" i="11" s="1"/>
  <c r="M20" i="11" s="1"/>
  <c r="K23" i="21"/>
  <c r="L23" i="21" s="1"/>
  <c r="M23" i="21" s="1"/>
  <c r="J22" i="21"/>
  <c r="K22" i="21" s="1"/>
  <c r="L20" i="21" s="1"/>
  <c r="M20" i="21" s="1"/>
  <c r="K23" i="20"/>
  <c r="L23" i="20" s="1"/>
  <c r="M23" i="20" s="1"/>
  <c r="J22" i="20"/>
  <c r="K22" i="20" s="1"/>
  <c r="L20" i="20" s="1"/>
  <c r="M20" i="20" s="1"/>
  <c r="K23" i="4"/>
  <c r="L23" i="4" s="1"/>
  <c r="M23" i="4" s="1"/>
  <c r="J22" i="4"/>
  <c r="K22" i="4" s="1"/>
  <c r="L20" i="4" s="1"/>
  <c r="M20" i="4" s="1"/>
  <c r="K23" i="9"/>
  <c r="L23" i="9" s="1"/>
  <c r="M23" i="9" s="1"/>
  <c r="J22" i="9"/>
  <c r="K22" i="9" s="1"/>
  <c r="L20" i="9" s="1"/>
  <c r="M20" i="9" s="1"/>
  <c r="K23" i="23"/>
  <c r="L23" i="23" s="1"/>
  <c r="M23" i="23" s="1"/>
  <c r="J22" i="23"/>
  <c r="K22" i="23" s="1"/>
  <c r="L20" i="23" s="1"/>
  <c r="M20" i="23" s="1"/>
  <c r="K23" i="8"/>
  <c r="L23" i="8" s="1"/>
  <c r="M23" i="8" s="1"/>
  <c r="J22" i="8"/>
  <c r="K22" i="8" s="1"/>
  <c r="L20" i="8" s="1"/>
  <c r="M20" i="8" s="1"/>
  <c r="K23" i="18"/>
  <c r="L23" i="18" s="1"/>
  <c r="M23" i="18" s="1"/>
  <c r="J22" i="18"/>
  <c r="K22" i="18" s="1"/>
  <c r="L20" i="18" s="1"/>
  <c r="M20" i="18" s="1"/>
  <c r="K23" i="14"/>
  <c r="L23" i="14" s="1"/>
  <c r="M23" i="14" s="1"/>
  <c r="J22" i="14"/>
  <c r="K22" i="14" s="1"/>
  <c r="L20" i="14" s="1"/>
  <c r="M20" i="14" s="1"/>
  <c r="K23" i="27"/>
  <c r="L23" i="27" s="1"/>
  <c r="M23" i="27" s="1"/>
  <c r="J22" i="27"/>
  <c r="K22" i="27" s="1"/>
  <c r="L20" i="27" s="1"/>
  <c r="M20" i="27" s="1"/>
  <c r="K23" i="13"/>
  <c r="L23" i="13" s="1"/>
  <c r="M23" i="13" s="1"/>
  <c r="J22" i="13"/>
  <c r="K22" i="13" s="1"/>
  <c r="L20" i="13" s="1"/>
  <c r="M20" i="13" s="1"/>
  <c r="K23" i="24"/>
  <c r="L23" i="24" s="1"/>
  <c r="M23" i="24" s="1"/>
  <c r="J22" i="24"/>
  <c r="K22" i="24" s="1"/>
  <c r="L20" i="24" s="1"/>
  <c r="M20" i="24" s="1"/>
  <c r="K23" i="22"/>
  <c r="L23" i="22" s="1"/>
  <c r="M23" i="22" s="1"/>
  <c r="J22" i="22"/>
  <c r="K22" i="22" s="1"/>
  <c r="L20" i="22" s="1"/>
  <c r="M20" i="22" s="1"/>
  <c r="K23" i="12"/>
  <c r="L23" i="12" s="1"/>
  <c r="M23" i="12" s="1"/>
  <c r="J22" i="12"/>
  <c r="K22" i="12" s="1"/>
  <c r="L20" i="12" s="1"/>
  <c r="M20" i="12" s="1"/>
  <c r="K23" i="16"/>
  <c r="L23" i="16" s="1"/>
  <c r="M23" i="16" s="1"/>
  <c r="J22" i="16"/>
  <c r="K22" i="16" s="1"/>
  <c r="L20" i="16" s="1"/>
  <c r="M20" i="16" s="1"/>
  <c r="K23" i="10"/>
  <c r="L23" i="10" s="1"/>
  <c r="M23" i="10" s="1"/>
  <c r="J22" i="10"/>
  <c r="K22" i="10" s="1"/>
  <c r="L20" i="10" s="1"/>
  <c r="M20" i="10" s="1"/>
  <c r="N26" i="17"/>
  <c r="P27" i="17" s="1"/>
  <c r="J35" i="25"/>
  <c r="J35" i="17"/>
  <c r="J35" i="20"/>
  <c r="J35" i="22"/>
  <c r="J35" i="21"/>
  <c r="J35" i="11"/>
  <c r="J35" i="24"/>
  <c r="J35" i="18"/>
  <c r="J35" i="13"/>
  <c r="J35" i="10"/>
  <c r="J35" i="4"/>
  <c r="J35" i="9"/>
  <c r="J35" i="16"/>
  <c r="J35" i="12"/>
  <c r="J35" i="23"/>
  <c r="J35" i="8"/>
  <c r="J35" i="14"/>
  <c r="N26" i="18"/>
  <c r="Q27" i="18" s="1"/>
  <c r="S27" i="25" l="1"/>
  <c r="N26" i="13"/>
  <c r="S27" i="13" s="1"/>
  <c r="N27" i="25"/>
  <c r="Q27" i="25" s="1"/>
  <c r="N27" i="23"/>
  <c r="Q27" i="23" s="1"/>
  <c r="O27" i="23"/>
  <c r="N26" i="14"/>
  <c r="S27" i="14" s="1"/>
  <c r="N26" i="11"/>
  <c r="Q27" i="11" s="1"/>
  <c r="N26" i="22"/>
  <c r="O27" i="22" s="1"/>
  <c r="N26" i="16"/>
  <c r="Q27" i="16" s="1"/>
  <c r="O27" i="27"/>
  <c r="N27" i="27"/>
  <c r="R27" i="27" s="1"/>
  <c r="O27" i="20"/>
  <c r="N26" i="10"/>
  <c r="Q27" i="10" s="1"/>
  <c r="N27" i="20"/>
  <c r="P27" i="20" s="1"/>
  <c r="N26" i="4"/>
  <c r="S27" i="4" s="1"/>
  <c r="N26" i="9"/>
  <c r="O27" i="9" s="1"/>
  <c r="O27" i="21"/>
  <c r="N26" i="12"/>
  <c r="R27" i="12" s="1"/>
  <c r="N26" i="24"/>
  <c r="P27" i="24" s="1"/>
  <c r="O27" i="8"/>
  <c r="N27" i="8"/>
  <c r="R27" i="8" s="1"/>
  <c r="N27" i="21"/>
  <c r="Q27" i="21" s="1"/>
  <c r="N24" i="24"/>
  <c r="N23" i="24"/>
  <c r="N24" i="23"/>
  <c r="N23" i="23"/>
  <c r="N23" i="22"/>
  <c r="N24" i="22"/>
  <c r="N24" i="13"/>
  <c r="N23" i="13"/>
  <c r="N23" i="8"/>
  <c r="N24" i="8"/>
  <c r="N24" i="16"/>
  <c r="N23" i="16"/>
  <c r="K35" i="16"/>
  <c r="L35" i="16" s="1"/>
  <c r="M35" i="16" s="1"/>
  <c r="J32" i="16"/>
  <c r="J34" i="16"/>
  <c r="K34" i="16" s="1"/>
  <c r="K35" i="22"/>
  <c r="L35" i="22" s="1"/>
  <c r="M35" i="22" s="1"/>
  <c r="N36" i="22" s="1"/>
  <c r="J32" i="22"/>
  <c r="J34" i="22"/>
  <c r="K34" i="22" s="1"/>
  <c r="N20" i="16"/>
  <c r="N21" i="16"/>
  <c r="K35" i="18"/>
  <c r="L35" i="18" s="1"/>
  <c r="M35" i="18" s="1"/>
  <c r="N36" i="18" s="1"/>
  <c r="J32" i="18"/>
  <c r="J34" i="18"/>
  <c r="K34" i="18" s="1"/>
  <c r="N20" i="24"/>
  <c r="N21" i="24"/>
  <c r="N24" i="14"/>
  <c r="N23" i="14"/>
  <c r="N23" i="9"/>
  <c r="N24" i="9"/>
  <c r="K35" i="9"/>
  <c r="L35" i="9" s="1"/>
  <c r="M35" i="9" s="1"/>
  <c r="N36" i="9" s="1"/>
  <c r="J32" i="9"/>
  <c r="J34" i="9"/>
  <c r="K34" i="9" s="1"/>
  <c r="N24" i="17"/>
  <c r="N23" i="17"/>
  <c r="N24" i="27"/>
  <c r="N23" i="27"/>
  <c r="N20" i="9"/>
  <c r="N21" i="9"/>
  <c r="N23" i="4"/>
  <c r="N24" i="4"/>
  <c r="N24" i="20"/>
  <c r="N23" i="20"/>
  <c r="K35" i="14"/>
  <c r="L35" i="14" s="1"/>
  <c r="M35" i="14" s="1"/>
  <c r="N36" i="14" s="1"/>
  <c r="J32" i="14"/>
  <c r="J34" i="14"/>
  <c r="K34" i="14" s="1"/>
  <c r="K35" i="24"/>
  <c r="L35" i="24" s="1"/>
  <c r="M35" i="24" s="1"/>
  <c r="N36" i="24" s="1"/>
  <c r="J32" i="24"/>
  <c r="J34" i="24"/>
  <c r="K34" i="24" s="1"/>
  <c r="K35" i="20"/>
  <c r="L35" i="20" s="1"/>
  <c r="M35" i="20" s="1"/>
  <c r="J32" i="20"/>
  <c r="J34" i="20"/>
  <c r="K34" i="20" s="1"/>
  <c r="N21" i="22"/>
  <c r="N20" i="22"/>
  <c r="N21" i="13"/>
  <c r="N20" i="13"/>
  <c r="N24" i="18"/>
  <c r="N23" i="18"/>
  <c r="N24" i="21"/>
  <c r="N23" i="21"/>
  <c r="K35" i="8"/>
  <c r="L35" i="8" s="1"/>
  <c r="M35" i="8" s="1"/>
  <c r="N36" i="8" s="1"/>
  <c r="J32" i="8"/>
  <c r="J34" i="8"/>
  <c r="K34" i="8" s="1"/>
  <c r="K35" i="4"/>
  <c r="L35" i="4" s="1"/>
  <c r="M35" i="4" s="1"/>
  <c r="N36" i="4" s="1"/>
  <c r="J32" i="4"/>
  <c r="J34" i="4"/>
  <c r="K34" i="4" s="1"/>
  <c r="K35" i="11"/>
  <c r="L35" i="11" s="1"/>
  <c r="M35" i="11" s="1"/>
  <c r="J32" i="11"/>
  <c r="J34" i="11"/>
  <c r="K34" i="11" s="1"/>
  <c r="K35" i="17"/>
  <c r="L35" i="17" s="1"/>
  <c r="M35" i="17" s="1"/>
  <c r="N36" i="17" s="1"/>
  <c r="J32" i="17"/>
  <c r="J34" i="17"/>
  <c r="K34" i="17" s="1"/>
  <c r="N21" i="14"/>
  <c r="N20" i="14"/>
  <c r="N20" i="11"/>
  <c r="N21" i="11"/>
  <c r="N20" i="27"/>
  <c r="N21" i="27"/>
  <c r="N21" i="4"/>
  <c r="N20" i="4"/>
  <c r="N21" i="20"/>
  <c r="N20" i="20"/>
  <c r="K35" i="23"/>
  <c r="L35" i="23" s="1"/>
  <c r="M35" i="23" s="1"/>
  <c r="J32" i="23"/>
  <c r="J34" i="23"/>
  <c r="K34" i="23" s="1"/>
  <c r="K35" i="10"/>
  <c r="L35" i="10" s="1"/>
  <c r="M35" i="10" s="1"/>
  <c r="J32" i="10"/>
  <c r="J34" i="10"/>
  <c r="K34" i="10" s="1"/>
  <c r="K35" i="25"/>
  <c r="L35" i="25" s="1"/>
  <c r="M35" i="25" s="1"/>
  <c r="N36" i="25" s="1"/>
  <c r="J32" i="25"/>
  <c r="J34" i="25"/>
  <c r="K34" i="25" s="1"/>
  <c r="N24" i="10"/>
  <c r="N23" i="10"/>
  <c r="N23" i="12"/>
  <c r="N24" i="12"/>
  <c r="N20" i="18"/>
  <c r="N21" i="18"/>
  <c r="N20" i="25"/>
  <c r="N21" i="25"/>
  <c r="N21" i="10"/>
  <c r="N20" i="10"/>
  <c r="N21" i="21"/>
  <c r="N20" i="21"/>
  <c r="K35" i="12"/>
  <c r="L35" i="12" s="1"/>
  <c r="M35" i="12" s="1"/>
  <c r="N35" i="12" s="1"/>
  <c r="S36" i="12" s="1"/>
  <c r="J32" i="12"/>
  <c r="J34" i="12"/>
  <c r="K34" i="12" s="1"/>
  <c r="K35" i="21"/>
  <c r="L35" i="21" s="1"/>
  <c r="M35" i="21" s="1"/>
  <c r="N36" i="21" s="1"/>
  <c r="J32" i="21"/>
  <c r="J34" i="21"/>
  <c r="K34" i="21" s="1"/>
  <c r="N21" i="8"/>
  <c r="N20" i="8"/>
  <c r="K35" i="13"/>
  <c r="L35" i="13" s="1"/>
  <c r="M35" i="13" s="1"/>
  <c r="N35" i="13" s="1"/>
  <c r="O36" i="13" s="1"/>
  <c r="J34" i="13"/>
  <c r="K34" i="13" s="1"/>
  <c r="J32" i="13"/>
  <c r="N23" i="11"/>
  <c r="N24" i="11"/>
  <c r="N21" i="12"/>
  <c r="N20" i="12"/>
  <c r="N20" i="17"/>
  <c r="N21" i="17"/>
  <c r="N23" i="25"/>
  <c r="N24" i="25"/>
  <c r="N20" i="23"/>
  <c r="N21" i="23"/>
  <c r="Q27" i="14"/>
  <c r="O27" i="14"/>
  <c r="Q27" i="17"/>
  <c r="P27" i="14"/>
  <c r="S27" i="17"/>
  <c r="R27" i="17"/>
  <c r="O27" i="17"/>
  <c r="R27" i="18"/>
  <c r="S27" i="18"/>
  <c r="P27" i="18"/>
  <c r="O27" i="18"/>
  <c r="O27" i="11" l="1"/>
  <c r="O27" i="10"/>
  <c r="S27" i="11"/>
  <c r="P27" i="11"/>
  <c r="R27" i="11"/>
  <c r="R27" i="23"/>
  <c r="R27" i="16"/>
  <c r="R27" i="4"/>
  <c r="R27" i="25"/>
  <c r="P27" i="25"/>
  <c r="O27" i="4"/>
  <c r="Q27" i="13"/>
  <c r="P27" i="13"/>
  <c r="S27" i="22"/>
  <c r="O27" i="13"/>
  <c r="Q27" i="22"/>
  <c r="R27" i="13"/>
  <c r="P27" i="10"/>
  <c r="R27" i="10"/>
  <c r="S27" i="10"/>
  <c r="Q27" i="9"/>
  <c r="P27" i="23"/>
  <c r="R27" i="20"/>
  <c r="P27" i="27"/>
  <c r="Q27" i="27"/>
  <c r="R27" i="14"/>
  <c r="R27" i="22"/>
  <c r="P27" i="22"/>
  <c r="P27" i="9"/>
  <c r="S27" i="9"/>
  <c r="Q27" i="20"/>
  <c r="R27" i="9"/>
  <c r="P27" i="4"/>
  <c r="Q27" i="4"/>
  <c r="O27" i="16"/>
  <c r="P27" i="16"/>
  <c r="S27" i="16"/>
  <c r="S27" i="12"/>
  <c r="Q27" i="12"/>
  <c r="P27" i="12"/>
  <c r="O27" i="12"/>
  <c r="N35" i="24"/>
  <c r="P36" i="24" s="1"/>
  <c r="Q27" i="8"/>
  <c r="S27" i="24"/>
  <c r="N35" i="21"/>
  <c r="P36" i="21" s="1"/>
  <c r="R27" i="21"/>
  <c r="P27" i="8"/>
  <c r="N35" i="25"/>
  <c r="Q36" i="25" s="1"/>
  <c r="O27" i="24"/>
  <c r="N35" i="4"/>
  <c r="P36" i="4" s="1"/>
  <c r="Q27" i="24"/>
  <c r="R27" i="24"/>
  <c r="R24" i="22"/>
  <c r="N35" i="9"/>
  <c r="Q36" i="9" s="1"/>
  <c r="S36" i="13"/>
  <c r="N35" i="22"/>
  <c r="R36" i="22" s="1"/>
  <c r="N36" i="13"/>
  <c r="P36" i="13" s="1"/>
  <c r="P24" i="4"/>
  <c r="P27" i="21"/>
  <c r="N36" i="12"/>
  <c r="Q36" i="12" s="1"/>
  <c r="O36" i="12"/>
  <c r="N35" i="17"/>
  <c r="Q36" i="17" s="1"/>
  <c r="N35" i="18"/>
  <c r="P36" i="18" s="1"/>
  <c r="R24" i="8"/>
  <c r="N35" i="14"/>
  <c r="S36" i="14" s="1"/>
  <c r="P21" i="23"/>
  <c r="R24" i="11"/>
  <c r="R24" i="9"/>
  <c r="Q21" i="11"/>
  <c r="R21" i="17"/>
  <c r="Q21" i="27"/>
  <c r="N35" i="8"/>
  <c r="S36" i="8" s="1"/>
  <c r="P24" i="25"/>
  <c r="R21" i="24"/>
  <c r="S24" i="25"/>
  <c r="O24" i="25"/>
  <c r="R24" i="25"/>
  <c r="Q24" i="25"/>
  <c r="R21" i="18"/>
  <c r="S24" i="27"/>
  <c r="P24" i="27"/>
  <c r="O24" i="27"/>
  <c r="Q24" i="27"/>
  <c r="R24" i="27"/>
  <c r="O21" i="24"/>
  <c r="S21" i="24"/>
  <c r="Q21" i="24"/>
  <c r="P21" i="24"/>
  <c r="R24" i="16"/>
  <c r="P24" i="16"/>
  <c r="Q24" i="16"/>
  <c r="S24" i="16"/>
  <c r="O24" i="16"/>
  <c r="K32" i="21"/>
  <c r="L32" i="21" s="1"/>
  <c r="M32" i="21" s="1"/>
  <c r="J31" i="21"/>
  <c r="K31" i="21" s="1"/>
  <c r="L29" i="21" s="1"/>
  <c r="M29" i="21" s="1"/>
  <c r="O21" i="18"/>
  <c r="S21" i="18"/>
  <c r="P21" i="18"/>
  <c r="Q21" i="18"/>
  <c r="K32" i="23"/>
  <c r="L32" i="23" s="1"/>
  <c r="M32" i="23" s="1"/>
  <c r="J31" i="23"/>
  <c r="K31" i="23" s="1"/>
  <c r="L29" i="23" s="1"/>
  <c r="M29" i="23" s="1"/>
  <c r="P24" i="21"/>
  <c r="Q24" i="21"/>
  <c r="O24" i="21"/>
  <c r="S24" i="21"/>
  <c r="R24" i="21"/>
  <c r="K32" i="24"/>
  <c r="L32" i="24" s="1"/>
  <c r="M32" i="24" s="1"/>
  <c r="J31" i="24"/>
  <c r="K31" i="24" s="1"/>
  <c r="L29" i="24" s="1"/>
  <c r="M29" i="24" s="1"/>
  <c r="S21" i="17"/>
  <c r="O21" i="17"/>
  <c r="P21" i="17"/>
  <c r="Q21" i="17"/>
  <c r="Q24" i="12"/>
  <c r="K32" i="17"/>
  <c r="L32" i="17" s="1"/>
  <c r="M32" i="17" s="1"/>
  <c r="J31" i="17"/>
  <c r="K31" i="17" s="1"/>
  <c r="L29" i="17" s="1"/>
  <c r="M29" i="17" s="1"/>
  <c r="S24" i="17"/>
  <c r="O24" i="17"/>
  <c r="R24" i="17"/>
  <c r="P24" i="17"/>
  <c r="Q24" i="17"/>
  <c r="K32" i="18"/>
  <c r="L32" i="18" s="1"/>
  <c r="M32" i="18" s="1"/>
  <c r="J31" i="18"/>
  <c r="K31" i="18" s="1"/>
  <c r="L29" i="18" s="1"/>
  <c r="M29" i="18" s="1"/>
  <c r="S21" i="12"/>
  <c r="R21" i="12"/>
  <c r="P21" i="12"/>
  <c r="O21" i="12"/>
  <c r="Q21" i="12"/>
  <c r="O24" i="12"/>
  <c r="S24" i="12"/>
  <c r="P24" i="12"/>
  <c r="R24" i="12"/>
  <c r="Q21" i="20"/>
  <c r="O21" i="20"/>
  <c r="S21" i="20"/>
  <c r="P21" i="20"/>
  <c r="R21" i="20"/>
  <c r="Q24" i="18"/>
  <c r="R24" i="18"/>
  <c r="O24" i="18"/>
  <c r="P24" i="18"/>
  <c r="S24" i="18"/>
  <c r="S24" i="8"/>
  <c r="O24" i="8"/>
  <c r="P24" i="8"/>
  <c r="Q24" i="8"/>
  <c r="K32" i="12"/>
  <c r="L32" i="12" s="1"/>
  <c r="M32" i="12" s="1"/>
  <c r="J31" i="12"/>
  <c r="K31" i="12" s="1"/>
  <c r="L29" i="12" s="1"/>
  <c r="M29" i="12" s="1"/>
  <c r="Q24" i="10"/>
  <c r="S24" i="10"/>
  <c r="R24" i="10"/>
  <c r="O24" i="10"/>
  <c r="P24" i="10"/>
  <c r="K32" i="14"/>
  <c r="L32" i="14" s="1"/>
  <c r="M32" i="14" s="1"/>
  <c r="J31" i="14"/>
  <c r="K31" i="14" s="1"/>
  <c r="L29" i="14" s="1"/>
  <c r="M29" i="14" s="1"/>
  <c r="Q21" i="16"/>
  <c r="O24" i="13"/>
  <c r="Q24" i="13"/>
  <c r="P24" i="13"/>
  <c r="R24" i="13"/>
  <c r="S24" i="13"/>
  <c r="S21" i="4"/>
  <c r="R21" i="4"/>
  <c r="P21" i="4"/>
  <c r="O21" i="4"/>
  <c r="Q21" i="4"/>
  <c r="K32" i="11"/>
  <c r="L32" i="11" s="1"/>
  <c r="M32" i="11" s="1"/>
  <c r="J31" i="11"/>
  <c r="K31" i="11" s="1"/>
  <c r="L29" i="11" s="1"/>
  <c r="M29" i="11" s="1"/>
  <c r="O21" i="13"/>
  <c r="Q21" i="13"/>
  <c r="S21" i="13"/>
  <c r="R21" i="13"/>
  <c r="P21" i="13"/>
  <c r="K32" i="9"/>
  <c r="L32" i="9" s="1"/>
  <c r="M32" i="9" s="1"/>
  <c r="J31" i="9"/>
  <c r="K31" i="9" s="1"/>
  <c r="L29" i="9" s="1"/>
  <c r="M29" i="9" s="1"/>
  <c r="O21" i="16"/>
  <c r="S21" i="16"/>
  <c r="R21" i="16"/>
  <c r="P21" i="16"/>
  <c r="O24" i="11"/>
  <c r="S24" i="11"/>
  <c r="Q24" i="11"/>
  <c r="P24" i="11"/>
  <c r="Q21" i="21"/>
  <c r="R21" i="21"/>
  <c r="S21" i="21"/>
  <c r="O21" i="21"/>
  <c r="P21" i="21"/>
  <c r="O24" i="20"/>
  <c r="P24" i="20"/>
  <c r="Q24" i="20"/>
  <c r="R24" i="20"/>
  <c r="S24" i="20"/>
  <c r="K32" i="13"/>
  <c r="L32" i="13" s="1"/>
  <c r="M32" i="13" s="1"/>
  <c r="J31" i="13"/>
  <c r="K31" i="13" s="1"/>
  <c r="L29" i="13" s="1"/>
  <c r="M29" i="13" s="1"/>
  <c r="K32" i="25"/>
  <c r="L32" i="25" s="1"/>
  <c r="M32" i="25" s="1"/>
  <c r="J31" i="25"/>
  <c r="K31" i="25" s="1"/>
  <c r="L29" i="25" s="1"/>
  <c r="M29" i="25" s="1"/>
  <c r="R21" i="22"/>
  <c r="Q21" i="22"/>
  <c r="P21" i="22"/>
  <c r="O21" i="22"/>
  <c r="S21" i="22"/>
  <c r="K32" i="22"/>
  <c r="L32" i="22" s="1"/>
  <c r="M32" i="22" s="1"/>
  <c r="J31" i="22"/>
  <c r="K31" i="22" s="1"/>
  <c r="L29" i="22" s="1"/>
  <c r="M29" i="22" s="1"/>
  <c r="S24" i="22"/>
  <c r="O24" i="22"/>
  <c r="Q24" i="22"/>
  <c r="P24" i="22"/>
  <c r="S21" i="10"/>
  <c r="O21" i="10"/>
  <c r="P21" i="10"/>
  <c r="Q21" i="10"/>
  <c r="R21" i="10"/>
  <c r="O21" i="27"/>
  <c r="S21" i="27"/>
  <c r="R21" i="27"/>
  <c r="P21" i="27"/>
  <c r="K32" i="4"/>
  <c r="L32" i="4" s="1"/>
  <c r="M32" i="4" s="1"/>
  <c r="J31" i="4"/>
  <c r="K31" i="4" s="1"/>
  <c r="L29" i="4" s="1"/>
  <c r="M29" i="4" s="1"/>
  <c r="S24" i="9"/>
  <c r="O24" i="9"/>
  <c r="P24" i="9"/>
  <c r="Q24" i="9"/>
  <c r="Q24" i="23"/>
  <c r="O24" i="23"/>
  <c r="S24" i="23"/>
  <c r="P24" i="23"/>
  <c r="R24" i="23"/>
  <c r="O24" i="4"/>
  <c r="S24" i="4"/>
  <c r="Q24" i="4"/>
  <c r="R24" i="4"/>
  <c r="S24" i="14"/>
  <c r="P24" i="14"/>
  <c r="Q24" i="14"/>
  <c r="R24" i="14"/>
  <c r="O24" i="14"/>
  <c r="O21" i="23"/>
  <c r="S21" i="23"/>
  <c r="Q21" i="23"/>
  <c r="R21" i="23"/>
  <c r="O21" i="8"/>
  <c r="R21" i="8"/>
  <c r="Q21" i="8"/>
  <c r="S21" i="8"/>
  <c r="P21" i="8"/>
  <c r="Q21" i="25"/>
  <c r="K32" i="10"/>
  <c r="L32" i="10" s="1"/>
  <c r="M32" i="10" s="1"/>
  <c r="J31" i="10"/>
  <c r="K31" i="10" s="1"/>
  <c r="L29" i="10" s="1"/>
  <c r="M29" i="10" s="1"/>
  <c r="S21" i="11"/>
  <c r="O21" i="11"/>
  <c r="P21" i="11"/>
  <c r="R21" i="11"/>
  <c r="K32" i="20"/>
  <c r="L32" i="20" s="1"/>
  <c r="M32" i="20" s="1"/>
  <c r="J31" i="20"/>
  <c r="K31" i="20" s="1"/>
  <c r="L29" i="20" s="1"/>
  <c r="M29" i="20" s="1"/>
  <c r="P21" i="9"/>
  <c r="K32" i="16"/>
  <c r="L32" i="16" s="1"/>
  <c r="M32" i="16" s="1"/>
  <c r="J31" i="16"/>
  <c r="K31" i="16" s="1"/>
  <c r="L29" i="16" s="1"/>
  <c r="M29" i="16" s="1"/>
  <c r="O24" i="24"/>
  <c r="S24" i="24"/>
  <c r="R24" i="24"/>
  <c r="Q24" i="24"/>
  <c r="P24" i="24"/>
  <c r="O21" i="25"/>
  <c r="S21" i="25"/>
  <c r="P21" i="25"/>
  <c r="R21" i="25"/>
  <c r="O21" i="14"/>
  <c r="S21" i="14"/>
  <c r="P21" i="14"/>
  <c r="Q21" i="14"/>
  <c r="R21" i="14"/>
  <c r="K32" i="8"/>
  <c r="L32" i="8" s="1"/>
  <c r="M32" i="8" s="1"/>
  <c r="J31" i="8"/>
  <c r="K31" i="8" s="1"/>
  <c r="L29" i="8" s="1"/>
  <c r="M29" i="8" s="1"/>
  <c r="O21" i="9"/>
  <c r="S21" i="9"/>
  <c r="R21" i="9"/>
  <c r="Q21" i="9"/>
  <c r="N36" i="20"/>
  <c r="N35" i="20"/>
  <c r="R36" i="24"/>
  <c r="N36" i="10"/>
  <c r="N35" i="10"/>
  <c r="N36" i="16"/>
  <c r="N35" i="16"/>
  <c r="N35" i="23"/>
  <c r="N36" i="23"/>
  <c r="N36" i="11"/>
  <c r="N35" i="11"/>
  <c r="S36" i="4"/>
  <c r="Q36" i="4"/>
  <c r="R36" i="21" l="1"/>
  <c r="R36" i="4"/>
  <c r="O36" i="21"/>
  <c r="O36" i="4"/>
  <c r="R36" i="17"/>
  <c r="O36" i="25"/>
  <c r="S36" i="21"/>
  <c r="Q36" i="21"/>
  <c r="S36" i="24"/>
  <c r="Q36" i="24"/>
  <c r="O36" i="24"/>
  <c r="O36" i="18"/>
  <c r="O36" i="9"/>
  <c r="R36" i="9"/>
  <c r="S36" i="9"/>
  <c r="P36" i="9"/>
  <c r="O36" i="22"/>
  <c r="S36" i="22"/>
  <c r="R36" i="8"/>
  <c r="Q36" i="8"/>
  <c r="P36" i="8"/>
  <c r="P36" i="12"/>
  <c r="P36" i="25"/>
  <c r="R36" i="12"/>
  <c r="S36" i="25"/>
  <c r="R36" i="25"/>
  <c r="O36" i="8"/>
  <c r="Q36" i="18"/>
  <c r="Q36" i="13"/>
  <c r="R36" i="13"/>
  <c r="P36" i="22"/>
  <c r="S36" i="17"/>
  <c r="P36" i="17"/>
  <c r="Q36" i="22"/>
  <c r="O36" i="17"/>
  <c r="O36" i="14"/>
  <c r="R36" i="14"/>
  <c r="Q36" i="14"/>
  <c r="P36" i="14"/>
  <c r="S36" i="18"/>
  <c r="R36" i="18"/>
  <c r="N33" i="4"/>
  <c r="N32" i="4"/>
  <c r="N33" i="24"/>
  <c r="N32" i="24"/>
  <c r="N32" i="22"/>
  <c r="N33" i="22"/>
  <c r="N33" i="11"/>
  <c r="N32" i="11"/>
  <c r="N32" i="14"/>
  <c r="N33" i="14"/>
  <c r="N33" i="21"/>
  <c r="N32" i="21"/>
  <c r="N32" i="10"/>
  <c r="N33" i="10"/>
  <c r="N33" i="16"/>
  <c r="N32" i="16"/>
  <c r="N33" i="9"/>
  <c r="N32" i="9"/>
  <c r="N32" i="25"/>
  <c r="N33" i="25"/>
  <c r="N33" i="8"/>
  <c r="N32" i="8"/>
  <c r="N32" i="12"/>
  <c r="N33" i="12"/>
  <c r="N33" i="13"/>
  <c r="N32" i="13"/>
  <c r="N32" i="18"/>
  <c r="N33" i="18"/>
  <c r="N29" i="8"/>
  <c r="N30" i="8"/>
  <c r="N32" i="20"/>
  <c r="N33" i="20"/>
  <c r="N30" i="21"/>
  <c r="N29" i="21"/>
  <c r="N30" i="13"/>
  <c r="N29" i="13"/>
  <c r="N30" i="10"/>
  <c r="N29" i="10"/>
  <c r="N29" i="17"/>
  <c r="N30" i="17"/>
  <c r="N30" i="22"/>
  <c r="N29" i="22"/>
  <c r="N30" i="16"/>
  <c r="N29" i="16"/>
  <c r="N30" i="12"/>
  <c r="N29" i="12"/>
  <c r="N33" i="17"/>
  <c r="N32" i="17"/>
  <c r="N32" i="23"/>
  <c r="N33" i="23"/>
  <c r="N29" i="11"/>
  <c r="N30" i="11"/>
  <c r="N30" i="23"/>
  <c r="N29" i="23"/>
  <c r="N30" i="20"/>
  <c r="N29" i="20"/>
  <c r="N29" i="18"/>
  <c r="N30" i="18"/>
  <c r="N29" i="14"/>
  <c r="N30" i="14"/>
  <c r="N30" i="24"/>
  <c r="N29" i="24"/>
  <c r="N30" i="4"/>
  <c r="N29" i="4"/>
  <c r="N29" i="25"/>
  <c r="N30" i="25"/>
  <c r="N29" i="9"/>
  <c r="N30" i="9"/>
  <c r="P36" i="11"/>
  <c r="R36" i="11"/>
  <c r="O36" i="11"/>
  <c r="Q36" i="11"/>
  <c r="S36" i="11"/>
  <c r="P36" i="23"/>
  <c r="Q36" i="23"/>
  <c r="S36" i="23"/>
  <c r="R36" i="23"/>
  <c r="O36" i="23"/>
  <c r="P36" i="16"/>
  <c r="O36" i="16"/>
  <c r="S36" i="16"/>
  <c r="R36" i="16"/>
  <c r="Q36" i="16"/>
  <c r="S36" i="10"/>
  <c r="O36" i="10"/>
  <c r="R36" i="10"/>
  <c r="Q36" i="10"/>
  <c r="P36" i="10"/>
  <c r="Q36" i="20"/>
  <c r="S36" i="20"/>
  <c r="R36" i="20"/>
  <c r="O36" i="20"/>
  <c r="P36" i="20"/>
  <c r="Q30" i="11" l="1"/>
  <c r="Q30" i="17"/>
  <c r="P30" i="25"/>
  <c r="P30" i="8"/>
  <c r="P33" i="10"/>
  <c r="Q33" i="10"/>
  <c r="O33" i="10"/>
  <c r="R33" i="10"/>
  <c r="S33" i="10"/>
  <c r="P30" i="14"/>
  <c r="O33" i="17"/>
  <c r="P33" i="17"/>
  <c r="R33" i="17"/>
  <c r="S33" i="17"/>
  <c r="Q33" i="17"/>
  <c r="S30" i="13"/>
  <c r="Q30" i="13"/>
  <c r="O30" i="13"/>
  <c r="P30" i="13"/>
  <c r="R30" i="13"/>
  <c r="R33" i="21"/>
  <c r="O33" i="21"/>
  <c r="S33" i="21"/>
  <c r="P33" i="21"/>
  <c r="Q33" i="21"/>
  <c r="O30" i="14"/>
  <c r="S30" i="14"/>
  <c r="R30" i="14"/>
  <c r="Q30" i="14"/>
  <c r="R33" i="12"/>
  <c r="Q33" i="12"/>
  <c r="S33" i="12"/>
  <c r="P33" i="12"/>
  <c r="O33" i="12"/>
  <c r="S30" i="12"/>
  <c r="R30" i="12"/>
  <c r="P30" i="12"/>
  <c r="O30" i="12"/>
  <c r="Q30" i="12"/>
  <c r="S30" i="21"/>
  <c r="Q30" i="21"/>
  <c r="P30" i="21"/>
  <c r="O30" i="21"/>
  <c r="R30" i="21"/>
  <c r="S33" i="8"/>
  <c r="Q33" i="8"/>
  <c r="P33" i="8"/>
  <c r="O33" i="8"/>
  <c r="R33" i="8"/>
  <c r="O33" i="23"/>
  <c r="S33" i="23"/>
  <c r="R33" i="23"/>
  <c r="P33" i="23"/>
  <c r="S30" i="18"/>
  <c r="O30" i="18"/>
  <c r="R30" i="18"/>
  <c r="Q30" i="18"/>
  <c r="P30" i="18"/>
  <c r="P33" i="14"/>
  <c r="O33" i="14"/>
  <c r="Q33" i="14"/>
  <c r="R33" i="14"/>
  <c r="S33" i="14"/>
  <c r="P30" i="9"/>
  <c r="S30" i="20"/>
  <c r="O30" i="20"/>
  <c r="P30" i="20"/>
  <c r="Q30" i="20"/>
  <c r="R30" i="20"/>
  <c r="P30" i="16"/>
  <c r="S30" i="16"/>
  <c r="Q30" i="16"/>
  <c r="R30" i="16"/>
  <c r="O30" i="16"/>
  <c r="P33" i="11"/>
  <c r="Q33" i="11"/>
  <c r="O33" i="11"/>
  <c r="R33" i="11"/>
  <c r="S33" i="11"/>
  <c r="S30" i="23"/>
  <c r="R30" i="23"/>
  <c r="P30" i="23"/>
  <c r="Q30" i="23"/>
  <c r="O30" i="23"/>
  <c r="O30" i="22"/>
  <c r="R30" i="22"/>
  <c r="P30" i="22"/>
  <c r="S30" i="22"/>
  <c r="Q30" i="22"/>
  <c r="Q33" i="9"/>
  <c r="S33" i="9"/>
  <c r="O33" i="9"/>
  <c r="R33" i="9"/>
  <c r="P33" i="9"/>
  <c r="O33" i="20"/>
  <c r="S33" i="20"/>
  <c r="R33" i="20"/>
  <c r="Q33" i="20"/>
  <c r="P33" i="20"/>
  <c r="S30" i="25"/>
  <c r="O30" i="25"/>
  <c r="R30" i="25"/>
  <c r="Q30" i="25"/>
  <c r="O30" i="8"/>
  <c r="S30" i="8"/>
  <c r="Q30" i="8"/>
  <c r="R30" i="8"/>
  <c r="S33" i="22"/>
  <c r="R33" i="22"/>
  <c r="O33" i="22"/>
  <c r="Q33" i="22"/>
  <c r="P33" i="22"/>
  <c r="Q33" i="25"/>
  <c r="R33" i="25"/>
  <c r="O33" i="25"/>
  <c r="P33" i="25"/>
  <c r="S33" i="25"/>
  <c r="R30" i="4"/>
  <c r="O30" i="4"/>
  <c r="P30" i="4"/>
  <c r="S30" i="4"/>
  <c r="Q30" i="4"/>
  <c r="R33" i="16"/>
  <c r="Q33" i="16"/>
  <c r="S33" i="16"/>
  <c r="O33" i="16"/>
  <c r="P33" i="16"/>
  <c r="R33" i="24"/>
  <c r="O33" i="24"/>
  <c r="Q33" i="24"/>
  <c r="S33" i="24"/>
  <c r="P33" i="24"/>
  <c r="S30" i="9"/>
  <c r="O30" i="9"/>
  <c r="Q30" i="9"/>
  <c r="R30" i="9"/>
  <c r="S30" i="11"/>
  <c r="O30" i="11"/>
  <c r="P30" i="11"/>
  <c r="R30" i="11"/>
  <c r="O30" i="17"/>
  <c r="S30" i="17"/>
  <c r="R30" i="17"/>
  <c r="P30" i="17"/>
  <c r="O33" i="18"/>
  <c r="Q33" i="18"/>
  <c r="R33" i="18"/>
  <c r="S33" i="18"/>
  <c r="P33" i="18"/>
  <c r="O30" i="24"/>
  <c r="S30" i="24"/>
  <c r="R30" i="24"/>
  <c r="P30" i="24"/>
  <c r="Q30" i="24"/>
  <c r="Q33" i="23"/>
  <c r="Q30" i="10"/>
  <c r="O30" i="10"/>
  <c r="P30" i="10"/>
  <c r="S30" i="10"/>
  <c r="R30" i="10"/>
  <c r="O33" i="13"/>
  <c r="Q33" i="13"/>
  <c r="P33" i="13"/>
  <c r="S33" i="13"/>
  <c r="R33" i="13"/>
  <c r="Q33" i="4"/>
  <c r="R33" i="4"/>
  <c r="O33" i="4"/>
  <c r="S33" i="4"/>
  <c r="P33" i="4"/>
  <c r="J35" i="26"/>
  <c r="K35" i="26" l="1"/>
  <c r="L35" i="26" s="1"/>
  <c r="M35" i="26" s="1"/>
  <c r="N35" i="26" s="1"/>
  <c r="S36" i="26" s="1"/>
  <c r="J34" i="26"/>
  <c r="K34" i="26" s="1"/>
  <c r="N36" i="26" l="1"/>
  <c r="Q36" i="26" s="1"/>
  <c r="O36" i="26"/>
  <c r="J32" i="26"/>
  <c r="J37" i="27"/>
  <c r="P36" i="26" l="1"/>
  <c r="R36" i="26"/>
  <c r="K37" i="27"/>
  <c r="J38" i="27"/>
  <c r="K38" i="27" s="1"/>
  <c r="K32" i="26"/>
  <c r="L32" i="26" s="1"/>
  <c r="M32" i="26" s="1"/>
  <c r="N33" i="26" s="1"/>
  <c r="J31" i="26"/>
  <c r="K31" i="26" s="1"/>
  <c r="N32" i="26" l="1"/>
  <c r="R33" i="26" s="1"/>
  <c r="J35" i="27"/>
  <c r="K35" i="27" l="1"/>
  <c r="L35" i="27" s="1"/>
  <c r="M35" i="27" s="1"/>
  <c r="N35" i="27" s="1"/>
  <c r="J32" i="27"/>
  <c r="J34" i="27"/>
  <c r="K34" i="27" s="1"/>
  <c r="O33" i="26"/>
  <c r="S33" i="26"/>
  <c r="Q33" i="26"/>
  <c r="P33" i="26"/>
  <c r="N36" i="27" l="1"/>
  <c r="R36" i="27" s="1"/>
  <c r="K32" i="27"/>
  <c r="L32" i="27" s="1"/>
  <c r="M32" i="27" s="1"/>
  <c r="J31" i="27"/>
  <c r="K31" i="27" s="1"/>
  <c r="L29" i="27" s="1"/>
  <c r="M29" i="27" s="1"/>
  <c r="S36" i="27"/>
  <c r="O36" i="27"/>
  <c r="N32" i="27" l="1"/>
  <c r="N33" i="27"/>
  <c r="N29" i="27"/>
  <c r="N30" i="27"/>
  <c r="P36" i="27"/>
  <c r="Q36" i="27"/>
  <c r="Q30" i="27" l="1"/>
  <c r="R30" i="27"/>
  <c r="O30" i="27"/>
  <c r="S30" i="27"/>
  <c r="P30" i="27"/>
  <c r="S33" i="27"/>
  <c r="O33" i="27"/>
  <c r="Q33" i="27"/>
  <c r="R33" i="27"/>
  <c r="P33" i="27"/>
  <c r="J28" i="26"/>
  <c r="K28" i="26" l="1"/>
  <c r="J29" i="26"/>
  <c r="K29" i="26" s="1"/>
  <c r="L29" i="26" s="1"/>
  <c r="M29" i="26" s="1"/>
  <c r="N30" i="26" s="1"/>
  <c r="N29" i="26" l="1"/>
  <c r="P30" i="26" s="1"/>
  <c r="R30" i="26" l="1"/>
  <c r="S30" i="26"/>
  <c r="Q30" i="26"/>
  <c r="O30" i="26"/>
  <c r="J85" i="14" l="1"/>
  <c r="J86" i="14" s="1"/>
  <c r="K85" i="14" l="1"/>
  <c r="K86" i="14"/>
  <c r="J88" i="14"/>
  <c r="K88" i="14" l="1"/>
  <c r="T26" i="14" s="1"/>
  <c r="U26" i="14" s="1"/>
  <c r="J89" i="14"/>
  <c r="K89" i="14" s="1"/>
  <c r="L89" i="14" s="1"/>
  <c r="M89" i="14" s="1"/>
  <c r="T32" i="14" l="1"/>
  <c r="U32" i="14" s="1"/>
  <c r="V32" i="14" s="1"/>
  <c r="T35" i="14"/>
  <c r="U35" i="14" s="1"/>
  <c r="T14" i="14"/>
  <c r="U14" i="14" s="1"/>
  <c r="V15" i="14" s="1"/>
  <c r="T29" i="14"/>
  <c r="U29" i="14" s="1"/>
  <c r="V30" i="14" s="1"/>
  <c r="T86" i="14"/>
  <c r="U86" i="14" s="1"/>
  <c r="V87" i="14" s="1"/>
  <c r="T20" i="14"/>
  <c r="U20" i="14" s="1"/>
  <c r="V20" i="14" s="1"/>
  <c r="T5" i="14"/>
  <c r="U5" i="14" s="1"/>
  <c r="V6" i="14" s="1"/>
  <c r="T8" i="14"/>
  <c r="U8" i="14" s="1"/>
  <c r="V9" i="14" s="1"/>
  <c r="T17" i="14"/>
  <c r="U17" i="14" s="1"/>
  <c r="V17" i="14" s="1"/>
  <c r="L86" i="14"/>
  <c r="M86" i="14" s="1"/>
  <c r="N87" i="14" s="1"/>
  <c r="T11" i="14"/>
  <c r="U11" i="14" s="1"/>
  <c r="V11" i="14" s="1"/>
  <c r="T38" i="14"/>
  <c r="U38" i="14" s="1"/>
  <c r="V39" i="14" s="1"/>
  <c r="T23" i="14"/>
  <c r="U23" i="14" s="1"/>
  <c r="V23" i="14" s="1"/>
  <c r="T89" i="14"/>
  <c r="U89" i="14" s="1"/>
  <c r="V90" i="14" s="1"/>
  <c r="N90" i="14"/>
  <c r="N89" i="14"/>
  <c r="V35" i="14"/>
  <c r="V36" i="14"/>
  <c r="V27" i="14"/>
  <c r="V26" i="14"/>
  <c r="V33" i="14" l="1"/>
  <c r="V24" i="14"/>
  <c r="V29" i="14"/>
  <c r="W30" i="14" s="1"/>
  <c r="V89" i="14"/>
  <c r="V86" i="14"/>
  <c r="V14" i="14"/>
  <c r="W15" i="14" s="1"/>
  <c r="V5" i="14"/>
  <c r="X6" i="14" s="1"/>
  <c r="V21" i="14"/>
  <c r="Y21" i="14" s="1"/>
  <c r="V38" i="14"/>
  <c r="Y39" i="14" s="1"/>
  <c r="V8" i="14"/>
  <c r="W9" i="14" s="1"/>
  <c r="V12" i="14"/>
  <c r="Y12" i="14" s="1"/>
  <c r="N86" i="14"/>
  <c r="P87" i="14" s="1"/>
  <c r="V18" i="14"/>
  <c r="Y18" i="14" s="1"/>
  <c r="R90" i="14"/>
  <c r="Q90" i="14"/>
  <c r="O90" i="14"/>
  <c r="P90" i="14"/>
  <c r="S90" i="14"/>
  <c r="W24" i="14"/>
  <c r="Y24" i="14"/>
  <c r="X24" i="14"/>
  <c r="X87" i="14"/>
  <c r="Y87" i="14"/>
  <c r="W87" i="14"/>
  <c r="Y33" i="14"/>
  <c r="W33" i="14"/>
  <c r="X33" i="14"/>
  <c r="X36" i="14"/>
  <c r="Y36" i="14"/>
  <c r="W36" i="14"/>
  <c r="X18" i="14"/>
  <c r="W18" i="14"/>
  <c r="W12" i="14"/>
  <c r="X12" i="14"/>
  <c r="X30" i="14"/>
  <c r="W27" i="14"/>
  <c r="X27" i="14"/>
  <c r="Y27" i="14"/>
  <c r="X90" i="14"/>
  <c r="W90" i="14"/>
  <c r="Y90" i="14"/>
  <c r="W21" i="14"/>
  <c r="X21" i="14"/>
  <c r="X9" i="14" l="1"/>
  <c r="Y30" i="14"/>
  <c r="W6" i="14"/>
  <c r="R87" i="14"/>
  <c r="O87" i="14"/>
  <c r="Y9" i="14"/>
  <c r="S87" i="14"/>
  <c r="Q87" i="14"/>
  <c r="X39" i="14"/>
  <c r="Y15" i="14"/>
  <c r="X15" i="14"/>
  <c r="Y6" i="14"/>
  <c r="W39" i="14"/>
  <c r="J83" i="11"/>
  <c r="J82" i="11" s="1"/>
  <c r="K82" i="11" s="1"/>
  <c r="J83" i="12"/>
  <c r="J82" i="12" s="1"/>
  <c r="J80" i="12" s="1"/>
  <c r="K80" i="12" s="1"/>
  <c r="J83" i="10"/>
  <c r="J82" i="10" s="1"/>
  <c r="J80" i="10" s="1"/>
  <c r="K80" i="10" s="1"/>
  <c r="J83" i="4"/>
  <c r="J82" i="4" s="1"/>
  <c r="J80" i="4" s="1"/>
  <c r="K80" i="4" s="1"/>
  <c r="J83" i="23"/>
  <c r="J82" i="23" s="1"/>
  <c r="J80" i="23" s="1"/>
  <c r="K80" i="23" s="1"/>
  <c r="J83" i="22"/>
  <c r="J82" i="22" s="1"/>
  <c r="J80" i="22" s="1"/>
  <c r="K80" i="22" s="1"/>
  <c r="J83" i="18"/>
  <c r="J82" i="18" s="1"/>
  <c r="J80" i="18" s="1"/>
  <c r="K80" i="18" s="1"/>
  <c r="J80" i="11" l="1"/>
  <c r="K80" i="11" s="1"/>
  <c r="K82" i="23"/>
  <c r="L80" i="23" s="1"/>
  <c r="M80" i="23" s="1"/>
  <c r="K82" i="22"/>
  <c r="L80" i="22" s="1"/>
  <c r="M80" i="22" s="1"/>
  <c r="N80" i="22" s="1"/>
  <c r="S81" i="22" s="1"/>
  <c r="K82" i="18"/>
  <c r="L80" i="18" s="1"/>
  <c r="M80" i="18" s="1"/>
  <c r="N81" i="18" s="1"/>
  <c r="K82" i="10"/>
  <c r="L80" i="10" s="1"/>
  <c r="M80" i="10" s="1"/>
  <c r="N80" i="10" s="1"/>
  <c r="S81" i="10" s="1"/>
  <c r="K82" i="12"/>
  <c r="L80" i="12" s="1"/>
  <c r="M80" i="12" s="1"/>
  <c r="K82" i="4"/>
  <c r="L80" i="4" s="1"/>
  <c r="M80" i="4" s="1"/>
  <c r="K83" i="18"/>
  <c r="J85" i="18"/>
  <c r="J85" i="13"/>
  <c r="K83" i="22"/>
  <c r="J85" i="22"/>
  <c r="J83" i="17"/>
  <c r="J82" i="17" s="1"/>
  <c r="J80" i="17" s="1"/>
  <c r="K83" i="23"/>
  <c r="J85" i="23"/>
  <c r="J85" i="8"/>
  <c r="K83" i="4"/>
  <c r="J85" i="4"/>
  <c r="K83" i="10"/>
  <c r="J85" i="10"/>
  <c r="K83" i="12"/>
  <c r="J85" i="12"/>
  <c r="K83" i="11"/>
  <c r="J85" i="11"/>
  <c r="L80" i="11"/>
  <c r="M80" i="11" s="1"/>
  <c r="N81" i="22" l="1"/>
  <c r="R81" i="22" s="1"/>
  <c r="N81" i="10"/>
  <c r="R81" i="10" s="1"/>
  <c r="N80" i="23"/>
  <c r="O81" i="23" s="1"/>
  <c r="N81" i="23"/>
  <c r="Q81" i="23" s="1"/>
  <c r="K82" i="17"/>
  <c r="N80" i="12"/>
  <c r="O81" i="12" s="1"/>
  <c r="N81" i="12"/>
  <c r="N81" i="4"/>
  <c r="N80" i="4"/>
  <c r="N80" i="18"/>
  <c r="R81" i="18" s="1"/>
  <c r="O81" i="22"/>
  <c r="K80" i="17"/>
  <c r="K83" i="17"/>
  <c r="J85" i="17"/>
  <c r="J86" i="12"/>
  <c r="K85" i="12"/>
  <c r="L83" i="12" s="1"/>
  <c r="M83" i="12" s="1"/>
  <c r="K85" i="22"/>
  <c r="L83" i="22" s="1"/>
  <c r="M83" i="22" s="1"/>
  <c r="J86" i="22"/>
  <c r="K85" i="10"/>
  <c r="L83" i="10" s="1"/>
  <c r="M83" i="10" s="1"/>
  <c r="J86" i="10"/>
  <c r="J86" i="13"/>
  <c r="K85" i="13"/>
  <c r="J86" i="4"/>
  <c r="K85" i="4"/>
  <c r="L83" i="4" s="1"/>
  <c r="M83" i="4" s="1"/>
  <c r="J86" i="18"/>
  <c r="K85" i="18"/>
  <c r="L83" i="18" s="1"/>
  <c r="M83" i="18" s="1"/>
  <c r="J86" i="8"/>
  <c r="K85" i="8"/>
  <c r="K85" i="23"/>
  <c r="L83" i="23" s="1"/>
  <c r="M83" i="23" s="1"/>
  <c r="J86" i="23"/>
  <c r="J86" i="11"/>
  <c r="K85" i="11"/>
  <c r="L83" i="11" s="1"/>
  <c r="M83" i="11" s="1"/>
  <c r="O81" i="10"/>
  <c r="Q81" i="10"/>
  <c r="P81" i="10"/>
  <c r="P81" i="22"/>
  <c r="Q81" i="22"/>
  <c r="P81" i="23"/>
  <c r="R81" i="23"/>
  <c r="S81" i="23"/>
  <c r="N81" i="11"/>
  <c r="N80" i="11"/>
  <c r="S81" i="12" l="1"/>
  <c r="Q81" i="4"/>
  <c r="Q81" i="12"/>
  <c r="R81" i="12"/>
  <c r="P81" i="12"/>
  <c r="P81" i="4"/>
  <c r="S81" i="4"/>
  <c r="R81" i="4"/>
  <c r="O81" i="18"/>
  <c r="O81" i="4"/>
  <c r="Q81" i="18"/>
  <c r="P81" i="18"/>
  <c r="S81" i="18"/>
  <c r="K86" i="22"/>
  <c r="J88" i="22"/>
  <c r="K86" i="18"/>
  <c r="J88" i="18"/>
  <c r="K86" i="11"/>
  <c r="J88" i="11"/>
  <c r="K86" i="4"/>
  <c r="J14" i="3" s="1"/>
  <c r="I14" i="3" s="1"/>
  <c r="G14" i="3" s="1"/>
  <c r="J88" i="4"/>
  <c r="K86" i="12"/>
  <c r="J88" i="12"/>
  <c r="K86" i="8"/>
  <c r="J88" i="8"/>
  <c r="K86" i="23"/>
  <c r="J88" i="23"/>
  <c r="K86" i="10"/>
  <c r="J88" i="10"/>
  <c r="K86" i="13"/>
  <c r="J88" i="13"/>
  <c r="L80" i="17"/>
  <c r="M80" i="17" s="1"/>
  <c r="N83" i="18"/>
  <c r="N84" i="18"/>
  <c r="N83" i="4"/>
  <c r="N84" i="4"/>
  <c r="N84" i="23"/>
  <c r="N83" i="23"/>
  <c r="N84" i="10"/>
  <c r="N83" i="10"/>
  <c r="N83" i="22"/>
  <c r="N84" i="22"/>
  <c r="N83" i="12"/>
  <c r="N84" i="12"/>
  <c r="N83" i="11"/>
  <c r="N84" i="11"/>
  <c r="J86" i="17"/>
  <c r="K85" i="17"/>
  <c r="L83" i="17" s="1"/>
  <c r="M83" i="17" s="1"/>
  <c r="P81" i="11"/>
  <c r="O81" i="11"/>
  <c r="S81" i="11"/>
  <c r="Q81" i="11"/>
  <c r="R81" i="11"/>
  <c r="K88" i="8" l="1"/>
  <c r="J89" i="8"/>
  <c r="K89" i="8" s="1"/>
  <c r="K88" i="12"/>
  <c r="J89" i="12"/>
  <c r="K89" i="12" s="1"/>
  <c r="K86" i="17"/>
  <c r="J88" i="17"/>
  <c r="K88" i="13"/>
  <c r="J89" i="13"/>
  <c r="K89" i="13" s="1"/>
  <c r="K88" i="4"/>
  <c r="J89" i="4"/>
  <c r="K89" i="4" s="1"/>
  <c r="K88" i="10"/>
  <c r="J89" i="10"/>
  <c r="K89" i="10" s="1"/>
  <c r="K88" i="11"/>
  <c r="J89" i="11"/>
  <c r="K89" i="11" s="1"/>
  <c r="K88" i="18"/>
  <c r="J89" i="18"/>
  <c r="K89" i="18" s="1"/>
  <c r="K88" i="23"/>
  <c r="J89" i="23"/>
  <c r="K89" i="23" s="1"/>
  <c r="K88" i="22"/>
  <c r="J89" i="22"/>
  <c r="K89" i="22" s="1"/>
  <c r="N81" i="17"/>
  <c r="N80" i="17"/>
  <c r="N83" i="17"/>
  <c r="N84" i="17"/>
  <c r="Q84" i="12"/>
  <c r="S84" i="12"/>
  <c r="O84" i="12"/>
  <c r="R84" i="12"/>
  <c r="P84" i="12"/>
  <c r="O84" i="10"/>
  <c r="S84" i="10"/>
  <c r="P84" i="10"/>
  <c r="Q84" i="10"/>
  <c r="R84" i="10"/>
  <c r="O84" i="11"/>
  <c r="Q84" i="11"/>
  <c r="P84" i="11"/>
  <c r="R84" i="11"/>
  <c r="S84" i="11"/>
  <c r="S84" i="23"/>
  <c r="R84" i="23"/>
  <c r="O84" i="23"/>
  <c r="Q84" i="23"/>
  <c r="P84" i="23"/>
  <c r="Q84" i="22"/>
  <c r="R84" i="22"/>
  <c r="P84" i="22"/>
  <c r="O84" i="22"/>
  <c r="S84" i="22"/>
  <c r="S84" i="4"/>
  <c r="P84" i="4"/>
  <c r="R84" i="4"/>
  <c r="Q84" i="4"/>
  <c r="O84" i="4"/>
  <c r="Q84" i="18"/>
  <c r="R84" i="18"/>
  <c r="S84" i="18"/>
  <c r="O84" i="18"/>
  <c r="P84" i="18"/>
  <c r="L89" i="4" l="1"/>
  <c r="M89" i="4" s="1"/>
  <c r="T89" i="4"/>
  <c r="U89" i="4" s="1"/>
  <c r="J13" i="3"/>
  <c r="I13" i="3" s="1"/>
  <c r="G13" i="3" s="1"/>
  <c r="T26" i="4"/>
  <c r="U26" i="4" s="1"/>
  <c r="T17" i="4"/>
  <c r="U17" i="4" s="1"/>
  <c r="T5" i="4"/>
  <c r="U5" i="4" s="1"/>
  <c r="T38" i="4"/>
  <c r="U38" i="4" s="1"/>
  <c r="T20" i="4"/>
  <c r="U20" i="4" s="1"/>
  <c r="T32" i="4"/>
  <c r="U32" i="4" s="1"/>
  <c r="T35" i="4"/>
  <c r="U35" i="4" s="1"/>
  <c r="T14" i="4"/>
  <c r="U14" i="4" s="1"/>
  <c r="T8" i="4"/>
  <c r="U8" i="4" s="1"/>
  <c r="T11" i="4"/>
  <c r="U11" i="4" s="1"/>
  <c r="T29" i="4"/>
  <c r="U29" i="4" s="1"/>
  <c r="T23" i="4"/>
  <c r="U23" i="4" s="1"/>
  <c r="T80" i="4"/>
  <c r="U80" i="4" s="1"/>
  <c r="T83" i="4"/>
  <c r="U83" i="4" s="1"/>
  <c r="T86" i="4"/>
  <c r="U86" i="4" s="1"/>
  <c r="L86" i="4"/>
  <c r="M86" i="4" s="1"/>
  <c r="L89" i="22"/>
  <c r="M89" i="22" s="1"/>
  <c r="T89" i="22"/>
  <c r="U89" i="22" s="1"/>
  <c r="L89" i="13"/>
  <c r="M89" i="13" s="1"/>
  <c r="T89" i="13"/>
  <c r="U89" i="13" s="1"/>
  <c r="T17" i="22"/>
  <c r="U17" i="22" s="1"/>
  <c r="T38" i="22"/>
  <c r="U38" i="22" s="1"/>
  <c r="T29" i="22"/>
  <c r="U29" i="22" s="1"/>
  <c r="T20" i="22"/>
  <c r="U20" i="22" s="1"/>
  <c r="T14" i="22"/>
  <c r="U14" i="22" s="1"/>
  <c r="T11" i="22"/>
  <c r="U11" i="22" s="1"/>
  <c r="T35" i="22"/>
  <c r="U35" i="22" s="1"/>
  <c r="T26" i="22"/>
  <c r="U26" i="22" s="1"/>
  <c r="T32" i="22"/>
  <c r="U32" i="22" s="1"/>
  <c r="T23" i="22"/>
  <c r="U23" i="22" s="1"/>
  <c r="T5" i="22"/>
  <c r="U5" i="22" s="1"/>
  <c r="T8" i="22"/>
  <c r="U8" i="22" s="1"/>
  <c r="T80" i="22"/>
  <c r="U80" i="22" s="1"/>
  <c r="T83" i="22"/>
  <c r="U83" i="22" s="1"/>
  <c r="L86" i="22"/>
  <c r="M86" i="22" s="1"/>
  <c r="T86" i="22"/>
  <c r="U86" i="22" s="1"/>
  <c r="T14" i="13"/>
  <c r="U14" i="13" s="1"/>
  <c r="T20" i="13"/>
  <c r="U20" i="13" s="1"/>
  <c r="T8" i="13"/>
  <c r="U8" i="13" s="1"/>
  <c r="T23" i="13"/>
  <c r="U23" i="13" s="1"/>
  <c r="T26" i="13"/>
  <c r="U26" i="13" s="1"/>
  <c r="T11" i="13"/>
  <c r="U11" i="13" s="1"/>
  <c r="T17" i="13"/>
  <c r="U17" i="13" s="1"/>
  <c r="T29" i="13"/>
  <c r="U29" i="13" s="1"/>
  <c r="T5" i="13"/>
  <c r="U5" i="13" s="1"/>
  <c r="T35" i="13"/>
  <c r="U35" i="13" s="1"/>
  <c r="T32" i="13"/>
  <c r="U32" i="13" s="1"/>
  <c r="T38" i="13"/>
  <c r="U38" i="13" s="1"/>
  <c r="L86" i="13"/>
  <c r="M86" i="13" s="1"/>
  <c r="T86" i="13"/>
  <c r="U86" i="13" s="1"/>
  <c r="L89" i="23"/>
  <c r="M89" i="23" s="1"/>
  <c r="T89" i="23"/>
  <c r="U89" i="23" s="1"/>
  <c r="K88" i="17"/>
  <c r="J89" i="17"/>
  <c r="K89" i="17" s="1"/>
  <c r="T32" i="23"/>
  <c r="U32" i="23" s="1"/>
  <c r="T38" i="23"/>
  <c r="U38" i="23" s="1"/>
  <c r="T26" i="23"/>
  <c r="U26" i="23" s="1"/>
  <c r="T17" i="23"/>
  <c r="U17" i="23" s="1"/>
  <c r="T5" i="23"/>
  <c r="U5" i="23" s="1"/>
  <c r="T20" i="23"/>
  <c r="U20" i="23" s="1"/>
  <c r="T29" i="23"/>
  <c r="U29" i="23" s="1"/>
  <c r="T8" i="23"/>
  <c r="U8" i="23" s="1"/>
  <c r="T35" i="23"/>
  <c r="U35" i="23" s="1"/>
  <c r="T14" i="23"/>
  <c r="U14" i="23" s="1"/>
  <c r="T11" i="23"/>
  <c r="U11" i="23" s="1"/>
  <c r="T23" i="23"/>
  <c r="U23" i="23" s="1"/>
  <c r="T80" i="23"/>
  <c r="U80" i="23" s="1"/>
  <c r="T83" i="23"/>
  <c r="U83" i="23" s="1"/>
  <c r="L86" i="23"/>
  <c r="M86" i="23" s="1"/>
  <c r="T86" i="23"/>
  <c r="U86" i="23" s="1"/>
  <c r="L89" i="18"/>
  <c r="M89" i="18" s="1"/>
  <c r="T89" i="18"/>
  <c r="U89" i="18" s="1"/>
  <c r="L89" i="12"/>
  <c r="M89" i="12" s="1"/>
  <c r="T89" i="12"/>
  <c r="U89" i="12" s="1"/>
  <c r="T20" i="18"/>
  <c r="U20" i="18" s="1"/>
  <c r="T29" i="18"/>
  <c r="U29" i="18" s="1"/>
  <c r="T14" i="18"/>
  <c r="U14" i="18" s="1"/>
  <c r="T38" i="18"/>
  <c r="U38" i="18" s="1"/>
  <c r="T26" i="18"/>
  <c r="U26" i="18" s="1"/>
  <c r="T17" i="18"/>
  <c r="U17" i="18" s="1"/>
  <c r="T5" i="18"/>
  <c r="U5" i="18" s="1"/>
  <c r="T11" i="18"/>
  <c r="U11" i="18" s="1"/>
  <c r="T23" i="18"/>
  <c r="U23" i="18" s="1"/>
  <c r="T32" i="18"/>
  <c r="U32" i="18" s="1"/>
  <c r="T35" i="18"/>
  <c r="U35" i="18" s="1"/>
  <c r="T8" i="18"/>
  <c r="U8" i="18" s="1"/>
  <c r="T80" i="18"/>
  <c r="U80" i="18" s="1"/>
  <c r="T83" i="18"/>
  <c r="U83" i="18" s="1"/>
  <c r="L86" i="18"/>
  <c r="M86" i="18" s="1"/>
  <c r="T86" i="18"/>
  <c r="U86" i="18" s="1"/>
  <c r="T26" i="12"/>
  <c r="U26" i="12" s="1"/>
  <c r="T29" i="12"/>
  <c r="U29" i="12" s="1"/>
  <c r="T11" i="12"/>
  <c r="U11" i="12" s="1"/>
  <c r="T35" i="12"/>
  <c r="U35" i="12" s="1"/>
  <c r="T23" i="12"/>
  <c r="U23" i="12" s="1"/>
  <c r="T5" i="12"/>
  <c r="U5" i="12" s="1"/>
  <c r="T8" i="12"/>
  <c r="U8" i="12" s="1"/>
  <c r="T17" i="12"/>
  <c r="U17" i="12" s="1"/>
  <c r="T14" i="12"/>
  <c r="U14" i="12" s="1"/>
  <c r="T38" i="12"/>
  <c r="U38" i="12" s="1"/>
  <c r="T32" i="12"/>
  <c r="U32" i="12" s="1"/>
  <c r="T20" i="12"/>
  <c r="U20" i="12" s="1"/>
  <c r="T80" i="12"/>
  <c r="U80" i="12" s="1"/>
  <c r="T83" i="12"/>
  <c r="U83" i="12" s="1"/>
  <c r="L86" i="12"/>
  <c r="M86" i="12" s="1"/>
  <c r="L89" i="11"/>
  <c r="M89" i="11" s="1"/>
  <c r="T89" i="11"/>
  <c r="U89" i="11" s="1"/>
  <c r="L89" i="8"/>
  <c r="M89" i="8" s="1"/>
  <c r="T89" i="8"/>
  <c r="U89" i="8" s="1"/>
  <c r="T14" i="11"/>
  <c r="U14" i="11" s="1"/>
  <c r="T20" i="11"/>
  <c r="U20" i="11" s="1"/>
  <c r="T35" i="11"/>
  <c r="U35" i="11" s="1"/>
  <c r="T26" i="11"/>
  <c r="U26" i="11" s="1"/>
  <c r="T11" i="11"/>
  <c r="U11" i="11" s="1"/>
  <c r="T17" i="11"/>
  <c r="U17" i="11" s="1"/>
  <c r="T32" i="11"/>
  <c r="U32" i="11" s="1"/>
  <c r="T8" i="11"/>
  <c r="U8" i="11" s="1"/>
  <c r="T29" i="11"/>
  <c r="U29" i="11" s="1"/>
  <c r="T38" i="11"/>
  <c r="U38" i="11" s="1"/>
  <c r="T5" i="11"/>
  <c r="U5" i="11" s="1"/>
  <c r="T23" i="11"/>
  <c r="U23" i="11" s="1"/>
  <c r="T80" i="11"/>
  <c r="U80" i="11" s="1"/>
  <c r="T83" i="11"/>
  <c r="U83" i="11" s="1"/>
  <c r="L86" i="11"/>
  <c r="M86" i="11" s="1"/>
  <c r="T86" i="11"/>
  <c r="U86" i="11" s="1"/>
  <c r="T5" i="8"/>
  <c r="U5" i="8" s="1"/>
  <c r="T26" i="8"/>
  <c r="U26" i="8" s="1"/>
  <c r="T32" i="8"/>
  <c r="U32" i="8" s="1"/>
  <c r="T20" i="8"/>
  <c r="U20" i="8" s="1"/>
  <c r="T23" i="8"/>
  <c r="U23" i="8" s="1"/>
  <c r="T29" i="8"/>
  <c r="U29" i="8" s="1"/>
  <c r="T11" i="8"/>
  <c r="U11" i="8" s="1"/>
  <c r="T17" i="8"/>
  <c r="U17" i="8" s="1"/>
  <c r="T14" i="8"/>
  <c r="U14" i="8" s="1"/>
  <c r="T35" i="8"/>
  <c r="U35" i="8" s="1"/>
  <c r="T8" i="8"/>
  <c r="U8" i="8" s="1"/>
  <c r="T38" i="8"/>
  <c r="U38" i="8" s="1"/>
  <c r="T86" i="8"/>
  <c r="U86" i="8" s="1"/>
  <c r="L89" i="10"/>
  <c r="M89" i="10" s="1"/>
  <c r="T89" i="10"/>
  <c r="U89" i="10" s="1"/>
  <c r="L86" i="8"/>
  <c r="M86" i="8" s="1"/>
  <c r="T26" i="10"/>
  <c r="U26" i="10" s="1"/>
  <c r="T29" i="10"/>
  <c r="U29" i="10" s="1"/>
  <c r="T35" i="10"/>
  <c r="U35" i="10" s="1"/>
  <c r="T14" i="10"/>
  <c r="U14" i="10" s="1"/>
  <c r="T11" i="10"/>
  <c r="U11" i="10" s="1"/>
  <c r="T20" i="10"/>
  <c r="U20" i="10" s="1"/>
  <c r="T32" i="10"/>
  <c r="U32" i="10" s="1"/>
  <c r="T17" i="10"/>
  <c r="U17" i="10" s="1"/>
  <c r="T8" i="10"/>
  <c r="U8" i="10" s="1"/>
  <c r="T5" i="10"/>
  <c r="U5" i="10" s="1"/>
  <c r="T38" i="10"/>
  <c r="U38" i="10" s="1"/>
  <c r="T23" i="10"/>
  <c r="U23" i="10" s="1"/>
  <c r="T80" i="10"/>
  <c r="U80" i="10" s="1"/>
  <c r="T83" i="10"/>
  <c r="U83" i="10" s="1"/>
  <c r="L86" i="10"/>
  <c r="M86" i="10" s="1"/>
  <c r="T86" i="10"/>
  <c r="U86" i="10" s="1"/>
  <c r="T86" i="12"/>
  <c r="U86" i="12" s="1"/>
  <c r="O81" i="17"/>
  <c r="S81" i="17"/>
  <c r="R81" i="17"/>
  <c r="P81" i="17"/>
  <c r="Q81" i="17"/>
  <c r="P84" i="17"/>
  <c r="S84" i="17"/>
  <c r="O84" i="17"/>
  <c r="Q84" i="17"/>
  <c r="R84" i="17"/>
  <c r="V9" i="4" l="1"/>
  <c r="V8" i="4"/>
  <c r="V38" i="10"/>
  <c r="V39" i="10"/>
  <c r="V90" i="10"/>
  <c r="V89" i="10"/>
  <c r="V32" i="8"/>
  <c r="V33" i="8"/>
  <c r="V32" i="11"/>
  <c r="V33" i="11"/>
  <c r="V84" i="12"/>
  <c r="V83" i="12"/>
  <c r="V29" i="12"/>
  <c r="V30" i="12"/>
  <c r="V18" i="18"/>
  <c r="V17" i="18"/>
  <c r="V83" i="23"/>
  <c r="V84" i="23"/>
  <c r="V38" i="23"/>
  <c r="V39" i="23"/>
  <c r="V30" i="13"/>
  <c r="V29" i="13"/>
  <c r="V9" i="22"/>
  <c r="V8" i="22"/>
  <c r="V89" i="13"/>
  <c r="V90" i="13"/>
  <c r="V14" i="4"/>
  <c r="V15" i="4"/>
  <c r="V23" i="10"/>
  <c r="V24" i="10"/>
  <c r="V5" i="13"/>
  <c r="V6" i="13"/>
  <c r="V5" i="10"/>
  <c r="V6" i="10"/>
  <c r="N90" i="10"/>
  <c r="N89" i="10"/>
  <c r="V26" i="8"/>
  <c r="V27" i="8"/>
  <c r="V18" i="11"/>
  <c r="V17" i="11"/>
  <c r="V80" i="12"/>
  <c r="V81" i="12"/>
  <c r="V26" i="12"/>
  <c r="V27" i="12"/>
  <c r="V27" i="18"/>
  <c r="V26" i="18"/>
  <c r="V81" i="23"/>
  <c r="V80" i="23"/>
  <c r="V32" i="23"/>
  <c r="V33" i="23"/>
  <c r="V17" i="13"/>
  <c r="V18" i="13"/>
  <c r="V6" i="22"/>
  <c r="V5" i="22"/>
  <c r="N89" i="13"/>
  <c r="N90" i="13"/>
  <c r="V36" i="4"/>
  <c r="V35" i="4"/>
  <c r="V11" i="12"/>
  <c r="V12" i="12"/>
  <c r="V8" i="10"/>
  <c r="V9" i="10"/>
  <c r="V86" i="8"/>
  <c r="V87" i="8"/>
  <c r="V6" i="8"/>
  <c r="V5" i="8"/>
  <c r="V11" i="11"/>
  <c r="V12" i="11"/>
  <c r="V20" i="12"/>
  <c r="V21" i="12"/>
  <c r="V86" i="18"/>
  <c r="V87" i="18"/>
  <c r="V38" i="18"/>
  <c r="V39" i="18"/>
  <c r="V23" i="23"/>
  <c r="V24" i="23"/>
  <c r="L89" i="17"/>
  <c r="M89" i="17" s="1"/>
  <c r="T89" i="17"/>
  <c r="U89" i="17" s="1"/>
  <c r="V11" i="13"/>
  <c r="V12" i="13"/>
  <c r="V24" i="22"/>
  <c r="V23" i="22"/>
  <c r="V89" i="22"/>
  <c r="V90" i="22"/>
  <c r="V32" i="4"/>
  <c r="V33" i="4"/>
  <c r="N86" i="12"/>
  <c r="N87" i="12"/>
  <c r="V27" i="23"/>
  <c r="V26" i="23"/>
  <c r="V17" i="10"/>
  <c r="V18" i="10"/>
  <c r="V38" i="8"/>
  <c r="V39" i="8"/>
  <c r="V87" i="11"/>
  <c r="V86" i="11"/>
  <c r="V26" i="11"/>
  <c r="V27" i="11"/>
  <c r="V32" i="12"/>
  <c r="V33" i="12"/>
  <c r="N87" i="18"/>
  <c r="N86" i="18"/>
  <c r="V14" i="18"/>
  <c r="V15" i="18"/>
  <c r="V11" i="23"/>
  <c r="V12" i="23"/>
  <c r="T32" i="17"/>
  <c r="U32" i="17" s="1"/>
  <c r="T29" i="17"/>
  <c r="U29" i="17" s="1"/>
  <c r="T23" i="17"/>
  <c r="U23" i="17" s="1"/>
  <c r="T8" i="17"/>
  <c r="U8" i="17" s="1"/>
  <c r="T14" i="17"/>
  <c r="U14" i="17" s="1"/>
  <c r="T26" i="17"/>
  <c r="U26" i="17" s="1"/>
  <c r="T38" i="17"/>
  <c r="U38" i="17" s="1"/>
  <c r="T35" i="17"/>
  <c r="U35" i="17" s="1"/>
  <c r="T5" i="17"/>
  <c r="U5" i="17" s="1"/>
  <c r="T11" i="17"/>
  <c r="U11" i="17" s="1"/>
  <c r="T20" i="17"/>
  <c r="U20" i="17" s="1"/>
  <c r="T17" i="17"/>
  <c r="U17" i="17" s="1"/>
  <c r="T83" i="17"/>
  <c r="U83" i="17" s="1"/>
  <c r="T80" i="17"/>
  <c r="U80" i="17" s="1"/>
  <c r="T86" i="17"/>
  <c r="U86" i="17" s="1"/>
  <c r="L86" i="17"/>
  <c r="M86" i="17" s="1"/>
  <c r="V26" i="13"/>
  <c r="V27" i="13"/>
  <c r="V33" i="22"/>
  <c r="V32" i="22"/>
  <c r="N89" i="22"/>
  <c r="N90" i="22"/>
  <c r="V20" i="4"/>
  <c r="V21" i="4"/>
  <c r="V80" i="22"/>
  <c r="V81" i="22"/>
  <c r="V32" i="10"/>
  <c r="V33" i="10"/>
  <c r="V9" i="8"/>
  <c r="V8" i="8"/>
  <c r="N86" i="11"/>
  <c r="N87" i="11"/>
  <c r="V35" i="11"/>
  <c r="V36" i="11"/>
  <c r="V39" i="12"/>
  <c r="V38" i="12"/>
  <c r="V84" i="18"/>
  <c r="V83" i="18"/>
  <c r="V29" i="18"/>
  <c r="V30" i="18"/>
  <c r="V15" i="23"/>
  <c r="V14" i="23"/>
  <c r="V89" i="23"/>
  <c r="V90" i="23"/>
  <c r="V23" i="13"/>
  <c r="V24" i="13"/>
  <c r="V27" i="22"/>
  <c r="V26" i="22"/>
  <c r="N86" i="4"/>
  <c r="N87" i="4"/>
  <c r="V39" i="4"/>
  <c r="V38" i="4"/>
  <c r="N87" i="8"/>
  <c r="N86" i="8"/>
  <c r="V17" i="22"/>
  <c r="V18" i="22"/>
  <c r="V21" i="10"/>
  <c r="V20" i="10"/>
  <c r="V35" i="8"/>
  <c r="V36" i="8"/>
  <c r="V83" i="11"/>
  <c r="V84" i="11"/>
  <c r="V20" i="11"/>
  <c r="V21" i="11"/>
  <c r="V14" i="12"/>
  <c r="V15" i="12"/>
  <c r="V80" i="18"/>
  <c r="V81" i="18"/>
  <c r="V20" i="18"/>
  <c r="V21" i="18"/>
  <c r="V35" i="23"/>
  <c r="V36" i="23"/>
  <c r="N90" i="23"/>
  <c r="N89" i="23"/>
  <c r="V8" i="13"/>
  <c r="V9" i="13"/>
  <c r="V35" i="22"/>
  <c r="V36" i="22"/>
  <c r="V87" i="4"/>
  <c r="V86" i="4"/>
  <c r="V5" i="4"/>
  <c r="V6" i="4"/>
  <c r="V21" i="8"/>
  <c r="V20" i="8"/>
  <c r="V5" i="18"/>
  <c r="V6" i="18"/>
  <c r="V87" i="12"/>
  <c r="V86" i="12"/>
  <c r="V11" i="10"/>
  <c r="V12" i="10"/>
  <c r="V14" i="8"/>
  <c r="V15" i="8"/>
  <c r="V81" i="11"/>
  <c r="V80" i="11"/>
  <c r="V15" i="11"/>
  <c r="V14" i="11"/>
  <c r="V18" i="12"/>
  <c r="V17" i="12"/>
  <c r="V9" i="18"/>
  <c r="V8" i="18"/>
  <c r="V89" i="12"/>
  <c r="V90" i="12"/>
  <c r="V8" i="23"/>
  <c r="V9" i="23"/>
  <c r="V86" i="13"/>
  <c r="V87" i="13"/>
  <c r="V20" i="13"/>
  <c r="V21" i="13"/>
  <c r="V11" i="22"/>
  <c r="V12" i="22"/>
  <c r="V83" i="4"/>
  <c r="V84" i="4"/>
  <c r="V18" i="4"/>
  <c r="V17" i="4"/>
  <c r="V8" i="11"/>
  <c r="V9" i="11"/>
  <c r="N87" i="23"/>
  <c r="N86" i="23"/>
  <c r="V86" i="10"/>
  <c r="V87" i="10"/>
  <c r="V15" i="10"/>
  <c r="V14" i="10"/>
  <c r="V17" i="8"/>
  <c r="V18" i="8"/>
  <c r="V23" i="11"/>
  <c r="V24" i="11"/>
  <c r="V89" i="8"/>
  <c r="V90" i="8"/>
  <c r="V8" i="12"/>
  <c r="V9" i="12"/>
  <c r="V36" i="18"/>
  <c r="V35" i="18"/>
  <c r="N89" i="12"/>
  <c r="N90" i="12"/>
  <c r="V29" i="23"/>
  <c r="V30" i="23"/>
  <c r="N86" i="13"/>
  <c r="N87" i="13"/>
  <c r="V15" i="13"/>
  <c r="V14" i="13"/>
  <c r="V14" i="22"/>
  <c r="V15" i="22"/>
  <c r="V81" i="4"/>
  <c r="V80" i="4"/>
  <c r="V26" i="4"/>
  <c r="V27" i="4"/>
  <c r="N86" i="10"/>
  <c r="N87" i="10"/>
  <c r="V5" i="11"/>
  <c r="V6" i="11"/>
  <c r="V33" i="18"/>
  <c r="V32" i="18"/>
  <c r="V90" i="18"/>
  <c r="V89" i="18"/>
  <c r="V20" i="23"/>
  <c r="V21" i="23"/>
  <c r="V21" i="22"/>
  <c r="V20" i="22"/>
  <c r="V23" i="4"/>
  <c r="V24" i="4"/>
  <c r="V11" i="8"/>
  <c r="V12" i="8"/>
  <c r="V5" i="12"/>
  <c r="V6" i="12"/>
  <c r="V38" i="13"/>
  <c r="V39" i="13"/>
  <c r="V84" i="10"/>
  <c r="V83" i="10"/>
  <c r="V29" i="10"/>
  <c r="V30" i="10"/>
  <c r="V30" i="8"/>
  <c r="V29" i="8"/>
  <c r="V38" i="11"/>
  <c r="V39" i="11"/>
  <c r="V89" i="11"/>
  <c r="V90" i="11"/>
  <c r="V24" i="12"/>
  <c r="V23" i="12"/>
  <c r="V23" i="18"/>
  <c r="V24" i="18"/>
  <c r="N89" i="18"/>
  <c r="N90" i="18"/>
  <c r="V5" i="23"/>
  <c r="V6" i="23"/>
  <c r="V33" i="13"/>
  <c r="V32" i="13"/>
  <c r="N87" i="22"/>
  <c r="N86" i="22"/>
  <c r="V29" i="22"/>
  <c r="V30" i="22"/>
  <c r="V29" i="4"/>
  <c r="V30" i="4"/>
  <c r="V89" i="4"/>
  <c r="V90" i="4"/>
  <c r="V35" i="10"/>
  <c r="V36" i="10"/>
  <c r="N89" i="8"/>
  <c r="N90" i="8"/>
  <c r="V87" i="22"/>
  <c r="V86" i="22"/>
  <c r="V80" i="10"/>
  <c r="V81" i="10"/>
  <c r="V26" i="10"/>
  <c r="V27" i="10"/>
  <c r="V24" i="8"/>
  <c r="V23" i="8"/>
  <c r="V29" i="11"/>
  <c r="V30" i="11"/>
  <c r="N90" i="11"/>
  <c r="N89" i="11"/>
  <c r="V35" i="12"/>
  <c r="V36" i="12"/>
  <c r="V11" i="18"/>
  <c r="V12" i="18"/>
  <c r="V86" i="23"/>
  <c r="V87" i="23"/>
  <c r="V17" i="23"/>
  <c r="V18" i="23"/>
  <c r="V35" i="13"/>
  <c r="V36" i="13"/>
  <c r="V83" i="22"/>
  <c r="V84" i="22"/>
  <c r="V38" i="22"/>
  <c r="V39" i="22"/>
  <c r="V11" i="4"/>
  <c r="V12" i="4"/>
  <c r="N89" i="4"/>
  <c r="N90" i="4"/>
  <c r="R90" i="18" l="1"/>
  <c r="Y9" i="22"/>
  <c r="W9" i="22"/>
  <c r="X9" i="22"/>
  <c r="Y18" i="23"/>
  <c r="W18" i="23"/>
  <c r="X18" i="23"/>
  <c r="Y90" i="4"/>
  <c r="X90" i="4"/>
  <c r="W90" i="4"/>
  <c r="O90" i="18"/>
  <c r="S90" i="18"/>
  <c r="P90" i="18"/>
  <c r="Q90" i="18"/>
  <c r="W30" i="10"/>
  <c r="X30" i="10"/>
  <c r="Y30" i="10"/>
  <c r="W27" i="4"/>
  <c r="Y27" i="4"/>
  <c r="X27" i="4"/>
  <c r="S90" i="12"/>
  <c r="O90" i="12"/>
  <c r="P90" i="12"/>
  <c r="Q90" i="12"/>
  <c r="R90" i="12"/>
  <c r="X12" i="22"/>
  <c r="W12" i="22"/>
  <c r="Y12" i="22"/>
  <c r="Y6" i="18"/>
  <c r="W6" i="18"/>
  <c r="X6" i="18"/>
  <c r="X84" i="11"/>
  <c r="W84" i="11"/>
  <c r="Y84" i="11"/>
  <c r="R87" i="4"/>
  <c r="P87" i="4"/>
  <c r="Q87" i="4"/>
  <c r="O87" i="4"/>
  <c r="S87" i="4"/>
  <c r="Y81" i="22"/>
  <c r="X81" i="22"/>
  <c r="W81" i="22"/>
  <c r="V84" i="17"/>
  <c r="V83" i="17"/>
  <c r="V33" i="17"/>
  <c r="V32" i="17"/>
  <c r="Y90" i="22"/>
  <c r="W90" i="22"/>
  <c r="X90" i="22"/>
  <c r="Y87" i="18"/>
  <c r="X87" i="18"/>
  <c r="W87" i="18"/>
  <c r="X12" i="12"/>
  <c r="Y12" i="12"/>
  <c r="W12" i="12"/>
  <c r="X21" i="22"/>
  <c r="W21" i="22"/>
  <c r="Y21" i="22"/>
  <c r="V29" i="17"/>
  <c r="V30" i="17"/>
  <c r="Y84" i="10"/>
  <c r="W84" i="10"/>
  <c r="X84" i="10"/>
  <c r="W81" i="4"/>
  <c r="X81" i="4"/>
  <c r="Y81" i="4"/>
  <c r="Y36" i="18"/>
  <c r="W36" i="18"/>
  <c r="X36" i="18"/>
  <c r="X15" i="11"/>
  <c r="Y15" i="11"/>
  <c r="W15" i="11"/>
  <c r="Y21" i="8"/>
  <c r="X21" i="8"/>
  <c r="W21" i="8"/>
  <c r="X27" i="22"/>
  <c r="W27" i="22"/>
  <c r="Y27" i="22"/>
  <c r="W39" i="12"/>
  <c r="X39" i="12"/>
  <c r="Y39" i="12"/>
  <c r="V18" i="17"/>
  <c r="V17" i="17"/>
  <c r="Y24" i="22"/>
  <c r="W24" i="22"/>
  <c r="X24" i="22"/>
  <c r="W36" i="4"/>
  <c r="Y36" i="4"/>
  <c r="X36" i="4"/>
  <c r="W27" i="18"/>
  <c r="X27" i="18"/>
  <c r="Y27" i="18"/>
  <c r="Y30" i="13"/>
  <c r="X30" i="13"/>
  <c r="W30" i="13"/>
  <c r="O90" i="4"/>
  <c r="R90" i="4"/>
  <c r="S90" i="4"/>
  <c r="P90" i="4"/>
  <c r="Q90" i="4"/>
  <c r="X87" i="23"/>
  <c r="Y87" i="23"/>
  <c r="W87" i="23"/>
  <c r="W27" i="10"/>
  <c r="Y27" i="10"/>
  <c r="X27" i="10"/>
  <c r="Y30" i="4"/>
  <c r="X30" i="4"/>
  <c r="W30" i="4"/>
  <c r="X24" i="18"/>
  <c r="W24" i="18"/>
  <c r="Y24" i="18"/>
  <c r="W21" i="23"/>
  <c r="X21" i="23"/>
  <c r="Y21" i="23"/>
  <c r="X87" i="10"/>
  <c r="Y87" i="10"/>
  <c r="W87" i="10"/>
  <c r="X21" i="13"/>
  <c r="Y21" i="13"/>
  <c r="W21" i="13"/>
  <c r="Y36" i="23"/>
  <c r="X36" i="23"/>
  <c r="W36" i="23"/>
  <c r="X36" i="8"/>
  <c r="W36" i="8"/>
  <c r="Y36" i="8"/>
  <c r="Y21" i="4"/>
  <c r="X21" i="4"/>
  <c r="W21" i="4"/>
  <c r="V21" i="17"/>
  <c r="V20" i="17"/>
  <c r="W12" i="23"/>
  <c r="X12" i="23"/>
  <c r="Y12" i="23"/>
  <c r="X39" i="8"/>
  <c r="W39" i="8"/>
  <c r="Y39" i="8"/>
  <c r="Y21" i="12"/>
  <c r="W21" i="12"/>
  <c r="X21" i="12"/>
  <c r="X6" i="10"/>
  <c r="Y6" i="10"/>
  <c r="W6" i="10"/>
  <c r="Y33" i="11"/>
  <c r="W33" i="11"/>
  <c r="X33" i="11"/>
  <c r="X15" i="10"/>
  <c r="W15" i="10"/>
  <c r="Y15" i="10"/>
  <c r="Y24" i="12"/>
  <c r="X24" i="12"/>
  <c r="W24" i="12"/>
  <c r="W90" i="18"/>
  <c r="X90" i="18"/>
  <c r="Y90" i="18"/>
  <c r="Q87" i="23"/>
  <c r="P87" i="23"/>
  <c r="S87" i="23"/>
  <c r="O87" i="23"/>
  <c r="R87" i="23"/>
  <c r="W81" i="11"/>
  <c r="Y81" i="11"/>
  <c r="X81" i="11"/>
  <c r="X21" i="10"/>
  <c r="Y21" i="10"/>
  <c r="W21" i="10"/>
  <c r="V12" i="17"/>
  <c r="V11" i="17"/>
  <c r="Q90" i="23"/>
  <c r="P90" i="23"/>
  <c r="O90" i="23"/>
  <c r="R90" i="23"/>
  <c r="S90" i="23"/>
  <c r="W87" i="11"/>
  <c r="Y87" i="11"/>
  <c r="X87" i="11"/>
  <c r="W12" i="4"/>
  <c r="X12" i="4"/>
  <c r="Y12" i="4"/>
  <c r="Y81" i="10"/>
  <c r="W81" i="10"/>
  <c r="X81" i="10"/>
  <c r="W30" i="22"/>
  <c r="X30" i="22"/>
  <c r="Y30" i="22"/>
  <c r="Y39" i="13"/>
  <c r="W39" i="13"/>
  <c r="X39" i="13"/>
  <c r="W15" i="22"/>
  <c r="X15" i="22"/>
  <c r="Y15" i="22"/>
  <c r="W9" i="12"/>
  <c r="X9" i="12"/>
  <c r="Y9" i="12"/>
  <c r="X87" i="13"/>
  <c r="Y87" i="13"/>
  <c r="W87" i="13"/>
  <c r="X6" i="4"/>
  <c r="Y6" i="4"/>
  <c r="W6" i="4"/>
  <c r="Y21" i="18"/>
  <c r="X21" i="18"/>
  <c r="W21" i="18"/>
  <c r="W24" i="13"/>
  <c r="X24" i="13"/>
  <c r="Y24" i="13"/>
  <c r="Y36" i="11"/>
  <c r="X36" i="11"/>
  <c r="W36" i="11"/>
  <c r="R90" i="22"/>
  <c r="O90" i="22"/>
  <c r="P90" i="22"/>
  <c r="S90" i="22"/>
  <c r="Q90" i="22"/>
  <c r="V6" i="17"/>
  <c r="V5" i="17"/>
  <c r="W15" i="18"/>
  <c r="X15" i="18"/>
  <c r="Y15" i="18"/>
  <c r="X18" i="10"/>
  <c r="W18" i="10"/>
  <c r="Y18" i="10"/>
  <c r="Y12" i="13"/>
  <c r="X12" i="13"/>
  <c r="W12" i="13"/>
  <c r="X12" i="11"/>
  <c r="W12" i="11"/>
  <c r="Y12" i="11"/>
  <c r="P90" i="13"/>
  <c r="R90" i="13"/>
  <c r="O90" i="13"/>
  <c r="Q90" i="13"/>
  <c r="S90" i="13"/>
  <c r="W27" i="12"/>
  <c r="Y27" i="12"/>
  <c r="X27" i="12"/>
  <c r="Y6" i="13"/>
  <c r="W6" i="13"/>
  <c r="X6" i="13"/>
  <c r="Y39" i="23"/>
  <c r="X39" i="23"/>
  <c r="W39" i="23"/>
  <c r="Y33" i="8"/>
  <c r="W33" i="8"/>
  <c r="X33" i="8"/>
  <c r="P90" i="10"/>
  <c r="S90" i="10"/>
  <c r="R90" i="10"/>
  <c r="O90" i="10"/>
  <c r="Q90" i="10"/>
  <c r="X12" i="18"/>
  <c r="W12" i="18"/>
  <c r="Y12" i="18"/>
  <c r="X87" i="22"/>
  <c r="W87" i="22"/>
  <c r="Y87" i="22"/>
  <c r="R87" i="22"/>
  <c r="S87" i="22"/>
  <c r="O87" i="22"/>
  <c r="P87" i="22"/>
  <c r="Q87" i="22"/>
  <c r="Y33" i="18"/>
  <c r="W33" i="18"/>
  <c r="X33" i="18"/>
  <c r="W15" i="13"/>
  <c r="X15" i="13"/>
  <c r="Y15" i="13"/>
  <c r="Y87" i="4"/>
  <c r="W87" i="4"/>
  <c r="X87" i="4"/>
  <c r="Y81" i="18"/>
  <c r="W33" i="22"/>
  <c r="Y33" i="22"/>
  <c r="X33" i="22"/>
  <c r="V36" i="17"/>
  <c r="V35" i="17"/>
  <c r="R87" i="18"/>
  <c r="Q87" i="18"/>
  <c r="P87" i="18"/>
  <c r="S87" i="18"/>
  <c r="O87" i="18"/>
  <c r="W27" i="23"/>
  <c r="Y27" i="23"/>
  <c r="X27" i="23"/>
  <c r="V89" i="17"/>
  <c r="V90" i="17"/>
  <c r="Y6" i="8"/>
  <c r="W6" i="8"/>
  <c r="X6" i="8"/>
  <c r="X6" i="22"/>
  <c r="Y6" i="22"/>
  <c r="W6" i="22"/>
  <c r="Y90" i="10"/>
  <c r="W90" i="10"/>
  <c r="X90" i="10"/>
  <c r="Y39" i="22"/>
  <c r="X39" i="22"/>
  <c r="W39" i="22"/>
  <c r="Y36" i="12"/>
  <c r="X36" i="12"/>
  <c r="W36" i="12"/>
  <c r="X90" i="11"/>
  <c r="Y90" i="11"/>
  <c r="W90" i="11"/>
  <c r="Y6" i="12"/>
  <c r="W6" i="12"/>
  <c r="X6" i="12"/>
  <c r="W90" i="8"/>
  <c r="X90" i="8"/>
  <c r="Y90" i="8"/>
  <c r="Y9" i="11"/>
  <c r="W9" i="11"/>
  <c r="X9" i="11"/>
  <c r="X9" i="23"/>
  <c r="Y9" i="23"/>
  <c r="W9" i="23"/>
  <c r="X15" i="8"/>
  <c r="W15" i="8"/>
  <c r="Y15" i="8"/>
  <c r="W81" i="18"/>
  <c r="X81" i="18"/>
  <c r="X18" i="22"/>
  <c r="Y18" i="22"/>
  <c r="W18" i="22"/>
  <c r="X90" i="23"/>
  <c r="Y90" i="23"/>
  <c r="W90" i="23"/>
  <c r="R87" i="11"/>
  <c r="O87" i="11"/>
  <c r="S87" i="11"/>
  <c r="P87" i="11"/>
  <c r="Q87" i="11"/>
  <c r="V38" i="17"/>
  <c r="V39" i="17"/>
  <c r="N89" i="17"/>
  <c r="N90" i="17"/>
  <c r="X81" i="12"/>
  <c r="Y81" i="12"/>
  <c r="W81" i="12"/>
  <c r="W24" i="10"/>
  <c r="Y24" i="10"/>
  <c r="X24" i="10"/>
  <c r="Y84" i="23"/>
  <c r="X84" i="23"/>
  <c r="W84" i="23"/>
  <c r="R90" i="11"/>
  <c r="S90" i="11"/>
  <c r="O90" i="11"/>
  <c r="Q90" i="11"/>
  <c r="P90" i="11"/>
  <c r="W33" i="13"/>
  <c r="Y33" i="13"/>
  <c r="X33" i="13"/>
  <c r="X18" i="4"/>
  <c r="W18" i="4"/>
  <c r="Y18" i="4"/>
  <c r="S87" i="8"/>
  <c r="Q87" i="8"/>
  <c r="R87" i="8"/>
  <c r="P87" i="8"/>
  <c r="O87" i="8"/>
  <c r="W15" i="23"/>
  <c r="X15" i="23"/>
  <c r="Y15" i="23"/>
  <c r="X9" i="8"/>
  <c r="Y9" i="8"/>
  <c r="W9" i="8"/>
  <c r="V27" i="17"/>
  <c r="V26" i="17"/>
  <c r="X18" i="11"/>
  <c r="W18" i="11"/>
  <c r="Y18" i="11"/>
  <c r="W18" i="18"/>
  <c r="X18" i="18"/>
  <c r="Y18" i="18"/>
  <c r="Y18" i="12"/>
  <c r="W18" i="12"/>
  <c r="X18" i="12"/>
  <c r="Y84" i="18"/>
  <c r="W84" i="18"/>
  <c r="X84" i="18"/>
  <c r="V81" i="17"/>
  <c r="V80" i="17"/>
  <c r="Y84" i="22"/>
  <c r="X84" i="22"/>
  <c r="W84" i="22"/>
  <c r="P90" i="8"/>
  <c r="S90" i="8"/>
  <c r="O90" i="8"/>
  <c r="Q90" i="8"/>
  <c r="R90" i="8"/>
  <c r="X39" i="11"/>
  <c r="Y39" i="11"/>
  <c r="W39" i="11"/>
  <c r="Y12" i="8"/>
  <c r="X12" i="8"/>
  <c r="W12" i="8"/>
  <c r="X6" i="11"/>
  <c r="W6" i="11"/>
  <c r="Y6" i="11"/>
  <c r="R87" i="13"/>
  <c r="P87" i="13"/>
  <c r="Q87" i="13"/>
  <c r="S87" i="13"/>
  <c r="O87" i="13"/>
  <c r="X24" i="11"/>
  <c r="W24" i="11"/>
  <c r="Y24" i="11"/>
  <c r="W90" i="12"/>
  <c r="X90" i="12"/>
  <c r="Y90" i="12"/>
  <c r="W12" i="10"/>
  <c r="X12" i="10"/>
  <c r="Y12" i="10"/>
  <c r="W36" i="22"/>
  <c r="Y36" i="22"/>
  <c r="X36" i="22"/>
  <c r="X15" i="12"/>
  <c r="W15" i="12"/>
  <c r="Y15" i="12"/>
  <c r="W27" i="13"/>
  <c r="Y27" i="13"/>
  <c r="X27" i="13"/>
  <c r="V14" i="17"/>
  <c r="V15" i="17"/>
  <c r="Y15" i="17" s="1"/>
  <c r="X33" i="12"/>
  <c r="W33" i="12"/>
  <c r="Y33" i="12"/>
  <c r="O87" i="12"/>
  <c r="Q87" i="12"/>
  <c r="R87" i="12"/>
  <c r="S87" i="12"/>
  <c r="P87" i="12"/>
  <c r="X24" i="23"/>
  <c r="W24" i="23"/>
  <c r="Y24" i="23"/>
  <c r="Y87" i="8"/>
  <c r="X87" i="8"/>
  <c r="W87" i="8"/>
  <c r="W18" i="13"/>
  <c r="Y18" i="13"/>
  <c r="X18" i="13"/>
  <c r="W15" i="4"/>
  <c r="X15" i="4"/>
  <c r="Y15" i="4"/>
  <c r="W39" i="10"/>
  <c r="Y39" i="10"/>
  <c r="X39" i="10"/>
  <c r="X24" i="8"/>
  <c r="W24" i="8"/>
  <c r="Y24" i="8"/>
  <c r="W84" i="12"/>
  <c r="X84" i="12"/>
  <c r="Y84" i="12"/>
  <c r="Y30" i="8"/>
  <c r="X30" i="8"/>
  <c r="W30" i="8"/>
  <c r="Y9" i="18"/>
  <c r="X9" i="18"/>
  <c r="W9" i="18"/>
  <c r="X87" i="12"/>
  <c r="W87" i="12"/>
  <c r="Y87" i="12"/>
  <c r="W39" i="4"/>
  <c r="X39" i="4"/>
  <c r="Y39" i="4"/>
  <c r="N86" i="17"/>
  <c r="N87" i="17"/>
  <c r="V8" i="17"/>
  <c r="V9" i="17"/>
  <c r="X9" i="4"/>
  <c r="W9" i="4"/>
  <c r="Y9" i="4"/>
  <c r="Y81" i="23"/>
  <c r="W81" i="23"/>
  <c r="X81" i="23"/>
  <c r="W36" i="13"/>
  <c r="X36" i="13"/>
  <c r="Y36" i="13"/>
  <c r="W30" i="11"/>
  <c r="Y30" i="11"/>
  <c r="X30" i="11"/>
  <c r="W36" i="10"/>
  <c r="Y36" i="10"/>
  <c r="X36" i="10"/>
  <c r="W6" i="23"/>
  <c r="X6" i="23"/>
  <c r="Y6" i="23"/>
  <c r="X24" i="4"/>
  <c r="Y24" i="4"/>
  <c r="W24" i="4"/>
  <c r="Q87" i="10"/>
  <c r="S87" i="10"/>
  <c r="P87" i="10"/>
  <c r="O87" i="10"/>
  <c r="R87" i="10"/>
  <c r="X30" i="23"/>
  <c r="W30" i="23"/>
  <c r="Y30" i="23"/>
  <c r="X18" i="8"/>
  <c r="Y18" i="8"/>
  <c r="W18" i="8"/>
  <c r="Y84" i="4"/>
  <c r="H14" i="3" s="1"/>
  <c r="X84" i="4"/>
  <c r="W84" i="4"/>
  <c r="X9" i="13"/>
  <c r="Y9" i="13"/>
  <c r="W9" i="13"/>
  <c r="X21" i="11"/>
  <c r="Y21" i="11"/>
  <c r="W21" i="11"/>
  <c r="Y30" i="18"/>
  <c r="W30" i="18"/>
  <c r="X30" i="18"/>
  <c r="Y33" i="10"/>
  <c r="W33" i="10"/>
  <c r="X33" i="10"/>
  <c r="V86" i="17"/>
  <c r="V87" i="17"/>
  <c r="V23" i="17"/>
  <c r="V24" i="17"/>
  <c r="Y27" i="11"/>
  <c r="X27" i="11"/>
  <c r="W27" i="11"/>
  <c r="Y33" i="4"/>
  <c r="W33" i="4"/>
  <c r="X33" i="4"/>
  <c r="W39" i="18"/>
  <c r="X39" i="18"/>
  <c r="Y39" i="18"/>
  <c r="X9" i="10"/>
  <c r="W9" i="10"/>
  <c r="Y9" i="10"/>
  <c r="Y33" i="23"/>
  <c r="W33" i="23"/>
  <c r="X33" i="23"/>
  <c r="Y27" i="8"/>
  <c r="W27" i="8"/>
  <c r="X27" i="8"/>
  <c r="W90" i="13"/>
  <c r="Y90" i="13"/>
  <c r="X90" i="13"/>
  <c r="Y30" i="12"/>
  <c r="X30" i="12"/>
  <c r="W30" i="12"/>
  <c r="Y30" i="17" l="1"/>
  <c r="H13" i="3"/>
  <c r="X9" i="17"/>
  <c r="W9" i="17"/>
  <c r="Q87" i="17"/>
  <c r="O87" i="17"/>
  <c r="S87" i="17"/>
  <c r="P87" i="17"/>
  <c r="R87" i="17"/>
  <c r="W81" i="17"/>
  <c r="Y81" i="17"/>
  <c r="X81" i="17"/>
  <c r="Q90" i="17"/>
  <c r="S90" i="17"/>
  <c r="O90" i="17"/>
  <c r="R90" i="17"/>
  <c r="P90" i="17"/>
  <c r="W21" i="17"/>
  <c r="X21" i="17"/>
  <c r="Y21" i="17"/>
  <c r="X12" i="17"/>
  <c r="Y12" i="17"/>
  <c r="W12" i="17"/>
  <c r="Y39" i="17"/>
  <c r="Y18" i="17"/>
  <c r="X18" i="17"/>
  <c r="W18" i="17"/>
  <c r="X30" i="17"/>
  <c r="W30" i="17"/>
  <c r="X27" i="17"/>
  <c r="W27" i="17"/>
  <c r="Y27" i="17"/>
  <c r="X39" i="17"/>
  <c r="W39" i="17"/>
  <c r="Y90" i="17"/>
  <c r="X90" i="17"/>
  <c r="W90" i="17"/>
  <c r="Y33" i="17"/>
  <c r="W33" i="17"/>
  <c r="X33" i="17"/>
  <c r="Y36" i="17"/>
  <c r="W36" i="17"/>
  <c r="X36" i="17"/>
  <c r="Y6" i="17"/>
  <c r="W6" i="17"/>
  <c r="X6" i="17"/>
  <c r="X84" i="17"/>
  <c r="W84" i="17"/>
  <c r="Y84" i="17"/>
  <c r="W24" i="17"/>
  <c r="X24" i="17"/>
  <c r="Y24" i="17"/>
  <c r="X15" i="17"/>
  <c r="W15" i="17"/>
  <c r="X87" i="17"/>
  <c r="W87" i="17"/>
  <c r="Y87" i="17"/>
  <c r="Y9" i="17"/>
  <c r="J83" i="24" l="1"/>
  <c r="J83" i="25"/>
  <c r="J83" i="9"/>
  <c r="J82" i="9" s="1"/>
  <c r="J83" i="21"/>
  <c r="K83" i="24"/>
  <c r="J83" i="27"/>
  <c r="J82" i="27" s="1"/>
  <c r="J85" i="16"/>
  <c r="J85" i="26"/>
  <c r="J85" i="20"/>
  <c r="J85" i="25"/>
  <c r="K82" i="27" l="1"/>
  <c r="J80" i="27"/>
  <c r="K80" i="27" s="1"/>
  <c r="J85" i="21"/>
  <c r="J82" i="21"/>
  <c r="K82" i="9"/>
  <c r="J80" i="9"/>
  <c r="K80" i="9" s="1"/>
  <c r="K83" i="25"/>
  <c r="J82" i="25"/>
  <c r="J85" i="24"/>
  <c r="J82" i="24"/>
  <c r="K83" i="21"/>
  <c r="J85" i="9"/>
  <c r="K83" i="9"/>
  <c r="J86" i="16"/>
  <c r="K85" i="16"/>
  <c r="J85" i="27"/>
  <c r="K83" i="27"/>
  <c r="K85" i="25"/>
  <c r="J86" i="25"/>
  <c r="J86" i="20"/>
  <c r="K85" i="20"/>
  <c r="K85" i="26"/>
  <c r="J86" i="26"/>
  <c r="K82" i="24" l="1"/>
  <c r="J80" i="24"/>
  <c r="K80" i="24" s="1"/>
  <c r="J86" i="24"/>
  <c r="K86" i="24" s="1"/>
  <c r="K85" i="24"/>
  <c r="L83" i="24" s="1"/>
  <c r="M83" i="24" s="1"/>
  <c r="K86" i="16"/>
  <c r="J88" i="16"/>
  <c r="K82" i="25"/>
  <c r="J80" i="25"/>
  <c r="K80" i="25" s="1"/>
  <c r="K86" i="26"/>
  <c r="J88" i="26"/>
  <c r="L80" i="9"/>
  <c r="M80" i="9" s="1"/>
  <c r="K82" i="21"/>
  <c r="J80" i="21"/>
  <c r="K80" i="21" s="1"/>
  <c r="J86" i="21"/>
  <c r="K85" i="21"/>
  <c r="L83" i="21" s="1"/>
  <c r="M83" i="21" s="1"/>
  <c r="K86" i="25"/>
  <c r="J88" i="25"/>
  <c r="L83" i="25"/>
  <c r="M83" i="25" s="1"/>
  <c r="N84" i="25" s="1"/>
  <c r="L80" i="27"/>
  <c r="M80" i="27" s="1"/>
  <c r="K86" i="20"/>
  <c r="J88" i="20"/>
  <c r="J86" i="9"/>
  <c r="K85" i="9"/>
  <c r="L83" i="9" s="1"/>
  <c r="M83" i="9" s="1"/>
  <c r="K85" i="27"/>
  <c r="L83" i="27" s="1"/>
  <c r="M83" i="27" s="1"/>
  <c r="J86" i="27"/>
  <c r="K88" i="26" l="1"/>
  <c r="J89" i="26"/>
  <c r="K89" i="26" s="1"/>
  <c r="K86" i="9"/>
  <c r="J88" i="9"/>
  <c r="K88" i="25"/>
  <c r="J89" i="25"/>
  <c r="K89" i="25" s="1"/>
  <c r="L80" i="25"/>
  <c r="M80" i="25" s="1"/>
  <c r="T80" i="25"/>
  <c r="U80" i="25" s="1"/>
  <c r="K86" i="21"/>
  <c r="J88" i="21"/>
  <c r="K88" i="16"/>
  <c r="J89" i="16"/>
  <c r="K89" i="16" s="1"/>
  <c r="L80" i="21"/>
  <c r="M80" i="21" s="1"/>
  <c r="N84" i="24"/>
  <c r="N83" i="24"/>
  <c r="K88" i="20"/>
  <c r="J89" i="20"/>
  <c r="K89" i="20" s="1"/>
  <c r="N80" i="9"/>
  <c r="N81" i="9"/>
  <c r="N83" i="25"/>
  <c r="O84" i="25" s="1"/>
  <c r="L80" i="24"/>
  <c r="M80" i="24" s="1"/>
  <c r="K86" i="27"/>
  <c r="J88" i="27"/>
  <c r="N80" i="27"/>
  <c r="N81" i="27"/>
  <c r="N84" i="21"/>
  <c r="N83" i="21"/>
  <c r="N83" i="9"/>
  <c r="N84" i="9"/>
  <c r="N84" i="27"/>
  <c r="N83" i="27"/>
  <c r="Q84" i="25" l="1"/>
  <c r="S84" i="25"/>
  <c r="T11" i="16"/>
  <c r="U11" i="16" s="1"/>
  <c r="T23" i="16"/>
  <c r="U23" i="16" s="1"/>
  <c r="T5" i="16"/>
  <c r="U5" i="16" s="1"/>
  <c r="T35" i="16"/>
  <c r="U35" i="16" s="1"/>
  <c r="T20" i="16"/>
  <c r="U20" i="16" s="1"/>
  <c r="T38" i="16"/>
  <c r="U38" i="16" s="1"/>
  <c r="T8" i="16"/>
  <c r="U8" i="16" s="1"/>
  <c r="T29" i="16"/>
  <c r="U29" i="16" s="1"/>
  <c r="T32" i="16"/>
  <c r="U32" i="16" s="1"/>
  <c r="T14" i="16"/>
  <c r="U14" i="16" s="1"/>
  <c r="T26" i="16"/>
  <c r="U26" i="16" s="1"/>
  <c r="T17" i="16"/>
  <c r="U17" i="16" s="1"/>
  <c r="L86" i="16"/>
  <c r="M86" i="16" s="1"/>
  <c r="T86" i="16"/>
  <c r="U86" i="16" s="1"/>
  <c r="K88" i="21"/>
  <c r="L86" i="21" s="1"/>
  <c r="M86" i="21" s="1"/>
  <c r="J89" i="21"/>
  <c r="K89" i="21" s="1"/>
  <c r="V80" i="25"/>
  <c r="V81" i="25"/>
  <c r="O81" i="9"/>
  <c r="S81" i="9"/>
  <c r="Q81" i="9"/>
  <c r="P81" i="9"/>
  <c r="R81" i="9"/>
  <c r="N80" i="25"/>
  <c r="N81" i="25"/>
  <c r="L89" i="20"/>
  <c r="M89" i="20" s="1"/>
  <c r="T89" i="20"/>
  <c r="U89" i="20" s="1"/>
  <c r="L89" i="25"/>
  <c r="M89" i="25" s="1"/>
  <c r="T89" i="25"/>
  <c r="U89" i="25" s="1"/>
  <c r="T32" i="20"/>
  <c r="U32" i="20" s="1"/>
  <c r="T11" i="20"/>
  <c r="U11" i="20" s="1"/>
  <c r="T26" i="20"/>
  <c r="U26" i="20" s="1"/>
  <c r="T8" i="20"/>
  <c r="U8" i="20" s="1"/>
  <c r="T14" i="20"/>
  <c r="U14" i="20" s="1"/>
  <c r="T35" i="20"/>
  <c r="U35" i="20" s="1"/>
  <c r="T20" i="20"/>
  <c r="U20" i="20" s="1"/>
  <c r="T23" i="20"/>
  <c r="U23" i="20" s="1"/>
  <c r="T17" i="20"/>
  <c r="U17" i="20" s="1"/>
  <c r="T29" i="20"/>
  <c r="U29" i="20" s="1"/>
  <c r="T5" i="20"/>
  <c r="U5" i="20" s="1"/>
  <c r="T38" i="20"/>
  <c r="U38" i="20" s="1"/>
  <c r="L86" i="20"/>
  <c r="M86" i="20" s="1"/>
  <c r="T86" i="20"/>
  <c r="U86" i="20" s="1"/>
  <c r="T14" i="25"/>
  <c r="U14" i="25" s="1"/>
  <c r="T11" i="25"/>
  <c r="U11" i="25" s="1"/>
  <c r="T8" i="25"/>
  <c r="U8" i="25" s="1"/>
  <c r="T26" i="25"/>
  <c r="U26" i="25" s="1"/>
  <c r="T35" i="25"/>
  <c r="U35" i="25" s="1"/>
  <c r="T32" i="25"/>
  <c r="U32" i="25" s="1"/>
  <c r="T20" i="25"/>
  <c r="U20" i="25" s="1"/>
  <c r="T29" i="25"/>
  <c r="U29" i="25" s="1"/>
  <c r="T17" i="25"/>
  <c r="U17" i="25" s="1"/>
  <c r="T38" i="25"/>
  <c r="U38" i="25" s="1"/>
  <c r="T23" i="25"/>
  <c r="U23" i="25" s="1"/>
  <c r="T5" i="25"/>
  <c r="U5" i="25" s="1"/>
  <c r="T86" i="25"/>
  <c r="U86" i="25" s="1"/>
  <c r="L86" i="25"/>
  <c r="M86" i="25" s="1"/>
  <c r="T83" i="25"/>
  <c r="U83" i="25" s="1"/>
  <c r="L89" i="16"/>
  <c r="M89" i="16" s="1"/>
  <c r="T89" i="16"/>
  <c r="U89" i="16" s="1"/>
  <c r="R81" i="27"/>
  <c r="S81" i="27"/>
  <c r="O81" i="27"/>
  <c r="P81" i="27"/>
  <c r="Q81" i="27"/>
  <c r="R84" i="24"/>
  <c r="Q84" i="24"/>
  <c r="S84" i="24"/>
  <c r="P84" i="24"/>
  <c r="O84" i="24"/>
  <c r="K88" i="9"/>
  <c r="J89" i="9"/>
  <c r="K89" i="9" s="1"/>
  <c r="R84" i="25"/>
  <c r="K88" i="27"/>
  <c r="J89" i="27"/>
  <c r="K89" i="27" s="1"/>
  <c r="P84" i="25"/>
  <c r="N81" i="21"/>
  <c r="N80" i="21"/>
  <c r="L89" i="26"/>
  <c r="M89" i="26" s="1"/>
  <c r="T89" i="26"/>
  <c r="U89" i="26" s="1"/>
  <c r="N80" i="24"/>
  <c r="N81" i="24"/>
  <c r="T32" i="26"/>
  <c r="U32" i="26" s="1"/>
  <c r="T17" i="26"/>
  <c r="U17" i="26" s="1"/>
  <c r="T38" i="26"/>
  <c r="U38" i="26" s="1"/>
  <c r="T5" i="26"/>
  <c r="U5" i="26" s="1"/>
  <c r="T29" i="26"/>
  <c r="U29" i="26" s="1"/>
  <c r="T8" i="26"/>
  <c r="U8" i="26" s="1"/>
  <c r="T20" i="26"/>
  <c r="U20" i="26" s="1"/>
  <c r="T35" i="26"/>
  <c r="U35" i="26" s="1"/>
  <c r="T14" i="26"/>
  <c r="U14" i="26" s="1"/>
  <c r="T11" i="26"/>
  <c r="U11" i="26" s="1"/>
  <c r="T86" i="26"/>
  <c r="U86" i="26" s="1"/>
  <c r="L86" i="26"/>
  <c r="M86" i="26" s="1"/>
  <c r="Q84" i="21"/>
  <c r="S84" i="21"/>
  <c r="R84" i="21"/>
  <c r="O84" i="21"/>
  <c r="P84" i="21"/>
  <c r="P84" i="9"/>
  <c r="O84" i="9"/>
  <c r="Q84" i="9"/>
  <c r="S84" i="9"/>
  <c r="R84" i="9"/>
  <c r="P84" i="27"/>
  <c r="O84" i="27"/>
  <c r="Q84" i="27"/>
  <c r="S84" i="27"/>
  <c r="R84" i="27"/>
  <c r="Y81" i="25" l="1"/>
  <c r="T86" i="21"/>
  <c r="U86" i="21" s="1"/>
  <c r="Q81" i="24"/>
  <c r="V86" i="26"/>
  <c r="V87" i="26"/>
  <c r="O81" i="24"/>
  <c r="P81" i="24"/>
  <c r="S81" i="24"/>
  <c r="R81" i="24"/>
  <c r="N86" i="25"/>
  <c r="N87" i="25"/>
  <c r="V11" i="25"/>
  <c r="V12" i="25"/>
  <c r="V9" i="20"/>
  <c r="V8" i="20"/>
  <c r="V26" i="16"/>
  <c r="V27" i="16"/>
  <c r="V11" i="26"/>
  <c r="V12" i="26"/>
  <c r="V89" i="26"/>
  <c r="V90" i="26"/>
  <c r="V86" i="25"/>
  <c r="V87" i="25"/>
  <c r="V15" i="25"/>
  <c r="V14" i="25"/>
  <c r="V27" i="20"/>
  <c r="V26" i="20"/>
  <c r="V14" i="16"/>
  <c r="V15" i="16"/>
  <c r="V17" i="16"/>
  <c r="V18" i="16"/>
  <c r="V15" i="26"/>
  <c r="V14" i="26"/>
  <c r="N89" i="26"/>
  <c r="N90" i="26"/>
  <c r="V5" i="25"/>
  <c r="V6" i="25"/>
  <c r="V86" i="20"/>
  <c r="V87" i="20"/>
  <c r="V12" i="20"/>
  <c r="V11" i="20"/>
  <c r="V33" i="16"/>
  <c r="V32" i="16"/>
  <c r="V84" i="25"/>
  <c r="V83" i="25"/>
  <c r="V36" i="26"/>
  <c r="V35" i="26"/>
  <c r="R81" i="21"/>
  <c r="P81" i="21"/>
  <c r="O81" i="21"/>
  <c r="S81" i="21"/>
  <c r="Q81" i="21"/>
  <c r="V23" i="25"/>
  <c r="V24" i="25"/>
  <c r="N86" i="20"/>
  <c r="N87" i="20"/>
  <c r="V33" i="20"/>
  <c r="V32" i="20"/>
  <c r="V29" i="16"/>
  <c r="V30" i="16"/>
  <c r="N86" i="26"/>
  <c r="N87" i="26"/>
  <c r="V20" i="26"/>
  <c r="V21" i="26"/>
  <c r="V38" i="25"/>
  <c r="V39" i="25"/>
  <c r="V38" i="20"/>
  <c r="V39" i="20"/>
  <c r="V89" i="25"/>
  <c r="V90" i="25"/>
  <c r="W81" i="25"/>
  <c r="X81" i="25"/>
  <c r="V8" i="16"/>
  <c r="V9" i="16"/>
  <c r="V8" i="25"/>
  <c r="V9" i="25"/>
  <c r="V9" i="26"/>
  <c r="V8" i="26"/>
  <c r="V17" i="25"/>
  <c r="V18" i="25"/>
  <c r="V5" i="20"/>
  <c r="V6" i="20"/>
  <c r="N90" i="25"/>
  <c r="N89" i="25"/>
  <c r="V87" i="21"/>
  <c r="V86" i="21"/>
  <c r="V38" i="16"/>
  <c r="V39" i="16"/>
  <c r="V29" i="26"/>
  <c r="V30" i="26"/>
  <c r="L89" i="27"/>
  <c r="M89" i="27" s="1"/>
  <c r="T89" i="27"/>
  <c r="U89" i="27" s="1"/>
  <c r="V29" i="25"/>
  <c r="V30" i="25"/>
  <c r="V30" i="20"/>
  <c r="V29" i="20"/>
  <c r="V89" i="20"/>
  <c r="V90" i="20"/>
  <c r="N86" i="21"/>
  <c r="N87" i="21"/>
  <c r="V20" i="16"/>
  <c r="V21" i="16"/>
  <c r="V6" i="26"/>
  <c r="V5" i="26"/>
  <c r="T38" i="27"/>
  <c r="U38" i="27" s="1"/>
  <c r="T8" i="27"/>
  <c r="U8" i="27" s="1"/>
  <c r="T35" i="27"/>
  <c r="U35" i="27" s="1"/>
  <c r="T20" i="27"/>
  <c r="U20" i="27" s="1"/>
  <c r="T26" i="27"/>
  <c r="U26" i="27" s="1"/>
  <c r="T17" i="27"/>
  <c r="U17" i="27" s="1"/>
  <c r="T32" i="27"/>
  <c r="U32" i="27" s="1"/>
  <c r="T14" i="27"/>
  <c r="U14" i="27" s="1"/>
  <c r="T5" i="27"/>
  <c r="U5" i="27" s="1"/>
  <c r="T23" i="27"/>
  <c r="U23" i="27" s="1"/>
  <c r="T11" i="27"/>
  <c r="U11" i="27" s="1"/>
  <c r="T29" i="27"/>
  <c r="U29" i="27" s="1"/>
  <c r="T83" i="27"/>
  <c r="U83" i="27" s="1"/>
  <c r="T80" i="27"/>
  <c r="U80" i="27" s="1"/>
  <c r="L86" i="27"/>
  <c r="M86" i="27" s="1"/>
  <c r="T86" i="27"/>
  <c r="U86" i="27" s="1"/>
  <c r="V20" i="25"/>
  <c r="V21" i="25"/>
  <c r="V18" i="20"/>
  <c r="V17" i="20"/>
  <c r="N90" i="20"/>
  <c r="N89" i="20"/>
  <c r="L89" i="21"/>
  <c r="M89" i="21" s="1"/>
  <c r="T89" i="21"/>
  <c r="U89" i="21" s="1"/>
  <c r="V36" i="16"/>
  <c r="V35" i="16"/>
  <c r="V39" i="26"/>
  <c r="V38" i="26"/>
  <c r="V33" i="25"/>
  <c r="V32" i="25"/>
  <c r="V24" i="20"/>
  <c r="V23" i="20"/>
  <c r="Q81" i="25"/>
  <c r="T26" i="21"/>
  <c r="U26" i="21" s="1"/>
  <c r="T5" i="21"/>
  <c r="U5" i="21" s="1"/>
  <c r="T38" i="21"/>
  <c r="U38" i="21" s="1"/>
  <c r="T35" i="21"/>
  <c r="U35" i="21" s="1"/>
  <c r="T17" i="21"/>
  <c r="U17" i="21" s="1"/>
  <c r="T29" i="21"/>
  <c r="U29" i="21" s="1"/>
  <c r="T23" i="21"/>
  <c r="U23" i="21" s="1"/>
  <c r="T8" i="21"/>
  <c r="U8" i="21" s="1"/>
  <c r="T11" i="21"/>
  <c r="U11" i="21" s="1"/>
  <c r="T32" i="21"/>
  <c r="U32" i="21" s="1"/>
  <c r="T14" i="21"/>
  <c r="U14" i="21" s="1"/>
  <c r="T20" i="21"/>
  <c r="U20" i="21" s="1"/>
  <c r="T83" i="21"/>
  <c r="U83" i="21" s="1"/>
  <c r="T80" i="21"/>
  <c r="U80" i="21" s="1"/>
  <c r="V5" i="16"/>
  <c r="V6" i="16"/>
  <c r="V18" i="26"/>
  <c r="V17" i="26"/>
  <c r="L89" i="9"/>
  <c r="M89" i="9" s="1"/>
  <c r="T89" i="9"/>
  <c r="U89" i="9" s="1"/>
  <c r="V89" i="16"/>
  <c r="V90" i="16"/>
  <c r="V35" i="25"/>
  <c r="V36" i="25"/>
  <c r="V20" i="20"/>
  <c r="V21" i="20"/>
  <c r="S81" i="25"/>
  <c r="O81" i="25"/>
  <c r="R81" i="25"/>
  <c r="P81" i="25"/>
  <c r="V87" i="16"/>
  <c r="V86" i="16"/>
  <c r="V24" i="16"/>
  <c r="V23" i="16"/>
  <c r="V15" i="20"/>
  <c r="V14" i="20"/>
  <c r="V33" i="26"/>
  <c r="V32" i="26"/>
  <c r="T8" i="9"/>
  <c r="U8" i="9" s="1"/>
  <c r="T17" i="9"/>
  <c r="U17" i="9" s="1"/>
  <c r="T11" i="9"/>
  <c r="U11" i="9" s="1"/>
  <c r="T38" i="9"/>
  <c r="U38" i="9" s="1"/>
  <c r="T29" i="9"/>
  <c r="U29" i="9" s="1"/>
  <c r="T35" i="9"/>
  <c r="U35" i="9" s="1"/>
  <c r="T26" i="9"/>
  <c r="U26" i="9" s="1"/>
  <c r="T32" i="9"/>
  <c r="U32" i="9" s="1"/>
  <c r="T20" i="9"/>
  <c r="U20" i="9" s="1"/>
  <c r="T23" i="9"/>
  <c r="U23" i="9" s="1"/>
  <c r="T14" i="9"/>
  <c r="U14" i="9" s="1"/>
  <c r="T5" i="9"/>
  <c r="U5" i="9" s="1"/>
  <c r="T83" i="9"/>
  <c r="U83" i="9" s="1"/>
  <c r="T80" i="9"/>
  <c r="U80" i="9" s="1"/>
  <c r="L86" i="9"/>
  <c r="M86" i="9" s="1"/>
  <c r="T86" i="9"/>
  <c r="U86" i="9" s="1"/>
  <c r="N89" i="16"/>
  <c r="N90" i="16"/>
  <c r="V26" i="25"/>
  <c r="V27" i="25"/>
  <c r="V36" i="20"/>
  <c r="V35" i="20"/>
  <c r="N87" i="16"/>
  <c r="N86" i="16"/>
  <c r="V11" i="16"/>
  <c r="V12" i="16"/>
  <c r="X21" i="26" l="1"/>
  <c r="W21" i="26"/>
  <c r="Y21" i="26"/>
  <c r="X27" i="25"/>
  <c r="W27" i="25"/>
  <c r="Y27" i="25"/>
  <c r="V26" i="9"/>
  <c r="V27" i="9"/>
  <c r="X90" i="16"/>
  <c r="W90" i="16"/>
  <c r="Y90" i="16"/>
  <c r="V11" i="21"/>
  <c r="V12" i="21"/>
  <c r="X33" i="25"/>
  <c r="Y33" i="25"/>
  <c r="W33" i="25"/>
  <c r="V18" i="27"/>
  <c r="V17" i="27"/>
  <c r="W87" i="21"/>
  <c r="Y87" i="21"/>
  <c r="X87" i="21"/>
  <c r="X87" i="20"/>
  <c r="Y87" i="20"/>
  <c r="W87" i="20"/>
  <c r="O87" i="21"/>
  <c r="S87" i="21"/>
  <c r="R87" i="21"/>
  <c r="Q87" i="21"/>
  <c r="V36" i="9"/>
  <c r="V35" i="9"/>
  <c r="W87" i="16"/>
  <c r="Y87" i="16"/>
  <c r="X87" i="16"/>
  <c r="V89" i="9"/>
  <c r="V90" i="9"/>
  <c r="V8" i="21"/>
  <c r="V9" i="21"/>
  <c r="X21" i="25"/>
  <c r="W21" i="25"/>
  <c r="Y21" i="25"/>
  <c r="V26" i="27"/>
  <c r="V27" i="27"/>
  <c r="Y90" i="20"/>
  <c r="X90" i="20"/>
  <c r="W90" i="20"/>
  <c r="W9" i="16"/>
  <c r="X9" i="16"/>
  <c r="Y9" i="16"/>
  <c r="R87" i="26"/>
  <c r="Q87" i="26"/>
  <c r="S87" i="26"/>
  <c r="O87" i="26"/>
  <c r="P87" i="26"/>
  <c r="W15" i="25"/>
  <c r="Y15" i="25"/>
  <c r="X15" i="25"/>
  <c r="V30" i="9"/>
  <c r="V29" i="9"/>
  <c r="N89" i="9"/>
  <c r="N90" i="9"/>
  <c r="V24" i="21"/>
  <c r="V23" i="21"/>
  <c r="X39" i="26"/>
  <c r="W39" i="26"/>
  <c r="Y39" i="26"/>
  <c r="V86" i="27"/>
  <c r="V87" i="27"/>
  <c r="V20" i="27"/>
  <c r="V21" i="27"/>
  <c r="W30" i="20"/>
  <c r="Y30" i="20"/>
  <c r="X30" i="20"/>
  <c r="R90" i="25"/>
  <c r="O90" i="25"/>
  <c r="P90" i="25"/>
  <c r="Q90" i="25"/>
  <c r="S90" i="25"/>
  <c r="W6" i="25"/>
  <c r="X6" i="25"/>
  <c r="Y6" i="25"/>
  <c r="Y12" i="25"/>
  <c r="X12" i="25"/>
  <c r="W12" i="25"/>
  <c r="V33" i="9"/>
  <c r="V32" i="9"/>
  <c r="W39" i="16"/>
  <c r="X39" i="16"/>
  <c r="Y39" i="16"/>
  <c r="V86" i="9"/>
  <c r="V87" i="9"/>
  <c r="V39" i="9"/>
  <c r="V38" i="9"/>
  <c r="W18" i="26"/>
  <c r="X18" i="26"/>
  <c r="Y18" i="26"/>
  <c r="V30" i="21"/>
  <c r="V29" i="21"/>
  <c r="N86" i="27"/>
  <c r="N87" i="27"/>
  <c r="V36" i="27"/>
  <c r="V35" i="27"/>
  <c r="X30" i="16"/>
  <c r="W30" i="16"/>
  <c r="Y30" i="16"/>
  <c r="Y36" i="26"/>
  <c r="X36" i="26"/>
  <c r="W36" i="26"/>
  <c r="Y24" i="16"/>
  <c r="W24" i="16"/>
  <c r="X24" i="16"/>
  <c r="P90" i="16"/>
  <c r="Q90" i="16"/>
  <c r="S90" i="16"/>
  <c r="O90" i="16"/>
  <c r="R90" i="16"/>
  <c r="N87" i="9"/>
  <c r="N86" i="9"/>
  <c r="V11" i="9"/>
  <c r="V12" i="9"/>
  <c r="V18" i="21"/>
  <c r="V17" i="21"/>
  <c r="W36" i="16"/>
  <c r="X36" i="16"/>
  <c r="Y36" i="16"/>
  <c r="V81" i="27"/>
  <c r="V80" i="27"/>
  <c r="V9" i="27"/>
  <c r="V8" i="27"/>
  <c r="Y33" i="20"/>
  <c r="W33" i="20"/>
  <c r="X33" i="20"/>
  <c r="O90" i="26"/>
  <c r="P90" i="26"/>
  <c r="R90" i="26"/>
  <c r="S90" i="26"/>
  <c r="Q90" i="26"/>
  <c r="W87" i="25"/>
  <c r="X87" i="25"/>
  <c r="Y87" i="25"/>
  <c r="Q87" i="25"/>
  <c r="S87" i="25"/>
  <c r="O87" i="25"/>
  <c r="R87" i="25"/>
  <c r="P87" i="25"/>
  <c r="V36" i="21"/>
  <c r="V35" i="21"/>
  <c r="V84" i="27"/>
  <c r="V83" i="27"/>
  <c r="V38" i="27"/>
  <c r="V39" i="27"/>
  <c r="W30" i="25"/>
  <c r="X30" i="25"/>
  <c r="Y30" i="25"/>
  <c r="X6" i="20"/>
  <c r="W6" i="20"/>
  <c r="Y6" i="20"/>
  <c r="X90" i="25"/>
  <c r="Y90" i="25"/>
  <c r="W90" i="25"/>
  <c r="W84" i="25"/>
  <c r="Y84" i="25"/>
  <c r="X84" i="25"/>
  <c r="Y15" i="26"/>
  <c r="X15" i="26"/>
  <c r="W15" i="26"/>
  <c r="W9" i="20"/>
  <c r="X9" i="20"/>
  <c r="Y9" i="20"/>
  <c r="V84" i="9"/>
  <c r="V83" i="9"/>
  <c r="V9" i="9"/>
  <c r="V8" i="9"/>
  <c r="W6" i="16"/>
  <c r="X6" i="16"/>
  <c r="Y6" i="16"/>
  <c r="V38" i="21"/>
  <c r="V39" i="21"/>
  <c r="V89" i="21"/>
  <c r="V90" i="21"/>
  <c r="V29" i="27"/>
  <c r="V30" i="27"/>
  <c r="X6" i="26"/>
  <c r="W6" i="26"/>
  <c r="Y6" i="26"/>
  <c r="V90" i="27"/>
  <c r="V89" i="27"/>
  <c r="X90" i="26"/>
  <c r="Y90" i="26"/>
  <c r="W90" i="26"/>
  <c r="V33" i="27"/>
  <c r="V32" i="27"/>
  <c r="V80" i="9"/>
  <c r="V81" i="9"/>
  <c r="Q87" i="16"/>
  <c r="R87" i="16"/>
  <c r="S87" i="16"/>
  <c r="O87" i="16"/>
  <c r="P87" i="16"/>
  <c r="V5" i="9"/>
  <c r="V6" i="9"/>
  <c r="X33" i="26"/>
  <c r="W33" i="26"/>
  <c r="Y33" i="26"/>
  <c r="V81" i="21"/>
  <c r="V80" i="21"/>
  <c r="V5" i="21"/>
  <c r="V6" i="21"/>
  <c r="N89" i="21"/>
  <c r="N90" i="21"/>
  <c r="V12" i="27"/>
  <c r="V11" i="27"/>
  <c r="N90" i="27"/>
  <c r="N89" i="27"/>
  <c r="X18" i="25"/>
  <c r="W18" i="25"/>
  <c r="Y18" i="25"/>
  <c r="W39" i="20"/>
  <c r="Y39" i="20"/>
  <c r="X39" i="20"/>
  <c r="S87" i="20"/>
  <c r="R87" i="20"/>
  <c r="Q87" i="20"/>
  <c r="O87" i="20"/>
  <c r="P87" i="20"/>
  <c r="W33" i="16"/>
  <c r="X33" i="16"/>
  <c r="Y33" i="16"/>
  <c r="X9" i="25"/>
  <c r="Y9" i="25"/>
  <c r="W9" i="25"/>
  <c r="V14" i="9"/>
  <c r="V15" i="9"/>
  <c r="X21" i="20"/>
  <c r="W21" i="20"/>
  <c r="Y21" i="20"/>
  <c r="V83" i="21"/>
  <c r="V84" i="21"/>
  <c r="V27" i="21"/>
  <c r="V26" i="21"/>
  <c r="R90" i="20"/>
  <c r="Q90" i="20"/>
  <c r="P90" i="20"/>
  <c r="S90" i="20"/>
  <c r="O90" i="20"/>
  <c r="V24" i="27"/>
  <c r="V23" i="27"/>
  <c r="W9" i="26"/>
  <c r="X9" i="26"/>
  <c r="Y9" i="26"/>
  <c r="W18" i="16"/>
  <c r="X18" i="16"/>
  <c r="Y18" i="16"/>
  <c r="Y12" i="26"/>
  <c r="W12" i="26"/>
  <c r="X12" i="26"/>
  <c r="Y27" i="20"/>
  <c r="X27" i="20"/>
  <c r="W27" i="20"/>
  <c r="V17" i="9"/>
  <c r="V18" i="9"/>
  <c r="X36" i="20"/>
  <c r="W36" i="20"/>
  <c r="Y36" i="20"/>
  <c r="V23" i="9"/>
  <c r="V24" i="9"/>
  <c r="X15" i="20"/>
  <c r="W15" i="20"/>
  <c r="Y15" i="20"/>
  <c r="V20" i="21"/>
  <c r="V21" i="21"/>
  <c r="V5" i="27"/>
  <c r="V6" i="27"/>
  <c r="X21" i="16"/>
  <c r="W21" i="16"/>
  <c r="Y21" i="16"/>
  <c r="X30" i="26"/>
  <c r="Y30" i="26"/>
  <c r="W30" i="26"/>
  <c r="X39" i="25"/>
  <c r="W39" i="25"/>
  <c r="Y39" i="25"/>
  <c r="X24" i="25"/>
  <c r="W24" i="25"/>
  <c r="Y24" i="25"/>
  <c r="Y12" i="20"/>
  <c r="W12" i="20"/>
  <c r="X12" i="20"/>
  <c r="V32" i="21"/>
  <c r="V33" i="21"/>
  <c r="Y12" i="16"/>
  <c r="X12" i="16"/>
  <c r="W12" i="16"/>
  <c r="V20" i="9"/>
  <c r="V21" i="9"/>
  <c r="X36" i="25"/>
  <c r="Y36" i="25"/>
  <c r="W36" i="25"/>
  <c r="V14" i="21"/>
  <c r="V15" i="21"/>
  <c r="X24" i="20"/>
  <c r="Y24" i="20"/>
  <c r="W24" i="20"/>
  <c r="Y18" i="20"/>
  <c r="X18" i="20"/>
  <c r="W18" i="20"/>
  <c r="V14" i="27"/>
  <c r="V15" i="27"/>
  <c r="P87" i="21"/>
  <c r="W15" i="16"/>
  <c r="X15" i="16"/>
  <c r="Y15" i="16"/>
  <c r="W27" i="16"/>
  <c r="X27" i="16"/>
  <c r="Y27" i="16"/>
  <c r="X87" i="26"/>
  <c r="Y87" i="26"/>
  <c r="W87" i="26"/>
  <c r="Y81" i="9" l="1"/>
  <c r="Y30" i="27"/>
  <c r="Y12" i="21"/>
  <c r="W12" i="21"/>
  <c r="X12" i="21"/>
  <c r="X27" i="21"/>
  <c r="W27" i="21"/>
  <c r="Y27" i="21"/>
  <c r="X33" i="27"/>
  <c r="W33" i="27"/>
  <c r="Y33" i="27"/>
  <c r="R90" i="9"/>
  <c r="O90" i="9"/>
  <c r="S90" i="9"/>
  <c r="P90" i="9"/>
  <c r="Q90" i="9"/>
  <c r="W90" i="9"/>
  <c r="X21" i="21"/>
  <c r="Y21" i="21"/>
  <c r="W21" i="21"/>
  <c r="O90" i="21"/>
  <c r="P90" i="21"/>
  <c r="R90" i="21"/>
  <c r="Q90" i="21"/>
  <c r="S90" i="21"/>
  <c r="Y81" i="21"/>
  <c r="X81" i="21"/>
  <c r="W81" i="21"/>
  <c r="W18" i="21"/>
  <c r="Y18" i="21"/>
  <c r="X18" i="21"/>
  <c r="Y30" i="21"/>
  <c r="W30" i="21"/>
  <c r="X30" i="21"/>
  <c r="X33" i="21"/>
  <c r="Y33" i="21"/>
  <c r="W33" i="21"/>
  <c r="Y24" i="9"/>
  <c r="W24" i="9"/>
  <c r="X24" i="9"/>
  <c r="X81" i="9"/>
  <c r="W81" i="9"/>
  <c r="W9" i="21"/>
  <c r="X9" i="21"/>
  <c r="Y9" i="21"/>
  <c r="W15" i="21"/>
  <c r="Y15" i="21"/>
  <c r="X15" i="21"/>
  <c r="Y90" i="21"/>
  <c r="W90" i="21"/>
  <c r="X90" i="21"/>
  <c r="X12" i="9"/>
  <c r="W12" i="9"/>
  <c r="Y12" i="9"/>
  <c r="X30" i="9"/>
  <c r="W30" i="9"/>
  <c r="Y30" i="9"/>
  <c r="X90" i="9"/>
  <c r="Y90" i="9"/>
  <c r="X6" i="21"/>
  <c r="Y6" i="21"/>
  <c r="W6" i="21"/>
  <c r="Y36" i="21"/>
  <c r="X36" i="21"/>
  <c r="W36" i="21"/>
  <c r="X33" i="9"/>
  <c r="Y33" i="9"/>
  <c r="W33" i="9"/>
  <c r="W30" i="27"/>
  <c r="X30" i="27"/>
  <c r="R90" i="27"/>
  <c r="O90" i="27"/>
  <c r="Q90" i="27"/>
  <c r="P90" i="27"/>
  <c r="S90" i="27"/>
  <c r="O87" i="9"/>
  <c r="P87" i="9"/>
  <c r="Q87" i="9"/>
  <c r="R87" i="9"/>
  <c r="S87" i="9"/>
  <c r="Y39" i="21"/>
  <c r="X39" i="21"/>
  <c r="W39" i="21"/>
  <c r="Y9" i="27"/>
  <c r="X9" i="27"/>
  <c r="W9" i="27"/>
  <c r="Y39" i="9"/>
  <c r="X39" i="9"/>
  <c r="W39" i="9"/>
  <c r="W21" i="27"/>
  <c r="X21" i="27"/>
  <c r="Y21" i="27"/>
  <c r="Y84" i="21"/>
  <c r="W84" i="21"/>
  <c r="X84" i="21"/>
  <c r="W6" i="27"/>
  <c r="X6" i="27"/>
  <c r="Y6" i="27"/>
  <c r="Y18" i="9"/>
  <c r="W18" i="9"/>
  <c r="X18" i="9"/>
  <c r="W12" i="27"/>
  <c r="X12" i="27"/>
  <c r="Y12" i="27"/>
  <c r="X6" i="9"/>
  <c r="Y6" i="9"/>
  <c r="W6" i="9"/>
  <c r="Y27" i="9"/>
  <c r="X27" i="9"/>
  <c r="W27" i="9"/>
  <c r="X21" i="9"/>
  <c r="Y21" i="9"/>
  <c r="W21" i="9"/>
  <c r="X15" i="27"/>
  <c r="W15" i="27"/>
  <c r="Y15" i="27"/>
  <c r="W24" i="27"/>
  <c r="Y24" i="27"/>
  <c r="X24" i="27"/>
  <c r="X90" i="27"/>
  <c r="Y90" i="27"/>
  <c r="W90" i="27"/>
  <c r="Y39" i="27"/>
  <c r="W81" i="27"/>
  <c r="Y81" i="27"/>
  <c r="X81" i="27"/>
  <c r="Y87" i="27"/>
  <c r="W87" i="27"/>
  <c r="X87" i="27"/>
  <c r="Y36" i="9"/>
  <c r="X36" i="9"/>
  <c r="W36" i="9"/>
  <c r="W18" i="27"/>
  <c r="X18" i="27"/>
  <c r="Y18" i="27"/>
  <c r="W39" i="27"/>
  <c r="X39" i="27"/>
  <c r="Y36" i="27"/>
  <c r="X36" i="27"/>
  <c r="W36" i="27"/>
  <c r="X87" i="9"/>
  <c r="Y87" i="9"/>
  <c r="W87" i="9"/>
  <c r="W27" i="27"/>
  <c r="X27" i="27"/>
  <c r="Y27" i="27"/>
  <c r="Y9" i="9"/>
  <c r="W9" i="9"/>
  <c r="X9" i="9"/>
  <c r="X84" i="27"/>
  <c r="Y84" i="27"/>
  <c r="W84" i="27"/>
  <c r="R87" i="27"/>
  <c r="Q87" i="27"/>
  <c r="P87" i="27"/>
  <c r="O87" i="27"/>
  <c r="S87" i="27"/>
  <c r="W24" i="21"/>
  <c r="Y24" i="21"/>
  <c r="X24" i="21"/>
  <c r="X15" i="9"/>
  <c r="W15" i="9"/>
  <c r="Y15" i="9"/>
  <c r="X84" i="9"/>
  <c r="Y84" i="9"/>
  <c r="W84" i="9"/>
  <c r="J74" i="22" l="1"/>
  <c r="J74" i="13"/>
  <c r="J74" i="9"/>
  <c r="J74" i="20"/>
  <c r="J74" i="26"/>
  <c r="J74" i="18"/>
  <c r="J73" i="18" s="1"/>
  <c r="J74" i="17"/>
  <c r="J74" i="21"/>
  <c r="J74" i="24"/>
  <c r="J76" i="9"/>
  <c r="J74" i="16"/>
  <c r="J73" i="16" s="1"/>
  <c r="J76" i="18"/>
  <c r="J76" i="14"/>
  <c r="J74" i="11"/>
  <c r="J73" i="11" s="1"/>
  <c r="J76" i="12"/>
  <c r="J74" i="10"/>
  <c r="J73" i="10" s="1"/>
  <c r="K74" i="22"/>
  <c r="J76" i="20"/>
  <c r="K76" i="20" s="1"/>
  <c r="J76" i="13"/>
  <c r="J74" i="23"/>
  <c r="J73" i="23" s="1"/>
  <c r="J71" i="23" s="1"/>
  <c r="K71" i="23" s="1"/>
  <c r="T71" i="23" s="1"/>
  <c r="U71" i="23" s="1"/>
  <c r="J76" i="8"/>
  <c r="J74" i="4"/>
  <c r="J73" i="4" s="1"/>
  <c r="J76" i="26"/>
  <c r="J74" i="27"/>
  <c r="J73" i="27" s="1"/>
  <c r="K74" i="18" l="1"/>
  <c r="J76" i="17"/>
  <c r="J73" i="17"/>
  <c r="K73" i="16"/>
  <c r="J71" i="16"/>
  <c r="K71" i="16" s="1"/>
  <c r="K76" i="14"/>
  <c r="J77" i="14"/>
  <c r="K73" i="18"/>
  <c r="J71" i="18"/>
  <c r="K71" i="18" s="1"/>
  <c r="K73" i="23"/>
  <c r="L71" i="23" s="1"/>
  <c r="M71" i="23" s="1"/>
  <c r="N71" i="23" s="1"/>
  <c r="K74" i="26"/>
  <c r="T74" i="26" s="1"/>
  <c r="U74" i="26" s="1"/>
  <c r="V74" i="26" s="1"/>
  <c r="J73" i="26"/>
  <c r="K73" i="27"/>
  <c r="J71" i="27"/>
  <c r="K71" i="27" s="1"/>
  <c r="K76" i="26"/>
  <c r="J77" i="26"/>
  <c r="K76" i="12"/>
  <c r="J77" i="12"/>
  <c r="K76" i="18"/>
  <c r="L74" i="18" s="1"/>
  <c r="M74" i="18" s="1"/>
  <c r="J77" i="18"/>
  <c r="K76" i="9"/>
  <c r="J77" i="9"/>
  <c r="K76" i="13"/>
  <c r="J77" i="13"/>
  <c r="K74" i="20"/>
  <c r="T74" i="20" s="1"/>
  <c r="U74" i="20" s="1"/>
  <c r="V74" i="20" s="1"/>
  <c r="J73" i="20"/>
  <c r="K73" i="4"/>
  <c r="J71" i="4"/>
  <c r="K71" i="4" s="1"/>
  <c r="K73" i="11"/>
  <c r="J71" i="11"/>
  <c r="K71" i="11" s="1"/>
  <c r="K74" i="9"/>
  <c r="T74" i="9" s="1"/>
  <c r="U74" i="9" s="1"/>
  <c r="V75" i="9" s="1"/>
  <c r="J73" i="9"/>
  <c r="K76" i="8"/>
  <c r="J77" i="8"/>
  <c r="K74" i="24"/>
  <c r="J73" i="24"/>
  <c r="K74" i="13"/>
  <c r="T74" i="13" s="1"/>
  <c r="U74" i="13" s="1"/>
  <c r="V74" i="13" s="1"/>
  <c r="J73" i="13"/>
  <c r="K73" i="10"/>
  <c r="J71" i="10"/>
  <c r="K71" i="10" s="1"/>
  <c r="J76" i="21"/>
  <c r="J73" i="21"/>
  <c r="J76" i="22"/>
  <c r="J73" i="22"/>
  <c r="K74" i="17"/>
  <c r="T74" i="17" s="1"/>
  <c r="U74" i="17" s="1"/>
  <c r="K74" i="21"/>
  <c r="T74" i="21" s="1"/>
  <c r="U74" i="21" s="1"/>
  <c r="J76" i="24"/>
  <c r="V72" i="23"/>
  <c r="V71" i="23"/>
  <c r="J76" i="11"/>
  <c r="K74" i="11"/>
  <c r="T74" i="18"/>
  <c r="U74" i="18" s="1"/>
  <c r="K74" i="4"/>
  <c r="J76" i="4"/>
  <c r="J76" i="27"/>
  <c r="K74" i="27"/>
  <c r="J76" i="16"/>
  <c r="K74" i="16"/>
  <c r="T74" i="22"/>
  <c r="U74" i="22" s="1"/>
  <c r="K74" i="23"/>
  <c r="J76" i="23"/>
  <c r="K74" i="10"/>
  <c r="J76" i="10"/>
  <c r="L74" i="9" l="1"/>
  <c r="M74" i="9" s="1"/>
  <c r="N74" i="9" s="1"/>
  <c r="V75" i="26"/>
  <c r="N72" i="23"/>
  <c r="R72" i="23" s="1"/>
  <c r="K76" i="11"/>
  <c r="J77" i="11"/>
  <c r="K73" i="24"/>
  <c r="J71" i="24"/>
  <c r="K71" i="24" s="1"/>
  <c r="K77" i="13"/>
  <c r="J79" i="13"/>
  <c r="K79" i="13" s="1"/>
  <c r="K73" i="26"/>
  <c r="J71" i="26"/>
  <c r="K71" i="26" s="1"/>
  <c r="L74" i="13"/>
  <c r="M74" i="13" s="1"/>
  <c r="K76" i="23"/>
  <c r="J77" i="23"/>
  <c r="K77" i="8"/>
  <c r="J79" i="8"/>
  <c r="K79" i="8" s="1"/>
  <c r="K77" i="9"/>
  <c r="J79" i="9"/>
  <c r="K79" i="9" s="1"/>
  <c r="K76" i="27"/>
  <c r="L74" i="27" s="1"/>
  <c r="M74" i="27" s="1"/>
  <c r="J77" i="27"/>
  <c r="K73" i="22"/>
  <c r="J71" i="22"/>
  <c r="K71" i="22" s="1"/>
  <c r="L71" i="18"/>
  <c r="M71" i="18" s="1"/>
  <c r="T71" i="18"/>
  <c r="U71" i="18" s="1"/>
  <c r="V75" i="13"/>
  <c r="K76" i="22"/>
  <c r="L74" i="22" s="1"/>
  <c r="M74" i="22" s="1"/>
  <c r="N75" i="22" s="1"/>
  <c r="J77" i="22"/>
  <c r="K73" i="9"/>
  <c r="J71" i="9"/>
  <c r="K71" i="9" s="1"/>
  <c r="K77" i="18"/>
  <c r="J79" i="18"/>
  <c r="K79" i="18" s="1"/>
  <c r="V75" i="20"/>
  <c r="Y75" i="20" s="1"/>
  <c r="K73" i="21"/>
  <c r="J71" i="21"/>
  <c r="K77" i="14"/>
  <c r="J79" i="14"/>
  <c r="K79" i="14" s="1"/>
  <c r="K76" i="4"/>
  <c r="L74" i="4" s="1"/>
  <c r="M74" i="4" s="1"/>
  <c r="J77" i="4"/>
  <c r="K76" i="21"/>
  <c r="L74" i="21" s="1"/>
  <c r="M74" i="21" s="1"/>
  <c r="N74" i="21" s="1"/>
  <c r="J77" i="21"/>
  <c r="T71" i="11"/>
  <c r="U71" i="11" s="1"/>
  <c r="L71" i="11"/>
  <c r="M71" i="11" s="1"/>
  <c r="K77" i="12"/>
  <c r="J79" i="12"/>
  <c r="K79" i="12" s="1"/>
  <c r="V74" i="9"/>
  <c r="X75" i="9" s="1"/>
  <c r="T71" i="10"/>
  <c r="U71" i="10" s="1"/>
  <c r="L71" i="10"/>
  <c r="M71" i="10" s="1"/>
  <c r="T71" i="16"/>
  <c r="U71" i="16" s="1"/>
  <c r="L71" i="16"/>
  <c r="M71" i="16" s="1"/>
  <c r="K76" i="10"/>
  <c r="J77" i="10"/>
  <c r="K76" i="24"/>
  <c r="L74" i="24" s="1"/>
  <c r="M74" i="24" s="1"/>
  <c r="N75" i="24" s="1"/>
  <c r="J77" i="24"/>
  <c r="L71" i="4"/>
  <c r="M71" i="4" s="1"/>
  <c r="T71" i="4"/>
  <c r="U71" i="4" s="1"/>
  <c r="K77" i="26"/>
  <c r="J79" i="26"/>
  <c r="K79" i="26" s="1"/>
  <c r="K76" i="16"/>
  <c r="L74" i="16" s="1"/>
  <c r="M74" i="16" s="1"/>
  <c r="J77" i="16"/>
  <c r="L74" i="20"/>
  <c r="M74" i="20" s="1"/>
  <c r="L74" i="26"/>
  <c r="M74" i="26" s="1"/>
  <c r="K73" i="17"/>
  <c r="J71" i="17"/>
  <c r="K71" i="17" s="1"/>
  <c r="K73" i="13"/>
  <c r="J71" i="13"/>
  <c r="K73" i="20"/>
  <c r="J71" i="20"/>
  <c r="L71" i="27"/>
  <c r="M71" i="27" s="1"/>
  <c r="T71" i="27"/>
  <c r="U71" i="27" s="1"/>
  <c r="K76" i="17"/>
  <c r="L74" i="17" s="1"/>
  <c r="M74" i="17" s="1"/>
  <c r="N74" i="17" s="1"/>
  <c r="J77" i="17"/>
  <c r="W75" i="13"/>
  <c r="Y75" i="13"/>
  <c r="X75" i="13"/>
  <c r="T74" i="23"/>
  <c r="U74" i="23" s="1"/>
  <c r="L74" i="23"/>
  <c r="M74" i="23" s="1"/>
  <c r="N75" i="18"/>
  <c r="N74" i="18"/>
  <c r="T74" i="11"/>
  <c r="U74" i="11" s="1"/>
  <c r="L74" i="11"/>
  <c r="M74" i="11" s="1"/>
  <c r="V74" i="21"/>
  <c r="V75" i="21"/>
  <c r="V74" i="22"/>
  <c r="V75" i="22"/>
  <c r="T74" i="27"/>
  <c r="U74" i="27" s="1"/>
  <c r="Y72" i="23"/>
  <c r="X72" i="23"/>
  <c r="W72" i="23"/>
  <c r="W75" i="20"/>
  <c r="X75" i="20"/>
  <c r="S75" i="9"/>
  <c r="O75" i="9"/>
  <c r="T74" i="16"/>
  <c r="U74" i="16" s="1"/>
  <c r="V74" i="17"/>
  <c r="V75" i="17"/>
  <c r="T74" i="4"/>
  <c r="U74" i="4" s="1"/>
  <c r="L74" i="10"/>
  <c r="M74" i="10" s="1"/>
  <c r="T74" i="10"/>
  <c r="U74" i="10" s="1"/>
  <c r="W75" i="26"/>
  <c r="X75" i="26"/>
  <c r="Y75" i="26"/>
  <c r="V74" i="18"/>
  <c r="V75" i="18"/>
  <c r="P72" i="23"/>
  <c r="S72" i="23"/>
  <c r="O72" i="23"/>
  <c r="Q72" i="23"/>
  <c r="N75" i="9" l="1"/>
  <c r="N75" i="21"/>
  <c r="Y75" i="9"/>
  <c r="W75" i="9"/>
  <c r="N75" i="17"/>
  <c r="P75" i="17" s="1"/>
  <c r="V72" i="16"/>
  <c r="V71" i="16"/>
  <c r="K77" i="23"/>
  <c r="J79" i="23"/>
  <c r="K79" i="23" s="1"/>
  <c r="K77" i="17"/>
  <c r="J79" i="17"/>
  <c r="K79" i="17" s="1"/>
  <c r="K77" i="16"/>
  <c r="J79" i="16"/>
  <c r="K79" i="16" s="1"/>
  <c r="N72" i="10"/>
  <c r="N71" i="10"/>
  <c r="K77" i="4"/>
  <c r="J79" i="4"/>
  <c r="K79" i="4" s="1"/>
  <c r="V71" i="10"/>
  <c r="V72" i="10"/>
  <c r="V71" i="18"/>
  <c r="V72" i="18"/>
  <c r="N75" i="13"/>
  <c r="N74" i="13"/>
  <c r="V71" i="27"/>
  <c r="V72" i="27"/>
  <c r="T77" i="14"/>
  <c r="U77" i="14" s="1"/>
  <c r="L77" i="14"/>
  <c r="M77" i="14" s="1"/>
  <c r="N72" i="18"/>
  <c r="N71" i="18"/>
  <c r="K71" i="21"/>
  <c r="T71" i="22"/>
  <c r="U71" i="22" s="1"/>
  <c r="L71" i="22"/>
  <c r="M71" i="22" s="1"/>
  <c r="T71" i="26"/>
  <c r="U71" i="26" s="1"/>
  <c r="L71" i="26"/>
  <c r="M71" i="26" s="1"/>
  <c r="T77" i="26"/>
  <c r="U77" i="26" s="1"/>
  <c r="L77" i="26"/>
  <c r="M77" i="26" s="1"/>
  <c r="K71" i="20"/>
  <c r="V71" i="4"/>
  <c r="V72" i="4"/>
  <c r="N71" i="4"/>
  <c r="N72" i="4"/>
  <c r="K77" i="27"/>
  <c r="J79" i="27"/>
  <c r="K79" i="27" s="1"/>
  <c r="K71" i="13"/>
  <c r="K77" i="24"/>
  <c r="J79" i="24"/>
  <c r="K79" i="24" s="1"/>
  <c r="T77" i="12"/>
  <c r="U77" i="12" s="1"/>
  <c r="L77" i="12"/>
  <c r="M77" i="12" s="1"/>
  <c r="L77" i="13"/>
  <c r="M77" i="13" s="1"/>
  <c r="T77" i="13"/>
  <c r="U77" i="13" s="1"/>
  <c r="N74" i="20"/>
  <c r="N75" i="20"/>
  <c r="N71" i="11"/>
  <c r="N72" i="11"/>
  <c r="L77" i="18"/>
  <c r="M77" i="18" s="1"/>
  <c r="T77" i="18"/>
  <c r="U77" i="18" s="1"/>
  <c r="L71" i="24"/>
  <c r="M71" i="24" s="1"/>
  <c r="N72" i="27"/>
  <c r="N71" i="27"/>
  <c r="L71" i="17"/>
  <c r="M71" i="17" s="1"/>
  <c r="T71" i="17"/>
  <c r="U71" i="17" s="1"/>
  <c r="K77" i="10"/>
  <c r="J79" i="10"/>
  <c r="K79" i="10" s="1"/>
  <c r="V72" i="11"/>
  <c r="V71" i="11"/>
  <c r="T71" i="9"/>
  <c r="U71" i="9" s="1"/>
  <c r="L71" i="9"/>
  <c r="M71" i="9" s="1"/>
  <c r="L77" i="9"/>
  <c r="M77" i="9" s="1"/>
  <c r="T77" i="9"/>
  <c r="U77" i="9" s="1"/>
  <c r="N74" i="22"/>
  <c r="O75" i="22" s="1"/>
  <c r="K77" i="21"/>
  <c r="J79" i="21"/>
  <c r="K79" i="21" s="1"/>
  <c r="K77" i="11"/>
  <c r="J79" i="11"/>
  <c r="K79" i="11" s="1"/>
  <c r="N74" i="24"/>
  <c r="N74" i="26"/>
  <c r="N75" i="26"/>
  <c r="N72" i="16"/>
  <c r="N71" i="16"/>
  <c r="K77" i="22"/>
  <c r="J79" i="22"/>
  <c r="K79" i="22" s="1"/>
  <c r="L77" i="8"/>
  <c r="M77" i="8" s="1"/>
  <c r="T77" i="8"/>
  <c r="U77" i="8" s="1"/>
  <c r="N75" i="4"/>
  <c r="N74" i="4"/>
  <c r="S75" i="17"/>
  <c r="O75" i="17"/>
  <c r="V75" i="16"/>
  <c r="V74" i="16"/>
  <c r="N74" i="11"/>
  <c r="N75" i="11"/>
  <c r="V75" i="4"/>
  <c r="V74" i="4"/>
  <c r="N74" i="16"/>
  <c r="N75" i="16"/>
  <c r="V75" i="11"/>
  <c r="V74" i="11"/>
  <c r="S75" i="21"/>
  <c r="P75" i="21"/>
  <c r="R75" i="21"/>
  <c r="O75" i="21"/>
  <c r="Q75" i="21"/>
  <c r="N74" i="23"/>
  <c r="N75" i="23"/>
  <c r="Y75" i="17"/>
  <c r="X75" i="17"/>
  <c r="W75" i="17"/>
  <c r="V75" i="23"/>
  <c r="V74" i="23"/>
  <c r="N74" i="27"/>
  <c r="N75" i="27"/>
  <c r="X75" i="18"/>
  <c r="W75" i="18"/>
  <c r="Y75" i="18"/>
  <c r="V75" i="27"/>
  <c r="V74" i="27"/>
  <c r="Y75" i="22"/>
  <c r="X75" i="22"/>
  <c r="W75" i="22"/>
  <c r="V74" i="10"/>
  <c r="V75" i="10"/>
  <c r="S75" i="18"/>
  <c r="Q75" i="18"/>
  <c r="P75" i="18"/>
  <c r="R75" i="18"/>
  <c r="O75" i="18"/>
  <c r="N74" i="10"/>
  <c r="N75" i="10"/>
  <c r="W75" i="21"/>
  <c r="X75" i="21"/>
  <c r="Y75" i="21"/>
  <c r="Q75" i="17" l="1"/>
  <c r="R75" i="17"/>
  <c r="P75" i="9"/>
  <c r="Q75" i="9"/>
  <c r="R75" i="9"/>
  <c r="S75" i="22"/>
  <c r="P75" i="22"/>
  <c r="R75" i="22"/>
  <c r="Q75" i="22"/>
  <c r="N72" i="17"/>
  <c r="N71" i="17"/>
  <c r="N77" i="13"/>
  <c r="N78" i="13"/>
  <c r="X72" i="4"/>
  <c r="Y72" i="4"/>
  <c r="W72" i="4"/>
  <c r="J15" i="3"/>
  <c r="I15" i="3" s="1"/>
  <c r="G15" i="3" s="1"/>
  <c r="L77" i="4"/>
  <c r="M77" i="4" s="1"/>
  <c r="T77" i="4"/>
  <c r="U77" i="4" s="1"/>
  <c r="J16" i="3"/>
  <c r="I16" i="3" s="1"/>
  <c r="G16" i="3" s="1"/>
  <c r="T77" i="11"/>
  <c r="U77" i="11" s="1"/>
  <c r="L77" i="11"/>
  <c r="M77" i="11" s="1"/>
  <c r="V77" i="8"/>
  <c r="V78" i="8"/>
  <c r="L77" i="21"/>
  <c r="M77" i="21" s="1"/>
  <c r="T77" i="21"/>
  <c r="U77" i="21" s="1"/>
  <c r="S72" i="27"/>
  <c r="Q72" i="27"/>
  <c r="O72" i="27"/>
  <c r="R72" i="27"/>
  <c r="P72" i="27"/>
  <c r="N78" i="12"/>
  <c r="N77" i="12"/>
  <c r="T71" i="20"/>
  <c r="U71" i="20" s="1"/>
  <c r="L71" i="20"/>
  <c r="M71" i="20" s="1"/>
  <c r="N77" i="14"/>
  <c r="N78" i="14"/>
  <c r="S72" i="10"/>
  <c r="Q72" i="10"/>
  <c r="R72" i="10"/>
  <c r="O72" i="10"/>
  <c r="P72" i="10"/>
  <c r="R72" i="18"/>
  <c r="P72" i="18"/>
  <c r="O72" i="18"/>
  <c r="S72" i="18"/>
  <c r="Q72" i="18"/>
  <c r="N78" i="8"/>
  <c r="N77" i="8"/>
  <c r="V77" i="12"/>
  <c r="V78" i="12"/>
  <c r="V78" i="14"/>
  <c r="V77" i="14"/>
  <c r="V77" i="13"/>
  <c r="V78" i="13"/>
  <c r="V78" i="9"/>
  <c r="V77" i="9"/>
  <c r="N78" i="26"/>
  <c r="N77" i="26"/>
  <c r="V71" i="17"/>
  <c r="V72" i="17"/>
  <c r="T77" i="22"/>
  <c r="U77" i="22" s="1"/>
  <c r="L77" i="22"/>
  <c r="M77" i="22" s="1"/>
  <c r="N78" i="9"/>
  <c r="N77" i="9"/>
  <c r="N71" i="24"/>
  <c r="N72" i="24"/>
  <c r="L77" i="24"/>
  <c r="M77" i="24" s="1"/>
  <c r="V78" i="26"/>
  <c r="V77" i="26"/>
  <c r="W72" i="27"/>
  <c r="Y72" i="27"/>
  <c r="X72" i="27"/>
  <c r="T77" i="16"/>
  <c r="U77" i="16" s="1"/>
  <c r="L77" i="16"/>
  <c r="M77" i="16" s="1"/>
  <c r="Q72" i="16"/>
  <c r="P72" i="16"/>
  <c r="S72" i="16"/>
  <c r="R72" i="16"/>
  <c r="O72" i="16"/>
  <c r="N71" i="9"/>
  <c r="N72" i="9"/>
  <c r="V77" i="18"/>
  <c r="V78" i="18"/>
  <c r="T71" i="13"/>
  <c r="U71" i="13" s="1"/>
  <c r="L71" i="13"/>
  <c r="M71" i="13" s="1"/>
  <c r="N72" i="26"/>
  <c r="N71" i="26"/>
  <c r="R75" i="13"/>
  <c r="Q75" i="13"/>
  <c r="O75" i="13"/>
  <c r="S75" i="13"/>
  <c r="P75" i="13"/>
  <c r="V71" i="9"/>
  <c r="V72" i="9"/>
  <c r="N78" i="18"/>
  <c r="N77" i="18"/>
  <c r="V72" i="26"/>
  <c r="V71" i="26"/>
  <c r="L77" i="17"/>
  <c r="M77" i="17" s="1"/>
  <c r="T77" i="17"/>
  <c r="U77" i="17" s="1"/>
  <c r="Y72" i="11"/>
  <c r="W72" i="11"/>
  <c r="X72" i="11"/>
  <c r="N71" i="22"/>
  <c r="N72" i="22"/>
  <c r="R75" i="26"/>
  <c r="P75" i="26"/>
  <c r="S75" i="26"/>
  <c r="O75" i="26"/>
  <c r="Q75" i="26"/>
  <c r="O72" i="11"/>
  <c r="Q72" i="11"/>
  <c r="R72" i="11"/>
  <c r="P72" i="11"/>
  <c r="S72" i="11"/>
  <c r="L77" i="27"/>
  <c r="M77" i="27" s="1"/>
  <c r="T77" i="27"/>
  <c r="U77" i="27" s="1"/>
  <c r="V72" i="22"/>
  <c r="V71" i="22"/>
  <c r="Y72" i="18"/>
  <c r="X72" i="18"/>
  <c r="W72" i="18"/>
  <c r="L77" i="23"/>
  <c r="M77" i="23" s="1"/>
  <c r="T77" i="23"/>
  <c r="U77" i="23" s="1"/>
  <c r="O75" i="24"/>
  <c r="Q75" i="24"/>
  <c r="R75" i="24"/>
  <c r="S75" i="24"/>
  <c r="P75" i="24"/>
  <c r="L71" i="21"/>
  <c r="M71" i="21" s="1"/>
  <c r="T71" i="21"/>
  <c r="U71" i="21" s="1"/>
  <c r="X72" i="16"/>
  <c r="Y72" i="16"/>
  <c r="W72" i="16"/>
  <c r="T77" i="10"/>
  <c r="U77" i="10" s="1"/>
  <c r="L77" i="10"/>
  <c r="M77" i="10" s="1"/>
  <c r="Q75" i="20"/>
  <c r="R75" i="20"/>
  <c r="O75" i="20"/>
  <c r="S75" i="20"/>
  <c r="P75" i="20"/>
  <c r="S72" i="4"/>
  <c r="Q72" i="4"/>
  <c r="O72" i="4"/>
  <c r="R72" i="4"/>
  <c r="P72" i="4"/>
  <c r="Y72" i="10"/>
  <c r="W72" i="10"/>
  <c r="X72" i="10"/>
  <c r="Y75" i="27"/>
  <c r="X75" i="27"/>
  <c r="W75" i="27"/>
  <c r="R75" i="27"/>
  <c r="S75" i="27"/>
  <c r="Q75" i="27"/>
  <c r="O75" i="27"/>
  <c r="P75" i="27"/>
  <c r="Y75" i="23"/>
  <c r="W75" i="23"/>
  <c r="X75" i="23"/>
  <c r="R75" i="16"/>
  <c r="Q75" i="16"/>
  <c r="S75" i="16"/>
  <c r="O75" i="16"/>
  <c r="P75" i="16"/>
  <c r="P75" i="4"/>
  <c r="O75" i="4"/>
  <c r="R75" i="4"/>
  <c r="S75" i="4"/>
  <c r="Q75" i="4"/>
  <c r="W75" i="4"/>
  <c r="Y75" i="4"/>
  <c r="X75" i="4"/>
  <c r="Q75" i="23"/>
  <c r="R75" i="23"/>
  <c r="S75" i="23"/>
  <c r="O75" i="23"/>
  <c r="P75" i="23"/>
  <c r="O75" i="11"/>
  <c r="Q75" i="11"/>
  <c r="R75" i="11"/>
  <c r="P75" i="11"/>
  <c r="S75" i="11"/>
  <c r="R75" i="10"/>
  <c r="O75" i="10"/>
  <c r="Q75" i="10"/>
  <c r="S75" i="10"/>
  <c r="P75" i="10"/>
  <c r="W75" i="16"/>
  <c r="Y75" i="16"/>
  <c r="X75" i="16"/>
  <c r="W75" i="10"/>
  <c r="Y75" i="10"/>
  <c r="X75" i="10"/>
  <c r="Y75" i="11"/>
  <c r="X75" i="11"/>
  <c r="W75" i="11"/>
  <c r="J65" i="27"/>
  <c r="K65" i="27" s="1"/>
  <c r="R78" i="14" l="1"/>
  <c r="N78" i="24"/>
  <c r="N77" i="24"/>
  <c r="J64" i="27"/>
  <c r="V78" i="4"/>
  <c r="V77" i="4"/>
  <c r="N77" i="10"/>
  <c r="N78" i="10"/>
  <c r="V77" i="23"/>
  <c r="V78" i="23"/>
  <c r="V78" i="17"/>
  <c r="V77" i="17"/>
  <c r="P72" i="24"/>
  <c r="R72" i="24"/>
  <c r="Q72" i="24"/>
  <c r="S72" i="24"/>
  <c r="O72" i="24"/>
  <c r="W78" i="13"/>
  <c r="Y78" i="13"/>
  <c r="X78" i="13"/>
  <c r="N77" i="4"/>
  <c r="N78" i="4"/>
  <c r="S78" i="9"/>
  <c r="R78" i="9"/>
  <c r="O78" i="9"/>
  <c r="Q78" i="9"/>
  <c r="P78" i="9"/>
  <c r="W78" i="14"/>
  <c r="Y78" i="14"/>
  <c r="X78" i="14"/>
  <c r="W78" i="9"/>
  <c r="X78" i="9"/>
  <c r="Y78" i="9"/>
  <c r="R72" i="26"/>
  <c r="Q72" i="26"/>
  <c r="O72" i="26"/>
  <c r="P72" i="26"/>
  <c r="S72" i="26"/>
  <c r="Y72" i="26"/>
  <c r="X72" i="26"/>
  <c r="W72" i="26"/>
  <c r="N78" i="16"/>
  <c r="N77" i="16"/>
  <c r="N72" i="13"/>
  <c r="N71" i="13"/>
  <c r="V78" i="16"/>
  <c r="V77" i="16"/>
  <c r="N77" i="22"/>
  <c r="N78" i="22"/>
  <c r="V77" i="11"/>
  <c r="V78" i="11"/>
  <c r="N77" i="17"/>
  <c r="N78" i="17"/>
  <c r="R78" i="18"/>
  <c r="Q78" i="18"/>
  <c r="P78" i="18"/>
  <c r="O78" i="18"/>
  <c r="S78" i="18"/>
  <c r="V71" i="13"/>
  <c r="V72" i="13"/>
  <c r="V77" i="22"/>
  <c r="V78" i="22"/>
  <c r="W78" i="12"/>
  <c r="X78" i="12"/>
  <c r="Y78" i="12"/>
  <c r="V77" i="21"/>
  <c r="V78" i="21"/>
  <c r="V77" i="10"/>
  <c r="V78" i="10"/>
  <c r="V72" i="21"/>
  <c r="V71" i="21"/>
  <c r="X72" i="22"/>
  <c r="W72" i="22"/>
  <c r="Y72" i="22"/>
  <c r="O78" i="8"/>
  <c r="S78" i="8"/>
  <c r="Q78" i="8"/>
  <c r="P78" i="8"/>
  <c r="R78" i="8"/>
  <c r="N77" i="21"/>
  <c r="N78" i="21"/>
  <c r="N72" i="21"/>
  <c r="N71" i="21"/>
  <c r="X78" i="18"/>
  <c r="W78" i="18"/>
  <c r="Y78" i="18"/>
  <c r="Y72" i="17"/>
  <c r="X72" i="17"/>
  <c r="W72" i="17"/>
  <c r="S78" i="14"/>
  <c r="O78" i="14"/>
  <c r="P78" i="14"/>
  <c r="Q78" i="14"/>
  <c r="O78" i="13"/>
  <c r="R78" i="13"/>
  <c r="S78" i="13"/>
  <c r="P78" i="13"/>
  <c r="Q78" i="13"/>
  <c r="R78" i="12"/>
  <c r="O78" i="12"/>
  <c r="S78" i="12"/>
  <c r="P78" i="12"/>
  <c r="Q78" i="12"/>
  <c r="N77" i="23"/>
  <c r="N78" i="23"/>
  <c r="V78" i="27"/>
  <c r="V77" i="27"/>
  <c r="Y72" i="9"/>
  <c r="W72" i="9"/>
  <c r="X72" i="9"/>
  <c r="X78" i="26"/>
  <c r="Y78" i="26"/>
  <c r="W78" i="26"/>
  <c r="R78" i="26"/>
  <c r="O78" i="26"/>
  <c r="P78" i="26"/>
  <c r="S78" i="26"/>
  <c r="Q78" i="26"/>
  <c r="N72" i="20"/>
  <c r="N71" i="20"/>
  <c r="X78" i="8"/>
  <c r="Y78" i="8"/>
  <c r="W78" i="8"/>
  <c r="Q72" i="17"/>
  <c r="P72" i="17"/>
  <c r="O72" i="17"/>
  <c r="R72" i="17"/>
  <c r="S72" i="17"/>
  <c r="N78" i="27"/>
  <c r="N77" i="27"/>
  <c r="S72" i="22"/>
  <c r="P72" i="22"/>
  <c r="O72" i="22"/>
  <c r="Q72" i="22"/>
  <c r="R72" i="22"/>
  <c r="P72" i="9"/>
  <c r="R72" i="9"/>
  <c r="S72" i="9"/>
  <c r="Q72" i="9"/>
  <c r="O72" i="9"/>
  <c r="V71" i="20"/>
  <c r="V72" i="20"/>
  <c r="N77" i="11"/>
  <c r="N78" i="11"/>
  <c r="J65" i="11"/>
  <c r="J67" i="27"/>
  <c r="J65" i="16"/>
  <c r="K65" i="16" s="1"/>
  <c r="T65" i="16" s="1"/>
  <c r="U65" i="16" s="1"/>
  <c r="V66" i="16" s="1"/>
  <c r="J65" i="22"/>
  <c r="J65" i="14"/>
  <c r="J65" i="21"/>
  <c r="J65" i="24"/>
  <c r="J64" i="24" s="1"/>
  <c r="J65" i="25"/>
  <c r="J65" i="9"/>
  <c r="J65" i="26"/>
  <c r="T65" i="27"/>
  <c r="U65" i="27" s="1"/>
  <c r="J65" i="17"/>
  <c r="J64" i="17" s="1"/>
  <c r="J65" i="20"/>
  <c r="J64" i="20" s="1"/>
  <c r="J65" i="10"/>
  <c r="J64" i="10" s="1"/>
  <c r="J67" i="8"/>
  <c r="J65" i="13"/>
  <c r="J64" i="13" s="1"/>
  <c r="J62" i="13" s="1"/>
  <c r="K62" i="13" s="1"/>
  <c r="T62" i="13" s="1"/>
  <c r="U62" i="13" s="1"/>
  <c r="J65" i="12"/>
  <c r="J64" i="12" s="1"/>
  <c r="J67" i="23"/>
  <c r="J65" i="18"/>
  <c r="J64" i="18" s="1"/>
  <c r="J65" i="4"/>
  <c r="J64" i="4" s="1"/>
  <c r="Q72" i="20" l="1"/>
  <c r="R72" i="20"/>
  <c r="P72" i="20"/>
  <c r="S72" i="20"/>
  <c r="O72" i="20"/>
  <c r="K64" i="10"/>
  <c r="J62" i="10"/>
  <c r="O78" i="11"/>
  <c r="P78" i="11"/>
  <c r="Q78" i="11"/>
  <c r="S78" i="11"/>
  <c r="R78" i="11"/>
  <c r="Y78" i="27"/>
  <c r="X78" i="27"/>
  <c r="W78" i="27"/>
  <c r="S72" i="21"/>
  <c r="O72" i="21"/>
  <c r="R72" i="21"/>
  <c r="P72" i="21"/>
  <c r="Q72" i="21"/>
  <c r="W72" i="21"/>
  <c r="Y72" i="21"/>
  <c r="X72" i="21"/>
  <c r="X72" i="13"/>
  <c r="Y72" i="13"/>
  <c r="W72" i="13"/>
  <c r="W78" i="16"/>
  <c r="Y78" i="16"/>
  <c r="X78" i="16"/>
  <c r="Y78" i="17"/>
  <c r="X78" i="17"/>
  <c r="W78" i="17"/>
  <c r="J67" i="26"/>
  <c r="J64" i="26"/>
  <c r="K65" i="22"/>
  <c r="T65" i="22" s="1"/>
  <c r="U65" i="22" s="1"/>
  <c r="V65" i="22" s="1"/>
  <c r="J64" i="22"/>
  <c r="K67" i="8"/>
  <c r="J68" i="8"/>
  <c r="K68" i="8" s="1"/>
  <c r="S78" i="22"/>
  <c r="Q78" i="22"/>
  <c r="P78" i="22"/>
  <c r="R78" i="22"/>
  <c r="O78" i="22"/>
  <c r="O78" i="27"/>
  <c r="Q78" i="27"/>
  <c r="S78" i="27"/>
  <c r="R78" i="27"/>
  <c r="P78" i="27"/>
  <c r="J67" i="25"/>
  <c r="J64" i="25"/>
  <c r="J67" i="14"/>
  <c r="J64" i="14"/>
  <c r="K64" i="20"/>
  <c r="J62" i="20"/>
  <c r="K62" i="20" s="1"/>
  <c r="J67" i="16"/>
  <c r="J64" i="16"/>
  <c r="X72" i="20"/>
  <c r="W72" i="20"/>
  <c r="Y72" i="20"/>
  <c r="S72" i="13"/>
  <c r="O72" i="13"/>
  <c r="P72" i="13"/>
  <c r="R72" i="13"/>
  <c r="Q72" i="13"/>
  <c r="K64" i="13"/>
  <c r="L62" i="13" s="1"/>
  <c r="M62" i="13" s="1"/>
  <c r="N62" i="13" s="1"/>
  <c r="K64" i="4"/>
  <c r="J62" i="4"/>
  <c r="K62" i="4" s="1"/>
  <c r="K65" i="25"/>
  <c r="K64" i="17"/>
  <c r="J62" i="17"/>
  <c r="K62" i="17" s="1"/>
  <c r="T62" i="17" s="1"/>
  <c r="U62" i="17" s="1"/>
  <c r="K67" i="27"/>
  <c r="L65" i="27" s="1"/>
  <c r="M65" i="27" s="1"/>
  <c r="N66" i="27" s="1"/>
  <c r="J68" i="27"/>
  <c r="O78" i="23"/>
  <c r="P78" i="23"/>
  <c r="S78" i="23"/>
  <c r="Q78" i="23"/>
  <c r="R78" i="23"/>
  <c r="R78" i="21"/>
  <c r="O78" i="21"/>
  <c r="S78" i="21"/>
  <c r="Q78" i="21"/>
  <c r="P78" i="21"/>
  <c r="Y78" i="10"/>
  <c r="W78" i="10"/>
  <c r="X78" i="10"/>
  <c r="O78" i="4"/>
  <c r="S78" i="4"/>
  <c r="P78" i="4"/>
  <c r="R78" i="4"/>
  <c r="Q78" i="4"/>
  <c r="W78" i="23"/>
  <c r="X78" i="23"/>
  <c r="Y78" i="23"/>
  <c r="K64" i="12"/>
  <c r="J62" i="12"/>
  <c r="K64" i="24"/>
  <c r="J62" i="24"/>
  <c r="X78" i="21"/>
  <c r="W78" i="21"/>
  <c r="Y78" i="21"/>
  <c r="S78" i="16"/>
  <c r="O78" i="16"/>
  <c r="R78" i="16"/>
  <c r="P78" i="16"/>
  <c r="Q78" i="16"/>
  <c r="S78" i="10"/>
  <c r="P78" i="10"/>
  <c r="O78" i="10"/>
  <c r="Q78" i="10"/>
  <c r="R78" i="10"/>
  <c r="Y78" i="4"/>
  <c r="X78" i="4"/>
  <c r="W78" i="4"/>
  <c r="K64" i="18"/>
  <c r="J62" i="18"/>
  <c r="K62" i="18" s="1"/>
  <c r="K65" i="21"/>
  <c r="T65" i="21" s="1"/>
  <c r="U65" i="21" s="1"/>
  <c r="V66" i="21" s="1"/>
  <c r="J64" i="21"/>
  <c r="S78" i="17"/>
  <c r="Q78" i="17"/>
  <c r="O78" i="17"/>
  <c r="R78" i="17"/>
  <c r="P78" i="17"/>
  <c r="J67" i="11"/>
  <c r="J64" i="11"/>
  <c r="J67" i="9"/>
  <c r="J64" i="9"/>
  <c r="K64" i="27"/>
  <c r="J62" i="27"/>
  <c r="K62" i="27" s="1"/>
  <c r="K67" i="23"/>
  <c r="J68" i="23"/>
  <c r="K65" i="11"/>
  <c r="T65" i="11" s="1"/>
  <c r="U65" i="11" s="1"/>
  <c r="X78" i="11"/>
  <c r="W78" i="11"/>
  <c r="Y78" i="11"/>
  <c r="P78" i="24"/>
  <c r="Q78" i="24"/>
  <c r="O78" i="24"/>
  <c r="R78" i="24"/>
  <c r="S78" i="24"/>
  <c r="Y78" i="22"/>
  <c r="W78" i="22"/>
  <c r="X78" i="22"/>
  <c r="V65" i="16"/>
  <c r="W66" i="16" s="1"/>
  <c r="J67" i="22"/>
  <c r="J67" i="21"/>
  <c r="K65" i="9"/>
  <c r="T65" i="9" s="1"/>
  <c r="U65" i="9" s="1"/>
  <c r="J56" i="10"/>
  <c r="J55" i="10" s="1"/>
  <c r="K55" i="10" s="1"/>
  <c r="J56" i="23"/>
  <c r="J55" i="23" s="1"/>
  <c r="K55" i="23" s="1"/>
  <c r="J67" i="24"/>
  <c r="K65" i="24"/>
  <c r="K65" i="26"/>
  <c r="T65" i="26" s="1"/>
  <c r="U65" i="26" s="1"/>
  <c r="K65" i="14"/>
  <c r="K65" i="20"/>
  <c r="J67" i="20"/>
  <c r="J67" i="12"/>
  <c r="K65" i="12"/>
  <c r="J67" i="17"/>
  <c r="K65" i="17"/>
  <c r="V63" i="13"/>
  <c r="V62" i="13"/>
  <c r="K65" i="18"/>
  <c r="J67" i="18"/>
  <c r="K67" i="18" s="1"/>
  <c r="J67" i="13"/>
  <c r="K65" i="13"/>
  <c r="V66" i="27"/>
  <c r="V65" i="27"/>
  <c r="V66" i="22"/>
  <c r="K65" i="10"/>
  <c r="J67" i="10"/>
  <c r="J67" i="4"/>
  <c r="K65" i="4"/>
  <c r="T65" i="25"/>
  <c r="U65" i="25" s="1"/>
  <c r="L62" i="17"/>
  <c r="M62" i="17" s="1"/>
  <c r="N65" i="27" l="1"/>
  <c r="H16" i="3"/>
  <c r="H15" i="3"/>
  <c r="V65" i="21"/>
  <c r="K67" i="17"/>
  <c r="J68" i="17"/>
  <c r="T62" i="4"/>
  <c r="U62" i="4" s="1"/>
  <c r="L62" i="4"/>
  <c r="M62" i="4" s="1"/>
  <c r="K64" i="16"/>
  <c r="J62" i="16"/>
  <c r="K64" i="26"/>
  <c r="J62" i="26"/>
  <c r="K68" i="23"/>
  <c r="J70" i="23"/>
  <c r="K70" i="23" s="1"/>
  <c r="K67" i="16"/>
  <c r="L65" i="16" s="1"/>
  <c r="M65" i="16" s="1"/>
  <c r="J68" i="16"/>
  <c r="K67" i="26"/>
  <c r="J68" i="26"/>
  <c r="T62" i="20"/>
  <c r="U62" i="20" s="1"/>
  <c r="L62" i="20"/>
  <c r="M62" i="20" s="1"/>
  <c r="K62" i="10"/>
  <c r="K64" i="14"/>
  <c r="J62" i="14"/>
  <c r="K62" i="14" s="1"/>
  <c r="K67" i="12"/>
  <c r="L65" i="12" s="1"/>
  <c r="M65" i="12" s="1"/>
  <c r="J68" i="12"/>
  <c r="K68" i="12" s="1"/>
  <c r="K67" i="21"/>
  <c r="L65" i="21" s="1"/>
  <c r="M65" i="21" s="1"/>
  <c r="N66" i="21" s="1"/>
  <c r="J68" i="21"/>
  <c r="T62" i="27"/>
  <c r="U62" i="27" s="1"/>
  <c r="L62" i="27"/>
  <c r="M62" i="27" s="1"/>
  <c r="X66" i="16"/>
  <c r="K67" i="4"/>
  <c r="J68" i="4"/>
  <c r="K67" i="13"/>
  <c r="J68" i="13"/>
  <c r="N63" i="13"/>
  <c r="Q63" i="13" s="1"/>
  <c r="K67" i="22"/>
  <c r="L65" i="22" s="1"/>
  <c r="M65" i="22" s="1"/>
  <c r="J68" i="22"/>
  <c r="K64" i="21"/>
  <c r="J62" i="21"/>
  <c r="K62" i="21" s="1"/>
  <c r="K62" i="24"/>
  <c r="K67" i="14"/>
  <c r="L65" i="14" s="1"/>
  <c r="M65" i="14" s="1"/>
  <c r="J68" i="14"/>
  <c r="K67" i="24"/>
  <c r="J68" i="24"/>
  <c r="K64" i="25"/>
  <c r="J62" i="25"/>
  <c r="K62" i="25" s="1"/>
  <c r="K67" i="20"/>
  <c r="L65" i="20" s="1"/>
  <c r="M65" i="20" s="1"/>
  <c r="J68" i="20"/>
  <c r="Y66" i="16"/>
  <c r="K67" i="10"/>
  <c r="L65" i="10" s="1"/>
  <c r="M65" i="10" s="1"/>
  <c r="J68" i="10"/>
  <c r="K64" i="9"/>
  <c r="J62" i="9"/>
  <c r="K62" i="9" s="1"/>
  <c r="L62" i="18"/>
  <c r="M62" i="18" s="1"/>
  <c r="T62" i="18"/>
  <c r="U62" i="18" s="1"/>
  <c r="K62" i="12"/>
  <c r="K68" i="27"/>
  <c r="J70" i="27"/>
  <c r="K70" i="27" s="1"/>
  <c r="K67" i="25"/>
  <c r="L65" i="25" s="1"/>
  <c r="M65" i="25" s="1"/>
  <c r="N66" i="25" s="1"/>
  <c r="J68" i="25"/>
  <c r="T68" i="8"/>
  <c r="U68" i="8" s="1"/>
  <c r="K67" i="9"/>
  <c r="L65" i="9" s="1"/>
  <c r="M65" i="9" s="1"/>
  <c r="J68" i="9"/>
  <c r="K64" i="11"/>
  <c r="J62" i="11"/>
  <c r="K62" i="11" s="1"/>
  <c r="K64" i="22"/>
  <c r="J62" i="22"/>
  <c r="K62" i="22" s="1"/>
  <c r="K67" i="11"/>
  <c r="L65" i="11" s="1"/>
  <c r="M65" i="11" s="1"/>
  <c r="N65" i="11" s="1"/>
  <c r="J68" i="11"/>
  <c r="J56" i="8"/>
  <c r="J56" i="16"/>
  <c r="J56" i="25"/>
  <c r="J56" i="12"/>
  <c r="J56" i="11"/>
  <c r="J58" i="23"/>
  <c r="K56" i="23"/>
  <c r="J56" i="13"/>
  <c r="J56" i="24"/>
  <c r="J58" i="10"/>
  <c r="K56" i="10"/>
  <c r="J56" i="9"/>
  <c r="L65" i="24"/>
  <c r="M65" i="24" s="1"/>
  <c r="L65" i="26"/>
  <c r="M65" i="26" s="1"/>
  <c r="N65" i="26" s="1"/>
  <c r="T65" i="14"/>
  <c r="U65" i="14" s="1"/>
  <c r="T65" i="13"/>
  <c r="U65" i="13" s="1"/>
  <c r="L65" i="13"/>
  <c r="M65" i="13" s="1"/>
  <c r="Y66" i="27"/>
  <c r="X66" i="27"/>
  <c r="W66" i="27"/>
  <c r="T65" i="10"/>
  <c r="U65" i="10" s="1"/>
  <c r="L65" i="18"/>
  <c r="M65" i="18" s="1"/>
  <c r="T65" i="18"/>
  <c r="U65" i="18" s="1"/>
  <c r="T65" i="12"/>
  <c r="U65" i="12" s="1"/>
  <c r="Y66" i="21"/>
  <c r="X66" i="21"/>
  <c r="W66" i="21"/>
  <c r="N63" i="17"/>
  <c r="N62" i="17"/>
  <c r="T65" i="17"/>
  <c r="U65" i="17" s="1"/>
  <c r="L65" i="17"/>
  <c r="M65" i="17" s="1"/>
  <c r="V65" i="25"/>
  <c r="V66" i="25"/>
  <c r="V65" i="9"/>
  <c r="V66" i="9"/>
  <c r="W66" i="22"/>
  <c r="Y66" i="22"/>
  <c r="X66" i="22"/>
  <c r="V65" i="26"/>
  <c r="V66" i="26"/>
  <c r="W63" i="13"/>
  <c r="Y63" i="13"/>
  <c r="X63" i="13"/>
  <c r="T65" i="20"/>
  <c r="U65" i="20" s="1"/>
  <c r="S63" i="13"/>
  <c r="O63" i="13"/>
  <c r="O66" i="27"/>
  <c r="Q66" i="27"/>
  <c r="R66" i="27"/>
  <c r="P66" i="27"/>
  <c r="S66" i="27"/>
  <c r="V62" i="17"/>
  <c r="V63" i="17"/>
  <c r="V65" i="11"/>
  <c r="V66" i="11"/>
  <c r="T65" i="4"/>
  <c r="U65" i="4" s="1"/>
  <c r="L65" i="4"/>
  <c r="M65" i="4" s="1"/>
  <c r="P63" i="13" l="1"/>
  <c r="R63" i="13"/>
  <c r="N65" i="25"/>
  <c r="N65" i="9"/>
  <c r="N66" i="9"/>
  <c r="K68" i="21"/>
  <c r="J70" i="21"/>
  <c r="K70" i="21" s="1"/>
  <c r="K68" i="16"/>
  <c r="J70" i="16"/>
  <c r="K70" i="16" s="1"/>
  <c r="J55" i="12"/>
  <c r="K55" i="12" s="1"/>
  <c r="T62" i="22"/>
  <c r="U62" i="22" s="1"/>
  <c r="L62" i="22"/>
  <c r="M62" i="22" s="1"/>
  <c r="L68" i="27"/>
  <c r="M68" i="27" s="1"/>
  <c r="T68" i="27"/>
  <c r="U68" i="27" s="1"/>
  <c r="N66" i="16"/>
  <c r="N65" i="16"/>
  <c r="K68" i="22"/>
  <c r="J70" i="22"/>
  <c r="K70" i="22" s="1"/>
  <c r="T68" i="12"/>
  <c r="U68" i="12" s="1"/>
  <c r="K58" i="10"/>
  <c r="J59" i="10"/>
  <c r="J55" i="25"/>
  <c r="K55" i="25" s="1"/>
  <c r="L62" i="11"/>
  <c r="M62" i="11" s="1"/>
  <c r="T62" i="11"/>
  <c r="U62" i="11" s="1"/>
  <c r="T62" i="25"/>
  <c r="U62" i="25" s="1"/>
  <c r="L62" i="25"/>
  <c r="M62" i="25" s="1"/>
  <c r="N65" i="22"/>
  <c r="N66" i="22"/>
  <c r="T68" i="23"/>
  <c r="U68" i="23" s="1"/>
  <c r="L68" i="23"/>
  <c r="M68" i="23" s="1"/>
  <c r="L62" i="12"/>
  <c r="M62" i="12" s="1"/>
  <c r="T62" i="12"/>
  <c r="U62" i="12" s="1"/>
  <c r="J55" i="24"/>
  <c r="K55" i="24" s="1"/>
  <c r="V62" i="18"/>
  <c r="V63" i="18"/>
  <c r="L62" i="14"/>
  <c r="M62" i="14" s="1"/>
  <c r="T62" i="14"/>
  <c r="U62" i="14" s="1"/>
  <c r="K62" i="26"/>
  <c r="K68" i="20"/>
  <c r="J70" i="20"/>
  <c r="K70" i="20" s="1"/>
  <c r="J55" i="16"/>
  <c r="K55" i="16" s="1"/>
  <c r="K68" i="9"/>
  <c r="J70" i="9"/>
  <c r="K70" i="9" s="1"/>
  <c r="N62" i="18"/>
  <c r="N63" i="18"/>
  <c r="K68" i="24"/>
  <c r="J70" i="24"/>
  <c r="K70" i="24" s="1"/>
  <c r="K68" i="13"/>
  <c r="J70" i="13"/>
  <c r="K70" i="13" s="1"/>
  <c r="L62" i="21"/>
  <c r="M62" i="21" s="1"/>
  <c r="T62" i="21"/>
  <c r="U62" i="21" s="1"/>
  <c r="N66" i="11"/>
  <c r="J55" i="13"/>
  <c r="K55" i="13" s="1"/>
  <c r="T62" i="9"/>
  <c r="U62" i="9" s="1"/>
  <c r="L62" i="9"/>
  <c r="M62" i="9" s="1"/>
  <c r="L62" i="10"/>
  <c r="M62" i="10" s="1"/>
  <c r="T62" i="10"/>
  <c r="U62" i="10" s="1"/>
  <c r="K62" i="16"/>
  <c r="K68" i="4"/>
  <c r="J70" i="4"/>
  <c r="K70" i="4" s="1"/>
  <c r="J55" i="8"/>
  <c r="K55" i="8" s="1"/>
  <c r="N66" i="26"/>
  <c r="V69" i="8"/>
  <c r="V68" i="8"/>
  <c r="K68" i="10"/>
  <c r="J70" i="10"/>
  <c r="K70" i="10" s="1"/>
  <c r="K68" i="14"/>
  <c r="J70" i="14"/>
  <c r="K70" i="14" s="1"/>
  <c r="N63" i="20"/>
  <c r="N62" i="20"/>
  <c r="N63" i="4"/>
  <c r="N62" i="4"/>
  <c r="K58" i="23"/>
  <c r="L56" i="23" s="1"/>
  <c r="M56" i="23" s="1"/>
  <c r="J59" i="23"/>
  <c r="V62" i="20"/>
  <c r="V63" i="20"/>
  <c r="V63" i="4"/>
  <c r="V62" i="4"/>
  <c r="N65" i="21"/>
  <c r="K68" i="25"/>
  <c r="J70" i="25"/>
  <c r="K70" i="25" s="1"/>
  <c r="L62" i="24"/>
  <c r="M62" i="24" s="1"/>
  <c r="N62" i="27"/>
  <c r="N63" i="27"/>
  <c r="K68" i="26"/>
  <c r="J70" i="26"/>
  <c r="K70" i="26" s="1"/>
  <c r="K68" i="17"/>
  <c r="J70" i="17"/>
  <c r="K70" i="17" s="1"/>
  <c r="J55" i="9"/>
  <c r="K55" i="9" s="1"/>
  <c r="J55" i="11"/>
  <c r="K55" i="11" s="1"/>
  <c r="K68" i="11"/>
  <c r="J70" i="11"/>
  <c r="K70" i="11" s="1"/>
  <c r="V62" i="27"/>
  <c r="V63" i="27"/>
  <c r="J52" i="23"/>
  <c r="J58" i="9"/>
  <c r="K56" i="9"/>
  <c r="J58" i="11"/>
  <c r="K56" i="11"/>
  <c r="T56" i="10"/>
  <c r="U56" i="10" s="1"/>
  <c r="L56" i="10"/>
  <c r="M56" i="10" s="1"/>
  <c r="J58" i="12"/>
  <c r="K56" i="12"/>
  <c r="J52" i="10"/>
  <c r="J58" i="25"/>
  <c r="K56" i="25"/>
  <c r="K56" i="24"/>
  <c r="J58" i="24"/>
  <c r="J58" i="16"/>
  <c r="K56" i="16"/>
  <c r="J56" i="26"/>
  <c r="K56" i="13"/>
  <c r="J58" i="13"/>
  <c r="J58" i="8"/>
  <c r="K56" i="8"/>
  <c r="T56" i="23"/>
  <c r="U56" i="23" s="1"/>
  <c r="N65" i="14"/>
  <c r="N66" i="14"/>
  <c r="V65" i="14"/>
  <c r="V66" i="14"/>
  <c r="N66" i="24"/>
  <c r="N65" i="24"/>
  <c r="N66" i="4"/>
  <c r="N65" i="4"/>
  <c r="O66" i="11"/>
  <c r="R66" i="11"/>
  <c r="P66" i="11"/>
  <c r="Q66" i="11"/>
  <c r="S66" i="11"/>
  <c r="N66" i="17"/>
  <c r="N65" i="17"/>
  <c r="J49" i="11"/>
  <c r="V66" i="17"/>
  <c r="V65" i="17"/>
  <c r="V65" i="12"/>
  <c r="V66" i="12"/>
  <c r="J49" i="24"/>
  <c r="V65" i="4"/>
  <c r="V66" i="4"/>
  <c r="N65" i="12"/>
  <c r="N66" i="12"/>
  <c r="X66" i="11"/>
  <c r="Y66" i="11"/>
  <c r="W66" i="11"/>
  <c r="Q66" i="25"/>
  <c r="R66" i="25"/>
  <c r="P66" i="25"/>
  <c r="O66" i="25"/>
  <c r="S66" i="25"/>
  <c r="R66" i="26"/>
  <c r="Q66" i="26"/>
  <c r="O66" i="26"/>
  <c r="S66" i="26"/>
  <c r="P66" i="26"/>
  <c r="W66" i="25"/>
  <c r="X66" i="25"/>
  <c r="Y66" i="25"/>
  <c r="V65" i="18"/>
  <c r="V66" i="18"/>
  <c r="J49" i="13"/>
  <c r="V66" i="20"/>
  <c r="V65" i="20"/>
  <c r="W66" i="9"/>
  <c r="X66" i="9"/>
  <c r="Y66" i="9"/>
  <c r="N66" i="18"/>
  <c r="N65" i="18"/>
  <c r="N65" i="13"/>
  <c r="N66" i="13"/>
  <c r="N66" i="20"/>
  <c r="N65" i="20"/>
  <c r="J49" i="9"/>
  <c r="V66" i="13"/>
  <c r="V65" i="13"/>
  <c r="Y66" i="26"/>
  <c r="W66" i="26"/>
  <c r="X66" i="26"/>
  <c r="J49" i="8"/>
  <c r="S63" i="17"/>
  <c r="R63" i="17"/>
  <c r="O63" i="17"/>
  <c r="P63" i="17"/>
  <c r="Q63" i="17"/>
  <c r="V65" i="10"/>
  <c r="V66" i="10"/>
  <c r="J49" i="16"/>
  <c r="N65" i="10"/>
  <c r="N66" i="10"/>
  <c r="S66" i="9"/>
  <c r="P66" i="9"/>
  <c r="Q66" i="9"/>
  <c r="O66" i="9"/>
  <c r="R66" i="9"/>
  <c r="J49" i="12"/>
  <c r="W63" i="17"/>
  <c r="X63" i="17"/>
  <c r="Y63" i="17"/>
  <c r="J49" i="25"/>
  <c r="K52" i="23" l="1"/>
  <c r="J53" i="23"/>
  <c r="K53" i="23" s="1"/>
  <c r="K52" i="10"/>
  <c r="J53" i="10"/>
  <c r="K53" i="10" s="1"/>
  <c r="X63" i="4"/>
  <c r="W63" i="4"/>
  <c r="Y63" i="4"/>
  <c r="K58" i="25"/>
  <c r="J59" i="25"/>
  <c r="L68" i="10"/>
  <c r="M68" i="10" s="1"/>
  <c r="T68" i="10"/>
  <c r="U68" i="10" s="1"/>
  <c r="N63" i="9"/>
  <c r="N62" i="9"/>
  <c r="S63" i="18"/>
  <c r="R63" i="18"/>
  <c r="P63" i="18"/>
  <c r="O63" i="18"/>
  <c r="Q63" i="18"/>
  <c r="Y63" i="18"/>
  <c r="X63" i="18"/>
  <c r="W63" i="18"/>
  <c r="N63" i="11"/>
  <c r="N62" i="11"/>
  <c r="N68" i="27"/>
  <c r="N69" i="27"/>
  <c r="K49" i="9"/>
  <c r="J50" i="9"/>
  <c r="K50" i="9" s="1"/>
  <c r="K49" i="11"/>
  <c r="J50" i="11"/>
  <c r="K50" i="11" s="1"/>
  <c r="T68" i="17"/>
  <c r="U68" i="17" s="1"/>
  <c r="L68" i="17"/>
  <c r="M68" i="17" s="1"/>
  <c r="Y69" i="8"/>
  <c r="W69" i="8"/>
  <c r="X69" i="8"/>
  <c r="V62" i="9"/>
  <c r="V63" i="9"/>
  <c r="J52" i="24"/>
  <c r="J52" i="25"/>
  <c r="N63" i="22"/>
  <c r="N62" i="22"/>
  <c r="N63" i="10"/>
  <c r="N62" i="10"/>
  <c r="K58" i="8"/>
  <c r="J59" i="8"/>
  <c r="K59" i="8" s="1"/>
  <c r="X63" i="20"/>
  <c r="Y63" i="20"/>
  <c r="W63" i="20"/>
  <c r="J52" i="13"/>
  <c r="T68" i="9"/>
  <c r="U68" i="9" s="1"/>
  <c r="L68" i="9"/>
  <c r="M68" i="9" s="1"/>
  <c r="V63" i="22"/>
  <c r="V62" i="22"/>
  <c r="K49" i="25"/>
  <c r="J50" i="25"/>
  <c r="K50" i="25" s="1"/>
  <c r="K49" i="13"/>
  <c r="J50" i="13"/>
  <c r="K50" i="13" s="1"/>
  <c r="T50" i="13" s="1"/>
  <c r="U50" i="13" s="1"/>
  <c r="K58" i="13"/>
  <c r="L56" i="13" s="1"/>
  <c r="M56" i="13" s="1"/>
  <c r="J59" i="13"/>
  <c r="L68" i="26"/>
  <c r="M68" i="26" s="1"/>
  <c r="T68" i="26"/>
  <c r="U68" i="26" s="1"/>
  <c r="K59" i="23"/>
  <c r="J61" i="23"/>
  <c r="K61" i="23" s="1"/>
  <c r="J52" i="16"/>
  <c r="V62" i="12"/>
  <c r="V63" i="12"/>
  <c r="K59" i="10"/>
  <c r="J61" i="10"/>
  <c r="K61" i="10" s="1"/>
  <c r="V63" i="11"/>
  <c r="V62" i="11"/>
  <c r="J52" i="8"/>
  <c r="N62" i="12"/>
  <c r="N63" i="12"/>
  <c r="J52" i="12"/>
  <c r="K49" i="12"/>
  <c r="J50" i="12"/>
  <c r="K50" i="12" s="1"/>
  <c r="K49" i="8"/>
  <c r="J50" i="8"/>
  <c r="K50" i="8" s="1"/>
  <c r="T50" i="8" s="1"/>
  <c r="U50" i="8" s="1"/>
  <c r="J55" i="26"/>
  <c r="K55" i="26" s="1"/>
  <c r="K58" i="12"/>
  <c r="L56" i="12" s="1"/>
  <c r="M56" i="12" s="1"/>
  <c r="J59" i="12"/>
  <c r="Y63" i="27"/>
  <c r="X63" i="27"/>
  <c r="W63" i="27"/>
  <c r="R63" i="27"/>
  <c r="Q63" i="27"/>
  <c r="S63" i="27"/>
  <c r="P63" i="27"/>
  <c r="O63" i="27"/>
  <c r="S63" i="4"/>
  <c r="O63" i="4"/>
  <c r="Q63" i="4"/>
  <c r="P63" i="4"/>
  <c r="R63" i="4"/>
  <c r="V62" i="21"/>
  <c r="V63" i="21"/>
  <c r="N68" i="23"/>
  <c r="N69" i="23"/>
  <c r="V69" i="12"/>
  <c r="V68" i="12"/>
  <c r="K49" i="16"/>
  <c r="J50" i="16"/>
  <c r="K50" i="16" s="1"/>
  <c r="T50" i="16" s="1"/>
  <c r="U50" i="16" s="1"/>
  <c r="N62" i="24"/>
  <c r="N63" i="24"/>
  <c r="N63" i="21"/>
  <c r="N62" i="21"/>
  <c r="T68" i="20"/>
  <c r="U68" i="20" s="1"/>
  <c r="L68" i="20"/>
  <c r="M68" i="20" s="1"/>
  <c r="V69" i="23"/>
  <c r="V68" i="23"/>
  <c r="T68" i="16"/>
  <c r="U68" i="16" s="1"/>
  <c r="L68" i="16"/>
  <c r="M68" i="16" s="1"/>
  <c r="V68" i="27"/>
  <c r="V69" i="27"/>
  <c r="K49" i="24"/>
  <c r="J50" i="24"/>
  <c r="K50" i="24" s="1"/>
  <c r="L68" i="11"/>
  <c r="M68" i="11" s="1"/>
  <c r="T68" i="11"/>
  <c r="U68" i="11" s="1"/>
  <c r="O63" i="20"/>
  <c r="P63" i="20"/>
  <c r="Q63" i="20"/>
  <c r="R63" i="20"/>
  <c r="S63" i="20"/>
  <c r="J17" i="3"/>
  <c r="I17" i="3" s="1"/>
  <c r="G17" i="3" s="1"/>
  <c r="L68" i="4"/>
  <c r="M68" i="4" s="1"/>
  <c r="T68" i="4"/>
  <c r="U68" i="4" s="1"/>
  <c r="J18" i="3"/>
  <c r="I18" i="3" s="1"/>
  <c r="G18" i="3" s="1"/>
  <c r="T62" i="26"/>
  <c r="U62" i="26" s="1"/>
  <c r="L62" i="26"/>
  <c r="M62" i="26" s="1"/>
  <c r="K58" i="16"/>
  <c r="L56" i="16" s="1"/>
  <c r="M56" i="16" s="1"/>
  <c r="J59" i="16"/>
  <c r="J52" i="11"/>
  <c r="L62" i="16"/>
  <c r="M62" i="16" s="1"/>
  <c r="T62" i="16"/>
  <c r="U62" i="16" s="1"/>
  <c r="T68" i="13"/>
  <c r="U68" i="13" s="1"/>
  <c r="L68" i="13"/>
  <c r="M68" i="13" s="1"/>
  <c r="P66" i="22"/>
  <c r="O66" i="22"/>
  <c r="Q66" i="22"/>
  <c r="S66" i="22"/>
  <c r="R66" i="22"/>
  <c r="T68" i="22"/>
  <c r="U68" i="22" s="1"/>
  <c r="L68" i="22"/>
  <c r="M68" i="22" s="1"/>
  <c r="L68" i="21"/>
  <c r="M68" i="21" s="1"/>
  <c r="T68" i="21"/>
  <c r="U68" i="21" s="1"/>
  <c r="K58" i="24"/>
  <c r="J59" i="24"/>
  <c r="K58" i="11"/>
  <c r="L56" i="11" s="1"/>
  <c r="M56" i="11" s="1"/>
  <c r="J59" i="11"/>
  <c r="T68" i="25"/>
  <c r="U68" i="25" s="1"/>
  <c r="L68" i="25"/>
  <c r="M68" i="25" s="1"/>
  <c r="V62" i="14"/>
  <c r="V63" i="14"/>
  <c r="N62" i="25"/>
  <c r="N63" i="25"/>
  <c r="P66" i="16"/>
  <c r="Q66" i="16"/>
  <c r="O66" i="16"/>
  <c r="S66" i="16"/>
  <c r="R66" i="16"/>
  <c r="K58" i="9"/>
  <c r="L56" i="9" s="1"/>
  <c r="M56" i="9" s="1"/>
  <c r="J59" i="9"/>
  <c r="J52" i="9"/>
  <c r="O66" i="21"/>
  <c r="R66" i="21"/>
  <c r="Q66" i="21"/>
  <c r="P66" i="21"/>
  <c r="S66" i="21"/>
  <c r="T68" i="14"/>
  <c r="U68" i="14" s="1"/>
  <c r="L68" i="14"/>
  <c r="M68" i="14" s="1"/>
  <c r="V63" i="10"/>
  <c r="V62" i="10"/>
  <c r="L68" i="24"/>
  <c r="M68" i="24" s="1"/>
  <c r="N63" i="14"/>
  <c r="N62" i="14"/>
  <c r="V62" i="25"/>
  <c r="V63" i="25"/>
  <c r="J56" i="21"/>
  <c r="L53" i="10"/>
  <c r="M53" i="10" s="1"/>
  <c r="T53" i="10"/>
  <c r="U53" i="10" s="1"/>
  <c r="T56" i="13"/>
  <c r="U56" i="13" s="1"/>
  <c r="T56" i="12"/>
  <c r="U56" i="12" s="1"/>
  <c r="J58" i="26"/>
  <c r="K56" i="26"/>
  <c r="J56" i="14"/>
  <c r="N56" i="10"/>
  <c r="N57" i="10"/>
  <c r="J56" i="27"/>
  <c r="T56" i="16"/>
  <c r="U56" i="16" s="1"/>
  <c r="V57" i="10"/>
  <c r="V56" i="10"/>
  <c r="T56" i="11"/>
  <c r="U56" i="11" s="1"/>
  <c r="J56" i="20"/>
  <c r="J56" i="18"/>
  <c r="J56" i="4"/>
  <c r="L56" i="24"/>
  <c r="M56" i="24" s="1"/>
  <c r="T56" i="9"/>
  <c r="U56" i="9" s="1"/>
  <c r="N57" i="23"/>
  <c r="N56" i="23"/>
  <c r="T56" i="25"/>
  <c r="U56" i="25" s="1"/>
  <c r="L56" i="25"/>
  <c r="M56" i="25" s="1"/>
  <c r="V57" i="23"/>
  <c r="V56" i="23"/>
  <c r="L53" i="23"/>
  <c r="M53" i="23" s="1"/>
  <c r="T53" i="23"/>
  <c r="U53" i="23" s="1"/>
  <c r="L56" i="8"/>
  <c r="M56" i="8" s="1"/>
  <c r="T56" i="8"/>
  <c r="U56" i="8" s="1"/>
  <c r="J49" i="10"/>
  <c r="J56" i="17"/>
  <c r="J56" i="22"/>
  <c r="J49" i="23"/>
  <c r="R66" i="24"/>
  <c r="P66" i="24"/>
  <c r="S66" i="24"/>
  <c r="Q66" i="24"/>
  <c r="O66" i="24"/>
  <c r="W66" i="14"/>
  <c r="Y66" i="14"/>
  <c r="X66" i="14"/>
  <c r="O66" i="14"/>
  <c r="Q66" i="14"/>
  <c r="S66" i="14"/>
  <c r="P66" i="14"/>
  <c r="R66" i="14"/>
  <c r="J49" i="26"/>
  <c r="T50" i="25"/>
  <c r="U50" i="25" s="1"/>
  <c r="X66" i="20"/>
  <c r="W66" i="20"/>
  <c r="Y66" i="20"/>
  <c r="P66" i="17"/>
  <c r="R66" i="17"/>
  <c r="O66" i="17"/>
  <c r="Q66" i="17"/>
  <c r="S66" i="17"/>
  <c r="X66" i="4"/>
  <c r="W66" i="4"/>
  <c r="Y66" i="4"/>
  <c r="S66" i="13"/>
  <c r="P66" i="13"/>
  <c r="O66" i="13"/>
  <c r="R66" i="13"/>
  <c r="Q66" i="13"/>
  <c r="W66" i="18"/>
  <c r="Y66" i="18"/>
  <c r="X66" i="18"/>
  <c r="X66" i="10"/>
  <c r="Y66" i="10"/>
  <c r="W66" i="10"/>
  <c r="S66" i="10"/>
  <c r="R66" i="10"/>
  <c r="O66" i="10"/>
  <c r="Q66" i="10"/>
  <c r="P66" i="10"/>
  <c r="T50" i="9"/>
  <c r="U50" i="9" s="1"/>
  <c r="O66" i="12"/>
  <c r="Q66" i="12"/>
  <c r="P66" i="12"/>
  <c r="S66" i="12"/>
  <c r="R66" i="12"/>
  <c r="X66" i="13"/>
  <c r="Y66" i="13"/>
  <c r="W66" i="13"/>
  <c r="R66" i="18"/>
  <c r="Q66" i="18"/>
  <c r="S66" i="18"/>
  <c r="O66" i="18"/>
  <c r="P66" i="18"/>
  <c r="S66" i="4"/>
  <c r="Q66" i="4"/>
  <c r="R66" i="4"/>
  <c r="P66" i="4"/>
  <c r="O66" i="4"/>
  <c r="Y66" i="17"/>
  <c r="X66" i="17"/>
  <c r="W66" i="17"/>
  <c r="S66" i="20"/>
  <c r="O66" i="20"/>
  <c r="Q66" i="20"/>
  <c r="P66" i="20"/>
  <c r="R66" i="20"/>
  <c r="X66" i="12"/>
  <c r="Y66" i="12"/>
  <c r="W66" i="12"/>
  <c r="T50" i="11"/>
  <c r="U50" i="11" s="1"/>
  <c r="K52" i="11" l="1"/>
  <c r="L50" i="11" s="1"/>
  <c r="M50" i="11" s="1"/>
  <c r="J53" i="11"/>
  <c r="K53" i="11" s="1"/>
  <c r="K52" i="16"/>
  <c r="L50" i="16" s="1"/>
  <c r="M50" i="16" s="1"/>
  <c r="N51" i="16" s="1"/>
  <c r="J53" i="16"/>
  <c r="K53" i="16" s="1"/>
  <c r="K52" i="12"/>
  <c r="L50" i="12" s="1"/>
  <c r="M50" i="12" s="1"/>
  <c r="J53" i="12"/>
  <c r="K53" i="12" s="1"/>
  <c r="K52" i="25"/>
  <c r="L50" i="25" s="1"/>
  <c r="M50" i="25" s="1"/>
  <c r="J53" i="25"/>
  <c r="K53" i="25" s="1"/>
  <c r="L53" i="25" s="1"/>
  <c r="M53" i="25" s="1"/>
  <c r="K52" i="8"/>
  <c r="L50" i="8" s="1"/>
  <c r="M50" i="8" s="1"/>
  <c r="J53" i="8"/>
  <c r="K53" i="8" s="1"/>
  <c r="L53" i="8" s="1"/>
  <c r="M53" i="8" s="1"/>
  <c r="K52" i="13"/>
  <c r="L50" i="13" s="1"/>
  <c r="M50" i="13" s="1"/>
  <c r="J53" i="13"/>
  <c r="K53" i="13" s="1"/>
  <c r="L53" i="13" s="1"/>
  <c r="M53" i="13" s="1"/>
  <c r="K52" i="9"/>
  <c r="L50" i="9" s="1"/>
  <c r="M50" i="9" s="1"/>
  <c r="J53" i="9"/>
  <c r="K53" i="9" s="1"/>
  <c r="T53" i="9" s="1"/>
  <c r="U53" i="9" s="1"/>
  <c r="K52" i="24"/>
  <c r="L50" i="24" s="1"/>
  <c r="M50" i="24" s="1"/>
  <c r="J53" i="24"/>
  <c r="K53" i="24" s="1"/>
  <c r="L53" i="24" s="1"/>
  <c r="M53" i="24" s="1"/>
  <c r="T50" i="12"/>
  <c r="U50" i="12" s="1"/>
  <c r="J55" i="4"/>
  <c r="K55" i="4" s="1"/>
  <c r="J55" i="27"/>
  <c r="K55" i="27" s="1"/>
  <c r="W63" i="14"/>
  <c r="Y63" i="14"/>
  <c r="X63" i="14"/>
  <c r="N62" i="26"/>
  <c r="N63" i="26"/>
  <c r="N68" i="11"/>
  <c r="N69" i="11"/>
  <c r="K59" i="12"/>
  <c r="J61" i="12"/>
  <c r="K61" i="12" s="1"/>
  <c r="V68" i="26"/>
  <c r="V69" i="26"/>
  <c r="N68" i="24"/>
  <c r="N69" i="24"/>
  <c r="N68" i="25"/>
  <c r="N69" i="25"/>
  <c r="V62" i="26"/>
  <c r="V63" i="26"/>
  <c r="N69" i="26"/>
  <c r="N68" i="26"/>
  <c r="S63" i="12"/>
  <c r="Q63" i="12"/>
  <c r="P63" i="12"/>
  <c r="O63" i="12"/>
  <c r="R63" i="12"/>
  <c r="J55" i="18"/>
  <c r="K55" i="18" s="1"/>
  <c r="J55" i="21"/>
  <c r="K55" i="21" s="1"/>
  <c r="V69" i="25"/>
  <c r="V68" i="25"/>
  <c r="Q63" i="24"/>
  <c r="R63" i="24"/>
  <c r="S63" i="24"/>
  <c r="O63" i="24"/>
  <c r="P63" i="24"/>
  <c r="Y63" i="11"/>
  <c r="W63" i="11"/>
  <c r="X63" i="11"/>
  <c r="J61" i="13"/>
  <c r="K61" i="13" s="1"/>
  <c r="K59" i="13"/>
  <c r="O63" i="9"/>
  <c r="Q63" i="9"/>
  <c r="R63" i="9"/>
  <c r="S63" i="9"/>
  <c r="P63" i="9"/>
  <c r="L59" i="23"/>
  <c r="M59" i="23" s="1"/>
  <c r="T59" i="23"/>
  <c r="U59" i="23" s="1"/>
  <c r="J61" i="9"/>
  <c r="K61" i="9" s="1"/>
  <c r="K59" i="9"/>
  <c r="K49" i="23"/>
  <c r="J50" i="23"/>
  <c r="K50" i="23" s="1"/>
  <c r="T50" i="23" s="1"/>
  <c r="U50" i="23" s="1"/>
  <c r="Y63" i="10"/>
  <c r="X63" i="10"/>
  <c r="W63" i="10"/>
  <c r="K59" i="11"/>
  <c r="J61" i="11"/>
  <c r="K61" i="11" s="1"/>
  <c r="V69" i="4"/>
  <c r="V68" i="4"/>
  <c r="J52" i="26"/>
  <c r="S69" i="27"/>
  <c r="R69" i="27"/>
  <c r="O69" i="27"/>
  <c r="Q69" i="27"/>
  <c r="P69" i="27"/>
  <c r="R63" i="21"/>
  <c r="S63" i="21"/>
  <c r="P63" i="21"/>
  <c r="Q63" i="21"/>
  <c r="O63" i="21"/>
  <c r="J55" i="22"/>
  <c r="K55" i="22" s="1"/>
  <c r="J55" i="20"/>
  <c r="K55" i="20" s="1"/>
  <c r="J55" i="14"/>
  <c r="K55" i="14" s="1"/>
  <c r="N68" i="13"/>
  <c r="N69" i="13"/>
  <c r="N68" i="4"/>
  <c r="N69" i="4"/>
  <c r="W69" i="27"/>
  <c r="X69" i="27"/>
  <c r="Y69" i="27"/>
  <c r="Y63" i="9"/>
  <c r="X63" i="9"/>
  <c r="W63" i="9"/>
  <c r="S63" i="11"/>
  <c r="R63" i="11"/>
  <c r="Q63" i="11"/>
  <c r="O63" i="11"/>
  <c r="P63" i="11"/>
  <c r="V68" i="10"/>
  <c r="V69" i="10"/>
  <c r="N69" i="14"/>
  <c r="N68" i="14"/>
  <c r="K59" i="24"/>
  <c r="J61" i="24"/>
  <c r="K61" i="24" s="1"/>
  <c r="V69" i="13"/>
  <c r="V68" i="13"/>
  <c r="N68" i="16"/>
  <c r="N69" i="16"/>
  <c r="W69" i="12"/>
  <c r="Y69" i="12"/>
  <c r="X69" i="12"/>
  <c r="L59" i="10"/>
  <c r="M59" i="10" s="1"/>
  <c r="T59" i="10"/>
  <c r="U59" i="10" s="1"/>
  <c r="T59" i="8"/>
  <c r="U59" i="8" s="1"/>
  <c r="N69" i="10"/>
  <c r="N68" i="10"/>
  <c r="J55" i="17"/>
  <c r="K55" i="17" s="1"/>
  <c r="V69" i="14"/>
  <c r="V68" i="14"/>
  <c r="V62" i="16"/>
  <c r="V63" i="16"/>
  <c r="V68" i="16"/>
  <c r="V69" i="16"/>
  <c r="K59" i="25"/>
  <c r="J61" i="25"/>
  <c r="K61" i="25" s="1"/>
  <c r="K58" i="26"/>
  <c r="L56" i="26" s="1"/>
  <c r="M56" i="26" s="1"/>
  <c r="J59" i="26"/>
  <c r="V69" i="21"/>
  <c r="V68" i="21"/>
  <c r="N62" i="16"/>
  <c r="N63" i="16"/>
  <c r="W69" i="23"/>
  <c r="Y69" i="23"/>
  <c r="X69" i="23"/>
  <c r="W63" i="12"/>
  <c r="Y63" i="12"/>
  <c r="X63" i="12"/>
  <c r="S63" i="10"/>
  <c r="R63" i="10"/>
  <c r="Q63" i="10"/>
  <c r="P63" i="10"/>
  <c r="O63" i="10"/>
  <c r="V68" i="9"/>
  <c r="V69" i="9"/>
  <c r="N69" i="21"/>
  <c r="N68" i="21"/>
  <c r="Q69" i="23"/>
  <c r="P69" i="23"/>
  <c r="R69" i="23"/>
  <c r="S69" i="23"/>
  <c r="O69" i="23"/>
  <c r="T53" i="12"/>
  <c r="U53" i="12" s="1"/>
  <c r="L53" i="12"/>
  <c r="M53" i="12" s="1"/>
  <c r="Y63" i="22"/>
  <c r="W63" i="22"/>
  <c r="X63" i="22"/>
  <c r="N69" i="17"/>
  <c r="N68" i="17"/>
  <c r="S63" i="14"/>
  <c r="O63" i="14"/>
  <c r="P63" i="14"/>
  <c r="Q63" i="14"/>
  <c r="R63" i="14"/>
  <c r="K49" i="10"/>
  <c r="J50" i="10"/>
  <c r="K50" i="10" s="1"/>
  <c r="L50" i="10" s="1"/>
  <c r="M50" i="10" s="1"/>
  <c r="N69" i="22"/>
  <c r="N68" i="22"/>
  <c r="L53" i="11"/>
  <c r="M53" i="11" s="1"/>
  <c r="T53" i="11"/>
  <c r="U53" i="11" s="1"/>
  <c r="N68" i="20"/>
  <c r="N69" i="20"/>
  <c r="L53" i="16"/>
  <c r="M53" i="16" s="1"/>
  <c r="T53" i="16"/>
  <c r="U53" i="16" s="1"/>
  <c r="O63" i="22"/>
  <c r="Q63" i="22"/>
  <c r="R63" i="22"/>
  <c r="P63" i="22"/>
  <c r="S63" i="22"/>
  <c r="V68" i="17"/>
  <c r="V69" i="17"/>
  <c r="V68" i="11"/>
  <c r="V69" i="11"/>
  <c r="K49" i="26"/>
  <c r="J50" i="26"/>
  <c r="K50" i="26" s="1"/>
  <c r="T50" i="26" s="1"/>
  <c r="U50" i="26" s="1"/>
  <c r="W63" i="25"/>
  <c r="X63" i="25"/>
  <c r="Y63" i="25"/>
  <c r="P63" i="25"/>
  <c r="Q63" i="25"/>
  <c r="R63" i="25"/>
  <c r="O63" i="25"/>
  <c r="S63" i="25"/>
  <c r="V69" i="22"/>
  <c r="V68" i="22"/>
  <c r="K59" i="16"/>
  <c r="J61" i="16"/>
  <c r="K61" i="16" s="1"/>
  <c r="V69" i="20"/>
  <c r="V68" i="20"/>
  <c r="W63" i="21"/>
  <c r="Y63" i="21"/>
  <c r="X63" i="21"/>
  <c r="N68" i="9"/>
  <c r="N69" i="9"/>
  <c r="J40" i="16"/>
  <c r="K40" i="16" s="1"/>
  <c r="L38" i="16" s="1"/>
  <c r="M38" i="16" s="1"/>
  <c r="J40" i="12"/>
  <c r="K40" i="12" s="1"/>
  <c r="L38" i="12" s="1"/>
  <c r="M38" i="12" s="1"/>
  <c r="J40" i="11"/>
  <c r="K40" i="11" s="1"/>
  <c r="L38" i="11" s="1"/>
  <c r="M38" i="11" s="1"/>
  <c r="J40" i="9"/>
  <c r="K40" i="9" s="1"/>
  <c r="L38" i="9" s="1"/>
  <c r="M38" i="9" s="1"/>
  <c r="J40" i="25"/>
  <c r="K40" i="25" s="1"/>
  <c r="L38" i="25" s="1"/>
  <c r="M38" i="25" s="1"/>
  <c r="J40" i="24"/>
  <c r="K40" i="24" s="1"/>
  <c r="L38" i="24" s="1"/>
  <c r="M38" i="24" s="1"/>
  <c r="J40" i="13"/>
  <c r="K40" i="13" s="1"/>
  <c r="L38" i="13" s="1"/>
  <c r="M38" i="13" s="1"/>
  <c r="J40" i="8"/>
  <c r="K40" i="8" s="1"/>
  <c r="L38" i="8" s="1"/>
  <c r="M38" i="8" s="1"/>
  <c r="J47" i="25"/>
  <c r="J47" i="24"/>
  <c r="J47" i="12"/>
  <c r="J47" i="11"/>
  <c r="J47" i="13"/>
  <c r="J47" i="8"/>
  <c r="J47" i="9"/>
  <c r="J47" i="16"/>
  <c r="N56" i="25"/>
  <c r="N57" i="25"/>
  <c r="J58" i="20"/>
  <c r="K56" i="20"/>
  <c r="J58" i="14"/>
  <c r="K56" i="14"/>
  <c r="J58" i="17"/>
  <c r="K56" i="17"/>
  <c r="V56" i="25"/>
  <c r="V57" i="25"/>
  <c r="P57" i="23"/>
  <c r="O57" i="23"/>
  <c r="Q57" i="23"/>
  <c r="R57" i="23"/>
  <c r="S57" i="23"/>
  <c r="V56" i="11"/>
  <c r="V57" i="11"/>
  <c r="T56" i="26"/>
  <c r="U56" i="26" s="1"/>
  <c r="N56" i="11"/>
  <c r="N57" i="11"/>
  <c r="N57" i="9"/>
  <c r="N56" i="9"/>
  <c r="W57" i="10"/>
  <c r="X57" i="10"/>
  <c r="Y57" i="10"/>
  <c r="V57" i="12"/>
  <c r="V56" i="12"/>
  <c r="V57" i="9"/>
  <c r="V56" i="9"/>
  <c r="N57" i="12"/>
  <c r="N56" i="12"/>
  <c r="V57" i="8"/>
  <c r="V56" i="8"/>
  <c r="N56" i="16"/>
  <c r="N57" i="16"/>
  <c r="V57" i="13"/>
  <c r="V56" i="13"/>
  <c r="N57" i="8"/>
  <c r="N56" i="8"/>
  <c r="N56" i="24"/>
  <c r="N57" i="24"/>
  <c r="V56" i="16"/>
  <c r="V57" i="16"/>
  <c r="N56" i="13"/>
  <c r="N57" i="13"/>
  <c r="V53" i="23"/>
  <c r="V54" i="23"/>
  <c r="J58" i="4"/>
  <c r="K56" i="4"/>
  <c r="J58" i="27"/>
  <c r="K56" i="27"/>
  <c r="V53" i="10"/>
  <c r="V54" i="10"/>
  <c r="N53" i="23"/>
  <c r="N54" i="23"/>
  <c r="N53" i="10"/>
  <c r="N54" i="10"/>
  <c r="X57" i="23"/>
  <c r="W57" i="23"/>
  <c r="Y57" i="23"/>
  <c r="J58" i="18"/>
  <c r="K56" i="18"/>
  <c r="J58" i="21"/>
  <c r="K56" i="21"/>
  <c r="J58" i="22"/>
  <c r="K56" i="22"/>
  <c r="S57" i="10"/>
  <c r="P57" i="10"/>
  <c r="R57" i="10"/>
  <c r="Q57" i="10"/>
  <c r="O57" i="10"/>
  <c r="J49" i="4"/>
  <c r="J49" i="14"/>
  <c r="J49" i="20"/>
  <c r="J49" i="18"/>
  <c r="J49" i="22"/>
  <c r="V51" i="13"/>
  <c r="V50" i="13"/>
  <c r="J43" i="12"/>
  <c r="J43" i="25"/>
  <c r="J43" i="11"/>
  <c r="J43" i="16"/>
  <c r="J43" i="13"/>
  <c r="V50" i="12"/>
  <c r="V51" i="12"/>
  <c r="J49" i="17"/>
  <c r="J43" i="9"/>
  <c r="V51" i="9"/>
  <c r="V50" i="9"/>
  <c r="V50" i="16"/>
  <c r="V51" i="16"/>
  <c r="J49" i="27"/>
  <c r="N50" i="9"/>
  <c r="N51" i="9"/>
  <c r="J49" i="21"/>
  <c r="V51" i="11"/>
  <c r="V50" i="11"/>
  <c r="J43" i="24"/>
  <c r="N50" i="11"/>
  <c r="N51" i="11"/>
  <c r="V50" i="25"/>
  <c r="V51" i="25"/>
  <c r="V50" i="8"/>
  <c r="V51" i="8"/>
  <c r="J43" i="8"/>
  <c r="N50" i="16" l="1"/>
  <c r="N51" i="25"/>
  <c r="N50" i="25"/>
  <c r="T53" i="13"/>
  <c r="U53" i="13" s="1"/>
  <c r="L53" i="9"/>
  <c r="M53" i="9" s="1"/>
  <c r="N50" i="8"/>
  <c r="N51" i="8"/>
  <c r="T53" i="8"/>
  <c r="U53" i="8" s="1"/>
  <c r="N51" i="13"/>
  <c r="N50" i="13"/>
  <c r="N51" i="12"/>
  <c r="N50" i="12"/>
  <c r="N51" i="24"/>
  <c r="N50" i="24"/>
  <c r="K52" i="26"/>
  <c r="L50" i="26" s="1"/>
  <c r="M50" i="26" s="1"/>
  <c r="N50" i="26" s="1"/>
  <c r="J53" i="26"/>
  <c r="K53" i="26" s="1"/>
  <c r="L53" i="26" s="1"/>
  <c r="M53" i="26" s="1"/>
  <c r="T53" i="25"/>
  <c r="U53" i="25" s="1"/>
  <c r="L50" i="23"/>
  <c r="M50" i="23" s="1"/>
  <c r="T50" i="10"/>
  <c r="U50" i="10" s="1"/>
  <c r="X69" i="22"/>
  <c r="W69" i="22"/>
  <c r="Y69" i="22"/>
  <c r="P69" i="11"/>
  <c r="R69" i="11"/>
  <c r="Q69" i="11"/>
  <c r="S69" i="11"/>
  <c r="O69" i="11"/>
  <c r="K43" i="8"/>
  <c r="J44" i="8"/>
  <c r="K44" i="8" s="1"/>
  <c r="T44" i="8" s="1"/>
  <c r="U44" i="8" s="1"/>
  <c r="K43" i="11"/>
  <c r="J44" i="11"/>
  <c r="K44" i="11" s="1"/>
  <c r="K58" i="21"/>
  <c r="J59" i="21"/>
  <c r="K47" i="12"/>
  <c r="J46" i="12"/>
  <c r="K46" i="12" s="1"/>
  <c r="X69" i="11"/>
  <c r="Y69" i="11"/>
  <c r="W69" i="11"/>
  <c r="V53" i="11"/>
  <c r="V54" i="11"/>
  <c r="Y69" i="16"/>
  <c r="X69" i="16"/>
  <c r="W69" i="16"/>
  <c r="N59" i="10"/>
  <c r="N60" i="10"/>
  <c r="K49" i="22"/>
  <c r="J50" i="22"/>
  <c r="K50" i="22" s="1"/>
  <c r="P69" i="20"/>
  <c r="R69" i="20"/>
  <c r="O69" i="20"/>
  <c r="S69" i="20"/>
  <c r="Q69" i="20"/>
  <c r="N59" i="23"/>
  <c r="N60" i="23"/>
  <c r="K43" i="16"/>
  <c r="J44" i="16"/>
  <c r="K44" i="16" s="1"/>
  <c r="K49" i="18"/>
  <c r="J50" i="18"/>
  <c r="K50" i="18" s="1"/>
  <c r="K49" i="4"/>
  <c r="J50" i="4"/>
  <c r="K50" i="4" s="1"/>
  <c r="T50" i="4" s="1"/>
  <c r="U50" i="4" s="1"/>
  <c r="N54" i="11"/>
  <c r="N53" i="11"/>
  <c r="X69" i="10"/>
  <c r="Y69" i="10"/>
  <c r="W69" i="10"/>
  <c r="P69" i="25"/>
  <c r="Q69" i="25"/>
  <c r="R69" i="25"/>
  <c r="O69" i="25"/>
  <c r="S69" i="25"/>
  <c r="O63" i="26"/>
  <c r="S63" i="26"/>
  <c r="Q63" i="26"/>
  <c r="P63" i="26"/>
  <c r="R63" i="26"/>
  <c r="Q69" i="17"/>
  <c r="S69" i="17"/>
  <c r="O69" i="17"/>
  <c r="R69" i="17"/>
  <c r="P69" i="17"/>
  <c r="K58" i="18"/>
  <c r="J59" i="18"/>
  <c r="K47" i="16"/>
  <c r="L47" i="16" s="1"/>
  <c r="M47" i="16" s="1"/>
  <c r="J46" i="16"/>
  <c r="K46" i="16" s="1"/>
  <c r="L44" i="16" s="1"/>
  <c r="M44" i="16" s="1"/>
  <c r="K47" i="24"/>
  <c r="L47" i="24" s="1"/>
  <c r="M47" i="24" s="1"/>
  <c r="N48" i="24" s="1"/>
  <c r="J46" i="24"/>
  <c r="K46" i="24" s="1"/>
  <c r="X69" i="17"/>
  <c r="W69" i="17"/>
  <c r="Y69" i="17"/>
  <c r="O69" i="22"/>
  <c r="P69" i="22"/>
  <c r="R69" i="22"/>
  <c r="S69" i="22"/>
  <c r="Q69" i="22"/>
  <c r="W69" i="9"/>
  <c r="Y69" i="9"/>
  <c r="X69" i="9"/>
  <c r="Y63" i="16"/>
  <c r="W63" i="16"/>
  <c r="X63" i="16"/>
  <c r="P69" i="4"/>
  <c r="S69" i="4"/>
  <c r="R69" i="4"/>
  <c r="O69" i="4"/>
  <c r="Q69" i="4"/>
  <c r="T59" i="11"/>
  <c r="U59" i="11" s="1"/>
  <c r="L59" i="11"/>
  <c r="M59" i="11" s="1"/>
  <c r="K58" i="20"/>
  <c r="L56" i="20" s="1"/>
  <c r="M56" i="20" s="1"/>
  <c r="J59" i="20"/>
  <c r="V60" i="10"/>
  <c r="V59" i="10"/>
  <c r="X69" i="4"/>
  <c r="W69" i="4"/>
  <c r="Y69" i="4"/>
  <c r="K58" i="27"/>
  <c r="L56" i="27" s="1"/>
  <c r="M56" i="27" s="1"/>
  <c r="J59" i="27"/>
  <c r="P69" i="9"/>
  <c r="S69" i="9"/>
  <c r="O69" i="9"/>
  <c r="R69" i="9"/>
  <c r="Q69" i="9"/>
  <c r="O63" i="16"/>
  <c r="R63" i="16"/>
  <c r="P63" i="16"/>
  <c r="S63" i="16"/>
  <c r="Q63" i="16"/>
  <c r="W69" i="14"/>
  <c r="X69" i="14"/>
  <c r="Y69" i="14"/>
  <c r="O69" i="24"/>
  <c r="S69" i="24"/>
  <c r="Q69" i="24"/>
  <c r="P69" i="24"/>
  <c r="R69" i="24"/>
  <c r="K49" i="17"/>
  <c r="J50" i="17"/>
  <c r="K50" i="17" s="1"/>
  <c r="T50" i="17" s="1"/>
  <c r="U50" i="17" s="1"/>
  <c r="K43" i="25"/>
  <c r="J44" i="25"/>
  <c r="K44" i="25" s="1"/>
  <c r="K47" i="9"/>
  <c r="T47" i="9" s="1"/>
  <c r="U47" i="9" s="1"/>
  <c r="V47" i="9" s="1"/>
  <c r="J46" i="9"/>
  <c r="K46" i="9" s="1"/>
  <c r="K47" i="25"/>
  <c r="T47" i="25" s="1"/>
  <c r="U47" i="25" s="1"/>
  <c r="J46" i="25"/>
  <c r="K46" i="25" s="1"/>
  <c r="N53" i="12"/>
  <c r="N54" i="12"/>
  <c r="Y69" i="21"/>
  <c r="W69" i="21"/>
  <c r="X69" i="21"/>
  <c r="R69" i="13"/>
  <c r="Q69" i="13"/>
  <c r="P69" i="13"/>
  <c r="S69" i="13"/>
  <c r="O69" i="13"/>
  <c r="V54" i="13"/>
  <c r="V53" i="13"/>
  <c r="V54" i="25"/>
  <c r="V53" i="25"/>
  <c r="R69" i="21"/>
  <c r="S69" i="21"/>
  <c r="O69" i="21"/>
  <c r="P69" i="21"/>
  <c r="Q69" i="21"/>
  <c r="K49" i="27"/>
  <c r="J50" i="27"/>
  <c r="K50" i="27" s="1"/>
  <c r="T50" i="27" s="1"/>
  <c r="U50" i="27" s="1"/>
  <c r="K58" i="4"/>
  <c r="J59" i="4"/>
  <c r="V53" i="12"/>
  <c r="V54" i="12"/>
  <c r="J52" i="17"/>
  <c r="P69" i="16"/>
  <c r="O69" i="16"/>
  <c r="S69" i="16"/>
  <c r="R69" i="16"/>
  <c r="Q69" i="16"/>
  <c r="J52" i="14"/>
  <c r="X69" i="25"/>
  <c r="Y69" i="25"/>
  <c r="W69" i="25"/>
  <c r="N54" i="13"/>
  <c r="N53" i="13"/>
  <c r="N54" i="25"/>
  <c r="N53" i="25"/>
  <c r="N54" i="9"/>
  <c r="N53" i="9"/>
  <c r="Y63" i="26"/>
  <c r="X63" i="26"/>
  <c r="W63" i="26"/>
  <c r="K49" i="21"/>
  <c r="J50" i="21"/>
  <c r="K50" i="21" s="1"/>
  <c r="T50" i="21" s="1"/>
  <c r="U50" i="21" s="1"/>
  <c r="K49" i="14"/>
  <c r="J50" i="14"/>
  <c r="K50" i="14" s="1"/>
  <c r="K47" i="8"/>
  <c r="J46" i="8"/>
  <c r="K46" i="8" s="1"/>
  <c r="K59" i="26"/>
  <c r="J61" i="26"/>
  <c r="K61" i="26" s="1"/>
  <c r="Y69" i="13"/>
  <c r="W69" i="13"/>
  <c r="X69" i="13"/>
  <c r="N54" i="24"/>
  <c r="N53" i="24"/>
  <c r="Q69" i="26"/>
  <c r="O69" i="26"/>
  <c r="S69" i="26"/>
  <c r="R69" i="26"/>
  <c r="P69" i="26"/>
  <c r="V53" i="9"/>
  <c r="V54" i="9"/>
  <c r="K58" i="17"/>
  <c r="L56" i="17" s="1"/>
  <c r="M56" i="17" s="1"/>
  <c r="J59" i="17"/>
  <c r="Y69" i="20"/>
  <c r="W69" i="20"/>
  <c r="X69" i="20"/>
  <c r="R69" i="10"/>
  <c r="O69" i="10"/>
  <c r="Q69" i="10"/>
  <c r="P69" i="10"/>
  <c r="S69" i="10"/>
  <c r="T59" i="13"/>
  <c r="U59" i="13" s="1"/>
  <c r="L59" i="13"/>
  <c r="M59" i="13" s="1"/>
  <c r="Y69" i="26"/>
  <c r="W69" i="26"/>
  <c r="X69" i="26"/>
  <c r="J52" i="27"/>
  <c r="K43" i="9"/>
  <c r="J44" i="9"/>
  <c r="K44" i="9" s="1"/>
  <c r="L44" i="9" s="1"/>
  <c r="M44" i="9" s="1"/>
  <c r="V53" i="16"/>
  <c r="V54" i="16"/>
  <c r="J52" i="20"/>
  <c r="L59" i="9"/>
  <c r="M59" i="9" s="1"/>
  <c r="T59" i="9"/>
  <c r="U59" i="9" s="1"/>
  <c r="J52" i="21"/>
  <c r="N53" i="8"/>
  <c r="N54" i="8"/>
  <c r="K43" i="24"/>
  <c r="J44" i="24"/>
  <c r="K44" i="24" s="1"/>
  <c r="K43" i="13"/>
  <c r="J44" i="13"/>
  <c r="K44" i="13" s="1"/>
  <c r="K43" i="12"/>
  <c r="J44" i="12"/>
  <c r="K44" i="12" s="1"/>
  <c r="K58" i="14"/>
  <c r="L56" i="14" s="1"/>
  <c r="M56" i="14" s="1"/>
  <c r="J59" i="14"/>
  <c r="N54" i="16"/>
  <c r="N53" i="16"/>
  <c r="L59" i="24"/>
  <c r="M59" i="24" s="1"/>
  <c r="J52" i="18"/>
  <c r="V54" i="8"/>
  <c r="V53" i="8"/>
  <c r="L59" i="12"/>
  <c r="M59" i="12" s="1"/>
  <c r="T59" i="12"/>
  <c r="U59" i="12" s="1"/>
  <c r="J52" i="4"/>
  <c r="K47" i="13"/>
  <c r="J46" i="13"/>
  <c r="K46" i="13" s="1"/>
  <c r="K49" i="20"/>
  <c r="J50" i="20"/>
  <c r="K50" i="20" s="1"/>
  <c r="T50" i="20" s="1"/>
  <c r="U50" i="20" s="1"/>
  <c r="K58" i="22"/>
  <c r="L56" i="22" s="1"/>
  <c r="M56" i="22" s="1"/>
  <c r="J59" i="22"/>
  <c r="K47" i="11"/>
  <c r="L47" i="11" s="1"/>
  <c r="M47" i="11" s="1"/>
  <c r="J46" i="11"/>
  <c r="K46" i="11" s="1"/>
  <c r="T59" i="16"/>
  <c r="U59" i="16" s="1"/>
  <c r="L59" i="16"/>
  <c r="M59" i="16" s="1"/>
  <c r="T59" i="25"/>
  <c r="U59" i="25" s="1"/>
  <c r="L59" i="25"/>
  <c r="M59" i="25" s="1"/>
  <c r="V59" i="8"/>
  <c r="V60" i="8"/>
  <c r="Q69" i="14"/>
  <c r="S69" i="14"/>
  <c r="P69" i="14"/>
  <c r="R69" i="14"/>
  <c r="O69" i="14"/>
  <c r="J52" i="22"/>
  <c r="V59" i="23"/>
  <c r="V60" i="23"/>
  <c r="L47" i="25"/>
  <c r="M47" i="25" s="1"/>
  <c r="N48" i="25" s="1"/>
  <c r="T47" i="16"/>
  <c r="U47" i="16" s="1"/>
  <c r="V48" i="16" s="1"/>
  <c r="J41" i="11"/>
  <c r="K41" i="11" s="1"/>
  <c r="T41" i="11" s="1"/>
  <c r="U41" i="11" s="1"/>
  <c r="V41" i="11" s="1"/>
  <c r="J41" i="8"/>
  <c r="K41" i="8" s="1"/>
  <c r="T41" i="8" s="1"/>
  <c r="U41" i="8" s="1"/>
  <c r="V42" i="8" s="1"/>
  <c r="J41" i="13"/>
  <c r="K41" i="13" s="1"/>
  <c r="T41" i="13" s="1"/>
  <c r="U41" i="13" s="1"/>
  <c r="V42" i="13" s="1"/>
  <c r="J41" i="24"/>
  <c r="K41" i="24" s="1"/>
  <c r="J41" i="25"/>
  <c r="K41" i="25" s="1"/>
  <c r="T41" i="25" s="1"/>
  <c r="U41" i="25" s="1"/>
  <c r="V41" i="25" s="1"/>
  <c r="J41" i="9"/>
  <c r="K41" i="9" s="1"/>
  <c r="T41" i="9" s="1"/>
  <c r="U41" i="9" s="1"/>
  <c r="V42" i="9" s="1"/>
  <c r="J41" i="12"/>
  <c r="K41" i="12" s="1"/>
  <c r="T41" i="12" s="1"/>
  <c r="U41" i="12" s="1"/>
  <c r="V41" i="12" s="1"/>
  <c r="J41" i="16"/>
  <c r="K41" i="16" s="1"/>
  <c r="T41" i="16" s="1"/>
  <c r="U41" i="16" s="1"/>
  <c r="V42" i="16" s="1"/>
  <c r="N39" i="25"/>
  <c r="N38" i="25"/>
  <c r="N38" i="9"/>
  <c r="N39" i="9"/>
  <c r="J40" i="23"/>
  <c r="K40" i="23" s="1"/>
  <c r="L38" i="23" s="1"/>
  <c r="M38" i="23" s="1"/>
  <c r="J40" i="26"/>
  <c r="K40" i="26" s="1"/>
  <c r="L38" i="26" s="1"/>
  <c r="M38" i="26" s="1"/>
  <c r="N38" i="11"/>
  <c r="N39" i="11"/>
  <c r="J40" i="10"/>
  <c r="K40" i="10" s="1"/>
  <c r="L38" i="10" s="1"/>
  <c r="M38" i="10" s="1"/>
  <c r="N38" i="8"/>
  <c r="N39" i="8"/>
  <c r="N39" i="12"/>
  <c r="N38" i="12"/>
  <c r="N38" i="24"/>
  <c r="N39" i="24"/>
  <c r="N39" i="13"/>
  <c r="N38" i="13"/>
  <c r="N39" i="16"/>
  <c r="N38" i="16"/>
  <c r="J47" i="23"/>
  <c r="J47" i="26"/>
  <c r="J47" i="10"/>
  <c r="R57" i="24"/>
  <c r="S57" i="24"/>
  <c r="P57" i="24"/>
  <c r="O57" i="24"/>
  <c r="Q57" i="24"/>
  <c r="L56" i="4"/>
  <c r="M56" i="4" s="1"/>
  <c r="T56" i="4"/>
  <c r="U56" i="4" s="1"/>
  <c r="P57" i="8"/>
  <c r="R57" i="8"/>
  <c r="S57" i="8"/>
  <c r="O57" i="8"/>
  <c r="Q57" i="8"/>
  <c r="W57" i="9"/>
  <c r="Y57" i="9"/>
  <c r="X57" i="9"/>
  <c r="O57" i="11"/>
  <c r="R57" i="11"/>
  <c r="S57" i="11"/>
  <c r="P57" i="11"/>
  <c r="Q57" i="11"/>
  <c r="J43" i="10"/>
  <c r="R54" i="10"/>
  <c r="S16" i="3" s="1"/>
  <c r="S54" i="10"/>
  <c r="T16" i="3" s="1"/>
  <c r="O54" i="10"/>
  <c r="P16" i="3" s="1"/>
  <c r="P54" i="10"/>
  <c r="Q16" i="3" s="1"/>
  <c r="Q54" i="10"/>
  <c r="R16" i="3" s="1"/>
  <c r="Y57" i="13"/>
  <c r="W57" i="13"/>
  <c r="X57" i="13"/>
  <c r="W57" i="12"/>
  <c r="Y57" i="12"/>
  <c r="X57" i="12"/>
  <c r="W57" i="25"/>
  <c r="Y57" i="25"/>
  <c r="X57" i="25"/>
  <c r="Y54" i="23"/>
  <c r="AA27" i="3" s="1"/>
  <c r="W54" i="23"/>
  <c r="Y27" i="3" s="1"/>
  <c r="X54" i="23"/>
  <c r="Z27" i="3" s="1"/>
  <c r="T56" i="17"/>
  <c r="U56" i="17" s="1"/>
  <c r="T56" i="22"/>
  <c r="U56" i="22" s="1"/>
  <c r="P54" i="23"/>
  <c r="Q27" i="3" s="1"/>
  <c r="S54" i="23"/>
  <c r="T27" i="3" s="1"/>
  <c r="Q54" i="23"/>
  <c r="R27" i="3" s="1"/>
  <c r="O54" i="23"/>
  <c r="P27" i="3" s="1"/>
  <c r="R54" i="23"/>
  <c r="S27" i="3" s="1"/>
  <c r="N50" i="23"/>
  <c r="N51" i="23"/>
  <c r="N56" i="26"/>
  <c r="N57" i="26"/>
  <c r="J43" i="23"/>
  <c r="V51" i="23"/>
  <c r="V50" i="23"/>
  <c r="S57" i="16"/>
  <c r="P57" i="16"/>
  <c r="O57" i="16"/>
  <c r="Q57" i="16"/>
  <c r="R57" i="16"/>
  <c r="V57" i="26"/>
  <c r="V56" i="26"/>
  <c r="T56" i="14"/>
  <c r="U56" i="14" s="1"/>
  <c r="L56" i="21"/>
  <c r="M56" i="21" s="1"/>
  <c r="T56" i="21"/>
  <c r="U56" i="21" s="1"/>
  <c r="O57" i="13"/>
  <c r="S57" i="13"/>
  <c r="R57" i="13"/>
  <c r="P57" i="13"/>
  <c r="Q57" i="13"/>
  <c r="R57" i="9"/>
  <c r="S57" i="9"/>
  <c r="Q57" i="9"/>
  <c r="O57" i="9"/>
  <c r="P57" i="9"/>
  <c r="Y57" i="11"/>
  <c r="X57" i="11"/>
  <c r="W57" i="11"/>
  <c r="T56" i="20"/>
  <c r="U56" i="20" s="1"/>
  <c r="L56" i="18"/>
  <c r="M56" i="18" s="1"/>
  <c r="T56" i="18"/>
  <c r="U56" i="18" s="1"/>
  <c r="X57" i="8"/>
  <c r="Y57" i="8"/>
  <c r="W57" i="8"/>
  <c r="X54" i="10"/>
  <c r="Z16" i="3" s="1"/>
  <c r="W54" i="10"/>
  <c r="Y16" i="3" s="1"/>
  <c r="Y54" i="10"/>
  <c r="AA16" i="3" s="1"/>
  <c r="X57" i="16"/>
  <c r="W57" i="16"/>
  <c r="Y57" i="16"/>
  <c r="V51" i="10"/>
  <c r="V50" i="10"/>
  <c r="T56" i="27"/>
  <c r="U56" i="27" s="1"/>
  <c r="Q57" i="12"/>
  <c r="P57" i="12"/>
  <c r="R57" i="12"/>
  <c r="O57" i="12"/>
  <c r="S57" i="12"/>
  <c r="N50" i="10"/>
  <c r="N51" i="10"/>
  <c r="S57" i="25"/>
  <c r="P57" i="25"/>
  <c r="R57" i="25"/>
  <c r="O57" i="25"/>
  <c r="Q57" i="25"/>
  <c r="T50" i="14"/>
  <c r="U50" i="14" s="1"/>
  <c r="N51" i="26"/>
  <c r="T50" i="22"/>
  <c r="U50" i="22" s="1"/>
  <c r="V51" i="26"/>
  <c r="V50" i="26"/>
  <c r="J43" i="26"/>
  <c r="P51" i="11"/>
  <c r="Q51" i="11"/>
  <c r="R51" i="11"/>
  <c r="O51" i="11"/>
  <c r="S51" i="11"/>
  <c r="X51" i="11"/>
  <c r="Y51" i="11"/>
  <c r="W51" i="11"/>
  <c r="W51" i="9"/>
  <c r="X51" i="9"/>
  <c r="Y51" i="9"/>
  <c r="T44" i="25"/>
  <c r="U44" i="25" s="1"/>
  <c r="X51" i="16"/>
  <c r="Y51" i="16"/>
  <c r="W51" i="16"/>
  <c r="X51" i="13"/>
  <c r="Y51" i="13"/>
  <c r="W51" i="13"/>
  <c r="R51" i="9"/>
  <c r="S51" i="9"/>
  <c r="P51" i="9"/>
  <c r="Q51" i="9"/>
  <c r="O51" i="9"/>
  <c r="N47" i="16"/>
  <c r="N48" i="16"/>
  <c r="O51" i="8"/>
  <c r="P51" i="8"/>
  <c r="Q51" i="8"/>
  <c r="S51" i="8"/>
  <c r="R51" i="8"/>
  <c r="T44" i="9"/>
  <c r="U44" i="9" s="1"/>
  <c r="P51" i="25"/>
  <c r="Q51" i="25"/>
  <c r="O51" i="25"/>
  <c r="R51" i="25"/>
  <c r="S51" i="25"/>
  <c r="X51" i="12"/>
  <c r="Y51" i="12"/>
  <c r="W51" i="12"/>
  <c r="S51" i="24"/>
  <c r="O51" i="24"/>
  <c r="O51" i="16"/>
  <c r="Q51" i="16"/>
  <c r="P51" i="16"/>
  <c r="R51" i="16"/>
  <c r="S51" i="16"/>
  <c r="V47" i="25"/>
  <c r="V48" i="25"/>
  <c r="T44" i="16"/>
  <c r="U44" i="16" s="1"/>
  <c r="N48" i="11"/>
  <c r="N47" i="11"/>
  <c r="X51" i="25"/>
  <c r="W51" i="25"/>
  <c r="Y51" i="25"/>
  <c r="S51" i="13"/>
  <c r="O51" i="13"/>
  <c r="R51" i="13"/>
  <c r="Q51" i="13"/>
  <c r="P51" i="13"/>
  <c r="Y51" i="8"/>
  <c r="X51" i="8"/>
  <c r="W51" i="8"/>
  <c r="R51" i="12" l="1"/>
  <c r="L44" i="12"/>
  <c r="M44" i="12" s="1"/>
  <c r="V47" i="16"/>
  <c r="R51" i="24"/>
  <c r="S51" i="12"/>
  <c r="O51" i="12"/>
  <c r="P51" i="12"/>
  <c r="Q51" i="12"/>
  <c r="Q51" i="24"/>
  <c r="P51" i="24"/>
  <c r="L44" i="13"/>
  <c r="M44" i="13" s="1"/>
  <c r="T53" i="26"/>
  <c r="U53" i="26" s="1"/>
  <c r="T44" i="13"/>
  <c r="U44" i="13" s="1"/>
  <c r="T47" i="11"/>
  <c r="U47" i="11" s="1"/>
  <c r="V48" i="11" s="1"/>
  <c r="K52" i="27"/>
  <c r="L50" i="27" s="1"/>
  <c r="M50" i="27" s="1"/>
  <c r="J53" i="27"/>
  <c r="K53" i="27" s="1"/>
  <c r="T53" i="27" s="1"/>
  <c r="U53" i="27" s="1"/>
  <c r="K52" i="21"/>
  <c r="L50" i="21" s="1"/>
  <c r="M50" i="21" s="1"/>
  <c r="J53" i="21"/>
  <c r="K53" i="21" s="1"/>
  <c r="L53" i="21" s="1"/>
  <c r="M53" i="21" s="1"/>
  <c r="K52" i="14"/>
  <c r="L50" i="14" s="1"/>
  <c r="M50" i="14" s="1"/>
  <c r="J53" i="14"/>
  <c r="K53" i="14" s="1"/>
  <c r="T53" i="14" s="1"/>
  <c r="U53" i="14" s="1"/>
  <c r="K52" i="4"/>
  <c r="L50" i="4" s="1"/>
  <c r="M50" i="4" s="1"/>
  <c r="J53" i="4"/>
  <c r="K53" i="4" s="1"/>
  <c r="L53" i="4" s="1"/>
  <c r="M53" i="4" s="1"/>
  <c r="K52" i="22"/>
  <c r="L50" i="22" s="1"/>
  <c r="M50" i="22" s="1"/>
  <c r="N50" i="22" s="1"/>
  <c r="J53" i="22"/>
  <c r="K53" i="22" s="1"/>
  <c r="L53" i="22" s="1"/>
  <c r="M53" i="22" s="1"/>
  <c r="K52" i="20"/>
  <c r="L50" i="20" s="1"/>
  <c r="M50" i="20" s="1"/>
  <c r="J53" i="20"/>
  <c r="K53" i="20" s="1"/>
  <c r="L53" i="20" s="1"/>
  <c r="M53" i="20" s="1"/>
  <c r="K52" i="17"/>
  <c r="L50" i="17" s="1"/>
  <c r="M50" i="17" s="1"/>
  <c r="N51" i="17" s="1"/>
  <c r="J53" i="17"/>
  <c r="K53" i="17" s="1"/>
  <c r="T53" i="17" s="1"/>
  <c r="U53" i="17" s="1"/>
  <c r="K52" i="18"/>
  <c r="L50" i="18" s="1"/>
  <c r="M50" i="18" s="1"/>
  <c r="J53" i="18"/>
  <c r="K53" i="18" s="1"/>
  <c r="L44" i="25"/>
  <c r="M44" i="25" s="1"/>
  <c r="T50" i="18"/>
  <c r="U50" i="18" s="1"/>
  <c r="T44" i="12"/>
  <c r="U44" i="12" s="1"/>
  <c r="V45" i="12" s="1"/>
  <c r="L44" i="24"/>
  <c r="M44" i="24" s="1"/>
  <c r="L44" i="8"/>
  <c r="M44" i="8" s="1"/>
  <c r="V42" i="11"/>
  <c r="L41" i="24"/>
  <c r="M41" i="24" s="1"/>
  <c r="N42" i="24" s="1"/>
  <c r="V41" i="8"/>
  <c r="X42" i="8" s="1"/>
  <c r="L44" i="11"/>
  <c r="M44" i="11" s="1"/>
  <c r="N44" i="11" s="1"/>
  <c r="N47" i="25"/>
  <c r="O48" i="25" s="1"/>
  <c r="R39" i="9"/>
  <c r="V59" i="25"/>
  <c r="V60" i="25"/>
  <c r="J61" i="17"/>
  <c r="K61" i="17" s="1"/>
  <c r="K59" i="17"/>
  <c r="H17" i="3"/>
  <c r="H18" i="3"/>
  <c r="Y60" i="23"/>
  <c r="W60" i="23"/>
  <c r="X60" i="23"/>
  <c r="N60" i="16"/>
  <c r="N59" i="16"/>
  <c r="V59" i="12"/>
  <c r="V60" i="12"/>
  <c r="J61" i="14"/>
  <c r="K61" i="14" s="1"/>
  <c r="K59" i="14"/>
  <c r="V59" i="9"/>
  <c r="V60" i="9"/>
  <c r="O54" i="9"/>
  <c r="P15" i="3" s="1"/>
  <c r="P54" i="9"/>
  <c r="Q15" i="3" s="1"/>
  <c r="R54" i="9"/>
  <c r="S15" i="3" s="1"/>
  <c r="Q54" i="9"/>
  <c r="R15" i="3" s="1"/>
  <c r="S54" i="9"/>
  <c r="T15" i="3" s="1"/>
  <c r="S60" i="23"/>
  <c r="Q60" i="23"/>
  <c r="R60" i="23"/>
  <c r="O60" i="23"/>
  <c r="P60" i="23"/>
  <c r="V59" i="16"/>
  <c r="V60" i="16"/>
  <c r="N60" i="12"/>
  <c r="N59" i="12"/>
  <c r="N60" i="9"/>
  <c r="N59" i="9"/>
  <c r="N60" i="13"/>
  <c r="N59" i="13"/>
  <c r="T44" i="11"/>
  <c r="U44" i="11" s="1"/>
  <c r="W54" i="8"/>
  <c r="Y54" i="8"/>
  <c r="X54" i="8"/>
  <c r="V59" i="13"/>
  <c r="V60" i="13"/>
  <c r="Y54" i="9"/>
  <c r="AA15" i="3" s="1"/>
  <c r="X54" i="9"/>
  <c r="Z15" i="3" s="1"/>
  <c r="W54" i="9"/>
  <c r="Y15" i="3" s="1"/>
  <c r="L59" i="26"/>
  <c r="M59" i="26" s="1"/>
  <c r="T59" i="26"/>
  <c r="U59" i="26" s="1"/>
  <c r="P54" i="25"/>
  <c r="Q29" i="3" s="1"/>
  <c r="Q54" i="25"/>
  <c r="R29" i="3" s="1"/>
  <c r="S54" i="25"/>
  <c r="T29" i="3" s="1"/>
  <c r="R54" i="25"/>
  <c r="S29" i="3" s="1"/>
  <c r="O54" i="25"/>
  <c r="P29" i="3" s="1"/>
  <c r="X60" i="10"/>
  <c r="Y60" i="10"/>
  <c r="W60" i="10"/>
  <c r="X54" i="11"/>
  <c r="Z17" i="3" s="1"/>
  <c r="W54" i="11"/>
  <c r="Y17" i="3" s="1"/>
  <c r="Y54" i="11"/>
  <c r="AA17" i="3" s="1"/>
  <c r="S54" i="11"/>
  <c r="T17" i="3" s="1"/>
  <c r="O54" i="11"/>
  <c r="P17" i="3" s="1"/>
  <c r="R54" i="11"/>
  <c r="S17" i="3" s="1"/>
  <c r="Q54" i="11"/>
  <c r="R17" i="3" s="1"/>
  <c r="P54" i="11"/>
  <c r="Q17" i="3" s="1"/>
  <c r="K47" i="10"/>
  <c r="T47" i="10" s="1"/>
  <c r="U47" i="10" s="1"/>
  <c r="V48" i="10" s="1"/>
  <c r="J46" i="10"/>
  <c r="K46" i="10" s="1"/>
  <c r="J61" i="22"/>
  <c r="K61" i="22" s="1"/>
  <c r="K59" i="22"/>
  <c r="T47" i="8"/>
  <c r="U47" i="8" s="1"/>
  <c r="L47" i="8"/>
  <c r="M47" i="8" s="1"/>
  <c r="P54" i="13"/>
  <c r="Q19" i="3" s="1"/>
  <c r="Q54" i="13"/>
  <c r="R19" i="3" s="1"/>
  <c r="S54" i="13"/>
  <c r="T19" i="3" s="1"/>
  <c r="O54" i="13"/>
  <c r="P19" i="3" s="1"/>
  <c r="R54" i="13"/>
  <c r="S19" i="3" s="1"/>
  <c r="J61" i="20"/>
  <c r="K61" i="20" s="1"/>
  <c r="K59" i="20"/>
  <c r="P54" i="16"/>
  <c r="Q21" i="3" s="1"/>
  <c r="R54" i="16"/>
  <c r="S21" i="3" s="1"/>
  <c r="O54" i="16"/>
  <c r="P21" i="3" s="1"/>
  <c r="Q54" i="16"/>
  <c r="R21" i="3" s="1"/>
  <c r="S54" i="16"/>
  <c r="T21" i="3" s="1"/>
  <c r="V48" i="9"/>
  <c r="Y48" i="9" s="1"/>
  <c r="K43" i="10"/>
  <c r="J44" i="10"/>
  <c r="K44" i="10" s="1"/>
  <c r="T44" i="10" s="1"/>
  <c r="U44" i="10" s="1"/>
  <c r="T53" i="18"/>
  <c r="U53" i="18" s="1"/>
  <c r="L53" i="18"/>
  <c r="M53" i="18" s="1"/>
  <c r="W54" i="16"/>
  <c r="Y54" i="16"/>
  <c r="X54" i="16"/>
  <c r="L53" i="17"/>
  <c r="M53" i="17" s="1"/>
  <c r="W54" i="25"/>
  <c r="X54" i="25"/>
  <c r="Y54" i="25"/>
  <c r="K47" i="26"/>
  <c r="J46" i="26"/>
  <c r="K46" i="26" s="1"/>
  <c r="N54" i="26"/>
  <c r="N53" i="26"/>
  <c r="P54" i="12"/>
  <c r="Q18" i="3" s="1"/>
  <c r="R54" i="12"/>
  <c r="S18" i="3" s="1"/>
  <c r="O54" i="12"/>
  <c r="P18" i="3" s="1"/>
  <c r="Q54" i="12"/>
  <c r="R18" i="3" s="1"/>
  <c r="S54" i="12"/>
  <c r="T18" i="3" s="1"/>
  <c r="N59" i="11"/>
  <c r="N60" i="11"/>
  <c r="V54" i="26"/>
  <c r="V53" i="26"/>
  <c r="X54" i="12"/>
  <c r="Z18" i="3" s="1"/>
  <c r="Y54" i="12"/>
  <c r="AA18" i="3" s="1"/>
  <c r="W54" i="12"/>
  <c r="Y18" i="3" s="1"/>
  <c r="X54" i="13"/>
  <c r="W54" i="13"/>
  <c r="Y54" i="13"/>
  <c r="V59" i="11"/>
  <c r="V60" i="11"/>
  <c r="J61" i="18"/>
  <c r="K61" i="18" s="1"/>
  <c r="K59" i="18"/>
  <c r="T47" i="12"/>
  <c r="U47" i="12" s="1"/>
  <c r="L47" i="12"/>
  <c r="M47" i="12" s="1"/>
  <c r="K43" i="26"/>
  <c r="J44" i="26"/>
  <c r="K44" i="26" s="1"/>
  <c r="T44" i="26" s="1"/>
  <c r="U44" i="26" s="1"/>
  <c r="K43" i="23"/>
  <c r="J44" i="23"/>
  <c r="K44" i="23" s="1"/>
  <c r="T44" i="23" s="1"/>
  <c r="U44" i="23" s="1"/>
  <c r="N60" i="25"/>
  <c r="N59" i="25"/>
  <c r="N47" i="24"/>
  <c r="S48" i="24" s="1"/>
  <c r="K47" i="23"/>
  <c r="J46" i="23"/>
  <c r="K46" i="23" s="1"/>
  <c r="O54" i="24"/>
  <c r="Q54" i="24"/>
  <c r="R54" i="24"/>
  <c r="S54" i="24"/>
  <c r="P54" i="24"/>
  <c r="J61" i="4"/>
  <c r="K61" i="4" s="1"/>
  <c r="K59" i="4"/>
  <c r="J19" i="3" s="1"/>
  <c r="I19" i="3" s="1"/>
  <c r="G19" i="3" s="1"/>
  <c r="J61" i="21"/>
  <c r="K61" i="21" s="1"/>
  <c r="K59" i="21"/>
  <c r="L47" i="9"/>
  <c r="M47" i="9" s="1"/>
  <c r="Y60" i="8"/>
  <c r="X60" i="8"/>
  <c r="W60" i="8"/>
  <c r="T47" i="13"/>
  <c r="U47" i="13" s="1"/>
  <c r="L47" i="13"/>
  <c r="M47" i="13" s="1"/>
  <c r="N60" i="24"/>
  <c r="N59" i="24"/>
  <c r="S54" i="8"/>
  <c r="T14" i="3" s="1"/>
  <c r="R54" i="8"/>
  <c r="S14" i="3" s="1"/>
  <c r="O54" i="8"/>
  <c r="P14" i="3" s="1"/>
  <c r="Q54" i="8"/>
  <c r="R14" i="3" s="1"/>
  <c r="P54" i="8"/>
  <c r="Q14" i="3" s="1"/>
  <c r="J61" i="27"/>
  <c r="K61" i="27" s="1"/>
  <c r="K59" i="27"/>
  <c r="R60" i="10"/>
  <c r="Q60" i="10"/>
  <c r="P60" i="10"/>
  <c r="O60" i="10"/>
  <c r="S60" i="10"/>
  <c r="V47" i="11"/>
  <c r="X48" i="11" s="1"/>
  <c r="L41" i="11"/>
  <c r="M41" i="11" s="1"/>
  <c r="V41" i="13"/>
  <c r="Y42" i="13" s="1"/>
  <c r="V41" i="16"/>
  <c r="Y42" i="16" s="1"/>
  <c r="V42" i="12"/>
  <c r="Y42" i="12" s="1"/>
  <c r="R39" i="11"/>
  <c r="J41" i="26"/>
  <c r="K41" i="26" s="1"/>
  <c r="T41" i="26" s="1"/>
  <c r="U41" i="26" s="1"/>
  <c r="V42" i="26" s="1"/>
  <c r="V42" i="25"/>
  <c r="Y42" i="25" s="1"/>
  <c r="L41" i="9"/>
  <c r="M41" i="9" s="1"/>
  <c r="V41" i="9"/>
  <c r="Y42" i="9" s="1"/>
  <c r="J41" i="10"/>
  <c r="K41" i="10" s="1"/>
  <c r="T41" i="10" s="1"/>
  <c r="U41" i="10" s="1"/>
  <c r="V42" i="10" s="1"/>
  <c r="L41" i="13"/>
  <c r="M41" i="13" s="1"/>
  <c r="J41" i="23"/>
  <c r="K41" i="23" s="1"/>
  <c r="T41" i="23" s="1"/>
  <c r="U41" i="23" s="1"/>
  <c r="V41" i="23" s="1"/>
  <c r="L41" i="25"/>
  <c r="M41" i="25" s="1"/>
  <c r="L41" i="16"/>
  <c r="M41" i="16" s="1"/>
  <c r="Q39" i="24"/>
  <c r="L41" i="8"/>
  <c r="M41" i="8" s="1"/>
  <c r="L41" i="12"/>
  <c r="M41" i="12" s="1"/>
  <c r="N39" i="26"/>
  <c r="N38" i="26"/>
  <c r="R39" i="16"/>
  <c r="Q39" i="16"/>
  <c r="P39" i="16"/>
  <c r="S39" i="16"/>
  <c r="O39" i="16"/>
  <c r="R39" i="8"/>
  <c r="J40" i="17"/>
  <c r="K40" i="17" s="1"/>
  <c r="L38" i="17" s="1"/>
  <c r="M38" i="17" s="1"/>
  <c r="J40" i="14"/>
  <c r="K40" i="14" s="1"/>
  <c r="L38" i="14" s="1"/>
  <c r="M38" i="14" s="1"/>
  <c r="J40" i="22"/>
  <c r="K40" i="22" s="1"/>
  <c r="L38" i="22" s="1"/>
  <c r="M38" i="22" s="1"/>
  <c r="S39" i="8"/>
  <c r="O39" i="8"/>
  <c r="P39" i="8"/>
  <c r="Q39" i="8"/>
  <c r="N38" i="23"/>
  <c r="N39" i="23"/>
  <c r="J40" i="18"/>
  <c r="K40" i="18" s="1"/>
  <c r="L38" i="18" s="1"/>
  <c r="M38" i="18" s="1"/>
  <c r="Q39" i="13"/>
  <c r="S39" i="13"/>
  <c r="P39" i="13"/>
  <c r="R39" i="13"/>
  <c r="O39" i="13"/>
  <c r="X42" i="11"/>
  <c r="Y42" i="11"/>
  <c r="W42" i="11"/>
  <c r="S39" i="9"/>
  <c r="O39" i="9"/>
  <c r="P39" i="9"/>
  <c r="Q39" i="9"/>
  <c r="J40" i="27"/>
  <c r="K40" i="27" s="1"/>
  <c r="L38" i="27" s="1"/>
  <c r="M38" i="27" s="1"/>
  <c r="S39" i="24"/>
  <c r="O39" i="24"/>
  <c r="R39" i="24"/>
  <c r="P39" i="24"/>
  <c r="N39" i="10"/>
  <c r="N38" i="10"/>
  <c r="X42" i="25"/>
  <c r="W42" i="25"/>
  <c r="J40" i="20"/>
  <c r="K40" i="20" s="1"/>
  <c r="L38" i="20" s="1"/>
  <c r="M38" i="20" s="1"/>
  <c r="W42" i="12"/>
  <c r="X42" i="12"/>
  <c r="S39" i="25"/>
  <c r="R39" i="25"/>
  <c r="P39" i="25"/>
  <c r="Q39" i="25"/>
  <c r="O39" i="25"/>
  <c r="J40" i="21"/>
  <c r="K40" i="21" s="1"/>
  <c r="L38" i="21" s="1"/>
  <c r="M38" i="21" s="1"/>
  <c r="O39" i="11"/>
  <c r="S39" i="11"/>
  <c r="P39" i="11"/>
  <c r="Q39" i="11"/>
  <c r="J40" i="4"/>
  <c r="K40" i="4" s="1"/>
  <c r="L38" i="4" s="1"/>
  <c r="M38" i="4" s="1"/>
  <c r="O39" i="12"/>
  <c r="R39" i="12"/>
  <c r="P39" i="12"/>
  <c r="S39" i="12"/>
  <c r="Q39" i="12"/>
  <c r="J47" i="27"/>
  <c r="J47" i="20"/>
  <c r="J47" i="4"/>
  <c r="J47" i="18"/>
  <c r="J47" i="22"/>
  <c r="J47" i="14"/>
  <c r="J47" i="21"/>
  <c r="J47" i="17"/>
  <c r="Y51" i="23"/>
  <c r="W51" i="23"/>
  <c r="X51" i="23"/>
  <c r="V57" i="21"/>
  <c r="V56" i="21"/>
  <c r="V56" i="22"/>
  <c r="V57" i="22"/>
  <c r="V57" i="27"/>
  <c r="V56" i="27"/>
  <c r="N56" i="21"/>
  <c r="N57" i="21"/>
  <c r="N56" i="22"/>
  <c r="N57" i="22"/>
  <c r="N57" i="27"/>
  <c r="N56" i="27"/>
  <c r="V57" i="18"/>
  <c r="V56" i="18"/>
  <c r="V56" i="14"/>
  <c r="V57" i="14"/>
  <c r="N56" i="17"/>
  <c r="N57" i="17"/>
  <c r="V56" i="4"/>
  <c r="V57" i="4"/>
  <c r="Y51" i="10"/>
  <c r="W51" i="10"/>
  <c r="X51" i="10"/>
  <c r="N57" i="18"/>
  <c r="N56" i="18"/>
  <c r="N56" i="14"/>
  <c r="N57" i="14"/>
  <c r="V57" i="17"/>
  <c r="V56" i="17"/>
  <c r="V56" i="20"/>
  <c r="V57" i="20"/>
  <c r="W57" i="26"/>
  <c r="Y57" i="26"/>
  <c r="X57" i="26"/>
  <c r="R57" i="26"/>
  <c r="O57" i="26"/>
  <c r="S57" i="26"/>
  <c r="Q57" i="26"/>
  <c r="P57" i="26"/>
  <c r="N57" i="4"/>
  <c r="N56" i="4"/>
  <c r="N56" i="20"/>
  <c r="N57" i="20"/>
  <c r="P51" i="23"/>
  <c r="R51" i="23"/>
  <c r="Q51" i="23"/>
  <c r="O51" i="23"/>
  <c r="S51" i="23"/>
  <c r="O51" i="10"/>
  <c r="S51" i="10"/>
  <c r="P51" i="10"/>
  <c r="R51" i="10"/>
  <c r="Q51" i="10"/>
  <c r="J43" i="14"/>
  <c r="V50" i="14"/>
  <c r="V51" i="14"/>
  <c r="N50" i="4"/>
  <c r="N51" i="4"/>
  <c r="V51" i="4"/>
  <c r="V50" i="4"/>
  <c r="J43" i="4"/>
  <c r="X51" i="26"/>
  <c r="W51" i="26"/>
  <c r="Y51" i="26"/>
  <c r="V51" i="20"/>
  <c r="V50" i="20"/>
  <c r="V50" i="18"/>
  <c r="V51" i="18"/>
  <c r="V51" i="22"/>
  <c r="V50" i="22"/>
  <c r="N51" i="22"/>
  <c r="Q51" i="26"/>
  <c r="R51" i="26"/>
  <c r="O51" i="26"/>
  <c r="S51" i="26"/>
  <c r="P51" i="26"/>
  <c r="J43" i="20"/>
  <c r="J43" i="18"/>
  <c r="J43" i="22"/>
  <c r="W48" i="25"/>
  <c r="X48" i="25"/>
  <c r="Y48" i="25"/>
  <c r="V45" i="11"/>
  <c r="V44" i="11"/>
  <c r="V50" i="17"/>
  <c r="V51" i="17"/>
  <c r="N45" i="13"/>
  <c r="N44" i="13"/>
  <c r="N44" i="16"/>
  <c r="N45" i="16"/>
  <c r="N44" i="12"/>
  <c r="N45" i="12"/>
  <c r="N45" i="25"/>
  <c r="N44" i="25"/>
  <c r="V44" i="16"/>
  <c r="V45" i="16"/>
  <c r="N44" i="9"/>
  <c r="N45" i="9"/>
  <c r="V44" i="25"/>
  <c r="V45" i="25"/>
  <c r="W48" i="16"/>
  <c r="Y48" i="16"/>
  <c r="X48" i="16"/>
  <c r="J43" i="21"/>
  <c r="V44" i="9"/>
  <c r="V45" i="9"/>
  <c r="V45" i="13"/>
  <c r="V44" i="13"/>
  <c r="Q48" i="11"/>
  <c r="R48" i="11"/>
  <c r="O48" i="11"/>
  <c r="P48" i="11"/>
  <c r="S48" i="11"/>
  <c r="N44" i="8"/>
  <c r="N45" i="8"/>
  <c r="N45" i="24"/>
  <c r="N44" i="24"/>
  <c r="V44" i="8"/>
  <c r="V45" i="8"/>
  <c r="V50" i="27"/>
  <c r="V51" i="27"/>
  <c r="X48" i="9"/>
  <c r="W48" i="9"/>
  <c r="J43" i="27"/>
  <c r="V51" i="21"/>
  <c r="V50" i="21"/>
  <c r="O48" i="16"/>
  <c r="S48" i="16"/>
  <c r="P48" i="16"/>
  <c r="R48" i="16"/>
  <c r="Q48" i="16"/>
  <c r="R48" i="25"/>
  <c r="J43" i="17"/>
  <c r="T53" i="22" l="1"/>
  <c r="U53" i="22" s="1"/>
  <c r="P48" i="25"/>
  <c r="L53" i="27"/>
  <c r="M53" i="27" s="1"/>
  <c r="S48" i="25"/>
  <c r="Q48" i="25"/>
  <c r="X42" i="13"/>
  <c r="R48" i="24"/>
  <c r="Q48" i="24"/>
  <c r="N51" i="27"/>
  <c r="N50" i="27"/>
  <c r="W48" i="11"/>
  <c r="Y48" i="11"/>
  <c r="N50" i="21"/>
  <c r="S51" i="21" s="1"/>
  <c r="N51" i="21"/>
  <c r="L53" i="14"/>
  <c r="M53" i="14" s="1"/>
  <c r="N54" i="14" s="1"/>
  <c r="T53" i="21"/>
  <c r="U53" i="21" s="1"/>
  <c r="N51" i="18"/>
  <c r="N50" i="18"/>
  <c r="V44" i="12"/>
  <c r="T53" i="20"/>
  <c r="U53" i="20" s="1"/>
  <c r="V54" i="20" s="1"/>
  <c r="T53" i="4"/>
  <c r="U53" i="4" s="1"/>
  <c r="N50" i="20"/>
  <c r="N51" i="20"/>
  <c r="N51" i="14"/>
  <c r="P51" i="14" s="1"/>
  <c r="N50" i="14"/>
  <c r="N50" i="17"/>
  <c r="N41" i="24"/>
  <c r="S42" i="24" s="1"/>
  <c r="Y42" i="8"/>
  <c r="W42" i="8"/>
  <c r="N45" i="11"/>
  <c r="R45" i="11" s="1"/>
  <c r="P48" i="24"/>
  <c r="O48" i="24"/>
  <c r="L44" i="10"/>
  <c r="M44" i="10" s="1"/>
  <c r="N45" i="10" s="1"/>
  <c r="L44" i="23"/>
  <c r="M44" i="23" s="1"/>
  <c r="W42" i="16"/>
  <c r="N53" i="18"/>
  <c r="N54" i="18"/>
  <c r="T59" i="20"/>
  <c r="U59" i="20" s="1"/>
  <c r="L59" i="20"/>
  <c r="M59" i="20" s="1"/>
  <c r="Y60" i="13"/>
  <c r="X60" i="13"/>
  <c r="W60" i="13"/>
  <c r="K47" i="22"/>
  <c r="J46" i="22"/>
  <c r="K46" i="22" s="1"/>
  <c r="W42" i="13"/>
  <c r="T59" i="27"/>
  <c r="U59" i="27" s="1"/>
  <c r="L59" i="27"/>
  <c r="M59" i="27" s="1"/>
  <c r="V47" i="13"/>
  <c r="V48" i="13"/>
  <c r="V53" i="18"/>
  <c r="V54" i="18"/>
  <c r="K43" i="21"/>
  <c r="J44" i="21"/>
  <c r="K44" i="21" s="1"/>
  <c r="L44" i="26"/>
  <c r="M44" i="26" s="1"/>
  <c r="N44" i="26" s="1"/>
  <c r="N47" i="12"/>
  <c r="N48" i="12"/>
  <c r="X54" i="26"/>
  <c r="Y54" i="26"/>
  <c r="W54" i="26"/>
  <c r="T47" i="26"/>
  <c r="U47" i="26" s="1"/>
  <c r="L47" i="26"/>
  <c r="M47" i="26" s="1"/>
  <c r="N54" i="20"/>
  <c r="N53" i="20"/>
  <c r="Y60" i="16"/>
  <c r="W60" i="16"/>
  <c r="X60" i="16"/>
  <c r="V54" i="4"/>
  <c r="V53" i="4"/>
  <c r="K47" i="18"/>
  <c r="J46" i="18"/>
  <c r="K46" i="18" s="1"/>
  <c r="N53" i="14"/>
  <c r="N53" i="27"/>
  <c r="N54" i="27"/>
  <c r="V48" i="12"/>
  <c r="V47" i="12"/>
  <c r="N53" i="22"/>
  <c r="N54" i="22"/>
  <c r="N53" i="4"/>
  <c r="N54" i="4"/>
  <c r="V53" i="14"/>
  <c r="V54" i="14"/>
  <c r="V53" i="27"/>
  <c r="V54" i="27"/>
  <c r="L59" i="18"/>
  <c r="M59" i="18" s="1"/>
  <c r="T59" i="18"/>
  <c r="U59" i="18" s="1"/>
  <c r="V53" i="22"/>
  <c r="V54" i="22"/>
  <c r="W60" i="9"/>
  <c r="Y60" i="9"/>
  <c r="X60" i="9"/>
  <c r="K47" i="4"/>
  <c r="J46" i="4"/>
  <c r="K46" i="4" s="1"/>
  <c r="P60" i="11"/>
  <c r="R60" i="11"/>
  <c r="Q60" i="11"/>
  <c r="S60" i="11"/>
  <c r="O60" i="11"/>
  <c r="T59" i="14"/>
  <c r="U59" i="14" s="1"/>
  <c r="L59" i="14"/>
  <c r="M59" i="14" s="1"/>
  <c r="K43" i="27"/>
  <c r="J44" i="27"/>
  <c r="K44" i="27" s="1"/>
  <c r="T44" i="27" s="1"/>
  <c r="U44" i="27" s="1"/>
  <c r="N47" i="9"/>
  <c r="N48" i="9"/>
  <c r="K43" i="17"/>
  <c r="J44" i="17"/>
  <c r="K44" i="17" s="1"/>
  <c r="K43" i="22"/>
  <c r="J44" i="22"/>
  <c r="K44" i="22" s="1"/>
  <c r="X42" i="16"/>
  <c r="T59" i="21"/>
  <c r="U59" i="21" s="1"/>
  <c r="L59" i="21"/>
  <c r="M59" i="21" s="1"/>
  <c r="L47" i="23"/>
  <c r="M47" i="23" s="1"/>
  <c r="T47" i="23"/>
  <c r="U47" i="23" s="1"/>
  <c r="V60" i="26"/>
  <c r="V59" i="26"/>
  <c r="L59" i="17"/>
  <c r="M59" i="17" s="1"/>
  <c r="T59" i="17"/>
  <c r="U59" i="17" s="1"/>
  <c r="K47" i="17"/>
  <c r="J46" i="17"/>
  <c r="K46" i="17" s="1"/>
  <c r="K47" i="20"/>
  <c r="J46" i="20"/>
  <c r="K46" i="20" s="1"/>
  <c r="X60" i="11"/>
  <c r="W60" i="11"/>
  <c r="Y60" i="11"/>
  <c r="V54" i="17"/>
  <c r="V53" i="17"/>
  <c r="N48" i="8"/>
  <c r="N47" i="8"/>
  <c r="N59" i="26"/>
  <c r="N60" i="26"/>
  <c r="S60" i="13"/>
  <c r="Q60" i="13"/>
  <c r="P60" i="13"/>
  <c r="R60" i="13"/>
  <c r="O60" i="13"/>
  <c r="L59" i="4"/>
  <c r="M59" i="4" s="1"/>
  <c r="T59" i="4"/>
  <c r="U59" i="4" s="1"/>
  <c r="J20" i="3"/>
  <c r="I20" i="3" s="1"/>
  <c r="G20" i="3" s="1"/>
  <c r="O60" i="25"/>
  <c r="Q60" i="25"/>
  <c r="S60" i="25"/>
  <c r="P60" i="25"/>
  <c r="R60" i="25"/>
  <c r="N54" i="17"/>
  <c r="N53" i="17"/>
  <c r="V48" i="8"/>
  <c r="V47" i="8"/>
  <c r="Y60" i="12"/>
  <c r="W60" i="12"/>
  <c r="X60" i="12"/>
  <c r="V54" i="21"/>
  <c r="V53" i="21"/>
  <c r="N48" i="13"/>
  <c r="N47" i="13"/>
  <c r="K43" i="18"/>
  <c r="J44" i="18"/>
  <c r="K44" i="18" s="1"/>
  <c r="T44" i="18" s="1"/>
  <c r="U44" i="18" s="1"/>
  <c r="K43" i="4"/>
  <c r="J44" i="4"/>
  <c r="K44" i="4" s="1"/>
  <c r="K47" i="21"/>
  <c r="T47" i="21" s="1"/>
  <c r="U47" i="21" s="1"/>
  <c r="J46" i="21"/>
  <c r="K46" i="21" s="1"/>
  <c r="K47" i="27"/>
  <c r="T47" i="27" s="1"/>
  <c r="U47" i="27" s="1"/>
  <c r="V47" i="27" s="1"/>
  <c r="J46" i="27"/>
  <c r="K46" i="27" s="1"/>
  <c r="L44" i="27" s="1"/>
  <c r="M44" i="27" s="1"/>
  <c r="L47" i="10"/>
  <c r="M47" i="10" s="1"/>
  <c r="T59" i="22"/>
  <c r="U59" i="22" s="1"/>
  <c r="L59" i="22"/>
  <c r="M59" i="22" s="1"/>
  <c r="Q60" i="9"/>
  <c r="P60" i="9"/>
  <c r="S60" i="9"/>
  <c r="O60" i="9"/>
  <c r="R60" i="9"/>
  <c r="P60" i="16"/>
  <c r="S60" i="16"/>
  <c r="R60" i="16"/>
  <c r="Q60" i="16"/>
  <c r="O60" i="16"/>
  <c r="N54" i="21"/>
  <c r="N53" i="21"/>
  <c r="K43" i="20"/>
  <c r="J44" i="20"/>
  <c r="K44" i="20" s="1"/>
  <c r="K43" i="14"/>
  <c r="J44" i="14"/>
  <c r="K44" i="14" s="1"/>
  <c r="T44" i="14" s="1"/>
  <c r="U44" i="14" s="1"/>
  <c r="V47" i="10"/>
  <c r="S60" i="24"/>
  <c r="P60" i="24"/>
  <c r="Q60" i="24"/>
  <c r="R60" i="24"/>
  <c r="O60" i="24"/>
  <c r="K47" i="14"/>
  <c r="T47" i="14" s="1"/>
  <c r="U47" i="14" s="1"/>
  <c r="V48" i="14" s="1"/>
  <c r="J46" i="14"/>
  <c r="K46" i="14" s="1"/>
  <c r="P54" i="26"/>
  <c r="Q30" i="3" s="1"/>
  <c r="S54" i="26"/>
  <c r="T30" i="3" s="1"/>
  <c r="R54" i="26"/>
  <c r="S30" i="3" s="1"/>
  <c r="O54" i="26"/>
  <c r="P30" i="3" s="1"/>
  <c r="Q54" i="26"/>
  <c r="R30" i="3" s="1"/>
  <c r="S60" i="12"/>
  <c r="O60" i="12"/>
  <c r="R60" i="12"/>
  <c r="P60" i="12"/>
  <c r="Q60" i="12"/>
  <c r="Y60" i="25"/>
  <c r="W60" i="25"/>
  <c r="X60" i="25"/>
  <c r="X42" i="9"/>
  <c r="W42" i="9"/>
  <c r="L41" i="26"/>
  <c r="M41" i="26" s="1"/>
  <c r="N41" i="11"/>
  <c r="N42" i="11"/>
  <c r="V41" i="10"/>
  <c r="W42" i="10" s="1"/>
  <c r="R39" i="23"/>
  <c r="V41" i="26"/>
  <c r="X42" i="26" s="1"/>
  <c r="V42" i="23"/>
  <c r="Y42" i="23" s="1"/>
  <c r="J41" i="20"/>
  <c r="K41" i="20" s="1"/>
  <c r="T41" i="20" s="1"/>
  <c r="U41" i="20" s="1"/>
  <c r="V41" i="20" s="1"/>
  <c r="L41" i="23"/>
  <c r="M41" i="23" s="1"/>
  <c r="J41" i="22"/>
  <c r="K41" i="22" s="1"/>
  <c r="T41" i="22" s="1"/>
  <c r="U41" i="22" s="1"/>
  <c r="V41" i="22" s="1"/>
  <c r="J41" i="14"/>
  <c r="K41" i="14" s="1"/>
  <c r="T41" i="14" s="1"/>
  <c r="U41" i="14" s="1"/>
  <c r="V42" i="14" s="1"/>
  <c r="J41" i="18"/>
  <c r="K41" i="18" s="1"/>
  <c r="T41" i="18" s="1"/>
  <c r="U41" i="18" s="1"/>
  <c r="V42" i="18" s="1"/>
  <c r="N42" i="12"/>
  <c r="N41" i="12"/>
  <c r="J41" i="17"/>
  <c r="K41" i="17" s="1"/>
  <c r="T41" i="17" s="1"/>
  <c r="U41" i="17" s="1"/>
  <c r="V42" i="17" s="1"/>
  <c r="N42" i="8"/>
  <c r="N41" i="8"/>
  <c r="J41" i="4"/>
  <c r="K41" i="4" s="1"/>
  <c r="L41" i="10"/>
  <c r="M41" i="10" s="1"/>
  <c r="J41" i="21"/>
  <c r="K41" i="21" s="1"/>
  <c r="T41" i="21" s="1"/>
  <c r="U41" i="21" s="1"/>
  <c r="V41" i="21" s="1"/>
  <c r="N41" i="16"/>
  <c r="N42" i="16"/>
  <c r="N41" i="25"/>
  <c r="N42" i="25"/>
  <c r="J41" i="27"/>
  <c r="K41" i="27" s="1"/>
  <c r="T41" i="27" s="1"/>
  <c r="U41" i="27" s="1"/>
  <c r="V42" i="27" s="1"/>
  <c r="N41" i="9"/>
  <c r="N42" i="9"/>
  <c r="N42" i="13"/>
  <c r="N41" i="13"/>
  <c r="Q39" i="10"/>
  <c r="S39" i="10"/>
  <c r="O39" i="10"/>
  <c r="P39" i="10"/>
  <c r="R39" i="10"/>
  <c r="S39" i="23"/>
  <c r="O39" i="23"/>
  <c r="Q39" i="23"/>
  <c r="P39" i="23"/>
  <c r="W42" i="23"/>
  <c r="X42" i="23"/>
  <c r="N38" i="20"/>
  <c r="N39" i="20"/>
  <c r="N38" i="4"/>
  <c r="N39" i="4"/>
  <c r="N39" i="27"/>
  <c r="N38" i="27"/>
  <c r="N38" i="22"/>
  <c r="N39" i="22"/>
  <c r="N39" i="17"/>
  <c r="N38" i="17"/>
  <c r="N39" i="21"/>
  <c r="N38" i="21"/>
  <c r="N39" i="18"/>
  <c r="N38" i="18"/>
  <c r="T47" i="4"/>
  <c r="U47" i="4" s="1"/>
  <c r="V48" i="4" s="1"/>
  <c r="N39" i="14"/>
  <c r="N38" i="14"/>
  <c r="S39" i="26"/>
  <c r="R39" i="26"/>
  <c r="P39" i="26"/>
  <c r="O39" i="26"/>
  <c r="Q39" i="26"/>
  <c r="L47" i="4"/>
  <c r="M47" i="4" s="1"/>
  <c r="N48" i="4" s="1"/>
  <c r="W57" i="22"/>
  <c r="Y57" i="22"/>
  <c r="X57" i="22"/>
  <c r="S57" i="20"/>
  <c r="R57" i="20"/>
  <c r="Q57" i="20"/>
  <c r="O57" i="20"/>
  <c r="P57" i="20"/>
  <c r="Y57" i="21"/>
  <c r="W57" i="21"/>
  <c r="X57" i="21"/>
  <c r="P57" i="4"/>
  <c r="R57" i="4"/>
  <c r="S57" i="4"/>
  <c r="Q57" i="4"/>
  <c r="O57" i="4"/>
  <c r="Y57" i="4"/>
  <c r="W57" i="4"/>
  <c r="X57" i="4"/>
  <c r="S57" i="22"/>
  <c r="Q57" i="22"/>
  <c r="P57" i="22"/>
  <c r="O57" i="22"/>
  <c r="R57" i="22"/>
  <c r="W57" i="20"/>
  <c r="Y57" i="20"/>
  <c r="X57" i="20"/>
  <c r="V44" i="23"/>
  <c r="V45" i="23"/>
  <c r="X57" i="17"/>
  <c r="W57" i="17"/>
  <c r="Y57" i="17"/>
  <c r="P57" i="17"/>
  <c r="R57" i="17"/>
  <c r="S57" i="17"/>
  <c r="Q57" i="17"/>
  <c r="O57" i="17"/>
  <c r="N45" i="23"/>
  <c r="N44" i="23"/>
  <c r="P57" i="21"/>
  <c r="S57" i="21"/>
  <c r="R57" i="21"/>
  <c r="O57" i="21"/>
  <c r="Q57" i="21"/>
  <c r="O57" i="14"/>
  <c r="Q57" i="14"/>
  <c r="S57" i="14"/>
  <c r="P57" i="14"/>
  <c r="R57" i="14"/>
  <c r="W57" i="27"/>
  <c r="X57" i="27"/>
  <c r="Y57" i="27"/>
  <c r="S57" i="18"/>
  <c r="O57" i="18"/>
  <c r="R57" i="18"/>
  <c r="Q57" i="18"/>
  <c r="P57" i="18"/>
  <c r="X57" i="14"/>
  <c r="W57" i="14"/>
  <c r="Y57" i="14"/>
  <c r="W57" i="18"/>
  <c r="Y57" i="18"/>
  <c r="X57" i="18"/>
  <c r="W48" i="10"/>
  <c r="Y48" i="10"/>
  <c r="X48" i="10"/>
  <c r="V45" i="10"/>
  <c r="V44" i="10"/>
  <c r="O57" i="27"/>
  <c r="S57" i="27"/>
  <c r="P57" i="27"/>
  <c r="R57" i="27"/>
  <c r="Q57" i="27"/>
  <c r="S51" i="4"/>
  <c r="Q51" i="4"/>
  <c r="O51" i="4"/>
  <c r="P51" i="4"/>
  <c r="R51" i="4"/>
  <c r="T44" i="4"/>
  <c r="U44" i="4" s="1"/>
  <c r="X51" i="14"/>
  <c r="Y51" i="14"/>
  <c r="W51" i="14"/>
  <c r="X51" i="4"/>
  <c r="Y51" i="4"/>
  <c r="W51" i="4"/>
  <c r="S51" i="14"/>
  <c r="O51" i="14"/>
  <c r="Q51" i="14"/>
  <c r="X51" i="22"/>
  <c r="W51" i="22"/>
  <c r="Y51" i="22"/>
  <c r="W51" i="18"/>
  <c r="Y51" i="18"/>
  <c r="X51" i="18"/>
  <c r="W51" i="20"/>
  <c r="X51" i="20"/>
  <c r="Y51" i="20"/>
  <c r="V45" i="26"/>
  <c r="V44" i="26"/>
  <c r="S51" i="20"/>
  <c r="P51" i="20"/>
  <c r="O51" i="20"/>
  <c r="Q51" i="18"/>
  <c r="P51" i="18"/>
  <c r="R51" i="18"/>
  <c r="O51" i="18"/>
  <c r="S51" i="18"/>
  <c r="Q51" i="22"/>
  <c r="P51" i="22"/>
  <c r="S51" i="22"/>
  <c r="O51" i="22"/>
  <c r="R51" i="22"/>
  <c r="O51" i="27"/>
  <c r="S51" i="27"/>
  <c r="Q51" i="27"/>
  <c r="R51" i="27"/>
  <c r="P51" i="27"/>
  <c r="Y45" i="13"/>
  <c r="X45" i="13"/>
  <c r="W45" i="13"/>
  <c r="R45" i="25"/>
  <c r="O45" i="25"/>
  <c r="P45" i="25"/>
  <c r="Q45" i="25"/>
  <c r="S45" i="25"/>
  <c r="X45" i="8"/>
  <c r="Y45" i="8"/>
  <c r="W45" i="8"/>
  <c r="X45" i="12"/>
  <c r="Y45" i="12"/>
  <c r="W45" i="12"/>
  <c r="S45" i="13"/>
  <c r="P45" i="13"/>
  <c r="R45" i="13"/>
  <c r="Q45" i="13"/>
  <c r="O45" i="13"/>
  <c r="X45" i="11"/>
  <c r="Y45" i="11"/>
  <c r="W45" i="11"/>
  <c r="S45" i="24"/>
  <c r="R45" i="24"/>
  <c r="Q45" i="24"/>
  <c r="P45" i="24"/>
  <c r="O45" i="24"/>
  <c r="W45" i="9"/>
  <c r="X45" i="9"/>
  <c r="Y45" i="9"/>
  <c r="X45" i="25"/>
  <c r="W45" i="25"/>
  <c r="Y45" i="25"/>
  <c r="T44" i="21"/>
  <c r="U44" i="21" s="1"/>
  <c r="L44" i="21"/>
  <c r="M44" i="21" s="1"/>
  <c r="X45" i="16"/>
  <c r="W45" i="16"/>
  <c r="Y45" i="16"/>
  <c r="Q45" i="9"/>
  <c r="R45" i="9"/>
  <c r="S45" i="9"/>
  <c r="P45" i="9"/>
  <c r="O45" i="9"/>
  <c r="P45" i="8"/>
  <c r="O45" i="8"/>
  <c r="R45" i="8"/>
  <c r="S45" i="8"/>
  <c r="Q45" i="8"/>
  <c r="R45" i="12"/>
  <c r="P45" i="12"/>
  <c r="Q45" i="12"/>
  <c r="S45" i="12"/>
  <c r="O45" i="12"/>
  <c r="P45" i="16"/>
  <c r="R45" i="16"/>
  <c r="O45" i="16"/>
  <c r="Q45" i="16"/>
  <c r="S45" i="16"/>
  <c r="W51" i="21"/>
  <c r="X51" i="21"/>
  <c r="Y51" i="21"/>
  <c r="T44" i="17"/>
  <c r="U44" i="17" s="1"/>
  <c r="Y51" i="27"/>
  <c r="X51" i="27"/>
  <c r="W51" i="27"/>
  <c r="V48" i="21"/>
  <c r="V47" i="21"/>
  <c r="Q51" i="17"/>
  <c r="O51" i="17"/>
  <c r="S51" i="17"/>
  <c r="P51" i="17"/>
  <c r="R51" i="17"/>
  <c r="O45" i="11"/>
  <c r="S45" i="11"/>
  <c r="W51" i="17"/>
  <c r="Y51" i="17"/>
  <c r="X51" i="17"/>
  <c r="R51" i="14" l="1"/>
  <c r="P51" i="21"/>
  <c r="O51" i="21"/>
  <c r="Q51" i="21"/>
  <c r="R51" i="21"/>
  <c r="L44" i="20"/>
  <c r="M44" i="20" s="1"/>
  <c r="L44" i="17"/>
  <c r="M44" i="17" s="1"/>
  <c r="Q51" i="20"/>
  <c r="P45" i="11"/>
  <c r="Q45" i="11"/>
  <c r="R51" i="20"/>
  <c r="V53" i="20"/>
  <c r="Y54" i="20" s="1"/>
  <c r="O42" i="24"/>
  <c r="L47" i="21"/>
  <c r="M47" i="21" s="1"/>
  <c r="R42" i="24"/>
  <c r="Q42" i="24"/>
  <c r="P42" i="24"/>
  <c r="N44" i="10"/>
  <c r="N45" i="26"/>
  <c r="L44" i="22"/>
  <c r="M44" i="22" s="1"/>
  <c r="N45" i="22" s="1"/>
  <c r="T44" i="22"/>
  <c r="U44" i="22" s="1"/>
  <c r="L44" i="18"/>
  <c r="M44" i="18" s="1"/>
  <c r="N45" i="18" s="1"/>
  <c r="T44" i="20"/>
  <c r="U44" i="20" s="1"/>
  <c r="X42" i="10"/>
  <c r="V48" i="27"/>
  <c r="V47" i="14"/>
  <c r="L44" i="14"/>
  <c r="M44" i="14" s="1"/>
  <c r="N44" i="14" s="1"/>
  <c r="L44" i="4"/>
  <c r="M44" i="4" s="1"/>
  <c r="Q54" i="21"/>
  <c r="R25" i="3" s="1"/>
  <c r="O54" i="21"/>
  <c r="P25" i="3" s="1"/>
  <c r="S54" i="21"/>
  <c r="T25" i="3" s="1"/>
  <c r="P54" i="21"/>
  <c r="Q25" i="3" s="1"/>
  <c r="R54" i="21"/>
  <c r="S25" i="3" s="1"/>
  <c r="V60" i="22"/>
  <c r="V59" i="22"/>
  <c r="Y54" i="21"/>
  <c r="AA25" i="3" s="1"/>
  <c r="W54" i="21"/>
  <c r="Y25" i="3" s="1"/>
  <c r="X54" i="21"/>
  <c r="Z25" i="3" s="1"/>
  <c r="Q48" i="8"/>
  <c r="P48" i="8"/>
  <c r="S48" i="8"/>
  <c r="R48" i="8"/>
  <c r="O48" i="8"/>
  <c r="N60" i="17"/>
  <c r="N59" i="17"/>
  <c r="W54" i="4"/>
  <c r="Y13" i="3" s="1"/>
  <c r="X54" i="4"/>
  <c r="Z13" i="3" s="1"/>
  <c r="Y54" i="4"/>
  <c r="AA13" i="3" s="1"/>
  <c r="V59" i="27"/>
  <c r="V60" i="27"/>
  <c r="P60" i="26"/>
  <c r="O60" i="26"/>
  <c r="S60" i="26"/>
  <c r="Q60" i="26"/>
  <c r="R60" i="26"/>
  <c r="N47" i="4"/>
  <c r="R48" i="4" s="1"/>
  <c r="L47" i="14"/>
  <c r="M47" i="14" s="1"/>
  <c r="N47" i="10"/>
  <c r="N48" i="10"/>
  <c r="X60" i="26"/>
  <c r="W60" i="26"/>
  <c r="Y60" i="26"/>
  <c r="R48" i="9"/>
  <c r="P48" i="9"/>
  <c r="Q48" i="9"/>
  <c r="S48" i="9"/>
  <c r="O48" i="9"/>
  <c r="O54" i="4"/>
  <c r="P13" i="3" s="1"/>
  <c r="R54" i="4"/>
  <c r="S13" i="3" s="1"/>
  <c r="Q54" i="4"/>
  <c r="R13" i="3" s="1"/>
  <c r="P54" i="4"/>
  <c r="Q13" i="3" s="1"/>
  <c r="S54" i="4"/>
  <c r="T13" i="3" s="1"/>
  <c r="Q48" i="12"/>
  <c r="P48" i="12"/>
  <c r="O48" i="12"/>
  <c r="S48" i="12"/>
  <c r="R48" i="12"/>
  <c r="V59" i="17"/>
  <c r="V60" i="17"/>
  <c r="W54" i="17"/>
  <c r="Y22" i="3" s="1"/>
  <c r="X54" i="17"/>
  <c r="Z22" i="3" s="1"/>
  <c r="Y54" i="17"/>
  <c r="AA22" i="3" s="1"/>
  <c r="V60" i="4"/>
  <c r="V59" i="4"/>
  <c r="V48" i="23"/>
  <c r="V47" i="23"/>
  <c r="Q54" i="22"/>
  <c r="R26" i="3" s="1"/>
  <c r="S54" i="22"/>
  <c r="T26" i="3" s="1"/>
  <c r="O54" i="22"/>
  <c r="P26" i="3" s="1"/>
  <c r="R54" i="22"/>
  <c r="S26" i="3" s="1"/>
  <c r="P54" i="22"/>
  <c r="Q26" i="3" s="1"/>
  <c r="L47" i="22"/>
  <c r="M47" i="22" s="1"/>
  <c r="T47" i="22"/>
  <c r="U47" i="22" s="1"/>
  <c r="N60" i="4"/>
  <c r="N59" i="4"/>
  <c r="N48" i="23"/>
  <c r="N47" i="23"/>
  <c r="N60" i="14"/>
  <c r="N59" i="14"/>
  <c r="W48" i="12"/>
  <c r="Y48" i="12"/>
  <c r="X48" i="12"/>
  <c r="X48" i="8"/>
  <c r="W48" i="8"/>
  <c r="Y48" i="8"/>
  <c r="N60" i="21"/>
  <c r="N59" i="21"/>
  <c r="V59" i="14"/>
  <c r="V60" i="14"/>
  <c r="W54" i="22"/>
  <c r="Y26" i="3" s="1"/>
  <c r="Y54" i="22"/>
  <c r="AA26" i="3" s="1"/>
  <c r="X54" i="22"/>
  <c r="Z26" i="3" s="1"/>
  <c r="R54" i="20"/>
  <c r="S24" i="3" s="1"/>
  <c r="O54" i="20"/>
  <c r="P24" i="3" s="1"/>
  <c r="S54" i="20"/>
  <c r="T24" i="3" s="1"/>
  <c r="P54" i="20"/>
  <c r="Q24" i="3" s="1"/>
  <c r="Q54" i="20"/>
  <c r="R24" i="3" s="1"/>
  <c r="X54" i="20"/>
  <c r="N60" i="22"/>
  <c r="N59" i="22"/>
  <c r="V59" i="21"/>
  <c r="V60" i="21"/>
  <c r="V59" i="18"/>
  <c r="V60" i="18"/>
  <c r="T47" i="18"/>
  <c r="U47" i="18" s="1"/>
  <c r="L47" i="18"/>
  <c r="M47" i="18" s="1"/>
  <c r="O54" i="17"/>
  <c r="P22" i="3" s="1"/>
  <c r="Q54" i="17"/>
  <c r="R22" i="3" s="1"/>
  <c r="P54" i="17"/>
  <c r="Q22" i="3" s="1"/>
  <c r="S54" i="17"/>
  <c r="T22" i="3" s="1"/>
  <c r="R54" i="17"/>
  <c r="S22" i="3" s="1"/>
  <c r="N60" i="18"/>
  <c r="N59" i="18"/>
  <c r="Q54" i="27"/>
  <c r="R31" i="3" s="1"/>
  <c r="R54" i="27"/>
  <c r="S31" i="3" s="1"/>
  <c r="P54" i="27"/>
  <c r="Q31" i="3" s="1"/>
  <c r="O54" i="27"/>
  <c r="P31" i="3" s="1"/>
  <c r="S54" i="27"/>
  <c r="T31" i="3" s="1"/>
  <c r="N48" i="26"/>
  <c r="N47" i="26"/>
  <c r="N59" i="20"/>
  <c r="N60" i="20"/>
  <c r="Y54" i="14"/>
  <c r="X54" i="14"/>
  <c r="W54" i="14"/>
  <c r="L47" i="27"/>
  <c r="M47" i="27" s="1"/>
  <c r="T47" i="20"/>
  <c r="U47" i="20" s="1"/>
  <c r="L47" i="20"/>
  <c r="M47" i="20" s="1"/>
  <c r="P54" i="14"/>
  <c r="Q20" i="3" s="1"/>
  <c r="Q54" i="14"/>
  <c r="R20" i="3" s="1"/>
  <c r="S54" i="14"/>
  <c r="T20" i="3" s="1"/>
  <c r="O54" i="14"/>
  <c r="P20" i="3" s="1"/>
  <c r="R54" i="14"/>
  <c r="S20" i="3" s="1"/>
  <c r="V48" i="26"/>
  <c r="V47" i="26"/>
  <c r="X54" i="18"/>
  <c r="Z23" i="3" s="1"/>
  <c r="Y54" i="18"/>
  <c r="AA23" i="3" s="1"/>
  <c r="W54" i="18"/>
  <c r="Y23" i="3" s="1"/>
  <c r="V60" i="20"/>
  <c r="V59" i="20"/>
  <c r="W54" i="27"/>
  <c r="Y31" i="3" s="1"/>
  <c r="X54" i="27"/>
  <c r="Z31" i="3" s="1"/>
  <c r="Y54" i="27"/>
  <c r="AA31" i="3" s="1"/>
  <c r="N59" i="27"/>
  <c r="N60" i="27"/>
  <c r="O48" i="13"/>
  <c r="P48" i="13"/>
  <c r="S48" i="13"/>
  <c r="Q48" i="13"/>
  <c r="R48" i="13"/>
  <c r="T47" i="17"/>
  <c r="U47" i="17" s="1"/>
  <c r="L47" i="17"/>
  <c r="M47" i="17" s="1"/>
  <c r="Y48" i="13"/>
  <c r="X48" i="13"/>
  <c r="W48" i="13"/>
  <c r="Q54" i="18"/>
  <c r="R23" i="3" s="1"/>
  <c r="S54" i="18"/>
  <c r="T23" i="3" s="1"/>
  <c r="O54" i="18"/>
  <c r="P23" i="3" s="1"/>
  <c r="R54" i="18"/>
  <c r="S23" i="3" s="1"/>
  <c r="P54" i="18"/>
  <c r="Q23" i="3" s="1"/>
  <c r="V47" i="4"/>
  <c r="Y48" i="4" s="1"/>
  <c r="Y42" i="10"/>
  <c r="T41" i="4"/>
  <c r="U41" i="4" s="1"/>
  <c r="V41" i="4" s="1"/>
  <c r="W42" i="4" s="1"/>
  <c r="V42" i="21"/>
  <c r="Y42" i="21" s="1"/>
  <c r="V42" i="20"/>
  <c r="W42" i="26"/>
  <c r="Y42" i="26"/>
  <c r="L41" i="17"/>
  <c r="M41" i="17" s="1"/>
  <c r="O42" i="11"/>
  <c r="S42" i="11"/>
  <c r="Q42" i="11"/>
  <c r="R42" i="11"/>
  <c r="P42" i="11"/>
  <c r="L41" i="14"/>
  <c r="M41" i="14" s="1"/>
  <c r="L41" i="20"/>
  <c r="M41" i="20" s="1"/>
  <c r="N41" i="26"/>
  <c r="N42" i="26"/>
  <c r="V41" i="14"/>
  <c r="W42" i="14" s="1"/>
  <c r="Q39" i="20"/>
  <c r="V42" i="22"/>
  <c r="Y42" i="22" s="1"/>
  <c r="V41" i="18"/>
  <c r="W42" i="18" s="1"/>
  <c r="L41" i="22"/>
  <c r="M41" i="22" s="1"/>
  <c r="P39" i="4"/>
  <c r="N42" i="23"/>
  <c r="N41" i="23"/>
  <c r="S42" i="9"/>
  <c r="P42" i="9"/>
  <c r="R42" i="9"/>
  <c r="O42" i="9"/>
  <c r="Q42" i="9"/>
  <c r="O42" i="8"/>
  <c r="S42" i="8"/>
  <c r="R42" i="8"/>
  <c r="P42" i="8"/>
  <c r="Q42" i="8"/>
  <c r="R42" i="12"/>
  <c r="O42" i="12"/>
  <c r="S42" i="12"/>
  <c r="P42" i="12"/>
  <c r="Q42" i="12"/>
  <c r="S42" i="25"/>
  <c r="R42" i="25"/>
  <c r="O42" i="25"/>
  <c r="Q42" i="25"/>
  <c r="P42" i="25"/>
  <c r="V41" i="27"/>
  <c r="W42" i="27" s="1"/>
  <c r="V41" i="17"/>
  <c r="W42" i="17" s="1"/>
  <c r="L41" i="4"/>
  <c r="M41" i="4" s="1"/>
  <c r="Q42" i="16"/>
  <c r="O42" i="16"/>
  <c r="P42" i="16"/>
  <c r="S42" i="16"/>
  <c r="R42" i="16"/>
  <c r="L41" i="21"/>
  <c r="M41" i="21" s="1"/>
  <c r="L41" i="27"/>
  <c r="M41" i="27" s="1"/>
  <c r="R42" i="13"/>
  <c r="P42" i="13"/>
  <c r="Q42" i="13"/>
  <c r="S42" i="13"/>
  <c r="O42" i="13"/>
  <c r="N42" i="10"/>
  <c r="N41" i="10"/>
  <c r="L41" i="18"/>
  <c r="M41" i="18" s="1"/>
  <c r="X42" i="21"/>
  <c r="W42" i="21"/>
  <c r="S39" i="17"/>
  <c r="R39" i="17"/>
  <c r="Q39" i="17"/>
  <c r="O39" i="17"/>
  <c r="P39" i="17"/>
  <c r="Q39" i="18"/>
  <c r="R39" i="18"/>
  <c r="O39" i="18"/>
  <c r="P39" i="18"/>
  <c r="S39" i="18"/>
  <c r="O39" i="20"/>
  <c r="S39" i="20"/>
  <c r="P39" i="20"/>
  <c r="R39" i="20"/>
  <c r="S39" i="22"/>
  <c r="Q39" i="22"/>
  <c r="O39" i="22"/>
  <c r="P39" i="22"/>
  <c r="R39" i="22"/>
  <c r="S39" i="27"/>
  <c r="P39" i="27"/>
  <c r="R39" i="27"/>
  <c r="O39" i="27"/>
  <c r="Q39" i="27"/>
  <c r="W42" i="22"/>
  <c r="X42" i="22"/>
  <c r="Y42" i="20"/>
  <c r="W42" i="20"/>
  <c r="X42" i="20"/>
  <c r="R39" i="21"/>
  <c r="O39" i="21"/>
  <c r="Q39" i="21"/>
  <c r="P39" i="21"/>
  <c r="S39" i="21"/>
  <c r="P39" i="14"/>
  <c r="S39" i="14"/>
  <c r="O39" i="14"/>
  <c r="Q39" i="14"/>
  <c r="R39" i="14"/>
  <c r="S39" i="4"/>
  <c r="O39" i="4"/>
  <c r="R39" i="4"/>
  <c r="Q39" i="4"/>
  <c r="R45" i="10"/>
  <c r="O45" i="10"/>
  <c r="S45" i="10"/>
  <c r="Q45" i="10"/>
  <c r="P45" i="10"/>
  <c r="S45" i="23"/>
  <c r="Q45" i="23"/>
  <c r="O45" i="23"/>
  <c r="R45" i="23"/>
  <c r="P45" i="23"/>
  <c r="W45" i="10"/>
  <c r="X45" i="10"/>
  <c r="Y45" i="10"/>
  <c r="W45" i="23"/>
  <c r="X45" i="23"/>
  <c r="Y45" i="23"/>
  <c r="X48" i="4"/>
  <c r="W48" i="4"/>
  <c r="V45" i="14"/>
  <c r="V44" i="14"/>
  <c r="N45" i="14"/>
  <c r="V44" i="4"/>
  <c r="V45" i="4"/>
  <c r="W48" i="14"/>
  <c r="X48" i="14"/>
  <c r="Y48" i="14"/>
  <c r="N44" i="4"/>
  <c r="N45" i="4"/>
  <c r="V45" i="18"/>
  <c r="V44" i="18"/>
  <c r="Y45" i="26"/>
  <c r="W45" i="26"/>
  <c r="X45" i="26"/>
  <c r="V45" i="20"/>
  <c r="V44" i="20"/>
  <c r="N45" i="20"/>
  <c r="N44" i="20"/>
  <c r="O45" i="26"/>
  <c r="Q45" i="26"/>
  <c r="R45" i="26"/>
  <c r="S45" i="26"/>
  <c r="P45" i="26"/>
  <c r="V44" i="22"/>
  <c r="V45" i="22"/>
  <c r="X48" i="27"/>
  <c r="Y48" i="27"/>
  <c r="W48" i="27"/>
  <c r="Y48" i="21"/>
  <c r="W48" i="21"/>
  <c r="X48" i="21"/>
  <c r="N44" i="21"/>
  <c r="N45" i="21"/>
  <c r="V45" i="21"/>
  <c r="V44" i="21"/>
  <c r="N44" i="17"/>
  <c r="N45" i="17"/>
  <c r="V45" i="17"/>
  <c r="V44" i="17"/>
  <c r="N45" i="27"/>
  <c r="N44" i="27"/>
  <c r="V45" i="27"/>
  <c r="V44" i="27"/>
  <c r="W54" i="20" l="1"/>
  <c r="N44" i="22"/>
  <c r="N44" i="18"/>
  <c r="X42" i="14"/>
  <c r="N47" i="21"/>
  <c r="N48" i="21"/>
  <c r="Y42" i="14"/>
  <c r="Q48" i="4"/>
  <c r="S48" i="4"/>
  <c r="O48" i="4"/>
  <c r="P48" i="4"/>
  <c r="X42" i="4"/>
  <c r="V42" i="4"/>
  <c r="Y42" i="4" s="1"/>
  <c r="S60" i="18"/>
  <c r="O60" i="18"/>
  <c r="R60" i="18"/>
  <c r="Q60" i="18"/>
  <c r="P60" i="18"/>
  <c r="X60" i="21"/>
  <c r="Y60" i="21"/>
  <c r="W60" i="21"/>
  <c r="S60" i="14"/>
  <c r="P60" i="14"/>
  <c r="Q60" i="14"/>
  <c r="R60" i="14"/>
  <c r="O60" i="14"/>
  <c r="X48" i="26"/>
  <c r="W48" i="26"/>
  <c r="Y48" i="26"/>
  <c r="P60" i="22"/>
  <c r="R60" i="22"/>
  <c r="S60" i="22"/>
  <c r="Q60" i="22"/>
  <c r="O60" i="22"/>
  <c r="X48" i="23"/>
  <c r="W48" i="23"/>
  <c r="Y48" i="23"/>
  <c r="S48" i="23"/>
  <c r="O48" i="23"/>
  <c r="P48" i="23"/>
  <c r="R48" i="23"/>
  <c r="Q48" i="23"/>
  <c r="Y60" i="27"/>
  <c r="X60" i="27"/>
  <c r="W60" i="27"/>
  <c r="P60" i="27"/>
  <c r="Q60" i="27"/>
  <c r="R60" i="27"/>
  <c r="S60" i="27"/>
  <c r="O60" i="27"/>
  <c r="Y60" i="14"/>
  <c r="W60" i="14"/>
  <c r="X60" i="14"/>
  <c r="W60" i="4"/>
  <c r="X60" i="4"/>
  <c r="Y60" i="4"/>
  <c r="S60" i="20"/>
  <c r="R60" i="20"/>
  <c r="O60" i="20"/>
  <c r="Q60" i="20"/>
  <c r="P60" i="20"/>
  <c r="P60" i="21"/>
  <c r="Q60" i="21"/>
  <c r="R60" i="21"/>
  <c r="O60" i="21"/>
  <c r="S60" i="21"/>
  <c r="Q60" i="4"/>
  <c r="P60" i="4"/>
  <c r="R60" i="4"/>
  <c r="S60" i="4"/>
  <c r="O60" i="4"/>
  <c r="W60" i="22"/>
  <c r="Y60" i="22"/>
  <c r="X60" i="22"/>
  <c r="P48" i="26"/>
  <c r="Q48" i="26"/>
  <c r="O48" i="26"/>
  <c r="S48" i="26"/>
  <c r="R48" i="26"/>
  <c r="R48" i="10"/>
  <c r="O48" i="10"/>
  <c r="S48" i="10"/>
  <c r="Q48" i="10"/>
  <c r="P48" i="10"/>
  <c r="V48" i="22"/>
  <c r="V47" i="22"/>
  <c r="N47" i="14"/>
  <c r="N48" i="14"/>
  <c r="Q60" i="17"/>
  <c r="S60" i="17"/>
  <c r="P60" i="17"/>
  <c r="O60" i="17"/>
  <c r="R60" i="17"/>
  <c r="N48" i="18"/>
  <c r="N47" i="18"/>
  <c r="N48" i="22"/>
  <c r="N47" i="22"/>
  <c r="V48" i="17"/>
  <c r="V47" i="17"/>
  <c r="W60" i="20"/>
  <c r="X60" i="20"/>
  <c r="Y60" i="20"/>
  <c r="N48" i="20"/>
  <c r="N47" i="20"/>
  <c r="V48" i="18"/>
  <c r="V47" i="18"/>
  <c r="N47" i="17"/>
  <c r="N48" i="17"/>
  <c r="V48" i="20"/>
  <c r="V47" i="20"/>
  <c r="W60" i="17"/>
  <c r="X60" i="17"/>
  <c r="Y60" i="17"/>
  <c r="N47" i="27"/>
  <c r="N48" i="27"/>
  <c r="W60" i="18"/>
  <c r="Y60" i="18"/>
  <c r="X60" i="18"/>
  <c r="Y42" i="27"/>
  <c r="X42" i="18"/>
  <c r="Y42" i="18"/>
  <c r="X42" i="17"/>
  <c r="N42" i="17"/>
  <c r="N41" i="17"/>
  <c r="R42" i="26"/>
  <c r="Q42" i="26"/>
  <c r="P42" i="26"/>
  <c r="O42" i="26"/>
  <c r="S42" i="26"/>
  <c r="N41" i="20"/>
  <c r="N42" i="20"/>
  <c r="N42" i="14"/>
  <c r="N41" i="14"/>
  <c r="Y42" i="17"/>
  <c r="P42" i="23"/>
  <c r="R42" i="23"/>
  <c r="S42" i="23"/>
  <c r="Q42" i="23"/>
  <c r="O42" i="23"/>
  <c r="N42" i="22"/>
  <c r="N41" i="22"/>
  <c r="N41" i="4"/>
  <c r="N42" i="4"/>
  <c r="N41" i="27"/>
  <c r="N42" i="27"/>
  <c r="X42" i="27"/>
  <c r="N42" i="21"/>
  <c r="N41" i="21"/>
  <c r="N41" i="18"/>
  <c r="N42" i="18"/>
  <c r="O42" i="10"/>
  <c r="R42" i="10"/>
  <c r="Q42" i="10"/>
  <c r="S42" i="10"/>
  <c r="P42" i="10"/>
  <c r="R45" i="4"/>
  <c r="S45" i="4"/>
  <c r="Q45" i="4"/>
  <c r="O45" i="4"/>
  <c r="P45" i="4"/>
  <c r="X45" i="14"/>
  <c r="Y45" i="14"/>
  <c r="W45" i="14"/>
  <c r="Y45" i="4"/>
  <c r="X45" i="4"/>
  <c r="W45" i="4"/>
  <c r="P45" i="14"/>
  <c r="R45" i="14"/>
  <c r="O45" i="14"/>
  <c r="S45" i="14"/>
  <c r="Q45" i="14"/>
  <c r="X45" i="20"/>
  <c r="Y45" i="20"/>
  <c r="W45" i="20"/>
  <c r="P45" i="22"/>
  <c r="R45" i="22"/>
  <c r="O45" i="22"/>
  <c r="S45" i="22"/>
  <c r="Q45" i="22"/>
  <c r="S45" i="20"/>
  <c r="O45" i="20"/>
  <c r="P45" i="20"/>
  <c r="R45" i="20"/>
  <c r="Q45" i="20"/>
  <c r="X45" i="22"/>
  <c r="Y45" i="22"/>
  <c r="W45" i="22"/>
  <c r="W45" i="18"/>
  <c r="Y45" i="18"/>
  <c r="X45" i="18"/>
  <c r="S45" i="18"/>
  <c r="P45" i="18"/>
  <c r="R45" i="18"/>
  <c r="O45" i="18"/>
  <c r="Q45" i="18"/>
  <c r="R45" i="17"/>
  <c r="P45" i="17"/>
  <c r="O45" i="17"/>
  <c r="S45" i="17"/>
  <c r="Q45" i="17"/>
  <c r="Y45" i="21"/>
  <c r="X45" i="21"/>
  <c r="W45" i="21"/>
  <c r="O45" i="21"/>
  <c r="R45" i="21"/>
  <c r="S45" i="21"/>
  <c r="Q45" i="21"/>
  <c r="P45" i="21"/>
  <c r="X45" i="17"/>
  <c r="Y45" i="17"/>
  <c r="W45" i="17"/>
  <c r="W45" i="27"/>
  <c r="X45" i="27"/>
  <c r="Y45" i="27"/>
  <c r="R45" i="27"/>
  <c r="P45" i="27"/>
  <c r="Q45" i="27"/>
  <c r="S45" i="27"/>
  <c r="O45" i="27"/>
  <c r="J26" i="26"/>
  <c r="J23" i="26" s="1"/>
  <c r="J25" i="26"/>
  <c r="K25" i="26" s="1"/>
  <c r="Q48" i="21" l="1"/>
  <c r="R48" i="21"/>
  <c r="O48" i="21"/>
  <c r="P48" i="21"/>
  <c r="S48" i="21"/>
  <c r="S48" i="17"/>
  <c r="R48" i="17"/>
  <c r="P48" i="17"/>
  <c r="O48" i="17"/>
  <c r="Q48" i="17"/>
  <c r="Q48" i="18"/>
  <c r="O48" i="18"/>
  <c r="R48" i="18"/>
  <c r="S48" i="18"/>
  <c r="P48" i="18"/>
  <c r="Y48" i="18"/>
  <c r="W48" i="18"/>
  <c r="X48" i="18"/>
  <c r="S48" i="20"/>
  <c r="P48" i="20"/>
  <c r="Q48" i="20"/>
  <c r="R48" i="20"/>
  <c r="O48" i="20"/>
  <c r="H19" i="3"/>
  <c r="H20" i="3"/>
  <c r="S48" i="27"/>
  <c r="P48" i="27"/>
  <c r="Q48" i="27"/>
  <c r="O48" i="27"/>
  <c r="R48" i="27"/>
  <c r="X48" i="17"/>
  <c r="Y48" i="17"/>
  <c r="W48" i="17"/>
  <c r="Q48" i="14"/>
  <c r="P48" i="14"/>
  <c r="O48" i="14"/>
  <c r="R48" i="14"/>
  <c r="S48" i="14"/>
  <c r="X48" i="20"/>
  <c r="W48" i="20"/>
  <c r="Y48" i="20"/>
  <c r="Y48" i="22"/>
  <c r="X48" i="22"/>
  <c r="W48" i="22"/>
  <c r="P48" i="22"/>
  <c r="S48" i="22"/>
  <c r="O48" i="22"/>
  <c r="R48" i="22"/>
  <c r="Q48" i="22"/>
  <c r="R42" i="17"/>
  <c r="O42" i="17"/>
  <c r="P42" i="17"/>
  <c r="S42" i="17"/>
  <c r="Q42" i="17"/>
  <c r="R42" i="14"/>
  <c r="S42" i="14"/>
  <c r="Q42" i="14"/>
  <c r="O42" i="14"/>
  <c r="P42" i="14"/>
  <c r="Q42" i="20"/>
  <c r="P42" i="20"/>
  <c r="S42" i="20"/>
  <c r="O42" i="20"/>
  <c r="R42" i="20"/>
  <c r="R42" i="22"/>
  <c r="S42" i="22"/>
  <c r="O42" i="22"/>
  <c r="P42" i="22"/>
  <c r="Q42" i="22"/>
  <c r="K26" i="26"/>
  <c r="K23" i="26"/>
  <c r="J22" i="26"/>
  <c r="K22" i="26" s="1"/>
  <c r="L20" i="26" s="1"/>
  <c r="M20" i="26" s="1"/>
  <c r="P42" i="18"/>
  <c r="S42" i="18"/>
  <c r="O42" i="18"/>
  <c r="Q42" i="18"/>
  <c r="R42" i="18"/>
  <c r="Q42" i="21"/>
  <c r="S42" i="21"/>
  <c r="O42" i="21"/>
  <c r="R42" i="21"/>
  <c r="P42" i="21"/>
  <c r="Q42" i="27"/>
  <c r="P42" i="27"/>
  <c r="S42" i="27"/>
  <c r="R42" i="27"/>
  <c r="O42" i="27"/>
  <c r="Q42" i="4"/>
  <c r="S42" i="4"/>
  <c r="P42" i="4"/>
  <c r="R42" i="4"/>
  <c r="O42" i="4"/>
  <c r="L26" i="26" l="1"/>
  <c r="M26" i="26" s="1"/>
  <c r="T26" i="26"/>
  <c r="U26" i="26" s="1"/>
  <c r="T23" i="26"/>
  <c r="U23" i="26" s="1"/>
  <c r="L23" i="26"/>
  <c r="M23" i="26" s="1"/>
  <c r="N20" i="26"/>
  <c r="N21" i="26"/>
  <c r="V27" i="26" l="1"/>
  <c r="V26" i="26"/>
  <c r="N26" i="26"/>
  <c r="N27" i="26"/>
  <c r="N23" i="26"/>
  <c r="N24" i="26"/>
  <c r="S21" i="26"/>
  <c r="P21" i="26"/>
  <c r="O21" i="26"/>
  <c r="Q21" i="26"/>
  <c r="R21" i="26"/>
  <c r="V23" i="26"/>
  <c r="V24" i="26"/>
  <c r="X27" i="26" l="1"/>
  <c r="Y27" i="26"/>
  <c r="W27" i="26"/>
  <c r="O27" i="26"/>
  <c r="S27" i="26"/>
  <c r="Q27" i="26"/>
  <c r="P27" i="26"/>
  <c r="R27" i="26"/>
  <c r="X24" i="26"/>
  <c r="W24" i="26"/>
  <c r="Y24" i="26"/>
  <c r="P24" i="26"/>
  <c r="R24" i="26"/>
  <c r="S24" i="26"/>
  <c r="O24" i="26"/>
  <c r="Q24" i="26"/>
  <c r="J88" i="24"/>
  <c r="K88" i="24" s="1"/>
  <c r="J61" i="8"/>
  <c r="K61" i="8" s="1"/>
  <c r="L59" i="8" s="1"/>
  <c r="M59" i="8" s="1"/>
  <c r="J65" i="8"/>
  <c r="J64" i="8" s="1"/>
  <c r="J65" i="23"/>
  <c r="J64" i="23" s="1"/>
  <c r="J62" i="23" s="1"/>
  <c r="K62" i="23" s="1"/>
  <c r="K65" i="8"/>
  <c r="L65" i="8" s="1"/>
  <c r="M65" i="8" s="1"/>
  <c r="J70" i="12"/>
  <c r="K70" i="12" s="1"/>
  <c r="L68" i="12" s="1"/>
  <c r="M68" i="12" s="1"/>
  <c r="J83" i="16"/>
  <c r="J82" i="16" s="1"/>
  <c r="J70" i="8"/>
  <c r="K70" i="8" s="1"/>
  <c r="L68" i="8" s="1"/>
  <c r="M68" i="8" s="1"/>
  <c r="J83" i="13"/>
  <c r="J82" i="13" s="1"/>
  <c r="K82" i="13" s="1"/>
  <c r="J83" i="8"/>
  <c r="J82" i="8" s="1"/>
  <c r="J83" i="14"/>
  <c r="K83" i="14" s="1"/>
  <c r="J83" i="26"/>
  <c r="J82" i="26" s="1"/>
  <c r="K82" i="26" s="1"/>
  <c r="J74" i="12"/>
  <c r="J73" i="12" s="1"/>
  <c r="J74" i="8"/>
  <c r="J73" i="8" s="1"/>
  <c r="J74" i="25"/>
  <c r="J73" i="25" s="1"/>
  <c r="K73" i="25" s="1"/>
  <c r="J76" i="25"/>
  <c r="K76" i="25" s="1"/>
  <c r="J74" i="14"/>
  <c r="K74" i="14" s="1"/>
  <c r="J68" i="18"/>
  <c r="K68" i="18" s="1"/>
  <c r="J83" i="20"/>
  <c r="J82" i="20" s="1"/>
  <c r="J77" i="20"/>
  <c r="K77" i="20" s="1"/>
  <c r="Y29" i="3"/>
  <c r="Z29" i="3"/>
  <c r="AA29" i="3"/>
  <c r="K83" i="13"/>
  <c r="T83" i="13" s="1"/>
  <c r="U83" i="13" s="1"/>
  <c r="K65" i="23" l="1"/>
  <c r="T65" i="23" s="1"/>
  <c r="U65" i="23" s="1"/>
  <c r="V66" i="23" s="1"/>
  <c r="K83" i="16"/>
  <c r="L83" i="16" s="1"/>
  <c r="M83" i="16" s="1"/>
  <c r="N83" i="16" s="1"/>
  <c r="K83" i="26"/>
  <c r="T83" i="26" s="1"/>
  <c r="U83" i="26" s="1"/>
  <c r="K74" i="25"/>
  <c r="J80" i="13"/>
  <c r="K80" i="13" s="1"/>
  <c r="L80" i="13" s="1"/>
  <c r="M80" i="13" s="1"/>
  <c r="J73" i="14"/>
  <c r="J71" i="14" s="1"/>
  <c r="K71" i="14" s="1"/>
  <c r="K74" i="12"/>
  <c r="L74" i="12" s="1"/>
  <c r="M74" i="12" s="1"/>
  <c r="N74" i="12" s="1"/>
  <c r="J70" i="18"/>
  <c r="K70" i="18" s="1"/>
  <c r="L68" i="18" s="1"/>
  <c r="M68" i="18" s="1"/>
  <c r="J89" i="24"/>
  <c r="K89" i="24" s="1"/>
  <c r="T89" i="24" s="1"/>
  <c r="U89" i="24" s="1"/>
  <c r="K73" i="12"/>
  <c r="J71" i="12"/>
  <c r="K71" i="12" s="1"/>
  <c r="T71" i="12" s="1"/>
  <c r="U71" i="12" s="1"/>
  <c r="T41" i="24"/>
  <c r="U41" i="24" s="1"/>
  <c r="V41" i="24" s="1"/>
  <c r="T53" i="24"/>
  <c r="U53" i="24" s="1"/>
  <c r="V53" i="24" s="1"/>
  <c r="T71" i="24"/>
  <c r="U71" i="24" s="1"/>
  <c r="V71" i="24" s="1"/>
  <c r="T80" i="24"/>
  <c r="U80" i="24" s="1"/>
  <c r="V81" i="24" s="1"/>
  <c r="L86" i="24"/>
  <c r="M86" i="24" s="1"/>
  <c r="T59" i="24"/>
  <c r="U59" i="24" s="1"/>
  <c r="V60" i="24" s="1"/>
  <c r="T77" i="24"/>
  <c r="U77" i="24" s="1"/>
  <c r="T23" i="24"/>
  <c r="U23" i="24" s="1"/>
  <c r="V24" i="24" s="1"/>
  <c r="T14" i="24"/>
  <c r="U14" i="24" s="1"/>
  <c r="T5" i="24"/>
  <c r="U5" i="24" s="1"/>
  <c r="V5" i="24" s="1"/>
  <c r="X6" i="24" s="1"/>
  <c r="T26" i="24"/>
  <c r="U26" i="24" s="1"/>
  <c r="V26" i="24" s="1"/>
  <c r="T35" i="24"/>
  <c r="U35" i="24" s="1"/>
  <c r="T38" i="24"/>
  <c r="U38" i="24" s="1"/>
  <c r="T86" i="24"/>
  <c r="U86" i="24" s="1"/>
  <c r="T17" i="24"/>
  <c r="U17" i="24" s="1"/>
  <c r="T29" i="24"/>
  <c r="U29" i="24" s="1"/>
  <c r="T65" i="24"/>
  <c r="U65" i="24" s="1"/>
  <c r="V66" i="24" s="1"/>
  <c r="T8" i="24"/>
  <c r="U8" i="24" s="1"/>
  <c r="T11" i="24"/>
  <c r="U11" i="24" s="1"/>
  <c r="T47" i="24"/>
  <c r="U47" i="24" s="1"/>
  <c r="T62" i="24"/>
  <c r="U62" i="24" s="1"/>
  <c r="T74" i="24"/>
  <c r="U74" i="24" s="1"/>
  <c r="V74" i="24" s="1"/>
  <c r="T68" i="24"/>
  <c r="U68" i="24" s="1"/>
  <c r="V68" i="24" s="1"/>
  <c r="X69" i="24" s="1"/>
  <c r="T56" i="24"/>
  <c r="U56" i="24" s="1"/>
  <c r="T32" i="24"/>
  <c r="U32" i="24" s="1"/>
  <c r="V32" i="24" s="1"/>
  <c r="T20" i="24"/>
  <c r="U20" i="24" s="1"/>
  <c r="V20" i="24" s="1"/>
  <c r="W21" i="24" s="1"/>
  <c r="T83" i="24"/>
  <c r="U83" i="24" s="1"/>
  <c r="V84" i="13"/>
  <c r="V83" i="13"/>
  <c r="J79" i="20"/>
  <c r="K79" i="20" s="1"/>
  <c r="L77" i="20" s="1"/>
  <c r="M77" i="20" s="1"/>
  <c r="L83" i="13"/>
  <c r="M83" i="13" s="1"/>
  <c r="K83" i="20"/>
  <c r="J80" i="26"/>
  <c r="K80" i="26" s="1"/>
  <c r="T80" i="26" s="1"/>
  <c r="U80" i="26" s="1"/>
  <c r="V80" i="26" s="1"/>
  <c r="K64" i="23"/>
  <c r="L62" i="23" s="1"/>
  <c r="M62" i="23" s="1"/>
  <c r="K83" i="8"/>
  <c r="J82" i="14"/>
  <c r="K82" i="8"/>
  <c r="J80" i="8"/>
  <c r="K80" i="8" s="1"/>
  <c r="N66" i="8"/>
  <c r="N65" i="8"/>
  <c r="T80" i="13"/>
  <c r="U80" i="13" s="1"/>
  <c r="V65" i="23"/>
  <c r="T77" i="20"/>
  <c r="U77" i="20" s="1"/>
  <c r="T71" i="14"/>
  <c r="U71" i="14" s="1"/>
  <c r="N69" i="8"/>
  <c r="N68" i="8"/>
  <c r="J80" i="20"/>
  <c r="K80" i="20" s="1"/>
  <c r="K82" i="20"/>
  <c r="V84" i="26"/>
  <c r="V83" i="26"/>
  <c r="L74" i="14"/>
  <c r="M74" i="14" s="1"/>
  <c r="T74" i="14"/>
  <c r="U74" i="14" s="1"/>
  <c r="N84" i="16"/>
  <c r="J62" i="8"/>
  <c r="K62" i="8" s="1"/>
  <c r="K64" i="8"/>
  <c r="L74" i="25"/>
  <c r="M74" i="25" s="1"/>
  <c r="T62" i="23"/>
  <c r="U62" i="23" s="1"/>
  <c r="J80" i="16"/>
  <c r="K80" i="16" s="1"/>
  <c r="K82" i="16"/>
  <c r="V59" i="24"/>
  <c r="N60" i="8"/>
  <c r="N59" i="8"/>
  <c r="V80" i="24"/>
  <c r="J71" i="8"/>
  <c r="K71" i="8" s="1"/>
  <c r="K73" i="8"/>
  <c r="T83" i="14"/>
  <c r="U83" i="14" s="1"/>
  <c r="L83" i="14"/>
  <c r="M83" i="14" s="1"/>
  <c r="N69" i="12"/>
  <c r="N68" i="12"/>
  <c r="T65" i="8"/>
  <c r="U65" i="8" s="1"/>
  <c r="K73" i="14"/>
  <c r="L71" i="14" s="1"/>
  <c r="M71" i="14" s="1"/>
  <c r="T68" i="18"/>
  <c r="U68" i="18" s="1"/>
  <c r="V65" i="24"/>
  <c r="T44" i="24"/>
  <c r="U44" i="24" s="1"/>
  <c r="J77" i="25"/>
  <c r="J71" i="25"/>
  <c r="K71" i="25" s="1"/>
  <c r="K74" i="8"/>
  <c r="T74" i="25"/>
  <c r="U74" i="25" s="1"/>
  <c r="T50" i="24"/>
  <c r="U50" i="24" s="1"/>
  <c r="L83" i="26" l="1"/>
  <c r="M83" i="26" s="1"/>
  <c r="L65" i="23"/>
  <c r="M65" i="23" s="1"/>
  <c r="V23" i="24"/>
  <c r="V6" i="24"/>
  <c r="Y6" i="24" s="1"/>
  <c r="V75" i="24"/>
  <c r="W75" i="24" s="1"/>
  <c r="T83" i="16"/>
  <c r="U83" i="16" s="1"/>
  <c r="V84" i="16" s="1"/>
  <c r="W6" i="24"/>
  <c r="L89" i="24"/>
  <c r="M89" i="24" s="1"/>
  <c r="X21" i="24"/>
  <c r="V54" i="24"/>
  <c r="V21" i="24"/>
  <c r="Y21" i="24" s="1"/>
  <c r="V33" i="24"/>
  <c r="V42" i="24"/>
  <c r="Y42" i="24" s="1"/>
  <c r="X72" i="24"/>
  <c r="W72" i="24"/>
  <c r="V72" i="24"/>
  <c r="Y72" i="24" s="1"/>
  <c r="W69" i="24"/>
  <c r="T74" i="12"/>
  <c r="U74" i="12" s="1"/>
  <c r="V74" i="12" s="1"/>
  <c r="L71" i="12"/>
  <c r="M71" i="12" s="1"/>
  <c r="N75" i="12"/>
  <c r="Q75" i="12" s="1"/>
  <c r="T83" i="20"/>
  <c r="U83" i="20" s="1"/>
  <c r="L83" i="20"/>
  <c r="M83" i="20" s="1"/>
  <c r="N84" i="13"/>
  <c r="N83" i="13"/>
  <c r="V63" i="24"/>
  <c r="V62" i="24"/>
  <c r="V14" i="24"/>
  <c r="V15" i="24"/>
  <c r="V48" i="24"/>
  <c r="V47" i="24"/>
  <c r="V11" i="24"/>
  <c r="V12" i="24"/>
  <c r="V77" i="24"/>
  <c r="V78" i="24"/>
  <c r="V9" i="24"/>
  <c r="V8" i="24"/>
  <c r="L80" i="26"/>
  <c r="M80" i="26" s="1"/>
  <c r="N80" i="26" s="1"/>
  <c r="X84" i="13"/>
  <c r="Y84" i="13"/>
  <c r="W84" i="13"/>
  <c r="N87" i="24"/>
  <c r="N86" i="24"/>
  <c r="V29" i="24"/>
  <c r="V30" i="24"/>
  <c r="V69" i="24"/>
  <c r="Y69" i="24" s="1"/>
  <c r="V27" i="24"/>
  <c r="V84" i="24"/>
  <c r="V83" i="24"/>
  <c r="V17" i="24"/>
  <c r="V18" i="24"/>
  <c r="V81" i="26"/>
  <c r="Y81" i="26" s="1"/>
  <c r="AA30" i="3" s="1"/>
  <c r="K82" i="14"/>
  <c r="J80" i="14"/>
  <c r="K80" i="14" s="1"/>
  <c r="V86" i="24"/>
  <c r="V87" i="24"/>
  <c r="T83" i="8"/>
  <c r="U83" i="8" s="1"/>
  <c r="L83" i="8"/>
  <c r="M83" i="8" s="1"/>
  <c r="V39" i="24"/>
  <c r="V38" i="24"/>
  <c r="V57" i="24"/>
  <c r="V56" i="24"/>
  <c r="V36" i="24"/>
  <c r="V35" i="24"/>
  <c r="N72" i="14"/>
  <c r="N71" i="14"/>
  <c r="L80" i="16"/>
  <c r="M80" i="16" s="1"/>
  <c r="T80" i="16"/>
  <c r="U80" i="16" s="1"/>
  <c r="V75" i="14"/>
  <c r="V74" i="14"/>
  <c r="X66" i="23"/>
  <c r="W66" i="23"/>
  <c r="Y66" i="23"/>
  <c r="N74" i="14"/>
  <c r="N75" i="14"/>
  <c r="X66" i="24"/>
  <c r="W66" i="24"/>
  <c r="Y66" i="24"/>
  <c r="V80" i="13"/>
  <c r="V81" i="13"/>
  <c r="X81" i="26"/>
  <c r="Z30" i="3" s="1"/>
  <c r="W81" i="26"/>
  <c r="Y30" i="3" s="1"/>
  <c r="L71" i="25"/>
  <c r="M71" i="25" s="1"/>
  <c r="T71" i="25"/>
  <c r="U71" i="25" s="1"/>
  <c r="V69" i="18"/>
  <c r="V68" i="18"/>
  <c r="W42" i="24"/>
  <c r="X42" i="24"/>
  <c r="N81" i="13"/>
  <c r="N80" i="13"/>
  <c r="V83" i="14"/>
  <c r="V84" i="14"/>
  <c r="J79" i="25"/>
  <c r="K79" i="25" s="1"/>
  <c r="K77" i="25"/>
  <c r="T71" i="8"/>
  <c r="U71" i="8" s="1"/>
  <c r="L71" i="8"/>
  <c r="M71" i="8" s="1"/>
  <c r="Y60" i="24"/>
  <c r="W60" i="24"/>
  <c r="X60" i="24"/>
  <c r="Y84" i="26"/>
  <c r="W84" i="26"/>
  <c r="X84" i="26"/>
  <c r="N69" i="18"/>
  <c r="N68" i="18"/>
  <c r="V65" i="8"/>
  <c r="V66" i="8"/>
  <c r="T62" i="8"/>
  <c r="U62" i="8" s="1"/>
  <c r="L62" i="8"/>
  <c r="M62" i="8" s="1"/>
  <c r="S66" i="8"/>
  <c r="P66" i="8"/>
  <c r="R66" i="8"/>
  <c r="Q66" i="8"/>
  <c r="O66" i="8"/>
  <c r="V75" i="25"/>
  <c r="V74" i="25"/>
  <c r="L74" i="8"/>
  <c r="M74" i="8" s="1"/>
  <c r="T74" i="8"/>
  <c r="U74" i="8" s="1"/>
  <c r="Y54" i="24"/>
  <c r="X54" i="24"/>
  <c r="W54" i="24"/>
  <c r="N72" i="12"/>
  <c r="N71" i="12"/>
  <c r="N63" i="23"/>
  <c r="N62" i="23"/>
  <c r="Q60" i="8"/>
  <c r="S60" i="8"/>
  <c r="P60" i="8"/>
  <c r="R60" i="8"/>
  <c r="O60" i="8"/>
  <c r="V71" i="12"/>
  <c r="V72" i="12"/>
  <c r="V63" i="23"/>
  <c r="V62" i="23"/>
  <c r="T80" i="20"/>
  <c r="U80" i="20" s="1"/>
  <c r="L80" i="20"/>
  <c r="M80" i="20" s="1"/>
  <c r="L80" i="8"/>
  <c r="M80" i="8" s="1"/>
  <c r="T80" i="8"/>
  <c r="U80" i="8" s="1"/>
  <c r="V72" i="14"/>
  <c r="V71" i="14"/>
  <c r="V45" i="24"/>
  <c r="V44" i="24"/>
  <c r="S69" i="12"/>
  <c r="P69" i="12"/>
  <c r="Q69" i="12"/>
  <c r="O69" i="12"/>
  <c r="R69" i="12"/>
  <c r="W81" i="24"/>
  <c r="Y28" i="3" s="1"/>
  <c r="Y81" i="24"/>
  <c r="AA28" i="3" s="1"/>
  <c r="X81" i="24"/>
  <c r="Z28" i="3" s="1"/>
  <c r="O75" i="12"/>
  <c r="S75" i="12"/>
  <c r="N74" i="25"/>
  <c r="N75" i="25"/>
  <c r="R69" i="8"/>
  <c r="S69" i="8"/>
  <c r="O69" i="8"/>
  <c r="P69" i="8"/>
  <c r="Q69" i="8"/>
  <c r="N77" i="20"/>
  <c r="N78" i="20"/>
  <c r="Y33" i="24"/>
  <c r="W33" i="24"/>
  <c r="X33" i="24"/>
  <c r="R84" i="16"/>
  <c r="O84" i="16"/>
  <c r="S84" i="16"/>
  <c r="Q84" i="16"/>
  <c r="P84" i="16"/>
  <c r="V78" i="20"/>
  <c r="V77" i="20"/>
  <c r="V90" i="24"/>
  <c r="V89" i="24"/>
  <c r="V51" i="24"/>
  <c r="V50" i="24"/>
  <c r="N84" i="14"/>
  <c r="N83" i="14"/>
  <c r="Y24" i="24"/>
  <c r="X24" i="24"/>
  <c r="W24" i="24"/>
  <c r="X27" i="24"/>
  <c r="Y27" i="24"/>
  <c r="W27" i="24"/>
  <c r="N89" i="24"/>
  <c r="N90" i="24"/>
  <c r="Y75" i="24" l="1"/>
  <c r="X75" i="24"/>
  <c r="V83" i="16"/>
  <c r="N65" i="23"/>
  <c r="N66" i="23"/>
  <c r="N83" i="26"/>
  <c r="N84" i="26"/>
  <c r="N81" i="26"/>
  <c r="R75" i="12"/>
  <c r="P75" i="12"/>
  <c r="V75" i="12"/>
  <c r="Y75" i="12" s="1"/>
  <c r="X48" i="24"/>
  <c r="Y48" i="24"/>
  <c r="W48" i="24"/>
  <c r="X36" i="24"/>
  <c r="W36" i="24"/>
  <c r="Y36" i="24"/>
  <c r="Y84" i="16"/>
  <c r="X84" i="16"/>
  <c r="W84" i="16"/>
  <c r="X57" i="24"/>
  <c r="Y57" i="24"/>
  <c r="W57" i="24"/>
  <c r="W18" i="24"/>
  <c r="X18" i="24"/>
  <c r="Y18" i="24"/>
  <c r="X84" i="24"/>
  <c r="W84" i="24"/>
  <c r="Y84" i="24"/>
  <c r="Y9" i="24"/>
  <c r="X9" i="24"/>
  <c r="W9" i="24"/>
  <c r="Y39" i="24"/>
  <c r="X39" i="24"/>
  <c r="W39" i="24"/>
  <c r="X15" i="24"/>
  <c r="W15" i="24"/>
  <c r="Y15" i="24"/>
  <c r="Y63" i="24"/>
  <c r="W63" i="24"/>
  <c r="X63" i="24"/>
  <c r="N83" i="8"/>
  <c r="N84" i="8"/>
  <c r="V83" i="8"/>
  <c r="V84" i="8"/>
  <c r="P84" i="13"/>
  <c r="O84" i="13"/>
  <c r="R84" i="13"/>
  <c r="S84" i="13"/>
  <c r="Q84" i="13"/>
  <c r="X30" i="24"/>
  <c r="W30" i="24"/>
  <c r="Y30" i="24"/>
  <c r="W78" i="24"/>
  <c r="X78" i="24"/>
  <c r="Y78" i="24"/>
  <c r="W87" i="24"/>
  <c r="X87" i="24"/>
  <c r="Y87" i="24"/>
  <c r="P87" i="24"/>
  <c r="R87" i="24"/>
  <c r="S87" i="24"/>
  <c r="O87" i="24"/>
  <c r="Q87" i="24"/>
  <c r="N84" i="20"/>
  <c r="N83" i="20"/>
  <c r="T80" i="14"/>
  <c r="U80" i="14" s="1"/>
  <c r="L80" i="14"/>
  <c r="M80" i="14" s="1"/>
  <c r="Y12" i="24"/>
  <c r="W12" i="24"/>
  <c r="X12" i="24"/>
  <c r="V84" i="20"/>
  <c r="V83" i="20"/>
  <c r="Q90" i="24"/>
  <c r="R28" i="3" s="1"/>
  <c r="S90" i="24"/>
  <c r="T28" i="3" s="1"/>
  <c r="R90" i="24"/>
  <c r="S28" i="3" s="1"/>
  <c r="P90" i="24"/>
  <c r="Q28" i="3" s="1"/>
  <c r="O90" i="24"/>
  <c r="P28" i="3" s="1"/>
  <c r="N74" i="8"/>
  <c r="N75" i="8"/>
  <c r="R78" i="20"/>
  <c r="Q78" i="20"/>
  <c r="O78" i="20"/>
  <c r="P78" i="20"/>
  <c r="S78" i="20"/>
  <c r="Y78" i="20"/>
  <c r="X78" i="20"/>
  <c r="W78" i="20"/>
  <c r="Y63" i="23"/>
  <c r="W63" i="23"/>
  <c r="X63" i="23"/>
  <c r="S63" i="23"/>
  <c r="R63" i="23"/>
  <c r="P63" i="23"/>
  <c r="Q63" i="23"/>
  <c r="O63" i="23"/>
  <c r="X75" i="25"/>
  <c r="W75" i="25"/>
  <c r="Y75" i="25"/>
  <c r="X66" i="8"/>
  <c r="Y66" i="8"/>
  <c r="W66" i="8"/>
  <c r="P69" i="18"/>
  <c r="Q69" i="18"/>
  <c r="O69" i="18"/>
  <c r="S69" i="18"/>
  <c r="R69" i="18"/>
  <c r="Q75" i="25"/>
  <c r="R75" i="25"/>
  <c r="S75" i="25"/>
  <c r="O75" i="25"/>
  <c r="P75" i="25"/>
  <c r="Y72" i="12"/>
  <c r="X72" i="12"/>
  <c r="W72" i="12"/>
  <c r="N71" i="8"/>
  <c r="N72" i="8"/>
  <c r="Y90" i="24"/>
  <c r="X90" i="24"/>
  <c r="W90" i="24"/>
  <c r="X72" i="14"/>
  <c r="W72" i="14"/>
  <c r="Y72" i="14"/>
  <c r="Y45" i="24"/>
  <c r="X45" i="24"/>
  <c r="W45" i="24"/>
  <c r="O72" i="12"/>
  <c r="Q72" i="12"/>
  <c r="S72" i="12"/>
  <c r="R72" i="12"/>
  <c r="P72" i="12"/>
  <c r="V72" i="8"/>
  <c r="V71" i="8"/>
  <c r="V72" i="25"/>
  <c r="V71" i="25"/>
  <c r="P84" i="14"/>
  <c r="R84" i="14"/>
  <c r="Q84" i="14"/>
  <c r="O84" i="14"/>
  <c r="S84" i="14"/>
  <c r="W69" i="18"/>
  <c r="X69" i="18"/>
  <c r="Y69" i="18"/>
  <c r="X51" i="24"/>
  <c r="W51" i="24"/>
  <c r="Y51" i="24"/>
  <c r="L77" i="25"/>
  <c r="M77" i="25" s="1"/>
  <c r="T77" i="25"/>
  <c r="U77" i="25" s="1"/>
  <c r="N71" i="25"/>
  <c r="N72" i="25"/>
  <c r="X75" i="14"/>
  <c r="Y75" i="14"/>
  <c r="W75" i="14"/>
  <c r="V81" i="16"/>
  <c r="V80" i="16"/>
  <c r="N81" i="8"/>
  <c r="N80" i="8"/>
  <c r="O81" i="26"/>
  <c r="Q81" i="26"/>
  <c r="R81" i="26"/>
  <c r="S81" i="26"/>
  <c r="P81" i="26"/>
  <c r="V62" i="8"/>
  <c r="V63" i="8"/>
  <c r="S81" i="13"/>
  <c r="Q81" i="13"/>
  <c r="R81" i="13"/>
  <c r="O81" i="13"/>
  <c r="P81" i="13"/>
  <c r="N81" i="16"/>
  <c r="N80" i="16"/>
  <c r="N80" i="20"/>
  <c r="N81" i="20"/>
  <c r="W81" i="13"/>
  <c r="Y19" i="3" s="1"/>
  <c r="Y81" i="13"/>
  <c r="AA19" i="3" s="1"/>
  <c r="X81" i="13"/>
  <c r="Z19" i="3" s="1"/>
  <c r="R72" i="14"/>
  <c r="O72" i="14"/>
  <c r="Q72" i="14"/>
  <c r="P72" i="14"/>
  <c r="S72" i="14"/>
  <c r="V81" i="8"/>
  <c r="V80" i="8"/>
  <c r="N63" i="8"/>
  <c r="N62" i="8"/>
  <c r="Y84" i="14"/>
  <c r="X84" i="14"/>
  <c r="W84" i="14"/>
  <c r="V80" i="20"/>
  <c r="V81" i="20"/>
  <c r="V75" i="8"/>
  <c r="V74" i="8"/>
  <c r="R75" i="14"/>
  <c r="Q75" i="14"/>
  <c r="S75" i="14"/>
  <c r="O75" i="14"/>
  <c r="P75" i="14"/>
  <c r="W75" i="12" l="1"/>
  <c r="X75" i="12"/>
  <c r="Q84" i="26"/>
  <c r="R84" i="26"/>
  <c r="S84" i="26"/>
  <c r="P84" i="26"/>
  <c r="O84" i="26"/>
  <c r="Q66" i="23"/>
  <c r="O66" i="23"/>
  <c r="P66" i="23"/>
  <c r="S66" i="23"/>
  <c r="R66" i="23"/>
  <c r="N80" i="14"/>
  <c r="N81" i="14"/>
  <c r="X84" i="8"/>
  <c r="Y84" i="8"/>
  <c r="W84" i="8"/>
  <c r="V80" i="14"/>
  <c r="V81" i="14"/>
  <c r="R84" i="20"/>
  <c r="P84" i="20"/>
  <c r="S84" i="20"/>
  <c r="O84" i="20"/>
  <c r="Q84" i="20"/>
  <c r="P84" i="8"/>
  <c r="Q84" i="8"/>
  <c r="O84" i="8"/>
  <c r="R84" i="8"/>
  <c r="S84" i="8"/>
  <c r="W84" i="20"/>
  <c r="X84" i="20"/>
  <c r="Y84" i="20"/>
  <c r="P81" i="16"/>
  <c r="S81" i="16"/>
  <c r="Q81" i="16"/>
  <c r="O81" i="16"/>
  <c r="R81" i="16"/>
  <c r="N78" i="25"/>
  <c r="N77" i="25"/>
  <c r="Y72" i="25"/>
  <c r="X72" i="25"/>
  <c r="W72" i="25"/>
  <c r="X81" i="20"/>
  <c r="Z24" i="3" s="1"/>
  <c r="Y81" i="20"/>
  <c r="AA24" i="3" s="1"/>
  <c r="W81" i="20"/>
  <c r="Y24" i="3" s="1"/>
  <c r="Q81" i="8"/>
  <c r="R81" i="8"/>
  <c r="O81" i="8"/>
  <c r="S81" i="8"/>
  <c r="P81" i="8"/>
  <c r="Y81" i="16"/>
  <c r="AA21" i="3" s="1"/>
  <c r="W81" i="16"/>
  <c r="Y21" i="3" s="1"/>
  <c r="X81" i="16"/>
  <c r="Z21" i="3" s="1"/>
  <c r="O63" i="8"/>
  <c r="Q63" i="8"/>
  <c r="S63" i="8"/>
  <c r="R63" i="8"/>
  <c r="P63" i="8"/>
  <c r="Y81" i="8"/>
  <c r="AA14" i="3" s="1"/>
  <c r="W81" i="8"/>
  <c r="Y14" i="3" s="1"/>
  <c r="X81" i="8"/>
  <c r="Z14" i="3" s="1"/>
  <c r="P72" i="8"/>
  <c r="S72" i="8"/>
  <c r="R72" i="8"/>
  <c r="O72" i="8"/>
  <c r="Q72" i="8"/>
  <c r="Y72" i="8"/>
  <c r="X72" i="8"/>
  <c r="W72" i="8"/>
  <c r="Y63" i="8"/>
  <c r="X63" i="8"/>
  <c r="W63" i="8"/>
  <c r="W75" i="8"/>
  <c r="Y75" i="8"/>
  <c r="X75" i="8"/>
  <c r="O72" i="25"/>
  <c r="R72" i="25"/>
  <c r="P72" i="25"/>
  <c r="S72" i="25"/>
  <c r="Q72" i="25"/>
  <c r="P81" i="20"/>
  <c r="O81" i="20"/>
  <c r="S81" i="20"/>
  <c r="Q81" i="20"/>
  <c r="R81" i="20"/>
  <c r="V78" i="25"/>
  <c r="V77" i="25"/>
  <c r="P75" i="8"/>
  <c r="R75" i="8"/>
  <c r="S75" i="8"/>
  <c r="O75" i="8"/>
  <c r="Q75" i="8"/>
  <c r="X81" i="14" l="1"/>
  <c r="Z20" i="3" s="1"/>
  <c r="Y81" i="14"/>
  <c r="AA20" i="3" s="1"/>
  <c r="W81" i="14"/>
  <c r="Y20" i="3" s="1"/>
  <c r="O81" i="14"/>
  <c r="R81" i="14"/>
  <c r="S81" i="14"/>
  <c r="P81" i="14"/>
  <c r="Q81" i="14"/>
  <c r="R78" i="25"/>
  <c r="O78" i="25"/>
  <c r="P78" i="25"/>
  <c r="Q78" i="25"/>
  <c r="S78" i="25"/>
  <c r="Y78" i="25"/>
  <c r="W78" i="25"/>
  <c r="X7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O1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该列观测时点支持手动输入日期</t>
        </r>
      </text>
    </comment>
    <comment ref="AF44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UEsDBBQACAgIACl+2lYAAAAAAAAAAAAAAAABAAAAMLWUT2sUMRjGe/ZTLAFBYQcyM9k/M7dquypWhXYrlCKSSd5ZQ7OZMcmISymol6oHQah4qKAXBS+eRLCg32a39luYmdl2axf8c3BgYPLkSd4nv2SyvHRp4dzCwsI2god5pu3lTKVigOJtxCGlhbQrVA0KOgAUI6ZQE3FhcklHNzJeSnx4TXHBqBVZ2SnMomEotrqAsnFVcLgkqdo6lgoDK4WiGsUplQZ2mtOqfWEl3MqrWVxpKmWlLEsYgrJmam8ilhXK6tFJm4NhWkzH1SVSDfcLUGxmciGUFakAfSIZOswlzJoggVngVdHrMFoRxqJ4E2kwNtNwkw4B3XG2rNBsNsrSRNZ9x0qhxKmwRc6phSX3zpY7BKuFI7S5je66XrokBtUQ0kQJDISq3ciPugGOgo5Dyu65DYBVYJnmbtydEkKF/gZ2j98OnAdUHQOtry3GjR5w0FQ2eoXiptGnegC2sVpOXDrXXUbnPI8q9lRx4CeJ4aHVlNk+HZymiWK/iQY6K/KqY+rdAkcYBWnYbqVd5oUE+x5JSdeL2hF4xMdBpxOFXcrLgKqOd/j9xXj/W/zj8d7Rkw/jtwdHuy8P9z9N3u2On348fLHrjDnVbrOuuUhRFHYclekW/IK4ir/TPIMwOIuwRXAH+79DeKUiGEVzCJeokKPGcpq6YyEewBmkJcvGheVeb/XiPyGdSn9iSjDz0zQgHvah5RGecK8bBNSLSCcNQk4SaCVzTCdvnk1ePT1NtmZax7wwef3+4i948b+gnTudrRCTEP8JLe5G/hzavgZqCj1qbAiQ3MQNH2/8D4odkpBWh4VeEraZRyAMvQgHkce63XYaEZYSnM5RdO/40cFk78vh/nMHL/bx+Ovnv+fmlm/FEHraTboG1gpV3aTsHrCt21SK2YIkNfZWYqoFlN/9UV7GkKUI+kF1nxpXOEtMT2fD8k/DgY9bflCLa5Zqu2iPdb86507vZ7UUTq05aJHx6ey5u8zrsjs7PwFQSwcImQURc+wCAAD4BQAA</t>
        </r>
      </text>
    </comment>
    <comment ref="AF48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UEsDBBQACAgIABl1S1cAAAAAAAAAAAAAAAABAAAAMLWUz2sUMRTHe/avWAKCwg5kZrI/Zm7VdlVsLbSrUIpIJnmzhmYzY5IRl1JQL1UPgqB4qKAXBS+eRFDQ/2a3+l+Ymdnuli5UPTgwMPnmvbxvPnmT1ZVLS+eWlpb2EDzIM20vZyoVAxTvIQ4pLaRdo2pQ0AGgGDGFmogLk0s6Ws94KfHhNcUFo1Zk5aQwy4ah2OoCysFVweGSpGr3WCoMrBWKahSnVBrYb06r9oWVsJFXq7jSVMpKWZUwBGXNNLyJWFYoq0ezMQfDtJjm1SVSDfcKUGwe5EwoK1IBeiYZOswlzIcggVngVdHrMFoTxqJ4B2kwNtNwgw4B3XZhWaHZPMvSRNZzx0qhxAmzRc6phRX3zrc7BKuFI7Szh+64WboiBlUKaaIEBkLV0ciPugGOgo5Dyu66A4BNYJnmLu92CaFCv47d47cDFwOqtoFubi3HjR5w0FQ2eoXiptGnegC2sVkuXEbedB5d5HlUsaeKA585hgdWU2b7dDCTSpwo9ptooLMiPzmzCw4xCtKw3Uq7zAsJ9j2Skq4XtSPwiI+DTicKu5SXDlXt7+jH8/Hh9/jno5e/Hn8Yv/326+DF0eGnybuD8ZOPR88PXGBOtTuta85TFIUdh2V6BrMOOra/3zyFMDiNsEVwB/tnIbxSEYyiBYQrVMhRYzVNXVuI+3AKacmycWG119u8+E9I5w16FlGCmZ+mAfGwDy2P8IR73SCgXkQ6aRBykkArWSA6efN08urJSa410drlhcnr96XVv2a50I6tEJMQ/4kl7kb+Asu+BmoKPWpsC5DcxA0fb/+PTuyQhLQ6LPSSsM08AmHoRTiIPNbtttOIsJTgdIGbe8cPv01efjk6fOZwxT4ef/18Fim3YSuG0NNumS2wVqjqsmR3ge3eolLMtyCpsRuJqSyX3/1RXhaWpQj6fnVlGlcqS0xPZ8PyX8KBj1t+UItblmq7bI91v2plp/ezWgqnoTlokfHp6rm7r+uy+/u/AVBLBwhCwjGW6wIAANsFAAA=</t>
        </r>
      </text>
    </comment>
  </commentList>
</comments>
</file>

<file path=xl/sharedStrings.xml><?xml version="1.0" encoding="utf-8"?>
<sst xmlns="http://schemas.openxmlformats.org/spreadsheetml/2006/main" count="2217" uniqueCount="93">
  <si>
    <r>
      <rPr>
        <sz val="12"/>
        <color theme="1"/>
        <rFont val="黑体"/>
        <family val="3"/>
        <charset val="134"/>
      </rPr>
      <t>检索代码</t>
    </r>
    <phoneticPr fontId="1" type="noConversion"/>
  </si>
  <si>
    <r>
      <rPr>
        <sz val="12"/>
        <color theme="1"/>
        <rFont val="黑体"/>
        <family val="3"/>
        <charset val="134"/>
      </rPr>
      <t>检索代码</t>
    </r>
    <phoneticPr fontId="1" type="noConversion"/>
  </si>
  <si>
    <t>sec_name</t>
    <phoneticPr fontId="1" type="noConversion"/>
  </si>
  <si>
    <t>search_code</t>
    <phoneticPr fontId="1" type="noConversion"/>
  </si>
  <si>
    <t>最近更新：</t>
    <phoneticPr fontId="4" type="noConversion"/>
  </si>
  <si>
    <t>最近更新：</t>
    <phoneticPr fontId="4" type="noConversion"/>
  </si>
  <si>
    <t>加息/降息次数</t>
    <phoneticPr fontId="1" type="noConversion"/>
  </si>
  <si>
    <t>隐含利率变动</t>
    <phoneticPr fontId="1" type="noConversion"/>
  </si>
  <si>
    <t>隐含利率(%)</t>
    <phoneticPr fontId="1" type="noConversion"/>
  </si>
  <si>
    <t>假定利率变动</t>
    <phoneticPr fontId="1" type="noConversion"/>
  </si>
  <si>
    <t>美联储议息会议日历</t>
  </si>
  <si>
    <t>证券名称</t>
  </si>
  <si>
    <t>检索代码</t>
    <phoneticPr fontId="1" type="noConversion"/>
  </si>
  <si>
    <t>最近更新：</t>
    <phoneticPr fontId="4" type="noConversion"/>
  </si>
  <si>
    <t>距离月初/月末天数%</t>
    <phoneticPr fontId="1" type="noConversion"/>
  </si>
  <si>
    <t>价格</t>
    <phoneticPr fontId="1" type="noConversion"/>
  </si>
  <si>
    <t>月度价差</t>
    <phoneticPr fontId="1" type="noConversion"/>
  </si>
  <si>
    <t>距离月初/月末天数</t>
    <phoneticPr fontId="1" type="noConversion"/>
  </si>
  <si>
    <t>隐含利率</t>
    <phoneticPr fontId="1" type="noConversion"/>
  </si>
  <si>
    <t>保持不变</t>
    <phoneticPr fontId="1" type="noConversion"/>
  </si>
  <si>
    <t>降息</t>
    <phoneticPr fontId="1" type="noConversion"/>
  </si>
  <si>
    <t>加息</t>
    <phoneticPr fontId="1" type="noConversion"/>
  </si>
  <si>
    <t>平均</t>
    <phoneticPr fontId="1" type="noConversion"/>
  </si>
  <si>
    <t>月初</t>
    <phoneticPr fontId="1" type="noConversion"/>
  </si>
  <si>
    <t>月末</t>
    <phoneticPr fontId="1" type="noConversion"/>
  </si>
  <si>
    <t>月初</t>
    <phoneticPr fontId="1" type="noConversion"/>
  </si>
  <si>
    <t>平均</t>
    <phoneticPr fontId="1" type="noConversion"/>
  </si>
  <si>
    <t>月初</t>
    <phoneticPr fontId="1" type="noConversion"/>
  </si>
  <si>
    <t>月末</t>
    <phoneticPr fontId="1" type="noConversion"/>
  </si>
  <si>
    <t>平均</t>
    <phoneticPr fontId="1" type="noConversion"/>
  </si>
  <si>
    <t>月末</t>
    <phoneticPr fontId="1" type="noConversion"/>
  </si>
  <si>
    <t>月末</t>
    <phoneticPr fontId="1" type="noConversion"/>
  </si>
  <si>
    <t>月末</t>
    <phoneticPr fontId="1" type="noConversion"/>
  </si>
  <si>
    <t>25bp变动次数</t>
    <phoneticPr fontId="1" type="noConversion"/>
  </si>
  <si>
    <t>达成加减息次数&amp;余数</t>
    <phoneticPr fontId="1" type="noConversion"/>
  </si>
  <si>
    <t>会议日期</t>
    <phoneticPr fontId="14" type="noConversion"/>
  </si>
  <si>
    <t>wind_code</t>
    <phoneticPr fontId="14" type="noConversion"/>
  </si>
  <si>
    <t>Wind代码</t>
    <phoneticPr fontId="14" type="noConversion"/>
  </si>
  <si>
    <t>隐含隔夜利率&amp;加息/降息次数</t>
    <phoneticPr fontId="1" type="noConversion"/>
  </si>
  <si>
    <t>最新决议日期</t>
    <phoneticPr fontId="1" type="noConversion"/>
  </si>
  <si>
    <r>
      <rPr>
        <sz val="12"/>
        <color theme="1"/>
        <rFont val="黑体"/>
        <family val="3"/>
        <charset val="134"/>
      </rPr>
      <t>请更新日历</t>
    </r>
  </si>
  <si>
    <t>会议日期</t>
    <phoneticPr fontId="1" type="noConversion"/>
  </si>
  <si>
    <t>美联储议息会议加息降息概率计算</t>
    <phoneticPr fontId="1" type="noConversion"/>
  </si>
  <si>
    <t>下次会议时间</t>
    <phoneticPr fontId="1" type="noConversion"/>
  </si>
  <si>
    <t>倒计天数</t>
    <phoneticPr fontId="1" type="noConversion"/>
  </si>
  <si>
    <t>预测利率变动概率</t>
    <phoneticPr fontId="1" type="noConversion"/>
  </si>
  <si>
    <t>预测单次会议加息降息概率</t>
    <phoneticPr fontId="1" type="noConversion"/>
  </si>
  <si>
    <t>日期：</t>
    <phoneticPr fontId="14" type="noConversion"/>
  </si>
  <si>
    <t>倒数（天）：</t>
    <phoneticPr fontId="14" type="noConversion"/>
  </si>
  <si>
    <t>达成加减息次数&amp;余数</t>
    <phoneticPr fontId="1" type="noConversion"/>
  </si>
  <si>
    <t>和当前月度价差</t>
    <phoneticPr fontId="1" type="noConversion"/>
  </si>
  <si>
    <r>
      <rPr>
        <sz val="12"/>
        <color theme="1"/>
        <rFont val="黑体"/>
        <family val="3"/>
        <charset val="134"/>
      </rPr>
      <t>加息</t>
    </r>
    <r>
      <rPr>
        <sz val="12"/>
        <color theme="1"/>
        <rFont val="Arial"/>
        <family val="2"/>
      </rPr>
      <t>/</t>
    </r>
    <r>
      <rPr>
        <sz val="12"/>
        <color theme="1"/>
        <rFont val="黑体"/>
        <family val="3"/>
        <charset val="134"/>
      </rPr>
      <t>降息概率</t>
    </r>
    <phoneticPr fontId="14" type="noConversion"/>
  </si>
  <si>
    <r>
      <rPr>
        <sz val="12"/>
        <color theme="1"/>
        <rFont val="黑体"/>
        <family val="3"/>
        <charset val="134"/>
      </rPr>
      <t>累计加息</t>
    </r>
    <r>
      <rPr>
        <sz val="12"/>
        <color theme="1"/>
        <rFont val="Arial"/>
        <family val="2"/>
      </rPr>
      <t>/</t>
    </r>
    <r>
      <rPr>
        <sz val="12"/>
        <color theme="1"/>
        <rFont val="黑体"/>
        <family val="3"/>
        <charset val="134"/>
      </rPr>
      <t>降息概率</t>
    </r>
    <phoneticPr fontId="14" type="noConversion"/>
  </si>
  <si>
    <t>+25bps</t>
    <phoneticPr fontId="1" type="noConversion"/>
  </si>
  <si>
    <t>-50bps</t>
    <phoneticPr fontId="1" type="noConversion"/>
  </si>
  <si>
    <t>-25bps</t>
    <phoneticPr fontId="1" type="noConversion"/>
  </si>
  <si>
    <t>0bps</t>
    <phoneticPr fontId="1" type="noConversion"/>
  </si>
  <si>
    <t>+50bps</t>
    <phoneticPr fontId="1" type="noConversion"/>
  </si>
  <si>
    <t>美联储利率观测器-美联储加息降息概率预测</t>
  </si>
  <si>
    <t>目标利率</t>
    <phoneticPr fontId="1" type="noConversion"/>
  </si>
  <si>
    <t>有效利率</t>
    <phoneticPr fontId="1" type="noConversion"/>
  </si>
  <si>
    <t>加息/降息概率</t>
    <phoneticPr fontId="1" type="noConversion"/>
  </si>
  <si>
    <t>-50bps</t>
    <phoneticPr fontId="1" type="noConversion"/>
  </si>
  <si>
    <t>-25bps</t>
    <phoneticPr fontId="1" type="noConversion"/>
  </si>
  <si>
    <t>0bps</t>
    <phoneticPr fontId="1" type="noConversion"/>
  </si>
  <si>
    <t>+50bps</t>
    <phoneticPr fontId="1" type="noConversion"/>
  </si>
  <si>
    <t>降息</t>
    <phoneticPr fontId="14" type="noConversion"/>
  </si>
  <si>
    <t>保持不变</t>
    <phoneticPr fontId="14" type="noConversion"/>
  </si>
  <si>
    <t>加息</t>
    <phoneticPr fontId="14" type="noConversion"/>
  </si>
  <si>
    <t>日结算价</t>
    <phoneticPr fontId="1" type="noConversion"/>
  </si>
  <si>
    <t>30天联邦基金结算价</t>
    <phoneticPr fontId="1" type="noConversion"/>
  </si>
  <si>
    <t>settle</t>
    <phoneticPr fontId="1" type="noConversion"/>
  </si>
  <si>
    <t>预测时间间隔（天）：</t>
    <phoneticPr fontId="1" type="noConversion"/>
  </si>
  <si>
    <t>选择预测月份：</t>
    <phoneticPr fontId="1" type="noConversion"/>
  </si>
  <si>
    <t>选择预测会议月份：</t>
    <phoneticPr fontId="1" type="noConversion"/>
  </si>
  <si>
    <t>观测时点</t>
    <phoneticPr fontId="1" type="noConversion"/>
  </si>
  <si>
    <t>美联储利率观测器使用说明</t>
    <phoneticPr fontId="14" type="noConversion"/>
  </si>
  <si>
    <t>settle</t>
    <phoneticPr fontId="1" type="noConversion"/>
  </si>
  <si>
    <t>settle</t>
    <phoneticPr fontId="1" type="noConversion"/>
  </si>
  <si>
    <t>日结算价</t>
    <phoneticPr fontId="1" type="noConversion"/>
  </si>
  <si>
    <t>日结算价</t>
    <phoneticPr fontId="1" type="noConversion"/>
  </si>
  <si>
    <t>美国:有效联邦基金利率(EFFR)(日)</t>
    <phoneticPr fontId="1" type="noConversion"/>
  </si>
  <si>
    <t>美国:联邦基金目标利率</t>
    <phoneticPr fontId="14" type="noConversion"/>
  </si>
  <si>
    <t>指标名称</t>
    <phoneticPr fontId="14" type="noConversion"/>
  </si>
  <si>
    <t>指标名称</t>
    <phoneticPr fontId="1" type="noConversion"/>
  </si>
  <si>
    <t>FF.CBT</t>
    <phoneticPr fontId="1" type="noConversion"/>
  </si>
  <si>
    <t>Windcode</t>
    <phoneticPr fontId="14" type="noConversion"/>
  </si>
  <si>
    <t>日历更新区</t>
    <phoneticPr fontId="14" type="noConversion"/>
  </si>
  <si>
    <t>概率计算日期时点</t>
    <phoneticPr fontId="14" type="noConversion"/>
  </si>
  <si>
    <t>隐含利率日期时点</t>
    <phoneticPr fontId="14" type="noConversion"/>
  </si>
  <si>
    <t>连续日历月(每月1号)</t>
    <phoneticPr fontId="14" type="noConversion"/>
  </si>
  <si>
    <t>连续日历月(含会议日)</t>
    <phoneticPr fontId="14" type="noConversion"/>
  </si>
  <si>
    <t>美联储利率观测器 V1.10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</si>
</sst>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00"/>
    <numFmt numFmtId="177" formatCode="#,##0.0000_ "/>
    <numFmt numFmtId="178" formatCode="yyyy\-mm\-dd"/>
    <numFmt numFmtId="179" formatCode="[$-F800]dddd\,\ mmmm\ dd\,\ yyyy"/>
    <numFmt numFmtId="180" formatCode="0.000"/>
    <numFmt numFmtId="181" formatCode="yy&quot;年&quot;mm&quot;月&quot;"/>
    <numFmt numFmtId="182" formatCode="#,##0.00_ "/>
    <numFmt numFmtId="183" formatCode="0.0000_);[Red]\(0.0000\)"/>
    <numFmt numFmtId="184" formatCode="\+0.000;\-0.000;0.000;@"/>
    <numFmt numFmtId="185" formatCode="\+0.0%;\-0.0%;0.0%;@"/>
    <numFmt numFmtId="186" formatCode="yyyy/m/d\ h:mm;@"/>
    <numFmt numFmtId="187" formatCode="0.0"/>
  </numFmts>
  <fonts count="4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黑体"/>
      <family val="3"/>
      <charset val="134"/>
    </font>
    <font>
      <sz val="12"/>
      <color rgb="FF202124"/>
      <name val="黑体"/>
      <family val="3"/>
      <charset val="134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indexed="10"/>
      <name val="Arial"/>
      <family val="2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rgb="FF212121"/>
      <name val="Arial"/>
      <family val="2"/>
    </font>
    <font>
      <b/>
      <sz val="10"/>
      <color rgb="FF212121"/>
      <name val="微软雅黑"/>
      <family val="2"/>
      <charset val="134"/>
    </font>
    <font>
      <b/>
      <sz val="11"/>
      <color rgb="FF212121"/>
      <name val="微软雅黑"/>
      <family val="2"/>
      <charset val="134"/>
    </font>
    <font>
      <sz val="12"/>
      <color rgb="FF212121"/>
      <name val="Arial"/>
      <family val="2"/>
    </font>
    <font>
      <b/>
      <sz val="14"/>
      <color theme="0"/>
      <name val="微软雅黑"/>
      <family val="2"/>
      <charset val="134"/>
    </font>
    <font>
      <sz val="12"/>
      <color theme="1"/>
      <name val="宋体"/>
      <family val="3"/>
      <charset val="134"/>
    </font>
    <font>
      <b/>
      <sz val="14"/>
      <color rgb="FF212121"/>
      <name val="Arial"/>
      <family val="2"/>
    </font>
    <font>
      <b/>
      <sz val="14"/>
      <color rgb="FF212121"/>
      <name val="微软雅黑"/>
      <family val="2"/>
      <charset val="134"/>
    </font>
    <font>
      <sz val="11"/>
      <color rgb="FF212121"/>
      <name val="Arial"/>
      <family val="2"/>
    </font>
    <font>
      <sz val="22"/>
      <color theme="1"/>
      <name val="Arial"/>
      <family val="2"/>
    </font>
    <font>
      <b/>
      <sz val="14"/>
      <color theme="0"/>
      <name val="Arial"/>
      <family val="2"/>
    </font>
    <font>
      <sz val="16"/>
      <color theme="1"/>
      <name val="微软雅黑"/>
      <family val="2"/>
      <charset val="134"/>
    </font>
    <font>
      <sz val="11"/>
      <name val="等线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0"/>
      <name val="微软雅黑"/>
      <family val="2"/>
      <charset val="134"/>
    </font>
    <font>
      <sz val="12"/>
      <color theme="1"/>
      <name val="等线"/>
      <family val="2"/>
      <scheme val="minor"/>
    </font>
    <font>
      <b/>
      <sz val="11"/>
      <color rgb="FF212121"/>
      <name val="Arial"/>
      <family val="2"/>
    </font>
    <font>
      <b/>
      <sz val="16"/>
      <color theme="1"/>
      <name val="Arial"/>
      <family val="2"/>
    </font>
    <font>
      <sz val="9"/>
      <color indexed="81"/>
      <name val="宋体"/>
      <family val="3"/>
      <charset val="134"/>
    </font>
    <font>
      <sz val="14"/>
      <color theme="1"/>
      <name val="等线"/>
      <family val="2"/>
      <scheme val="minor"/>
    </font>
    <font>
      <b/>
      <sz val="12"/>
      <color rgb="FFFF0000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F2F3F3"/>
        <bgColor indexed="64"/>
      </patternFill>
    </fill>
  </fills>
  <borders count="2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E4C658"/>
      </left>
      <right/>
      <top style="medium">
        <color rgb="FFE4C658"/>
      </top>
      <bottom style="medium">
        <color rgb="FFE4C658"/>
      </bottom>
      <diagonal/>
    </border>
    <border>
      <left style="thin">
        <color theme="0"/>
      </left>
      <right style="thin">
        <color theme="0"/>
      </right>
      <top style="medium">
        <color rgb="FFE4C658"/>
      </top>
      <bottom style="medium">
        <color rgb="FFE4C658"/>
      </bottom>
      <diagonal/>
    </border>
    <border>
      <left style="thin">
        <color theme="0"/>
      </left>
      <right style="medium">
        <color rgb="FFE4C658"/>
      </right>
      <top style="medium">
        <color rgb="FFE4C658"/>
      </top>
      <bottom style="medium">
        <color rgb="FFE4C6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98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NumberFormat="1" applyFont="1"/>
    <xf numFmtId="0" fontId="7" fillId="5" borderId="0" xfId="0" applyFont="1" applyFill="1" applyAlignment="1"/>
    <xf numFmtId="0" fontId="7" fillId="0" borderId="0" xfId="0" applyNumberFormat="1" applyFont="1" applyBorder="1" applyAlignment="1">
      <alignment horizontal="left"/>
    </xf>
    <xf numFmtId="0" fontId="5" fillId="0" borderId="0" xfId="0" applyFont="1"/>
    <xf numFmtId="0" fontId="7" fillId="0" borderId="0" xfId="0" applyFont="1" applyProtection="1">
      <protection locked="0"/>
    </xf>
    <xf numFmtId="9" fontId="11" fillId="5" borderId="6" xfId="0" applyNumberFormat="1" applyFont="1" applyFill="1" applyBorder="1" applyAlignment="1">
      <alignment horizontal="center" vertical="center"/>
    </xf>
    <xf numFmtId="0" fontId="0" fillId="6" borderId="0" xfId="0" applyFill="1" applyProtection="1"/>
    <xf numFmtId="0" fontId="0" fillId="6" borderId="0" xfId="0" applyFill="1"/>
    <xf numFmtId="0" fontId="7" fillId="5" borderId="7" xfId="0" applyFont="1" applyFill="1" applyBorder="1" applyAlignment="1"/>
    <xf numFmtId="0" fontId="0" fillId="6" borderId="0" xfId="0" applyFill="1" applyBorder="1"/>
    <xf numFmtId="0" fontId="0" fillId="6" borderId="0" xfId="0" applyFill="1" applyBorder="1" applyProtection="1"/>
    <xf numFmtId="0" fontId="7" fillId="5" borderId="10" xfId="0" applyNumberFormat="1" applyFont="1" applyFill="1" applyBorder="1" applyAlignment="1">
      <alignment horizontal="right"/>
    </xf>
    <xf numFmtId="0" fontId="16" fillId="7" borderId="0" xfId="0" applyFont="1" applyFill="1" applyBorder="1" applyAlignment="1">
      <alignment horizontal="right"/>
    </xf>
    <xf numFmtId="0" fontId="15" fillId="4" borderId="0" xfId="0" applyFont="1" applyFill="1" applyBorder="1" applyAlignment="1">
      <alignment horizontal="right"/>
    </xf>
    <xf numFmtId="0" fontId="0" fillId="6" borderId="1" xfId="0" applyFill="1" applyBorder="1" applyProtection="1"/>
    <xf numFmtId="0" fontId="7" fillId="4" borderId="2" xfId="0" applyFont="1" applyFill="1" applyBorder="1" applyAlignment="1">
      <alignment horizontal="center" vertical="center"/>
    </xf>
    <xf numFmtId="179" fontId="7" fillId="4" borderId="2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vertical="center"/>
    </xf>
    <xf numFmtId="0" fontId="0" fillId="4" borderId="0" xfId="0" applyFill="1" applyBorder="1" applyProtection="1"/>
    <xf numFmtId="0" fontId="17" fillId="7" borderId="0" xfId="0" applyFont="1" applyFill="1" applyBorder="1" applyAlignment="1">
      <alignment horizontal="right"/>
    </xf>
    <xf numFmtId="0" fontId="16" fillId="4" borderId="0" xfId="0" applyFont="1" applyFill="1" applyBorder="1" applyAlignment="1">
      <alignment horizontal="right"/>
    </xf>
    <xf numFmtId="0" fontId="7" fillId="0" borderId="0" xfId="0" applyFont="1" applyBorder="1"/>
    <xf numFmtId="0" fontId="18" fillId="4" borderId="0" xfId="0" applyFont="1" applyFill="1" applyBorder="1" applyAlignment="1">
      <alignment horizontal="right"/>
    </xf>
    <xf numFmtId="0" fontId="21" fillId="7" borderId="0" xfId="0" applyFont="1" applyFill="1" applyBorder="1" applyAlignment="1">
      <alignment horizontal="right"/>
    </xf>
    <xf numFmtId="0" fontId="22" fillId="7" borderId="0" xfId="0" applyFont="1" applyFill="1" applyBorder="1" applyAlignment="1">
      <alignment horizontal="right"/>
    </xf>
    <xf numFmtId="0" fontId="9" fillId="0" borderId="0" xfId="0" applyFont="1"/>
    <xf numFmtId="0" fontId="7" fillId="0" borderId="0" xfId="0" applyNumberFormat="1" applyFont="1" applyAlignment="1">
      <alignment horizontal="left"/>
    </xf>
    <xf numFmtId="178" fontId="7" fillId="0" borderId="0" xfId="0" applyNumberFormat="1" applyFont="1" applyAlignment="1">
      <alignment horizontal="right"/>
    </xf>
    <xf numFmtId="177" fontId="7" fillId="0" borderId="0" xfId="0" applyNumberFormat="1" applyFont="1" applyAlignment="1">
      <alignment horizontal="right"/>
    </xf>
    <xf numFmtId="0" fontId="7" fillId="9" borderId="0" xfId="0" applyFont="1" applyFill="1" applyBorder="1"/>
    <xf numFmtId="0" fontId="0" fillId="6" borderId="3" xfId="0" applyFill="1" applyBorder="1" applyProtection="1"/>
    <xf numFmtId="14" fontId="8" fillId="5" borderId="0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/>
    <xf numFmtId="0" fontId="8" fillId="5" borderId="11" xfId="0" applyFont="1" applyFill="1" applyBorder="1" applyAlignment="1">
      <alignment vertical="center"/>
    </xf>
    <xf numFmtId="14" fontId="8" fillId="5" borderId="11" xfId="0" applyNumberFormat="1" applyFont="1" applyFill="1" applyBorder="1" applyAlignment="1">
      <alignment horizontal="left" vertical="center"/>
    </xf>
    <xf numFmtId="0" fontId="11" fillId="5" borderId="11" xfId="0" applyFont="1" applyFill="1" applyBorder="1" applyAlignment="1">
      <alignment horizontal="center" vertical="center"/>
    </xf>
    <xf numFmtId="0" fontId="26" fillId="6" borderId="0" xfId="0" applyFont="1" applyFill="1"/>
    <xf numFmtId="0" fontId="27" fillId="0" borderId="0" xfId="0" applyFont="1"/>
    <xf numFmtId="14" fontId="8" fillId="5" borderId="11" xfId="0" applyNumberFormat="1" applyFont="1" applyFill="1" applyBorder="1" applyAlignment="1">
      <alignment vertical="center"/>
    </xf>
    <xf numFmtId="0" fontId="28" fillId="0" borderId="0" xfId="0" applyFont="1"/>
    <xf numFmtId="179" fontId="7" fillId="0" borderId="0" xfId="0" applyNumberFormat="1" applyFont="1" applyBorder="1" applyAlignment="1">
      <alignment horizontal="left"/>
    </xf>
    <xf numFmtId="179" fontId="6" fillId="0" borderId="0" xfId="0" applyNumberFormat="1" applyFont="1" applyBorder="1" applyAlignment="1">
      <alignment horizontal="left" vertical="center"/>
    </xf>
    <xf numFmtId="179" fontId="5" fillId="0" borderId="0" xfId="0" applyNumberFormat="1" applyFont="1" applyBorder="1" applyAlignment="1">
      <alignment horizontal="left"/>
    </xf>
    <xf numFmtId="57" fontId="7" fillId="0" borderId="4" xfId="0" applyNumberFormat="1" applyFont="1" applyBorder="1" applyAlignment="1">
      <alignment horizontal="left"/>
    </xf>
    <xf numFmtId="0" fontId="0" fillId="0" borderId="0" xfId="0" applyBorder="1"/>
    <xf numFmtId="9" fontId="5" fillId="0" borderId="0" xfId="0" applyNumberFormat="1" applyFont="1" applyBorder="1"/>
    <xf numFmtId="14" fontId="8" fillId="5" borderId="6" xfId="0" applyNumberFormat="1" applyFont="1" applyFill="1" applyBorder="1" applyAlignment="1">
      <alignment vertical="center"/>
    </xf>
    <xf numFmtId="0" fontId="5" fillId="0" borderId="0" xfId="0" applyFont="1" applyBorder="1"/>
    <xf numFmtId="0" fontId="1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/>
    </xf>
    <xf numFmtId="10" fontId="12" fillId="4" borderId="0" xfId="0" applyNumberFormat="1" applyFont="1" applyFill="1" applyBorder="1" applyAlignment="1">
      <alignment horizontal="center" vertical="center" wrapText="1"/>
    </xf>
    <xf numFmtId="9" fontId="12" fillId="4" borderId="0" xfId="0" applyNumberFormat="1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vertical="center"/>
    </xf>
    <xf numFmtId="0" fontId="20" fillId="0" borderId="0" xfId="0" applyFont="1" applyBorder="1" applyAlignment="1">
      <alignment horizontal="center"/>
    </xf>
    <xf numFmtId="0" fontId="31" fillId="4" borderId="14" xfId="0" applyFont="1" applyFill="1" applyBorder="1" applyAlignment="1">
      <alignment vertical="center"/>
    </xf>
    <xf numFmtId="0" fontId="0" fillId="11" borderId="15" xfId="0" applyFill="1" applyBorder="1" applyProtection="1"/>
    <xf numFmtId="0" fontId="7" fillId="9" borderId="15" xfId="0" applyFont="1" applyFill="1" applyBorder="1"/>
    <xf numFmtId="0" fontId="11" fillId="5" borderId="0" xfId="0" applyFont="1" applyFill="1" applyBorder="1" applyAlignment="1">
      <alignment horizontal="right" vertical="center"/>
    </xf>
    <xf numFmtId="182" fontId="7" fillId="0" borderId="0" xfId="0" applyNumberFormat="1" applyFont="1" applyAlignment="1">
      <alignment horizontal="right"/>
    </xf>
    <xf numFmtId="183" fontId="21" fillId="7" borderId="8" xfId="0" applyNumberFormat="1" applyFont="1" applyFill="1" applyBorder="1" applyAlignment="1">
      <alignment horizontal="right"/>
    </xf>
    <xf numFmtId="183" fontId="22" fillId="7" borderId="8" xfId="0" applyNumberFormat="1" applyFont="1" applyFill="1" applyBorder="1" applyAlignment="1">
      <alignment horizontal="right"/>
    </xf>
    <xf numFmtId="0" fontId="21" fillId="7" borderId="19" xfId="0" applyFont="1" applyFill="1" applyBorder="1" applyAlignment="1">
      <alignment horizontal="right"/>
    </xf>
    <xf numFmtId="0" fontId="22" fillId="7" borderId="19" xfId="0" applyFont="1" applyFill="1" applyBorder="1" applyAlignment="1">
      <alignment horizontal="right"/>
    </xf>
    <xf numFmtId="0" fontId="18" fillId="4" borderId="19" xfId="0" applyFont="1" applyFill="1" applyBorder="1" applyAlignment="1">
      <alignment horizontal="right"/>
    </xf>
    <xf numFmtId="0" fontId="5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4" borderId="0" xfId="0" applyFont="1" applyFill="1" applyBorder="1" applyAlignment="1">
      <alignment horizontal="center" vertical="center"/>
    </xf>
    <xf numFmtId="179" fontId="7" fillId="4" borderId="0" xfId="0" applyNumberFormat="1" applyFont="1" applyFill="1" applyBorder="1" applyAlignment="1">
      <alignment horizontal="center" vertical="center"/>
    </xf>
    <xf numFmtId="0" fontId="32" fillId="0" borderId="0" xfId="0" applyFont="1"/>
    <xf numFmtId="0" fontId="7" fillId="0" borderId="2" xfId="0" applyFont="1" applyBorder="1" applyAlignment="1">
      <alignment horizontal="center"/>
    </xf>
    <xf numFmtId="0" fontId="32" fillId="0" borderId="2" xfId="0" applyFont="1" applyBorder="1"/>
    <xf numFmtId="0" fontId="7" fillId="0" borderId="0" xfId="0" applyFont="1" applyBorder="1" applyAlignment="1">
      <alignment horizontal="center"/>
    </xf>
    <xf numFmtId="0" fontId="12" fillId="7" borderId="0" xfId="0" applyFont="1" applyFill="1" applyBorder="1" applyAlignment="1"/>
    <xf numFmtId="14" fontId="7" fillId="7" borderId="0" xfId="0" applyNumberFormat="1" applyFont="1" applyFill="1" applyBorder="1" applyAlignment="1"/>
    <xf numFmtId="14" fontId="7" fillId="7" borderId="0" xfId="0" applyNumberFormat="1" applyFont="1" applyFill="1" applyBorder="1" applyAlignment="1">
      <alignment horizontal="right"/>
    </xf>
    <xf numFmtId="0" fontId="12" fillId="8" borderId="0" xfId="0" applyFont="1" applyFill="1" applyAlignment="1"/>
    <xf numFmtId="176" fontId="7" fillId="0" borderId="13" xfId="0" applyNumberFormat="1" applyFont="1" applyBorder="1"/>
    <xf numFmtId="176" fontId="7" fillId="0" borderId="13" xfId="0" applyNumberFormat="1" applyFont="1" applyBorder="1" applyProtection="1"/>
    <xf numFmtId="57" fontId="7" fillId="0" borderId="20" xfId="0" applyNumberFormat="1" applyFont="1" applyBorder="1" applyAlignment="1">
      <alignment horizontal="left"/>
    </xf>
    <xf numFmtId="57" fontId="12" fillId="4" borderId="13" xfId="0" applyNumberFormat="1" applyFont="1" applyFill="1" applyBorder="1" applyAlignment="1">
      <alignment horizontal="right"/>
    </xf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7" fillId="0" borderId="13" xfId="0" applyNumberFormat="1" applyFont="1" applyFill="1" applyBorder="1"/>
    <xf numFmtId="9" fontId="7" fillId="0" borderId="13" xfId="1" applyFont="1" applyBorder="1" applyAlignment="1"/>
    <xf numFmtId="1" fontId="7" fillId="3" borderId="13" xfId="0" applyNumberFormat="1" applyFont="1" applyFill="1" applyBorder="1"/>
    <xf numFmtId="9" fontId="7" fillId="4" borderId="13" xfId="1" applyNumberFormat="1" applyFont="1" applyFill="1" applyBorder="1" applyAlignment="1">
      <alignment horizontal="center" vertical="center"/>
    </xf>
    <xf numFmtId="10" fontId="7" fillId="4" borderId="13" xfId="0" applyNumberFormat="1" applyFont="1" applyFill="1" applyBorder="1" applyAlignment="1">
      <alignment horizontal="center" vertical="center" wrapText="1"/>
    </xf>
    <xf numFmtId="9" fontId="7" fillId="4" borderId="13" xfId="0" applyNumberFormat="1" applyFont="1" applyFill="1" applyBorder="1" applyAlignment="1">
      <alignment horizontal="center" vertical="center" wrapText="1"/>
    </xf>
    <xf numFmtId="179" fontId="12" fillId="0" borderId="13" xfId="0" applyNumberFormat="1" applyFont="1" applyBorder="1" applyAlignment="1">
      <alignment horizontal="right"/>
    </xf>
    <xf numFmtId="0" fontId="7" fillId="0" borderId="13" xfId="0" applyNumberFormat="1" applyFont="1" applyBorder="1"/>
    <xf numFmtId="0" fontId="7" fillId="0" borderId="13" xfId="0" applyFont="1" applyBorder="1" applyAlignment="1">
      <alignment horizontal="center" vertical="center" wrapText="1"/>
    </xf>
    <xf numFmtId="176" fontId="7" fillId="3" borderId="13" xfId="0" applyNumberFormat="1" applyFont="1" applyFill="1" applyBorder="1"/>
    <xf numFmtId="9" fontId="7" fillId="4" borderId="13" xfId="1" applyNumberFormat="1" applyFont="1" applyFill="1" applyBorder="1" applyAlignment="1"/>
    <xf numFmtId="10" fontId="7" fillId="4" borderId="13" xfId="0" applyNumberFormat="1" applyFont="1" applyFill="1" applyBorder="1"/>
    <xf numFmtId="9" fontId="7" fillId="4" borderId="13" xfId="0" applyNumberFormat="1" applyFont="1" applyFill="1" applyBorder="1"/>
    <xf numFmtId="9" fontId="7" fillId="0" borderId="13" xfId="1" applyNumberFormat="1" applyFont="1" applyBorder="1" applyAlignment="1">
      <alignment horizontal="center" vertical="center"/>
    </xf>
    <xf numFmtId="0" fontId="7" fillId="0" borderId="13" xfId="0" applyFont="1" applyBorder="1"/>
    <xf numFmtId="10" fontId="7" fillId="4" borderId="13" xfId="1" applyNumberFormat="1" applyFont="1" applyFill="1" applyBorder="1" applyAlignment="1"/>
    <xf numFmtId="9" fontId="7" fillId="0" borderId="13" xfId="0" applyNumberFormat="1" applyFont="1" applyBorder="1"/>
    <xf numFmtId="2" fontId="33" fillId="2" borderId="13" xfId="0" applyNumberFormat="1" applyFont="1" applyFill="1" applyBorder="1"/>
    <xf numFmtId="2" fontId="33" fillId="4" borderId="13" xfId="0" applyNumberFormat="1" applyFont="1" applyFill="1" applyBorder="1" applyAlignment="1">
      <alignment horizontal="center" vertical="center" wrapText="1"/>
    </xf>
    <xf numFmtId="2" fontId="33" fillId="4" borderId="13" xfId="0" applyNumberFormat="1" applyFont="1" applyFill="1" applyBorder="1"/>
    <xf numFmtId="2" fontId="34" fillId="0" borderId="13" xfId="0" applyNumberFormat="1" applyFont="1" applyBorder="1"/>
    <xf numFmtId="2" fontId="33" fillId="0" borderId="13" xfId="0" applyNumberFormat="1" applyFont="1" applyBorder="1" applyAlignment="1">
      <alignment horizontal="center" vertical="center" wrapText="1"/>
    </xf>
    <xf numFmtId="2" fontId="33" fillId="0" borderId="13" xfId="0" applyNumberFormat="1" applyFont="1" applyBorder="1"/>
    <xf numFmtId="0" fontId="11" fillId="5" borderId="7" xfId="0" applyFont="1" applyFill="1" applyBorder="1" applyAlignment="1">
      <alignment horizontal="right" vertical="center"/>
    </xf>
    <xf numFmtId="0" fontId="19" fillId="9" borderId="0" xfId="0" applyFont="1" applyFill="1" applyBorder="1" applyAlignment="1">
      <alignment vertical="center"/>
    </xf>
    <xf numFmtId="14" fontId="23" fillId="4" borderId="0" xfId="0" applyNumberFormat="1" applyFont="1" applyFill="1" applyBorder="1" applyAlignment="1">
      <alignment horizontal="right" vertical="center"/>
    </xf>
    <xf numFmtId="14" fontId="23" fillId="8" borderId="0" xfId="0" applyNumberFormat="1" applyFont="1" applyFill="1" applyBorder="1" applyAlignment="1">
      <alignment horizontal="right" vertical="center"/>
    </xf>
    <xf numFmtId="0" fontId="28" fillId="6" borderId="0" xfId="0" applyFont="1" applyFill="1" applyBorder="1" applyAlignment="1" applyProtection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8" fillId="4" borderId="0" xfId="0" applyFont="1" applyFill="1" applyBorder="1" applyAlignment="1" applyProtection="1">
      <alignment horizontal="right" vertical="center"/>
    </xf>
    <xf numFmtId="184" fontId="23" fillId="4" borderId="0" xfId="0" applyNumberFormat="1" applyFont="1" applyFill="1" applyBorder="1" applyAlignment="1">
      <alignment horizontal="right" vertical="center"/>
    </xf>
    <xf numFmtId="185" fontId="23" fillId="4" borderId="0" xfId="0" applyNumberFormat="1" applyFont="1" applyFill="1" applyBorder="1" applyAlignment="1">
      <alignment horizontal="right" vertical="center"/>
    </xf>
    <xf numFmtId="0" fontId="23" fillId="4" borderId="0" xfId="0" applyFont="1" applyFill="1" applyBorder="1" applyAlignment="1">
      <alignment horizontal="right" vertical="center"/>
    </xf>
    <xf numFmtId="0" fontId="15" fillId="4" borderId="0" xfId="0" applyFont="1" applyFill="1" applyBorder="1" applyAlignment="1">
      <alignment horizontal="right" vertical="center"/>
    </xf>
    <xf numFmtId="0" fontId="28" fillId="6" borderId="1" xfId="0" applyFont="1" applyFill="1" applyBorder="1" applyAlignment="1" applyProtection="1">
      <alignment horizontal="right" vertical="center"/>
    </xf>
    <xf numFmtId="184" fontId="23" fillId="8" borderId="0" xfId="0" applyNumberFormat="1" applyFont="1" applyFill="1" applyBorder="1" applyAlignment="1">
      <alignment horizontal="right" vertical="center"/>
    </xf>
    <xf numFmtId="185" fontId="23" fillId="8" borderId="0" xfId="0" applyNumberFormat="1" applyFont="1" applyFill="1" applyBorder="1" applyAlignment="1">
      <alignment horizontal="right" vertical="center"/>
    </xf>
    <xf numFmtId="0" fontId="23" fillId="8" borderId="0" xfId="0" applyFont="1" applyFill="1" applyBorder="1" applyAlignment="1">
      <alignment horizontal="right" vertical="center"/>
    </xf>
    <xf numFmtId="0" fontId="28" fillId="6" borderId="1" xfId="0" applyFont="1" applyFill="1" applyBorder="1" applyAlignment="1">
      <alignment horizontal="right" vertical="center"/>
    </xf>
    <xf numFmtId="0" fontId="28" fillId="6" borderId="3" xfId="0" applyFont="1" applyFill="1" applyBorder="1" applyAlignment="1">
      <alignment horizontal="right" vertical="center"/>
    </xf>
    <xf numFmtId="0" fontId="28" fillId="6" borderId="3" xfId="0" applyFont="1" applyFill="1" applyBorder="1" applyAlignment="1" applyProtection="1">
      <alignment horizontal="right" vertical="center"/>
    </xf>
    <xf numFmtId="0" fontId="24" fillId="6" borderId="4" xfId="0" applyFont="1" applyFill="1" applyBorder="1" applyAlignment="1" applyProtection="1">
      <alignment horizontal="right" vertical="center"/>
    </xf>
    <xf numFmtId="0" fontId="24" fillId="6" borderId="0" xfId="0" applyFont="1" applyFill="1" applyBorder="1" applyAlignment="1" applyProtection="1">
      <alignment horizontal="right" vertical="center"/>
    </xf>
    <xf numFmtId="9" fontId="35" fillId="0" borderId="0" xfId="1" applyFont="1" applyBorder="1" applyAlignment="1">
      <alignment horizontal="right" vertical="center"/>
    </xf>
    <xf numFmtId="0" fontId="19" fillId="12" borderId="0" xfId="0" applyFont="1" applyFill="1" applyBorder="1" applyAlignment="1">
      <alignment vertical="center" readingOrder="1"/>
    </xf>
    <xf numFmtId="0" fontId="19" fillId="9" borderId="15" xfId="0" applyFont="1" applyFill="1" applyBorder="1" applyAlignment="1">
      <alignment horizontal="left" vertical="center" readingOrder="1"/>
    </xf>
    <xf numFmtId="0" fontId="36" fillId="9" borderId="0" xfId="0" applyFont="1" applyFill="1" applyBorder="1" applyAlignment="1">
      <alignment vertical="center"/>
    </xf>
    <xf numFmtId="0" fontId="37" fillId="6" borderId="5" xfId="0" applyFont="1" applyFill="1" applyBorder="1" applyProtection="1"/>
    <xf numFmtId="9" fontId="29" fillId="0" borderId="13" xfId="1" applyFont="1" applyBorder="1" applyAlignment="1">
      <alignment horizontal="right" vertical="center"/>
    </xf>
    <xf numFmtId="0" fontId="19" fillId="11" borderId="0" xfId="0" applyFont="1" applyFill="1" applyBorder="1" applyAlignment="1">
      <alignment vertical="center" readingOrder="1"/>
    </xf>
    <xf numFmtId="180" fontId="38" fillId="4" borderId="0" xfId="0" applyNumberFormat="1" applyFont="1" applyFill="1" applyBorder="1" applyAlignment="1">
      <alignment horizontal="right" vertical="center"/>
    </xf>
    <xf numFmtId="180" fontId="38" fillId="8" borderId="0" xfId="0" applyNumberFormat="1" applyFont="1" applyFill="1" applyBorder="1" applyAlignment="1">
      <alignment horizontal="right" vertical="center"/>
    </xf>
    <xf numFmtId="14" fontId="38" fillId="4" borderId="2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 applyProtection="1">
      <alignment horizontal="right" vertical="center"/>
    </xf>
    <xf numFmtId="14" fontId="8" fillId="5" borderId="8" xfId="0" applyNumberFormat="1" applyFont="1" applyFill="1" applyBorder="1" applyAlignment="1">
      <alignment horizontal="right" vertical="center"/>
    </xf>
    <xf numFmtId="0" fontId="18" fillId="13" borderId="0" xfId="0" applyFont="1" applyFill="1" applyBorder="1" applyAlignment="1">
      <alignment horizontal="right"/>
    </xf>
    <xf numFmtId="0" fontId="10" fillId="5" borderId="11" xfId="0" applyNumberFormat="1" applyFont="1" applyFill="1" applyBorder="1" applyAlignment="1">
      <alignment horizontal="left" vertical="center"/>
    </xf>
    <xf numFmtId="0" fontId="37" fillId="6" borderId="5" xfId="0" applyFont="1" applyFill="1" applyBorder="1" applyAlignment="1" applyProtection="1">
      <alignment horizontal="left"/>
    </xf>
    <xf numFmtId="0" fontId="7" fillId="9" borderId="0" xfId="0" applyFont="1" applyFill="1" applyBorder="1" applyAlignment="1">
      <alignment horizontal="left"/>
    </xf>
    <xf numFmtId="186" fontId="8" fillId="5" borderId="11" xfId="0" applyNumberFormat="1" applyFont="1" applyFill="1" applyBorder="1" applyAlignment="1">
      <alignment vertical="center"/>
    </xf>
    <xf numFmtId="187" fontId="29" fillId="8" borderId="0" xfId="0" applyNumberFormat="1" applyFont="1" applyFill="1" applyAlignment="1"/>
    <xf numFmtId="187" fontId="29" fillId="8" borderId="0" xfId="0" applyNumberFormat="1" applyFont="1" applyFill="1" applyAlignment="1">
      <alignment horizontal="right"/>
    </xf>
    <xf numFmtId="186" fontId="8" fillId="5" borderId="0" xfId="0" applyNumberFormat="1" applyFont="1" applyFill="1" applyBorder="1" applyAlignment="1">
      <alignment horizontal="left" vertical="center"/>
    </xf>
    <xf numFmtId="0" fontId="10" fillId="5" borderId="7" xfId="0" applyFont="1" applyFill="1" applyBorder="1" applyAlignment="1">
      <alignment vertical="center"/>
    </xf>
    <xf numFmtId="0" fontId="7" fillId="4" borderId="27" xfId="0" applyFont="1" applyFill="1" applyBorder="1" applyAlignment="1">
      <alignment horizontal="center" vertical="center"/>
    </xf>
    <xf numFmtId="186" fontId="8" fillId="5" borderId="0" xfId="0" applyNumberFormat="1" applyFont="1" applyFill="1" applyBorder="1" applyAlignment="1">
      <alignment vertical="center"/>
    </xf>
    <xf numFmtId="179" fontId="7" fillId="4" borderId="26" xfId="0" applyNumberFormat="1" applyFont="1" applyFill="1" applyBorder="1" applyAlignment="1">
      <alignment horizontal="center" vertical="center"/>
    </xf>
    <xf numFmtId="57" fontId="7" fillId="0" borderId="0" xfId="0" applyNumberFormat="1" applyFont="1" applyBorder="1" applyAlignment="1">
      <alignment horizontal="right"/>
    </xf>
    <xf numFmtId="14" fontId="7" fillId="0" borderId="0" xfId="0" applyNumberFormat="1" applyFont="1" applyAlignment="1">
      <alignment vertical="center"/>
    </xf>
    <xf numFmtId="186" fontId="8" fillId="5" borderId="2" xfId="0" applyNumberFormat="1" applyFont="1" applyFill="1" applyBorder="1" applyAlignment="1">
      <alignment vertical="center"/>
    </xf>
    <xf numFmtId="14" fontId="0" fillId="0" borderId="0" xfId="0" applyNumberFormat="1"/>
    <xf numFmtId="14" fontId="8" fillId="5" borderId="0" xfId="0" applyNumberFormat="1" applyFont="1" applyFill="1" applyBorder="1" applyAlignment="1">
      <alignment horizontal="right" vertical="center"/>
    </xf>
    <xf numFmtId="183" fontId="21" fillId="7" borderId="0" xfId="0" applyNumberFormat="1" applyFont="1" applyFill="1" applyBorder="1" applyAlignment="1">
      <alignment horizontal="right"/>
    </xf>
    <xf numFmtId="183" fontId="22" fillId="7" borderId="0" xfId="0" applyNumberFormat="1" applyFont="1" applyFill="1" applyBorder="1" applyAlignment="1">
      <alignment horizontal="right"/>
    </xf>
    <xf numFmtId="0" fontId="7" fillId="0" borderId="0" xfId="0" applyNumberFormat="1" applyFont="1" applyBorder="1"/>
    <xf numFmtId="183" fontId="7" fillId="0" borderId="0" xfId="0" applyNumberFormat="1" applyFont="1" applyBorder="1"/>
    <xf numFmtId="0" fontId="12" fillId="7" borderId="12" xfId="0" applyFont="1" applyFill="1" applyBorder="1" applyAlignment="1">
      <alignment horizontal="right"/>
    </xf>
    <xf numFmtId="176" fontId="18" fillId="4" borderId="0" xfId="0" applyNumberFormat="1" applyFont="1" applyFill="1" applyBorder="1" applyAlignment="1">
      <alignment horizontal="right"/>
    </xf>
    <xf numFmtId="176" fontId="18" fillId="13" borderId="0" xfId="0" applyNumberFormat="1" applyFont="1" applyFill="1" applyBorder="1" applyAlignment="1">
      <alignment horizontal="right"/>
    </xf>
    <xf numFmtId="0" fontId="18" fillId="4" borderId="18" xfId="0" applyFont="1" applyFill="1" applyBorder="1" applyAlignment="1">
      <alignment horizontal="right"/>
    </xf>
    <xf numFmtId="0" fontId="18" fillId="4" borderId="9" xfId="0" applyFont="1" applyFill="1" applyBorder="1" applyAlignment="1">
      <alignment horizontal="right"/>
    </xf>
    <xf numFmtId="0" fontId="18" fillId="13" borderId="9" xfId="0" applyFont="1" applyFill="1" applyBorder="1" applyAlignment="1">
      <alignment horizontal="right"/>
    </xf>
    <xf numFmtId="176" fontId="18" fillId="13" borderId="9" xfId="0" applyNumberFormat="1" applyFont="1" applyFill="1" applyBorder="1" applyAlignment="1">
      <alignment horizontal="right"/>
    </xf>
    <xf numFmtId="176" fontId="18" fillId="4" borderId="8" xfId="0" applyNumberFormat="1" applyFont="1" applyFill="1" applyBorder="1" applyAlignment="1">
      <alignment horizontal="right"/>
    </xf>
    <xf numFmtId="176" fontId="18" fillId="13" borderId="8" xfId="0" applyNumberFormat="1" applyFont="1" applyFill="1" applyBorder="1" applyAlignment="1">
      <alignment horizontal="right"/>
    </xf>
    <xf numFmtId="176" fontId="18" fillId="13" borderId="21" xfId="0" applyNumberFormat="1" applyFont="1" applyFill="1" applyBorder="1" applyAlignment="1">
      <alignment horizontal="right"/>
    </xf>
    <xf numFmtId="0" fontId="7" fillId="0" borderId="8" xfId="0" applyFont="1" applyBorder="1"/>
    <xf numFmtId="0" fontId="12" fillId="4" borderId="0" xfId="0" applyFont="1" applyFill="1" applyBorder="1" applyAlignment="1">
      <alignment horizontal="center" vertical="center"/>
    </xf>
    <xf numFmtId="0" fontId="42" fillId="4" borderId="0" xfId="0" applyFont="1" applyFill="1" applyBorder="1" applyAlignment="1">
      <alignment horizontal="center" vertical="center"/>
    </xf>
    <xf numFmtId="0" fontId="12" fillId="0" borderId="0" xfId="0" applyFont="1"/>
    <xf numFmtId="10" fontId="39" fillId="0" borderId="24" xfId="1" applyNumberFormat="1" applyFont="1" applyBorder="1" applyAlignment="1">
      <alignment horizontal="right" vertical="center"/>
    </xf>
    <xf numFmtId="10" fontId="39" fillId="0" borderId="25" xfId="1" applyNumberFormat="1" applyFont="1" applyBorder="1" applyAlignment="1">
      <alignment horizontal="right" vertical="center"/>
    </xf>
    <xf numFmtId="10" fontId="29" fillId="0" borderId="22" xfId="1" applyNumberFormat="1" applyFont="1" applyBorder="1" applyAlignment="1">
      <alignment horizontal="right" vertical="center"/>
    </xf>
    <xf numFmtId="10" fontId="29" fillId="0" borderId="13" xfId="1" applyNumberFormat="1" applyFont="1" applyBorder="1" applyAlignment="1">
      <alignment horizontal="right" vertical="center"/>
    </xf>
    <xf numFmtId="178" fontId="25" fillId="9" borderId="15" xfId="0" applyNumberFormat="1" applyFont="1" applyFill="1" applyBorder="1" applyAlignment="1">
      <alignment horizontal="left" vertical="center"/>
    </xf>
    <xf numFmtId="187" fontId="25" fillId="9" borderId="15" xfId="0" applyNumberFormat="1" applyFont="1" applyFill="1" applyBorder="1" applyAlignment="1">
      <alignment horizontal="left" vertical="center"/>
    </xf>
    <xf numFmtId="177" fontId="25" fillId="9" borderId="16" xfId="0" applyNumberFormat="1" applyFont="1" applyFill="1" applyBorder="1" applyAlignment="1">
      <alignment horizontal="left" vertical="center"/>
    </xf>
    <xf numFmtId="177" fontId="25" fillId="9" borderId="17" xfId="0" applyNumberFormat="1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left" vertical="center" readingOrder="1"/>
    </xf>
    <xf numFmtId="0" fontId="36" fillId="9" borderId="0" xfId="0" applyFont="1" applyFill="1" applyBorder="1" applyAlignment="1">
      <alignment horizontal="left" vertical="center"/>
    </xf>
    <xf numFmtId="181" fontId="12" fillId="10" borderId="0" xfId="0" applyNumberFormat="1" applyFont="1" applyFill="1" applyBorder="1" applyAlignment="1" applyProtection="1">
      <alignment horizontal="left" vertical="center"/>
      <protection locked="0"/>
    </xf>
    <xf numFmtId="181" fontId="12" fillId="10" borderId="0" xfId="0" applyNumberFormat="1" applyFont="1" applyFill="1" applyAlignment="1" applyProtection="1">
      <alignment horizontal="left" vertical="center"/>
      <protection locked="0"/>
    </xf>
    <xf numFmtId="0" fontId="12" fillId="10" borderId="0" xfId="0" applyNumberFormat="1" applyFont="1" applyFill="1" applyBorder="1" applyAlignment="1" applyProtection="1">
      <alignment horizontal="left" vertical="center"/>
      <protection locked="0"/>
    </xf>
    <xf numFmtId="0" fontId="10" fillId="5" borderId="11" xfId="0" applyFont="1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10" fillId="5" borderId="6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688"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rgb="FF414141"/>
        </patternFill>
      </fill>
    </dxf>
    <dxf>
      <font>
        <color theme="0"/>
      </font>
      <fill>
        <patternFill>
          <bgColor rgb="FF414141"/>
        </patternFill>
      </fill>
    </dxf>
    <dxf>
      <font>
        <color theme="0"/>
      </font>
      <fill>
        <patternFill>
          <bgColor rgb="FF414141"/>
        </patternFill>
      </fill>
    </dxf>
    <dxf>
      <font>
        <color theme="0"/>
      </font>
      <fill>
        <patternFill>
          <bgColor rgb="FF414141"/>
        </patternFill>
      </fill>
    </dxf>
  </dxfs>
  <tableStyles count="0" defaultTableStyle="TableStyleMedium2" defaultPivotStyle="PivotStyleLight16"/>
  <colors>
    <mruColors>
      <color rgb="FF63636D"/>
      <color rgb="FFE4C658"/>
      <color rgb="FF404040"/>
      <color rgb="FFE9E9E9"/>
      <color rgb="FF41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234812726598473E-2"/>
          <c:y val="0.13761582879063194"/>
          <c:w val="0.81884756480367904"/>
          <c:h val="0.69814560872198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美联储利率观测器!$G$12</c:f>
              <c:strCache>
                <c:ptCount val="1"/>
                <c:pt idx="0">
                  <c:v>加息/降息次数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美联储利率观测器!$F$13:$F$22</c15:sqref>
                  </c15:fullRef>
                </c:ext>
              </c:extLst>
              <c:f>美联储利率观测器!$F$13:$F$20</c:f>
              <c:numCache>
                <c:formatCode>m/d/yyyy</c:formatCode>
                <c:ptCount val="8"/>
                <c:pt idx="0">
                  <c:v>46051.083333333336</c:v>
                </c:pt>
                <c:pt idx="1">
                  <c:v>46100.083333333336</c:v>
                </c:pt>
                <c:pt idx="2">
                  <c:v>46142.083333333336</c:v>
                </c:pt>
                <c:pt idx="3">
                  <c:v>46191.083333333336</c:v>
                </c:pt>
                <c:pt idx="4">
                  <c:v>46233.083333333336</c:v>
                </c:pt>
                <c:pt idx="5">
                  <c:v>46282.083333333336</c:v>
                </c:pt>
                <c:pt idx="6">
                  <c:v>46324.083333333336</c:v>
                </c:pt>
                <c:pt idx="7">
                  <c:v>46366.083333333336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美联储利率观测器!$G$13:$G$22</c15:sqref>
                  </c15:fullRef>
                </c:ext>
              </c:extLst>
              <c:f>美联储利率观测器!$G$13:$G$20</c:f>
              <c:numCache>
                <c:formatCode>\+0.000;\-0.000;0.000;@</c:formatCode>
                <c:ptCount val="8"/>
                <c:pt idx="0">
                  <c:v>-4.0000000000018687E-2</c:v>
                </c:pt>
                <c:pt idx="1">
                  <c:v>-0.27846153846144084</c:v>
                </c:pt>
                <c:pt idx="2">
                  <c:v>-0.45999999999997776</c:v>
                </c:pt>
                <c:pt idx="3">
                  <c:v>-0.96769230769234404</c:v>
                </c:pt>
                <c:pt idx="4">
                  <c:v>-1.3000000000000096</c:v>
                </c:pt>
                <c:pt idx="5">
                  <c:v>-1.7285714285713976</c:v>
                </c:pt>
                <c:pt idx="6">
                  <c:v>-1.9599999999999778</c:v>
                </c:pt>
                <c:pt idx="7">
                  <c:v>-2.1999999999999869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2-40E9-ABEF-CF28AF514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34927"/>
        <c:axId val="902240335"/>
      </c:barChart>
      <c:lineChart>
        <c:grouping val="standard"/>
        <c:varyColors val="0"/>
        <c:ser>
          <c:idx val="1"/>
          <c:order val="1"/>
          <c:tx>
            <c:strRef>
              <c:f>美联储利率观测器!$J$12</c:f>
              <c:strCache>
                <c:ptCount val="1"/>
                <c:pt idx="0">
                  <c:v>隐含利率(%)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美联储利率观测器!$F$13:$F$22</c15:sqref>
                  </c15:fullRef>
                </c:ext>
              </c:extLst>
              <c:f>美联储利率观测器!$F$13:$F$20</c:f>
              <c:numCache>
                <c:formatCode>m/d/yyyy</c:formatCode>
                <c:ptCount val="8"/>
                <c:pt idx="0">
                  <c:v>46051.083333333336</c:v>
                </c:pt>
                <c:pt idx="1">
                  <c:v>46100.083333333336</c:v>
                </c:pt>
                <c:pt idx="2">
                  <c:v>46142.083333333336</c:v>
                </c:pt>
                <c:pt idx="3">
                  <c:v>46191.083333333336</c:v>
                </c:pt>
                <c:pt idx="4">
                  <c:v>46233.083333333336</c:v>
                </c:pt>
                <c:pt idx="5">
                  <c:v>46282.083333333336</c:v>
                </c:pt>
                <c:pt idx="6">
                  <c:v>46324.083333333336</c:v>
                </c:pt>
                <c:pt idx="7">
                  <c:v>46366.083333333336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美联储利率观测器!$J$13:$J$22</c15:sqref>
                  </c15:fullRef>
                </c:ext>
              </c:extLst>
              <c:f>美联储利率观测器!$J$13:$J$20</c:f>
              <c:numCache>
                <c:formatCode>0.000</c:formatCode>
                <c:ptCount val="8"/>
                <c:pt idx="0">
                  <c:v>3.6299999999999955</c:v>
                </c:pt>
                <c:pt idx="1">
                  <c:v>3.5703846153846399</c:v>
                </c:pt>
                <c:pt idx="2">
                  <c:v>3.5250000000000057</c:v>
                </c:pt>
                <c:pt idx="3">
                  <c:v>3.3980769230769141</c:v>
                </c:pt>
                <c:pt idx="4">
                  <c:v>3.3149999999999977</c:v>
                </c:pt>
                <c:pt idx="5">
                  <c:v>3.2078571428571507</c:v>
                </c:pt>
                <c:pt idx="6">
                  <c:v>3.1500000000000057</c:v>
                </c:pt>
                <c:pt idx="7">
                  <c:v>3.0900000000000034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2-40E9-ABEF-CF28AF514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220783"/>
        <c:axId val="902222447"/>
      </c:lineChart>
      <c:catAx>
        <c:axId val="902220783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02222447"/>
        <c:crosses val="autoZero"/>
        <c:auto val="0"/>
        <c:lblAlgn val="ctr"/>
        <c:lblOffset val="100"/>
        <c:tickLblSkip val="1"/>
        <c:noMultiLvlLbl val="0"/>
      </c:catAx>
      <c:valAx>
        <c:axId val="902222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 sz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隐含政策利率</a:t>
                </a:r>
                <a:r>
                  <a:rPr lang="en-US" altLang="zh-CN" sz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(%)</a:t>
                </a:r>
                <a:endParaRPr lang="zh-CN" altLang="en-US" sz="1200" baseline="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902220783"/>
        <c:crosses val="autoZero"/>
        <c:crossBetween val="between"/>
      </c:valAx>
      <c:valAx>
        <c:axId val="90224033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70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 sz="120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已定价加息降息次数</a:t>
                </a:r>
                <a:endParaRPr lang="en-US" altLang="zh-CN" sz="120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#,##0.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902234927"/>
        <c:crosses val="max"/>
        <c:crossBetween val="between"/>
        <c:minorUnit val="1"/>
      </c:valAx>
      <c:catAx>
        <c:axId val="9022349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2240335"/>
        <c:crosses val="autoZero"/>
        <c:auto val="0"/>
        <c:lblAlgn val="ctr"/>
        <c:lblOffset val="100"/>
        <c:noMultiLvlLbl val="0"/>
      </c:catAx>
      <c:spPr>
        <a:solidFill>
          <a:srgbClr val="404040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rgbClr val="40404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92134675218577E-2"/>
          <c:y val="0.13455657492354739"/>
          <c:w val="0.95705532669343485"/>
          <c:h val="0.77103614341785254"/>
        </c:manualLayout>
      </c:layout>
      <c:lineChart>
        <c:grouping val="standard"/>
        <c:varyColors val="0"/>
        <c:ser>
          <c:idx val="0"/>
          <c:order val="0"/>
          <c:tx>
            <c:strRef>
              <c:f>美联储利率观测器!$P$12</c:f>
              <c:strCache>
                <c:ptCount val="1"/>
                <c:pt idx="0">
                  <c:v>-50bps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美联储利率观测器!$O$13:$O$31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美联储利率观测器!$P$13:$P$31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0-4D6E-8AD1-95A7803F36BD}"/>
            </c:ext>
          </c:extLst>
        </c:ser>
        <c:ser>
          <c:idx val="1"/>
          <c:order val="1"/>
          <c:tx>
            <c:strRef>
              <c:f>美联储利率观测器!$Q$12</c:f>
              <c:strCache>
                <c:ptCount val="1"/>
                <c:pt idx="0">
                  <c:v>-25bps</c:v>
                </c:pt>
              </c:strCache>
            </c:strRef>
          </c:tx>
          <c:spPr>
            <a:ln w="31750" cap="sq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美联储利率观测器!$O$13:$O$31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美联储利率观测器!$Q$13:$Q$31</c:f>
              <c:numCache>
                <c:formatCode>0.00%</c:formatCode>
                <c:ptCount val="19"/>
                <c:pt idx="0">
                  <c:v>0.24000000000000909</c:v>
                </c:pt>
                <c:pt idx="1">
                  <c:v>0.24000000000000909</c:v>
                </c:pt>
                <c:pt idx="2">
                  <c:v>0.24000000000000909</c:v>
                </c:pt>
                <c:pt idx="3">
                  <c:v>0.22000000000002728</c:v>
                </c:pt>
                <c:pt idx="4">
                  <c:v>0.20000000000004545</c:v>
                </c:pt>
                <c:pt idx="5">
                  <c:v>0.20000000000004545</c:v>
                </c:pt>
                <c:pt idx="6">
                  <c:v>0.20000000000004545</c:v>
                </c:pt>
                <c:pt idx="7">
                  <c:v>0.20000000000004545</c:v>
                </c:pt>
                <c:pt idx="8">
                  <c:v>0.21999999999997044</c:v>
                </c:pt>
                <c:pt idx="9">
                  <c:v>0.18000000000000682</c:v>
                </c:pt>
                <c:pt idx="10">
                  <c:v>0.15999999999996817</c:v>
                </c:pt>
                <c:pt idx="11">
                  <c:v>0.13999999999998636</c:v>
                </c:pt>
                <c:pt idx="12">
                  <c:v>0.13999999999998636</c:v>
                </c:pt>
                <c:pt idx="13">
                  <c:v>0.13999999999998636</c:v>
                </c:pt>
                <c:pt idx="14">
                  <c:v>0.16000000000002501</c:v>
                </c:pt>
                <c:pt idx="15">
                  <c:v>0.16000000000002501</c:v>
                </c:pt>
                <c:pt idx="16">
                  <c:v>0.16000000000002501</c:v>
                </c:pt>
                <c:pt idx="17">
                  <c:v>0.13999999999998636</c:v>
                </c:pt>
                <c:pt idx="18">
                  <c:v>0.13999999999998636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B-405D-9E9A-39ADF6754DAC}"/>
            </c:ext>
          </c:extLst>
        </c:ser>
        <c:ser>
          <c:idx val="2"/>
          <c:order val="2"/>
          <c:tx>
            <c:strRef>
              <c:f>美联储利率观测器!$R$12</c:f>
              <c:strCache>
                <c:ptCount val="1"/>
                <c:pt idx="0">
                  <c:v>0bps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美联储利率观测器!$O$13:$O$31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美联储利率观测器!$R$13:$R$31</c:f>
              <c:numCache>
                <c:formatCode>0.00%</c:formatCode>
                <c:ptCount val="19"/>
                <c:pt idx="0">
                  <c:v>0.75999999999999091</c:v>
                </c:pt>
                <c:pt idx="1">
                  <c:v>0.75999999999999091</c:v>
                </c:pt>
                <c:pt idx="2">
                  <c:v>0.75999999999999091</c:v>
                </c:pt>
                <c:pt idx="3">
                  <c:v>0.77999999999997272</c:v>
                </c:pt>
                <c:pt idx="4">
                  <c:v>0.79999999999995453</c:v>
                </c:pt>
                <c:pt idx="5">
                  <c:v>0.79999999999995453</c:v>
                </c:pt>
                <c:pt idx="6">
                  <c:v>0.79999999999995453</c:v>
                </c:pt>
                <c:pt idx="7">
                  <c:v>0.79999999999995453</c:v>
                </c:pt>
                <c:pt idx="8">
                  <c:v>0.78000000000002956</c:v>
                </c:pt>
                <c:pt idx="9">
                  <c:v>0.81999999999999318</c:v>
                </c:pt>
                <c:pt idx="10">
                  <c:v>0.84000000000003183</c:v>
                </c:pt>
                <c:pt idx="11">
                  <c:v>0.86000000000001364</c:v>
                </c:pt>
                <c:pt idx="12">
                  <c:v>0.86000000000001364</c:v>
                </c:pt>
                <c:pt idx="13">
                  <c:v>0.86000000000001364</c:v>
                </c:pt>
                <c:pt idx="14">
                  <c:v>0.83999999999997499</c:v>
                </c:pt>
                <c:pt idx="15">
                  <c:v>0.83999999999997499</c:v>
                </c:pt>
                <c:pt idx="16">
                  <c:v>0.83999999999997499</c:v>
                </c:pt>
                <c:pt idx="17">
                  <c:v>0.86000000000001364</c:v>
                </c:pt>
                <c:pt idx="18">
                  <c:v>0.86000000000001364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B-405D-9E9A-39ADF6754DAC}"/>
            </c:ext>
          </c:extLst>
        </c:ser>
        <c:ser>
          <c:idx val="3"/>
          <c:order val="3"/>
          <c:tx>
            <c:strRef>
              <c:f>美联储利率观测器!$S$12</c:f>
              <c:strCache>
                <c:ptCount val="1"/>
                <c:pt idx="0">
                  <c:v>+25bps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美联储利率观测器!$O$13:$O$31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美联储利率观测器!$S$13:$S$31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B-405D-9E9A-39ADF6754DAC}"/>
            </c:ext>
          </c:extLst>
        </c:ser>
        <c:ser>
          <c:idx val="4"/>
          <c:order val="4"/>
          <c:tx>
            <c:strRef>
              <c:f>美联储利率观测器!$T$12</c:f>
              <c:strCache>
                <c:ptCount val="1"/>
                <c:pt idx="0">
                  <c:v>+50bps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美联储利率观测器!$O$13:$O$31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美联储利率观测器!$T$13:$T$31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B-405D-9E9A-39ADF6754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748448"/>
        <c:axId val="1786760512"/>
      </c:lineChart>
      <c:catAx>
        <c:axId val="1786748448"/>
        <c:scaling>
          <c:orientation val="maxMin"/>
        </c:scaling>
        <c:delete val="0"/>
        <c:axPos val="b"/>
        <c:numFmt formatCode="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786760512"/>
        <c:crosses val="autoZero"/>
        <c:auto val="0"/>
        <c:lblAlgn val="ctr"/>
        <c:lblOffset val="100"/>
        <c:noMultiLvlLbl val="0"/>
      </c:catAx>
      <c:valAx>
        <c:axId val="1786760512"/>
        <c:scaling>
          <c:orientation val="minMax"/>
          <c:max val="1"/>
        </c:scaling>
        <c:delete val="0"/>
        <c:axPos val="r"/>
        <c:majorGridlines>
          <c:spPr>
            <a:ln w="12700" cap="flat" cmpd="sng" algn="ctr">
              <a:solidFill>
                <a:schemeClr val="tx2">
                  <a:lumMod val="15000"/>
                  <a:lumOff val="85000"/>
                  <a:alpha val="30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867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32420995305634"/>
          <c:y val="2.8542303771661569E-2"/>
          <c:w val="0.7118749470338247"/>
          <c:h val="8.5884723125205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rgbClr val="40404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81821786665155E-2"/>
          <c:y val="0.14714821630245067"/>
          <c:w val="0.90233924356577733"/>
          <c:h val="0.7584172991415189"/>
        </c:manualLayout>
      </c:layout>
      <c:lineChart>
        <c:grouping val="standard"/>
        <c:varyColors val="0"/>
        <c:ser>
          <c:idx val="0"/>
          <c:order val="0"/>
          <c:tx>
            <c:strRef>
              <c:f>美联储利率观测器!$Y$12</c:f>
              <c:strCache>
                <c:ptCount val="1"/>
                <c:pt idx="0">
                  <c:v>降息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美联储利率观测器!$X$13:$X$31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美联储利率观测器!$Y$13:$Y$31</c:f>
              <c:numCache>
                <c:formatCode>0.00%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5-4D58-944B-9FC7989D1576}"/>
            </c:ext>
          </c:extLst>
        </c:ser>
        <c:ser>
          <c:idx val="1"/>
          <c:order val="1"/>
          <c:tx>
            <c:strRef>
              <c:f>美联储利率观测器!$Z$12</c:f>
              <c:strCache>
                <c:ptCount val="1"/>
                <c:pt idx="0">
                  <c:v>保持不变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美联储利率观测器!$X$13:$X$31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美联储利率观测器!$Z$13:$Z$31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B-4D71-9105-051C21A838B7}"/>
            </c:ext>
          </c:extLst>
        </c:ser>
        <c:ser>
          <c:idx val="2"/>
          <c:order val="2"/>
          <c:tx>
            <c:strRef>
              <c:f>美联储利率观测器!$AA$12</c:f>
              <c:strCache>
                <c:ptCount val="1"/>
                <c:pt idx="0">
                  <c:v>加息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美联储利率观测器!$X$13:$X$31</c:f>
              <c:numCache>
                <c:formatCode>m/d/yyyy</c:formatCode>
                <c:ptCount val="19"/>
                <c:pt idx="0">
                  <c:v>46037</c:v>
                </c:pt>
                <c:pt idx="1">
                  <c:v>46036</c:v>
                </c:pt>
                <c:pt idx="2">
                  <c:v>46035</c:v>
                </c:pt>
                <c:pt idx="3">
                  <c:v>46034</c:v>
                </c:pt>
                <c:pt idx="4">
                  <c:v>46033</c:v>
                </c:pt>
                <c:pt idx="5">
                  <c:v>46032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46026</c:v>
                </c:pt>
                <c:pt idx="12">
                  <c:v>46025</c:v>
                </c:pt>
                <c:pt idx="13">
                  <c:v>46024</c:v>
                </c:pt>
                <c:pt idx="14">
                  <c:v>46023</c:v>
                </c:pt>
                <c:pt idx="15">
                  <c:v>46022</c:v>
                </c:pt>
                <c:pt idx="16">
                  <c:v>46021</c:v>
                </c:pt>
                <c:pt idx="17">
                  <c:v>46020</c:v>
                </c:pt>
                <c:pt idx="18">
                  <c:v>46019</c:v>
                </c:pt>
              </c:numCache>
            </c:numRef>
          </c:cat>
          <c:val>
            <c:numRef>
              <c:f>美联储利率观测器!$AA$13:$AA$31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B-4D71-9105-051C21A838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6748448"/>
        <c:axId val="1786760512"/>
      </c:lineChart>
      <c:catAx>
        <c:axId val="1786748448"/>
        <c:scaling>
          <c:orientation val="maxMin"/>
        </c:scaling>
        <c:delete val="0"/>
        <c:axPos val="b"/>
        <c:numFmt formatCode="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786760512"/>
        <c:crosses val="autoZero"/>
        <c:auto val="0"/>
        <c:lblAlgn val="ctr"/>
        <c:lblOffset val="100"/>
        <c:noMultiLvlLbl val="0"/>
      </c:catAx>
      <c:valAx>
        <c:axId val="1786760512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  <a:alpha val="30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867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145893088825316"/>
          <c:y val="2.8542319873004842E-2"/>
          <c:w val="0.37478872279696607"/>
          <c:h val="8.7306644342476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solidFill>
        <a:srgbClr val="40404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104775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386" y="104775"/>
          <a:ext cx="607152" cy="219075"/>
        </a:xfrm>
        <a:prstGeom prst="rect">
          <a:avLst/>
        </a:prstGeom>
      </xdr:spPr>
    </xdr:pic>
    <xdr:clientData/>
  </xdr:oneCellAnchor>
  <xdr:twoCellAnchor>
    <xdr:from>
      <xdr:col>4</xdr:col>
      <xdr:colOff>17797</xdr:colOff>
      <xdr:row>9</xdr:row>
      <xdr:rowOff>133746</xdr:rowOff>
    </xdr:from>
    <xdr:to>
      <xdr:col>11</xdr:col>
      <xdr:colOff>64231</xdr:colOff>
      <xdr:row>9</xdr:row>
      <xdr:rowOff>3229371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68792</xdr:colOff>
      <xdr:row>9</xdr:row>
      <xdr:rowOff>112183</xdr:rowOff>
    </xdr:from>
    <xdr:to>
      <xdr:col>20</xdr:col>
      <xdr:colOff>59267</xdr:colOff>
      <xdr:row>9</xdr:row>
      <xdr:rowOff>3226858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56092</xdr:colOff>
      <xdr:row>9</xdr:row>
      <xdr:rowOff>62441</xdr:rowOff>
    </xdr:from>
    <xdr:to>
      <xdr:col>26</xdr:col>
      <xdr:colOff>1408342</xdr:colOff>
      <xdr:row>9</xdr:row>
      <xdr:rowOff>3227916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117763</xdr:colOff>
      <xdr:row>0</xdr:row>
      <xdr:rowOff>96116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22" y="96116"/>
          <a:ext cx="607152" cy="219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85725"/>
          <a:ext cx="607152" cy="219075"/>
        </a:xfrm>
        <a:prstGeom prst="rect">
          <a:avLst/>
        </a:prstGeom>
      </xdr:spPr>
    </xdr:pic>
    <xdr:clientData/>
  </xdr:oneCellAnchor>
  <xdr:oneCellAnchor>
    <xdr:from>
      <xdr:col>4</xdr:col>
      <xdr:colOff>419100</xdr:colOff>
      <xdr:row>6</xdr:row>
      <xdr:rowOff>28575</xdr:rowOff>
    </xdr:from>
    <xdr:ext cx="184731" cy="311496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162300" y="128587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3</xdr:col>
      <xdr:colOff>609600</xdr:colOff>
      <xdr:row>1</xdr:row>
      <xdr:rowOff>142875</xdr:rowOff>
    </xdr:from>
    <xdr:to>
      <xdr:col>18</xdr:col>
      <xdr:colOff>504825</xdr:colOff>
      <xdr:row>5</xdr:row>
      <xdr:rowOff>57150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667000" y="495300"/>
          <a:ext cx="1018222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该模型是使用</a:t>
          </a:r>
          <a:r>
            <a:rPr lang="en-US" altLang="zh-CN" sz="1400"/>
            <a:t>CBOT30</a:t>
          </a:r>
          <a:r>
            <a:rPr lang="zh-CN" altLang="en-US" sz="1400"/>
            <a:t>天联邦基金期货价格数据，使用二元概率树方法建模，推算出在未来</a:t>
          </a:r>
          <a:r>
            <a:rPr lang="en-US" altLang="zh-CN" sz="1400"/>
            <a:t>FOMC</a:t>
          </a:r>
          <a:r>
            <a:rPr lang="zh-CN" altLang="en-US" sz="1400"/>
            <a:t>会议上利率变化的无条件概率。概率计算未参考点阵图数据，反映的是最新市场定价情况下的加息降息次数。</a:t>
          </a:r>
        </a:p>
      </xdr:txBody>
    </xdr:sp>
    <xdr:clientData/>
  </xdr:twoCellAnchor>
  <xdr:twoCellAnchor editAs="oneCell">
    <xdr:from>
      <xdr:col>1</xdr:col>
      <xdr:colOff>123825</xdr:colOff>
      <xdr:row>5</xdr:row>
      <xdr:rowOff>114300</xdr:rowOff>
    </xdr:from>
    <xdr:to>
      <xdr:col>21</xdr:col>
      <xdr:colOff>516306</xdr:colOff>
      <xdr:row>37</xdr:row>
      <xdr:rowOff>152400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1190625"/>
          <a:ext cx="14108481" cy="5829300"/>
        </a:xfrm>
        <a:prstGeom prst="rect">
          <a:avLst/>
        </a:prstGeom>
      </xdr:spPr>
    </xdr:pic>
    <xdr:clientData/>
  </xdr:twoCellAnchor>
  <xdr:twoCellAnchor>
    <xdr:from>
      <xdr:col>20</xdr:col>
      <xdr:colOff>428625</xdr:colOff>
      <xdr:row>10</xdr:row>
      <xdr:rowOff>171450</xdr:rowOff>
    </xdr:from>
    <xdr:to>
      <xdr:col>22</xdr:col>
      <xdr:colOff>9525</xdr:colOff>
      <xdr:row>13</xdr:row>
      <xdr:rowOff>133350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14144625" y="2152650"/>
          <a:ext cx="952500" cy="504825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10</xdr:row>
      <xdr:rowOff>19050</xdr:rowOff>
    </xdr:from>
    <xdr:to>
      <xdr:col>21</xdr:col>
      <xdr:colOff>419100</xdr:colOff>
      <xdr:row>17</xdr:row>
      <xdr:rowOff>36932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endCxn id="14" idx="1"/>
        </xdr:cNvCxnSpPr>
      </xdr:nvCxnSpPr>
      <xdr:spPr>
        <a:xfrm>
          <a:off x="10353675" y="2000250"/>
          <a:ext cx="4467225" cy="1284707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21</xdr:col>
      <xdr:colOff>419100</xdr:colOff>
      <xdr:row>16</xdr:row>
      <xdr:rowOff>76201</xdr:rowOff>
    </xdr:from>
    <xdr:ext cx="2886075" cy="283411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4820900" y="3143251"/>
          <a:ext cx="2886075" cy="283411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选择预测的会议时间</a:t>
          </a:r>
        </a:p>
      </xdr:txBody>
    </xdr:sp>
    <xdr:clientData/>
  </xdr:oneCellAnchor>
  <xdr:oneCellAnchor>
    <xdr:from>
      <xdr:col>21</xdr:col>
      <xdr:colOff>419100</xdr:colOff>
      <xdr:row>13</xdr:row>
      <xdr:rowOff>142876</xdr:rowOff>
    </xdr:from>
    <xdr:ext cx="2886075" cy="283411"/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4820900" y="2667001"/>
          <a:ext cx="2886075" cy="283411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选择预测累计利率变化的月份</a:t>
          </a:r>
        </a:p>
      </xdr:txBody>
    </xdr:sp>
    <xdr:clientData/>
  </xdr:oneCellAnchor>
  <xdr:oneCellAnchor>
    <xdr:from>
      <xdr:col>5</xdr:col>
      <xdr:colOff>57150</xdr:colOff>
      <xdr:row>10</xdr:row>
      <xdr:rowOff>57151</xdr:rowOff>
    </xdr:from>
    <xdr:ext cx="3171825" cy="283411"/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3486150" y="2038351"/>
          <a:ext cx="3171825" cy="283411"/>
        </a:xfrm>
        <a:prstGeom prst="rect">
          <a:avLst/>
        </a:prstGeom>
        <a:ln>
          <a:solidFill>
            <a:schemeClr val="accent2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可以调整自动生成的历史观测时点的时间间隔</a:t>
          </a:r>
        </a:p>
      </xdr:txBody>
    </xdr:sp>
    <xdr:clientData/>
  </xdr:oneCellAnchor>
  <xdr:twoCellAnchor>
    <xdr:from>
      <xdr:col>6</xdr:col>
      <xdr:colOff>80963</xdr:colOff>
      <xdr:row>16</xdr:row>
      <xdr:rowOff>85728</xdr:rowOff>
    </xdr:from>
    <xdr:to>
      <xdr:col>8</xdr:col>
      <xdr:colOff>571501</xdr:colOff>
      <xdr:row>19</xdr:row>
      <xdr:rowOff>161927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5" idx="0"/>
        </xdr:cNvCxnSpPr>
      </xdr:nvCxnSpPr>
      <xdr:spPr>
        <a:xfrm flipV="1">
          <a:off x="4195763" y="3152778"/>
          <a:ext cx="1862138" cy="61912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3</xdr:col>
      <xdr:colOff>438151</xdr:colOff>
      <xdr:row>19</xdr:row>
      <xdr:rowOff>161927</xdr:rowOff>
    </xdr:from>
    <xdr:ext cx="3400424" cy="257174"/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495551" y="3771902"/>
          <a:ext cx="3400424" cy="257174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0"/>
            <a:t>可以手动输入日期，查看自定义历史时点的预测概率</a:t>
          </a:r>
        </a:p>
      </xdr:txBody>
    </xdr:sp>
    <xdr:clientData/>
  </xdr:oneCellAnchor>
  <xdr:twoCellAnchor>
    <xdr:from>
      <xdr:col>9</xdr:col>
      <xdr:colOff>485775</xdr:colOff>
      <xdr:row>10</xdr:row>
      <xdr:rowOff>19051</xdr:rowOff>
    </xdr:from>
    <xdr:to>
      <xdr:col>10</xdr:col>
      <xdr:colOff>514350</xdr:colOff>
      <xdr:row>11</xdr:row>
      <xdr:rowOff>17882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25" idx="3"/>
        </xdr:cNvCxnSpPr>
      </xdr:nvCxnSpPr>
      <xdr:spPr>
        <a:xfrm flipV="1">
          <a:off x="6657975" y="2000251"/>
          <a:ext cx="714375" cy="179806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27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1884</xdr:colOff>
      <xdr:row>0</xdr:row>
      <xdr:rowOff>99478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  <xdr:oneCellAnchor>
    <xdr:from>
      <xdr:col>2</xdr:col>
      <xdr:colOff>1884</xdr:colOff>
      <xdr:row>0</xdr:row>
      <xdr:rowOff>99478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9478"/>
          <a:ext cx="607152" cy="21907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104775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477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  <definedName name="s_dq_settle"/>
      <definedName name="s_info_ltdate_new"/>
      <definedName name="to_tradecod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AH50"/>
  <sheetViews>
    <sheetView showGridLines="0" tabSelected="1" zoomScale="90" zoomScaleNormal="90" zoomScaleSheetLayoutView="100" workbookViewId="0">
      <pane ySplit="1" topLeftCell="A2" activePane="bottomLeft" state="frozen"/>
      <selection activeCell="W7" sqref="W7"/>
      <selection pane="bottomLeft" activeCell="AI17" sqref="AI17"/>
    </sheetView>
  </sheetViews>
  <sheetFormatPr defaultColWidth="9" defaultRowHeight="15" x14ac:dyDescent="0.2"/>
  <cols>
    <col min="1" max="1" width="2.625" style="3" customWidth="1"/>
    <col min="2" max="2" width="1.625" style="3" customWidth="1"/>
    <col min="3" max="3" width="12.875" style="3" hidden="1" customWidth="1"/>
    <col min="4" max="5" width="1.5" style="3" customWidth="1"/>
    <col min="6" max="6" width="15.125" style="3" customWidth="1"/>
    <col min="7" max="8" width="13.5" style="3" customWidth="1"/>
    <col min="9" max="9" width="13.625" style="3" customWidth="1"/>
    <col min="10" max="10" width="12.75" style="3" customWidth="1"/>
    <col min="11" max="11" width="12.875" style="3" customWidth="1"/>
    <col min="12" max="14" width="1.5" style="3" customWidth="1"/>
    <col min="15" max="15" width="11" style="3" customWidth="1"/>
    <col min="16" max="20" width="12.625" style="3" customWidth="1"/>
    <col min="21" max="23" width="1.5" style="3" customWidth="1"/>
    <col min="24" max="24" width="14.25" style="3" customWidth="1"/>
    <col min="25" max="27" width="18.625" style="3" customWidth="1"/>
    <col min="28" max="28" width="1.5" style="3" customWidth="1"/>
    <col min="29" max="30" width="1.625" style="3" customWidth="1"/>
    <col min="31" max="31" width="2.625" style="3" customWidth="1"/>
    <col min="32" max="32" width="12.125" style="3" hidden="1" customWidth="1"/>
    <col min="33" max="34" width="9" style="3" hidden="1" customWidth="1"/>
    <col min="35" max="16384" width="9" style="3"/>
  </cols>
  <sheetData>
    <row r="1" spans="1:34" s="2" customFormat="1" ht="30.95" customHeight="1" x14ac:dyDescent="0.2">
      <c r="A1" s="5"/>
      <c r="B1" s="5"/>
      <c r="C1" s="5"/>
      <c r="D1" s="5"/>
      <c r="E1" s="5"/>
      <c r="F1" s="12"/>
      <c r="G1" s="188" t="s">
        <v>92</v>
      </c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11" t="s">
        <v>5</v>
      </c>
      <c r="AA1" s="151">
        <f ca="1">NOW()</f>
        <v>46037.779445717591</v>
      </c>
      <c r="AB1" s="35"/>
      <c r="AC1" s="187"/>
      <c r="AD1" s="187"/>
      <c r="AE1" s="187"/>
      <c r="AF1" s="187"/>
      <c r="AG1" s="187"/>
      <c r="AH1" s="187"/>
    </row>
    <row r="2" spans="1:34" s="2" customFormat="1" ht="9.9499999999999993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62"/>
      <c r="AG2" s="62"/>
      <c r="AH2" s="62"/>
    </row>
    <row r="3" spans="1:34" ht="6" customHeight="1" x14ac:dyDescent="0.2">
      <c r="A3" s="14"/>
      <c r="AE3" s="14"/>
    </row>
    <row r="4" spans="1:34" ht="6" customHeight="1" x14ac:dyDescent="0.2">
      <c r="A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E4" s="14"/>
    </row>
    <row r="5" spans="1:34" ht="20.25" customHeight="1" x14ac:dyDescent="0.25">
      <c r="A5" s="14"/>
      <c r="C5" s="25"/>
      <c r="D5" s="14"/>
      <c r="E5" s="60"/>
      <c r="F5" s="134" t="s">
        <v>39</v>
      </c>
      <c r="G5" s="134" t="s">
        <v>59</v>
      </c>
      <c r="H5" s="134" t="s">
        <v>60</v>
      </c>
      <c r="I5" s="189" t="s">
        <v>43</v>
      </c>
      <c r="J5" s="189"/>
      <c r="K5" s="134" t="s">
        <v>44</v>
      </c>
      <c r="L5" s="61"/>
      <c r="M5" s="14"/>
      <c r="N5" s="33"/>
      <c r="O5" s="112" t="s">
        <v>46</v>
      </c>
      <c r="P5" s="112"/>
      <c r="Q5" s="112"/>
      <c r="R5" s="135"/>
      <c r="S5" s="135"/>
      <c r="T5" s="135"/>
      <c r="U5" s="135"/>
      <c r="V5" s="136"/>
      <c r="W5" s="33"/>
      <c r="X5" s="112" t="s">
        <v>45</v>
      </c>
      <c r="Y5" s="135"/>
      <c r="Z5" s="135"/>
      <c r="AA5" s="135"/>
      <c r="AB5" s="135"/>
      <c r="AC5" s="14"/>
      <c r="AE5" s="14"/>
    </row>
    <row r="6" spans="1:34" ht="15.75" customHeight="1" x14ac:dyDescent="0.25">
      <c r="A6" s="14"/>
      <c r="C6" s="25"/>
      <c r="D6" s="14"/>
      <c r="E6" s="60"/>
      <c r="F6" s="183">
        <f ca="1">日历计算!E2</f>
        <v>46002.083333333336</v>
      </c>
      <c r="G6" s="185">
        <f>AG46</f>
        <v>3.75</v>
      </c>
      <c r="H6" s="185">
        <f>AG50</f>
        <v>3.64</v>
      </c>
      <c r="I6" s="183">
        <f ca="1">美联储议息会议日历!D4</f>
        <v>46051.083333333336</v>
      </c>
      <c r="J6" s="183"/>
      <c r="K6" s="184">
        <f ca="1">美联储议息会议日历!D5</f>
        <v>13.303887615744316</v>
      </c>
      <c r="L6" s="61"/>
      <c r="M6" s="14"/>
      <c r="N6" s="33"/>
      <c r="O6" s="190" t="s">
        <v>72</v>
      </c>
      <c r="P6" s="190"/>
      <c r="Q6" s="193">
        <v>1</v>
      </c>
      <c r="R6" s="190" t="s">
        <v>74</v>
      </c>
      <c r="S6" s="190"/>
      <c r="T6" s="191">
        <v>46366.083333333336</v>
      </c>
      <c r="U6" s="191"/>
      <c r="V6" s="146"/>
      <c r="W6" s="147"/>
      <c r="X6" s="190" t="s">
        <v>73</v>
      </c>
      <c r="Y6" s="190"/>
      <c r="Z6" s="190"/>
      <c r="AA6" s="192">
        <v>46366.083333333336</v>
      </c>
      <c r="AB6" s="192"/>
      <c r="AC6" s="14"/>
      <c r="AE6" s="14"/>
    </row>
    <row r="7" spans="1:34" ht="15" customHeight="1" x14ac:dyDescent="0.25">
      <c r="A7" s="14"/>
      <c r="C7" s="25"/>
      <c r="D7" s="14"/>
      <c r="E7" s="60"/>
      <c r="F7" s="183"/>
      <c r="G7" s="186"/>
      <c r="H7" s="186"/>
      <c r="I7" s="183"/>
      <c r="J7" s="183"/>
      <c r="K7" s="184"/>
      <c r="L7" s="61"/>
      <c r="M7" s="14"/>
      <c r="N7" s="33"/>
      <c r="O7" s="190"/>
      <c r="P7" s="190"/>
      <c r="Q7" s="193"/>
      <c r="R7" s="190"/>
      <c r="S7" s="190"/>
      <c r="T7" s="191"/>
      <c r="U7" s="191"/>
      <c r="V7" s="146"/>
      <c r="W7" s="147"/>
      <c r="X7" s="190"/>
      <c r="Y7" s="190"/>
      <c r="Z7" s="190"/>
      <c r="AA7" s="192"/>
      <c r="AB7" s="192"/>
      <c r="AC7" s="14"/>
      <c r="AE7" s="14"/>
    </row>
    <row r="8" spans="1:34" ht="6" customHeight="1" x14ac:dyDescent="0.2">
      <c r="A8" s="14"/>
      <c r="C8" s="25"/>
      <c r="D8" s="14"/>
      <c r="E8" s="13"/>
      <c r="F8" s="13"/>
      <c r="G8" s="13"/>
      <c r="H8" s="13"/>
      <c r="I8" s="13"/>
      <c r="J8" s="13"/>
      <c r="K8" s="13"/>
      <c r="L8" s="13"/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E8" s="14"/>
    </row>
    <row r="9" spans="1:34" ht="20.25" customHeight="1" x14ac:dyDescent="0.2">
      <c r="A9" s="14"/>
      <c r="C9" s="25"/>
      <c r="D9" s="14"/>
      <c r="E9" s="138"/>
      <c r="F9" s="138" t="s">
        <v>38</v>
      </c>
      <c r="G9" s="138"/>
      <c r="H9" s="138"/>
      <c r="I9" s="138"/>
      <c r="J9" s="138"/>
      <c r="K9" s="138"/>
      <c r="L9" s="138"/>
      <c r="M9" s="14"/>
      <c r="N9" s="133"/>
      <c r="O9" s="133" t="str">
        <f>TEXT(T6,"YY年mm月")&amp;"单月利率变动概率"</f>
        <v>26年12月单月利率变动概率</v>
      </c>
      <c r="P9" s="133"/>
      <c r="Q9" s="133"/>
      <c r="R9" s="133"/>
      <c r="S9" s="133"/>
      <c r="T9" s="133"/>
      <c r="U9" s="133"/>
      <c r="V9" s="13"/>
      <c r="W9" s="133"/>
      <c r="X9" s="133" t="str">
        <f>TEXT(AA6,"YY年mm月")&amp;"累计加息/降息概率"</f>
        <v>26年12月累计加息/降息概率</v>
      </c>
      <c r="Y9" s="133"/>
      <c r="Z9" s="133"/>
      <c r="AA9" s="133"/>
      <c r="AB9" s="133"/>
      <c r="AC9" s="14"/>
      <c r="AE9" s="14"/>
    </row>
    <row r="10" spans="1:34" ht="262.5" customHeight="1" x14ac:dyDescent="0.2">
      <c r="A10" s="14"/>
      <c r="C10" s="25"/>
      <c r="D10" s="14"/>
      <c r="E10" s="138"/>
      <c r="F10" s="138"/>
      <c r="G10" s="138"/>
      <c r="H10" s="138"/>
      <c r="I10" s="138"/>
      <c r="J10" s="138"/>
      <c r="K10" s="138"/>
      <c r="L10" s="138"/>
      <c r="M10" s="14"/>
      <c r="N10" s="133"/>
      <c r="O10" s="133"/>
      <c r="P10" s="133"/>
      <c r="Q10" s="133"/>
      <c r="R10" s="133"/>
      <c r="S10" s="133"/>
      <c r="T10" s="133"/>
      <c r="U10" s="133"/>
      <c r="V10" s="13"/>
      <c r="W10" s="133"/>
      <c r="X10" s="133"/>
      <c r="Y10" s="133"/>
      <c r="Z10" s="133"/>
      <c r="AA10" s="133"/>
      <c r="AB10" s="133"/>
      <c r="AC10" s="14"/>
      <c r="AE10" s="14"/>
    </row>
    <row r="11" spans="1:34" ht="8.1" customHeight="1" x14ac:dyDescent="0.2">
      <c r="A11" s="14"/>
      <c r="C11" s="25"/>
      <c r="D11" s="14"/>
      <c r="E11" s="22"/>
      <c r="F11" s="22"/>
      <c r="G11" s="22"/>
      <c r="H11" s="22"/>
      <c r="I11" s="22"/>
      <c r="J11" s="22"/>
      <c r="K11" s="22"/>
      <c r="L11" s="22"/>
      <c r="M11" s="18"/>
      <c r="N11" s="22"/>
      <c r="O11" s="22"/>
      <c r="P11" s="22"/>
      <c r="Q11" s="22"/>
      <c r="R11" s="22"/>
      <c r="S11" s="22"/>
      <c r="T11" s="22"/>
      <c r="V11" s="34"/>
      <c r="AC11" s="14"/>
      <c r="AE11" s="14"/>
    </row>
    <row r="12" spans="1:34" ht="21" customHeight="1" thickBot="1" x14ac:dyDescent="0.4">
      <c r="A12" s="14"/>
      <c r="C12" s="6" t="s">
        <v>0</v>
      </c>
      <c r="D12" s="14"/>
      <c r="E12" s="22"/>
      <c r="F12" s="23" t="s">
        <v>35</v>
      </c>
      <c r="G12" s="23" t="s">
        <v>6</v>
      </c>
      <c r="H12" s="23" t="s">
        <v>61</v>
      </c>
      <c r="I12" s="23" t="s">
        <v>7</v>
      </c>
      <c r="J12" s="23" t="s">
        <v>8</v>
      </c>
      <c r="K12" s="23" t="s">
        <v>9</v>
      </c>
      <c r="L12" s="24"/>
      <c r="M12" s="18"/>
      <c r="N12" s="22"/>
      <c r="O12" s="23" t="s">
        <v>75</v>
      </c>
      <c r="P12" s="23" t="s">
        <v>62</v>
      </c>
      <c r="Q12" s="23" t="s">
        <v>63</v>
      </c>
      <c r="R12" s="23" t="s">
        <v>64</v>
      </c>
      <c r="S12" s="23" t="s">
        <v>53</v>
      </c>
      <c r="T12" s="23" t="s">
        <v>65</v>
      </c>
      <c r="V12" s="34"/>
      <c r="X12" s="23" t="s">
        <v>75</v>
      </c>
      <c r="Y12" s="23" t="s">
        <v>66</v>
      </c>
      <c r="Z12" s="23" t="s">
        <v>67</v>
      </c>
      <c r="AA12" s="23" t="s">
        <v>68</v>
      </c>
      <c r="AC12" s="14"/>
      <c r="AE12" s="14"/>
    </row>
    <row r="13" spans="1:34" s="116" customFormat="1" ht="20.100000000000001" customHeight="1" thickBot="1" x14ac:dyDescent="0.25">
      <c r="A13" s="115"/>
      <c r="C13" s="117" t="str">
        <f ca="1">日历计算!D3</f>
        <v>2601E</v>
      </c>
      <c r="D13" s="115"/>
      <c r="E13" s="118"/>
      <c r="F13" s="113">
        <f ca="1">日历计算!E3</f>
        <v>46051.083333333336</v>
      </c>
      <c r="G13" s="119">
        <f ca="1">I13/K13</f>
        <v>-4.0000000000018687E-2</v>
      </c>
      <c r="H13" s="120">
        <f ca="1">IF(VLOOKUP(C13,加息降息概率计算!C:Y,23,0)&gt;0,1-VLOOKUP(C13,加息降息概率计算!C:Y,22,0),IF(VLOOKUP(C13,加息降息概率计算!C:Y,21,0)&gt;0,VLOOKUP(C13,加息降息概率计算!C:Y,22,0)-1,0))</f>
        <v>-4.428571428570649E-2</v>
      </c>
      <c r="I13" s="119">
        <f ca="1">J13-$H$6</f>
        <v>-1.0000000000004672E-2</v>
      </c>
      <c r="J13" s="139">
        <f ca="1">VLOOKUP(C13&amp;"E",加息降息概率计算!C:S,9,0)</f>
        <v>3.6299999999999955</v>
      </c>
      <c r="K13" s="121">
        <v>0.25</v>
      </c>
      <c r="L13" s="122"/>
      <c r="M13" s="123"/>
      <c r="N13" s="22"/>
      <c r="O13" s="141">
        <f ca="1">TODAY()</f>
        <v>46037</v>
      </c>
      <c r="P13" s="179">
        <f ca="1">VLOOKUP(TEXT($T$6,"YYMM")&amp;"E",加息降息概率计算!$C:$S,13,0)</f>
        <v>0</v>
      </c>
      <c r="Q13" s="179">
        <f ca="1">VLOOKUP(TEXT($T$6,"YYMM")&amp;"E",加息降息概率计算!$C:$S,14,0)</f>
        <v>0.24000000000000909</v>
      </c>
      <c r="R13" s="179">
        <f ca="1">VLOOKUP(TEXT($T$6,"YYMM")&amp;"E",加息降息概率计算!$C:$S,15,0)</f>
        <v>0.75999999999999091</v>
      </c>
      <c r="S13" s="179">
        <f ca="1">VLOOKUP(TEXT($T$6,"YYMM")&amp;"E",加息降息概率计算!$C:$S,16,0)</f>
        <v>0</v>
      </c>
      <c r="T13" s="180">
        <f ca="1">VLOOKUP(TEXT($T$6,"YYMM")&amp;"E",加息降息概率计算!$C:$S,17,0)</f>
        <v>0</v>
      </c>
      <c r="U13" s="3"/>
      <c r="V13" s="142"/>
      <c r="W13" s="3"/>
      <c r="X13" s="141">
        <f t="shared" ref="X13:X31" ca="1" si="0">O13</f>
        <v>46037</v>
      </c>
      <c r="Y13" s="179">
        <f ca="1">VLOOKUP(TEXT($AA$6,"YYMM")&amp;"E",加息降息概率计算!$C:$Y,21,0)</f>
        <v>1</v>
      </c>
      <c r="Z13" s="179">
        <f ca="1">VLOOKUP(TEXT($AA$6,"YYMM")&amp;"E",加息降息概率计算!$C:$Y,22,0)</f>
        <v>0</v>
      </c>
      <c r="AA13" s="180">
        <f ca="1">VLOOKUP(TEXT($AA$6,"YYMM")&amp;"E",加息降息概率计算!$C:$Y,23,0)</f>
        <v>0</v>
      </c>
      <c r="AB13" s="3"/>
      <c r="AC13" s="115"/>
      <c r="AE13" s="115"/>
    </row>
    <row r="14" spans="1:34" s="116" customFormat="1" ht="20.100000000000001" customHeight="1" x14ac:dyDescent="0.2">
      <c r="A14" s="115"/>
      <c r="C14" s="117" t="str">
        <f ca="1">日历计算!D4</f>
        <v>2603E</v>
      </c>
      <c r="D14" s="115"/>
      <c r="E14" s="118"/>
      <c r="F14" s="114">
        <f ca="1">日历计算!E4</f>
        <v>46100.083333333336</v>
      </c>
      <c r="G14" s="124">
        <f ca="1">I14/K14</f>
        <v>-0.27846153846144084</v>
      </c>
      <c r="H14" s="125">
        <f ca="1">IF(VLOOKUP(C14,加息降息概率计算!C:Y,23,0)&gt;0,1-VLOOKUP(C14,加息降息概率计算!C:Y,22,0),IF(VLOOKUP(C14,加息降息概率计算!C:Y,21,0)&gt;0,VLOOKUP(C14,加息降息概率计算!C:Y,22,0)-1,0))</f>
        <v>-0.28274725274712864</v>
      </c>
      <c r="I14" s="124">
        <f t="shared" ref="I14:I20" ca="1" si="1">J14-$H$6</f>
        <v>-6.961538461536021E-2</v>
      </c>
      <c r="J14" s="140">
        <f ca="1">VLOOKUP(C14&amp;"E",加息降息概率计算!C:S,9,0)</f>
        <v>3.5703846153846399</v>
      </c>
      <c r="K14" s="126">
        <v>0.25</v>
      </c>
      <c r="L14" s="122"/>
      <c r="M14" s="127"/>
      <c r="N14" s="22"/>
      <c r="O14" s="114">
        <f ca="1">TODAY()-美联储利率观测器!Q6</f>
        <v>46036</v>
      </c>
      <c r="P14" s="181">
        <f ca="1">VLOOKUP(TEXT($T$6,"YYMM")&amp;"E",'加息降息概率计算-1P'!$C:$S,13,0)</f>
        <v>0</v>
      </c>
      <c r="Q14" s="181">
        <f ca="1">VLOOKUP(TEXT($T$6,"YYMM")&amp;"E",'加息降息概率计算-1P'!$C:$S,14,0)</f>
        <v>0.24000000000000909</v>
      </c>
      <c r="R14" s="181">
        <f ca="1">VLOOKUP(TEXT($T$6,"YYMM")&amp;"E",'加息降息概率计算-1P'!$C:$S,15,0)</f>
        <v>0.75999999999999091</v>
      </c>
      <c r="S14" s="181">
        <f ca="1">VLOOKUP(TEXT($T$6,"YYMM")&amp;"E",'加息降息概率计算-1P'!$C:$S,16,0)</f>
        <v>0</v>
      </c>
      <c r="T14" s="181">
        <f ca="1">VLOOKUP(TEXT($T$6,"YYMM")&amp;"E",'加息降息概率计算-1P'!$C:$S,17,0)</f>
        <v>0</v>
      </c>
      <c r="U14" s="3"/>
      <c r="V14" s="128"/>
      <c r="W14" s="3"/>
      <c r="X14" s="114">
        <f t="shared" ca="1" si="0"/>
        <v>46036</v>
      </c>
      <c r="Y14" s="181">
        <f ca="1">VLOOKUP(TEXT($AA$6,"YYMM")&amp;"E",'加息降息概率计算-1P'!$C:$Y,21,0)</f>
        <v>1</v>
      </c>
      <c r="Z14" s="181">
        <f ca="1">VLOOKUP(TEXT($AA$6,"YYMM")&amp;"E",'加息降息概率计算-1P'!$C:$Y,22,0)</f>
        <v>0</v>
      </c>
      <c r="AA14" s="181">
        <f ca="1">VLOOKUP(TEXT($AA$6,"YYMM")&amp;"E",'加息降息概率计算-1P'!$C:$Y,23,0)</f>
        <v>0</v>
      </c>
      <c r="AB14" s="3"/>
      <c r="AC14" s="115"/>
      <c r="AE14" s="115"/>
    </row>
    <row r="15" spans="1:34" s="116" customFormat="1" ht="20.100000000000001" customHeight="1" x14ac:dyDescent="0.2">
      <c r="A15" s="115"/>
      <c r="C15" s="117" t="str">
        <f ca="1">日历计算!D5</f>
        <v>2604E</v>
      </c>
      <c r="D15" s="115"/>
      <c r="E15" s="118"/>
      <c r="F15" s="113">
        <f ca="1">日历计算!E5</f>
        <v>46142.083333333336</v>
      </c>
      <c r="G15" s="119">
        <f t="shared" ref="G15:G19" ca="1" si="2">I15/K15</f>
        <v>-0.45999999999997776</v>
      </c>
      <c r="H15" s="120">
        <f ca="1">IF(VLOOKUP(C15,加息降息概率计算!C:Y,23,0)&gt;0,1-VLOOKUP(C15,加息降息概率计算!C:Y,22,0),IF(VLOOKUP(C15,加息降息概率计算!C:Y,21,0)&gt;0,VLOOKUP(C15,加息降息概率计算!C:Y,22,0)-1,0))</f>
        <v>-0.46428571428566556</v>
      </c>
      <c r="I15" s="119">
        <f t="shared" ca="1" si="1"/>
        <v>-0.11499999999999444</v>
      </c>
      <c r="J15" s="139">
        <f ca="1">VLOOKUP(C15&amp;"E",加息降息概率计算!C:S,9,0)</f>
        <v>3.5250000000000057</v>
      </c>
      <c r="K15" s="121">
        <v>0.25</v>
      </c>
      <c r="L15" s="122"/>
      <c r="M15" s="129"/>
      <c r="N15" s="22"/>
      <c r="O15" s="113">
        <f ca="1">TODAY()-2*美联储利率观测器!Q6</f>
        <v>46035</v>
      </c>
      <c r="P15" s="182">
        <f ca="1">VLOOKUP(TEXT($T$6,"YYMM")&amp;"E",'加息降息概率计算-2P'!$C:$S,13,0)</f>
        <v>0</v>
      </c>
      <c r="Q15" s="182">
        <f ca="1">VLOOKUP(TEXT($T$6,"YYMM")&amp;"E",'加息降息概率计算-2P'!$C:$S,14,0)</f>
        <v>0.24000000000000909</v>
      </c>
      <c r="R15" s="182">
        <f ca="1">VLOOKUP(TEXT($T$6,"YYMM")&amp;"E",'加息降息概率计算-2P'!$C:$S,15,0)</f>
        <v>0.75999999999999091</v>
      </c>
      <c r="S15" s="182">
        <f ca="1">VLOOKUP(TEXT($T$6,"YYMM")&amp;"E",'加息降息概率计算-2P'!$C:$S,16,0)</f>
        <v>0</v>
      </c>
      <c r="T15" s="182">
        <f ca="1">VLOOKUP(TEXT($T$6,"YYMM")&amp;"E",'加息降息概率计算-2P'!$C:$S,17,0)</f>
        <v>0</v>
      </c>
      <c r="U15" s="132"/>
      <c r="V15" s="130"/>
      <c r="W15" s="3"/>
      <c r="X15" s="113">
        <f t="shared" ca="1" si="0"/>
        <v>46035</v>
      </c>
      <c r="Y15" s="182">
        <f ca="1">VLOOKUP(TEXT($AA$6,"YYMM")&amp;"E",'加息降息概率计算-2P'!$C:$Y,21,0)</f>
        <v>1</v>
      </c>
      <c r="Z15" s="182">
        <f ca="1">VLOOKUP(TEXT($AA$6,"YYMM")&amp;"E",'加息降息概率计算-2P'!$C:$Y,22,0)</f>
        <v>0</v>
      </c>
      <c r="AA15" s="182">
        <f ca="1">VLOOKUP(TEXT($AA$6,"YYMM")&amp;"E",'加息降息概率计算-2P'!$C:$Y,23,0)</f>
        <v>0</v>
      </c>
      <c r="AB15" s="3"/>
      <c r="AC15" s="115"/>
      <c r="AE15" s="115"/>
    </row>
    <row r="16" spans="1:34" s="116" customFormat="1" ht="20.100000000000001" customHeight="1" x14ac:dyDescent="0.2">
      <c r="A16" s="115"/>
      <c r="C16" s="117" t="str">
        <f ca="1">日历计算!D6</f>
        <v>2606E</v>
      </c>
      <c r="D16" s="115"/>
      <c r="E16" s="118"/>
      <c r="F16" s="114">
        <f ca="1">日历计算!E6</f>
        <v>46191.083333333336</v>
      </c>
      <c r="G16" s="124">
        <f t="shared" ca="1" si="2"/>
        <v>-0.96769230769234404</v>
      </c>
      <c r="H16" s="125">
        <f ca="1">IF(VLOOKUP(C16,加息降息概率计算!C:Y,23,0)&gt;0,1-VLOOKUP(C16,加息降息概率计算!C:Y,22,0),IF(VLOOKUP(C16,加息降息概率计算!C:Y,21,0)&gt;0,VLOOKUP(C16,加息降息概率计算!C:Y,22,0)-1,0))</f>
        <v>-0.97197802197803185</v>
      </c>
      <c r="I16" s="124">
        <f t="shared" ca="1" si="1"/>
        <v>-0.24192307692308601</v>
      </c>
      <c r="J16" s="140">
        <f ca="1">VLOOKUP(C16&amp;"E",加息降息概率计算!C:S,9,0)</f>
        <v>3.3980769230769141</v>
      </c>
      <c r="K16" s="126">
        <v>0.25</v>
      </c>
      <c r="L16" s="122"/>
      <c r="M16" s="115"/>
      <c r="N16" s="22"/>
      <c r="O16" s="114">
        <f ca="1">TODAY()-3*美联储利率观测器!Q6</f>
        <v>46034</v>
      </c>
      <c r="P16" s="182">
        <f ca="1">VLOOKUP(TEXT($T$6,"YYMM")&amp;"E",'加息降息概率计算-3P'!$C:$S,13,0)</f>
        <v>0</v>
      </c>
      <c r="Q16" s="182">
        <f ca="1">VLOOKUP(TEXT($T$6,"YYMM")&amp;"E",'加息降息概率计算-3P'!$C:$S,14,0)</f>
        <v>0.22000000000002728</v>
      </c>
      <c r="R16" s="182">
        <f ca="1">VLOOKUP(TEXT($T$6,"YYMM")&amp;"E",'加息降息概率计算-3P'!$C:$S,15,0)</f>
        <v>0.77999999999997272</v>
      </c>
      <c r="S16" s="182">
        <f ca="1">VLOOKUP(TEXT($T$6,"YYMM")&amp;"E",'加息降息概率计算-3P'!$C:$S,16,0)</f>
        <v>0</v>
      </c>
      <c r="T16" s="182">
        <f ca="1">VLOOKUP(TEXT($T$6,"YYMM")&amp;"E",'加息降息概率计算-3P'!$C:$S,17,0)</f>
        <v>0</v>
      </c>
      <c r="U16" s="132"/>
      <c r="V16" s="130"/>
      <c r="W16" s="3"/>
      <c r="X16" s="114">
        <f t="shared" ca="1" si="0"/>
        <v>46034</v>
      </c>
      <c r="Y16" s="182">
        <f ca="1">VLOOKUP(TEXT($AA$6,"YYMM")&amp;"E",'加息降息概率计算-3P'!$C:$Y,21,0)</f>
        <v>1</v>
      </c>
      <c r="Z16" s="182">
        <f ca="1">VLOOKUP(TEXT($AA$6,"YYMM")&amp;"E",'加息降息概率计算-3P'!$C:$Y,22,0)</f>
        <v>0</v>
      </c>
      <c r="AA16" s="182">
        <f ca="1">VLOOKUP(TEXT($AA$6,"YYMM")&amp;"E",'加息降息概率计算-3P'!$C:$Y,23,0)</f>
        <v>0</v>
      </c>
      <c r="AB16" s="3"/>
      <c r="AC16" s="115"/>
      <c r="AE16" s="115"/>
    </row>
    <row r="17" spans="1:31" s="116" customFormat="1" ht="20.100000000000001" customHeight="1" x14ac:dyDescent="0.2">
      <c r="A17" s="115"/>
      <c r="C17" s="117" t="str">
        <f ca="1">日历计算!D7</f>
        <v>2607E</v>
      </c>
      <c r="D17" s="115"/>
      <c r="E17" s="118"/>
      <c r="F17" s="113">
        <f ca="1">日历计算!E7</f>
        <v>46233.083333333336</v>
      </c>
      <c r="G17" s="119">
        <f t="shared" ca="1" si="2"/>
        <v>-1.3000000000000096</v>
      </c>
      <c r="H17" s="120">
        <f ca="1">IF(VLOOKUP(C17,加息降息概率计算!C:Y,23,0)&gt;0,1-VLOOKUP(C17,加息降息概率计算!C:Y,22,0),IF(VLOOKUP(C17,加息降息概率计算!C:Y,21,0)&gt;0,VLOOKUP(C17,加息降息概率计算!C:Y,22,0)-1,0))</f>
        <v>-1</v>
      </c>
      <c r="I17" s="119">
        <f t="shared" ca="1" si="1"/>
        <v>-0.3250000000000024</v>
      </c>
      <c r="J17" s="139">
        <f ca="1">VLOOKUP(C17&amp;"E",加息降息概率计算!C:S,9,0)</f>
        <v>3.3149999999999977</v>
      </c>
      <c r="K17" s="121">
        <v>0.25</v>
      </c>
      <c r="L17" s="122"/>
      <c r="M17" s="115"/>
      <c r="N17" s="22"/>
      <c r="O17" s="113">
        <f ca="1">TODAY()-4*美联储利率观测器!Q6</f>
        <v>46033</v>
      </c>
      <c r="P17" s="182">
        <f ca="1">VLOOKUP(TEXT($T$6,"YYMM")&amp;"E",'加息降息概率计算-4P'!$C:$S,13,0)</f>
        <v>0</v>
      </c>
      <c r="Q17" s="182">
        <f ca="1">VLOOKUP(TEXT($T$6,"YYMM")&amp;"E",'加息降息概率计算-4P'!$C:$S,14,0)</f>
        <v>0.20000000000004545</v>
      </c>
      <c r="R17" s="182">
        <f ca="1">VLOOKUP(TEXT($T$6,"YYMM")&amp;"E",'加息降息概率计算-4P'!$C:$S,15,0)</f>
        <v>0.79999999999995453</v>
      </c>
      <c r="S17" s="182">
        <f ca="1">VLOOKUP(TEXT($T$6,"YYMM")&amp;"E",'加息降息概率计算-4P'!$C:$S,16,0)</f>
        <v>0</v>
      </c>
      <c r="T17" s="182">
        <f ca="1">VLOOKUP(TEXT($T$6,"YYMM")&amp;"E",'加息降息概率计算-4P'!$C:$S,17,0)</f>
        <v>0</v>
      </c>
      <c r="U17" s="132"/>
      <c r="V17" s="130"/>
      <c r="W17" s="3"/>
      <c r="X17" s="113">
        <f t="shared" ca="1" si="0"/>
        <v>46033</v>
      </c>
      <c r="Y17" s="182">
        <f ca="1">VLOOKUP(TEXT($AA$6,"YYMM")&amp;"E",'加息降息概率计算-4P'!$C:$Y,21,0)</f>
        <v>1</v>
      </c>
      <c r="Z17" s="182">
        <f ca="1">VLOOKUP(TEXT($AA$6,"YYMM")&amp;"E",'加息降息概率计算-4P'!$C:$Y,22,0)</f>
        <v>0</v>
      </c>
      <c r="AA17" s="182">
        <f ca="1">VLOOKUP(TEXT($AA$6,"YYMM")&amp;"E",'加息降息概率计算-4P'!$C:$Y,23,0)</f>
        <v>0</v>
      </c>
      <c r="AB17" s="3"/>
      <c r="AC17" s="115"/>
      <c r="AE17" s="115"/>
    </row>
    <row r="18" spans="1:31" s="116" customFormat="1" ht="20.100000000000001" customHeight="1" x14ac:dyDescent="0.2">
      <c r="A18" s="115"/>
      <c r="C18" s="117" t="str">
        <f ca="1">日历计算!D8</f>
        <v>2609E</v>
      </c>
      <c r="D18" s="115"/>
      <c r="E18" s="118"/>
      <c r="F18" s="114">
        <f ca="1">日历计算!E8</f>
        <v>46282.083333333336</v>
      </c>
      <c r="G18" s="124">
        <f t="shared" ca="1" si="2"/>
        <v>-1.7285714285713976</v>
      </c>
      <c r="H18" s="125">
        <f ca="1">IF(VLOOKUP(C18,加息降息概率计算!C:Y,23,0)&gt;0,1-VLOOKUP(C18,加息降息概率计算!C:Y,22,0),IF(VLOOKUP(C18,加息降息概率计算!C:Y,21,0)&gt;0,VLOOKUP(C18,加息降息概率计算!C:Y,22,0)-1,0))</f>
        <v>-1</v>
      </c>
      <c r="I18" s="124">
        <f t="shared" ca="1" si="1"/>
        <v>-0.43214285714284939</v>
      </c>
      <c r="J18" s="140">
        <f ca="1">VLOOKUP(C18&amp;"E",加息降息概率计算!C:S,9,0)</f>
        <v>3.2078571428571507</v>
      </c>
      <c r="K18" s="126">
        <v>0.25</v>
      </c>
      <c r="L18" s="122"/>
      <c r="M18" s="115"/>
      <c r="N18" s="22"/>
      <c r="O18" s="114">
        <f ca="1">TODAY()-5*美联储利率观测器!Q6</f>
        <v>46032</v>
      </c>
      <c r="P18" s="182">
        <f ca="1">VLOOKUP(TEXT($T$6,"YYMM")&amp;"E",'加息降息概率计算-5P'!$C:$S,13,0)</f>
        <v>0</v>
      </c>
      <c r="Q18" s="182">
        <f ca="1">VLOOKUP(TEXT($T$6,"YYMM")&amp;"E",'加息降息概率计算-5P'!$C:$S,14,0)</f>
        <v>0.20000000000004545</v>
      </c>
      <c r="R18" s="182">
        <f ca="1">VLOOKUP(TEXT($T$6,"YYMM")&amp;"E",'加息降息概率计算-5P'!$C:$S,15,0)</f>
        <v>0.79999999999995453</v>
      </c>
      <c r="S18" s="182">
        <f ca="1">VLOOKUP(TEXT($T$6,"YYMM")&amp;"E",'加息降息概率计算-5P'!$C:$S,16,0)</f>
        <v>0</v>
      </c>
      <c r="T18" s="182">
        <f ca="1">VLOOKUP(TEXT($T$6,"YYMM")&amp;"E",'加息降息概率计算-5P'!$C:$S,17,0)</f>
        <v>0</v>
      </c>
      <c r="U18" s="132"/>
      <c r="V18" s="131"/>
      <c r="W18" s="3"/>
      <c r="X18" s="114">
        <f t="shared" ca="1" si="0"/>
        <v>46032</v>
      </c>
      <c r="Y18" s="182">
        <f ca="1">VLOOKUP(TEXT($AA$6,"YYMM")&amp;"E",'加息降息概率计算-5P'!$C:$Y,21,0)</f>
        <v>1</v>
      </c>
      <c r="Z18" s="182">
        <f ca="1">VLOOKUP(TEXT($AA$6,"YYMM")&amp;"E",'加息降息概率计算-5P'!$C:$Y,22,0)</f>
        <v>0</v>
      </c>
      <c r="AA18" s="182">
        <f ca="1">VLOOKUP(TEXT($AA$6,"YYMM")&amp;"E",'加息降息概率计算-5P'!$C:$Y,23,0)</f>
        <v>0</v>
      </c>
      <c r="AB18" s="3"/>
      <c r="AC18" s="115"/>
      <c r="AE18" s="115"/>
    </row>
    <row r="19" spans="1:31" s="116" customFormat="1" ht="20.100000000000001" customHeight="1" x14ac:dyDescent="0.2">
      <c r="A19" s="115"/>
      <c r="C19" s="117" t="str">
        <f ca="1">日历计算!D9</f>
        <v>2610E</v>
      </c>
      <c r="D19" s="115"/>
      <c r="E19" s="118"/>
      <c r="F19" s="113">
        <f ca="1">日历计算!E9</f>
        <v>46324.083333333336</v>
      </c>
      <c r="G19" s="119">
        <f t="shared" ca="1" si="2"/>
        <v>-1.9599999999999778</v>
      </c>
      <c r="H19" s="120">
        <f ca="1">IF(VLOOKUP(C19,加息降息概率计算!C:Y,23,0)&gt;0,1-VLOOKUP(C19,加息降息概率计算!C:Y,22,0),IF(VLOOKUP(C19,加息降息概率计算!C:Y,21,0)&gt;0,VLOOKUP(C19,加息降息概率计算!C:Y,22,0)-1,0))</f>
        <v>-1</v>
      </c>
      <c r="I19" s="119">
        <f t="shared" ca="1" si="1"/>
        <v>-0.48999999999999444</v>
      </c>
      <c r="J19" s="139">
        <f ca="1">VLOOKUP(C19&amp;"E",加息降息概率计算!C:S,9,0)</f>
        <v>3.1500000000000057</v>
      </c>
      <c r="K19" s="121">
        <v>0.25</v>
      </c>
      <c r="L19" s="122"/>
      <c r="M19" s="115"/>
      <c r="N19" s="22"/>
      <c r="O19" s="113">
        <f ca="1">TODAY()-6*美联储利率观测器!Q6</f>
        <v>46031</v>
      </c>
      <c r="P19" s="182">
        <f ca="1">VLOOKUP(TEXT($T$6,"YYMM")&amp;"E",'加息降息概率计算-6P'!$C:$S,13,0)</f>
        <v>0</v>
      </c>
      <c r="Q19" s="182">
        <f ca="1">VLOOKUP(TEXT($T$6,"YYMM")&amp;"E",'加息降息概率计算-6P'!$C:$S,14,0)</f>
        <v>0.20000000000004545</v>
      </c>
      <c r="R19" s="182">
        <f ca="1">VLOOKUP(TEXT($T$6,"YYMM")&amp;"E",'加息降息概率计算-6P'!$C:$S,15,0)</f>
        <v>0.79999999999995453</v>
      </c>
      <c r="S19" s="182">
        <f ca="1">VLOOKUP(TEXT($T$6,"YYMM")&amp;"E",'加息降息概率计算-6P'!$C:$S,16,0)</f>
        <v>0</v>
      </c>
      <c r="T19" s="182">
        <f ca="1">VLOOKUP(TEXT($T$6,"YYMM")&amp;"E",'加息降息概率计算-6P'!$C:$S,17,0)</f>
        <v>0</v>
      </c>
      <c r="U19" s="132"/>
      <c r="V19" s="131"/>
      <c r="W19" s="3"/>
      <c r="X19" s="113">
        <f t="shared" ca="1" si="0"/>
        <v>46031</v>
      </c>
      <c r="Y19" s="182">
        <f ca="1">VLOOKUP(TEXT($AA$6,"YYMM")&amp;"E",'加息降息概率计算-6P'!$C:$Y,21,0)</f>
        <v>1</v>
      </c>
      <c r="Z19" s="182">
        <f ca="1">VLOOKUP(TEXT($AA$6,"YYMM")&amp;"E",'加息降息概率计算-6P'!$C:$Y,22,0)</f>
        <v>0</v>
      </c>
      <c r="AA19" s="182">
        <f ca="1">VLOOKUP(TEXT($AA$6,"YYMM")&amp;"E",'加息降息概率计算-6P'!$C:$Y,23,0)</f>
        <v>0</v>
      </c>
      <c r="AB19" s="3"/>
      <c r="AC19" s="115"/>
      <c r="AE19" s="115"/>
    </row>
    <row r="20" spans="1:31" s="116" customFormat="1" ht="20.100000000000001" customHeight="1" x14ac:dyDescent="0.2">
      <c r="A20" s="115"/>
      <c r="C20" s="117" t="str">
        <f ca="1">日历计算!D10</f>
        <v>2612E</v>
      </c>
      <c r="D20" s="115"/>
      <c r="E20" s="118"/>
      <c r="F20" s="114">
        <f ca="1">日历计算!E10</f>
        <v>46366.083333333336</v>
      </c>
      <c r="G20" s="124">
        <f t="shared" ref="G20" ca="1" si="3">I20/K20</f>
        <v>-2.1999999999999869</v>
      </c>
      <c r="H20" s="125">
        <f ca="1">IF(VLOOKUP(C20,加息降息概率计算!C:Y,23,0)&gt;0,1-VLOOKUP(C20,加息降息概率计算!C:Y,22,0),IF(VLOOKUP(C20,加息降息概率计算!C:Y,21,0)&gt;0,VLOOKUP(C20,加息降息概率计算!C:Y,22,0)-1,0))</f>
        <v>-1</v>
      </c>
      <c r="I20" s="124">
        <f t="shared" ca="1" si="1"/>
        <v>-0.54999999999999671</v>
      </c>
      <c r="J20" s="140">
        <f ca="1">VLOOKUP(C20&amp;"E",加息降息概率计算!C:S,9,0)</f>
        <v>3.0900000000000034</v>
      </c>
      <c r="K20" s="126">
        <v>0.25</v>
      </c>
      <c r="L20" s="122"/>
      <c r="M20" s="115"/>
      <c r="N20" s="22"/>
      <c r="O20" s="114">
        <f ca="1">TODAY()-7*美联储利率观测器!Q6</f>
        <v>46030</v>
      </c>
      <c r="P20" s="182">
        <f ca="1">VLOOKUP(TEXT($T$6,"YYMM")&amp;"E",'加息降息概率计算-7P'!$C:$S,13,0)</f>
        <v>0</v>
      </c>
      <c r="Q20" s="182">
        <f ca="1">VLOOKUP(TEXT($T$6,"YYMM")&amp;"E",'加息降息概率计算-7P'!$C:$S,14,0)</f>
        <v>0.20000000000004545</v>
      </c>
      <c r="R20" s="182">
        <f ca="1">VLOOKUP(TEXT($T$6,"YYMM")&amp;"E",'加息降息概率计算-7P'!$C:$S,15,0)</f>
        <v>0.79999999999995453</v>
      </c>
      <c r="S20" s="182">
        <f ca="1">VLOOKUP(TEXT($T$6,"YYMM")&amp;"E",'加息降息概率计算-7P'!$C:$S,16,0)</f>
        <v>0</v>
      </c>
      <c r="T20" s="182">
        <f ca="1">VLOOKUP(TEXT($T$6,"YYMM")&amp;"E",'加息降息概率计算-7P'!$C:$S,17,0)</f>
        <v>0</v>
      </c>
      <c r="U20" s="132"/>
      <c r="V20" s="115"/>
      <c r="W20" s="3"/>
      <c r="X20" s="114">
        <f t="shared" ca="1" si="0"/>
        <v>46030</v>
      </c>
      <c r="Y20" s="182">
        <f ca="1">VLOOKUP(TEXT($AA$6,"YYMM")&amp;"E",'加息降息概率计算-7P'!$C:$Y,21,0)</f>
        <v>1</v>
      </c>
      <c r="Z20" s="182">
        <f ca="1">VLOOKUP(TEXT($AA$6,"YYMM")&amp;"E",'加息降息概率计算-7P'!$C:$Y,22,0)</f>
        <v>0</v>
      </c>
      <c r="AA20" s="182">
        <f ca="1">VLOOKUP(TEXT($AA$6,"YYMM")&amp;"E",'加息降息概率计算-7P'!$C:$Y,23,0)</f>
        <v>0</v>
      </c>
      <c r="AB20" s="3"/>
      <c r="AC20" s="115"/>
      <c r="AE20" s="115"/>
    </row>
    <row r="21" spans="1:31" ht="20.100000000000001" customHeight="1" x14ac:dyDescent="0.2">
      <c r="A21" s="115"/>
      <c r="B21" s="116"/>
      <c r="C21" s="117" t="str">
        <f ca="1">日历计算!D11</f>
        <v>请更新代码</v>
      </c>
      <c r="D21" s="115"/>
      <c r="E21" s="118"/>
      <c r="F21" s="113"/>
      <c r="G21" s="119"/>
      <c r="H21" s="120"/>
      <c r="I21" s="119"/>
      <c r="J21" s="139"/>
      <c r="K21" s="121"/>
      <c r="L21" s="17"/>
      <c r="M21" s="14"/>
      <c r="N21" s="22"/>
      <c r="O21" s="113">
        <f ca="1">TODAY()-8*美联储利率观测器!Q6</f>
        <v>46029</v>
      </c>
      <c r="P21" s="182">
        <f ca="1">VLOOKUP(TEXT($T$6,"YYMM")&amp;"E",'加息降息概率计算-8P'!$C:$S,13,0)</f>
        <v>0</v>
      </c>
      <c r="Q21" s="182">
        <f ca="1">VLOOKUP(TEXT($T$6,"YYMM")&amp;"E",'加息降息概率计算-8P'!$C:$S,14,0)</f>
        <v>0.21999999999997044</v>
      </c>
      <c r="R21" s="182">
        <f ca="1">VLOOKUP(TEXT($T$6,"YYMM")&amp;"E",'加息降息概率计算-8P'!$C:$S,15,0)</f>
        <v>0.78000000000002956</v>
      </c>
      <c r="S21" s="182">
        <f ca="1">VLOOKUP(TEXT($T$6,"YYMM")&amp;"E",'加息降息概率计算-8P'!$C:$S,16,0)</f>
        <v>0</v>
      </c>
      <c r="T21" s="182">
        <f ca="1">VLOOKUP(TEXT($T$6,"YYMM")&amp;"E",'加息降息概率计算-8P'!$C:$S,17,0)</f>
        <v>0</v>
      </c>
      <c r="U21" s="22"/>
      <c r="V21" s="14"/>
      <c r="X21" s="113">
        <f t="shared" ca="1" si="0"/>
        <v>46029</v>
      </c>
      <c r="Y21" s="182">
        <f ca="1">VLOOKUP(TEXT($AA$6,"YYMM")&amp;"E",'加息降息概率计算-8P'!$C:$Y,21,0)</f>
        <v>1</v>
      </c>
      <c r="Z21" s="182">
        <f ca="1">VLOOKUP(TEXT($AA$6,"YYMM")&amp;"E",'加息降息概率计算-8P'!$C:$Y,22,0)</f>
        <v>0</v>
      </c>
      <c r="AA21" s="182">
        <f ca="1">VLOOKUP(TEXT($AA$6,"YYMM")&amp;"E",'加息降息概率计算-8P'!$C:$Y,23,0)</f>
        <v>0</v>
      </c>
      <c r="AC21" s="14"/>
      <c r="AE21" s="14"/>
    </row>
    <row r="22" spans="1:31" ht="20.100000000000001" customHeight="1" x14ac:dyDescent="0.2">
      <c r="A22" s="115"/>
      <c r="B22" s="116"/>
      <c r="C22" s="117" t="str">
        <f ca="1">日历计算!D12</f>
        <v>请更新代码</v>
      </c>
      <c r="D22" s="115"/>
      <c r="E22" s="118"/>
      <c r="F22" s="114"/>
      <c r="G22" s="124"/>
      <c r="H22" s="125"/>
      <c r="I22" s="124"/>
      <c r="J22" s="140"/>
      <c r="K22" s="126"/>
      <c r="L22" s="17"/>
      <c r="M22" s="14"/>
      <c r="N22" s="22"/>
      <c r="O22" s="114">
        <f ca="1">TODAY()-9*美联储利率观测器!Q6</f>
        <v>46028</v>
      </c>
      <c r="P22" s="182">
        <f ca="1">VLOOKUP(TEXT($T$6,"YYMM")&amp;"E",'加息降息概率计算-9P'!$C:$S,13,0)</f>
        <v>0</v>
      </c>
      <c r="Q22" s="182">
        <f ca="1">VLOOKUP(TEXT($T$6,"YYMM")&amp;"E",'加息降息概率计算-9P'!$C:$S,14,0)</f>
        <v>0.18000000000000682</v>
      </c>
      <c r="R22" s="182">
        <f ca="1">VLOOKUP(TEXT($T$6,"YYMM")&amp;"E",'加息降息概率计算-9P'!$C:$S,15,0)</f>
        <v>0.81999999999999318</v>
      </c>
      <c r="S22" s="182">
        <f ca="1">VLOOKUP(TEXT($T$6,"YYMM")&amp;"E",'加息降息概率计算-9P'!$C:$S,16,0)</f>
        <v>0</v>
      </c>
      <c r="T22" s="182">
        <f ca="1">VLOOKUP(TEXT($T$6,"YYMM")&amp;"E",'加息降息概率计算-9P'!$C:$S,17,0)</f>
        <v>0</v>
      </c>
      <c r="U22" s="22"/>
      <c r="V22" s="14"/>
      <c r="X22" s="114">
        <f t="shared" ca="1" si="0"/>
        <v>46028</v>
      </c>
      <c r="Y22" s="182">
        <f ca="1">VLOOKUP(TEXT($AA$6,"YYMM")&amp;"E",'加息降息概率计算-9P'!$C:$Y,21,0)</f>
        <v>1</v>
      </c>
      <c r="Z22" s="182">
        <f ca="1">VLOOKUP(TEXT($AA$6,"YYMM")&amp;"E",'加息降息概率计算-9P'!$C:$Y,22,0)</f>
        <v>0</v>
      </c>
      <c r="AA22" s="182">
        <f ca="1">VLOOKUP(TEXT($AA$6,"YYMM")&amp;"E",'加息降息概率计算-9P'!$C:$Y,23,0)</f>
        <v>0</v>
      </c>
      <c r="AC22" s="14"/>
      <c r="AE22" s="14"/>
    </row>
    <row r="23" spans="1:31" ht="20.100000000000001" customHeight="1" x14ac:dyDescent="0.2">
      <c r="A23" s="115"/>
      <c r="B23" s="116"/>
      <c r="C23" s="117" t="str">
        <f ca="1">日历计算!D13</f>
        <v>请更新代码</v>
      </c>
      <c r="D23" s="115"/>
      <c r="E23" s="118"/>
      <c r="F23" s="113"/>
      <c r="G23" s="119"/>
      <c r="H23" s="120"/>
      <c r="I23" s="119"/>
      <c r="J23" s="139"/>
      <c r="K23" s="121"/>
      <c r="L23" s="17"/>
      <c r="M23" s="14"/>
      <c r="N23" s="22"/>
      <c r="O23" s="113">
        <f ca="1">TODAY()-10*美联储利率观测器!Q6</f>
        <v>46027</v>
      </c>
      <c r="P23" s="182">
        <f ca="1">VLOOKUP(TEXT($T$6,"YYMM")&amp;"E",'加息降息概率计算-10P'!$C:$S,13,0)</f>
        <v>0</v>
      </c>
      <c r="Q23" s="182">
        <f ca="1">VLOOKUP(TEXT($T$6,"YYMM")&amp;"E",'加息降息概率计算-10P'!$C:$S,14,0)</f>
        <v>0.15999999999996817</v>
      </c>
      <c r="R23" s="182">
        <f ca="1">VLOOKUP(TEXT($T$6,"YYMM")&amp;"E",'加息降息概率计算-10P'!$C:$S,15,0)</f>
        <v>0.84000000000003183</v>
      </c>
      <c r="S23" s="182">
        <f ca="1">VLOOKUP(TEXT($T$6,"YYMM")&amp;"E",'加息降息概率计算-10P'!$C:$S,16,0)</f>
        <v>0</v>
      </c>
      <c r="T23" s="182">
        <f ca="1">VLOOKUP(TEXT($T$6,"YYMM")&amp;"E",'加息降息概率计算-10P'!$C:$S,17,0)</f>
        <v>0</v>
      </c>
      <c r="U23" s="22"/>
      <c r="V23" s="14"/>
      <c r="X23" s="113">
        <f t="shared" ca="1" si="0"/>
        <v>46027</v>
      </c>
      <c r="Y23" s="182">
        <f ca="1">VLOOKUP(TEXT($AA$6,"YYMM")&amp;"E",'加息降息概率计算-10P'!$C:$Y,21,0)</f>
        <v>1</v>
      </c>
      <c r="Z23" s="182">
        <f ca="1">VLOOKUP(TEXT($AA$6,"YYMM")&amp;"E",'加息降息概率计算-10P'!$C:$Y,22,0)</f>
        <v>0</v>
      </c>
      <c r="AA23" s="182">
        <f ca="1">VLOOKUP(TEXT($AA$6,"YYMM")&amp;"E",'加息降息概率计算-10P'!$C:$Y,23,0)</f>
        <v>0</v>
      </c>
      <c r="AC23" s="14"/>
      <c r="AE23" s="14"/>
    </row>
    <row r="24" spans="1:31" ht="20.100000000000001" customHeight="1" x14ac:dyDescent="0.2">
      <c r="A24" s="115"/>
      <c r="B24" s="116"/>
      <c r="C24" s="117" t="str">
        <f ca="1">日历计算!D14</f>
        <v>请更新代码</v>
      </c>
      <c r="D24" s="115"/>
      <c r="E24" s="118"/>
      <c r="F24" s="114"/>
      <c r="G24" s="124"/>
      <c r="H24" s="125"/>
      <c r="I24" s="124"/>
      <c r="J24" s="140"/>
      <c r="K24" s="126"/>
      <c r="L24" s="17"/>
      <c r="M24" s="14"/>
      <c r="N24" s="22"/>
      <c r="O24" s="113">
        <f ca="1">TODAY()-11*美联储利率观测器!Q6</f>
        <v>46026</v>
      </c>
      <c r="P24" s="182">
        <f ca="1">VLOOKUP(TEXT($T$6,"YYMM")&amp;"E",'加息降息概率计算-11P'!$C:$S,13,0)</f>
        <v>0</v>
      </c>
      <c r="Q24" s="182">
        <f ca="1">VLOOKUP(TEXT($T$6,"YYMM")&amp;"E",'加息降息概率计算-11P'!$C:$S,14,0)</f>
        <v>0.13999999999998636</v>
      </c>
      <c r="R24" s="182">
        <f ca="1">VLOOKUP(TEXT($T$6,"YYMM")&amp;"E",'加息降息概率计算-11P'!$C:$S,15,0)</f>
        <v>0.86000000000001364</v>
      </c>
      <c r="S24" s="182">
        <f ca="1">VLOOKUP(TEXT($T$6,"YYMM")&amp;"E",'加息降息概率计算-11P'!$C:$S,16,0)</f>
        <v>0</v>
      </c>
      <c r="T24" s="182">
        <f ca="1">VLOOKUP(TEXT($T$6,"YYMM")&amp;"E",'加息降息概率计算-11P'!$C:$S,17,0)</f>
        <v>0</v>
      </c>
      <c r="U24" s="22"/>
      <c r="V24" s="14"/>
      <c r="X24" s="114">
        <f t="shared" ca="1" si="0"/>
        <v>46026</v>
      </c>
      <c r="Y24" s="182">
        <f ca="1">VLOOKUP(TEXT($AA$6,"YYMM")&amp;"E",'加息降息概率计算-11P'!$C:$Y,21,0)</f>
        <v>1</v>
      </c>
      <c r="Z24" s="182">
        <f ca="1">VLOOKUP(TEXT($AA$6,"YYMM")&amp;"E",'加息降息概率计算-11P'!$C:$Y,22,0)</f>
        <v>0</v>
      </c>
      <c r="AA24" s="182">
        <f ca="1">VLOOKUP(TEXT($AA$6,"YYMM")&amp;"E",'加息降息概率计算-11P'!$C:$Y,23,0)</f>
        <v>0</v>
      </c>
      <c r="AC24" s="14"/>
      <c r="AE24" s="14"/>
    </row>
    <row r="25" spans="1:31" ht="20.100000000000001" customHeight="1" x14ac:dyDescent="0.2">
      <c r="A25" s="115"/>
      <c r="B25" s="116"/>
      <c r="C25" s="117" t="str">
        <f ca="1">日历计算!D15</f>
        <v>请更新代码</v>
      </c>
      <c r="D25" s="115"/>
      <c r="E25" s="118"/>
      <c r="F25" s="113"/>
      <c r="G25" s="119"/>
      <c r="H25" s="120"/>
      <c r="I25" s="119"/>
      <c r="J25" s="139"/>
      <c r="K25" s="121"/>
      <c r="L25" s="17"/>
      <c r="M25" s="14"/>
      <c r="N25" s="22"/>
      <c r="O25" s="114">
        <f ca="1">TODAY()-12*美联储利率观测器!Q6</f>
        <v>46025</v>
      </c>
      <c r="P25" s="182">
        <f ca="1">VLOOKUP(TEXT($T$6,"YYMM")&amp;"E",'加息降息概率计算-12P'!$C:$S,13,0)</f>
        <v>0</v>
      </c>
      <c r="Q25" s="182">
        <f ca="1">VLOOKUP(TEXT($T$6,"YYMM")&amp;"E",'加息降息概率计算-12P'!$C:$S,14,0)</f>
        <v>0.13999999999998636</v>
      </c>
      <c r="R25" s="182">
        <f ca="1">VLOOKUP(TEXT($T$6,"YYMM")&amp;"E",'加息降息概率计算-12P'!$C:$S,15,0)</f>
        <v>0.86000000000001364</v>
      </c>
      <c r="S25" s="182">
        <f ca="1">VLOOKUP(TEXT($T$6,"YYMM")&amp;"E",'加息降息概率计算-12P'!$C:$S,16,0)</f>
        <v>0</v>
      </c>
      <c r="T25" s="182">
        <f ca="1">VLOOKUP(TEXT($T$6,"YYMM")&amp;"E",'加息降息概率计算-12P'!$C:$S,17,0)</f>
        <v>0</v>
      </c>
      <c r="U25" s="22"/>
      <c r="V25" s="14"/>
      <c r="X25" s="113">
        <f t="shared" ca="1" si="0"/>
        <v>46025</v>
      </c>
      <c r="Y25" s="182">
        <f ca="1">VLOOKUP(TEXT($AA$6,"YYMM")&amp;"E",'加息降息概率计算-12P'!$C:$Y,21,0)</f>
        <v>1</v>
      </c>
      <c r="Z25" s="182">
        <f ca="1">VLOOKUP(TEXT($AA$6,"YYMM")&amp;"E",'加息降息概率计算-12P'!$C:$Y,22,0)</f>
        <v>0</v>
      </c>
      <c r="AA25" s="182">
        <f ca="1">VLOOKUP(TEXT($AA$6,"YYMM")&amp;"E",'加息降息概率计算-12P'!$C:$Y,23,0)</f>
        <v>0</v>
      </c>
      <c r="AC25" s="14"/>
      <c r="AE25" s="14"/>
    </row>
    <row r="26" spans="1:31" ht="20.100000000000001" customHeight="1" x14ac:dyDescent="0.2">
      <c r="A26" s="115"/>
      <c r="B26" s="116"/>
      <c r="C26" s="117" t="str">
        <f ca="1">日历计算!D16</f>
        <v>请更新代码</v>
      </c>
      <c r="D26" s="115"/>
      <c r="E26" s="118"/>
      <c r="F26" s="114"/>
      <c r="G26" s="124"/>
      <c r="H26" s="125"/>
      <c r="I26" s="124"/>
      <c r="J26" s="140"/>
      <c r="K26" s="126"/>
      <c r="L26" s="17"/>
      <c r="M26" s="14"/>
      <c r="N26" s="22"/>
      <c r="O26" s="113">
        <f ca="1">TODAY()-13*美联储利率观测器!Q6</f>
        <v>46024</v>
      </c>
      <c r="P26" s="182">
        <f ca="1">VLOOKUP(TEXT($T$6,"YYMM")&amp;"E",'加息降息概率计算-13P'!$C:$S,13,0)</f>
        <v>0</v>
      </c>
      <c r="Q26" s="182">
        <f ca="1">VLOOKUP(TEXT($T$6,"YYMM")&amp;"E",'加息降息概率计算-13P'!$C:$S,14,0)</f>
        <v>0.13999999999998636</v>
      </c>
      <c r="R26" s="182">
        <f ca="1">VLOOKUP(TEXT($T$6,"YYMM")&amp;"E",'加息降息概率计算-13P'!$C:$S,15,0)</f>
        <v>0.86000000000001364</v>
      </c>
      <c r="S26" s="182">
        <f ca="1">VLOOKUP(TEXT($T$6,"YYMM")&amp;"E",'加息降息概率计算-13P'!$C:$S,16,0)</f>
        <v>0</v>
      </c>
      <c r="T26" s="182">
        <f ca="1">VLOOKUP(TEXT($T$6,"YYMM")&amp;"E",'加息降息概率计算-13P'!$C:$S,17,0)</f>
        <v>0</v>
      </c>
      <c r="U26" s="22"/>
      <c r="V26" s="14"/>
      <c r="X26" s="114">
        <f t="shared" ca="1" si="0"/>
        <v>46024</v>
      </c>
      <c r="Y26" s="182">
        <f ca="1">VLOOKUP(TEXT($AA$6,"YYMM")&amp;"E",'加息降息概率计算-13P'!$C:$Y,21,0)</f>
        <v>1</v>
      </c>
      <c r="Z26" s="182">
        <f ca="1">VLOOKUP(TEXT($AA$6,"YYMM")&amp;"E",'加息降息概率计算-13P'!$C:$Y,22,0)</f>
        <v>0</v>
      </c>
      <c r="AA26" s="182">
        <f ca="1">VLOOKUP(TEXT($AA$6,"YYMM")&amp;"E",'加息降息概率计算-13P'!$C:$Y,23,0)</f>
        <v>0</v>
      </c>
      <c r="AC26" s="14"/>
      <c r="AE26" s="14"/>
    </row>
    <row r="27" spans="1:31" ht="20.100000000000001" customHeight="1" x14ac:dyDescent="0.2">
      <c r="A27" s="115"/>
      <c r="B27" s="116"/>
      <c r="C27" s="117" t="str">
        <f ca="1">日历计算!D17</f>
        <v>请更新代码</v>
      </c>
      <c r="D27" s="115"/>
      <c r="E27" s="118"/>
      <c r="F27" s="113"/>
      <c r="G27" s="119"/>
      <c r="H27" s="120"/>
      <c r="I27" s="119"/>
      <c r="J27" s="139"/>
      <c r="K27" s="121"/>
      <c r="L27" s="17"/>
      <c r="M27" s="14"/>
      <c r="N27" s="22"/>
      <c r="O27" s="114">
        <f ca="1">TODAY()-14*美联储利率观测器!Q6</f>
        <v>46023</v>
      </c>
      <c r="P27" s="182">
        <f ca="1">VLOOKUP(TEXT($T$6,"YYMM")&amp;"E",'加息降息概率计算-14P'!$C:$S,13,0)</f>
        <v>0</v>
      </c>
      <c r="Q27" s="182">
        <f ca="1">VLOOKUP(TEXT($T$6,"YYMM")&amp;"E",'加息降息概率计算-14P'!$C:$S,14,0)</f>
        <v>0.16000000000002501</v>
      </c>
      <c r="R27" s="182">
        <f ca="1">VLOOKUP(TEXT($T$6,"YYMM")&amp;"E",'加息降息概率计算-14P'!$C:$S,15,0)</f>
        <v>0.83999999999997499</v>
      </c>
      <c r="S27" s="182">
        <f ca="1">VLOOKUP(TEXT($T$6,"YYMM")&amp;"E",'加息降息概率计算-14P'!$C:$S,16,0)</f>
        <v>0</v>
      </c>
      <c r="T27" s="182">
        <f ca="1">VLOOKUP(TEXT($T$6,"YYMM")&amp;"E",'加息降息概率计算-14P'!$C:$S,17,0)</f>
        <v>0</v>
      </c>
      <c r="U27" s="22"/>
      <c r="V27" s="14"/>
      <c r="X27" s="113">
        <f t="shared" ca="1" si="0"/>
        <v>46023</v>
      </c>
      <c r="Y27" s="182">
        <f ca="1">VLOOKUP(TEXT($AA$6,"YYMM")&amp;"E",'加息降息概率计算-14P'!$C:$Y,21,0)</f>
        <v>1</v>
      </c>
      <c r="Z27" s="182">
        <f ca="1">VLOOKUP(TEXT($AA$6,"YYMM")&amp;"E",'加息降息概率计算-14P'!$C:$Y,22,0)</f>
        <v>0</v>
      </c>
      <c r="AA27" s="182">
        <f ca="1">VLOOKUP(TEXT($AA$6,"YYMM")&amp;"E",'加息降息概率计算-14P'!$C:$Y,23,0)</f>
        <v>0</v>
      </c>
      <c r="AC27" s="14"/>
      <c r="AE27" s="14"/>
    </row>
    <row r="28" spans="1:31" ht="20.100000000000001" customHeight="1" x14ac:dyDescent="0.2">
      <c r="A28" s="115"/>
      <c r="B28" s="116"/>
      <c r="C28" s="117" t="str">
        <f ca="1">日历计算!D18</f>
        <v>请更新代码</v>
      </c>
      <c r="D28" s="115"/>
      <c r="E28" s="118"/>
      <c r="F28" s="114"/>
      <c r="G28" s="124"/>
      <c r="H28" s="125"/>
      <c r="I28" s="124"/>
      <c r="J28" s="140"/>
      <c r="K28" s="126"/>
      <c r="L28" s="17"/>
      <c r="M28" s="14"/>
      <c r="N28" s="22"/>
      <c r="O28" s="113">
        <f ca="1">TODAY()-15*美联储利率观测器!Q6</f>
        <v>46022</v>
      </c>
      <c r="P28" s="182">
        <f ca="1">VLOOKUP(TEXT($T$6,"YYMM")&amp;"E",'加息降息概率计算-15P'!$C:$S,13,0)</f>
        <v>0</v>
      </c>
      <c r="Q28" s="182">
        <f ca="1">VLOOKUP(TEXT($T$6,"YYMM")&amp;"E",'加息降息概率计算-15P'!$C:$S,14,0)</f>
        <v>0.16000000000002501</v>
      </c>
      <c r="R28" s="182">
        <f ca="1">VLOOKUP(TEXT($T$6,"YYMM")&amp;"E",'加息降息概率计算-15P'!$C:$S,15,0)</f>
        <v>0.83999999999997499</v>
      </c>
      <c r="S28" s="182">
        <f ca="1">VLOOKUP(TEXT($T$6,"YYMM")&amp;"E",'加息降息概率计算-15P'!$C:$S,16,0)</f>
        <v>0</v>
      </c>
      <c r="T28" s="182">
        <f ca="1">VLOOKUP(TEXT($T$6,"YYMM")&amp;"E",'加息降息概率计算-15P'!$C:$S,17,0)</f>
        <v>0</v>
      </c>
      <c r="U28" s="22"/>
      <c r="V28" s="14"/>
      <c r="X28" s="114">
        <f t="shared" ca="1" si="0"/>
        <v>46022</v>
      </c>
      <c r="Y28" s="182">
        <f ca="1">VLOOKUP(TEXT($AA$6,"YYMM")&amp;"E",'加息降息概率计算-15P'!$C:$Y,21,0)</f>
        <v>1</v>
      </c>
      <c r="Z28" s="182">
        <f ca="1">VLOOKUP(TEXT($AA$6,"YYMM")&amp;"E",'加息降息概率计算-15P'!$C:$Y,22,0)</f>
        <v>0</v>
      </c>
      <c r="AA28" s="182">
        <f ca="1">VLOOKUP(TEXT($AA$6,"YYMM")&amp;"E",'加息降息概率计算-15P'!$C:$Y,23,0)</f>
        <v>0</v>
      </c>
      <c r="AC28" s="14"/>
      <c r="AE28" s="14"/>
    </row>
    <row r="29" spans="1:31" ht="20.100000000000001" customHeight="1" x14ac:dyDescent="0.2">
      <c r="A29" s="115"/>
      <c r="B29" s="116"/>
      <c r="C29" s="117" t="str">
        <f ca="1">日历计算!D19</f>
        <v>请更新代码</v>
      </c>
      <c r="D29" s="115"/>
      <c r="E29" s="118"/>
      <c r="F29" s="113"/>
      <c r="G29" s="119"/>
      <c r="H29" s="120"/>
      <c r="I29" s="119"/>
      <c r="J29" s="139"/>
      <c r="K29" s="121"/>
      <c r="L29" s="17"/>
      <c r="M29" s="14"/>
      <c r="N29" s="22"/>
      <c r="O29" s="114">
        <f ca="1">TODAY()-16*美联储利率观测器!Q6</f>
        <v>46021</v>
      </c>
      <c r="P29" s="182">
        <f ca="1">VLOOKUP(TEXT($T$6,"YYMM")&amp;"E",'加息降息概率计算-16P'!$C:$S,13,0)</f>
        <v>0</v>
      </c>
      <c r="Q29" s="182">
        <f ca="1">VLOOKUP(TEXT($T$6,"YYMM")&amp;"E",'加息降息概率计算-16P'!$C:$S,14,0)</f>
        <v>0.16000000000002501</v>
      </c>
      <c r="R29" s="182">
        <f ca="1">VLOOKUP(TEXT($T$6,"YYMM")&amp;"E",'加息降息概率计算-16P'!$C:$S,15,0)</f>
        <v>0.83999999999997499</v>
      </c>
      <c r="S29" s="182">
        <f ca="1">VLOOKUP(TEXT($T$6,"YYMM")&amp;"E",'加息降息概率计算-16P'!$C:$S,16,0)</f>
        <v>0</v>
      </c>
      <c r="T29" s="182">
        <f ca="1">VLOOKUP(TEXT($T$6,"YYMM")&amp;"E",'加息降息概率计算-16P'!$C:$S,17,0)</f>
        <v>0</v>
      </c>
      <c r="U29" s="22"/>
      <c r="V29" s="14"/>
      <c r="X29" s="113">
        <f t="shared" ca="1" si="0"/>
        <v>46021</v>
      </c>
      <c r="Y29" s="182">
        <f ca="1">VLOOKUP(TEXT($AA$6,"YYMM")&amp;"E",'加息降息概率计算-16P'!$C:$Y,21,0)</f>
        <v>1</v>
      </c>
      <c r="Z29" s="182">
        <f ca="1">VLOOKUP(TEXT($AA$6,"YYMM")&amp;"E",'加息降息概率计算-16P'!$C:$Y,22,0)</f>
        <v>0</v>
      </c>
      <c r="AA29" s="182">
        <f ca="1">VLOOKUP(TEXT($AA$6,"YYMM")&amp;"E",'加息降息概率计算-16P'!$C:$Y,23,0)</f>
        <v>0</v>
      </c>
      <c r="AC29" s="14"/>
      <c r="AE29" s="14"/>
    </row>
    <row r="30" spans="1:31" ht="20.100000000000001" customHeight="1" x14ac:dyDescent="0.2">
      <c r="A30" s="115"/>
      <c r="B30" s="116"/>
      <c r="C30" s="117" t="str">
        <f ca="1">日历计算!D20</f>
        <v>请更新代码</v>
      </c>
      <c r="D30" s="115"/>
      <c r="E30" s="118"/>
      <c r="F30" s="114"/>
      <c r="G30" s="124"/>
      <c r="H30" s="125"/>
      <c r="I30" s="124"/>
      <c r="J30" s="140"/>
      <c r="K30" s="126"/>
      <c r="L30" s="17"/>
      <c r="M30" s="14"/>
      <c r="N30" s="22"/>
      <c r="O30" s="113">
        <f ca="1">TODAY()-17*美联储利率观测器!Q6</f>
        <v>46020</v>
      </c>
      <c r="P30" s="182">
        <f ca="1">VLOOKUP(TEXT($T$6,"YYMM")&amp;"E",'加息降息概率计算-17P'!$C:$S,13,0)</f>
        <v>0</v>
      </c>
      <c r="Q30" s="182">
        <f ca="1">VLOOKUP(TEXT($T$6,"YYMM")&amp;"E",'加息降息概率计算-17P'!$C:$S,14,0)</f>
        <v>0.13999999999998636</v>
      </c>
      <c r="R30" s="182">
        <f ca="1">VLOOKUP(TEXT($T$6,"YYMM")&amp;"E",'加息降息概率计算-17P'!$C:$S,15,0)</f>
        <v>0.86000000000001364</v>
      </c>
      <c r="S30" s="182">
        <f ca="1">VLOOKUP(TEXT($T$6,"YYMM")&amp;"E",'加息降息概率计算-17P'!$C:$S,16,0)</f>
        <v>0</v>
      </c>
      <c r="T30" s="182">
        <f ca="1">VLOOKUP(TEXT($T$6,"YYMM")&amp;"E",'加息降息概率计算-17P'!$C:$S,17,0)</f>
        <v>0</v>
      </c>
      <c r="U30" s="22"/>
      <c r="V30" s="14"/>
      <c r="X30" s="114">
        <f t="shared" ca="1" si="0"/>
        <v>46020</v>
      </c>
      <c r="Y30" s="182">
        <f ca="1">VLOOKUP(TEXT($AA$6,"YYMM")&amp;"E",'加息降息概率计算-17P'!$C:$Y,21,0)</f>
        <v>1</v>
      </c>
      <c r="Z30" s="182">
        <f ca="1">VLOOKUP(TEXT($AA$6,"YYMM")&amp;"E",'加息降息概率计算-17P'!$C:$Y,22,0)</f>
        <v>0</v>
      </c>
      <c r="AA30" s="182">
        <f ca="1">VLOOKUP(TEXT($AA$6,"YYMM")&amp;"E",'加息降息概率计算-17P'!$C:$Y,23,0)</f>
        <v>0</v>
      </c>
      <c r="AC30" s="14"/>
      <c r="AE30" s="14"/>
    </row>
    <row r="31" spans="1:31" ht="20.100000000000001" customHeight="1" x14ac:dyDescent="0.2">
      <c r="A31" s="115"/>
      <c r="B31" s="116"/>
      <c r="C31" s="117" t="str">
        <f ca="1">日历计算!D21</f>
        <v>请更新代码</v>
      </c>
      <c r="D31" s="115"/>
      <c r="E31" s="118"/>
      <c r="F31" s="113"/>
      <c r="G31" s="119"/>
      <c r="H31" s="120"/>
      <c r="I31" s="119"/>
      <c r="J31" s="139"/>
      <c r="K31" s="121"/>
      <c r="L31" s="17"/>
      <c r="M31" s="14"/>
      <c r="N31" s="22"/>
      <c r="O31" s="114">
        <f ca="1">TODAY()-18*美联储利率观测器!Q6</f>
        <v>46019</v>
      </c>
      <c r="P31" s="137">
        <f ca="1">VLOOKUP(TEXT($T$6,"YYMM")&amp;"E",'加息降息概率计算-18P'!$C:$S,13,0)</f>
        <v>0</v>
      </c>
      <c r="Q31" s="182">
        <f ca="1">VLOOKUP(TEXT($T$6,"YYMM")&amp;"E",'加息降息概率计算-18P'!$C:$S,14,0)</f>
        <v>0.13999999999998636</v>
      </c>
      <c r="R31" s="182">
        <f ca="1">VLOOKUP(TEXT($T$6,"YYMM")&amp;"E",'加息降息概率计算-18P'!$C:$S,15,0)</f>
        <v>0.86000000000001364</v>
      </c>
      <c r="S31" s="137">
        <f ca="1">VLOOKUP(TEXT($T$6,"YYMM")&amp;"E",'加息降息概率计算-18P'!$C:$S,16,0)</f>
        <v>0</v>
      </c>
      <c r="T31" s="137">
        <f ca="1">VLOOKUP(TEXT($T$6,"YYMM")&amp;"E",'加息降息概率计算-18P'!$C:$S,17,0)</f>
        <v>0</v>
      </c>
      <c r="U31" s="22"/>
      <c r="V31" s="14"/>
      <c r="X31" s="113">
        <f t="shared" ca="1" si="0"/>
        <v>46019</v>
      </c>
      <c r="Y31" s="137">
        <f ca="1">VLOOKUP(TEXT($AA$6,"YYMM")&amp;"E",'加息降息概率计算-18P'!$C:$Y,21,0)</f>
        <v>1</v>
      </c>
      <c r="Z31" s="137">
        <f ca="1">VLOOKUP(TEXT($AA$6,"YYMM")&amp;"E",'加息降息概率计算-18P'!$C:$Y,22,0)</f>
        <v>0</v>
      </c>
      <c r="AA31" s="137">
        <f ca="1">VLOOKUP(TEXT($AA$6,"YYMM")&amp;"E",'加息降息概率计算-18P'!$C:$Y,23,0)</f>
        <v>0</v>
      </c>
      <c r="AC31" s="14"/>
      <c r="AE31" s="14"/>
    </row>
    <row r="32" spans="1:31" ht="11.25" customHeight="1" x14ac:dyDescent="0.2">
      <c r="A32" s="115"/>
      <c r="B32" s="116"/>
      <c r="C32" s="117"/>
      <c r="D32" s="115"/>
      <c r="E32" s="118"/>
      <c r="F32" s="118"/>
      <c r="G32" s="118"/>
      <c r="H32" s="118"/>
      <c r="I32" s="118"/>
      <c r="J32" s="118"/>
      <c r="K32" s="118"/>
      <c r="L32" s="17"/>
      <c r="M32" s="14"/>
      <c r="N32" s="22"/>
      <c r="O32" s="22"/>
      <c r="P32" s="22"/>
      <c r="Q32" s="22"/>
      <c r="R32" s="22"/>
      <c r="S32" s="22"/>
      <c r="T32" s="22"/>
      <c r="U32" s="22"/>
      <c r="V32" s="14"/>
      <c r="X32" s="113"/>
      <c r="AC32" s="14"/>
      <c r="AE32" s="14"/>
    </row>
    <row r="33" spans="1:33" ht="6" customHeight="1" x14ac:dyDescent="0.2">
      <c r="A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E33" s="14"/>
    </row>
    <row r="34" spans="1:33" ht="10.5" customHeight="1" x14ac:dyDescent="0.2">
      <c r="A34" s="14"/>
      <c r="C34" s="14"/>
      <c r="AE34" s="14"/>
    </row>
    <row r="35" spans="1:33" ht="12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3" x14ac:dyDescent="0.2">
      <c r="I36" s="8"/>
    </row>
    <row r="37" spans="1:33" ht="15" customHeight="1" x14ac:dyDescent="0.2">
      <c r="I37" s="8"/>
    </row>
    <row r="38" spans="1:33" ht="15" customHeight="1" x14ac:dyDescent="0.2">
      <c r="I38" s="8"/>
    </row>
    <row r="39" spans="1:33" x14ac:dyDescent="0.2">
      <c r="I39" s="8"/>
    </row>
    <row r="40" spans="1:33" x14ac:dyDescent="0.2">
      <c r="I40" s="8"/>
    </row>
    <row r="41" spans="1:33" x14ac:dyDescent="0.2">
      <c r="I41" s="8"/>
    </row>
    <row r="42" spans="1:33" x14ac:dyDescent="0.2">
      <c r="I42" s="8"/>
    </row>
    <row r="43" spans="1:33" x14ac:dyDescent="0.2">
      <c r="I43" s="8"/>
    </row>
    <row r="44" spans="1:33" ht="15.75" x14ac:dyDescent="0.25">
      <c r="AF44" s="29" t="str">
        <f>[1]!edb()</f>
        <v>Wind</v>
      </c>
    </row>
    <row r="45" spans="1:33" x14ac:dyDescent="0.2">
      <c r="AF45" s="30" t="s">
        <v>83</v>
      </c>
      <c r="AG45" s="30" t="s">
        <v>82</v>
      </c>
    </row>
    <row r="46" spans="1:33" x14ac:dyDescent="0.2">
      <c r="AF46" s="31">
        <v>46002</v>
      </c>
      <c r="AG46" s="32">
        <v>3.75</v>
      </c>
    </row>
    <row r="48" spans="1:33" ht="15.75" x14ac:dyDescent="0.25">
      <c r="AF48" s="29" t="str">
        <f>[1]!edb()</f>
        <v>Wind</v>
      </c>
    </row>
    <row r="49" spans="32:33" x14ac:dyDescent="0.2">
      <c r="AF49" s="30" t="s">
        <v>84</v>
      </c>
      <c r="AG49" s="30" t="s">
        <v>81</v>
      </c>
    </row>
    <row r="50" spans="32:33" x14ac:dyDescent="0.2">
      <c r="AF50" s="31">
        <v>46035</v>
      </c>
      <c r="AG50" s="63">
        <v>3.64</v>
      </c>
    </row>
  </sheetData>
  <sheetProtection formatCells="0" formatColumns="0" formatRows="0"/>
  <dataConsolidate/>
  <mergeCells count="16">
    <mergeCell ref="AG1:AH1"/>
    <mergeCell ref="G1:Y1"/>
    <mergeCell ref="I5:J5"/>
    <mergeCell ref="AC1:AD1"/>
    <mergeCell ref="X6:Z7"/>
    <mergeCell ref="AE1:AF1"/>
    <mergeCell ref="T6:U7"/>
    <mergeCell ref="AA6:AB7"/>
    <mergeCell ref="R6:S7"/>
    <mergeCell ref="Q6:Q7"/>
    <mergeCell ref="O6:P7"/>
    <mergeCell ref="F6:F7"/>
    <mergeCell ref="I6:J7"/>
    <mergeCell ref="K6:K7"/>
    <mergeCell ref="G6:G7"/>
    <mergeCell ref="H6:H7"/>
  </mergeCells>
  <phoneticPr fontId="1" type="noConversion"/>
  <conditionalFormatting sqref="P13:P18 Q15:U18 P19:U20 Q14:T14 P21:T31">
    <cfRule type="cellIs" dxfId="687" priority="6" operator="notEqual">
      <formula>0</formula>
    </cfRule>
  </conditionalFormatting>
  <conditionalFormatting sqref="Y14:AA19">
    <cfRule type="cellIs" dxfId="686" priority="2" operator="notEqual">
      <formula>0</formula>
    </cfRule>
  </conditionalFormatting>
  <conditionalFormatting sqref="Q13:T13">
    <cfRule type="cellIs" dxfId="685" priority="3" operator="notEqual">
      <formula>0</formula>
    </cfRule>
  </conditionalFormatting>
  <conditionalFormatting sqref="Y13:AA13 Y20:AA31">
    <cfRule type="cellIs" dxfId="684" priority="1" operator="notEqual">
      <formula>0</formula>
    </cfRule>
  </conditionalFormatting>
  <dataValidations count="1">
    <dataValidation type="list" allowBlank="1" showInputMessage="1" showErrorMessage="1" sqref="T6:U7 AA6:AB7" xr:uid="{00000000-0002-0000-0000-000000000000}">
      <formula1>$F$13:$F$31</formula1>
    </dataValidation>
  </dataValidations>
  <pageMargins left="0.7" right="0.7" top="0.75" bottom="0.75" header="0.3" footer="0.3"/>
  <pageSetup paperSize="9" scale="36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63636D"/>
  </sheetPr>
  <dimension ref="A1:AG56"/>
  <sheetViews>
    <sheetView showGridLines="0" zoomScaleNormal="100" workbookViewId="0">
      <pane ySplit="1" topLeftCell="A2" activePane="bottomLeft" state="frozen"/>
      <selection activeCell="W7" sqref="W7"/>
      <selection pane="bottomLeft" activeCell="D37" sqref="D37"/>
    </sheetView>
  </sheetViews>
  <sheetFormatPr defaultColWidth="9" defaultRowHeight="15" x14ac:dyDescent="0.2"/>
  <cols>
    <col min="1" max="1" width="2.625" style="7" customWidth="1"/>
    <col min="2" max="2" width="1.625" style="7" customWidth="1"/>
    <col min="3" max="3" width="15.125" style="7" customWidth="1"/>
    <col min="4" max="7" width="17.25" style="7" bestFit="1" customWidth="1"/>
    <col min="8" max="8" width="18.75" style="7" bestFit="1" customWidth="1"/>
    <col min="9" max="9" width="16.75" style="7" bestFit="1" customWidth="1"/>
    <col min="10" max="10" width="17.25" style="7" bestFit="1" customWidth="1"/>
    <col min="11" max="11" width="16.75" style="7" bestFit="1" customWidth="1"/>
    <col min="12" max="12" width="17.125" style="7" customWidth="1"/>
    <col min="13" max="13" width="1.625" style="7" customWidth="1"/>
    <col min="14" max="14" width="2.625" style="7" customWidth="1"/>
    <col min="15" max="15" width="16.25" style="7" customWidth="1"/>
    <col min="16" max="16" width="9" style="7" customWidth="1"/>
    <col min="17" max="17" width="11.875" style="7" customWidth="1"/>
    <col min="18" max="18" width="17.5" style="7" customWidth="1"/>
    <col min="19" max="19" width="5.375" style="7" customWidth="1"/>
    <col min="34" max="35" width="5.375" style="7" customWidth="1"/>
    <col min="36" max="16384" width="9" style="7"/>
  </cols>
  <sheetData>
    <row r="1" spans="1:19" ht="30.95" customHeight="1" x14ac:dyDescent="0.2">
      <c r="A1" s="36"/>
      <c r="B1" s="36"/>
      <c r="C1" s="36"/>
      <c r="D1" s="36"/>
      <c r="E1" s="36"/>
      <c r="F1" s="194" t="s">
        <v>10</v>
      </c>
      <c r="G1" s="194"/>
      <c r="H1" s="194"/>
      <c r="I1" s="37"/>
      <c r="J1" s="38"/>
      <c r="K1" s="39" t="s">
        <v>4</v>
      </c>
      <c r="L1" s="154">
        <f ca="1">NOW()</f>
        <v>46037.779445717591</v>
      </c>
      <c r="M1" s="42"/>
      <c r="N1" s="42"/>
      <c r="O1" s="41"/>
      <c r="P1" s="41"/>
      <c r="Q1" s="41"/>
    </row>
    <row r="2" spans="1:19" customFormat="1" ht="12" customHeight="1" x14ac:dyDescent="0.4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  <c r="P2" s="41"/>
      <c r="Q2" s="41"/>
      <c r="R2" s="41"/>
      <c r="S2" s="41"/>
    </row>
    <row r="3" spans="1:19" customFormat="1" ht="10.5" customHeight="1" x14ac:dyDescent="0.4">
      <c r="A3" s="40"/>
      <c r="N3" s="40"/>
      <c r="O3" s="41"/>
      <c r="P3" s="41"/>
      <c r="Q3" s="41"/>
      <c r="R3" s="41"/>
      <c r="S3" s="41"/>
    </row>
    <row r="4" spans="1:19" ht="22.5" x14ac:dyDescent="0.4">
      <c r="A4" s="11"/>
      <c r="B4"/>
      <c r="C4" s="78" t="s">
        <v>47</v>
      </c>
      <c r="D4" s="79">
        <f ca="1">IFERROR(日历计算!E3,“--”)</f>
        <v>46051.083333333336</v>
      </c>
      <c r="E4" s="79">
        <f ca="1">IFERROR(日历计算!E4,"--")</f>
        <v>46100.083333333336</v>
      </c>
      <c r="F4" s="79">
        <f ca="1">IFERROR(日历计算!E5,"--")</f>
        <v>46142.083333333336</v>
      </c>
      <c r="G4" s="79">
        <f ca="1">IFERROR(日历计算!E6,"--")</f>
        <v>46191.083333333336</v>
      </c>
      <c r="H4" s="79">
        <f ca="1">IFERROR(日历计算!E7,"--")</f>
        <v>46233.083333333336</v>
      </c>
      <c r="I4" s="79">
        <f ca="1">IFERROR(日历计算!E8,"--")</f>
        <v>46282.083333333336</v>
      </c>
      <c r="J4" s="79">
        <f ca="1">IFERROR(日历计算!E9,"--")</f>
        <v>46324.083333333336</v>
      </c>
      <c r="K4" s="80">
        <f ca="1">IFERROR(日历计算!E10,"--")</f>
        <v>46366.083333333336</v>
      </c>
      <c r="L4" s="80" t="str">
        <f ca="1">IFERROR(日历计算!E11,"--")</f>
        <v>请更新日历</v>
      </c>
      <c r="M4" s="43"/>
      <c r="N4" s="40"/>
      <c r="O4" s="41"/>
      <c r="P4" s="41"/>
      <c r="Q4" s="41"/>
    </row>
    <row r="5" spans="1:19" s="1" customFormat="1" ht="22.5" x14ac:dyDescent="0.4">
      <c r="A5" s="11"/>
      <c r="B5"/>
      <c r="C5" s="81" t="s">
        <v>48</v>
      </c>
      <c r="D5" s="149">
        <f t="shared" ref="D5:L5" ca="1" si="0">IFERROR(D4-$L$1,"--")</f>
        <v>13.303887615744316</v>
      </c>
      <c r="E5" s="149">
        <f t="shared" ca="1" si="0"/>
        <v>62.303887615744316</v>
      </c>
      <c r="F5" s="149">
        <f t="shared" ca="1" si="0"/>
        <v>104.30388761574432</v>
      </c>
      <c r="G5" s="149">
        <f t="shared" ca="1" si="0"/>
        <v>153.30388761574432</v>
      </c>
      <c r="H5" s="149">
        <f t="shared" ca="1" si="0"/>
        <v>195.30388761574432</v>
      </c>
      <c r="I5" s="149">
        <f t="shared" ca="1" si="0"/>
        <v>244.30388761574432</v>
      </c>
      <c r="J5" s="149">
        <f t="shared" ca="1" si="0"/>
        <v>286.30388761574432</v>
      </c>
      <c r="K5" s="150">
        <f t="shared" ca="1" si="0"/>
        <v>328.30388761574432</v>
      </c>
      <c r="L5" s="150" t="str">
        <f t="shared" ca="1" si="0"/>
        <v>--</v>
      </c>
      <c r="M5" s="43"/>
      <c r="N5" s="40"/>
      <c r="O5" s="41"/>
      <c r="P5" s="41"/>
      <c r="Q5" s="41"/>
      <c r="R5" s="7"/>
      <c r="S5" s="7"/>
    </row>
    <row r="6" spans="1:19" customFormat="1" ht="10.5" customHeight="1" x14ac:dyDescent="0.4">
      <c r="A6" s="40"/>
      <c r="N6" s="40"/>
      <c r="O6" s="41"/>
      <c r="P6" s="41"/>
      <c r="Q6" s="41"/>
      <c r="R6" s="41"/>
      <c r="S6" s="74"/>
    </row>
    <row r="7" spans="1:19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41"/>
      <c r="P7" s="41"/>
      <c r="Q7" s="41"/>
      <c r="S7" s="3"/>
    </row>
    <row r="8" spans="1:19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41"/>
      <c r="P8" s="41"/>
      <c r="Q8" s="41"/>
      <c r="S8" s="3"/>
    </row>
    <row r="9" spans="1:19" x14ac:dyDescent="0.2">
      <c r="O9" s="41"/>
      <c r="P9" s="41"/>
      <c r="Q9" s="41"/>
      <c r="S9" s="3"/>
    </row>
    <row r="10" spans="1:19" x14ac:dyDescent="0.2">
      <c r="O10" s="41"/>
      <c r="P10" s="41"/>
      <c r="Q10" s="41"/>
      <c r="S10" s="3"/>
    </row>
    <row r="11" spans="1:19" x14ac:dyDescent="0.2">
      <c r="O11" s="41"/>
      <c r="P11" s="41"/>
      <c r="S11" s="3"/>
    </row>
    <row r="12" spans="1:19" x14ac:dyDescent="0.2">
      <c r="O12" s="41"/>
      <c r="P12" s="41"/>
      <c r="S12" s="3"/>
    </row>
    <row r="13" spans="1:19" x14ac:dyDescent="0.2">
      <c r="O13" s="41"/>
      <c r="P13" s="41"/>
      <c r="S13" s="3"/>
    </row>
    <row r="14" spans="1:19" x14ac:dyDescent="0.2">
      <c r="O14" s="41"/>
      <c r="P14" s="41"/>
      <c r="S14" s="3"/>
    </row>
    <row r="15" spans="1:19" x14ac:dyDescent="0.2">
      <c r="O15" s="41"/>
      <c r="P15" s="41"/>
      <c r="S15" s="3"/>
    </row>
    <row r="16" spans="1:19" x14ac:dyDescent="0.2">
      <c r="O16" s="41"/>
      <c r="P16" s="41"/>
      <c r="S16" s="3"/>
    </row>
    <row r="17" spans="15:19" x14ac:dyDescent="0.2">
      <c r="O17" s="41"/>
      <c r="P17" s="41"/>
      <c r="S17" s="3"/>
    </row>
    <row r="18" spans="15:19" x14ac:dyDescent="0.2">
      <c r="O18" s="41"/>
      <c r="P18" s="41"/>
      <c r="S18" s="3"/>
    </row>
    <row r="19" spans="15:19" x14ac:dyDescent="0.2">
      <c r="O19" s="41"/>
      <c r="P19" s="41"/>
      <c r="S19" s="3"/>
    </row>
    <row r="20" spans="15:19" x14ac:dyDescent="0.2">
      <c r="O20" s="41"/>
      <c r="P20" s="41"/>
      <c r="S20" s="3"/>
    </row>
    <row r="21" spans="15:19" x14ac:dyDescent="0.2">
      <c r="O21" s="41"/>
      <c r="P21" s="41"/>
      <c r="S21" s="3"/>
    </row>
    <row r="22" spans="15:19" x14ac:dyDescent="0.2">
      <c r="O22" s="41"/>
      <c r="P22" s="41"/>
      <c r="S22" s="3"/>
    </row>
    <row r="23" spans="15:19" x14ac:dyDescent="0.2">
      <c r="O23" s="41"/>
      <c r="P23" s="41"/>
      <c r="S23" s="3"/>
    </row>
    <row r="24" spans="15:19" x14ac:dyDescent="0.2">
      <c r="O24" s="41"/>
      <c r="P24" s="41"/>
      <c r="S24" s="3"/>
    </row>
    <row r="25" spans="15:19" x14ac:dyDescent="0.2">
      <c r="O25" s="41"/>
      <c r="P25" s="41"/>
      <c r="S25" s="3"/>
    </row>
    <row r="26" spans="15:19" x14ac:dyDescent="0.2">
      <c r="O26" s="41"/>
      <c r="P26" s="41"/>
      <c r="S26" s="3"/>
    </row>
    <row r="27" spans="15:19" x14ac:dyDescent="0.2">
      <c r="O27" s="41"/>
      <c r="P27" s="41"/>
      <c r="S27" s="3"/>
    </row>
    <row r="28" spans="15:19" x14ac:dyDescent="0.2">
      <c r="O28" s="41"/>
      <c r="P28" s="41"/>
      <c r="S28" s="3"/>
    </row>
    <row r="29" spans="15:19" x14ac:dyDescent="0.2">
      <c r="O29" s="41"/>
      <c r="P29" s="41"/>
      <c r="S29" s="3"/>
    </row>
    <row r="30" spans="15:19" x14ac:dyDescent="0.2">
      <c r="O30" s="41"/>
      <c r="P30" s="41"/>
      <c r="S30" s="3"/>
    </row>
    <row r="31" spans="15:19" x14ac:dyDescent="0.2">
      <c r="O31" s="41"/>
      <c r="P31" s="41"/>
      <c r="S31" s="3"/>
    </row>
    <row r="32" spans="15:19" x14ac:dyDescent="0.2">
      <c r="S32" s="3"/>
    </row>
    <row r="33" spans="17:19" x14ac:dyDescent="0.2">
      <c r="Q33" s="72"/>
      <c r="R33" s="73"/>
      <c r="S33" s="3"/>
    </row>
    <row r="34" spans="17:19" x14ac:dyDescent="0.2">
      <c r="Q34" s="72"/>
      <c r="R34" s="73"/>
      <c r="S34" s="3"/>
    </row>
    <row r="35" spans="17:19" x14ac:dyDescent="0.2">
      <c r="Q35" s="72"/>
      <c r="R35" s="73"/>
      <c r="S35" s="3"/>
    </row>
    <row r="36" spans="17:19" x14ac:dyDescent="0.2">
      <c r="Q36" s="72"/>
      <c r="R36" s="73"/>
      <c r="S36" s="3"/>
    </row>
    <row r="37" spans="17:19" x14ac:dyDescent="0.2">
      <c r="Q37" s="72"/>
      <c r="R37" s="73"/>
      <c r="S37" s="3"/>
    </row>
    <row r="38" spans="17:19" x14ac:dyDescent="0.2">
      <c r="Q38" s="72"/>
      <c r="R38" s="73"/>
      <c r="S38" s="3"/>
    </row>
    <row r="39" spans="17:19" x14ac:dyDescent="0.2">
      <c r="Q39" s="72"/>
      <c r="R39" s="73"/>
      <c r="S39" s="3"/>
    </row>
    <row r="40" spans="17:19" x14ac:dyDescent="0.2">
      <c r="Q40" s="72"/>
      <c r="R40" s="73"/>
      <c r="S40" s="3"/>
    </row>
    <row r="41" spans="17:19" x14ac:dyDescent="0.2">
      <c r="Q41" s="72"/>
      <c r="R41" s="73"/>
      <c r="S41" s="3"/>
    </row>
    <row r="42" spans="17:19" x14ac:dyDescent="0.2">
      <c r="Q42" s="72"/>
      <c r="R42" s="73"/>
    </row>
    <row r="43" spans="17:19" x14ac:dyDescent="0.2">
      <c r="Q43" s="72"/>
      <c r="R43" s="73"/>
    </row>
    <row r="44" spans="17:19" x14ac:dyDescent="0.2">
      <c r="Q44" s="72"/>
      <c r="R44" s="73"/>
    </row>
    <row r="45" spans="17:19" x14ac:dyDescent="0.2">
      <c r="Q45" s="72"/>
      <c r="R45" s="73"/>
    </row>
    <row r="46" spans="17:19" x14ac:dyDescent="0.2">
      <c r="Q46" s="72"/>
      <c r="R46" s="73"/>
    </row>
    <row r="47" spans="17:19" x14ac:dyDescent="0.2">
      <c r="R47" s="73"/>
    </row>
    <row r="48" spans="17:19" x14ac:dyDescent="0.2">
      <c r="R48" s="73"/>
    </row>
    <row r="49" spans="18:18" x14ac:dyDescent="0.2">
      <c r="R49" s="73"/>
    </row>
    <row r="50" spans="18:18" x14ac:dyDescent="0.2">
      <c r="R50" s="73"/>
    </row>
    <row r="51" spans="18:18" x14ac:dyDescent="0.2">
      <c r="R51" s="73"/>
    </row>
    <row r="52" spans="18:18" x14ac:dyDescent="0.2">
      <c r="R52" s="73"/>
    </row>
    <row r="53" spans="18:18" x14ac:dyDescent="0.2">
      <c r="R53" s="73"/>
    </row>
    <row r="54" spans="18:18" x14ac:dyDescent="0.2">
      <c r="R54" s="73"/>
    </row>
    <row r="55" spans="18:18" x14ac:dyDescent="0.2">
      <c r="R55" s="73"/>
    </row>
    <row r="56" spans="18:18" x14ac:dyDescent="0.2">
      <c r="R56" s="73"/>
    </row>
  </sheetData>
  <mergeCells count="1">
    <mergeCell ref="F1:H1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2" orientation="portrait" errors="dash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2AC1-FC17-479A-BA5D-3D7F7CF73F4D}">
  <sheetPr>
    <tabColor rgb="FF63636D"/>
  </sheetPr>
  <dimension ref="A1:N49"/>
  <sheetViews>
    <sheetView showGridLines="0" workbookViewId="0">
      <selection activeCell="A2" sqref="A2:B26"/>
    </sheetView>
  </sheetViews>
  <sheetFormatPr defaultRowHeight="15" x14ac:dyDescent="0.2"/>
  <cols>
    <col min="1" max="1" width="14.625" style="69" customWidth="1"/>
    <col min="2" max="2" width="17.75" style="70" customWidth="1"/>
    <col min="3" max="3" width="5.375" style="70" customWidth="1"/>
    <col min="4" max="4" width="11.875" style="70" customWidth="1"/>
    <col min="5" max="5" width="20.75" style="70" customWidth="1"/>
    <col min="6" max="6" width="5.375" style="70" customWidth="1"/>
    <col min="7" max="7" width="17.5" style="70" customWidth="1"/>
    <col min="8" max="9" width="5.375" style="70" customWidth="1"/>
    <col min="10" max="10" width="15.5" style="70" customWidth="1"/>
    <col min="11" max="11" width="22.125" style="70" customWidth="1"/>
    <col min="12" max="12" width="2.875" style="71" customWidth="1"/>
    <col min="13" max="13" width="10" style="71" customWidth="1"/>
    <col min="14" max="14" width="21.25" style="7" customWidth="1"/>
  </cols>
  <sheetData>
    <row r="1" spans="1:14" ht="18" x14ac:dyDescent="0.3">
      <c r="B1" s="177" t="s">
        <v>87</v>
      </c>
      <c r="C1" s="72"/>
      <c r="D1" s="72"/>
      <c r="E1" s="176" t="s">
        <v>89</v>
      </c>
      <c r="F1" s="72"/>
      <c r="G1" s="176" t="s">
        <v>88</v>
      </c>
      <c r="H1" s="72"/>
      <c r="I1" s="72"/>
      <c r="J1" s="72"/>
      <c r="K1" s="176" t="s">
        <v>91</v>
      </c>
      <c r="L1" s="77"/>
      <c r="M1" s="77"/>
      <c r="N1" s="178" t="s">
        <v>90</v>
      </c>
    </row>
    <row r="2" spans="1:14" x14ac:dyDescent="0.2">
      <c r="A2" s="153" t="str">
        <f t="shared" ref="A2:A26" si="0">IF(B2="请更新日历","请更新代码",TEXT(B2,"YYMM")&amp;"E")</f>
        <v>2408E</v>
      </c>
      <c r="B2" s="148">
        <v>45505.083333333336</v>
      </c>
      <c r="C2" s="72"/>
      <c r="D2" s="76"/>
      <c r="E2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-1,0)</f>
        <v>46002.083333333336</v>
      </c>
      <c r="F2" s="72"/>
      <c r="G2" s="20" t="str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-1,0)</f>
        <v>连续日历月(含会议日)</v>
      </c>
      <c r="H2" s="75">
        <f t="shared" ref="H2:H31" ca="1" si="1">_xlfn.IFNA(MATCH(G2,$E$3:$E$21,0),0)</f>
        <v>0</v>
      </c>
      <c r="I2" s="72"/>
      <c r="J2" s="153" t="str">
        <f t="shared" ref="J2:J48" ca="1" si="2">IF(K2="请更新日历","请更新代码",TEXT(K2,"YYMM")&amp;"E")</f>
        <v>2601E</v>
      </c>
      <c r="K2" s="154">
        <f t="shared" ref="K2:K48" ca="1" si="3">IF(COUNTIF(A:A,M2)=0,N2,VLOOKUP(M2,A:B,2,0))</f>
        <v>46051.083333333336</v>
      </c>
      <c r="L2" s="77"/>
      <c r="M2" s="75" t="str">
        <f t="shared" ref="M2:M37" ca="1" si="4">TEXT(N2,"YYMM")&amp;"E"</f>
        <v>2601E</v>
      </c>
      <c r="N2" s="158">
        <f ca="1">DATE(YEAR(TODAY()), 1, 1) + TIME(2, 0, 0)</f>
        <v>46023.083333333336</v>
      </c>
    </row>
    <row r="3" spans="1:14" x14ac:dyDescent="0.2">
      <c r="A3" s="153" t="str">
        <f t="shared" si="0"/>
        <v>2409E</v>
      </c>
      <c r="B3" s="148">
        <v>45554.083333333336</v>
      </c>
      <c r="C3" s="72"/>
      <c r="D3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0,-1)</f>
        <v>2601E</v>
      </c>
      <c r="E3" s="20">
        <f ca="1">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</f>
        <v>46051.083333333336</v>
      </c>
      <c r="F3" s="72"/>
      <c r="G3" s="20">
        <f ca="1">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</f>
        <v>46051.083333333336</v>
      </c>
      <c r="H3" s="75">
        <f t="shared" ca="1" si="1"/>
        <v>1</v>
      </c>
      <c r="I3" s="72"/>
      <c r="J3" s="153" t="str">
        <f t="shared" ca="1" si="2"/>
        <v>2602E</v>
      </c>
      <c r="K3" s="154">
        <f t="shared" ca="1" si="3"/>
        <v>46054.083333333336</v>
      </c>
      <c r="L3" s="77"/>
      <c r="M3" s="75" t="str">
        <f t="shared" ca="1" si="4"/>
        <v>2602E</v>
      </c>
      <c r="N3" s="158">
        <f ca="1">DATE(YEAR(TODAY()), 2, 1) + TIME(2, 0, 0)</f>
        <v>46054.083333333336</v>
      </c>
    </row>
    <row r="4" spans="1:14" x14ac:dyDescent="0.2">
      <c r="A4" s="153" t="str">
        <f t="shared" si="0"/>
        <v>2411E</v>
      </c>
      <c r="B4" s="148">
        <v>45604.083333333336</v>
      </c>
      <c r="C4" s="72"/>
      <c r="D4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,-1)</f>
        <v>2603E</v>
      </c>
      <c r="E4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1,0)</f>
        <v>46100.083333333336</v>
      </c>
      <c r="F4" s="72"/>
      <c r="G4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1,0)</f>
        <v>46054.083333333336</v>
      </c>
      <c r="H4" s="75">
        <f t="shared" ca="1" si="1"/>
        <v>0</v>
      </c>
      <c r="I4" s="72"/>
      <c r="J4" s="153" t="str">
        <f t="shared" ca="1" si="2"/>
        <v>2603E</v>
      </c>
      <c r="K4" s="154">
        <f t="shared" ca="1" si="3"/>
        <v>46100.083333333336</v>
      </c>
      <c r="L4" s="77"/>
      <c r="M4" s="75" t="str">
        <f t="shared" ca="1" si="4"/>
        <v>2603E</v>
      </c>
      <c r="N4" s="158">
        <f ca="1">DATE(YEAR(TODAY()), 3, 1) + TIME(2, 0, 0)</f>
        <v>46082.083333333336</v>
      </c>
    </row>
    <row r="5" spans="1:14" x14ac:dyDescent="0.2">
      <c r="A5" s="153" t="str">
        <f t="shared" si="0"/>
        <v>2412E</v>
      </c>
      <c r="B5" s="148">
        <v>45645.083333333336</v>
      </c>
      <c r="C5" s="72"/>
      <c r="D5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2,-1)</f>
        <v>2604E</v>
      </c>
      <c r="E5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2,0)</f>
        <v>46142.083333333336</v>
      </c>
      <c r="F5" s="72"/>
      <c r="G5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2,0)</f>
        <v>46100.083333333336</v>
      </c>
      <c r="H5" s="75">
        <f t="shared" ca="1" si="1"/>
        <v>2</v>
      </c>
      <c r="I5" s="72"/>
      <c r="J5" s="153" t="str">
        <f t="shared" ca="1" si="2"/>
        <v>2604E</v>
      </c>
      <c r="K5" s="154">
        <f t="shared" ca="1" si="3"/>
        <v>46142.083333333336</v>
      </c>
      <c r="L5" s="77"/>
      <c r="M5" s="75" t="str">
        <f t="shared" ca="1" si="4"/>
        <v>2604E</v>
      </c>
      <c r="N5" s="158">
        <f ca="1">DATE(YEAR(TODAY()), 4, 1) + TIME(2, 0, 0)</f>
        <v>46113.083333333336</v>
      </c>
    </row>
    <row r="6" spans="1:14" x14ac:dyDescent="0.2">
      <c r="A6" s="153" t="str">
        <f t="shared" si="0"/>
        <v>2501E</v>
      </c>
      <c r="B6" s="148">
        <v>45687.083333333336</v>
      </c>
      <c r="C6" s="72"/>
      <c r="D6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3,-1)</f>
        <v>2606E</v>
      </c>
      <c r="E6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3,0)</f>
        <v>46191.083333333336</v>
      </c>
      <c r="F6" s="72"/>
      <c r="G6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3,0)</f>
        <v>46142.083333333336</v>
      </c>
      <c r="H6" s="75">
        <f t="shared" ca="1" si="1"/>
        <v>3</v>
      </c>
      <c r="I6" s="72"/>
      <c r="J6" s="153" t="str">
        <f t="shared" ca="1" si="2"/>
        <v>2605E</v>
      </c>
      <c r="K6" s="154">
        <f t="shared" ca="1" si="3"/>
        <v>46143.083333333336</v>
      </c>
      <c r="L6" s="77"/>
      <c r="M6" s="75" t="str">
        <f t="shared" ca="1" si="4"/>
        <v>2605E</v>
      </c>
      <c r="N6" s="158">
        <f ca="1">DATE(YEAR(TODAY()), 5, 1) + TIME(2, 0, 0)</f>
        <v>46143.083333333336</v>
      </c>
    </row>
    <row r="7" spans="1:14" x14ac:dyDescent="0.2">
      <c r="A7" s="153" t="str">
        <f t="shared" si="0"/>
        <v>2503E</v>
      </c>
      <c r="B7" s="148">
        <v>45736.083333333336</v>
      </c>
      <c r="C7" s="72"/>
      <c r="D7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4,-1)</f>
        <v>2607E</v>
      </c>
      <c r="E7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4,0)</f>
        <v>46233.083333333336</v>
      </c>
      <c r="F7" s="72"/>
      <c r="G7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4,0)</f>
        <v>46143.083333333336</v>
      </c>
      <c r="H7" s="75">
        <f t="shared" ca="1" si="1"/>
        <v>0</v>
      </c>
      <c r="I7" s="72"/>
      <c r="J7" s="153" t="str">
        <f t="shared" ca="1" si="2"/>
        <v>2606E</v>
      </c>
      <c r="K7" s="154">
        <f t="shared" ca="1" si="3"/>
        <v>46191.083333333336</v>
      </c>
      <c r="L7" s="77"/>
      <c r="M7" s="75" t="str">
        <f t="shared" ca="1" si="4"/>
        <v>2606E</v>
      </c>
      <c r="N7" s="158">
        <f ca="1">DATE(YEAR(TODAY()), 6, 1) + TIME(2, 0, 0)</f>
        <v>46174.083333333336</v>
      </c>
    </row>
    <row r="8" spans="1:14" x14ac:dyDescent="0.2">
      <c r="A8" s="153" t="str">
        <f t="shared" si="0"/>
        <v>2505E</v>
      </c>
      <c r="B8" s="148">
        <v>45785.083333333336</v>
      </c>
      <c r="C8" s="72"/>
      <c r="D8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5,-1)</f>
        <v>2609E</v>
      </c>
      <c r="E8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5,0)</f>
        <v>46282.083333333336</v>
      </c>
      <c r="F8" s="72"/>
      <c r="G8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5,0)</f>
        <v>46191.083333333336</v>
      </c>
      <c r="H8" s="75">
        <f t="shared" ca="1" si="1"/>
        <v>4</v>
      </c>
      <c r="I8" s="72"/>
      <c r="J8" s="153" t="str">
        <f t="shared" ca="1" si="2"/>
        <v>2607E</v>
      </c>
      <c r="K8" s="154">
        <f t="shared" ca="1" si="3"/>
        <v>46233.083333333336</v>
      </c>
      <c r="L8" s="77"/>
      <c r="M8" s="75" t="str">
        <f t="shared" ca="1" si="4"/>
        <v>2607E</v>
      </c>
      <c r="N8" s="158">
        <f ca="1">DATE(YEAR(TODAY()), 7, 1) + TIME(2, 0, 0)</f>
        <v>46204.083333333336</v>
      </c>
    </row>
    <row r="9" spans="1:14" x14ac:dyDescent="0.2">
      <c r="A9" s="153" t="str">
        <f t="shared" si="0"/>
        <v>2506E</v>
      </c>
      <c r="B9" s="148">
        <v>45827.083333333336</v>
      </c>
      <c r="C9" s="72"/>
      <c r="D9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6,-1)</f>
        <v>2610E</v>
      </c>
      <c r="E9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6,0)</f>
        <v>46324.083333333336</v>
      </c>
      <c r="F9" s="72"/>
      <c r="G9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6,0)</f>
        <v>46233.083333333336</v>
      </c>
      <c r="H9" s="75">
        <f t="shared" ca="1" si="1"/>
        <v>5</v>
      </c>
      <c r="I9" s="72"/>
      <c r="J9" s="153" t="str">
        <f t="shared" ca="1" si="2"/>
        <v>2608E</v>
      </c>
      <c r="K9" s="154">
        <f t="shared" ca="1" si="3"/>
        <v>46235.083333333336</v>
      </c>
      <c r="L9" s="77"/>
      <c r="M9" s="75" t="str">
        <f t="shared" ca="1" si="4"/>
        <v>2608E</v>
      </c>
      <c r="N9" s="158">
        <f ca="1">DATE(YEAR(TODAY()), 8, 1) + TIME(2, 0, 0)</f>
        <v>46235.083333333336</v>
      </c>
    </row>
    <row r="10" spans="1:14" x14ac:dyDescent="0.2">
      <c r="A10" s="153" t="str">
        <f t="shared" si="0"/>
        <v>2507E</v>
      </c>
      <c r="B10" s="148">
        <v>45869.083333333336</v>
      </c>
      <c r="C10" s="72"/>
      <c r="D10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7,-1)</f>
        <v>2612E</v>
      </c>
      <c r="E10" s="20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7,0)</f>
        <v>46366.083333333336</v>
      </c>
      <c r="F10" s="72"/>
      <c r="G10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7,0)</f>
        <v>46235.083333333336</v>
      </c>
      <c r="H10" s="75">
        <f t="shared" ca="1" si="1"/>
        <v>0</v>
      </c>
      <c r="I10" s="72"/>
      <c r="J10" s="153" t="str">
        <f t="shared" ca="1" si="2"/>
        <v>2609E</v>
      </c>
      <c r="K10" s="154">
        <f t="shared" ca="1" si="3"/>
        <v>46282.083333333336</v>
      </c>
      <c r="L10" s="77"/>
      <c r="M10" s="75" t="str">
        <f t="shared" ca="1" si="4"/>
        <v>2609E</v>
      </c>
      <c r="N10" s="158">
        <f ca="1">DATE(YEAR(TODAY()), 9, 1) + TIME(2, 0, 0)</f>
        <v>46266.083333333336</v>
      </c>
    </row>
    <row r="11" spans="1:14" x14ac:dyDescent="0.2">
      <c r="A11" s="153" t="str">
        <f t="shared" si="0"/>
        <v>2509E</v>
      </c>
      <c r="B11" s="148">
        <v>45918.083333333336</v>
      </c>
      <c r="C11" s="72"/>
      <c r="D11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8,-1)</f>
        <v>请更新代码</v>
      </c>
      <c r="E11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8,0)</f>
        <v>请更新日历</v>
      </c>
      <c r="F11" s="72"/>
      <c r="G11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8,0)</f>
        <v>46282.083333333336</v>
      </c>
      <c r="H11" s="75">
        <f t="shared" ca="1" si="1"/>
        <v>6</v>
      </c>
      <c r="I11" s="72"/>
      <c r="J11" s="153" t="str">
        <f t="shared" ca="1" si="2"/>
        <v>2610E</v>
      </c>
      <c r="K11" s="154">
        <f t="shared" ca="1" si="3"/>
        <v>46324.083333333336</v>
      </c>
      <c r="L11" s="77"/>
      <c r="M11" s="75" t="str">
        <f t="shared" ca="1" si="4"/>
        <v>2610E</v>
      </c>
      <c r="N11" s="158">
        <f ca="1">DATE(YEAR(TODAY()), 10, 1) + TIME(2, 0, 0)</f>
        <v>46296.083333333336</v>
      </c>
    </row>
    <row r="12" spans="1:14" x14ac:dyDescent="0.2">
      <c r="A12" s="153" t="str">
        <f t="shared" si="0"/>
        <v>2510E</v>
      </c>
      <c r="B12" s="148">
        <v>45960.083333333336</v>
      </c>
      <c r="C12" s="72"/>
      <c r="D12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9,-1)</f>
        <v>请更新代码</v>
      </c>
      <c r="E12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9,0)</f>
        <v>请更新日历</v>
      </c>
      <c r="F12" s="72"/>
      <c r="G12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9,0)</f>
        <v>46324.083333333336</v>
      </c>
      <c r="H12" s="75">
        <f t="shared" ca="1" si="1"/>
        <v>7</v>
      </c>
      <c r="I12" s="72"/>
      <c r="J12" s="153" t="str">
        <f t="shared" ca="1" si="2"/>
        <v>2611E</v>
      </c>
      <c r="K12" s="154">
        <f t="shared" ca="1" si="3"/>
        <v>46327.083333333336</v>
      </c>
      <c r="L12" s="77"/>
      <c r="M12" s="75" t="str">
        <f t="shared" ca="1" si="4"/>
        <v>2611E</v>
      </c>
      <c r="N12" s="158">
        <f ca="1">DATE(YEAR(TODAY()), 11, 1) + TIME(2, 0, 0)</f>
        <v>46327.083333333336</v>
      </c>
    </row>
    <row r="13" spans="1:14" x14ac:dyDescent="0.2">
      <c r="A13" s="153" t="str">
        <f t="shared" si="0"/>
        <v>2512E</v>
      </c>
      <c r="B13" s="148">
        <v>46002.083333333336</v>
      </c>
      <c r="C13" s="72"/>
      <c r="D13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10,-1)</f>
        <v>请更新代码</v>
      </c>
      <c r="E13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10,0)</f>
        <v>请更新日历</v>
      </c>
      <c r="F13" s="72"/>
      <c r="G13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10,0)</f>
        <v>46327.083333333336</v>
      </c>
      <c r="H13" s="75">
        <f t="shared" ca="1" si="1"/>
        <v>0</v>
      </c>
      <c r="I13" s="72"/>
      <c r="J13" s="153" t="str">
        <f t="shared" ca="1" si="2"/>
        <v>2612E</v>
      </c>
      <c r="K13" s="154">
        <f t="shared" ca="1" si="3"/>
        <v>46366.083333333336</v>
      </c>
      <c r="L13" s="77"/>
      <c r="M13" s="75" t="str">
        <f t="shared" ca="1" si="4"/>
        <v>2612E</v>
      </c>
      <c r="N13" s="158">
        <f ca="1">DATE(YEAR(TODAY()), 12, 1) + TIME(2, 0, 0)</f>
        <v>46357.083333333336</v>
      </c>
    </row>
    <row r="14" spans="1:14" x14ac:dyDescent="0.2">
      <c r="A14" s="153" t="str">
        <f t="shared" si="0"/>
        <v>2601E</v>
      </c>
      <c r="B14" s="148">
        <v>46051.083333333336</v>
      </c>
      <c r="C14" s="72"/>
      <c r="D14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11,-1)</f>
        <v>请更新代码</v>
      </c>
      <c r="E14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11,0)</f>
        <v>请更新日历</v>
      </c>
      <c r="F14" s="72"/>
      <c r="G14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11,0)</f>
        <v>46366.083333333336</v>
      </c>
      <c r="H14" s="75">
        <f t="shared" ca="1" si="1"/>
        <v>8</v>
      </c>
      <c r="I14" s="72"/>
      <c r="J14" s="153" t="str">
        <f t="shared" ca="1" si="2"/>
        <v>2701E</v>
      </c>
      <c r="K14" s="154">
        <f t="shared" ca="1" si="3"/>
        <v>46388.083333333336</v>
      </c>
      <c r="L14" s="77"/>
      <c r="M14" s="75" t="str">
        <f t="shared" ca="1" si="4"/>
        <v>2701E</v>
      </c>
      <c r="N14" s="158">
        <f ca="1">DATE(YEAR(TODAY())+1, 1, 1) + TIME(2, 0, 0)</f>
        <v>46388.083333333336</v>
      </c>
    </row>
    <row r="15" spans="1:14" x14ac:dyDescent="0.2">
      <c r="A15" s="153" t="str">
        <f t="shared" si="0"/>
        <v>2603E</v>
      </c>
      <c r="B15" s="148">
        <v>46100.083333333336</v>
      </c>
      <c r="C15" s="72"/>
      <c r="D15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12,-1)</f>
        <v>请更新代码</v>
      </c>
      <c r="E15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12,0)</f>
        <v>请更新日历</v>
      </c>
      <c r="F15" s="72"/>
      <c r="G15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12,0)</f>
        <v>46388.083333333336</v>
      </c>
      <c r="H15" s="75">
        <f t="shared" ca="1" si="1"/>
        <v>0</v>
      </c>
      <c r="I15" s="72"/>
      <c r="J15" s="153" t="str">
        <f t="shared" ca="1" si="2"/>
        <v>2702E</v>
      </c>
      <c r="K15" s="154">
        <f t="shared" ca="1" si="3"/>
        <v>46419.083333333336</v>
      </c>
      <c r="L15" s="77"/>
      <c r="M15" s="75" t="str">
        <f t="shared" ca="1" si="4"/>
        <v>2702E</v>
      </c>
      <c r="N15" s="158">
        <f ca="1">DATE(YEAR(TODAY())+1, 2, 1) + TIME(2, 0, 0)</f>
        <v>46419.083333333336</v>
      </c>
    </row>
    <row r="16" spans="1:14" x14ac:dyDescent="0.2">
      <c r="A16" s="153" t="str">
        <f t="shared" si="0"/>
        <v>2604E</v>
      </c>
      <c r="B16" s="148">
        <v>46142.083333333336</v>
      </c>
      <c r="C16" s="72"/>
      <c r="D16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13,-1)</f>
        <v>请更新代码</v>
      </c>
      <c r="E16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13,0)</f>
        <v>请更新日历</v>
      </c>
      <c r="F16" s="72"/>
      <c r="G16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13,0)</f>
        <v>46419.083333333336</v>
      </c>
      <c r="H16" s="75">
        <f t="shared" ca="1" si="1"/>
        <v>0</v>
      </c>
      <c r="I16" s="72"/>
      <c r="J16" s="153" t="str">
        <f t="shared" ca="1" si="2"/>
        <v>2703E</v>
      </c>
      <c r="K16" s="154">
        <f t="shared" ca="1" si="3"/>
        <v>46447.083333333336</v>
      </c>
      <c r="L16" s="77"/>
      <c r="M16" s="75" t="str">
        <f t="shared" ca="1" si="4"/>
        <v>2703E</v>
      </c>
      <c r="N16" s="158">
        <f ca="1">DATE(YEAR(TODAY())+1, 3, 1) + TIME(2, 0, 0)</f>
        <v>46447.083333333336</v>
      </c>
    </row>
    <row r="17" spans="1:14" x14ac:dyDescent="0.2">
      <c r="A17" s="153" t="str">
        <f t="shared" si="0"/>
        <v>2606E</v>
      </c>
      <c r="B17" s="148">
        <v>46191.083333333336</v>
      </c>
      <c r="C17" s="72"/>
      <c r="D17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14,-1)</f>
        <v>请更新代码</v>
      </c>
      <c r="E17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14,0)</f>
        <v>请更新日历</v>
      </c>
      <c r="F17" s="72"/>
      <c r="G17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14,0)</f>
        <v>46447.083333333336</v>
      </c>
      <c r="H17" s="75">
        <f t="shared" ca="1" si="1"/>
        <v>0</v>
      </c>
      <c r="I17" s="72"/>
      <c r="J17" s="153" t="str">
        <f t="shared" ca="1" si="2"/>
        <v>2704E</v>
      </c>
      <c r="K17" s="154">
        <f t="shared" ca="1" si="3"/>
        <v>46478.083333333336</v>
      </c>
      <c r="L17" s="77"/>
      <c r="M17" s="75" t="str">
        <f t="shared" ca="1" si="4"/>
        <v>2704E</v>
      </c>
      <c r="N17" s="158">
        <f ca="1">DATE(YEAR(TODAY())+1, 4, 1) + TIME(2, 0, 0)</f>
        <v>46478.083333333336</v>
      </c>
    </row>
    <row r="18" spans="1:14" x14ac:dyDescent="0.2">
      <c r="A18" s="153" t="str">
        <f t="shared" si="0"/>
        <v>2607E</v>
      </c>
      <c r="B18" s="148">
        <v>46233.083333333336</v>
      </c>
      <c r="C18" s="72"/>
      <c r="D18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15,-1)</f>
        <v>请更新代码</v>
      </c>
      <c r="E18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15,0)</f>
        <v>请更新日历</v>
      </c>
      <c r="F18" s="72"/>
      <c r="G18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15,0)</f>
        <v>46478.083333333336</v>
      </c>
      <c r="H18" s="75">
        <f t="shared" ca="1" si="1"/>
        <v>0</v>
      </c>
      <c r="I18" s="72"/>
      <c r="J18" s="153" t="str">
        <f t="shared" ca="1" si="2"/>
        <v>2705E</v>
      </c>
      <c r="K18" s="154">
        <f t="shared" ca="1" si="3"/>
        <v>46508.083333333336</v>
      </c>
      <c r="L18" s="77"/>
      <c r="M18" s="75" t="str">
        <f t="shared" ca="1" si="4"/>
        <v>2705E</v>
      </c>
      <c r="N18" s="158">
        <f ca="1">DATE(YEAR(TODAY())+1, 5, 1) + TIME(2, 0, 0)</f>
        <v>46508.083333333336</v>
      </c>
    </row>
    <row r="19" spans="1:14" x14ac:dyDescent="0.2">
      <c r="A19" s="153" t="str">
        <f t="shared" si="0"/>
        <v>2609E</v>
      </c>
      <c r="B19" s="148">
        <v>46282.083333333336</v>
      </c>
      <c r="C19" s="72"/>
      <c r="D19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16,-1)</f>
        <v>请更新代码</v>
      </c>
      <c r="E19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16,0)</f>
        <v>请更新日历</v>
      </c>
      <c r="F19" s="72"/>
      <c r="G19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16,0)</f>
        <v>46508.083333333336</v>
      </c>
      <c r="H19" s="75">
        <f t="shared" ca="1" si="1"/>
        <v>0</v>
      </c>
      <c r="I19" s="72"/>
      <c r="J19" s="153" t="str">
        <f t="shared" ca="1" si="2"/>
        <v>2706E</v>
      </c>
      <c r="K19" s="154">
        <f t="shared" ca="1" si="3"/>
        <v>46539.083333333336</v>
      </c>
      <c r="L19" s="77"/>
      <c r="M19" s="75" t="str">
        <f t="shared" ca="1" si="4"/>
        <v>2706E</v>
      </c>
      <c r="N19" s="158">
        <f ca="1">DATE(YEAR(TODAY())+1, 6, 1) + TIME(2, 0, 0)</f>
        <v>46539.083333333336</v>
      </c>
    </row>
    <row r="20" spans="1:14" x14ac:dyDescent="0.2">
      <c r="A20" s="153" t="str">
        <f t="shared" si="0"/>
        <v>2610E</v>
      </c>
      <c r="B20" s="148">
        <v>46324.083333333336</v>
      </c>
      <c r="C20" s="72"/>
      <c r="D20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17,-1)</f>
        <v>请更新代码</v>
      </c>
      <c r="E20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17,0)</f>
        <v>请更新日历</v>
      </c>
      <c r="F20" s="72"/>
      <c r="G20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17,0)</f>
        <v>46539.083333333336</v>
      </c>
      <c r="H20" s="75">
        <f t="shared" ca="1" si="1"/>
        <v>0</v>
      </c>
      <c r="I20" s="72"/>
      <c r="J20" s="153" t="str">
        <f t="shared" ca="1" si="2"/>
        <v>2707E</v>
      </c>
      <c r="K20" s="154">
        <f t="shared" ca="1" si="3"/>
        <v>46569.083333333336</v>
      </c>
      <c r="L20" s="77"/>
      <c r="M20" s="75" t="str">
        <f t="shared" ca="1" si="4"/>
        <v>2707E</v>
      </c>
      <c r="N20" s="158">
        <f ca="1">DATE(YEAR(TODAY())+1, 7, 1) + TIME(2, 0, 0)</f>
        <v>46569.083333333336</v>
      </c>
    </row>
    <row r="21" spans="1:14" x14ac:dyDescent="0.2">
      <c r="A21" s="153" t="str">
        <f t="shared" si="0"/>
        <v>2612E</v>
      </c>
      <c r="B21" s="148">
        <v>46366.083333333336</v>
      </c>
      <c r="C21" s="72"/>
      <c r="D21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18,-1)</f>
        <v>请更新代码</v>
      </c>
      <c r="E21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18,0)</f>
        <v>请更新日历</v>
      </c>
      <c r="F21" s="72"/>
      <c r="G21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18,0)</f>
        <v>46569.083333333336</v>
      </c>
      <c r="H21" s="75">
        <f t="shared" ca="1" si="1"/>
        <v>0</v>
      </c>
      <c r="I21" s="72"/>
      <c r="J21" s="19" t="str">
        <f t="shared" ca="1" si="2"/>
        <v>2708E</v>
      </c>
      <c r="K21" s="154">
        <f t="shared" ca="1" si="3"/>
        <v>46600.083333333336</v>
      </c>
      <c r="L21" s="77"/>
      <c r="M21" s="75" t="str">
        <f t="shared" ca="1" si="4"/>
        <v>2708E</v>
      </c>
      <c r="N21" s="158">
        <f ca="1">DATE(YEAR(TODAY())+1, 8, 1) + TIME(2, 0, 0)</f>
        <v>46600.083333333336</v>
      </c>
    </row>
    <row r="22" spans="1:14" x14ac:dyDescent="0.2">
      <c r="A22" s="153" t="str">
        <f t="shared" si="0"/>
        <v>请更新代码</v>
      </c>
      <c r="B22" s="155" t="s">
        <v>40</v>
      </c>
      <c r="C22" s="72"/>
      <c r="D22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19,-1)</f>
        <v>请更新代码</v>
      </c>
      <c r="E22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19,0)</f>
        <v>请更新日历</v>
      </c>
      <c r="F22" s="72"/>
      <c r="G22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19,0)</f>
        <v>46600.083333333336</v>
      </c>
      <c r="H22" s="75">
        <f t="shared" ca="1" si="1"/>
        <v>0</v>
      </c>
      <c r="I22" s="72"/>
      <c r="J22" s="19" t="str">
        <f t="shared" ca="1" si="2"/>
        <v>2709E</v>
      </c>
      <c r="K22" s="154">
        <f t="shared" ca="1" si="3"/>
        <v>46631.083333333336</v>
      </c>
      <c r="L22" s="77"/>
      <c r="M22" s="75" t="str">
        <f t="shared" ca="1" si="4"/>
        <v>2709E</v>
      </c>
      <c r="N22" s="158">
        <f ca="1">DATE(YEAR(TODAY())+1, 9, 1) + TIME(2, 0, 0)</f>
        <v>46631.083333333336</v>
      </c>
    </row>
    <row r="23" spans="1:14" x14ac:dyDescent="0.2">
      <c r="A23" s="153" t="str">
        <f t="shared" si="0"/>
        <v>请更新代码</v>
      </c>
      <c r="B23" s="155" t="s">
        <v>40</v>
      </c>
      <c r="C23" s="72"/>
      <c r="D23" s="19" t="str">
        <f ca="1">OFFSET(IF(美联储议息会议日历!L1&lt;=B2,B2,IF(美联储议息会议日历!L1&lt;=B3,B3,IF(美联储议息会议日历!L1&lt;=B4,B4,IF(美联储议息会议日历!L1&lt;=B5,B5,IF(美联储议息会议日历!L1&lt;=B6,B6,IF(美联储议息会议日历!L1&lt;=B7,B7,IF(美联储议息会议日历!L1&lt;=B8,B8,IF(美联储议息会议日历!L1&lt;=B9,B9,IF(美联储议息会议日历!L1&lt;=B10,B10,IF(美联储议息会议日历!L1&lt;=B11,B11,IF(美联储议息会议日历!L1&lt;=B12,B12,IF(美联储议息会议日历!L1&lt;=B13,B13,B14)))))))))))),20,-1)</f>
        <v>请更新代码</v>
      </c>
      <c r="E23" s="20" t="str">
        <f ca="1">OFFSET(IF(美联储议息会议日历!L1&lt;B2,B2,IF(美联储议息会议日历!L1&lt;B3,B3,IF(美联储议息会议日历!L1&lt;B4,B4,IF(美联储议息会议日历!L1&lt;B5,B5,IF(美联储议息会议日历!L1&lt;B6,B6,IF(美联储议息会议日历!L1&lt;B7,B7,IF(美联储议息会议日历!L1&lt;B8,B8,IF(美联储议息会议日历!L1&lt;B9,B9,IF(美联储议息会议日历!L1&lt;B10,B10,IF(美联储议息会议日历!L1&lt;B11,B11,IF(美联储议息会议日历!L1&lt;B12,B12,IF(美联储议息会议日历!L1&lt;B13,B13,B14)))))))))))),20,0)</f>
        <v>请更新日历</v>
      </c>
      <c r="F23" s="72"/>
      <c r="G23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20,0)</f>
        <v>46631.083333333336</v>
      </c>
      <c r="H23" s="75">
        <f t="shared" ca="1" si="1"/>
        <v>0</v>
      </c>
      <c r="I23" s="72"/>
      <c r="J23" s="19" t="str">
        <f t="shared" ca="1" si="2"/>
        <v>2710E</v>
      </c>
      <c r="K23" s="154">
        <f t="shared" ca="1" si="3"/>
        <v>46661.083333333336</v>
      </c>
      <c r="L23" s="77"/>
      <c r="M23" s="75" t="str">
        <f t="shared" ca="1" si="4"/>
        <v>2710E</v>
      </c>
      <c r="N23" s="158">
        <f ca="1">DATE(YEAR(TODAY())+1, 10, 1) + TIME(2, 0, 0)</f>
        <v>46661.083333333336</v>
      </c>
    </row>
    <row r="24" spans="1:14" x14ac:dyDescent="0.2">
      <c r="A24" s="153" t="str">
        <f t="shared" si="0"/>
        <v>请更新代码</v>
      </c>
      <c r="B24" s="155" t="s">
        <v>40</v>
      </c>
      <c r="C24" s="72"/>
      <c r="D24" s="72"/>
      <c r="E24" s="72"/>
      <c r="F24" s="72"/>
      <c r="G24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21,0)</f>
        <v>46661.083333333336</v>
      </c>
      <c r="H24" s="75">
        <f t="shared" ca="1" si="1"/>
        <v>0</v>
      </c>
      <c r="I24" s="72"/>
      <c r="J24" s="19" t="str">
        <f t="shared" ca="1" si="2"/>
        <v>2711E</v>
      </c>
      <c r="K24" s="154">
        <f t="shared" ca="1" si="3"/>
        <v>46692.083333333336</v>
      </c>
      <c r="L24" s="77"/>
      <c r="M24" s="75" t="str">
        <f t="shared" ca="1" si="4"/>
        <v>2711E</v>
      </c>
      <c r="N24" s="158">
        <f ca="1">DATE(YEAR(TODAY())+1, 11, 1) + TIME(2, 0, 0)</f>
        <v>46692.083333333336</v>
      </c>
    </row>
    <row r="25" spans="1:14" x14ac:dyDescent="0.2">
      <c r="A25" s="153" t="str">
        <f t="shared" si="0"/>
        <v>请更新代码</v>
      </c>
      <c r="B25" s="155" t="s">
        <v>40</v>
      </c>
      <c r="C25" s="72"/>
      <c r="D25" s="72"/>
      <c r="E25" s="72"/>
      <c r="F25" s="72"/>
      <c r="G25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22,0)</f>
        <v>46692.083333333336</v>
      </c>
      <c r="H25" s="75">
        <f t="shared" ca="1" si="1"/>
        <v>0</v>
      </c>
      <c r="I25" s="72"/>
      <c r="J25" s="19" t="str">
        <f t="shared" ca="1" si="2"/>
        <v>2712E</v>
      </c>
      <c r="K25" s="154">
        <f t="shared" ca="1" si="3"/>
        <v>46722.083333333336</v>
      </c>
      <c r="L25" s="77"/>
      <c r="M25" s="75" t="str">
        <f t="shared" ca="1" si="4"/>
        <v>2712E</v>
      </c>
      <c r="N25" s="158">
        <f ca="1">DATE(YEAR(TODAY())+1, 12, 1) + TIME(2, 0, 0)</f>
        <v>46722.083333333336</v>
      </c>
    </row>
    <row r="26" spans="1:14" x14ac:dyDescent="0.2">
      <c r="A26" s="153" t="str">
        <f t="shared" si="0"/>
        <v>请更新代码</v>
      </c>
      <c r="B26" s="155" t="s">
        <v>40</v>
      </c>
      <c r="C26" s="72"/>
      <c r="D26" s="72"/>
      <c r="E26" s="72"/>
      <c r="F26" s="72"/>
      <c r="G26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23,0)</f>
        <v>46722.083333333336</v>
      </c>
      <c r="H26" s="75">
        <f t="shared" ca="1" si="1"/>
        <v>0</v>
      </c>
      <c r="I26" s="72"/>
      <c r="J26" s="19" t="str">
        <f t="shared" ca="1" si="2"/>
        <v>2801E</v>
      </c>
      <c r="K26" s="154">
        <f t="shared" ca="1" si="3"/>
        <v>46753.083333333336</v>
      </c>
      <c r="L26" s="77"/>
      <c r="M26" s="75" t="str">
        <f t="shared" ca="1" si="4"/>
        <v>2801E</v>
      </c>
      <c r="N26" s="158">
        <f ca="1">DATE(YEAR(TODAY())+2, 1, 1) + TIME(2, 0, 0)</f>
        <v>46753.083333333336</v>
      </c>
    </row>
    <row r="27" spans="1:14" x14ac:dyDescent="0.2">
      <c r="A27" s="153" t="str">
        <f t="shared" ref="A27:A28" si="5">IF(B27="请更新日历","请更新代码",TEXT(B27,"YYMM")&amp;"E")</f>
        <v>请更新代码</v>
      </c>
      <c r="B27" s="155" t="s">
        <v>40</v>
      </c>
      <c r="C27" s="72"/>
      <c r="D27" s="72"/>
      <c r="E27" s="72"/>
      <c r="F27" s="72"/>
      <c r="G27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24,0)</f>
        <v>46753.083333333336</v>
      </c>
      <c r="H27" s="75">
        <f t="shared" ca="1" si="1"/>
        <v>0</v>
      </c>
      <c r="I27" s="72"/>
      <c r="J27" s="19" t="str">
        <f t="shared" ca="1" si="2"/>
        <v>2802E</v>
      </c>
      <c r="K27" s="154">
        <f t="shared" ca="1" si="3"/>
        <v>46784.083333333336</v>
      </c>
      <c r="L27" s="77"/>
      <c r="M27" s="75" t="str">
        <f t="shared" ca="1" si="4"/>
        <v>2802E</v>
      </c>
      <c r="N27" s="158">
        <f ca="1">DATE(YEAR(TODAY())+2, 2, 1) + TIME(2, 0, 0)</f>
        <v>46784.083333333336</v>
      </c>
    </row>
    <row r="28" spans="1:14" x14ac:dyDescent="0.2">
      <c r="A28" s="153" t="str">
        <f t="shared" si="5"/>
        <v>请更新代码</v>
      </c>
      <c r="B28" s="155" t="s">
        <v>40</v>
      </c>
      <c r="C28" s="72"/>
      <c r="D28" s="72"/>
      <c r="E28" s="72"/>
      <c r="F28" s="72"/>
      <c r="G28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25,0)</f>
        <v>46784.083333333336</v>
      </c>
      <c r="H28" s="75">
        <f t="shared" ca="1" si="1"/>
        <v>0</v>
      </c>
      <c r="I28" s="72"/>
      <c r="J28" s="19" t="str">
        <f t="shared" ca="1" si="2"/>
        <v>2803E</v>
      </c>
      <c r="K28" s="154">
        <f t="shared" ca="1" si="3"/>
        <v>46813.083333333336</v>
      </c>
      <c r="L28" s="77"/>
      <c r="M28" s="75" t="str">
        <f t="shared" ca="1" si="4"/>
        <v>2803E</v>
      </c>
      <c r="N28" s="158">
        <f ca="1">DATE(YEAR(TODAY())+2, 3, 1) + TIME(2, 0, 0)</f>
        <v>46813.083333333336</v>
      </c>
    </row>
    <row r="29" spans="1:14" x14ac:dyDescent="0.2">
      <c r="A29" s="153" t="str">
        <f t="shared" ref="A29" si="6">IF(B29="请更新日历","请更新代码",TEXT(B29,"YYMM")&amp;"E")</f>
        <v>请更新代码</v>
      </c>
      <c r="B29" s="155" t="s">
        <v>40</v>
      </c>
      <c r="C29" s="72"/>
      <c r="D29" s="72"/>
      <c r="E29" s="72"/>
      <c r="F29" s="72"/>
      <c r="G29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26,0)</f>
        <v>46813.083333333336</v>
      </c>
      <c r="H29" s="75">
        <f t="shared" ca="1" si="1"/>
        <v>0</v>
      </c>
      <c r="I29" s="72"/>
      <c r="J29" s="19" t="str">
        <f t="shared" ca="1" si="2"/>
        <v>2804E</v>
      </c>
      <c r="K29" s="154">
        <f t="shared" ca="1" si="3"/>
        <v>46844.083333333336</v>
      </c>
      <c r="L29" s="77"/>
      <c r="M29" s="75" t="str">
        <f t="shared" ca="1" si="4"/>
        <v>2804E</v>
      </c>
      <c r="N29" s="158">
        <f ca="1">DATE(YEAR(TODAY())+2, 4, 1) + TIME(2, 0, 0)</f>
        <v>46844.083333333336</v>
      </c>
    </row>
    <row r="30" spans="1:14" x14ac:dyDescent="0.2">
      <c r="A30" s="153" t="str">
        <f t="shared" ref="A30:A35" si="7">IF(B30="请更新日历","请更新代码",TEXT(B30,"YYMM")&amp;"E")</f>
        <v>请更新代码</v>
      </c>
      <c r="B30" s="155" t="s">
        <v>40</v>
      </c>
      <c r="C30" s="72"/>
      <c r="D30" s="72"/>
      <c r="E30" s="72"/>
      <c r="F30" s="72"/>
      <c r="G30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27,0)</f>
        <v>46844.083333333336</v>
      </c>
      <c r="H30" s="75">
        <f t="shared" ca="1" si="1"/>
        <v>0</v>
      </c>
      <c r="I30" s="72"/>
      <c r="J30" s="19" t="str">
        <f t="shared" ca="1" si="2"/>
        <v>2805E</v>
      </c>
      <c r="K30" s="154">
        <f t="shared" ca="1" si="3"/>
        <v>46874.083333333336</v>
      </c>
      <c r="L30" s="77"/>
      <c r="M30" s="75" t="str">
        <f t="shared" ca="1" si="4"/>
        <v>2805E</v>
      </c>
      <c r="N30" s="158">
        <f ca="1">DATE(YEAR(TODAY())+2, 5, 1) + TIME(2, 0, 0)</f>
        <v>46874.083333333336</v>
      </c>
    </row>
    <row r="31" spans="1:14" x14ac:dyDescent="0.2">
      <c r="A31" s="153" t="str">
        <f t="shared" si="7"/>
        <v>请更新代码</v>
      </c>
      <c r="B31" s="155" t="s">
        <v>40</v>
      </c>
      <c r="C31" s="72"/>
      <c r="D31" s="72"/>
      <c r="E31" s="72"/>
      <c r="F31" s="72"/>
      <c r="G31" s="20">
        <f ca="1">OFFSET(IF(美联储议息会议日历!L1&lt;=K2,K2,IF(美联储议息会议日历!L1&lt;=K3,K3,IF(美联储议息会议日历!L1&lt;=K4,K4,IF(美联储议息会议日历!L1&lt;=K5,K5,IF(美联储议息会议日历!L1&lt;=K6,K6,IF(美联储议息会议日历!L1&lt;=K7,K7,IF(美联储议息会议日历!L1&lt;=K8,K8,IF(美联储议息会议日历!L1&lt;=K9,K9,IF(美联储议息会议日历!L1&lt;=K10,K10,IF(美联储议息会议日历!L1&lt;=K11,K11,IF(美联储议息会议日历!L1&lt;=K12,K12,IF(美联储议息会议日历!L1&lt;=K13,K13,IF(美联储议息会议日历!L1&lt;=K14,K14,IF(美联储议息会议日历!L1&lt;=K15,K15,IF(美联储议息会议日历!L1&lt;=K16,K16,IF(美联储议息会议日历!L1&lt;=K17,K17,IF(美联储议息会议日历!L1&lt;=K18,K18,IF(美联储议息会议日历!L1&lt;=K19,K19,K20)))))))))))))))))),28,0)</f>
        <v>46874.083333333336</v>
      </c>
      <c r="H31" s="75">
        <f t="shared" ca="1" si="1"/>
        <v>0</v>
      </c>
      <c r="I31" s="72"/>
      <c r="J31" s="19" t="str">
        <f t="shared" ca="1" si="2"/>
        <v>2806E</v>
      </c>
      <c r="K31" s="154">
        <f t="shared" ca="1" si="3"/>
        <v>46905.083333333336</v>
      </c>
      <c r="L31" s="77"/>
      <c r="M31" s="75" t="str">
        <f t="shared" ca="1" si="4"/>
        <v>2806E</v>
      </c>
      <c r="N31" s="158">
        <f ca="1">DATE(YEAR(TODAY())+2, 6, 1) + TIME(2, 0, 0)</f>
        <v>46905.083333333336</v>
      </c>
    </row>
    <row r="32" spans="1:14" x14ac:dyDescent="0.2">
      <c r="A32" s="153" t="str">
        <f t="shared" si="7"/>
        <v>请更新代码</v>
      </c>
      <c r="B32" s="155" t="s">
        <v>40</v>
      </c>
      <c r="C32" s="25"/>
      <c r="D32" s="25"/>
      <c r="E32" s="25"/>
      <c r="F32" s="25"/>
      <c r="G32" s="25"/>
      <c r="H32" s="25"/>
      <c r="I32" s="25"/>
      <c r="J32" s="19" t="str">
        <f t="shared" ca="1" si="2"/>
        <v>2807E</v>
      </c>
      <c r="K32" s="154">
        <f t="shared" ca="1" si="3"/>
        <v>46935.083333333336</v>
      </c>
      <c r="L32" s="25"/>
      <c r="M32" s="75" t="str">
        <f t="shared" ca="1" si="4"/>
        <v>2807E</v>
      </c>
      <c r="N32" s="158">
        <f ca="1">DATE(YEAR(TODAY())+2, 7, 1) + TIME(2, 0, 0)</f>
        <v>46935.083333333336</v>
      </c>
    </row>
    <row r="33" spans="1:14" x14ac:dyDescent="0.2">
      <c r="A33" s="153" t="str">
        <f t="shared" si="7"/>
        <v>请更新代码</v>
      </c>
      <c r="B33" s="155" t="s">
        <v>40</v>
      </c>
      <c r="J33" s="19" t="str">
        <f t="shared" ca="1" si="2"/>
        <v>2808E</v>
      </c>
      <c r="K33" s="154">
        <f t="shared" ca="1" si="3"/>
        <v>46966.083333333336</v>
      </c>
      <c r="M33" s="75" t="str">
        <f t="shared" ca="1" si="4"/>
        <v>2808E</v>
      </c>
      <c r="N33" s="158">
        <f ca="1">DATE(YEAR(TODAY())+2, 8, 1) + TIME(2, 0, 0)</f>
        <v>46966.083333333336</v>
      </c>
    </row>
    <row r="34" spans="1:14" x14ac:dyDescent="0.2">
      <c r="A34" s="153" t="str">
        <f t="shared" si="7"/>
        <v>请更新代码</v>
      </c>
      <c r="B34" s="155" t="s">
        <v>40</v>
      </c>
      <c r="J34" s="19" t="str">
        <f t="shared" ca="1" si="2"/>
        <v>2809E</v>
      </c>
      <c r="K34" s="154">
        <f t="shared" ca="1" si="3"/>
        <v>46997.083333333336</v>
      </c>
      <c r="M34" s="75" t="str">
        <f t="shared" ca="1" si="4"/>
        <v>2809E</v>
      </c>
      <c r="N34" s="158">
        <f ca="1">DATE(YEAR(TODAY())+2, 9, 1) + TIME(2, 0, 0)</f>
        <v>46997.083333333336</v>
      </c>
    </row>
    <row r="35" spans="1:14" x14ac:dyDescent="0.2">
      <c r="A35" s="153" t="str">
        <f t="shared" si="7"/>
        <v>请更新代码</v>
      </c>
      <c r="B35" s="155" t="s">
        <v>40</v>
      </c>
      <c r="J35" s="19" t="str">
        <f t="shared" ca="1" si="2"/>
        <v>2810E</v>
      </c>
      <c r="K35" s="154">
        <f t="shared" ca="1" si="3"/>
        <v>47027.083333333336</v>
      </c>
      <c r="M35" s="75" t="str">
        <f t="shared" ca="1" si="4"/>
        <v>2810E</v>
      </c>
      <c r="N35" s="158">
        <f ca="1">DATE(YEAR(TODAY())+2, 10, 1) + TIME(2, 0, 0)</f>
        <v>47027.083333333336</v>
      </c>
    </row>
    <row r="36" spans="1:14" x14ac:dyDescent="0.2">
      <c r="A36" s="153" t="str">
        <f t="shared" ref="A36:A37" si="8">IF(B36="请更新日历","请更新代码",TEXT(B36,"YYMM")&amp;"E")</f>
        <v>请更新代码</v>
      </c>
      <c r="B36" s="155" t="s">
        <v>40</v>
      </c>
      <c r="J36" s="19" t="str">
        <f t="shared" ca="1" si="2"/>
        <v>2811E</v>
      </c>
      <c r="K36" s="154">
        <f t="shared" ca="1" si="3"/>
        <v>47058.083333333336</v>
      </c>
      <c r="M36" s="75" t="str">
        <f t="shared" ca="1" si="4"/>
        <v>2811E</v>
      </c>
      <c r="N36" s="158">
        <f ca="1">DATE(YEAR(TODAY())+2, 11, 1) + TIME(2, 0, 0)</f>
        <v>47058.083333333336</v>
      </c>
    </row>
    <row r="37" spans="1:14" x14ac:dyDescent="0.2">
      <c r="A37" s="153" t="str">
        <f t="shared" si="8"/>
        <v>请更新代码</v>
      </c>
      <c r="B37" s="155" t="s">
        <v>40</v>
      </c>
      <c r="J37" s="19" t="str">
        <f t="shared" ca="1" si="2"/>
        <v>2812E</v>
      </c>
      <c r="K37" s="154">
        <f t="shared" ca="1" si="3"/>
        <v>47088.083333333336</v>
      </c>
      <c r="M37" s="75" t="str">
        <f t="shared" ca="1" si="4"/>
        <v>2812E</v>
      </c>
      <c r="N37" s="158">
        <f ca="1">DATE(YEAR(TODAY())+2, 12, 1) + TIME(2, 0, 0)</f>
        <v>47088.083333333336</v>
      </c>
    </row>
    <row r="38" spans="1:14" x14ac:dyDescent="0.2">
      <c r="J38" s="19" t="str">
        <f t="shared" ca="1" si="2"/>
        <v>2901E</v>
      </c>
      <c r="K38" s="154">
        <f t="shared" ca="1" si="3"/>
        <v>47119.083333333336</v>
      </c>
      <c r="M38" s="75" t="str">
        <f t="shared" ref="M38:M49" ca="1" si="9">TEXT(N38,"YYMM")&amp;"E"</f>
        <v>2901E</v>
      </c>
      <c r="N38" s="158">
        <f ca="1">DATE(YEAR(TODAY())+3, 1, 1) + TIME(2, 0, 0)</f>
        <v>47119.083333333336</v>
      </c>
    </row>
    <row r="39" spans="1:14" x14ac:dyDescent="0.2">
      <c r="J39" s="19" t="str">
        <f t="shared" ca="1" si="2"/>
        <v>2902E</v>
      </c>
      <c r="K39" s="154">
        <f t="shared" ca="1" si="3"/>
        <v>47150.083333333336</v>
      </c>
      <c r="M39" s="75" t="str">
        <f t="shared" ca="1" si="9"/>
        <v>2902E</v>
      </c>
      <c r="N39" s="158">
        <f ca="1">DATE(YEAR(TODAY())+3, 2, 1) + TIME(2, 0, 0)</f>
        <v>47150.083333333336</v>
      </c>
    </row>
    <row r="40" spans="1:14" x14ac:dyDescent="0.2">
      <c r="J40" s="19" t="str">
        <f t="shared" ca="1" si="2"/>
        <v>2903E</v>
      </c>
      <c r="K40" s="154">
        <f t="shared" ca="1" si="3"/>
        <v>47178.083333333336</v>
      </c>
      <c r="M40" s="75" t="str">
        <f t="shared" ca="1" si="9"/>
        <v>2903E</v>
      </c>
      <c r="N40" s="158">
        <f ca="1">DATE(YEAR(TODAY())+3, 3, 1) + TIME(2, 0, 0)</f>
        <v>47178.083333333336</v>
      </c>
    </row>
    <row r="41" spans="1:14" x14ac:dyDescent="0.2">
      <c r="J41" s="19" t="str">
        <f t="shared" ca="1" si="2"/>
        <v>2904E</v>
      </c>
      <c r="K41" s="154">
        <f t="shared" ca="1" si="3"/>
        <v>47209.083333333336</v>
      </c>
      <c r="M41" s="75" t="str">
        <f t="shared" ca="1" si="9"/>
        <v>2904E</v>
      </c>
      <c r="N41" s="158">
        <f ca="1">DATE(YEAR(TODAY())+3, 4, 1) + TIME(2, 0, 0)</f>
        <v>47209.083333333336</v>
      </c>
    </row>
    <row r="42" spans="1:14" x14ac:dyDescent="0.2">
      <c r="J42" s="19" t="str">
        <f t="shared" ca="1" si="2"/>
        <v>2905E</v>
      </c>
      <c r="K42" s="154">
        <f t="shared" ca="1" si="3"/>
        <v>47239.083333333336</v>
      </c>
      <c r="M42" s="75" t="str">
        <f t="shared" ca="1" si="9"/>
        <v>2905E</v>
      </c>
      <c r="N42" s="158">
        <f ca="1">DATE(YEAR(TODAY())+3, 5, 1) + TIME(2, 0, 0)</f>
        <v>47239.083333333336</v>
      </c>
    </row>
    <row r="43" spans="1:14" x14ac:dyDescent="0.2">
      <c r="J43" s="19" t="str">
        <f t="shared" ca="1" si="2"/>
        <v>2906E</v>
      </c>
      <c r="K43" s="154">
        <f t="shared" ca="1" si="3"/>
        <v>47270.083333333336</v>
      </c>
      <c r="M43" s="75" t="str">
        <f t="shared" ca="1" si="9"/>
        <v>2906E</v>
      </c>
      <c r="N43" s="158">
        <f ca="1">DATE(YEAR(TODAY())+3, 6, 1) + TIME(2, 0, 0)</f>
        <v>47270.083333333336</v>
      </c>
    </row>
    <row r="44" spans="1:14" x14ac:dyDescent="0.2">
      <c r="J44" s="19" t="str">
        <f t="shared" ca="1" si="2"/>
        <v>2907E</v>
      </c>
      <c r="K44" s="154">
        <f t="shared" ca="1" si="3"/>
        <v>47300.083333333336</v>
      </c>
      <c r="M44" s="75" t="str">
        <f t="shared" ca="1" si="9"/>
        <v>2907E</v>
      </c>
      <c r="N44" s="158">
        <f ca="1">DATE(YEAR(TODAY())+3, 7, 1) + TIME(2, 0, 0)</f>
        <v>47300.083333333336</v>
      </c>
    </row>
    <row r="45" spans="1:14" x14ac:dyDescent="0.2">
      <c r="J45" s="19" t="str">
        <f t="shared" ca="1" si="2"/>
        <v>2908E</v>
      </c>
      <c r="K45" s="154">
        <f t="shared" ca="1" si="3"/>
        <v>47331.083333333336</v>
      </c>
      <c r="M45" s="75" t="str">
        <f t="shared" ca="1" si="9"/>
        <v>2908E</v>
      </c>
      <c r="N45" s="158">
        <f ca="1">DATE(YEAR(TODAY())+3, 8, 1) + TIME(2, 0, 0)</f>
        <v>47331.083333333336</v>
      </c>
    </row>
    <row r="46" spans="1:14" x14ac:dyDescent="0.2">
      <c r="J46" s="19" t="str">
        <f t="shared" ca="1" si="2"/>
        <v>2909E</v>
      </c>
      <c r="K46" s="154">
        <f t="shared" ca="1" si="3"/>
        <v>47362.083333333336</v>
      </c>
      <c r="M46" s="75" t="str">
        <f t="shared" ca="1" si="9"/>
        <v>2909E</v>
      </c>
      <c r="N46" s="158">
        <f ca="1">DATE(YEAR(TODAY())+3, 9, 1) + TIME(2, 0, 0)</f>
        <v>47362.083333333336</v>
      </c>
    </row>
    <row r="47" spans="1:14" x14ac:dyDescent="0.2">
      <c r="J47" s="19" t="str">
        <f t="shared" ca="1" si="2"/>
        <v>2910E</v>
      </c>
      <c r="K47" s="154">
        <f t="shared" ca="1" si="3"/>
        <v>47392.083333333336</v>
      </c>
      <c r="M47" s="75" t="str">
        <f t="shared" ca="1" si="9"/>
        <v>2910E</v>
      </c>
      <c r="N47" s="158">
        <f ca="1">DATE(YEAR(TODAY())+3, 10, 1) + TIME(2, 0, 0)</f>
        <v>47392.083333333336</v>
      </c>
    </row>
    <row r="48" spans="1:14" x14ac:dyDescent="0.2">
      <c r="J48" s="19" t="str">
        <f t="shared" ca="1" si="2"/>
        <v>2911E</v>
      </c>
      <c r="K48" s="154">
        <f t="shared" ca="1" si="3"/>
        <v>47423.083333333336</v>
      </c>
      <c r="M48" s="75" t="str">
        <f t="shared" ca="1" si="9"/>
        <v>2911E</v>
      </c>
      <c r="N48" s="158">
        <f ca="1">DATE(YEAR(TODAY())+3, 11, 1) + TIME(2, 0, 0)</f>
        <v>47423.083333333336</v>
      </c>
    </row>
    <row r="49" spans="13:14" x14ac:dyDescent="0.2">
      <c r="M49" s="75" t="str">
        <f t="shared" ca="1" si="9"/>
        <v>2912E</v>
      </c>
      <c r="N49" s="158">
        <f ca="1">DATE(YEAR(TODAY())+3, 12, 1) + TIME(2, 0, 0)</f>
        <v>47453.083333333336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E4C658"/>
  </sheetPr>
  <dimension ref="A1:W3"/>
  <sheetViews>
    <sheetView showGridLines="0" workbookViewId="0">
      <selection activeCell="A44" sqref="A44"/>
    </sheetView>
  </sheetViews>
  <sheetFormatPr defaultRowHeight="14.25" x14ac:dyDescent="0.2"/>
  <sheetData>
    <row r="1" spans="1:23" ht="27.75" x14ac:dyDescent="0.2">
      <c r="A1" s="152"/>
      <c r="B1" s="188" t="s">
        <v>76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52"/>
      <c r="V1" s="152"/>
      <c r="W1" s="152"/>
    </row>
    <row r="2" spans="1:23" x14ac:dyDescent="0.2"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</row>
    <row r="3" spans="1:23" x14ac:dyDescent="0.2"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</row>
  </sheetData>
  <mergeCells count="2">
    <mergeCell ref="B1:T1"/>
    <mergeCell ref="E2:R3"/>
  </mergeCells>
  <phoneticPr fontId="1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 activeCell="D90" sqref="D90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13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2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1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49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96.875</v>
      </c>
      <c r="K5" s="82">
        <f t="shared" ref="K5:K7" ca="1" si="0">100-J5</f>
        <v>3.125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-0.51607142857142208</v>
      </c>
      <c r="U5" s="105">
        <f ca="1">T5/25*100</f>
        <v>-2.0642857142856883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96.875</v>
      </c>
      <c r="K6" s="82">
        <f t="shared" ca="1" si="0"/>
        <v>3.125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-6.42857142856883E-2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96.875</v>
      </c>
      <c r="K7" s="82">
        <f t="shared" ca="1" si="0"/>
        <v>3.125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96.915000000000006</v>
      </c>
      <c r="K8" s="82">
        <f t="shared" ref="K8:K10" ca="1" si="1">100-J8</f>
        <v>3.0849999999999937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-0.55607142857142833</v>
      </c>
      <c r="U8" s="105">
        <f ca="1">T8/25*100</f>
        <v>-2.2242857142857133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96.915000000000006</v>
      </c>
      <c r="K9" s="82">
        <f t="shared" ca="1" si="1"/>
        <v>3.0849999999999937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-0.22428571428571331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96.915000000000006</v>
      </c>
      <c r="K10" s="82">
        <f t="shared" ca="1" si="1"/>
        <v>3.0849999999999937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</v>
      </c>
      <c r="K11" s="82">
        <f t="shared" ref="K11:K13" ca="1" si="2">100-J11</f>
        <v>3.0699999999999932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-0.5710714285714289</v>
      </c>
      <c r="U11" s="105">
        <f ca="1">T11/25*100</f>
        <v>-2.2842857142857156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</v>
      </c>
      <c r="K12" s="82">
        <f t="shared" ca="1" si="2"/>
        <v>3.0699999999999932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-0.28428571428571558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</v>
      </c>
      <c r="K13" s="82">
        <f t="shared" ca="1" si="2"/>
        <v>3.0699999999999932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96.944999999999993</v>
      </c>
      <c r="K14" s="82">
        <f t="shared" ref="K14:K16" ca="1" si="3">100-J14</f>
        <v>3.0550000000000068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-0.58607142857141525</v>
      </c>
      <c r="U14" s="105">
        <f ca="1">T14/25*100</f>
        <v>-2.344285714285661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96.944999999999993</v>
      </c>
      <c r="K15" s="82">
        <f t="shared" ca="1" si="3"/>
        <v>3.0550000000000068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-0.34428571428566102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96.944999999999993</v>
      </c>
      <c r="K16" s="82">
        <f t="shared" ca="1" si="3"/>
        <v>3.0550000000000068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96.864999999999995</v>
      </c>
      <c r="K17" s="82">
        <f t="shared" ref="K17:K19" ca="1" si="4">100-J17</f>
        <v>3.1350000000000051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-0.50607142857141696</v>
      </c>
      <c r="U17" s="105">
        <f ca="1">T17/25*100</f>
        <v>-2.0242857142856678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96.864999999999995</v>
      </c>
      <c r="K18" s="82">
        <f t="shared" ca="1" si="4"/>
        <v>3.1350000000000051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-2.4285714285667837E-2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96.864999999999995</v>
      </c>
      <c r="K19" s="82">
        <f t="shared" ca="1" si="4"/>
        <v>3.1350000000000051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</v>
      </c>
      <c r="K20" s="82">
        <f t="shared" ref="K20:K52" ca="1" si="5">100-J20</f>
        <v>3.1200000000000045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-0.52107142857141753</v>
      </c>
      <c r="U20" s="105">
        <f ca="1">T20/25*100</f>
        <v>-2.0842857142856701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</v>
      </c>
      <c r="K21" s="82">
        <f t="shared" ca="1" si="5"/>
        <v>3.1200000000000045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-8.428571428567011E-2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</v>
      </c>
      <c r="K22" s="82">
        <f t="shared" ca="1" si="5"/>
        <v>3.1200000000000045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</v>
      </c>
      <c r="K23" s="82">
        <f t="shared" ca="1" si="5"/>
        <v>3.0999999999999943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-0.54107142857142776</v>
      </c>
      <c r="U23" s="105">
        <f ca="1">T23/25*100</f>
        <v>-2.164285714285711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</v>
      </c>
      <c r="K24" s="82">
        <f t="shared" ca="1" si="5"/>
        <v>3.0999999999999943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-0.16428571428571104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</v>
      </c>
      <c r="K25" s="82">
        <f t="shared" ca="1" si="5"/>
        <v>3.0999999999999943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96.905000000000001</v>
      </c>
      <c r="K26" s="82">
        <f t="shared" ca="1" si="5"/>
        <v>3.0949999999999989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-0.54607142857142321</v>
      </c>
      <c r="U26" s="105">
        <f ca="1">T26/25*100</f>
        <v>-2.1842857142856928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96.905000000000001</v>
      </c>
      <c r="K27" s="82">
        <f t="shared" ca="1" si="5"/>
        <v>3.0949999999999989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-0.18428571428569285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96.905000000000001</v>
      </c>
      <c r="K28" s="82">
        <f t="shared" ca="1" si="5"/>
        <v>3.0949999999999989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96.905000000000001</v>
      </c>
      <c r="K29" s="82">
        <f t="shared" ca="1" si="5"/>
        <v>3.0949999999999989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-0.54607142857142321</v>
      </c>
      <c r="U29" s="105">
        <f ca="1">T29/25*100</f>
        <v>-2.1842857142856928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96.905000000000001</v>
      </c>
      <c r="K30" s="82">
        <f t="shared" ca="1" si="5"/>
        <v>3.0949999999999989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-0.18428571428569285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96.905000000000001</v>
      </c>
      <c r="K31" s="82">
        <f t="shared" ca="1" si="5"/>
        <v>3.0949999999999989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96.915000000000006</v>
      </c>
      <c r="K32" s="82">
        <f t="shared" ca="1" si="5"/>
        <v>3.0849999999999937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-0.55607142857142833</v>
      </c>
      <c r="U32" s="105">
        <f ca="1">T32/25*100</f>
        <v>-2.2242857142857133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96.915000000000006</v>
      </c>
      <c r="K33" s="82">
        <f t="shared" ca="1" si="5"/>
        <v>3.0849999999999937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-0.22428571428571331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96.915000000000006</v>
      </c>
      <c r="K34" s="82">
        <f t="shared" ca="1" si="5"/>
        <v>3.0849999999999937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96.92</v>
      </c>
      <c r="K35" s="82">
        <f t="shared" ca="1" si="5"/>
        <v>3.0799999999999983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-0.56107142857142378</v>
      </c>
      <c r="U35" s="105">
        <f ca="1">T35/25*100</f>
        <v>-2.2442857142856951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96.92</v>
      </c>
      <c r="K36" s="82">
        <f t="shared" ca="1" si="5"/>
        <v>3.0799999999999983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-0.24428571428569512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96.92</v>
      </c>
      <c r="K37" s="82">
        <f t="shared" ca="1" si="5"/>
        <v>3.0799999999999983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96.92</v>
      </c>
      <c r="K38" s="82">
        <f t="shared" ca="1" si="5"/>
        <v>3.0799999999999983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-0.56107142857142378</v>
      </c>
      <c r="U38" s="105">
        <f ca="1">T38/25*100</f>
        <v>-2.2442857142856951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96.92</v>
      </c>
      <c r="K39" s="82">
        <f t="shared" ca="1" si="5"/>
        <v>3.0799999999999983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-0.24428571428569512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96.92</v>
      </c>
      <c r="K40" s="82">
        <f t="shared" ca="1" si="5"/>
        <v>3.0799999999999983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96.924999999999997</v>
      </c>
      <c r="K41" s="82">
        <f t="shared" ca="1" si="5"/>
        <v>3.0750000000000028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-0.56607142857141923</v>
      </c>
      <c r="U41" s="105">
        <f ca="1">T41/25*100</f>
        <v>-2.2642857142856769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96.924999999999997</v>
      </c>
      <c r="K42" s="82">
        <f t="shared" ca="1" si="5"/>
        <v>3.0750000000000028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-0.26428571428567693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96.924999999999997</v>
      </c>
      <c r="K43" s="82">
        <f t="shared" ca="1" si="5"/>
        <v>3.0750000000000028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96.92</v>
      </c>
      <c r="K44" s="82">
        <f t="shared" ca="1" si="5"/>
        <v>3.0799999999999983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-0.56107142857142378</v>
      </c>
      <c r="U44" s="105">
        <f ca="1">T44/25*100</f>
        <v>-2.2442857142856951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96.92</v>
      </c>
      <c r="K45" s="82">
        <f t="shared" ca="1" si="5"/>
        <v>3.0799999999999983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-0.24428571428569512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96.92</v>
      </c>
      <c r="K46" s="82">
        <f t="shared" ca="1" si="5"/>
        <v>3.0799999999999983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96.915000000000006</v>
      </c>
      <c r="K47" s="82">
        <f t="shared" ca="1" si="5"/>
        <v>3.0849999999999937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-0.55607142857142833</v>
      </c>
      <c r="U47" s="105">
        <f ca="1">T47/25*100</f>
        <v>-2.2242857142857133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96.915000000000006</v>
      </c>
      <c r="K48" s="82">
        <f t="shared" ca="1" si="5"/>
        <v>3.0849999999999937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-0.22428571428571331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96.915000000000006</v>
      </c>
      <c r="K49" s="82">
        <f t="shared" ca="1" si="5"/>
        <v>3.0849999999999937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96.91</v>
      </c>
      <c r="K50" s="82">
        <f t="shared" ca="1" si="5"/>
        <v>3.0900000000000034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-0.55107142857141866</v>
      </c>
      <c r="U50" s="105">
        <f ca="1">T50/25*100</f>
        <v>-2.2042857142856747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96.91</v>
      </c>
      <c r="K51" s="82">
        <f t="shared" ca="1" si="5"/>
        <v>3.0900000000000034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-0.20428571428567466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96.91</v>
      </c>
      <c r="K52" s="82">
        <f t="shared" ca="1" si="5"/>
        <v>3.0900000000000034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28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96.91</v>
      </c>
      <c r="K53" s="82">
        <f t="shared" ref="K53:K87" ca="1" si="6">100-J53</f>
        <v>3.0900000000000034</v>
      </c>
      <c r="L53" s="82">
        <f ca="1">K53-K55</f>
        <v>-6.0000000000002274E-2</v>
      </c>
      <c r="M53" s="105">
        <f ca="1">L53/25*100</f>
        <v>-0.24000000000000909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-0.55107142857141866</v>
      </c>
      <c r="U53" s="105">
        <f ca="1">T53/25*100</f>
        <v>-2.2042857142856747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29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96.894999999999996</v>
      </c>
      <c r="K54" s="82">
        <f t="shared" ca="1" si="6"/>
        <v>3.105000000000004</v>
      </c>
      <c r="L54" s="96"/>
      <c r="M54" s="109"/>
      <c r="N54" s="97">
        <f ca="1">IF(M53&gt;0,MOD(M53,1),MOD(M53,-1))</f>
        <v>-0.24000000000000909</v>
      </c>
      <c r="O54" s="98">
        <f ca="1">IF(N53=-2,1-ABS(N54),IF(N53=-1,ABS(N54),0))</f>
        <v>0</v>
      </c>
      <c r="P54" s="98">
        <f ca="1">IF(N53=-1,1-ABS(N54),IF(N53=0,IF(N54&lt;0,ABS(N54),0),0))</f>
        <v>0.24000000000000909</v>
      </c>
      <c r="Q54" s="98">
        <f ca="1">IF(N53=0,1-ABS(N54),0)</f>
        <v>0.75999999999999091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-0.20428571428567466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25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96.85</v>
      </c>
      <c r="K55" s="82">
        <f t="shared" ca="1" si="6"/>
        <v>3.1500000000000057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30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96.85</v>
      </c>
      <c r="K56" s="82">
        <f t="shared" ca="1" si="6"/>
        <v>3.1500000000000057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-0.49107142857141639</v>
      </c>
      <c r="U56" s="105">
        <f ca="1">T56/25*100</f>
        <v>-1.9642857142856656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96.85</v>
      </c>
      <c r="K57" s="82">
        <f t="shared" ca="1" si="6"/>
        <v>3.1500000000000057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-0.96428571428566556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27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96.85</v>
      </c>
      <c r="K58" s="82">
        <f t="shared" ca="1" si="6"/>
        <v>3.1500000000000057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28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96.85</v>
      </c>
      <c r="K59" s="82">
        <f t="shared" ca="1" si="6"/>
        <v>3.1500000000000057</v>
      </c>
      <c r="L59" s="82">
        <f ca="1">K59-K61</f>
        <v>-5.5357142857133113E-2</v>
      </c>
      <c r="M59" s="105">
        <f ca="1">L59/25*100</f>
        <v>-0.22142857142853242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-0.49107142857141639</v>
      </c>
      <c r="U59" s="105">
        <f ca="1">T59/25*100</f>
        <v>-1.9642857142856656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</v>
      </c>
      <c r="K60" s="82">
        <f t="shared" ca="1" si="6"/>
        <v>3.2000000000000028</v>
      </c>
      <c r="L60" s="96"/>
      <c r="M60" s="109"/>
      <c r="N60" s="97">
        <f ca="1">IF(M59&gt;0,MOD(M59,1),MOD(M59,-1))</f>
        <v>-0.22142857142853242</v>
      </c>
      <c r="O60" s="98">
        <f ca="1">IF(N59=-2,1-ABS(N60),IF(N59=-1,ABS(N60),0))</f>
        <v>0</v>
      </c>
      <c r="P60" s="98">
        <f ca="1">IF(N59=-1,1-ABS(N60),IF(N59=0,IF(N60&lt;0,ABS(N60),0),0))</f>
        <v>0.22142857142853242</v>
      </c>
      <c r="Q60" s="98">
        <f ca="1">IF(N59=0,1-ABS(N60),0)</f>
        <v>0.77857142857146755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-0.96428571428566556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27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96.794642857142861</v>
      </c>
      <c r="K61" s="82">
        <f t="shared" ca="1" si="6"/>
        <v>3.2053571428571388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31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96.792142857142849</v>
      </c>
      <c r="K62" s="82">
        <f t="shared" ca="1" si="6"/>
        <v>3.2078571428571507</v>
      </c>
      <c r="L62" s="82">
        <f ca="1">K62-K64</f>
        <v>-0.10714285714284699</v>
      </c>
      <c r="M62" s="105">
        <f ca="1">L62/25*100</f>
        <v>-0.42857142857138802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-0.43321428571427134</v>
      </c>
      <c r="U62" s="105">
        <f ca="1">T62/25*100</f>
        <v>-1.7328571428570854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96.734999999999999</v>
      </c>
      <c r="K63" s="82">
        <f t="shared" ca="1" si="6"/>
        <v>3.2650000000000006</v>
      </c>
      <c r="L63" s="96"/>
      <c r="M63" s="109"/>
      <c r="N63" s="97">
        <f ca="1">IF(M62&gt;0,MOD(M62,1),MOD(M62,-1))</f>
        <v>-0.42857142857138802</v>
      </c>
      <c r="O63" s="98">
        <f ca="1">IF(N62=-2,1-ABS(N63),IF(N62=-1,ABS(N63),0))</f>
        <v>0</v>
      </c>
      <c r="P63" s="98">
        <f ca="1">IF(N62=-1,1-ABS(N63),IF(N62=0,IF(N63&lt;0,ABS(N63),0),0))</f>
        <v>0.42857142857138802</v>
      </c>
      <c r="Q63" s="98">
        <f ca="1">IF(N62=0,1-ABS(N63),0)</f>
        <v>0.57142857142861203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-0.73285714285708536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27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96.685000000000002</v>
      </c>
      <c r="K64" s="82">
        <f t="shared" ca="1" si="6"/>
        <v>3.3149999999999977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96.685000000000002</v>
      </c>
      <c r="K65" s="82">
        <f t="shared" ca="1" si="6"/>
        <v>3.3149999999999977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-0.32607142857142435</v>
      </c>
      <c r="U65" s="105">
        <f ca="1">T65/25*100</f>
        <v>-1.3042857142856974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96.685000000000002</v>
      </c>
      <c r="K66" s="82">
        <f t="shared" ca="1" si="6"/>
        <v>3.3149999999999977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-0.3042857142856974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27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96.685000000000002</v>
      </c>
      <c r="K67" s="82">
        <f t="shared" ca="1" si="6"/>
        <v>3.3149999999999977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96.685000000000002</v>
      </c>
      <c r="K68" s="82">
        <f t="shared" ca="1" si="6"/>
        <v>3.3149999999999977</v>
      </c>
      <c r="L68" s="82">
        <f ca="1">K68-K70</f>
        <v>-8.0172413793093256E-2</v>
      </c>
      <c r="M68" s="105">
        <f ca="1">L68/25*100</f>
        <v>-0.32068965517237302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-0.32607142857142435</v>
      </c>
      <c r="U68" s="105">
        <f ca="1">T68/25*100</f>
        <v>-1.3042857142856974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96.61</v>
      </c>
      <c r="K69" s="82">
        <f t="shared" ca="1" si="6"/>
        <v>3.3900000000000006</v>
      </c>
      <c r="L69" s="96"/>
      <c r="M69" s="109"/>
      <c r="N69" s="97">
        <f ca="1">IF(M68&gt;0,MOD(M68,1),MOD(M68,-1))</f>
        <v>-0.32068965517237302</v>
      </c>
      <c r="O69" s="98">
        <f ca="1">IF(N68=-2,1-ABS(N69),IF(N68=-1,ABS(N69),0))</f>
        <v>0</v>
      </c>
      <c r="P69" s="98">
        <f ca="1">IF(N68=-1,1-ABS(N69),IF(N68=0,IF(N69&lt;0,ABS(N69),0),0))</f>
        <v>0.32068965517237302</v>
      </c>
      <c r="Q69" s="98">
        <f ca="1">IF(N68=0,1-ABS(N69),0)</f>
        <v>0.67931034482762698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-0.3042857142856974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27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96.604827586206909</v>
      </c>
      <c r="K70" s="82">
        <f t="shared" ca="1" si="6"/>
        <v>3.395172413793091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28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96.601923076923086</v>
      </c>
      <c r="K71" s="82">
        <f t="shared" ca="1" si="6"/>
        <v>3.3980769230769141</v>
      </c>
      <c r="L71" s="82">
        <f ca="1">K71-K73</f>
        <v>-0.12692307692309157</v>
      </c>
      <c r="M71" s="105">
        <f ca="1">L71/25*100</f>
        <v>-0.50769230769236628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-0.24299450549450796</v>
      </c>
      <c r="U71" s="105">
        <f ca="1">T71/25*100</f>
        <v>-0.97197802197803185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96.53</v>
      </c>
      <c r="K72" s="82">
        <f t="shared" ca="1" si="6"/>
        <v>3.4699999999999989</v>
      </c>
      <c r="L72" s="96"/>
      <c r="M72" s="109"/>
      <c r="N72" s="97">
        <f ca="1">IF(M71&gt;0,MOD(M71,1),MOD(M71,-1))</f>
        <v>-0.50769230769236628</v>
      </c>
      <c r="O72" s="98">
        <f ca="1">IF(N71=-2,1-ABS(N72),IF(N71=-1,ABS(N72),0))</f>
        <v>0</v>
      </c>
      <c r="P72" s="98">
        <f ca="1">IF(N71=-1,1-ABS(N72),IF(N71=0,IF(N72&lt;0,ABS(N72),0),0))</f>
        <v>0.50769230769236628</v>
      </c>
      <c r="Q72" s="98">
        <f ca="1">IF(N71=0,1-ABS(N72),0)</f>
        <v>0.49230769230763372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-0.97197802197803185</v>
      </c>
      <c r="W72" s="99">
        <f ca="1">IF(V71&lt;0,100%,IF(V72&lt;0,ABS(V72),0))</f>
        <v>0.97197802197803185</v>
      </c>
      <c r="X72" s="100">
        <f ca="1">IF(V71=0,1-ABS(V72),0)</f>
        <v>2.8021978021968152E-2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96.474999999999994</v>
      </c>
      <c r="K73" s="82">
        <f t="shared" ca="1" si="6"/>
        <v>3.5250000000000057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28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96.474999999999994</v>
      </c>
      <c r="K74" s="82">
        <f t="shared" ca="1" si="6"/>
        <v>3.5250000000000057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-0.11607142857141639</v>
      </c>
      <c r="U74" s="105">
        <f ca="1">T74/25*100</f>
        <v>-0.46428571428566556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96.474999999999994</v>
      </c>
      <c r="K75" s="82">
        <f t="shared" ca="1" si="6"/>
        <v>3.5250000000000057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-0.46428571428566556</v>
      </c>
      <c r="W75" s="99">
        <f ca="1">IF(V74&lt;0,100%,IF(V75&lt;0,ABS(V75),0))</f>
        <v>0.46428571428566556</v>
      </c>
      <c r="X75" s="100">
        <f ca="1">IF(V74=0,1-ABS(V75),0)</f>
        <v>0.53571428571433444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27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96.474999999999994</v>
      </c>
      <c r="K76" s="82">
        <f t="shared" ca="1" si="6"/>
        <v>3.5250000000000057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28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96.474999999999994</v>
      </c>
      <c r="K77" s="82">
        <f t="shared" ca="1" si="6"/>
        <v>3.5250000000000057</v>
      </c>
      <c r="L77" s="82">
        <f ca="1">K77-K79</f>
        <v>-4.6551724137927408E-2</v>
      </c>
      <c r="M77" s="105">
        <f ca="1">L77/25*100</f>
        <v>-0.18620689655170963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-0.11607142857141639</v>
      </c>
      <c r="U77" s="105">
        <f ca="1">T77/25*100</f>
        <v>-0.46428571428566556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29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</v>
      </c>
      <c r="K78" s="82">
        <f t="shared" ca="1" si="6"/>
        <v>3.5699999999999932</v>
      </c>
      <c r="L78" s="96"/>
      <c r="M78" s="109"/>
      <c r="N78" s="97">
        <f ca="1">IF(M77&gt;0,MOD(M77,1),MOD(M77,-1))</f>
        <v>-0.18620689655170963</v>
      </c>
      <c r="O78" s="98">
        <f ca="1">IF(N77=-2,1-ABS(N78),IF(N77=-1,ABS(N78),0))</f>
        <v>0</v>
      </c>
      <c r="P78" s="98">
        <f ca="1">IF(N77=-1,1-ABS(N78),IF(N77=0,IF(N78&lt;0,ABS(N78),0),0))</f>
        <v>0.18620689655170963</v>
      </c>
      <c r="Q78" s="98">
        <f ca="1">IF(N77=0,1-ABS(N78),0)</f>
        <v>0.81379310344829037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-0.46428571428566556</v>
      </c>
      <c r="W78" s="99">
        <f ca="1">IF(V77&lt;0,100%,IF(V78&lt;0,ABS(V78),0))</f>
        <v>0.46428571428566556</v>
      </c>
      <c r="X78" s="100">
        <f ca="1">IF(V77=0,1-ABS(V78),0)</f>
        <v>0.53571428571433444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27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96.428448275862067</v>
      </c>
      <c r="K79" s="82">
        <f t="shared" ca="1" si="6"/>
        <v>3.5715517241379331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28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96.42961538461536</v>
      </c>
      <c r="K80" s="82">
        <f t="shared" ca="1" si="6"/>
        <v>3.5703846153846399</v>
      </c>
      <c r="L80" s="82">
        <f ca="1">K80-K82</f>
        <v>-5.9615384615355538E-2</v>
      </c>
      <c r="M80" s="105">
        <f ca="1">L80/25*100</f>
        <v>-0.23846153846142215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-7.068681318678216E-2</v>
      </c>
      <c r="U80" s="105">
        <f ca="1">T80/25*100</f>
        <v>-0.28274725274712864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26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96.394999999999996</v>
      </c>
      <c r="K81" s="82">
        <f t="shared" ca="1" si="6"/>
        <v>3.605000000000004</v>
      </c>
      <c r="L81" s="96"/>
      <c r="M81" s="109"/>
      <c r="N81" s="97">
        <f ca="1">IF(M80&gt;0,MOD(M80,1),MOD(M80,-1))</f>
        <v>-0.23846153846142215</v>
      </c>
      <c r="O81" s="98">
        <f ca="1">IF(N80=-2,1-ABS(N81),IF(N80=-1,ABS(N81),0))</f>
        <v>0</v>
      </c>
      <c r="P81" s="98">
        <f ca="1">IF(N80=-1,1-ABS(N81),IF(N80=0,IF(N81&lt;0,ABS(N81),0),0))</f>
        <v>0.23846153846142215</v>
      </c>
      <c r="Q81" s="98">
        <f ca="1">IF(N80=0,1-ABS(N81),0)</f>
        <v>0.76153846153857785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-0.28274725274712864</v>
      </c>
      <c r="W81" s="99">
        <f ca="1">IF(V80&lt;0,100%,IF(V81&lt;0,ABS(V81),0))</f>
        <v>0.28274725274712864</v>
      </c>
      <c r="X81" s="100">
        <f ca="1">IF(V80=0,1-ABS(V81),0)</f>
        <v>0.71725274725287136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27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96.37</v>
      </c>
      <c r="K82" s="82">
        <f t="shared" ca="1" si="6"/>
        <v>3.6299999999999955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32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96.37</v>
      </c>
      <c r="K83" s="82">
        <f t="shared" ca="1" si="6"/>
        <v>3.6299999999999955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-1.1071428571426623E-2</v>
      </c>
      <c r="U83" s="105">
        <f ca="1">T83/25*100</f>
        <v>-4.428571428570649E-2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96.37</v>
      </c>
      <c r="K84" s="83">
        <f t="shared" ca="1" si="6"/>
        <v>3.6299999999999955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-4.428571428570649E-2</v>
      </c>
      <c r="W84" s="99">
        <f ca="1">IF(V83&lt;0,100%,IF(V84&lt;0,ABS(V84),0))</f>
        <v>4.428571428570649E-2</v>
      </c>
      <c r="X84" s="100">
        <f ca="1">IF(V83=0,1-ABS(V84),0)</f>
        <v>0.95571428571429351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27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96.37</v>
      </c>
      <c r="K85" s="82">
        <f t="shared" ca="1" si="6"/>
        <v>3.6299999999999955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32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96.37</v>
      </c>
      <c r="K86" s="82">
        <f ca="1">100-J86</f>
        <v>3.6299999999999955</v>
      </c>
      <c r="L86" s="82">
        <f ca="1">K86-K88</f>
        <v>-1.1071428571426623E-2</v>
      </c>
      <c r="M86" s="105">
        <f ca="1">L86/25*100</f>
        <v>-4.428571428570649E-2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-1.1071428571426623E-2</v>
      </c>
      <c r="U86" s="105">
        <f ca="1">T86/25*100</f>
        <v>-4.428571428570649E-2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6"/>
        <v>3.6400000000000006</v>
      </c>
      <c r="L87" s="102"/>
      <c r="M87" s="110"/>
      <c r="N87" s="97">
        <f ca="1">IF(M86&gt;0,MOD(M86,1),MOD(M86,-1))</f>
        <v>-4.428571428570649E-2</v>
      </c>
      <c r="O87" s="98">
        <f ca="1">IF(N86=-2,1-ABS(N87),IF(N86=-1,ABS(N87),0))</f>
        <v>0</v>
      </c>
      <c r="P87" s="98">
        <f ca="1">IF(N86=-1,1-ABS(N87),IF(N86=0,IF(N87&lt;0,ABS(N87),0),0))</f>
        <v>4.428571428570649E-2</v>
      </c>
      <c r="Q87" s="98">
        <f ca="1">IF(N86=0,1-ABS(N87),0)</f>
        <v>0.95571428571429351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-4.428571428570649E-2</v>
      </c>
      <c r="W87" s="99">
        <f ca="1">IF(V86&lt;0,100%,IF(V87&lt;0,ABS(V87),0))</f>
        <v>4.428571428570649E-2</v>
      </c>
      <c r="X87" s="100">
        <f ca="1">IF(V86=0,1-ABS(V87),0)</f>
        <v>0.95571428571429351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96.358928571428578</v>
      </c>
      <c r="K88" s="82">
        <f ca="1">100-J88</f>
        <v>3.6410714285714221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7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4" type="noConversion"/>
  <conditionalFormatting sqref="O53:S87">
    <cfRule type="cellIs" dxfId="683" priority="156" operator="notEqual">
      <formula>0</formula>
    </cfRule>
  </conditionalFormatting>
  <conditionalFormatting sqref="W53:Y88">
    <cfRule type="cellIs" dxfId="682" priority="155" operator="notEqual">
      <formula>0</formula>
    </cfRule>
  </conditionalFormatting>
  <conditionalFormatting sqref="E53:G88">
    <cfRule type="colorScale" priority="1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9">
      <colorScale>
        <cfvo type="min"/>
        <cfvo type="max"/>
        <color rgb="FFF8696B"/>
        <color rgb="FFFCFCFF"/>
      </colorScale>
    </cfRule>
  </conditionalFormatting>
  <conditionalFormatting sqref="O89:S90">
    <cfRule type="cellIs" dxfId="681" priority="147" operator="notEqual">
      <formula>0</formula>
    </cfRule>
  </conditionalFormatting>
  <conditionalFormatting sqref="W89:Y91">
    <cfRule type="cellIs" dxfId="680" priority="146" operator="notEqual">
      <formula>0</formula>
    </cfRule>
  </conditionalFormatting>
  <conditionalFormatting sqref="E89:G91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3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679" priority="71" operator="notEqual">
      <formula>0</formula>
    </cfRule>
  </conditionalFormatting>
  <conditionalFormatting sqref="W50:Y52">
    <cfRule type="cellIs" dxfId="678" priority="70" operator="notEqual">
      <formula>0</formula>
    </cfRule>
  </conditionalFormatting>
  <conditionalFormatting sqref="O47:S49">
    <cfRule type="cellIs" dxfId="677" priority="69" operator="notEqual">
      <formula>0</formula>
    </cfRule>
  </conditionalFormatting>
  <conditionalFormatting sqref="W47:Y49">
    <cfRule type="cellIs" dxfId="676" priority="68" operator="notEqual">
      <formula>0</formula>
    </cfRule>
  </conditionalFormatting>
  <conditionalFormatting sqref="O44:S46">
    <cfRule type="cellIs" dxfId="675" priority="67" operator="notEqual">
      <formula>0</formula>
    </cfRule>
  </conditionalFormatting>
  <conditionalFormatting sqref="W44:Y46">
    <cfRule type="cellIs" dxfId="674" priority="66" operator="notEqual">
      <formula>0</formula>
    </cfRule>
  </conditionalFormatting>
  <conditionalFormatting sqref="O41:S43">
    <cfRule type="cellIs" dxfId="673" priority="65" operator="notEqual">
      <formula>0</formula>
    </cfRule>
  </conditionalFormatting>
  <conditionalFormatting sqref="W41:Y43">
    <cfRule type="cellIs" dxfId="672" priority="64" operator="notEqual">
      <formula>0</formula>
    </cfRule>
  </conditionalFormatting>
  <conditionalFormatting sqref="O38:S40">
    <cfRule type="cellIs" dxfId="671" priority="63" operator="notEqual">
      <formula>0</formula>
    </cfRule>
  </conditionalFormatting>
  <conditionalFormatting sqref="W38:Y40">
    <cfRule type="cellIs" dxfId="670" priority="62" operator="notEqual">
      <formula>0</formula>
    </cfRule>
  </conditionalFormatting>
  <conditionalFormatting sqref="O35:S37">
    <cfRule type="cellIs" dxfId="669" priority="61" operator="notEqual">
      <formula>0</formula>
    </cfRule>
  </conditionalFormatting>
  <conditionalFormatting sqref="W35:Y37">
    <cfRule type="cellIs" dxfId="668" priority="60" operator="notEqual">
      <formula>0</formula>
    </cfRule>
  </conditionalFormatting>
  <conditionalFormatting sqref="O32:S34">
    <cfRule type="cellIs" dxfId="667" priority="59" operator="notEqual">
      <formula>0</formula>
    </cfRule>
  </conditionalFormatting>
  <conditionalFormatting sqref="W32:Y34">
    <cfRule type="cellIs" dxfId="666" priority="58" operator="notEqual">
      <formula>0</formula>
    </cfRule>
  </conditionalFormatting>
  <conditionalFormatting sqref="O29:S31">
    <cfRule type="cellIs" dxfId="665" priority="57" operator="notEqual">
      <formula>0</formula>
    </cfRule>
  </conditionalFormatting>
  <conditionalFormatting sqref="W29:Y31">
    <cfRule type="cellIs" dxfId="664" priority="56" operator="notEqual">
      <formula>0</formula>
    </cfRule>
  </conditionalFormatting>
  <conditionalFormatting sqref="O26:S28">
    <cfRule type="cellIs" dxfId="663" priority="55" operator="notEqual">
      <formula>0</formula>
    </cfRule>
  </conditionalFormatting>
  <conditionalFormatting sqref="W26:Y28">
    <cfRule type="cellIs" dxfId="662" priority="54" operator="notEqual">
      <formula>0</formula>
    </cfRule>
  </conditionalFormatting>
  <conditionalFormatting sqref="O23:S25">
    <cfRule type="cellIs" dxfId="661" priority="53" operator="notEqual">
      <formula>0</formula>
    </cfRule>
  </conditionalFormatting>
  <conditionalFormatting sqref="W23:Y25">
    <cfRule type="cellIs" dxfId="660" priority="52" operator="notEqual">
      <formula>0</formula>
    </cfRule>
  </conditionalFormatting>
  <conditionalFormatting sqref="O20:S22">
    <cfRule type="cellIs" dxfId="659" priority="51" operator="notEqual">
      <formula>0</formula>
    </cfRule>
  </conditionalFormatting>
  <conditionalFormatting sqref="W20:Y22">
    <cfRule type="cellIs" dxfId="658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657" priority="20" operator="notEqual">
      <formula>0</formula>
    </cfRule>
  </conditionalFormatting>
  <conditionalFormatting sqref="W17:Y19">
    <cfRule type="cellIs" dxfId="656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655" priority="16" operator="notEqual">
      <formula>0</formula>
    </cfRule>
  </conditionalFormatting>
  <conditionalFormatting sqref="W14:Y16">
    <cfRule type="cellIs" dxfId="654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653" priority="12" operator="notEqual">
      <formula>0</formula>
    </cfRule>
  </conditionalFormatting>
  <conditionalFormatting sqref="W11:Y13">
    <cfRule type="cellIs" dxfId="652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651" priority="8" operator="notEqual">
      <formula>0</formula>
    </cfRule>
  </conditionalFormatting>
  <conditionalFormatting sqref="W8:Y10">
    <cfRule type="cellIs" dxfId="650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649" priority="4" operator="notEqual">
      <formula>0</formula>
    </cfRule>
  </conditionalFormatting>
  <conditionalFormatting sqref="W5:Y7">
    <cfRule type="cellIs" dxfId="648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ignoredErrors>
    <ignoredError sqref="H53:I53 K53:L53" evalErro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63636D"/>
  </sheetPr>
  <dimension ref="A1"/>
  <sheetViews>
    <sheetView workbookViewId="0"/>
  </sheetViews>
  <sheetFormatPr defaultRowHeight="14.25" x14ac:dyDescent="0.2"/>
  <sheetData>
    <row r="1" spans="1:1" x14ac:dyDescent="0.2">
      <c r="A1" t="s">
        <v>58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3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96.875</v>
      </c>
      <c r="K5" s="82">
        <f t="shared" ref="K5:K68" ca="1" si="0">100-J5</f>
        <v>3.125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-0.51607142857142208</v>
      </c>
      <c r="U5" s="105">
        <f ca="1">T5/25*100</f>
        <v>-2.0642857142856883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96.875</v>
      </c>
      <c r="K6" s="82">
        <f t="shared" ca="1" si="0"/>
        <v>3.125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-6.42857142856883E-2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96.875</v>
      </c>
      <c r="K7" s="82">
        <f t="shared" ca="1" si="0"/>
        <v>3.125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96.915000000000006</v>
      </c>
      <c r="K8" s="82">
        <f t="shared" ca="1" si="0"/>
        <v>3.0849999999999937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-0.55607142857142833</v>
      </c>
      <c r="U8" s="105">
        <f ca="1">T8/25*100</f>
        <v>-2.2242857142857133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96.915000000000006</v>
      </c>
      <c r="K9" s="82">
        <f t="shared" ca="1" si="0"/>
        <v>3.0849999999999937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-0.22428571428571331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96.915000000000006</v>
      </c>
      <c r="K10" s="82">
        <f t="shared" ca="1" si="0"/>
        <v>3.0849999999999937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</v>
      </c>
      <c r="K11" s="82">
        <f t="shared" ca="1" si="0"/>
        <v>3.0699999999999932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-0.5710714285714289</v>
      </c>
      <c r="U11" s="105">
        <f ca="1">T11/25*100</f>
        <v>-2.2842857142857156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</v>
      </c>
      <c r="K12" s="82">
        <f t="shared" ca="1" si="0"/>
        <v>3.0699999999999932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-0.28428571428571558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</v>
      </c>
      <c r="K13" s="82">
        <f t="shared" ca="1" si="0"/>
        <v>3.0699999999999932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96.944999999999993</v>
      </c>
      <c r="K14" s="82">
        <f t="shared" ca="1" si="0"/>
        <v>3.0550000000000068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-0.58607142857141525</v>
      </c>
      <c r="U14" s="105">
        <f ca="1">T14/25*100</f>
        <v>-2.344285714285661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96.944999999999993</v>
      </c>
      <c r="K15" s="82">
        <f t="shared" ca="1" si="0"/>
        <v>3.0550000000000068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-0.34428571428566102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96.944999999999993</v>
      </c>
      <c r="K16" s="82">
        <f t="shared" ca="1" si="0"/>
        <v>3.0550000000000068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96.864999999999995</v>
      </c>
      <c r="K17" s="82">
        <f t="shared" ca="1" si="0"/>
        <v>3.1350000000000051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-0.50607142857141696</v>
      </c>
      <c r="U17" s="105">
        <f ca="1">T17/25*100</f>
        <v>-2.0242857142856678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96.864999999999995</v>
      </c>
      <c r="K18" s="82">
        <f t="shared" ca="1" si="0"/>
        <v>3.1350000000000051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-2.4285714285667837E-2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96.864999999999995</v>
      </c>
      <c r="K19" s="82">
        <f t="shared" ca="1" si="0"/>
        <v>3.1350000000000051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</v>
      </c>
      <c r="K20" s="82">
        <f t="shared" ca="1" si="0"/>
        <v>3.1200000000000045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-0.52107142857141753</v>
      </c>
      <c r="U20" s="105">
        <f ca="1">T20/25*100</f>
        <v>-2.0842857142856701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</v>
      </c>
      <c r="K21" s="82">
        <f t="shared" ca="1" si="0"/>
        <v>3.1200000000000045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-8.428571428567011E-2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</v>
      </c>
      <c r="K22" s="82">
        <f t="shared" ca="1" si="0"/>
        <v>3.1200000000000045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</v>
      </c>
      <c r="K23" s="82">
        <f t="shared" ca="1" si="0"/>
        <v>3.0999999999999943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-0.54107142857142776</v>
      </c>
      <c r="U23" s="105">
        <f ca="1">T23/25*100</f>
        <v>-2.164285714285711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</v>
      </c>
      <c r="K24" s="82">
        <f t="shared" ca="1" si="0"/>
        <v>3.0999999999999943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-0.16428571428571104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</v>
      </c>
      <c r="K25" s="82">
        <f t="shared" ca="1" si="0"/>
        <v>3.0999999999999943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96.905000000000001</v>
      </c>
      <c r="K26" s="82">
        <f t="shared" ca="1" si="0"/>
        <v>3.0949999999999989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-0.54607142857142321</v>
      </c>
      <c r="U26" s="105">
        <f ca="1">T26/25*100</f>
        <v>-2.1842857142856928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96.905000000000001</v>
      </c>
      <c r="K27" s="82">
        <f t="shared" ca="1" si="0"/>
        <v>3.0949999999999989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-0.18428571428569285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96.905000000000001</v>
      </c>
      <c r="K28" s="82">
        <f t="shared" ca="1" si="0"/>
        <v>3.0949999999999989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96.905000000000001</v>
      </c>
      <c r="K29" s="82">
        <f t="shared" ca="1" si="0"/>
        <v>3.0949999999999989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-0.54607142857142321</v>
      </c>
      <c r="U29" s="105">
        <f ca="1">T29/25*100</f>
        <v>-2.1842857142856928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96.905000000000001</v>
      </c>
      <c r="K30" s="82">
        <f t="shared" ca="1" si="0"/>
        <v>3.0949999999999989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-0.18428571428569285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96.905000000000001</v>
      </c>
      <c r="K31" s="82">
        <f t="shared" ca="1" si="0"/>
        <v>3.0949999999999989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96.915000000000006</v>
      </c>
      <c r="K32" s="82">
        <f t="shared" ca="1" si="0"/>
        <v>3.0849999999999937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-0.55607142857142833</v>
      </c>
      <c r="U32" s="105">
        <f ca="1">T32/25*100</f>
        <v>-2.2242857142857133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96.915000000000006</v>
      </c>
      <c r="K33" s="82">
        <f t="shared" ca="1" si="0"/>
        <v>3.0849999999999937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-0.22428571428571331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96.915000000000006</v>
      </c>
      <c r="K34" s="82">
        <f t="shared" ca="1" si="0"/>
        <v>3.0849999999999937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96.92</v>
      </c>
      <c r="K35" s="82">
        <f t="shared" ca="1" si="0"/>
        <v>3.0799999999999983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-0.56107142857142378</v>
      </c>
      <c r="U35" s="105">
        <f ca="1">T35/25*100</f>
        <v>-2.2442857142856951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96.92</v>
      </c>
      <c r="K36" s="82">
        <f t="shared" ca="1" si="0"/>
        <v>3.0799999999999983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-0.24428571428569512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96.92</v>
      </c>
      <c r="K37" s="82">
        <f t="shared" ca="1" si="0"/>
        <v>3.0799999999999983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96.92</v>
      </c>
      <c r="K38" s="82">
        <f t="shared" ca="1" si="0"/>
        <v>3.0799999999999983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-0.56107142857142378</v>
      </c>
      <c r="U38" s="105">
        <f ca="1">T38/25*100</f>
        <v>-2.2442857142856951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96.92</v>
      </c>
      <c r="K39" s="82">
        <f t="shared" ca="1" si="0"/>
        <v>3.0799999999999983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-0.24428571428569512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96.92</v>
      </c>
      <c r="K40" s="82">
        <f t="shared" ca="1" si="0"/>
        <v>3.0799999999999983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96.924999999999997</v>
      </c>
      <c r="K41" s="82">
        <f t="shared" ca="1" si="0"/>
        <v>3.0750000000000028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-0.56607142857141923</v>
      </c>
      <c r="U41" s="105">
        <f ca="1">T41/25*100</f>
        <v>-2.2642857142856769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96.924999999999997</v>
      </c>
      <c r="K42" s="82">
        <f t="shared" ca="1" si="0"/>
        <v>3.0750000000000028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-0.26428571428567693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96.924999999999997</v>
      </c>
      <c r="K43" s="82">
        <f t="shared" ca="1" si="0"/>
        <v>3.0750000000000028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96.92</v>
      </c>
      <c r="K44" s="82">
        <f t="shared" ca="1" si="0"/>
        <v>3.0799999999999983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-0.56107142857142378</v>
      </c>
      <c r="U44" s="105">
        <f ca="1">T44/25*100</f>
        <v>-2.2442857142856951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96.92</v>
      </c>
      <c r="K45" s="82">
        <f t="shared" ca="1" si="0"/>
        <v>3.0799999999999983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-0.24428571428569512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96.92</v>
      </c>
      <c r="K46" s="82">
        <f t="shared" ca="1" si="0"/>
        <v>3.0799999999999983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96.915000000000006</v>
      </c>
      <c r="K47" s="82">
        <f t="shared" ca="1" si="0"/>
        <v>3.0849999999999937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-0.55607142857142833</v>
      </c>
      <c r="U47" s="105">
        <f ca="1">T47/25*100</f>
        <v>-2.2242857142857133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96.915000000000006</v>
      </c>
      <c r="K48" s="82">
        <f t="shared" ca="1" si="0"/>
        <v>3.0849999999999937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-0.22428571428571331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96.915000000000006</v>
      </c>
      <c r="K49" s="82">
        <f t="shared" ca="1" si="0"/>
        <v>3.0849999999999937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96.91</v>
      </c>
      <c r="K50" s="82">
        <f t="shared" ca="1" si="0"/>
        <v>3.0900000000000034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-0.55107142857141866</v>
      </c>
      <c r="U50" s="105">
        <f ca="1">T50/25*100</f>
        <v>-2.2042857142856747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96.91</v>
      </c>
      <c r="K51" s="82">
        <f t="shared" ca="1" si="0"/>
        <v>3.0900000000000034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-0.20428571428567466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96.91</v>
      </c>
      <c r="K52" s="82">
        <f t="shared" ca="1" si="0"/>
        <v>3.0900000000000034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96.91</v>
      </c>
      <c r="K53" s="82">
        <f t="shared" ca="1" si="0"/>
        <v>3.0900000000000034</v>
      </c>
      <c r="L53" s="82">
        <f ca="1">K53-K55</f>
        <v>-6.0000000000002274E-2</v>
      </c>
      <c r="M53" s="105">
        <f ca="1">L53/25*100</f>
        <v>-0.24000000000000909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-0.55107142857141866</v>
      </c>
      <c r="U53" s="105">
        <f ca="1">T53/25*100</f>
        <v>-2.2042857142856747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96.894999999999996</v>
      </c>
      <c r="K54" s="82">
        <f t="shared" ca="1" si="0"/>
        <v>3.105000000000004</v>
      </c>
      <c r="L54" s="96"/>
      <c r="M54" s="109"/>
      <c r="N54" s="97">
        <f ca="1">IF(M53&gt;0,MOD(M53,1),MOD(M53,-1))</f>
        <v>-0.24000000000000909</v>
      </c>
      <c r="O54" s="98">
        <f ca="1">IF(N53=-2,1-ABS(N54),IF(N53=-1,ABS(N54),0))</f>
        <v>0</v>
      </c>
      <c r="P54" s="98">
        <f ca="1">IF(N53=-1,1-ABS(N54),IF(N53=0,IF(N54&lt;0,ABS(N54),0),0))</f>
        <v>0.24000000000000909</v>
      </c>
      <c r="Q54" s="98">
        <f ca="1">IF(N53=0,1-ABS(N54),0)</f>
        <v>0.75999999999999091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-0.20428571428567466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96.85</v>
      </c>
      <c r="K55" s="82">
        <f t="shared" ca="1" si="0"/>
        <v>3.1500000000000057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96.85</v>
      </c>
      <c r="K56" s="82">
        <f t="shared" ca="1" si="0"/>
        <v>3.1500000000000057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-0.49107142857141639</v>
      </c>
      <c r="U56" s="105">
        <f ca="1">T56/25*100</f>
        <v>-1.9642857142856656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96.85</v>
      </c>
      <c r="K57" s="82">
        <f t="shared" ca="1" si="0"/>
        <v>3.1500000000000057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-0.96428571428566556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96.85</v>
      </c>
      <c r="K58" s="82">
        <f t="shared" ca="1" si="0"/>
        <v>3.1500000000000057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96.85</v>
      </c>
      <c r="K59" s="82">
        <f t="shared" ca="1" si="0"/>
        <v>3.1500000000000057</v>
      </c>
      <c r="L59" s="82">
        <f ca="1">K59-K61</f>
        <v>-5.5357142857133113E-2</v>
      </c>
      <c r="M59" s="105">
        <f ca="1">L59/25*100</f>
        <v>-0.22142857142853242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-0.49107142857141639</v>
      </c>
      <c r="U59" s="105">
        <f ca="1">T59/25*100</f>
        <v>-1.9642857142856656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</v>
      </c>
      <c r="K60" s="82">
        <f t="shared" ca="1" si="0"/>
        <v>3.2000000000000028</v>
      </c>
      <c r="L60" s="96"/>
      <c r="M60" s="109"/>
      <c r="N60" s="97">
        <f ca="1">IF(M59&gt;0,MOD(M59,1),MOD(M59,-1))</f>
        <v>-0.22142857142853242</v>
      </c>
      <c r="O60" s="98">
        <f ca="1">IF(N59=-2,1-ABS(N60),IF(N59=-1,ABS(N60),0))</f>
        <v>0</v>
      </c>
      <c r="P60" s="98">
        <f ca="1">IF(N59=-1,1-ABS(N60),IF(N59=0,IF(N60&lt;0,ABS(N60),0),0))</f>
        <v>0.22142857142853242</v>
      </c>
      <c r="Q60" s="98">
        <f ca="1">IF(N59=0,1-ABS(N60),0)</f>
        <v>0.77857142857146755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-0.96428571428566556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96.794642857142861</v>
      </c>
      <c r="K61" s="82">
        <f t="shared" ca="1" si="0"/>
        <v>3.2053571428571388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96.792142857142849</v>
      </c>
      <c r="K62" s="82">
        <f t="shared" ca="1" si="0"/>
        <v>3.2078571428571507</v>
      </c>
      <c r="L62" s="82">
        <f ca="1">K62-K64</f>
        <v>-0.10714285714284699</v>
      </c>
      <c r="M62" s="105">
        <f ca="1">L62/25*100</f>
        <v>-0.42857142857138802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-0.43321428571427134</v>
      </c>
      <c r="U62" s="105">
        <f ca="1">T62/25*100</f>
        <v>-1.7328571428570854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96.734999999999999</v>
      </c>
      <c r="K63" s="82">
        <f t="shared" ca="1" si="0"/>
        <v>3.2650000000000006</v>
      </c>
      <c r="L63" s="96"/>
      <c r="M63" s="109"/>
      <c r="N63" s="97">
        <f ca="1">IF(M62&gt;0,MOD(M62,1),MOD(M62,-1))</f>
        <v>-0.42857142857138802</v>
      </c>
      <c r="O63" s="98">
        <f ca="1">IF(N62=-2,1-ABS(N63),IF(N62=-1,ABS(N63),0))</f>
        <v>0</v>
      </c>
      <c r="P63" s="98">
        <f ca="1">IF(N62=-1,1-ABS(N63),IF(N62=0,IF(N63&lt;0,ABS(N63),0),0))</f>
        <v>0.42857142857138802</v>
      </c>
      <c r="Q63" s="98">
        <f ca="1">IF(N62=0,1-ABS(N63),0)</f>
        <v>0.57142857142861203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-0.73285714285708536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96.685000000000002</v>
      </c>
      <c r="K64" s="82">
        <f t="shared" ca="1" si="0"/>
        <v>3.3149999999999977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96.685000000000002</v>
      </c>
      <c r="K65" s="82">
        <f t="shared" ca="1" si="0"/>
        <v>3.3149999999999977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-0.32607142857142435</v>
      </c>
      <c r="U65" s="105">
        <f ca="1">T65/25*100</f>
        <v>-1.3042857142856974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96.685000000000002</v>
      </c>
      <c r="K66" s="82">
        <f t="shared" ca="1" si="0"/>
        <v>3.3149999999999977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-0.3042857142856974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96.685000000000002</v>
      </c>
      <c r="K67" s="82">
        <f t="shared" ca="1" si="0"/>
        <v>3.3149999999999977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96.685000000000002</v>
      </c>
      <c r="K68" s="82">
        <f t="shared" ca="1" si="0"/>
        <v>3.3149999999999977</v>
      </c>
      <c r="L68" s="82">
        <f ca="1">K68-K70</f>
        <v>-8.0172413793093256E-2</v>
      </c>
      <c r="M68" s="105">
        <f ca="1">L68/25*100</f>
        <v>-0.32068965517237302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-0.32607142857142435</v>
      </c>
      <c r="U68" s="105">
        <f ca="1">T68/25*100</f>
        <v>-1.3042857142856974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96.61</v>
      </c>
      <c r="K69" s="82">
        <f t="shared" ref="K69:K87" ca="1" si="1">100-J69</f>
        <v>3.3900000000000006</v>
      </c>
      <c r="L69" s="96"/>
      <c r="M69" s="109"/>
      <c r="N69" s="97">
        <f ca="1">IF(M68&gt;0,MOD(M68,1),MOD(M68,-1))</f>
        <v>-0.32068965517237302</v>
      </c>
      <c r="O69" s="98">
        <f ca="1">IF(N68=-2,1-ABS(N69),IF(N68=-1,ABS(N69),0))</f>
        <v>0</v>
      </c>
      <c r="P69" s="98">
        <f ca="1">IF(N68=-1,1-ABS(N69),IF(N68=0,IF(N69&lt;0,ABS(N69),0),0))</f>
        <v>0.32068965517237302</v>
      </c>
      <c r="Q69" s="98">
        <f ca="1">IF(N68=0,1-ABS(N69),0)</f>
        <v>0.67931034482762698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-0.3042857142856974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96.604827586206909</v>
      </c>
      <c r="K70" s="82">
        <f t="shared" ca="1" si="1"/>
        <v>3.395172413793091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96.601923076923086</v>
      </c>
      <c r="K71" s="82">
        <f t="shared" ca="1" si="1"/>
        <v>3.3980769230769141</v>
      </c>
      <c r="L71" s="82">
        <f ca="1">K71-K73</f>
        <v>-0.12692307692309157</v>
      </c>
      <c r="M71" s="105">
        <f ca="1">L71/25*100</f>
        <v>-0.50769230769236628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-0.24299450549450796</v>
      </c>
      <c r="U71" s="105">
        <f ca="1">T71/25*100</f>
        <v>-0.97197802197803185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96.53</v>
      </c>
      <c r="K72" s="82">
        <f t="shared" ca="1" si="1"/>
        <v>3.4699999999999989</v>
      </c>
      <c r="L72" s="96"/>
      <c r="M72" s="109"/>
      <c r="N72" s="97">
        <f ca="1">IF(M71&gt;0,MOD(M71,1),MOD(M71,-1))</f>
        <v>-0.50769230769236628</v>
      </c>
      <c r="O72" s="98">
        <f ca="1">IF(N71=-2,1-ABS(N72),IF(N71=-1,ABS(N72),0))</f>
        <v>0</v>
      </c>
      <c r="P72" s="98">
        <f ca="1">IF(N71=-1,1-ABS(N72),IF(N71=0,IF(N72&lt;0,ABS(N72),0),0))</f>
        <v>0.50769230769236628</v>
      </c>
      <c r="Q72" s="98">
        <f ca="1">IF(N71=0,1-ABS(N72),0)</f>
        <v>0.49230769230763372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-0.97197802197803185</v>
      </c>
      <c r="W72" s="99">
        <f ca="1">IF(V71&lt;0,100%,IF(V72&lt;0,ABS(V72),0))</f>
        <v>0.97197802197803185</v>
      </c>
      <c r="X72" s="100">
        <f ca="1">IF(V71=0,1-ABS(V72),0)</f>
        <v>2.8021978021968152E-2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96.474999999999994</v>
      </c>
      <c r="K73" s="82">
        <f t="shared" ca="1" si="1"/>
        <v>3.5250000000000057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96.474999999999994</v>
      </c>
      <c r="K74" s="82">
        <f t="shared" ca="1" si="1"/>
        <v>3.5250000000000057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-0.11607142857141639</v>
      </c>
      <c r="U74" s="105">
        <f ca="1">T74/25*100</f>
        <v>-0.46428571428566556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96.474999999999994</v>
      </c>
      <c r="K75" s="82">
        <f t="shared" ca="1" si="1"/>
        <v>3.5250000000000057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-0.46428571428566556</v>
      </c>
      <c r="W75" s="99">
        <f ca="1">IF(V74&lt;0,100%,IF(V75&lt;0,ABS(V75),0))</f>
        <v>0.46428571428566556</v>
      </c>
      <c r="X75" s="100">
        <f ca="1">IF(V74=0,1-ABS(V75),0)</f>
        <v>0.53571428571433444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96.474999999999994</v>
      </c>
      <c r="K76" s="82">
        <f t="shared" ca="1" si="1"/>
        <v>3.5250000000000057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96.474999999999994</v>
      </c>
      <c r="K77" s="82">
        <f t="shared" ca="1" si="1"/>
        <v>3.5250000000000057</v>
      </c>
      <c r="L77" s="82">
        <f ca="1">K77-K79</f>
        <v>-4.6551724137927408E-2</v>
      </c>
      <c r="M77" s="105">
        <f ca="1">L77/25*100</f>
        <v>-0.18620689655170963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-0.11607142857141639</v>
      </c>
      <c r="U77" s="105">
        <f ca="1">T77/25*100</f>
        <v>-0.46428571428566556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</v>
      </c>
      <c r="K78" s="82">
        <f t="shared" ca="1" si="1"/>
        <v>3.5699999999999932</v>
      </c>
      <c r="L78" s="96"/>
      <c r="M78" s="109"/>
      <c r="N78" s="97">
        <f ca="1">IF(M77&gt;0,MOD(M77,1),MOD(M77,-1))</f>
        <v>-0.18620689655170963</v>
      </c>
      <c r="O78" s="98">
        <f ca="1">IF(N77=-2,1-ABS(N78),IF(N77=-1,ABS(N78),0))</f>
        <v>0</v>
      </c>
      <c r="P78" s="98">
        <f ca="1">IF(N77=-1,1-ABS(N78),IF(N77=0,IF(N78&lt;0,ABS(N78),0),0))</f>
        <v>0.18620689655170963</v>
      </c>
      <c r="Q78" s="98">
        <f ca="1">IF(N77=0,1-ABS(N78),0)</f>
        <v>0.81379310344829037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-0.46428571428566556</v>
      </c>
      <c r="W78" s="99">
        <f ca="1">IF(V77&lt;0,100%,IF(V78&lt;0,ABS(V78),0))</f>
        <v>0.46428571428566556</v>
      </c>
      <c r="X78" s="100">
        <f ca="1">IF(V77=0,1-ABS(V78),0)</f>
        <v>0.53571428571433444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96.428448275862067</v>
      </c>
      <c r="K79" s="82">
        <f t="shared" ca="1" si="1"/>
        <v>3.5715517241379331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96.42961538461536</v>
      </c>
      <c r="K80" s="82">
        <f t="shared" ca="1" si="1"/>
        <v>3.5703846153846399</v>
      </c>
      <c r="L80" s="82">
        <f ca="1">K80-K82</f>
        <v>-5.9615384615355538E-2</v>
      </c>
      <c r="M80" s="105">
        <f ca="1">L80/25*100</f>
        <v>-0.23846153846142215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-7.068681318678216E-2</v>
      </c>
      <c r="U80" s="105">
        <f ca="1">T80/25*100</f>
        <v>-0.28274725274712864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96.394999999999996</v>
      </c>
      <c r="K81" s="82">
        <f t="shared" ca="1" si="1"/>
        <v>3.605000000000004</v>
      </c>
      <c r="L81" s="96"/>
      <c r="M81" s="109"/>
      <c r="N81" s="97">
        <f ca="1">IF(M80&gt;0,MOD(M80,1),MOD(M80,-1))</f>
        <v>-0.23846153846142215</v>
      </c>
      <c r="O81" s="98">
        <f ca="1">IF(N80=-2,1-ABS(N81),IF(N80=-1,ABS(N81),0))</f>
        <v>0</v>
      </c>
      <c r="P81" s="98">
        <f ca="1">IF(N80=-1,1-ABS(N81),IF(N80=0,IF(N81&lt;0,ABS(N81),0),0))</f>
        <v>0.23846153846142215</v>
      </c>
      <c r="Q81" s="98">
        <f ca="1">IF(N80=0,1-ABS(N81),0)</f>
        <v>0.76153846153857785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-0.28274725274712864</v>
      </c>
      <c r="W81" s="99">
        <f ca="1">IF(V80&lt;0,100%,IF(V81&lt;0,ABS(V81),0))</f>
        <v>0.28274725274712864</v>
      </c>
      <c r="X81" s="100">
        <f ca="1">IF(V80=0,1-ABS(V81),0)</f>
        <v>0.71725274725287136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96.37</v>
      </c>
      <c r="K82" s="82">
        <f t="shared" ca="1" si="1"/>
        <v>3.6299999999999955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96.37</v>
      </c>
      <c r="K83" s="82">
        <f t="shared" ca="1" si="1"/>
        <v>3.6299999999999955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-1.1071428571426623E-2</v>
      </c>
      <c r="U83" s="105">
        <f ca="1">T83/25*100</f>
        <v>-4.428571428570649E-2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96.37</v>
      </c>
      <c r="K84" s="83">
        <f t="shared" ca="1" si="1"/>
        <v>3.6299999999999955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-4.428571428570649E-2</v>
      </c>
      <c r="W84" s="99">
        <f ca="1">IF(V83&lt;0,100%,IF(V84&lt;0,ABS(V84),0))</f>
        <v>4.428571428570649E-2</v>
      </c>
      <c r="X84" s="100">
        <f ca="1">IF(V83=0,1-ABS(V84),0)</f>
        <v>0.95571428571429351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96.37</v>
      </c>
      <c r="K85" s="82">
        <f t="shared" ca="1" si="1"/>
        <v>3.6299999999999955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96.37</v>
      </c>
      <c r="K86" s="82">
        <f ca="1">100-J86</f>
        <v>3.6299999999999955</v>
      </c>
      <c r="L86" s="82">
        <f ca="1">K86-K88</f>
        <v>-1.1071428571426623E-2</v>
      </c>
      <c r="M86" s="105">
        <f ca="1">L86/25*100</f>
        <v>-4.428571428570649E-2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-1.1071428571426623E-2</v>
      </c>
      <c r="U86" s="105">
        <f ca="1">T86/25*100</f>
        <v>-4.428571428570649E-2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-4.428571428570649E-2</v>
      </c>
      <c r="O87" s="98">
        <f ca="1">IF(N86=-2,1-ABS(N87),IF(N86=-1,ABS(N87),0))</f>
        <v>0</v>
      </c>
      <c r="P87" s="98">
        <f ca="1">IF(N86=-1,1-ABS(N87),IF(N86=0,IF(N87&lt;0,ABS(N87),0),0))</f>
        <v>4.428571428570649E-2</v>
      </c>
      <c r="Q87" s="98">
        <f ca="1">IF(N86=0,1-ABS(N87),0)</f>
        <v>0.95571428571429351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-4.428571428570649E-2</v>
      </c>
      <c r="W87" s="99">
        <f ca="1">IF(V86&lt;0,100%,IF(V87&lt;0,ABS(V87),0))</f>
        <v>4.428571428570649E-2</v>
      </c>
      <c r="X87" s="100">
        <f ca="1">IF(V86=0,1-ABS(V87),0)</f>
        <v>0.95571428571429351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96.358928571428578</v>
      </c>
      <c r="K88" s="82">
        <f ca="1">100-J88</f>
        <v>3.6410714285714221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647" priority="139" operator="notEqual">
      <formula>0</formula>
    </cfRule>
  </conditionalFormatting>
  <conditionalFormatting sqref="W53:Y88">
    <cfRule type="cellIs" dxfId="646" priority="138" operator="notEqual">
      <formula>0</formula>
    </cfRule>
  </conditionalFormatting>
  <conditionalFormatting sqref="O89:S90">
    <cfRule type="cellIs" dxfId="645" priority="133" operator="notEqual">
      <formula>0</formula>
    </cfRule>
  </conditionalFormatting>
  <conditionalFormatting sqref="W89:Y91">
    <cfRule type="cellIs" dxfId="644" priority="132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643" priority="71" operator="notEqual">
      <formula>0</formula>
    </cfRule>
  </conditionalFormatting>
  <conditionalFormatting sqref="W50:Y52">
    <cfRule type="cellIs" dxfId="642" priority="70" operator="notEqual">
      <formula>0</formula>
    </cfRule>
  </conditionalFormatting>
  <conditionalFormatting sqref="O47:S49">
    <cfRule type="cellIs" dxfId="641" priority="69" operator="notEqual">
      <formula>0</formula>
    </cfRule>
  </conditionalFormatting>
  <conditionalFormatting sqref="W47:Y49">
    <cfRule type="cellIs" dxfId="640" priority="68" operator="notEqual">
      <formula>0</formula>
    </cfRule>
  </conditionalFormatting>
  <conditionalFormatting sqref="O44:S46">
    <cfRule type="cellIs" dxfId="639" priority="67" operator="notEqual">
      <formula>0</formula>
    </cfRule>
  </conditionalFormatting>
  <conditionalFormatting sqref="W44:Y46">
    <cfRule type="cellIs" dxfId="638" priority="66" operator="notEqual">
      <formula>0</formula>
    </cfRule>
  </conditionalFormatting>
  <conditionalFormatting sqref="O41:S43">
    <cfRule type="cellIs" dxfId="637" priority="65" operator="notEqual">
      <formula>0</formula>
    </cfRule>
  </conditionalFormatting>
  <conditionalFormatting sqref="W41:Y43">
    <cfRule type="cellIs" dxfId="636" priority="64" operator="notEqual">
      <formula>0</formula>
    </cfRule>
  </conditionalFormatting>
  <conditionalFormatting sqref="O38:S40">
    <cfRule type="cellIs" dxfId="635" priority="63" operator="notEqual">
      <formula>0</formula>
    </cfRule>
  </conditionalFormatting>
  <conditionalFormatting sqref="W38:Y40">
    <cfRule type="cellIs" dxfId="634" priority="62" operator="notEqual">
      <formula>0</formula>
    </cfRule>
  </conditionalFormatting>
  <conditionalFormatting sqref="O35:S37">
    <cfRule type="cellIs" dxfId="633" priority="61" operator="notEqual">
      <formula>0</formula>
    </cfRule>
  </conditionalFormatting>
  <conditionalFormatting sqref="W35:Y37">
    <cfRule type="cellIs" dxfId="632" priority="60" operator="notEqual">
      <formula>0</formula>
    </cfRule>
  </conditionalFormatting>
  <conditionalFormatting sqref="O32:S34">
    <cfRule type="cellIs" dxfId="631" priority="59" operator="notEqual">
      <formula>0</formula>
    </cfRule>
  </conditionalFormatting>
  <conditionalFormatting sqref="W32:Y34">
    <cfRule type="cellIs" dxfId="630" priority="58" operator="notEqual">
      <formula>0</formula>
    </cfRule>
  </conditionalFormatting>
  <conditionalFormatting sqref="O29:S31">
    <cfRule type="cellIs" dxfId="629" priority="57" operator="notEqual">
      <formula>0</formula>
    </cfRule>
  </conditionalFormatting>
  <conditionalFormatting sqref="W29:Y31">
    <cfRule type="cellIs" dxfId="628" priority="56" operator="notEqual">
      <formula>0</formula>
    </cfRule>
  </conditionalFormatting>
  <conditionalFormatting sqref="O26:S28">
    <cfRule type="cellIs" dxfId="627" priority="55" operator="notEqual">
      <formula>0</formula>
    </cfRule>
  </conditionalFormatting>
  <conditionalFormatting sqref="W26:Y28">
    <cfRule type="cellIs" dxfId="626" priority="54" operator="notEqual">
      <formula>0</formula>
    </cfRule>
  </conditionalFormatting>
  <conditionalFormatting sqref="O23:S25">
    <cfRule type="cellIs" dxfId="625" priority="53" operator="notEqual">
      <formula>0</formula>
    </cfRule>
  </conditionalFormatting>
  <conditionalFormatting sqref="W23:Y25">
    <cfRule type="cellIs" dxfId="624" priority="52" operator="notEqual">
      <formula>0</formula>
    </cfRule>
  </conditionalFormatting>
  <conditionalFormatting sqref="O20:S22">
    <cfRule type="cellIs" dxfId="623" priority="51" operator="notEqual">
      <formula>0</formula>
    </cfRule>
  </conditionalFormatting>
  <conditionalFormatting sqref="W20:Y22">
    <cfRule type="cellIs" dxfId="622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621" priority="20" operator="notEqual">
      <formula>0</formula>
    </cfRule>
  </conditionalFormatting>
  <conditionalFormatting sqref="W17:Y19">
    <cfRule type="cellIs" dxfId="620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619" priority="16" operator="notEqual">
      <formula>0</formula>
    </cfRule>
  </conditionalFormatting>
  <conditionalFormatting sqref="W14:Y16">
    <cfRule type="cellIs" dxfId="618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617" priority="12" operator="notEqual">
      <formula>0</formula>
    </cfRule>
  </conditionalFormatting>
  <conditionalFormatting sqref="W11:Y13">
    <cfRule type="cellIs" dxfId="616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615" priority="8" operator="notEqual">
      <formula>0</formula>
    </cfRule>
  </conditionalFormatting>
  <conditionalFormatting sqref="W8:Y10">
    <cfRule type="cellIs" dxfId="614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613" priority="4" operator="notEqual">
      <formula>0</formula>
    </cfRule>
  </conditionalFormatting>
  <conditionalFormatting sqref="W5:Y7">
    <cfRule type="cellIs" dxfId="612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4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96.855000000000004</v>
      </c>
      <c r="K5" s="82">
        <f t="shared" ref="K5:K68" ca="1" si="0">100-J5</f>
        <v>3.144999999999996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-0.49553571428572241</v>
      </c>
      <c r="U5" s="105">
        <f ca="1">T5/25*100</f>
        <v>-1.9821428571428896</v>
      </c>
      <c r="V5" s="90">
        <f ca="1">TRUNC(U5,0)/1</f>
        <v>-1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96.855000000000004</v>
      </c>
      <c r="K6" s="82">
        <f t="shared" ca="1" si="0"/>
        <v>3.144999999999996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-0.98214285714288962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96.855000000000004</v>
      </c>
      <c r="K7" s="82">
        <f t="shared" ca="1" si="0"/>
        <v>3.144999999999996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96.894999999999996</v>
      </c>
      <c r="K8" s="82">
        <f t="shared" ca="1" si="0"/>
        <v>3.105000000000004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-0.53553571428571445</v>
      </c>
      <c r="U8" s="105">
        <f ca="1">T8/25*100</f>
        <v>-2.1421428571428578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96.894999999999996</v>
      </c>
      <c r="K9" s="82">
        <f t="shared" ca="1" si="0"/>
        <v>3.105000000000004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-0.14214285714285779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96.894999999999996</v>
      </c>
      <c r="K10" s="82">
        <f t="shared" ca="1" si="0"/>
        <v>3.105000000000004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96.91</v>
      </c>
      <c r="K11" s="82">
        <f t="shared" ca="1" si="0"/>
        <v>3.0900000000000034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-0.55053571428571502</v>
      </c>
      <c r="U11" s="105">
        <f ca="1">T11/25*100</f>
        <v>-2.2021428571428601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96.91</v>
      </c>
      <c r="K12" s="82">
        <f t="shared" ca="1" si="0"/>
        <v>3.0900000000000034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-0.20214285714286007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96.91</v>
      </c>
      <c r="K13" s="82">
        <f t="shared" ca="1" si="0"/>
        <v>3.0900000000000034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96.924999999999997</v>
      </c>
      <c r="K14" s="82">
        <f t="shared" ca="1" si="0"/>
        <v>3.0750000000000028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-0.56553571428571558</v>
      </c>
      <c r="U14" s="105">
        <f ca="1">T14/25*100</f>
        <v>-2.2621428571428623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96.924999999999997</v>
      </c>
      <c r="K15" s="82">
        <f t="shared" ca="1" si="0"/>
        <v>3.0750000000000028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-0.26214285714286234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96.924999999999997</v>
      </c>
      <c r="K16" s="82">
        <f t="shared" ca="1" si="0"/>
        <v>3.0750000000000028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96.844999999999999</v>
      </c>
      <c r="K17" s="82">
        <f t="shared" ca="1" si="0"/>
        <v>3.1550000000000011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-0.48553571428571729</v>
      </c>
      <c r="U17" s="105">
        <f ca="1">T17/25*100</f>
        <v>-1.9421428571428689</v>
      </c>
      <c r="V17" s="90">
        <f ca="1">TRUNC(U17,0)/1</f>
        <v>-1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96.844999999999999</v>
      </c>
      <c r="K18" s="82">
        <f t="shared" ca="1" si="0"/>
        <v>3.1550000000000011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-0.94214285714286894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96.844999999999999</v>
      </c>
      <c r="K19" s="82">
        <f t="shared" ca="1" si="0"/>
        <v>3.1550000000000011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96.86</v>
      </c>
      <c r="K20" s="82">
        <f t="shared" ca="1" si="0"/>
        <v>3.1400000000000006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-0.50053571428571786</v>
      </c>
      <c r="U20" s="105">
        <f ca="1">T20/25*100</f>
        <v>-2.0021428571428714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96.86</v>
      </c>
      <c r="K21" s="82">
        <f t="shared" ca="1" si="0"/>
        <v>3.1400000000000006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-2.1428571428714349E-3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96.86</v>
      </c>
      <c r="K22" s="82">
        <f t="shared" ca="1" si="0"/>
        <v>3.1400000000000006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96.88</v>
      </c>
      <c r="K23" s="82">
        <f t="shared" ca="1" si="0"/>
        <v>3.1200000000000045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-0.52053571428571388</v>
      </c>
      <c r="U23" s="105">
        <f ca="1">T23/25*100</f>
        <v>-2.0821428571428555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96.88</v>
      </c>
      <c r="K24" s="82">
        <f t="shared" ca="1" si="0"/>
        <v>3.1200000000000045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-8.2142857142855519E-2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96.88</v>
      </c>
      <c r="K25" s="82">
        <f t="shared" ca="1" si="0"/>
        <v>3.1200000000000045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96.885000000000005</v>
      </c>
      <c r="K26" s="82">
        <f t="shared" ca="1" si="0"/>
        <v>3.1149999999999949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-0.52553571428572354</v>
      </c>
      <c r="U26" s="105">
        <f ca="1">T26/25*100</f>
        <v>-2.1021428571428942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96.885000000000005</v>
      </c>
      <c r="K27" s="82">
        <f t="shared" ca="1" si="0"/>
        <v>3.1149999999999949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-0.10214285714289417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96.885000000000005</v>
      </c>
      <c r="K28" s="82">
        <f t="shared" ca="1" si="0"/>
        <v>3.1149999999999949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96.885000000000005</v>
      </c>
      <c r="K29" s="82">
        <f t="shared" ca="1" si="0"/>
        <v>3.1149999999999949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-0.52553571428572354</v>
      </c>
      <c r="U29" s="105">
        <f ca="1">T29/25*100</f>
        <v>-2.1021428571428942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96.885000000000005</v>
      </c>
      <c r="K30" s="82">
        <f t="shared" ca="1" si="0"/>
        <v>3.1149999999999949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-0.10214285714289417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96.885000000000005</v>
      </c>
      <c r="K31" s="82">
        <f t="shared" ca="1" si="0"/>
        <v>3.1149999999999949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96.894999999999996</v>
      </c>
      <c r="K32" s="82">
        <f t="shared" ca="1" si="0"/>
        <v>3.105000000000004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-0.53553571428571445</v>
      </c>
      <c r="U32" s="105">
        <f ca="1">T32/25*100</f>
        <v>-2.1421428571428578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96.894999999999996</v>
      </c>
      <c r="K33" s="82">
        <f t="shared" ca="1" si="0"/>
        <v>3.105000000000004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-0.14214285714285779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96.894999999999996</v>
      </c>
      <c r="K34" s="82">
        <f t="shared" ca="1" si="0"/>
        <v>3.105000000000004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</v>
      </c>
      <c r="K35" s="82">
        <f t="shared" ca="1" si="0"/>
        <v>3.0999999999999943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-0.54053571428572411</v>
      </c>
      <c r="U35" s="105">
        <f ca="1">T35/25*100</f>
        <v>-2.1621428571428964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</v>
      </c>
      <c r="K36" s="82">
        <f t="shared" ca="1" si="0"/>
        <v>3.0999999999999943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-0.16214285714289645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</v>
      </c>
      <c r="K37" s="82">
        <f t="shared" ca="1" si="0"/>
        <v>3.0999999999999943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</v>
      </c>
      <c r="K38" s="82">
        <f t="shared" ca="1" si="0"/>
        <v>3.0999999999999943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-0.54053571428572411</v>
      </c>
      <c r="U38" s="105">
        <f ca="1">T38/25*100</f>
        <v>-2.1621428571428964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</v>
      </c>
      <c r="K39" s="82">
        <f t="shared" ca="1" si="0"/>
        <v>3.0999999999999943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-0.16214285714289645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</v>
      </c>
      <c r="K40" s="82">
        <f t="shared" ca="1" si="0"/>
        <v>3.0999999999999943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96.905000000000001</v>
      </c>
      <c r="K41" s="82">
        <f t="shared" ca="1" si="0"/>
        <v>3.0949999999999989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-0.54553571428571956</v>
      </c>
      <c r="U41" s="105">
        <f ca="1">T41/25*100</f>
        <v>-2.1821428571428783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96.905000000000001</v>
      </c>
      <c r="K42" s="82">
        <f t="shared" ca="1" si="0"/>
        <v>3.0949999999999989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-0.18214285714287826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96.905000000000001</v>
      </c>
      <c r="K43" s="82">
        <f t="shared" ca="1" si="0"/>
        <v>3.0949999999999989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96.905000000000001</v>
      </c>
      <c r="K44" s="82">
        <f t="shared" ca="1" si="0"/>
        <v>3.0949999999999989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-0.54553571428571956</v>
      </c>
      <c r="U44" s="105">
        <f ca="1">T44/25*100</f>
        <v>-2.1821428571428783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96.905000000000001</v>
      </c>
      <c r="K45" s="82">
        <f t="shared" ca="1" si="0"/>
        <v>3.0949999999999989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-0.18214285714287826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96.905000000000001</v>
      </c>
      <c r="K46" s="82">
        <f t="shared" ca="1" si="0"/>
        <v>3.0949999999999989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</v>
      </c>
      <c r="K47" s="82">
        <f t="shared" ca="1" si="0"/>
        <v>3.0999999999999943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-0.54053571428572411</v>
      </c>
      <c r="U47" s="105">
        <f ca="1">T47/25*100</f>
        <v>-2.1621428571428964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</v>
      </c>
      <c r="K48" s="82">
        <f t="shared" ca="1" si="0"/>
        <v>3.0999999999999943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-0.16214285714289645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</v>
      </c>
      <c r="K49" s="82">
        <f t="shared" ca="1" si="0"/>
        <v>3.0999999999999943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96.894999999999996</v>
      </c>
      <c r="K50" s="82">
        <f t="shared" ca="1" si="0"/>
        <v>3.105000000000004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-0.53553571428571445</v>
      </c>
      <c r="U50" s="105">
        <f ca="1">T50/25*100</f>
        <v>-2.1421428571428578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96.894999999999996</v>
      </c>
      <c r="K51" s="82">
        <f t="shared" ca="1" si="0"/>
        <v>3.105000000000004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-0.14214285714285779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96.894999999999996</v>
      </c>
      <c r="K52" s="82">
        <f t="shared" ca="1" si="0"/>
        <v>3.105000000000004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96.894999999999996</v>
      </c>
      <c r="K53" s="82">
        <f t="shared" ca="1" si="0"/>
        <v>3.105000000000004</v>
      </c>
      <c r="L53" s="82">
        <f ca="1">K53-K55</f>
        <v>-6.0000000000002274E-2</v>
      </c>
      <c r="M53" s="105">
        <f ca="1">L53/25*100</f>
        <v>-0.24000000000000909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-0.53553571428571445</v>
      </c>
      <c r="U53" s="105">
        <f ca="1">T53/25*100</f>
        <v>-2.1421428571428578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96.88</v>
      </c>
      <c r="K54" s="82">
        <f t="shared" ca="1" si="0"/>
        <v>3.1200000000000045</v>
      </c>
      <c r="L54" s="96"/>
      <c r="M54" s="109"/>
      <c r="N54" s="97">
        <f ca="1">IF(M53&gt;0,MOD(M53,1),MOD(M53,-1))</f>
        <v>-0.24000000000000909</v>
      </c>
      <c r="O54" s="98">
        <f ca="1">IF(N53=-2,1-ABS(N54),IF(N53=-1,ABS(N54),0))</f>
        <v>0</v>
      </c>
      <c r="P54" s="98">
        <f ca="1">IF(N53=-1,1-ABS(N54),IF(N53=0,IF(N54&lt;0,ABS(N54),0),0))</f>
        <v>0.24000000000000909</v>
      </c>
      <c r="Q54" s="98">
        <f ca="1">IF(N53=0,1-ABS(N54),0)</f>
        <v>0.75999999999999091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-0.14214285714285779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96.834999999999994</v>
      </c>
      <c r="K55" s="82">
        <f t="shared" ca="1" si="0"/>
        <v>3.1650000000000063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96.834999999999994</v>
      </c>
      <c r="K56" s="82">
        <f t="shared" ca="1" si="0"/>
        <v>3.1650000000000063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-0.47553571428571217</v>
      </c>
      <c r="U56" s="105">
        <f ca="1">T56/25*100</f>
        <v>-1.9021428571428487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96.834999999999994</v>
      </c>
      <c r="K57" s="82">
        <f t="shared" ca="1" si="0"/>
        <v>3.1650000000000063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-0.9021428571428487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96.834999999999994</v>
      </c>
      <c r="K58" s="82">
        <f t="shared" ca="1" si="0"/>
        <v>3.1650000000000063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96.834999999999994</v>
      </c>
      <c r="K59" s="82">
        <f t="shared" ca="1" si="0"/>
        <v>3.1650000000000063</v>
      </c>
      <c r="L59" s="82">
        <f ca="1">K59-K61</f>
        <v>-5.5357142857147323E-2</v>
      </c>
      <c r="M59" s="105">
        <f ca="1">L59/25*100</f>
        <v>-0.22142857142858929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-0.47553571428571217</v>
      </c>
      <c r="U59" s="105">
        <f ca="1">T59/25*100</f>
        <v>-1.9021428571428487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96.784999999999997</v>
      </c>
      <c r="K60" s="82">
        <f t="shared" ca="1" si="0"/>
        <v>3.2150000000000034</v>
      </c>
      <c r="L60" s="96"/>
      <c r="M60" s="109"/>
      <c r="N60" s="97">
        <f ca="1">IF(M59&gt;0,MOD(M59,1),MOD(M59,-1))</f>
        <v>-0.22142857142858929</v>
      </c>
      <c r="O60" s="98">
        <f ca="1">IF(N59=-2,1-ABS(N60),IF(N59=-1,ABS(N60),0))</f>
        <v>0</v>
      </c>
      <c r="P60" s="98">
        <f ca="1">IF(N59=-1,1-ABS(N60),IF(N59=0,IF(N60&lt;0,ABS(N60),0),0))</f>
        <v>0.22142857142858929</v>
      </c>
      <c r="Q60" s="98">
        <f ca="1">IF(N59=0,1-ABS(N60),0)</f>
        <v>0.77857142857141071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-0.9021428571428487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96.779642857142846</v>
      </c>
      <c r="K61" s="82">
        <f t="shared" ca="1" si="0"/>
        <v>3.2203571428571536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96.776428571428539</v>
      </c>
      <c r="K62" s="82">
        <f t="shared" ca="1" si="0"/>
        <v>3.2235714285714607</v>
      </c>
      <c r="L62" s="82">
        <f ca="1">K62-K64</f>
        <v>-9.642857142853245E-2</v>
      </c>
      <c r="M62" s="105">
        <f ca="1">L62/25*100</f>
        <v>-0.3857142857141298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-0.4169642857142577</v>
      </c>
      <c r="U62" s="105">
        <f ca="1">T62/25*100</f>
        <v>-1.6678571428570308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96.724999999999994</v>
      </c>
      <c r="K63" s="82">
        <f t="shared" ca="1" si="0"/>
        <v>3.2750000000000057</v>
      </c>
      <c r="L63" s="96"/>
      <c r="M63" s="109"/>
      <c r="N63" s="97">
        <f ca="1">IF(M62&gt;0,MOD(M62,1),MOD(M62,-1))</f>
        <v>-0.3857142857141298</v>
      </c>
      <c r="O63" s="98">
        <f ca="1">IF(N62=-2,1-ABS(N63),IF(N62=-1,ABS(N63),0))</f>
        <v>0</v>
      </c>
      <c r="P63" s="98">
        <f ca="1">IF(N62=-1,1-ABS(N63),IF(N62=0,IF(N63&lt;0,ABS(N63),0),0))</f>
        <v>0.3857142857141298</v>
      </c>
      <c r="Q63" s="98">
        <f ca="1">IF(N62=0,1-ABS(N63),0)</f>
        <v>0.6142857142858702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-0.66785714285703079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96.68</v>
      </c>
      <c r="K64" s="82">
        <f t="shared" ca="1" si="0"/>
        <v>3.3199999999999932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96.68</v>
      </c>
      <c r="K65" s="82">
        <f t="shared" ca="1" si="0"/>
        <v>3.3199999999999932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-0.32053571428572525</v>
      </c>
      <c r="U65" s="105">
        <f ca="1">T65/25*100</f>
        <v>-1.282142857142901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96.68</v>
      </c>
      <c r="K66" s="82">
        <f t="shared" ca="1" si="0"/>
        <v>3.3199999999999932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-0.28214285714290099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96.68</v>
      </c>
      <c r="K67" s="82">
        <f t="shared" ca="1" si="0"/>
        <v>3.3199999999999932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96.68</v>
      </c>
      <c r="K68" s="82">
        <f t="shared" ca="1" si="0"/>
        <v>3.3199999999999932</v>
      </c>
      <c r="L68" s="82">
        <f ca="1">K68-K70</f>
        <v>-8.0172413793093256E-2</v>
      </c>
      <c r="M68" s="105">
        <f ca="1">L68/25*100</f>
        <v>-0.32068965517237302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-0.32053571428572525</v>
      </c>
      <c r="U68" s="105">
        <f ca="1">T68/25*100</f>
        <v>-1.282142857142901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96.605000000000004</v>
      </c>
      <c r="K69" s="82">
        <f t="shared" ref="K69:K87" ca="1" si="1">100-J69</f>
        <v>3.394999999999996</v>
      </c>
      <c r="L69" s="96"/>
      <c r="M69" s="109"/>
      <c r="N69" s="97">
        <f ca="1">IF(M68&gt;0,MOD(M68,1),MOD(M68,-1))</f>
        <v>-0.32068965517237302</v>
      </c>
      <c r="O69" s="98">
        <f ca="1">IF(N68=-2,1-ABS(N69),IF(N68=-1,ABS(N69),0))</f>
        <v>0</v>
      </c>
      <c r="P69" s="98">
        <f ca="1">IF(N68=-1,1-ABS(N69),IF(N68=0,IF(N69&lt;0,ABS(N69),0),0))</f>
        <v>0.32068965517237302</v>
      </c>
      <c r="Q69" s="98">
        <f ca="1">IF(N68=0,1-ABS(N69),0)</f>
        <v>0.67931034482762698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-0.28214285714290099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96.599827586206914</v>
      </c>
      <c r="K70" s="82">
        <f t="shared" ca="1" si="1"/>
        <v>3.4001724137930864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96.59692307692309</v>
      </c>
      <c r="K71" s="82">
        <f t="shared" ca="1" si="1"/>
        <v>3.4030769230769096</v>
      </c>
      <c r="L71" s="82">
        <f ca="1">K71-K73</f>
        <v>-0.12692307692309157</v>
      </c>
      <c r="M71" s="105">
        <f ca="1">L71/25*100</f>
        <v>-0.50769230769236628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-0.23745879120880886</v>
      </c>
      <c r="U71" s="105">
        <f ca="1">T71/25*100</f>
        <v>-0.94983516483523545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96.525000000000006</v>
      </c>
      <c r="K72" s="82">
        <f t="shared" ca="1" si="1"/>
        <v>3.4749999999999943</v>
      </c>
      <c r="L72" s="96"/>
      <c r="M72" s="109"/>
      <c r="N72" s="97">
        <f ca="1">IF(M71&gt;0,MOD(M71,1),MOD(M71,-1))</f>
        <v>-0.50769230769236628</v>
      </c>
      <c r="O72" s="98">
        <f ca="1">IF(N71=-2,1-ABS(N72),IF(N71=-1,ABS(N72),0))</f>
        <v>0</v>
      </c>
      <c r="P72" s="98">
        <f ca="1">IF(N71=-1,1-ABS(N72),IF(N71=0,IF(N72&lt;0,ABS(N72),0),0))</f>
        <v>0.50769230769236628</v>
      </c>
      <c r="Q72" s="98">
        <f ca="1">IF(N71=0,1-ABS(N72),0)</f>
        <v>0.49230769230763372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-0.94983516483523545</v>
      </c>
      <c r="W72" s="99">
        <f ca="1">IF(V71&lt;0,100%,IF(V72&lt;0,ABS(V72),0))</f>
        <v>0.94983516483523545</v>
      </c>
      <c r="X72" s="100">
        <f ca="1">IF(V71=0,1-ABS(V72),0)</f>
        <v>5.0164835164764554E-2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96.47</v>
      </c>
      <c r="K73" s="82">
        <f t="shared" ca="1" si="1"/>
        <v>3.5300000000000011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96.47</v>
      </c>
      <c r="K74" s="82">
        <f t="shared" ca="1" si="1"/>
        <v>3.5300000000000011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-0.11053571428571729</v>
      </c>
      <c r="U74" s="105">
        <f ca="1">T74/25*100</f>
        <v>-0.44214285714286916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96.47</v>
      </c>
      <c r="K75" s="82">
        <f t="shared" ca="1" si="1"/>
        <v>3.5300000000000011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-0.44214285714286916</v>
      </c>
      <c r="W75" s="99">
        <f ca="1">IF(V74&lt;0,100%,IF(V75&lt;0,ABS(V75),0))</f>
        <v>0.44214285714286916</v>
      </c>
      <c r="X75" s="100">
        <f ca="1">IF(V74=0,1-ABS(V75),0)</f>
        <v>0.55785714285713084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96.47</v>
      </c>
      <c r="K76" s="82">
        <f t="shared" ca="1" si="1"/>
        <v>3.5300000000000011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96.47</v>
      </c>
      <c r="K77" s="82">
        <f t="shared" ca="1" si="1"/>
        <v>3.5300000000000011</v>
      </c>
      <c r="L77" s="82">
        <f ca="1">K77-K79</f>
        <v>-4.1379310344822784E-2</v>
      </c>
      <c r="M77" s="105">
        <f ca="1">L77/25*100</f>
        <v>-0.16551724137929114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-0.11053571428571729</v>
      </c>
      <c r="U77" s="105">
        <f ca="1">T77/25*100</f>
        <v>-0.44214285714286916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</v>
      </c>
      <c r="K78" s="82">
        <f t="shared" ca="1" si="1"/>
        <v>3.5699999999999932</v>
      </c>
      <c r="L78" s="96"/>
      <c r="M78" s="109"/>
      <c r="N78" s="97">
        <f ca="1">IF(M77&gt;0,MOD(M77,1),MOD(M77,-1))</f>
        <v>-0.16551724137929114</v>
      </c>
      <c r="O78" s="98">
        <f ca="1">IF(N77=-2,1-ABS(N78),IF(N77=-1,ABS(N78),0))</f>
        <v>0</v>
      </c>
      <c r="P78" s="98">
        <f ca="1">IF(N77=-1,1-ABS(N78),IF(N77=0,IF(N78&lt;0,ABS(N78),0),0))</f>
        <v>0.16551724137929114</v>
      </c>
      <c r="Q78" s="98">
        <f ca="1">IF(N77=0,1-ABS(N78),0)</f>
        <v>0.83448275862070886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-0.44214285714286916</v>
      </c>
      <c r="W78" s="99">
        <f ca="1">IF(V77&lt;0,100%,IF(V78&lt;0,ABS(V78),0))</f>
        <v>0.44214285714286916</v>
      </c>
      <c r="X78" s="100">
        <f ca="1">IF(V77=0,1-ABS(V78),0)</f>
        <v>0.55785714285713084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96.428620689655176</v>
      </c>
      <c r="K79" s="82">
        <f t="shared" ca="1" si="1"/>
        <v>3.5713793103448239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96.424615384615379</v>
      </c>
      <c r="K80" s="82">
        <f t="shared" ca="1" si="1"/>
        <v>3.5753846153846212</v>
      </c>
      <c r="L80" s="82">
        <f ca="1">K80-K82</f>
        <v>-5.9615384615383959E-2</v>
      </c>
      <c r="M80" s="105">
        <f ca="1">L80/25*100</f>
        <v>-0.23846153846153584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-6.5151098901097271E-2</v>
      </c>
      <c r="U80" s="105">
        <f ca="1">T80/25*100</f>
        <v>-0.26060439560438908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</v>
      </c>
      <c r="K81" s="82">
        <f t="shared" ca="1" si="1"/>
        <v>3.6099999999999994</v>
      </c>
      <c r="L81" s="96"/>
      <c r="M81" s="109"/>
      <c r="N81" s="97">
        <f ca="1">IF(M80&gt;0,MOD(M80,1),MOD(M80,-1))</f>
        <v>-0.23846153846153584</v>
      </c>
      <c r="O81" s="98">
        <f ca="1">IF(N80=-2,1-ABS(N81),IF(N80=-1,ABS(N81),0))</f>
        <v>0</v>
      </c>
      <c r="P81" s="98">
        <f ca="1">IF(N80=-1,1-ABS(N81),IF(N80=0,IF(N81&lt;0,ABS(N81),0),0))</f>
        <v>0.23846153846153584</v>
      </c>
      <c r="Q81" s="98">
        <f ca="1">IF(N80=0,1-ABS(N81),0)</f>
        <v>0.76153846153846416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-0.26060439560438908</v>
      </c>
      <c r="W81" s="99">
        <f ca="1">IF(V80&lt;0,100%,IF(V81&lt;0,ABS(V81),0))</f>
        <v>0.26060439560438908</v>
      </c>
      <c r="X81" s="100">
        <f ca="1">IF(V80=0,1-ABS(V81),0)</f>
        <v>0.73939560439561092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96.364999999999995</v>
      </c>
      <c r="K82" s="82">
        <f t="shared" ca="1" si="1"/>
        <v>3.6350000000000051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96.364999999999995</v>
      </c>
      <c r="K83" s="82">
        <f t="shared" ca="1" si="1"/>
        <v>3.6350000000000051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-5.5357142857133113E-3</v>
      </c>
      <c r="U83" s="105">
        <f ca="1">T83/25*100</f>
        <v>-2.2142857142853245E-2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96.364999999999995</v>
      </c>
      <c r="K84" s="83">
        <f t="shared" ca="1" si="1"/>
        <v>3.6350000000000051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-2.2142857142853245E-2</v>
      </c>
      <c r="W84" s="99">
        <f ca="1">IF(V83&lt;0,100%,IF(V84&lt;0,ABS(V84),0))</f>
        <v>2.2142857142853245E-2</v>
      </c>
      <c r="X84" s="100">
        <f ca="1">IF(V83=0,1-ABS(V84),0)</f>
        <v>0.97785714285714675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96.364999999999995</v>
      </c>
      <c r="K85" s="82">
        <f t="shared" ca="1" si="1"/>
        <v>3.6350000000000051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96.364999999999995</v>
      </c>
      <c r="K86" s="82">
        <f ca="1">100-J86</f>
        <v>3.6350000000000051</v>
      </c>
      <c r="L86" s="82">
        <f ca="1">K86-K88</f>
        <v>-5.5357142857133113E-3</v>
      </c>
      <c r="M86" s="105">
        <f ca="1">L86/25*100</f>
        <v>-2.2142857142853245E-2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-5.5357142857133113E-3</v>
      </c>
      <c r="U86" s="105">
        <f ca="1">T86/25*100</f>
        <v>-2.2142857142853245E-2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-2.2142857142853245E-2</v>
      </c>
      <c r="O87" s="98">
        <f ca="1">IF(N86=-2,1-ABS(N87),IF(N86=-1,ABS(N87),0))</f>
        <v>0</v>
      </c>
      <c r="P87" s="98">
        <f ca="1">IF(N86=-1,1-ABS(N87),IF(N86=0,IF(N87&lt;0,ABS(N87),0),0))</f>
        <v>2.2142857142853245E-2</v>
      </c>
      <c r="Q87" s="98">
        <f ca="1">IF(N86=0,1-ABS(N87),0)</f>
        <v>0.97785714285714675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-2.2142857142853245E-2</v>
      </c>
      <c r="W87" s="99">
        <f ca="1">IF(V86&lt;0,100%,IF(V87&lt;0,ABS(V87),0))</f>
        <v>2.2142857142853245E-2</v>
      </c>
      <c r="X87" s="100">
        <f ca="1">IF(V86=0,1-ABS(V87),0)</f>
        <v>0.97785714285714675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96.359464285714282</v>
      </c>
      <c r="K88" s="82">
        <f ca="1">100-J88</f>
        <v>3.6405357142857184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14:S16">
    <cfRule type="cellIs" dxfId="611" priority="16" operator="notEqual">
      <formula>0</formula>
    </cfRule>
  </conditionalFormatting>
  <conditionalFormatting sqref="W11:Y13">
    <cfRule type="cellIs" dxfId="610" priority="11" operator="notEqual">
      <formula>0</formula>
    </cfRule>
  </conditionalFormatting>
  <conditionalFormatting sqref="O53:S87">
    <cfRule type="cellIs" dxfId="609" priority="139" operator="notEqual">
      <formula>0</formula>
    </cfRule>
  </conditionalFormatting>
  <conditionalFormatting sqref="W53:Y88">
    <cfRule type="cellIs" dxfId="608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607" priority="133" operator="notEqual">
      <formula>0</formula>
    </cfRule>
  </conditionalFormatting>
  <conditionalFormatting sqref="W89:Y91">
    <cfRule type="cellIs" dxfId="606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605" priority="71" operator="notEqual">
      <formula>0</formula>
    </cfRule>
  </conditionalFormatting>
  <conditionalFormatting sqref="W50:Y52">
    <cfRule type="cellIs" dxfId="604" priority="70" operator="notEqual">
      <formula>0</formula>
    </cfRule>
  </conditionalFormatting>
  <conditionalFormatting sqref="O47:S49">
    <cfRule type="cellIs" dxfId="603" priority="69" operator="notEqual">
      <formula>0</formula>
    </cfRule>
  </conditionalFormatting>
  <conditionalFormatting sqref="W47:Y49">
    <cfRule type="cellIs" dxfId="602" priority="68" operator="notEqual">
      <formula>0</formula>
    </cfRule>
  </conditionalFormatting>
  <conditionalFormatting sqref="O44:S46">
    <cfRule type="cellIs" dxfId="601" priority="67" operator="notEqual">
      <formula>0</formula>
    </cfRule>
  </conditionalFormatting>
  <conditionalFormatting sqref="W44:Y46">
    <cfRule type="cellIs" dxfId="600" priority="66" operator="notEqual">
      <formula>0</formula>
    </cfRule>
  </conditionalFormatting>
  <conditionalFormatting sqref="O41:S43">
    <cfRule type="cellIs" dxfId="599" priority="65" operator="notEqual">
      <formula>0</formula>
    </cfRule>
  </conditionalFormatting>
  <conditionalFormatting sqref="W41:Y43">
    <cfRule type="cellIs" dxfId="598" priority="64" operator="notEqual">
      <formula>0</formula>
    </cfRule>
  </conditionalFormatting>
  <conditionalFormatting sqref="O38:S40">
    <cfRule type="cellIs" dxfId="597" priority="63" operator="notEqual">
      <formula>0</formula>
    </cfRule>
  </conditionalFormatting>
  <conditionalFormatting sqref="W38:Y40">
    <cfRule type="cellIs" dxfId="596" priority="62" operator="notEqual">
      <formula>0</formula>
    </cfRule>
  </conditionalFormatting>
  <conditionalFormatting sqref="O35:S37">
    <cfRule type="cellIs" dxfId="595" priority="61" operator="notEqual">
      <formula>0</formula>
    </cfRule>
  </conditionalFormatting>
  <conditionalFormatting sqref="W35:Y37">
    <cfRule type="cellIs" dxfId="594" priority="60" operator="notEqual">
      <formula>0</formula>
    </cfRule>
  </conditionalFormatting>
  <conditionalFormatting sqref="O32:S34">
    <cfRule type="cellIs" dxfId="593" priority="59" operator="notEqual">
      <formula>0</formula>
    </cfRule>
  </conditionalFormatting>
  <conditionalFormatting sqref="W32:Y34">
    <cfRule type="cellIs" dxfId="592" priority="58" operator="notEqual">
      <formula>0</formula>
    </cfRule>
  </conditionalFormatting>
  <conditionalFormatting sqref="O29:S31">
    <cfRule type="cellIs" dxfId="591" priority="57" operator="notEqual">
      <formula>0</formula>
    </cfRule>
  </conditionalFormatting>
  <conditionalFormatting sqref="W29:Y31">
    <cfRule type="cellIs" dxfId="590" priority="56" operator="notEqual">
      <formula>0</formula>
    </cfRule>
  </conditionalFormatting>
  <conditionalFormatting sqref="O26:S28">
    <cfRule type="cellIs" dxfId="589" priority="55" operator="notEqual">
      <formula>0</formula>
    </cfRule>
  </conditionalFormatting>
  <conditionalFormatting sqref="W26:Y28">
    <cfRule type="cellIs" dxfId="588" priority="54" operator="notEqual">
      <formula>0</formula>
    </cfRule>
  </conditionalFormatting>
  <conditionalFormatting sqref="O23:S25">
    <cfRule type="cellIs" dxfId="587" priority="53" operator="notEqual">
      <formula>0</formula>
    </cfRule>
  </conditionalFormatting>
  <conditionalFormatting sqref="W23:Y25">
    <cfRule type="cellIs" dxfId="586" priority="52" operator="notEqual">
      <formula>0</formula>
    </cfRule>
  </conditionalFormatting>
  <conditionalFormatting sqref="O20:S22">
    <cfRule type="cellIs" dxfId="585" priority="51" operator="notEqual">
      <formula>0</formula>
    </cfRule>
  </conditionalFormatting>
  <conditionalFormatting sqref="W20:Y22">
    <cfRule type="cellIs" dxfId="584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583" priority="20" operator="notEqual">
      <formula>0</formula>
    </cfRule>
  </conditionalFormatting>
  <conditionalFormatting sqref="W17:Y19">
    <cfRule type="cellIs" dxfId="582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W14:Y16">
    <cfRule type="cellIs" dxfId="581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580" priority="12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579" priority="8" operator="notEqual">
      <formula>0</formula>
    </cfRule>
  </conditionalFormatting>
  <conditionalFormatting sqref="W8:Y10">
    <cfRule type="cellIs" dxfId="578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577" priority="4" operator="notEqual">
      <formula>0</formula>
    </cfRule>
  </conditionalFormatting>
  <conditionalFormatting sqref="W5:Y7">
    <cfRule type="cellIs" dxfId="576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5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96.825000000000003</v>
      </c>
      <c r="K5" s="82">
        <f t="shared" ref="K5:K68" ca="1" si="0">100-J5</f>
        <v>3.1749999999999972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-0.46607142857142492</v>
      </c>
      <c r="U5" s="105">
        <f ca="1">T5/25*100</f>
        <v>-1.8642857142856997</v>
      </c>
      <c r="V5" s="90">
        <f ca="1">TRUNC(U5,0)/1</f>
        <v>-1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96.825000000000003</v>
      </c>
      <c r="K6" s="82">
        <f t="shared" ca="1" si="0"/>
        <v>3.1749999999999972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-0.86428571428569967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96.825000000000003</v>
      </c>
      <c r="K7" s="82">
        <f t="shared" ca="1" si="0"/>
        <v>3.1749999999999972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96.864999999999995</v>
      </c>
      <c r="K8" s="82">
        <f t="shared" ca="1" si="0"/>
        <v>3.1350000000000051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-0.50607142857141696</v>
      </c>
      <c r="U8" s="105">
        <f ca="1">T8/25*100</f>
        <v>-2.0242857142856678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96.864999999999995</v>
      </c>
      <c r="K9" s="82">
        <f t="shared" ca="1" si="0"/>
        <v>3.1350000000000051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-2.4285714285667837E-2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96.864999999999995</v>
      </c>
      <c r="K10" s="82">
        <f t="shared" ca="1" si="0"/>
        <v>3.1350000000000051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96.88</v>
      </c>
      <c r="K11" s="82">
        <f t="shared" ca="1" si="0"/>
        <v>3.1200000000000045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-0.52107142857141753</v>
      </c>
      <c r="U11" s="105">
        <f ca="1">T11/25*100</f>
        <v>-2.0842857142856701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96.88</v>
      </c>
      <c r="K12" s="82">
        <f t="shared" ca="1" si="0"/>
        <v>3.1200000000000045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-8.428571428567011E-2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96.88</v>
      </c>
      <c r="K13" s="82">
        <f t="shared" ca="1" si="0"/>
        <v>3.1200000000000045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96.894999999999996</v>
      </c>
      <c r="K14" s="82">
        <f t="shared" ca="1" si="0"/>
        <v>3.105000000000004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-0.5360714285714181</v>
      </c>
      <c r="U14" s="105">
        <f ca="1">T14/25*100</f>
        <v>-2.1442857142856724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96.894999999999996</v>
      </c>
      <c r="K15" s="82">
        <f t="shared" ca="1" si="0"/>
        <v>3.105000000000004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-0.14428571428567238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96.894999999999996</v>
      </c>
      <c r="K16" s="82">
        <f t="shared" ca="1" si="0"/>
        <v>3.105000000000004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96.814999999999998</v>
      </c>
      <c r="K17" s="82">
        <f t="shared" ca="1" si="0"/>
        <v>3.1850000000000023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-0.4560714285714198</v>
      </c>
      <c r="U17" s="105">
        <f ca="1">T17/25*100</f>
        <v>-1.8242857142856794</v>
      </c>
      <c r="V17" s="90">
        <f ca="1">TRUNC(U17,0)/1</f>
        <v>-1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96.814999999999998</v>
      </c>
      <c r="K18" s="82">
        <f t="shared" ca="1" si="0"/>
        <v>3.1850000000000023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-0.82428571428567943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96.814999999999998</v>
      </c>
      <c r="K19" s="82">
        <f t="shared" ca="1" si="0"/>
        <v>3.1850000000000023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96.83</v>
      </c>
      <c r="K20" s="82">
        <f t="shared" ca="1" si="0"/>
        <v>3.1700000000000017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-0.47107142857142037</v>
      </c>
      <c r="U20" s="105">
        <f ca="1">T20/25*100</f>
        <v>-1.8842857142856815</v>
      </c>
      <c r="V20" s="90">
        <f ca="1">TRUNC(U20,0)/1</f>
        <v>-1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96.83</v>
      </c>
      <c r="K21" s="82">
        <f t="shared" ca="1" si="0"/>
        <v>3.1700000000000017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-0.88428571428568148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96.83</v>
      </c>
      <c r="K22" s="82">
        <f t="shared" ca="1" si="0"/>
        <v>3.1700000000000017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96.85</v>
      </c>
      <c r="K23" s="82">
        <f t="shared" ca="1" si="0"/>
        <v>3.1500000000000057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-0.49107142857141639</v>
      </c>
      <c r="U23" s="105">
        <f ca="1">T23/25*100</f>
        <v>-1.9642857142856656</v>
      </c>
      <c r="V23" s="90">
        <f ca="1">TRUNC(U23,0)/1</f>
        <v>-1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96.85</v>
      </c>
      <c r="K24" s="82">
        <f t="shared" ca="1" si="0"/>
        <v>3.1500000000000057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-0.96428571428566556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96.85</v>
      </c>
      <c r="K25" s="82">
        <f t="shared" ca="1" si="0"/>
        <v>3.1500000000000057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96.855000000000004</v>
      </c>
      <c r="K26" s="82">
        <f t="shared" ca="1" si="0"/>
        <v>3.144999999999996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-0.49607142857142605</v>
      </c>
      <c r="U26" s="105">
        <f ca="1">T26/25*100</f>
        <v>-1.984285714285704</v>
      </c>
      <c r="V26" s="90">
        <f ca="1">TRUNC(U26,0)/1</f>
        <v>-1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96.855000000000004</v>
      </c>
      <c r="K27" s="82">
        <f t="shared" ca="1" si="0"/>
        <v>3.144999999999996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-0.98428571428570399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96.855000000000004</v>
      </c>
      <c r="K28" s="82">
        <f t="shared" ca="1" si="0"/>
        <v>3.144999999999996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96.855000000000004</v>
      </c>
      <c r="K29" s="82">
        <f t="shared" ca="1" si="0"/>
        <v>3.144999999999996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-0.49607142857142605</v>
      </c>
      <c r="U29" s="105">
        <f ca="1">T29/25*100</f>
        <v>-1.984285714285704</v>
      </c>
      <c r="V29" s="90">
        <f ca="1">TRUNC(U29,0)/1</f>
        <v>-1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96.855000000000004</v>
      </c>
      <c r="K30" s="82">
        <f t="shared" ca="1" si="0"/>
        <v>3.144999999999996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-0.98428571428570399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96.855000000000004</v>
      </c>
      <c r="K31" s="82">
        <f t="shared" ca="1" si="0"/>
        <v>3.144999999999996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96.864999999999995</v>
      </c>
      <c r="K32" s="82">
        <f t="shared" ca="1" si="0"/>
        <v>3.1350000000000051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-0.50607142857141696</v>
      </c>
      <c r="U32" s="105">
        <f ca="1">T32/25*100</f>
        <v>-2.0242857142856678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96.864999999999995</v>
      </c>
      <c r="K33" s="82">
        <f t="shared" ca="1" si="0"/>
        <v>3.1350000000000051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-2.4285714285667837E-2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96.864999999999995</v>
      </c>
      <c r="K34" s="82">
        <f t="shared" ca="1" si="0"/>
        <v>3.1350000000000051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96.87</v>
      </c>
      <c r="K35" s="82">
        <f t="shared" ca="1" si="0"/>
        <v>3.1299999999999955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-0.51107142857142662</v>
      </c>
      <c r="U35" s="105">
        <f ca="1">T35/25*100</f>
        <v>-2.0442857142857065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96.87</v>
      </c>
      <c r="K36" s="82">
        <f t="shared" ca="1" si="0"/>
        <v>3.1299999999999955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-4.428571428570649E-2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96.87</v>
      </c>
      <c r="K37" s="82">
        <f t="shared" ca="1" si="0"/>
        <v>3.1299999999999955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96.87</v>
      </c>
      <c r="K38" s="82">
        <f t="shared" ca="1" si="0"/>
        <v>3.1299999999999955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-0.51107142857142662</v>
      </c>
      <c r="U38" s="105">
        <f ca="1">T38/25*100</f>
        <v>-2.0442857142857065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96.87</v>
      </c>
      <c r="K39" s="82">
        <f t="shared" ca="1" si="0"/>
        <v>3.1299999999999955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-4.428571428570649E-2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96.87</v>
      </c>
      <c r="K40" s="82">
        <f t="shared" ca="1" si="0"/>
        <v>3.1299999999999955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96.875</v>
      </c>
      <c r="K41" s="82">
        <f t="shared" ca="1" si="0"/>
        <v>3.125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-0.51607142857142208</v>
      </c>
      <c r="U41" s="105">
        <f ca="1">T41/25*100</f>
        <v>-2.0642857142856883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96.875</v>
      </c>
      <c r="K42" s="82">
        <f t="shared" ca="1" si="0"/>
        <v>3.125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-6.42857142856883E-2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96.875</v>
      </c>
      <c r="K43" s="82">
        <f t="shared" ca="1" si="0"/>
        <v>3.125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96.88</v>
      </c>
      <c r="K44" s="82">
        <f t="shared" ca="1" si="0"/>
        <v>3.1200000000000045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-0.52107142857141753</v>
      </c>
      <c r="U44" s="105">
        <f ca="1">T44/25*100</f>
        <v>-2.0842857142856701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96.88</v>
      </c>
      <c r="K45" s="82">
        <f t="shared" ca="1" si="0"/>
        <v>3.1200000000000045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-8.428571428567011E-2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96.88</v>
      </c>
      <c r="K46" s="82">
        <f t="shared" ca="1" si="0"/>
        <v>3.1200000000000045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96.875</v>
      </c>
      <c r="K47" s="82">
        <f t="shared" ca="1" si="0"/>
        <v>3.125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-0.51607142857142208</v>
      </c>
      <c r="U47" s="105">
        <f ca="1">T47/25*100</f>
        <v>-2.0642857142856883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96.875</v>
      </c>
      <c r="K48" s="82">
        <f t="shared" ca="1" si="0"/>
        <v>3.125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-6.42857142856883E-2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96.875</v>
      </c>
      <c r="K49" s="82">
        <f t="shared" ca="1" si="0"/>
        <v>3.125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96.87</v>
      </c>
      <c r="K50" s="82">
        <f t="shared" ca="1" si="0"/>
        <v>3.1299999999999955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-0.51107142857142662</v>
      </c>
      <c r="U50" s="105">
        <f ca="1">T50/25*100</f>
        <v>-2.0442857142857065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96.87</v>
      </c>
      <c r="K51" s="82">
        <f t="shared" ca="1" si="0"/>
        <v>3.1299999999999955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-4.428571428570649E-2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96.87</v>
      </c>
      <c r="K52" s="82">
        <f t="shared" ca="1" si="0"/>
        <v>3.1299999999999955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96.87</v>
      </c>
      <c r="K53" s="82">
        <f t="shared" ca="1" si="0"/>
        <v>3.1299999999999955</v>
      </c>
      <c r="L53" s="82">
        <f ca="1">K53-K55</f>
        <v>-5.5000000000006821E-2</v>
      </c>
      <c r="M53" s="105">
        <f ca="1">L53/25*100</f>
        <v>-0.22000000000002728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-0.51107142857142662</v>
      </c>
      <c r="U53" s="105">
        <f ca="1">T53/25*100</f>
        <v>-2.0442857142857065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96.855000000000004</v>
      </c>
      <c r="K54" s="82">
        <f t="shared" ca="1" si="0"/>
        <v>3.144999999999996</v>
      </c>
      <c r="L54" s="96"/>
      <c r="M54" s="109"/>
      <c r="N54" s="97">
        <f ca="1">IF(M53&gt;0,MOD(M53,1),MOD(M53,-1))</f>
        <v>-0.22000000000002728</v>
      </c>
      <c r="O54" s="98">
        <f ca="1">IF(N53=-2,1-ABS(N54),IF(N53=-1,ABS(N54),0))</f>
        <v>0</v>
      </c>
      <c r="P54" s="98">
        <f ca="1">IF(N53=-1,1-ABS(N54),IF(N53=0,IF(N54&lt;0,ABS(N54),0),0))</f>
        <v>0.22000000000002728</v>
      </c>
      <c r="Q54" s="98">
        <f ca="1">IF(N53=0,1-ABS(N54),0)</f>
        <v>0.77999999999997272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-4.428571428570649E-2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96.814999999999998</v>
      </c>
      <c r="K55" s="82">
        <f t="shared" ca="1" si="0"/>
        <v>3.1850000000000023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96.814999999999998</v>
      </c>
      <c r="K56" s="82">
        <f t="shared" ca="1" si="0"/>
        <v>3.1850000000000023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-0.4560714285714198</v>
      </c>
      <c r="U56" s="105">
        <f ca="1">T56/25*100</f>
        <v>-1.8242857142856794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96.814999999999998</v>
      </c>
      <c r="K57" s="82">
        <f t="shared" ca="1" si="0"/>
        <v>3.1850000000000023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-0.82428571428567943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96.814999999999998</v>
      </c>
      <c r="K58" s="82">
        <f t="shared" ca="1" si="0"/>
        <v>3.1850000000000023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96.814999999999998</v>
      </c>
      <c r="K59" s="82">
        <f t="shared" ca="1" si="0"/>
        <v>3.1850000000000023</v>
      </c>
      <c r="L59" s="82">
        <f ca="1">K59-K61</f>
        <v>-4.9821428571434012E-2</v>
      </c>
      <c r="M59" s="105">
        <f ca="1">L59/25*100</f>
        <v>-0.19928571428573602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-0.4560714285714198</v>
      </c>
      <c r="U59" s="105">
        <f ca="1">T59/25*100</f>
        <v>-1.8242857142856794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96.77</v>
      </c>
      <c r="K60" s="82">
        <f t="shared" ca="1" si="0"/>
        <v>3.230000000000004</v>
      </c>
      <c r="L60" s="96"/>
      <c r="M60" s="109"/>
      <c r="N60" s="97">
        <f ca="1">IF(M59&gt;0,MOD(M59,1),MOD(M59,-1))</f>
        <v>-0.19928571428573602</v>
      </c>
      <c r="O60" s="98">
        <f ca="1">IF(N59=-2,1-ABS(N60),IF(N59=-1,ABS(N60),0))</f>
        <v>0</v>
      </c>
      <c r="P60" s="98">
        <f ca="1">IF(N59=-1,1-ABS(N60),IF(N59=0,IF(N60&lt;0,ABS(N60),0),0))</f>
        <v>0.19928571428573602</v>
      </c>
      <c r="Q60" s="98">
        <f ca="1">IF(N59=0,1-ABS(N60),0)</f>
        <v>0.80071428571426395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-0.82428571428567943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96.765178571428564</v>
      </c>
      <c r="K61" s="82">
        <f t="shared" ca="1" si="0"/>
        <v>3.2348214285714363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96.761428571428553</v>
      </c>
      <c r="K62" s="82">
        <f t="shared" ca="1" si="0"/>
        <v>3.2385714285714471</v>
      </c>
      <c r="L62" s="82">
        <f ca="1">K62-K64</f>
        <v>-9.6428571428546661E-2</v>
      </c>
      <c r="M62" s="105">
        <f ca="1">L62/25*100</f>
        <v>-0.38571428571418664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-0.40249999999997499</v>
      </c>
      <c r="U62" s="105">
        <f ca="1">T62/25*100</f>
        <v>-1.6099999999999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96.71</v>
      </c>
      <c r="K63" s="82">
        <f t="shared" ca="1" si="0"/>
        <v>3.2900000000000063</v>
      </c>
      <c r="L63" s="96"/>
      <c r="M63" s="109"/>
      <c r="N63" s="97">
        <f ca="1">IF(M62&gt;0,MOD(M62,1),MOD(M62,-1))</f>
        <v>-0.38571428571418664</v>
      </c>
      <c r="O63" s="98">
        <f ca="1">IF(N62=-2,1-ABS(N63),IF(N62=-1,ABS(N63),0))</f>
        <v>0</v>
      </c>
      <c r="P63" s="98">
        <f ca="1">IF(N62=-1,1-ABS(N63),IF(N62=0,IF(N63&lt;0,ABS(N63),0),0))</f>
        <v>0.38571428571418664</v>
      </c>
      <c r="Q63" s="98">
        <f ca="1">IF(N62=0,1-ABS(N63),0)</f>
        <v>0.61428571428581336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-0.60999999999989996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96.665000000000006</v>
      </c>
      <c r="K64" s="82">
        <f t="shared" ca="1" si="0"/>
        <v>3.3349999999999937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96.665000000000006</v>
      </c>
      <c r="K65" s="82">
        <f t="shared" ca="1" si="0"/>
        <v>3.3349999999999937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-0.30607142857142833</v>
      </c>
      <c r="U65" s="105">
        <f ca="1">T65/25*100</f>
        <v>-1.2242857142857133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96.665000000000006</v>
      </c>
      <c r="K66" s="82">
        <f t="shared" ca="1" si="0"/>
        <v>3.3349999999999937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-0.22428571428571331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96.665000000000006</v>
      </c>
      <c r="K67" s="82">
        <f t="shared" ca="1" si="0"/>
        <v>3.3349999999999937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96.665000000000006</v>
      </c>
      <c r="K68" s="82">
        <f t="shared" ca="1" si="0"/>
        <v>3.3349999999999937</v>
      </c>
      <c r="L68" s="82">
        <f ca="1">K68-K70</f>
        <v>-7.482758620689367E-2</v>
      </c>
      <c r="M68" s="105">
        <f ca="1">L68/25*100</f>
        <v>-0.29931034482757468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-0.30607142857142833</v>
      </c>
      <c r="U68" s="105">
        <f ca="1">T68/25*100</f>
        <v>-1.2242857142857133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96.594999999999999</v>
      </c>
      <c r="K69" s="82">
        <f t="shared" ref="K69:K87" ca="1" si="1">100-J69</f>
        <v>3.4050000000000011</v>
      </c>
      <c r="L69" s="96"/>
      <c r="M69" s="109"/>
      <c r="N69" s="97">
        <f ca="1">IF(M68&gt;0,MOD(M68,1),MOD(M68,-1))</f>
        <v>-0.29931034482757468</v>
      </c>
      <c r="O69" s="98">
        <f ca="1">IF(N68=-2,1-ABS(N69),IF(N68=-1,ABS(N69),0))</f>
        <v>0</v>
      </c>
      <c r="P69" s="98">
        <f ca="1">IF(N68=-1,1-ABS(N69),IF(N68=0,IF(N69&lt;0,ABS(N69),0),0))</f>
        <v>0.29931034482757468</v>
      </c>
      <c r="Q69" s="98">
        <f ca="1">IF(N68=0,1-ABS(N69),0)</f>
        <v>0.70068965517242532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-0.22428571428571331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96.590172413793113</v>
      </c>
      <c r="K70" s="82">
        <f t="shared" ca="1" si="1"/>
        <v>3.4098275862068874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96.590384615384636</v>
      </c>
      <c r="K71" s="82">
        <f t="shared" ca="1" si="1"/>
        <v>3.4096153846153641</v>
      </c>
      <c r="L71" s="82">
        <f ca="1">K71-K73</f>
        <v>-0.11538461538464162</v>
      </c>
      <c r="M71" s="105">
        <f ca="1">L71/25*100</f>
        <v>-0.46153846153856642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-0.23145604395605801</v>
      </c>
      <c r="U71" s="105">
        <f ca="1">T71/25*100</f>
        <v>-0.92582417582423204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96.525000000000006</v>
      </c>
      <c r="K72" s="82">
        <f t="shared" ca="1" si="1"/>
        <v>3.4749999999999943</v>
      </c>
      <c r="L72" s="96"/>
      <c r="M72" s="109"/>
      <c r="N72" s="97">
        <f ca="1">IF(M71&gt;0,MOD(M71,1),MOD(M71,-1))</f>
        <v>-0.46153846153856642</v>
      </c>
      <c r="O72" s="98">
        <f ca="1">IF(N71=-2,1-ABS(N72),IF(N71=-1,ABS(N72),0))</f>
        <v>0</v>
      </c>
      <c r="P72" s="98">
        <f ca="1">IF(N71=-1,1-ABS(N72),IF(N71=0,IF(N72&lt;0,ABS(N72),0),0))</f>
        <v>0.46153846153856642</v>
      </c>
      <c r="Q72" s="98">
        <f ca="1">IF(N71=0,1-ABS(N72),0)</f>
        <v>0.53846153846143352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-0.92582417582423204</v>
      </c>
      <c r="W72" s="99">
        <f ca="1">IF(V71&lt;0,100%,IF(V72&lt;0,ABS(V72),0))</f>
        <v>0.92582417582423204</v>
      </c>
      <c r="X72" s="100">
        <f ca="1">IF(V71=0,1-ABS(V72),0)</f>
        <v>7.4175824175767957E-2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96.474999999999994</v>
      </c>
      <c r="K73" s="82">
        <f t="shared" ca="1" si="1"/>
        <v>3.5250000000000057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96.474999999999994</v>
      </c>
      <c r="K74" s="82">
        <f t="shared" ca="1" si="1"/>
        <v>3.5250000000000057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-0.11607142857141639</v>
      </c>
      <c r="U74" s="105">
        <f ca="1">T74/25*100</f>
        <v>-0.46428571428566556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96.474999999999994</v>
      </c>
      <c r="K75" s="82">
        <f t="shared" ca="1" si="1"/>
        <v>3.5250000000000057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-0.46428571428566556</v>
      </c>
      <c r="W75" s="99">
        <f ca="1">IF(V74&lt;0,100%,IF(V75&lt;0,ABS(V75),0))</f>
        <v>0.46428571428566556</v>
      </c>
      <c r="X75" s="100">
        <f ca="1">IF(V74=0,1-ABS(V75),0)</f>
        <v>0.53571428571433444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96.474999999999994</v>
      </c>
      <c r="K76" s="82">
        <f t="shared" ca="1" si="1"/>
        <v>3.5250000000000057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96.474999999999994</v>
      </c>
      <c r="K77" s="82">
        <f t="shared" ca="1" si="1"/>
        <v>3.5250000000000057</v>
      </c>
      <c r="L77" s="82">
        <f ca="1">K77-K79</f>
        <v>-4.1379310344822784E-2</v>
      </c>
      <c r="M77" s="105">
        <f ca="1">L77/25*100</f>
        <v>-0.16551724137929114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-0.11607142857141639</v>
      </c>
      <c r="U77" s="105">
        <f ca="1">T77/25*100</f>
        <v>-0.46428571428566556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96.435000000000002</v>
      </c>
      <c r="K78" s="82">
        <f t="shared" ca="1" si="1"/>
        <v>3.5649999999999977</v>
      </c>
      <c r="L78" s="96"/>
      <c r="M78" s="109"/>
      <c r="N78" s="97">
        <f ca="1">IF(M77&gt;0,MOD(M77,1),MOD(M77,-1))</f>
        <v>-0.16551724137929114</v>
      </c>
      <c r="O78" s="98">
        <f ca="1">IF(N77=-2,1-ABS(N78),IF(N77=-1,ABS(N78),0))</f>
        <v>0</v>
      </c>
      <c r="P78" s="98">
        <f ca="1">IF(N77=-1,1-ABS(N78),IF(N77=0,IF(N78&lt;0,ABS(N78),0),0))</f>
        <v>0.16551724137929114</v>
      </c>
      <c r="Q78" s="98">
        <f ca="1">IF(N77=0,1-ABS(N78),0)</f>
        <v>0.83448275862070886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-0.46428571428566556</v>
      </c>
      <c r="W78" s="99">
        <f ca="1">IF(V77&lt;0,100%,IF(V78&lt;0,ABS(V78),0))</f>
        <v>0.46428571428566556</v>
      </c>
      <c r="X78" s="100">
        <f ca="1">IF(V77=0,1-ABS(V78),0)</f>
        <v>0.53571428571433444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96.433620689655172</v>
      </c>
      <c r="K79" s="82">
        <f t="shared" ca="1" si="1"/>
        <v>3.5663793103448285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96.42961538461536</v>
      </c>
      <c r="K80" s="82">
        <f t="shared" ca="1" si="1"/>
        <v>3.5703846153846399</v>
      </c>
      <c r="L80" s="82">
        <f ca="1">K80-K82</f>
        <v>-5.9615384615355538E-2</v>
      </c>
      <c r="M80" s="105">
        <f ca="1">L80/25*100</f>
        <v>-0.23846153846142215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-7.068681318678216E-2</v>
      </c>
      <c r="U80" s="105">
        <f ca="1">T80/25*100</f>
        <v>-0.28274725274712864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96.394999999999996</v>
      </c>
      <c r="K81" s="82">
        <f t="shared" ca="1" si="1"/>
        <v>3.605000000000004</v>
      </c>
      <c r="L81" s="96"/>
      <c r="M81" s="109"/>
      <c r="N81" s="97">
        <f ca="1">IF(M80&gt;0,MOD(M80,1),MOD(M80,-1))</f>
        <v>-0.23846153846142215</v>
      </c>
      <c r="O81" s="98">
        <f ca="1">IF(N80=-2,1-ABS(N81),IF(N80=-1,ABS(N81),0))</f>
        <v>0</v>
      </c>
      <c r="P81" s="98">
        <f ca="1">IF(N80=-1,1-ABS(N81),IF(N80=0,IF(N81&lt;0,ABS(N81),0),0))</f>
        <v>0.23846153846142215</v>
      </c>
      <c r="Q81" s="98">
        <f ca="1">IF(N80=0,1-ABS(N81),0)</f>
        <v>0.76153846153857785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-0.28274725274712864</v>
      </c>
      <c r="W81" s="99">
        <f ca="1">IF(V80&lt;0,100%,IF(V81&lt;0,ABS(V81),0))</f>
        <v>0.28274725274712864</v>
      </c>
      <c r="X81" s="100">
        <f ca="1">IF(V80=0,1-ABS(V81),0)</f>
        <v>0.71725274725287136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96.37</v>
      </c>
      <c r="K82" s="82">
        <f t="shared" ca="1" si="1"/>
        <v>3.6299999999999955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96.37</v>
      </c>
      <c r="K83" s="82">
        <f t="shared" ca="1" si="1"/>
        <v>3.6299999999999955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-1.1071428571426623E-2</v>
      </c>
      <c r="U83" s="105">
        <f ca="1">T83/25*100</f>
        <v>-4.428571428570649E-2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96.37</v>
      </c>
      <c r="K84" s="83">
        <f t="shared" ca="1" si="1"/>
        <v>3.6299999999999955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-4.428571428570649E-2</v>
      </c>
      <c r="W84" s="99">
        <f ca="1">IF(V83&lt;0,100%,IF(V84&lt;0,ABS(V84),0))</f>
        <v>4.428571428570649E-2</v>
      </c>
      <c r="X84" s="100">
        <f ca="1">IF(V83=0,1-ABS(V84),0)</f>
        <v>0.95571428571429351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96.37</v>
      </c>
      <c r="K85" s="82">
        <f t="shared" ca="1" si="1"/>
        <v>3.6299999999999955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96.37</v>
      </c>
      <c r="K86" s="82">
        <f ca="1">100-J86</f>
        <v>3.6299999999999955</v>
      </c>
      <c r="L86" s="82">
        <f ca="1">K86-K88</f>
        <v>-1.1071428571426623E-2</v>
      </c>
      <c r="M86" s="105">
        <f ca="1">L86/25*100</f>
        <v>-4.428571428570649E-2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-1.1071428571426623E-2</v>
      </c>
      <c r="U86" s="105">
        <f ca="1">T86/25*100</f>
        <v>-4.428571428570649E-2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-4.428571428570649E-2</v>
      </c>
      <c r="O87" s="98">
        <f ca="1">IF(N86=-2,1-ABS(N87),IF(N86=-1,ABS(N87),0))</f>
        <v>0</v>
      </c>
      <c r="P87" s="98">
        <f ca="1">IF(N86=-1,1-ABS(N87),IF(N86=0,IF(N87&lt;0,ABS(N87),0),0))</f>
        <v>4.428571428570649E-2</v>
      </c>
      <c r="Q87" s="98">
        <f ca="1">IF(N86=0,1-ABS(N87),0)</f>
        <v>0.95571428571429351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-4.428571428570649E-2</v>
      </c>
      <c r="W87" s="99">
        <f ca="1">IF(V86&lt;0,100%,IF(V87&lt;0,ABS(V87),0))</f>
        <v>4.428571428570649E-2</v>
      </c>
      <c r="X87" s="100">
        <f ca="1">IF(V86=0,1-ABS(V87),0)</f>
        <v>0.95571428571429351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96.358928571428578</v>
      </c>
      <c r="K88" s="82">
        <f ca="1">100-J88</f>
        <v>3.6410714285714221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11:S13">
    <cfRule type="cellIs" dxfId="575" priority="12" operator="notEqual">
      <formula>0</formula>
    </cfRule>
  </conditionalFormatting>
  <conditionalFormatting sqref="W11:Y13">
    <cfRule type="cellIs" dxfId="574" priority="11" operator="notEqual">
      <formula>0</formula>
    </cfRule>
  </conditionalFormatting>
  <conditionalFormatting sqref="O53:S87">
    <cfRule type="cellIs" dxfId="573" priority="139" operator="notEqual">
      <formula>0</formula>
    </cfRule>
  </conditionalFormatting>
  <conditionalFormatting sqref="W53:Y88">
    <cfRule type="cellIs" dxfId="572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571" priority="133" operator="notEqual">
      <formula>0</formula>
    </cfRule>
  </conditionalFormatting>
  <conditionalFormatting sqref="W89:Y91">
    <cfRule type="cellIs" dxfId="570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569" priority="71" operator="notEqual">
      <formula>0</formula>
    </cfRule>
  </conditionalFormatting>
  <conditionalFormatting sqref="W50:Y52">
    <cfRule type="cellIs" dxfId="568" priority="70" operator="notEqual">
      <formula>0</formula>
    </cfRule>
  </conditionalFormatting>
  <conditionalFormatting sqref="O47:S49">
    <cfRule type="cellIs" dxfId="567" priority="69" operator="notEqual">
      <formula>0</formula>
    </cfRule>
  </conditionalFormatting>
  <conditionalFormatting sqref="W47:Y49">
    <cfRule type="cellIs" dxfId="566" priority="68" operator="notEqual">
      <formula>0</formula>
    </cfRule>
  </conditionalFormatting>
  <conditionalFormatting sqref="O44:S46">
    <cfRule type="cellIs" dxfId="565" priority="67" operator="notEqual">
      <formula>0</formula>
    </cfRule>
  </conditionalFormatting>
  <conditionalFormatting sqref="W44:Y46">
    <cfRule type="cellIs" dxfId="564" priority="66" operator="notEqual">
      <formula>0</formula>
    </cfRule>
  </conditionalFormatting>
  <conditionalFormatting sqref="O41:S43">
    <cfRule type="cellIs" dxfId="563" priority="65" operator="notEqual">
      <formula>0</formula>
    </cfRule>
  </conditionalFormatting>
  <conditionalFormatting sqref="W41:Y43">
    <cfRule type="cellIs" dxfId="562" priority="64" operator="notEqual">
      <formula>0</formula>
    </cfRule>
  </conditionalFormatting>
  <conditionalFormatting sqref="O38:S40">
    <cfRule type="cellIs" dxfId="561" priority="63" operator="notEqual">
      <formula>0</formula>
    </cfRule>
  </conditionalFormatting>
  <conditionalFormatting sqref="W38:Y40">
    <cfRule type="cellIs" dxfId="560" priority="62" operator="notEqual">
      <formula>0</formula>
    </cfRule>
  </conditionalFormatting>
  <conditionalFormatting sqref="O35:S37">
    <cfRule type="cellIs" dxfId="559" priority="61" operator="notEqual">
      <formula>0</formula>
    </cfRule>
  </conditionalFormatting>
  <conditionalFormatting sqref="W35:Y37">
    <cfRule type="cellIs" dxfId="558" priority="60" operator="notEqual">
      <formula>0</formula>
    </cfRule>
  </conditionalFormatting>
  <conditionalFormatting sqref="O32:S34">
    <cfRule type="cellIs" dxfId="557" priority="59" operator="notEqual">
      <formula>0</formula>
    </cfRule>
  </conditionalFormatting>
  <conditionalFormatting sqref="W32:Y34">
    <cfRule type="cellIs" dxfId="556" priority="58" operator="notEqual">
      <formula>0</formula>
    </cfRule>
  </conditionalFormatting>
  <conditionalFormatting sqref="O29:S31">
    <cfRule type="cellIs" dxfId="555" priority="57" operator="notEqual">
      <formula>0</formula>
    </cfRule>
  </conditionalFormatting>
  <conditionalFormatting sqref="W29:Y31">
    <cfRule type="cellIs" dxfId="554" priority="56" operator="notEqual">
      <formula>0</formula>
    </cfRule>
  </conditionalFormatting>
  <conditionalFormatting sqref="O26:S28">
    <cfRule type="cellIs" dxfId="553" priority="55" operator="notEqual">
      <formula>0</formula>
    </cfRule>
  </conditionalFormatting>
  <conditionalFormatting sqref="W26:Y28">
    <cfRule type="cellIs" dxfId="552" priority="54" operator="notEqual">
      <formula>0</formula>
    </cfRule>
  </conditionalFormatting>
  <conditionalFormatting sqref="O23:S25">
    <cfRule type="cellIs" dxfId="551" priority="53" operator="notEqual">
      <formula>0</formula>
    </cfRule>
  </conditionalFormatting>
  <conditionalFormatting sqref="W23:Y25">
    <cfRule type="cellIs" dxfId="550" priority="52" operator="notEqual">
      <formula>0</formula>
    </cfRule>
  </conditionalFormatting>
  <conditionalFormatting sqref="O20:S22">
    <cfRule type="cellIs" dxfId="549" priority="51" operator="notEqual">
      <formula>0</formula>
    </cfRule>
  </conditionalFormatting>
  <conditionalFormatting sqref="W20:Y22">
    <cfRule type="cellIs" dxfId="548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547" priority="20" operator="notEqual">
      <formula>0</formula>
    </cfRule>
  </conditionalFormatting>
  <conditionalFormatting sqref="W17:Y19">
    <cfRule type="cellIs" dxfId="546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545" priority="16" operator="notEqual">
      <formula>0</formula>
    </cfRule>
  </conditionalFormatting>
  <conditionalFormatting sqref="W14:Y16">
    <cfRule type="cellIs" dxfId="544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543" priority="8" operator="notEqual">
      <formula>0</formula>
    </cfRule>
  </conditionalFormatting>
  <conditionalFormatting sqref="W8:Y10">
    <cfRule type="cellIs" dxfId="542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541" priority="4" operator="notEqual">
      <formula>0</formula>
    </cfRule>
  </conditionalFormatting>
  <conditionalFormatting sqref="W5:Y7">
    <cfRule type="cellIs" dxfId="540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6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96.83</v>
      </c>
      <c r="K5" s="82">
        <f t="shared" ref="K5:K68" ca="1" si="0">100-J5</f>
        <v>3.1700000000000017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-0.47107142857142037</v>
      </c>
      <c r="U5" s="105">
        <f ca="1">T5/25*100</f>
        <v>-1.8842857142856815</v>
      </c>
      <c r="V5" s="90">
        <f ca="1">TRUNC(U5,0)/1</f>
        <v>-1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96.83</v>
      </c>
      <c r="K6" s="82">
        <f t="shared" ca="1" si="0"/>
        <v>3.1700000000000017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-0.88428571428568148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96.83</v>
      </c>
      <c r="K7" s="82">
        <f t="shared" ca="1" si="0"/>
        <v>3.1700000000000017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96.87</v>
      </c>
      <c r="K8" s="82">
        <f t="shared" ca="1" si="0"/>
        <v>3.1299999999999955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-0.51107142857142662</v>
      </c>
      <c r="U8" s="105">
        <f ca="1">T8/25*100</f>
        <v>-2.0442857142857065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96.87</v>
      </c>
      <c r="K9" s="82">
        <f t="shared" ca="1" si="0"/>
        <v>3.1299999999999955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-4.428571428570649E-2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96.87</v>
      </c>
      <c r="K10" s="82">
        <f t="shared" ca="1" si="0"/>
        <v>3.1299999999999955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96.885000000000005</v>
      </c>
      <c r="K11" s="82">
        <f t="shared" ca="1" si="0"/>
        <v>3.1149999999999949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-0.52607142857142719</v>
      </c>
      <c r="U11" s="105">
        <f ca="1">T11/25*100</f>
        <v>-2.1042857142857088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96.885000000000005</v>
      </c>
      <c r="K12" s="82">
        <f t="shared" ca="1" si="0"/>
        <v>3.1149999999999949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-0.10428571428570876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96.885000000000005</v>
      </c>
      <c r="K13" s="82">
        <f t="shared" ca="1" si="0"/>
        <v>3.1149999999999949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</v>
      </c>
      <c r="K14" s="82">
        <f t="shared" ca="1" si="0"/>
        <v>3.0999999999999943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-0.54107142857142776</v>
      </c>
      <c r="U14" s="105">
        <f ca="1">T14/25*100</f>
        <v>-2.164285714285711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</v>
      </c>
      <c r="K15" s="82">
        <f t="shared" ca="1" si="0"/>
        <v>3.0999999999999943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-0.16428571428571104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</v>
      </c>
      <c r="K16" s="82">
        <f t="shared" ca="1" si="0"/>
        <v>3.0999999999999943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96.82</v>
      </c>
      <c r="K17" s="82">
        <f t="shared" ca="1" si="0"/>
        <v>3.1800000000000068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-0.46107142857141525</v>
      </c>
      <c r="U17" s="105">
        <f ca="1">T17/25*100</f>
        <v>-1.8442857142856608</v>
      </c>
      <c r="V17" s="90">
        <f ca="1">TRUNC(U17,0)/1</f>
        <v>-1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96.82</v>
      </c>
      <c r="K18" s="82">
        <f t="shared" ca="1" si="0"/>
        <v>3.1800000000000068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-0.84428571428566079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96.82</v>
      </c>
      <c r="K19" s="82">
        <f t="shared" ca="1" si="0"/>
        <v>3.1800000000000068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96.834999999999994</v>
      </c>
      <c r="K20" s="82">
        <f t="shared" ca="1" si="0"/>
        <v>3.1650000000000063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-0.47607142857141582</v>
      </c>
      <c r="U20" s="105">
        <f ca="1">T20/25*100</f>
        <v>-1.9042857142856633</v>
      </c>
      <c r="V20" s="90">
        <f ca="1">TRUNC(U20,0)/1</f>
        <v>-1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96.834999999999994</v>
      </c>
      <c r="K21" s="82">
        <f t="shared" ca="1" si="0"/>
        <v>3.1650000000000063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-0.90428571428566329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96.834999999999994</v>
      </c>
      <c r="K22" s="82">
        <f t="shared" ca="1" si="0"/>
        <v>3.1650000000000063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96.855000000000004</v>
      </c>
      <c r="K23" s="82">
        <f t="shared" ca="1" si="0"/>
        <v>3.144999999999996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-0.49607142857142605</v>
      </c>
      <c r="U23" s="105">
        <f ca="1">T23/25*100</f>
        <v>-1.984285714285704</v>
      </c>
      <c r="V23" s="90">
        <f ca="1">TRUNC(U23,0)/1</f>
        <v>-1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96.855000000000004</v>
      </c>
      <c r="K24" s="82">
        <f t="shared" ca="1" si="0"/>
        <v>3.144999999999996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-0.98428571428570399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96.855000000000004</v>
      </c>
      <c r="K25" s="82">
        <f t="shared" ca="1" si="0"/>
        <v>3.144999999999996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96.86</v>
      </c>
      <c r="K26" s="82">
        <f t="shared" ca="1" si="0"/>
        <v>3.1400000000000006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-0.50107142857142151</v>
      </c>
      <c r="U26" s="105">
        <f ca="1">T26/25*100</f>
        <v>-2.004285714285686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96.86</v>
      </c>
      <c r="K27" s="82">
        <f t="shared" ca="1" si="0"/>
        <v>3.1400000000000006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-4.2857142856860264E-3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96.86</v>
      </c>
      <c r="K28" s="82">
        <f t="shared" ca="1" si="0"/>
        <v>3.1400000000000006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96.86</v>
      </c>
      <c r="K29" s="82">
        <f t="shared" ca="1" si="0"/>
        <v>3.1400000000000006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-0.50107142857142151</v>
      </c>
      <c r="U29" s="105">
        <f ca="1">T29/25*100</f>
        <v>-2.004285714285686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96.86</v>
      </c>
      <c r="K30" s="82">
        <f t="shared" ca="1" si="0"/>
        <v>3.1400000000000006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-4.2857142856860264E-3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96.86</v>
      </c>
      <c r="K31" s="82">
        <f t="shared" ca="1" si="0"/>
        <v>3.1400000000000006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96.87</v>
      </c>
      <c r="K32" s="82">
        <f t="shared" ca="1" si="0"/>
        <v>3.1299999999999955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-0.51107142857142662</v>
      </c>
      <c r="U32" s="105">
        <f ca="1">T32/25*100</f>
        <v>-2.0442857142857065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96.87</v>
      </c>
      <c r="K33" s="82">
        <f t="shared" ca="1" si="0"/>
        <v>3.1299999999999955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-4.428571428570649E-2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96.87</v>
      </c>
      <c r="K34" s="82">
        <f t="shared" ca="1" si="0"/>
        <v>3.1299999999999955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96.87</v>
      </c>
      <c r="K35" s="82">
        <f t="shared" ca="1" si="0"/>
        <v>3.1299999999999955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-0.51107142857142662</v>
      </c>
      <c r="U35" s="105">
        <f ca="1">T35/25*100</f>
        <v>-2.0442857142857065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96.87</v>
      </c>
      <c r="K36" s="82">
        <f t="shared" ca="1" si="0"/>
        <v>3.1299999999999955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-4.428571428570649E-2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96.87</v>
      </c>
      <c r="K37" s="82">
        <f t="shared" ca="1" si="0"/>
        <v>3.1299999999999955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96.875</v>
      </c>
      <c r="K38" s="82">
        <f t="shared" ca="1" si="0"/>
        <v>3.125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-0.51607142857142208</v>
      </c>
      <c r="U38" s="105">
        <f ca="1">T38/25*100</f>
        <v>-2.0642857142856883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96.875</v>
      </c>
      <c r="K39" s="82">
        <f t="shared" ca="1" si="0"/>
        <v>3.125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-6.42857142856883E-2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96.875</v>
      </c>
      <c r="K40" s="82">
        <f t="shared" ca="1" si="0"/>
        <v>3.125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96.88</v>
      </c>
      <c r="K41" s="82">
        <f t="shared" ca="1" si="0"/>
        <v>3.1200000000000045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-0.52107142857141753</v>
      </c>
      <c r="U41" s="105">
        <f ca="1">T41/25*100</f>
        <v>-2.0842857142856701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96.88</v>
      </c>
      <c r="K42" s="82">
        <f t="shared" ca="1" si="0"/>
        <v>3.1200000000000045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-8.428571428567011E-2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96.88</v>
      </c>
      <c r="K43" s="82">
        <f t="shared" ca="1" si="0"/>
        <v>3.1200000000000045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96.88</v>
      </c>
      <c r="K44" s="82">
        <f t="shared" ca="1" si="0"/>
        <v>3.1200000000000045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-0.52107142857141753</v>
      </c>
      <c r="U44" s="105">
        <f ca="1">T44/25*100</f>
        <v>-2.0842857142856701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96.88</v>
      </c>
      <c r="K45" s="82">
        <f t="shared" ca="1" si="0"/>
        <v>3.1200000000000045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-8.428571428567011E-2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96.88</v>
      </c>
      <c r="K46" s="82">
        <f t="shared" ca="1" si="0"/>
        <v>3.1200000000000045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96.875</v>
      </c>
      <c r="K47" s="82">
        <f t="shared" ca="1" si="0"/>
        <v>3.125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-0.51607142857142208</v>
      </c>
      <c r="U47" s="105">
        <f ca="1">T47/25*100</f>
        <v>-2.0642857142856883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96.875</v>
      </c>
      <c r="K48" s="82">
        <f t="shared" ca="1" si="0"/>
        <v>3.125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-6.42857142856883E-2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96.875</v>
      </c>
      <c r="K49" s="82">
        <f t="shared" ca="1" si="0"/>
        <v>3.125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96.87</v>
      </c>
      <c r="K50" s="82">
        <f t="shared" ca="1" si="0"/>
        <v>3.1299999999999955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-0.51107142857142662</v>
      </c>
      <c r="U50" s="105">
        <f ca="1">T50/25*100</f>
        <v>-2.0442857142857065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96.87</v>
      </c>
      <c r="K51" s="82">
        <f t="shared" ca="1" si="0"/>
        <v>3.1299999999999955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-4.428571428570649E-2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96.87</v>
      </c>
      <c r="K52" s="82">
        <f t="shared" ca="1" si="0"/>
        <v>3.1299999999999955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96.87</v>
      </c>
      <c r="K53" s="82">
        <f t="shared" ca="1" si="0"/>
        <v>3.1299999999999955</v>
      </c>
      <c r="L53" s="82">
        <f ca="1">K53-K55</f>
        <v>-5.0000000000011369E-2</v>
      </c>
      <c r="M53" s="105">
        <f ca="1">L53/25*100</f>
        <v>-0.20000000000004545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-0.51107142857142662</v>
      </c>
      <c r="U53" s="105">
        <f ca="1">T53/25*100</f>
        <v>-2.0442857142857065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96.855000000000004</v>
      </c>
      <c r="K54" s="82">
        <f t="shared" ca="1" si="0"/>
        <v>3.144999999999996</v>
      </c>
      <c r="L54" s="96"/>
      <c r="M54" s="109"/>
      <c r="N54" s="97">
        <f ca="1">IF(M53&gt;0,MOD(M53,1),MOD(M53,-1))</f>
        <v>-0.20000000000004545</v>
      </c>
      <c r="O54" s="98">
        <f ca="1">IF(N53=-2,1-ABS(N54),IF(N53=-1,ABS(N54),0))</f>
        <v>0</v>
      </c>
      <c r="P54" s="98">
        <f ca="1">IF(N53=-1,1-ABS(N54),IF(N53=0,IF(N54&lt;0,ABS(N54),0),0))</f>
        <v>0.20000000000004545</v>
      </c>
      <c r="Q54" s="98">
        <f ca="1">IF(N53=0,1-ABS(N54),0)</f>
        <v>0.79999999999995453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-4.428571428570649E-2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96.82</v>
      </c>
      <c r="K55" s="82">
        <f t="shared" ca="1" si="0"/>
        <v>3.1800000000000068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96.82</v>
      </c>
      <c r="K56" s="82">
        <f t="shared" ca="1" si="0"/>
        <v>3.1800000000000068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-0.46107142857141525</v>
      </c>
      <c r="U56" s="105">
        <f ca="1">T56/25*100</f>
        <v>-1.8442857142856608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96.82</v>
      </c>
      <c r="K57" s="82">
        <f t="shared" ca="1" si="0"/>
        <v>3.1800000000000068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-0.84428571428566079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96.82</v>
      </c>
      <c r="K58" s="82">
        <f t="shared" ca="1" si="0"/>
        <v>3.1800000000000068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96.82</v>
      </c>
      <c r="K59" s="82">
        <f t="shared" ca="1" si="0"/>
        <v>3.1800000000000068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-0.46107142857141525</v>
      </c>
      <c r="U59" s="105">
        <f ca="1">T59/25*100</f>
        <v>-1.8442857142856608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96.78</v>
      </c>
      <c r="K60" s="82">
        <f t="shared" ca="1" si="0"/>
        <v>3.2199999999999989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-0.84428571428566079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96.775714285714287</v>
      </c>
      <c r="K61" s="82">
        <f t="shared" ca="1" si="0"/>
        <v>3.2242857142857133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96.770714285714263</v>
      </c>
      <c r="K62" s="82">
        <f t="shared" ca="1" si="0"/>
        <v>3.2292857142857372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-0.41178571428568489</v>
      </c>
      <c r="U62" s="105">
        <f ca="1">T62/25*100</f>
        <v>-1.6471428571427396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96.724999999999994</v>
      </c>
      <c r="K63" s="82">
        <f t="shared" ca="1" si="0"/>
        <v>3.2750000000000057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-0.64714285714273956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96.685000000000002</v>
      </c>
      <c r="K64" s="82">
        <f t="shared" ca="1" si="0"/>
        <v>3.3149999999999977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96.685000000000002</v>
      </c>
      <c r="K65" s="82">
        <f t="shared" ca="1" si="0"/>
        <v>3.3149999999999977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-0.32607142857142435</v>
      </c>
      <c r="U65" s="105">
        <f ca="1">T65/25*100</f>
        <v>-1.3042857142856974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96.685000000000002</v>
      </c>
      <c r="K66" s="82">
        <f t="shared" ca="1" si="0"/>
        <v>3.3149999999999977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-0.3042857142856974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96.685000000000002</v>
      </c>
      <c r="K67" s="82">
        <f t="shared" ca="1" si="0"/>
        <v>3.3149999999999977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96.685000000000002</v>
      </c>
      <c r="K68" s="82">
        <f t="shared" ca="1" si="0"/>
        <v>3.3149999999999977</v>
      </c>
      <c r="L68" s="82">
        <f ca="1">K68-K70</f>
        <v>-7.482758620689367E-2</v>
      </c>
      <c r="M68" s="105">
        <f ca="1">L68/25*100</f>
        <v>-0.29931034482757468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-0.32607142857142435</v>
      </c>
      <c r="U68" s="105">
        <f ca="1">T68/25*100</f>
        <v>-1.3042857142856974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96.614999999999995</v>
      </c>
      <c r="K69" s="82">
        <f t="shared" ref="K69:K87" ca="1" si="1">100-J69</f>
        <v>3.3850000000000051</v>
      </c>
      <c r="L69" s="96"/>
      <c r="M69" s="109"/>
      <c r="N69" s="97">
        <f ca="1">IF(M68&gt;0,MOD(M68,1),MOD(M68,-1))</f>
        <v>-0.29931034482757468</v>
      </c>
      <c r="O69" s="98">
        <f ca="1">IF(N68=-2,1-ABS(N69),IF(N68=-1,ABS(N69),0))</f>
        <v>0</v>
      </c>
      <c r="P69" s="98">
        <f ca="1">IF(N68=-1,1-ABS(N69),IF(N68=0,IF(N69&lt;0,ABS(N69),0),0))</f>
        <v>0.29931034482757468</v>
      </c>
      <c r="Q69" s="98">
        <f ca="1">IF(N68=0,1-ABS(N69),0)</f>
        <v>0.70068965517242532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-0.3042857142856974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96.610172413793109</v>
      </c>
      <c r="K70" s="82">
        <f t="shared" ca="1" si="1"/>
        <v>3.3898275862068914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96.606923076923053</v>
      </c>
      <c r="K71" s="82">
        <f t="shared" ca="1" si="1"/>
        <v>3.3930769230769471</v>
      </c>
      <c r="L71" s="82">
        <f ca="1">K71-K73</f>
        <v>-0.12692307692304894</v>
      </c>
      <c r="M71" s="105">
        <f ca="1">L71/25*100</f>
        <v>-0.50769230769219575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-0.24799450549447499</v>
      </c>
      <c r="U71" s="105">
        <f ca="1">T71/25*100</f>
        <v>-0.99197802197789997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96.534999999999997</v>
      </c>
      <c r="K72" s="82">
        <f t="shared" ca="1" si="1"/>
        <v>3.4650000000000034</v>
      </c>
      <c r="L72" s="96"/>
      <c r="M72" s="109"/>
      <c r="N72" s="97">
        <f ca="1">IF(M71&gt;0,MOD(M71,1),MOD(M71,-1))</f>
        <v>-0.50769230769219575</v>
      </c>
      <c r="O72" s="98">
        <f ca="1">IF(N71=-2,1-ABS(N72),IF(N71=-1,ABS(N72),0))</f>
        <v>0</v>
      </c>
      <c r="P72" s="98">
        <f ca="1">IF(N71=-1,1-ABS(N72),IF(N71=0,IF(N72&lt;0,ABS(N72),0),0))</f>
        <v>0.50769230769219575</v>
      </c>
      <c r="Q72" s="98">
        <f ca="1">IF(N71=0,1-ABS(N72),0)</f>
        <v>0.49230769230780425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-0.99197802197789997</v>
      </c>
      <c r="W72" s="99">
        <f ca="1">IF(V71&lt;0,100%,IF(V72&lt;0,ABS(V72),0))</f>
        <v>0.99197802197789997</v>
      </c>
      <c r="X72" s="100">
        <f ca="1">IF(V71=0,1-ABS(V72),0)</f>
        <v>8.0219780221000292E-3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96.48</v>
      </c>
      <c r="K73" s="82">
        <f t="shared" ca="1" si="1"/>
        <v>3.519999999999996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96.48</v>
      </c>
      <c r="K74" s="82">
        <f t="shared" ca="1" si="1"/>
        <v>3.519999999999996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-0.12107142857142605</v>
      </c>
      <c r="U74" s="105">
        <f ca="1">T74/25*100</f>
        <v>-0.48428571428570422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96.48</v>
      </c>
      <c r="K75" s="82">
        <f t="shared" ca="1" si="1"/>
        <v>3.519999999999996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-0.48428571428570422</v>
      </c>
      <c r="W75" s="99">
        <f ca="1">IF(V74&lt;0,100%,IF(V75&lt;0,ABS(V75),0))</f>
        <v>0.48428571428570422</v>
      </c>
      <c r="X75" s="100">
        <f ca="1">IF(V74=0,1-ABS(V75),0)</f>
        <v>0.51571428571429578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96.48</v>
      </c>
      <c r="K76" s="82">
        <f t="shared" ca="1" si="1"/>
        <v>3.519999999999996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96.48</v>
      </c>
      <c r="K77" s="82">
        <f t="shared" ca="1" si="1"/>
        <v>3.519999999999996</v>
      </c>
      <c r="L77" s="82">
        <f ca="1">K77-K79</f>
        <v>-4.6551724137927408E-2</v>
      </c>
      <c r="M77" s="105">
        <f ca="1">L77/25*100</f>
        <v>-0.18620689655170963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-0.12107142857142605</v>
      </c>
      <c r="U77" s="105">
        <f ca="1">T77/25*100</f>
        <v>-0.48428571428570422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96.435000000000002</v>
      </c>
      <c r="K78" s="82">
        <f t="shared" ca="1" si="1"/>
        <v>3.5649999999999977</v>
      </c>
      <c r="L78" s="96"/>
      <c r="M78" s="109"/>
      <c r="N78" s="97">
        <f ca="1">IF(M77&gt;0,MOD(M77,1),MOD(M77,-1))</f>
        <v>-0.18620689655170963</v>
      </c>
      <c r="O78" s="98">
        <f ca="1">IF(N77=-2,1-ABS(N78),IF(N77=-1,ABS(N78),0))</f>
        <v>0</v>
      </c>
      <c r="P78" s="98">
        <f ca="1">IF(N77=-1,1-ABS(N78),IF(N77=0,IF(N78&lt;0,ABS(N78),0),0))</f>
        <v>0.18620689655170963</v>
      </c>
      <c r="Q78" s="98">
        <f ca="1">IF(N77=0,1-ABS(N78),0)</f>
        <v>0.81379310344829037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-0.48428571428570422</v>
      </c>
      <c r="W78" s="99">
        <f ca="1">IF(V77&lt;0,100%,IF(V78&lt;0,ABS(V78),0))</f>
        <v>0.48428571428570422</v>
      </c>
      <c r="X78" s="100">
        <f ca="1">IF(V77=0,1-ABS(V78),0)</f>
        <v>0.51571428571429578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96.433448275862077</v>
      </c>
      <c r="K79" s="82">
        <f t="shared" ca="1" si="1"/>
        <v>3.5665517241379234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96.42961538461536</v>
      </c>
      <c r="K80" s="82">
        <f t="shared" ca="1" si="1"/>
        <v>3.5703846153846399</v>
      </c>
      <c r="L80" s="82">
        <f ca="1">K80-K82</f>
        <v>-5.9615384615355538E-2</v>
      </c>
      <c r="M80" s="105">
        <f ca="1">L80/25*100</f>
        <v>-0.23846153846142215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-7.068681318678216E-2</v>
      </c>
      <c r="U80" s="105">
        <f ca="1">T80/25*100</f>
        <v>-0.28274725274712864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96.394999999999996</v>
      </c>
      <c r="K81" s="82">
        <f t="shared" ca="1" si="1"/>
        <v>3.605000000000004</v>
      </c>
      <c r="L81" s="96"/>
      <c r="M81" s="109"/>
      <c r="N81" s="97">
        <f ca="1">IF(M80&gt;0,MOD(M80,1),MOD(M80,-1))</f>
        <v>-0.23846153846142215</v>
      </c>
      <c r="O81" s="98">
        <f ca="1">IF(N80=-2,1-ABS(N81),IF(N80=-1,ABS(N81),0))</f>
        <v>0</v>
      </c>
      <c r="P81" s="98">
        <f ca="1">IF(N80=-1,1-ABS(N81),IF(N80=0,IF(N81&lt;0,ABS(N81),0),0))</f>
        <v>0.23846153846142215</v>
      </c>
      <c r="Q81" s="98">
        <f ca="1">IF(N80=0,1-ABS(N81),0)</f>
        <v>0.76153846153857785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-0.28274725274712864</v>
      </c>
      <c r="W81" s="99">
        <f ca="1">IF(V80&lt;0,100%,IF(V81&lt;0,ABS(V81),0))</f>
        <v>0.28274725274712864</v>
      </c>
      <c r="X81" s="100">
        <f ca="1">IF(V80=0,1-ABS(V81),0)</f>
        <v>0.71725274725287136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96.37</v>
      </c>
      <c r="K82" s="82">
        <f t="shared" ca="1" si="1"/>
        <v>3.6299999999999955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96.37</v>
      </c>
      <c r="K83" s="82">
        <f t="shared" ca="1" si="1"/>
        <v>3.6299999999999955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-1.1071428571426623E-2</v>
      </c>
      <c r="U83" s="105">
        <f ca="1">T83/25*100</f>
        <v>-4.428571428570649E-2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96.37</v>
      </c>
      <c r="K84" s="83">
        <f t="shared" ca="1" si="1"/>
        <v>3.6299999999999955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-4.428571428570649E-2</v>
      </c>
      <c r="W84" s="99">
        <f ca="1">IF(V83&lt;0,100%,IF(V84&lt;0,ABS(V84),0))</f>
        <v>4.428571428570649E-2</v>
      </c>
      <c r="X84" s="100">
        <f ca="1">IF(V83=0,1-ABS(V84),0)</f>
        <v>0.95571428571429351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96.37</v>
      </c>
      <c r="K85" s="82">
        <f t="shared" ca="1" si="1"/>
        <v>3.6299999999999955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96.37</v>
      </c>
      <c r="K86" s="82">
        <f ca="1">100-J86</f>
        <v>3.6299999999999955</v>
      </c>
      <c r="L86" s="82">
        <f ca="1">K86-K88</f>
        <v>-1.1071428571426623E-2</v>
      </c>
      <c r="M86" s="105">
        <f ca="1">L86/25*100</f>
        <v>-4.428571428570649E-2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-1.1071428571426623E-2</v>
      </c>
      <c r="U86" s="105">
        <f ca="1">T86/25*100</f>
        <v>-4.428571428570649E-2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-4.428571428570649E-2</v>
      </c>
      <c r="O87" s="98">
        <f ca="1">IF(N86=-2,1-ABS(N87),IF(N86=-1,ABS(N87),0))</f>
        <v>0</v>
      </c>
      <c r="P87" s="98">
        <f ca="1">IF(N86=-1,1-ABS(N87),IF(N86=0,IF(N87&lt;0,ABS(N87),0),0))</f>
        <v>4.428571428570649E-2</v>
      </c>
      <c r="Q87" s="98">
        <f ca="1">IF(N86=0,1-ABS(N87),0)</f>
        <v>0.95571428571429351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-4.428571428570649E-2</v>
      </c>
      <c r="W87" s="99">
        <f ca="1">IF(V86&lt;0,100%,IF(V87&lt;0,ABS(V87),0))</f>
        <v>4.428571428570649E-2</v>
      </c>
      <c r="X87" s="100">
        <f ca="1">IF(V86=0,1-ABS(V87),0)</f>
        <v>0.95571428571429351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96.358928571428578</v>
      </c>
      <c r="K88" s="82">
        <f ca="1">100-J88</f>
        <v>3.6410714285714221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11:S13">
    <cfRule type="cellIs" dxfId="539" priority="12" operator="notEqual">
      <formula>0</formula>
    </cfRule>
  </conditionalFormatting>
  <conditionalFormatting sqref="W11:Y13">
    <cfRule type="cellIs" dxfId="538" priority="11" operator="notEqual">
      <formula>0</formula>
    </cfRule>
  </conditionalFormatting>
  <conditionalFormatting sqref="O53:S87">
    <cfRule type="cellIs" dxfId="537" priority="139" operator="notEqual">
      <formula>0</formula>
    </cfRule>
  </conditionalFormatting>
  <conditionalFormatting sqref="W53:Y88">
    <cfRule type="cellIs" dxfId="536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535" priority="133" operator="notEqual">
      <formula>0</formula>
    </cfRule>
  </conditionalFormatting>
  <conditionalFormatting sqref="W89:Y91">
    <cfRule type="cellIs" dxfId="534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533" priority="71" operator="notEqual">
      <formula>0</formula>
    </cfRule>
  </conditionalFormatting>
  <conditionalFormatting sqref="W50:Y52">
    <cfRule type="cellIs" dxfId="532" priority="70" operator="notEqual">
      <formula>0</formula>
    </cfRule>
  </conditionalFormatting>
  <conditionalFormatting sqref="O47:S49">
    <cfRule type="cellIs" dxfId="531" priority="69" operator="notEqual">
      <formula>0</formula>
    </cfRule>
  </conditionalFormatting>
  <conditionalFormatting sqref="W47:Y49">
    <cfRule type="cellIs" dxfId="530" priority="68" operator="notEqual">
      <formula>0</formula>
    </cfRule>
  </conditionalFormatting>
  <conditionalFormatting sqref="O44:S46">
    <cfRule type="cellIs" dxfId="529" priority="67" operator="notEqual">
      <formula>0</formula>
    </cfRule>
  </conditionalFormatting>
  <conditionalFormatting sqref="W44:Y46">
    <cfRule type="cellIs" dxfId="528" priority="66" operator="notEqual">
      <formula>0</formula>
    </cfRule>
  </conditionalFormatting>
  <conditionalFormatting sqref="O41:S43">
    <cfRule type="cellIs" dxfId="527" priority="65" operator="notEqual">
      <formula>0</formula>
    </cfRule>
  </conditionalFormatting>
  <conditionalFormatting sqref="W41:Y43">
    <cfRule type="cellIs" dxfId="526" priority="64" operator="notEqual">
      <formula>0</formula>
    </cfRule>
  </conditionalFormatting>
  <conditionalFormatting sqref="O38:S40">
    <cfRule type="cellIs" dxfId="525" priority="63" operator="notEqual">
      <formula>0</formula>
    </cfRule>
  </conditionalFormatting>
  <conditionalFormatting sqref="W38:Y40">
    <cfRule type="cellIs" dxfId="524" priority="62" operator="notEqual">
      <formula>0</formula>
    </cfRule>
  </conditionalFormatting>
  <conditionalFormatting sqref="O35:S37">
    <cfRule type="cellIs" dxfId="523" priority="61" operator="notEqual">
      <formula>0</formula>
    </cfRule>
  </conditionalFormatting>
  <conditionalFormatting sqref="W35:Y37">
    <cfRule type="cellIs" dxfId="522" priority="60" operator="notEqual">
      <formula>0</formula>
    </cfRule>
  </conditionalFormatting>
  <conditionalFormatting sqref="O32:S34">
    <cfRule type="cellIs" dxfId="521" priority="59" operator="notEqual">
      <formula>0</formula>
    </cfRule>
  </conditionalFormatting>
  <conditionalFormatting sqref="W32:Y34">
    <cfRule type="cellIs" dxfId="520" priority="58" operator="notEqual">
      <formula>0</formula>
    </cfRule>
  </conditionalFormatting>
  <conditionalFormatting sqref="O29:S31">
    <cfRule type="cellIs" dxfId="519" priority="57" operator="notEqual">
      <formula>0</formula>
    </cfRule>
  </conditionalFormatting>
  <conditionalFormatting sqref="W29:Y31">
    <cfRule type="cellIs" dxfId="518" priority="56" operator="notEqual">
      <formula>0</formula>
    </cfRule>
  </conditionalFormatting>
  <conditionalFormatting sqref="O26:S28">
    <cfRule type="cellIs" dxfId="517" priority="55" operator="notEqual">
      <formula>0</formula>
    </cfRule>
  </conditionalFormatting>
  <conditionalFormatting sqref="W26:Y28">
    <cfRule type="cellIs" dxfId="516" priority="54" operator="notEqual">
      <formula>0</formula>
    </cfRule>
  </conditionalFormatting>
  <conditionalFormatting sqref="O23:S25">
    <cfRule type="cellIs" dxfId="515" priority="53" operator="notEqual">
      <formula>0</formula>
    </cfRule>
  </conditionalFormatting>
  <conditionalFormatting sqref="W23:Y25">
    <cfRule type="cellIs" dxfId="514" priority="52" operator="notEqual">
      <formula>0</formula>
    </cfRule>
  </conditionalFormatting>
  <conditionalFormatting sqref="O20:S22">
    <cfRule type="cellIs" dxfId="513" priority="51" operator="notEqual">
      <formula>0</formula>
    </cfRule>
  </conditionalFormatting>
  <conditionalFormatting sqref="W20:Y22">
    <cfRule type="cellIs" dxfId="512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511" priority="20" operator="notEqual">
      <formula>0</formula>
    </cfRule>
  </conditionalFormatting>
  <conditionalFormatting sqref="W17:Y19">
    <cfRule type="cellIs" dxfId="510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509" priority="16" operator="notEqual">
      <formula>0</formula>
    </cfRule>
  </conditionalFormatting>
  <conditionalFormatting sqref="W14:Y16">
    <cfRule type="cellIs" dxfId="508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507" priority="8" operator="notEqual">
      <formula>0</formula>
    </cfRule>
  </conditionalFormatting>
  <conditionalFormatting sqref="W8:Y10">
    <cfRule type="cellIs" dxfId="506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505" priority="4" operator="notEqual">
      <formula>0</formula>
    </cfRule>
  </conditionalFormatting>
  <conditionalFormatting sqref="W5:Y7">
    <cfRule type="cellIs" dxfId="504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7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96.83</v>
      </c>
      <c r="K5" s="82">
        <f t="shared" ref="K5:K68" ca="1" si="0">100-J5</f>
        <v>3.1700000000000017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-0.47107142857142037</v>
      </c>
      <c r="U5" s="105">
        <f ca="1">T5/25*100</f>
        <v>-1.8842857142856815</v>
      </c>
      <c r="V5" s="90">
        <f ca="1">TRUNC(U5,0)/1</f>
        <v>-1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96.83</v>
      </c>
      <c r="K6" s="82">
        <f t="shared" ca="1" si="0"/>
        <v>3.1700000000000017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-0.88428571428568148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96.83</v>
      </c>
      <c r="K7" s="82">
        <f t="shared" ca="1" si="0"/>
        <v>3.1700000000000017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96.87</v>
      </c>
      <c r="K8" s="82">
        <f t="shared" ca="1" si="0"/>
        <v>3.1299999999999955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-0.51107142857142662</v>
      </c>
      <c r="U8" s="105">
        <f ca="1">T8/25*100</f>
        <v>-2.0442857142857065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96.87</v>
      </c>
      <c r="K9" s="82">
        <f t="shared" ca="1" si="0"/>
        <v>3.1299999999999955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-4.428571428570649E-2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96.87</v>
      </c>
      <c r="K10" s="82">
        <f t="shared" ca="1" si="0"/>
        <v>3.1299999999999955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96.885000000000005</v>
      </c>
      <c r="K11" s="82">
        <f t="shared" ca="1" si="0"/>
        <v>3.1149999999999949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-0.52607142857142719</v>
      </c>
      <c r="U11" s="105">
        <f ca="1">T11/25*100</f>
        <v>-2.1042857142857088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96.885000000000005</v>
      </c>
      <c r="K12" s="82">
        <f t="shared" ca="1" si="0"/>
        <v>3.1149999999999949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-0.10428571428570876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96.885000000000005</v>
      </c>
      <c r="K13" s="82">
        <f t="shared" ca="1" si="0"/>
        <v>3.1149999999999949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</v>
      </c>
      <c r="K14" s="82">
        <f t="shared" ca="1" si="0"/>
        <v>3.0999999999999943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-0.54107142857142776</v>
      </c>
      <c r="U14" s="105">
        <f ca="1">T14/25*100</f>
        <v>-2.164285714285711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</v>
      </c>
      <c r="K15" s="82">
        <f t="shared" ca="1" si="0"/>
        <v>3.0999999999999943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-0.16428571428571104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</v>
      </c>
      <c r="K16" s="82">
        <f t="shared" ca="1" si="0"/>
        <v>3.0999999999999943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96.82</v>
      </c>
      <c r="K17" s="82">
        <f t="shared" ca="1" si="0"/>
        <v>3.1800000000000068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-0.46107142857141525</v>
      </c>
      <c r="U17" s="105">
        <f ca="1">T17/25*100</f>
        <v>-1.8442857142856608</v>
      </c>
      <c r="V17" s="90">
        <f ca="1">TRUNC(U17,0)/1</f>
        <v>-1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96.82</v>
      </c>
      <c r="K18" s="82">
        <f t="shared" ca="1" si="0"/>
        <v>3.1800000000000068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-0.84428571428566079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96.82</v>
      </c>
      <c r="K19" s="82">
        <f t="shared" ca="1" si="0"/>
        <v>3.1800000000000068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96.834999999999994</v>
      </c>
      <c r="K20" s="82">
        <f t="shared" ca="1" si="0"/>
        <v>3.1650000000000063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-0.47607142857141582</v>
      </c>
      <c r="U20" s="105">
        <f ca="1">T20/25*100</f>
        <v>-1.9042857142856633</v>
      </c>
      <c r="V20" s="90">
        <f ca="1">TRUNC(U20,0)/1</f>
        <v>-1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96.834999999999994</v>
      </c>
      <c r="K21" s="82">
        <f t="shared" ca="1" si="0"/>
        <v>3.1650000000000063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-0.90428571428566329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96.834999999999994</v>
      </c>
      <c r="K22" s="82">
        <f t="shared" ca="1" si="0"/>
        <v>3.1650000000000063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96.855000000000004</v>
      </c>
      <c r="K23" s="82">
        <f t="shared" ca="1" si="0"/>
        <v>3.144999999999996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-0.49607142857142605</v>
      </c>
      <c r="U23" s="105">
        <f ca="1">T23/25*100</f>
        <v>-1.984285714285704</v>
      </c>
      <c r="V23" s="90">
        <f ca="1">TRUNC(U23,0)/1</f>
        <v>-1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96.855000000000004</v>
      </c>
      <c r="K24" s="82">
        <f t="shared" ca="1" si="0"/>
        <v>3.144999999999996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-0.98428571428570399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96.855000000000004</v>
      </c>
      <c r="K25" s="82">
        <f t="shared" ca="1" si="0"/>
        <v>3.144999999999996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96.86</v>
      </c>
      <c r="K26" s="82">
        <f t="shared" ca="1" si="0"/>
        <v>3.1400000000000006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-0.50107142857142151</v>
      </c>
      <c r="U26" s="105">
        <f ca="1">T26/25*100</f>
        <v>-2.004285714285686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96.86</v>
      </c>
      <c r="K27" s="82">
        <f t="shared" ca="1" si="0"/>
        <v>3.1400000000000006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-4.2857142856860264E-3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96.86</v>
      </c>
      <c r="K28" s="82">
        <f t="shared" ca="1" si="0"/>
        <v>3.1400000000000006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96.86</v>
      </c>
      <c r="K29" s="82">
        <f t="shared" ca="1" si="0"/>
        <v>3.1400000000000006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-0.50107142857142151</v>
      </c>
      <c r="U29" s="105">
        <f ca="1">T29/25*100</f>
        <v>-2.004285714285686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96.86</v>
      </c>
      <c r="K30" s="82">
        <f t="shared" ca="1" si="0"/>
        <v>3.1400000000000006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-4.2857142856860264E-3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96.86</v>
      </c>
      <c r="K31" s="82">
        <f t="shared" ca="1" si="0"/>
        <v>3.1400000000000006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96.87</v>
      </c>
      <c r="K32" s="82">
        <f t="shared" ca="1" si="0"/>
        <v>3.1299999999999955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-0.51107142857142662</v>
      </c>
      <c r="U32" s="105">
        <f ca="1">T32/25*100</f>
        <v>-2.0442857142857065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96.87</v>
      </c>
      <c r="K33" s="82">
        <f t="shared" ca="1" si="0"/>
        <v>3.1299999999999955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-4.428571428570649E-2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96.87</v>
      </c>
      <c r="K34" s="82">
        <f t="shared" ca="1" si="0"/>
        <v>3.1299999999999955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96.87</v>
      </c>
      <c r="K35" s="82">
        <f t="shared" ca="1" si="0"/>
        <v>3.1299999999999955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-0.51107142857142662</v>
      </c>
      <c r="U35" s="105">
        <f ca="1">T35/25*100</f>
        <v>-2.0442857142857065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96.87</v>
      </c>
      <c r="K36" s="82">
        <f t="shared" ca="1" si="0"/>
        <v>3.1299999999999955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-4.428571428570649E-2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96.87</v>
      </c>
      <c r="K37" s="82">
        <f t="shared" ca="1" si="0"/>
        <v>3.1299999999999955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96.875</v>
      </c>
      <c r="K38" s="82">
        <f t="shared" ca="1" si="0"/>
        <v>3.125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-0.51607142857142208</v>
      </c>
      <c r="U38" s="105">
        <f ca="1">T38/25*100</f>
        <v>-2.0642857142856883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96.875</v>
      </c>
      <c r="K39" s="82">
        <f t="shared" ca="1" si="0"/>
        <v>3.125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-6.42857142856883E-2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96.875</v>
      </c>
      <c r="K40" s="82">
        <f t="shared" ca="1" si="0"/>
        <v>3.125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96.88</v>
      </c>
      <c r="K41" s="82">
        <f t="shared" ca="1" si="0"/>
        <v>3.1200000000000045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-0.52107142857141753</v>
      </c>
      <c r="U41" s="105">
        <f ca="1">T41/25*100</f>
        <v>-2.0842857142856701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96.88</v>
      </c>
      <c r="K42" s="82">
        <f t="shared" ca="1" si="0"/>
        <v>3.1200000000000045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-8.428571428567011E-2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96.88</v>
      </c>
      <c r="K43" s="82">
        <f t="shared" ca="1" si="0"/>
        <v>3.1200000000000045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96.88</v>
      </c>
      <c r="K44" s="82">
        <f t="shared" ca="1" si="0"/>
        <v>3.1200000000000045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-0.52107142857141753</v>
      </c>
      <c r="U44" s="105">
        <f ca="1">T44/25*100</f>
        <v>-2.0842857142856701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96.88</v>
      </c>
      <c r="K45" s="82">
        <f t="shared" ca="1" si="0"/>
        <v>3.1200000000000045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-8.428571428567011E-2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96.88</v>
      </c>
      <c r="K46" s="82">
        <f t="shared" ca="1" si="0"/>
        <v>3.1200000000000045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96.875</v>
      </c>
      <c r="K47" s="82">
        <f t="shared" ca="1" si="0"/>
        <v>3.125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-0.51607142857142208</v>
      </c>
      <c r="U47" s="105">
        <f ca="1">T47/25*100</f>
        <v>-2.0642857142856883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96.875</v>
      </c>
      <c r="K48" s="82">
        <f t="shared" ca="1" si="0"/>
        <v>3.125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-6.42857142856883E-2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96.875</v>
      </c>
      <c r="K49" s="82">
        <f t="shared" ca="1" si="0"/>
        <v>3.125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96.87</v>
      </c>
      <c r="K50" s="82">
        <f t="shared" ca="1" si="0"/>
        <v>3.1299999999999955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-0.51107142857142662</v>
      </c>
      <c r="U50" s="105">
        <f ca="1">T50/25*100</f>
        <v>-2.0442857142857065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96.87</v>
      </c>
      <c r="K51" s="82">
        <f t="shared" ca="1" si="0"/>
        <v>3.1299999999999955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-4.428571428570649E-2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96.87</v>
      </c>
      <c r="K52" s="82">
        <f t="shared" ca="1" si="0"/>
        <v>3.1299999999999955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96.87</v>
      </c>
      <c r="K53" s="82">
        <f t="shared" ca="1" si="0"/>
        <v>3.1299999999999955</v>
      </c>
      <c r="L53" s="82">
        <f ca="1">K53-K55</f>
        <v>-5.0000000000011369E-2</v>
      </c>
      <c r="M53" s="105">
        <f ca="1">L53/25*100</f>
        <v>-0.20000000000004545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-0.51107142857142662</v>
      </c>
      <c r="U53" s="105">
        <f ca="1">T53/25*100</f>
        <v>-2.0442857142857065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96.855000000000004</v>
      </c>
      <c r="K54" s="82">
        <f t="shared" ca="1" si="0"/>
        <v>3.144999999999996</v>
      </c>
      <c r="L54" s="96"/>
      <c r="M54" s="109"/>
      <c r="N54" s="97">
        <f ca="1">IF(M53&gt;0,MOD(M53,1),MOD(M53,-1))</f>
        <v>-0.20000000000004545</v>
      </c>
      <c r="O54" s="98">
        <f ca="1">IF(N53=-2,1-ABS(N54),IF(N53=-1,ABS(N54),0))</f>
        <v>0</v>
      </c>
      <c r="P54" s="98">
        <f ca="1">IF(N53=-1,1-ABS(N54),IF(N53=0,IF(N54&lt;0,ABS(N54),0),0))</f>
        <v>0.20000000000004545</v>
      </c>
      <c r="Q54" s="98">
        <f ca="1">IF(N53=0,1-ABS(N54),0)</f>
        <v>0.79999999999995453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-4.428571428570649E-2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96.82</v>
      </c>
      <c r="K55" s="82">
        <f t="shared" ca="1" si="0"/>
        <v>3.1800000000000068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96.82</v>
      </c>
      <c r="K56" s="82">
        <f t="shared" ca="1" si="0"/>
        <v>3.1800000000000068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-0.46107142857141525</v>
      </c>
      <c r="U56" s="105">
        <f ca="1">T56/25*100</f>
        <v>-1.8442857142856608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96.82</v>
      </c>
      <c r="K57" s="82">
        <f t="shared" ca="1" si="0"/>
        <v>3.1800000000000068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-0.84428571428566079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96.82</v>
      </c>
      <c r="K58" s="82">
        <f t="shared" ca="1" si="0"/>
        <v>3.1800000000000068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96.82</v>
      </c>
      <c r="K59" s="82">
        <f t="shared" ca="1" si="0"/>
        <v>3.1800000000000068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-0.46107142857141525</v>
      </c>
      <c r="U59" s="105">
        <f ca="1">T59/25*100</f>
        <v>-1.8442857142856608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96.78</v>
      </c>
      <c r="K60" s="82">
        <f t="shared" ca="1" si="0"/>
        <v>3.2199999999999989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-0.84428571428566079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96.775714285714287</v>
      </c>
      <c r="K61" s="82">
        <f t="shared" ca="1" si="0"/>
        <v>3.2242857142857133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96.770714285714263</v>
      </c>
      <c r="K62" s="82">
        <f t="shared" ca="1" si="0"/>
        <v>3.2292857142857372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-0.41178571428568489</v>
      </c>
      <c r="U62" s="105">
        <f ca="1">T62/25*100</f>
        <v>-1.6471428571427396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96.724999999999994</v>
      </c>
      <c r="K63" s="82">
        <f t="shared" ca="1" si="0"/>
        <v>3.2750000000000057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-0.64714285714273956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96.685000000000002</v>
      </c>
      <c r="K64" s="82">
        <f t="shared" ca="1" si="0"/>
        <v>3.3149999999999977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96.685000000000002</v>
      </c>
      <c r="K65" s="82">
        <f t="shared" ca="1" si="0"/>
        <v>3.3149999999999977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-0.32607142857142435</v>
      </c>
      <c r="U65" s="105">
        <f ca="1">T65/25*100</f>
        <v>-1.3042857142856974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96.685000000000002</v>
      </c>
      <c r="K66" s="82">
        <f t="shared" ca="1" si="0"/>
        <v>3.3149999999999977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-0.3042857142856974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96.685000000000002</v>
      </c>
      <c r="K67" s="82">
        <f t="shared" ca="1" si="0"/>
        <v>3.3149999999999977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96.685000000000002</v>
      </c>
      <c r="K68" s="82">
        <f t="shared" ca="1" si="0"/>
        <v>3.3149999999999977</v>
      </c>
      <c r="L68" s="82">
        <f ca="1">K68-K70</f>
        <v>-7.482758620689367E-2</v>
      </c>
      <c r="M68" s="105">
        <f ca="1">L68/25*100</f>
        <v>-0.29931034482757468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-0.32607142857142435</v>
      </c>
      <c r="U68" s="105">
        <f ca="1">T68/25*100</f>
        <v>-1.3042857142856974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96.614999999999995</v>
      </c>
      <c r="K69" s="82">
        <f t="shared" ref="K69:K87" ca="1" si="1">100-J69</f>
        <v>3.3850000000000051</v>
      </c>
      <c r="L69" s="96"/>
      <c r="M69" s="109"/>
      <c r="N69" s="97">
        <f ca="1">IF(M68&gt;0,MOD(M68,1),MOD(M68,-1))</f>
        <v>-0.29931034482757468</v>
      </c>
      <c r="O69" s="98">
        <f ca="1">IF(N68=-2,1-ABS(N69),IF(N68=-1,ABS(N69),0))</f>
        <v>0</v>
      </c>
      <c r="P69" s="98">
        <f ca="1">IF(N68=-1,1-ABS(N69),IF(N68=0,IF(N69&lt;0,ABS(N69),0),0))</f>
        <v>0.29931034482757468</v>
      </c>
      <c r="Q69" s="98">
        <f ca="1">IF(N68=0,1-ABS(N69),0)</f>
        <v>0.70068965517242532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-0.3042857142856974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96.610172413793109</v>
      </c>
      <c r="K70" s="82">
        <f t="shared" ca="1" si="1"/>
        <v>3.3898275862068914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96.606923076923053</v>
      </c>
      <c r="K71" s="82">
        <f t="shared" ca="1" si="1"/>
        <v>3.3930769230769471</v>
      </c>
      <c r="L71" s="82">
        <f ca="1">K71-K73</f>
        <v>-0.12692307692304894</v>
      </c>
      <c r="M71" s="105">
        <f ca="1">L71/25*100</f>
        <v>-0.50769230769219575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-0.24799450549447499</v>
      </c>
      <c r="U71" s="105">
        <f ca="1">T71/25*100</f>
        <v>-0.99197802197789997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96.534999999999997</v>
      </c>
      <c r="K72" s="82">
        <f t="shared" ca="1" si="1"/>
        <v>3.4650000000000034</v>
      </c>
      <c r="L72" s="96"/>
      <c r="M72" s="109"/>
      <c r="N72" s="97">
        <f ca="1">IF(M71&gt;0,MOD(M71,1),MOD(M71,-1))</f>
        <v>-0.50769230769219575</v>
      </c>
      <c r="O72" s="98">
        <f ca="1">IF(N71=-2,1-ABS(N72),IF(N71=-1,ABS(N72),0))</f>
        <v>0</v>
      </c>
      <c r="P72" s="98">
        <f ca="1">IF(N71=-1,1-ABS(N72),IF(N71=0,IF(N72&lt;0,ABS(N72),0),0))</f>
        <v>0.50769230769219575</v>
      </c>
      <c r="Q72" s="98">
        <f ca="1">IF(N71=0,1-ABS(N72),0)</f>
        <v>0.49230769230780425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-0.99197802197789997</v>
      </c>
      <c r="W72" s="99">
        <f ca="1">IF(V71&lt;0,100%,IF(V72&lt;0,ABS(V72),0))</f>
        <v>0.99197802197789997</v>
      </c>
      <c r="X72" s="100">
        <f ca="1">IF(V71=0,1-ABS(V72),0)</f>
        <v>8.0219780221000292E-3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96.48</v>
      </c>
      <c r="K73" s="82">
        <f t="shared" ca="1" si="1"/>
        <v>3.519999999999996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96.48</v>
      </c>
      <c r="K74" s="82">
        <f t="shared" ca="1" si="1"/>
        <v>3.519999999999996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-0.12107142857142605</v>
      </c>
      <c r="U74" s="105">
        <f ca="1">T74/25*100</f>
        <v>-0.48428571428570422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96.48</v>
      </c>
      <c r="K75" s="82">
        <f t="shared" ca="1" si="1"/>
        <v>3.519999999999996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-0.48428571428570422</v>
      </c>
      <c r="W75" s="99">
        <f ca="1">IF(V74&lt;0,100%,IF(V75&lt;0,ABS(V75),0))</f>
        <v>0.48428571428570422</v>
      </c>
      <c r="X75" s="100">
        <f ca="1">IF(V74=0,1-ABS(V75),0)</f>
        <v>0.51571428571429578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96.48</v>
      </c>
      <c r="K76" s="82">
        <f t="shared" ca="1" si="1"/>
        <v>3.519999999999996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96.48</v>
      </c>
      <c r="K77" s="82">
        <f t="shared" ca="1" si="1"/>
        <v>3.519999999999996</v>
      </c>
      <c r="L77" s="82">
        <f ca="1">K77-K79</f>
        <v>-4.6551724137927408E-2</v>
      </c>
      <c r="M77" s="105">
        <f ca="1">L77/25*100</f>
        <v>-0.18620689655170963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-0.12107142857142605</v>
      </c>
      <c r="U77" s="105">
        <f ca="1">T77/25*100</f>
        <v>-0.48428571428570422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96.435000000000002</v>
      </c>
      <c r="K78" s="82">
        <f t="shared" ca="1" si="1"/>
        <v>3.5649999999999977</v>
      </c>
      <c r="L78" s="96"/>
      <c r="M78" s="109"/>
      <c r="N78" s="97">
        <f ca="1">IF(M77&gt;0,MOD(M77,1),MOD(M77,-1))</f>
        <v>-0.18620689655170963</v>
      </c>
      <c r="O78" s="98">
        <f ca="1">IF(N77=-2,1-ABS(N78),IF(N77=-1,ABS(N78),0))</f>
        <v>0</v>
      </c>
      <c r="P78" s="98">
        <f ca="1">IF(N77=-1,1-ABS(N78),IF(N77=0,IF(N78&lt;0,ABS(N78),0),0))</f>
        <v>0.18620689655170963</v>
      </c>
      <c r="Q78" s="98">
        <f ca="1">IF(N77=0,1-ABS(N78),0)</f>
        <v>0.81379310344829037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-0.48428571428570422</v>
      </c>
      <c r="W78" s="99">
        <f ca="1">IF(V77&lt;0,100%,IF(V78&lt;0,ABS(V78),0))</f>
        <v>0.48428571428570422</v>
      </c>
      <c r="X78" s="100">
        <f ca="1">IF(V77=0,1-ABS(V78),0)</f>
        <v>0.51571428571429578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96.433448275862077</v>
      </c>
      <c r="K79" s="82">
        <f t="shared" ca="1" si="1"/>
        <v>3.5665517241379234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96.42961538461536</v>
      </c>
      <c r="K80" s="82">
        <f t="shared" ca="1" si="1"/>
        <v>3.5703846153846399</v>
      </c>
      <c r="L80" s="82">
        <f ca="1">K80-K82</f>
        <v>-5.9615384615355538E-2</v>
      </c>
      <c r="M80" s="105">
        <f ca="1">L80/25*100</f>
        <v>-0.23846153846142215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-7.068681318678216E-2</v>
      </c>
      <c r="U80" s="105">
        <f ca="1">T80/25*100</f>
        <v>-0.28274725274712864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96.394999999999996</v>
      </c>
      <c r="K81" s="82">
        <f t="shared" ca="1" si="1"/>
        <v>3.605000000000004</v>
      </c>
      <c r="L81" s="96"/>
      <c r="M81" s="109"/>
      <c r="N81" s="97">
        <f ca="1">IF(M80&gt;0,MOD(M80,1),MOD(M80,-1))</f>
        <v>-0.23846153846142215</v>
      </c>
      <c r="O81" s="98">
        <f ca="1">IF(N80=-2,1-ABS(N81),IF(N80=-1,ABS(N81),0))</f>
        <v>0</v>
      </c>
      <c r="P81" s="98">
        <f ca="1">IF(N80=-1,1-ABS(N81),IF(N80=0,IF(N81&lt;0,ABS(N81),0),0))</f>
        <v>0.23846153846142215</v>
      </c>
      <c r="Q81" s="98">
        <f ca="1">IF(N80=0,1-ABS(N81),0)</f>
        <v>0.76153846153857785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-0.28274725274712864</v>
      </c>
      <c r="W81" s="99">
        <f ca="1">IF(V80&lt;0,100%,IF(V81&lt;0,ABS(V81),0))</f>
        <v>0.28274725274712864</v>
      </c>
      <c r="X81" s="100">
        <f ca="1">IF(V80=0,1-ABS(V81),0)</f>
        <v>0.71725274725287136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96.37</v>
      </c>
      <c r="K82" s="82">
        <f t="shared" ca="1" si="1"/>
        <v>3.6299999999999955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96.37</v>
      </c>
      <c r="K83" s="82">
        <f t="shared" ca="1" si="1"/>
        <v>3.6299999999999955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-1.1071428571426623E-2</v>
      </c>
      <c r="U83" s="105">
        <f ca="1">T83/25*100</f>
        <v>-4.428571428570649E-2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96.37</v>
      </c>
      <c r="K84" s="83">
        <f t="shared" ca="1" si="1"/>
        <v>3.6299999999999955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-4.428571428570649E-2</v>
      </c>
      <c r="W84" s="99">
        <f ca="1">IF(V83&lt;0,100%,IF(V84&lt;0,ABS(V84),0))</f>
        <v>4.428571428570649E-2</v>
      </c>
      <c r="X84" s="100">
        <f ca="1">IF(V83=0,1-ABS(V84),0)</f>
        <v>0.95571428571429351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96.37</v>
      </c>
      <c r="K85" s="82">
        <f t="shared" ca="1" si="1"/>
        <v>3.6299999999999955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96.37</v>
      </c>
      <c r="K86" s="82">
        <f ca="1">100-J86</f>
        <v>3.6299999999999955</v>
      </c>
      <c r="L86" s="82">
        <f ca="1">K86-K88</f>
        <v>-1.1071428571426623E-2</v>
      </c>
      <c r="M86" s="105">
        <f ca="1">L86/25*100</f>
        <v>-4.428571428570649E-2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-1.1071428571426623E-2</v>
      </c>
      <c r="U86" s="105">
        <f ca="1">T86/25*100</f>
        <v>-4.428571428570649E-2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-4.428571428570649E-2</v>
      </c>
      <c r="O87" s="98">
        <f ca="1">IF(N86=-2,1-ABS(N87),IF(N86=-1,ABS(N87),0))</f>
        <v>0</v>
      </c>
      <c r="P87" s="98">
        <f ca="1">IF(N86=-1,1-ABS(N87),IF(N86=0,IF(N87&lt;0,ABS(N87),0),0))</f>
        <v>4.428571428570649E-2</v>
      </c>
      <c r="Q87" s="98">
        <f ca="1">IF(N86=0,1-ABS(N87),0)</f>
        <v>0.95571428571429351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-4.428571428570649E-2</v>
      </c>
      <c r="W87" s="99">
        <f ca="1">IF(V86&lt;0,100%,IF(V87&lt;0,ABS(V87),0))</f>
        <v>4.428571428570649E-2</v>
      </c>
      <c r="X87" s="100">
        <f ca="1">IF(V86=0,1-ABS(V87),0)</f>
        <v>0.95571428571429351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96.358928571428578</v>
      </c>
      <c r="K88" s="82">
        <f ca="1">100-J88</f>
        <v>3.6410714285714221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11:S13">
    <cfRule type="cellIs" dxfId="503" priority="12" operator="notEqual">
      <formula>0</formula>
    </cfRule>
  </conditionalFormatting>
  <conditionalFormatting sqref="W11:Y13">
    <cfRule type="cellIs" dxfId="502" priority="11" operator="notEqual">
      <formula>0</formula>
    </cfRule>
  </conditionalFormatting>
  <conditionalFormatting sqref="O53:S87">
    <cfRule type="cellIs" dxfId="501" priority="139" operator="notEqual">
      <formula>0</formula>
    </cfRule>
  </conditionalFormatting>
  <conditionalFormatting sqref="W53:Y88">
    <cfRule type="cellIs" dxfId="500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499" priority="133" operator="notEqual">
      <formula>0</formula>
    </cfRule>
  </conditionalFormatting>
  <conditionalFormatting sqref="W89:Y91">
    <cfRule type="cellIs" dxfId="498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497" priority="71" operator="notEqual">
      <formula>0</formula>
    </cfRule>
  </conditionalFormatting>
  <conditionalFormatting sqref="W50:Y52">
    <cfRule type="cellIs" dxfId="496" priority="70" operator="notEqual">
      <formula>0</formula>
    </cfRule>
  </conditionalFormatting>
  <conditionalFormatting sqref="O47:S49">
    <cfRule type="cellIs" dxfId="495" priority="69" operator="notEqual">
      <formula>0</formula>
    </cfRule>
  </conditionalFormatting>
  <conditionalFormatting sqref="W47:Y49">
    <cfRule type="cellIs" dxfId="494" priority="68" operator="notEqual">
      <formula>0</formula>
    </cfRule>
  </conditionalFormatting>
  <conditionalFormatting sqref="O44:S46">
    <cfRule type="cellIs" dxfId="493" priority="67" operator="notEqual">
      <formula>0</formula>
    </cfRule>
  </conditionalFormatting>
  <conditionalFormatting sqref="W44:Y46">
    <cfRule type="cellIs" dxfId="492" priority="66" operator="notEqual">
      <formula>0</formula>
    </cfRule>
  </conditionalFormatting>
  <conditionalFormatting sqref="O41:S43">
    <cfRule type="cellIs" dxfId="491" priority="65" operator="notEqual">
      <formula>0</formula>
    </cfRule>
  </conditionalFormatting>
  <conditionalFormatting sqref="W41:Y43">
    <cfRule type="cellIs" dxfId="490" priority="64" operator="notEqual">
      <formula>0</formula>
    </cfRule>
  </conditionalFormatting>
  <conditionalFormatting sqref="O38:S40">
    <cfRule type="cellIs" dxfId="489" priority="63" operator="notEqual">
      <formula>0</formula>
    </cfRule>
  </conditionalFormatting>
  <conditionalFormatting sqref="W38:Y40">
    <cfRule type="cellIs" dxfId="488" priority="62" operator="notEqual">
      <formula>0</formula>
    </cfRule>
  </conditionalFormatting>
  <conditionalFormatting sqref="O35:S37">
    <cfRule type="cellIs" dxfId="487" priority="61" operator="notEqual">
      <formula>0</formula>
    </cfRule>
  </conditionalFormatting>
  <conditionalFormatting sqref="W35:Y37">
    <cfRule type="cellIs" dxfId="486" priority="60" operator="notEqual">
      <formula>0</formula>
    </cfRule>
  </conditionalFormatting>
  <conditionalFormatting sqref="O32:S34">
    <cfRule type="cellIs" dxfId="485" priority="59" operator="notEqual">
      <formula>0</formula>
    </cfRule>
  </conditionalFormatting>
  <conditionalFormatting sqref="W32:Y34">
    <cfRule type="cellIs" dxfId="484" priority="58" operator="notEqual">
      <formula>0</formula>
    </cfRule>
  </conditionalFormatting>
  <conditionalFormatting sqref="O29:S31">
    <cfRule type="cellIs" dxfId="483" priority="57" operator="notEqual">
      <formula>0</formula>
    </cfRule>
  </conditionalFormatting>
  <conditionalFormatting sqref="W29:Y31">
    <cfRule type="cellIs" dxfId="482" priority="56" operator="notEqual">
      <formula>0</formula>
    </cfRule>
  </conditionalFormatting>
  <conditionalFormatting sqref="O26:S28">
    <cfRule type="cellIs" dxfId="481" priority="55" operator="notEqual">
      <formula>0</formula>
    </cfRule>
  </conditionalFormatting>
  <conditionalFormatting sqref="W26:Y28">
    <cfRule type="cellIs" dxfId="480" priority="54" operator="notEqual">
      <formula>0</formula>
    </cfRule>
  </conditionalFormatting>
  <conditionalFormatting sqref="O23:S25">
    <cfRule type="cellIs" dxfId="479" priority="53" operator="notEqual">
      <formula>0</formula>
    </cfRule>
  </conditionalFormatting>
  <conditionalFormatting sqref="W23:Y25">
    <cfRule type="cellIs" dxfId="478" priority="52" operator="notEqual">
      <formula>0</formula>
    </cfRule>
  </conditionalFormatting>
  <conditionalFormatting sqref="O20:S22">
    <cfRule type="cellIs" dxfId="477" priority="51" operator="notEqual">
      <formula>0</formula>
    </cfRule>
  </conditionalFormatting>
  <conditionalFormatting sqref="W20:Y22">
    <cfRule type="cellIs" dxfId="476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475" priority="20" operator="notEqual">
      <formula>0</formula>
    </cfRule>
  </conditionalFormatting>
  <conditionalFormatting sqref="W17:Y19">
    <cfRule type="cellIs" dxfId="474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473" priority="16" operator="notEqual">
      <formula>0</formula>
    </cfRule>
  </conditionalFormatting>
  <conditionalFormatting sqref="W14:Y16">
    <cfRule type="cellIs" dxfId="472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471" priority="8" operator="notEqual">
      <formula>0</formula>
    </cfRule>
  </conditionalFormatting>
  <conditionalFormatting sqref="W8:Y10">
    <cfRule type="cellIs" dxfId="470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469" priority="4" operator="notEqual">
      <formula>0</formula>
    </cfRule>
  </conditionalFormatting>
  <conditionalFormatting sqref="W5:Y7">
    <cfRule type="cellIs" dxfId="468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8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96.83</v>
      </c>
      <c r="K5" s="82">
        <f t="shared" ref="K5:K68" ca="1" si="0">100-J5</f>
        <v>3.1700000000000017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-0.47107142857142037</v>
      </c>
      <c r="U5" s="105">
        <f ca="1">T5/25*100</f>
        <v>-1.8842857142856815</v>
      </c>
      <c r="V5" s="90">
        <f ca="1">TRUNC(U5,0)/1</f>
        <v>-1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96.83</v>
      </c>
      <c r="K6" s="82">
        <f t="shared" ca="1" si="0"/>
        <v>3.1700000000000017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-0.88428571428568148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96.83</v>
      </c>
      <c r="K7" s="82">
        <f t="shared" ca="1" si="0"/>
        <v>3.1700000000000017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96.87</v>
      </c>
      <c r="K8" s="82">
        <f t="shared" ca="1" si="0"/>
        <v>3.1299999999999955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-0.51107142857142662</v>
      </c>
      <c r="U8" s="105">
        <f ca="1">T8/25*100</f>
        <v>-2.0442857142857065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96.87</v>
      </c>
      <c r="K9" s="82">
        <f t="shared" ca="1" si="0"/>
        <v>3.1299999999999955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-4.428571428570649E-2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96.87</v>
      </c>
      <c r="K10" s="82">
        <f t="shared" ca="1" si="0"/>
        <v>3.1299999999999955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96.885000000000005</v>
      </c>
      <c r="K11" s="82">
        <f t="shared" ca="1" si="0"/>
        <v>3.1149999999999949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-0.52607142857142719</v>
      </c>
      <c r="U11" s="105">
        <f ca="1">T11/25*100</f>
        <v>-2.1042857142857088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96.885000000000005</v>
      </c>
      <c r="K12" s="82">
        <f t="shared" ca="1" si="0"/>
        <v>3.1149999999999949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-0.10428571428570876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96.885000000000005</v>
      </c>
      <c r="K13" s="82">
        <f t="shared" ca="1" si="0"/>
        <v>3.1149999999999949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</v>
      </c>
      <c r="K14" s="82">
        <f t="shared" ca="1" si="0"/>
        <v>3.0999999999999943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-0.54107142857142776</v>
      </c>
      <c r="U14" s="105">
        <f ca="1">T14/25*100</f>
        <v>-2.164285714285711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</v>
      </c>
      <c r="K15" s="82">
        <f t="shared" ca="1" si="0"/>
        <v>3.0999999999999943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-0.16428571428571104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</v>
      </c>
      <c r="K16" s="82">
        <f t="shared" ca="1" si="0"/>
        <v>3.0999999999999943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96.82</v>
      </c>
      <c r="K17" s="82">
        <f t="shared" ca="1" si="0"/>
        <v>3.1800000000000068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-0.46107142857141525</v>
      </c>
      <c r="U17" s="105">
        <f ca="1">T17/25*100</f>
        <v>-1.8442857142856608</v>
      </c>
      <c r="V17" s="90">
        <f ca="1">TRUNC(U17,0)/1</f>
        <v>-1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96.82</v>
      </c>
      <c r="K18" s="82">
        <f t="shared" ca="1" si="0"/>
        <v>3.1800000000000068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-0.84428571428566079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96.82</v>
      </c>
      <c r="K19" s="82">
        <f t="shared" ca="1" si="0"/>
        <v>3.1800000000000068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96.834999999999994</v>
      </c>
      <c r="K20" s="82">
        <f t="shared" ca="1" si="0"/>
        <v>3.1650000000000063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-0.47607142857141582</v>
      </c>
      <c r="U20" s="105">
        <f ca="1">T20/25*100</f>
        <v>-1.9042857142856633</v>
      </c>
      <c r="V20" s="90">
        <f ca="1">TRUNC(U20,0)/1</f>
        <v>-1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96.834999999999994</v>
      </c>
      <c r="K21" s="82">
        <f t="shared" ca="1" si="0"/>
        <v>3.1650000000000063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-0.90428571428566329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96.834999999999994</v>
      </c>
      <c r="K22" s="82">
        <f t="shared" ca="1" si="0"/>
        <v>3.1650000000000063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96.855000000000004</v>
      </c>
      <c r="K23" s="82">
        <f t="shared" ca="1" si="0"/>
        <v>3.144999999999996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-0.49607142857142605</v>
      </c>
      <c r="U23" s="105">
        <f ca="1">T23/25*100</f>
        <v>-1.984285714285704</v>
      </c>
      <c r="V23" s="90">
        <f ca="1">TRUNC(U23,0)/1</f>
        <v>-1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96.855000000000004</v>
      </c>
      <c r="K24" s="82">
        <f t="shared" ca="1" si="0"/>
        <v>3.144999999999996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-0.98428571428570399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96.855000000000004</v>
      </c>
      <c r="K25" s="82">
        <f t="shared" ca="1" si="0"/>
        <v>3.144999999999996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96.86</v>
      </c>
      <c r="K26" s="82">
        <f t="shared" ca="1" si="0"/>
        <v>3.1400000000000006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-0.50107142857142151</v>
      </c>
      <c r="U26" s="105">
        <f ca="1">T26/25*100</f>
        <v>-2.004285714285686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96.86</v>
      </c>
      <c r="K27" s="82">
        <f t="shared" ca="1" si="0"/>
        <v>3.1400000000000006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-4.2857142856860264E-3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96.86</v>
      </c>
      <c r="K28" s="82">
        <f t="shared" ca="1" si="0"/>
        <v>3.1400000000000006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96.86</v>
      </c>
      <c r="K29" s="82">
        <f t="shared" ca="1" si="0"/>
        <v>3.1400000000000006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-0.50107142857142151</v>
      </c>
      <c r="U29" s="105">
        <f ca="1">T29/25*100</f>
        <v>-2.004285714285686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96.86</v>
      </c>
      <c r="K30" s="82">
        <f t="shared" ca="1" si="0"/>
        <v>3.1400000000000006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-4.2857142856860264E-3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96.86</v>
      </c>
      <c r="K31" s="82">
        <f t="shared" ca="1" si="0"/>
        <v>3.1400000000000006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96.87</v>
      </c>
      <c r="K32" s="82">
        <f t="shared" ca="1" si="0"/>
        <v>3.1299999999999955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-0.51107142857142662</v>
      </c>
      <c r="U32" s="105">
        <f ca="1">T32/25*100</f>
        <v>-2.0442857142857065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96.87</v>
      </c>
      <c r="K33" s="82">
        <f t="shared" ca="1" si="0"/>
        <v>3.1299999999999955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-4.428571428570649E-2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96.87</v>
      </c>
      <c r="K34" s="82">
        <f t="shared" ca="1" si="0"/>
        <v>3.1299999999999955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96.87</v>
      </c>
      <c r="K35" s="82">
        <f t="shared" ca="1" si="0"/>
        <v>3.1299999999999955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-0.51107142857142662</v>
      </c>
      <c r="U35" s="105">
        <f ca="1">T35/25*100</f>
        <v>-2.0442857142857065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96.87</v>
      </c>
      <c r="K36" s="82">
        <f t="shared" ca="1" si="0"/>
        <v>3.1299999999999955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-4.428571428570649E-2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96.87</v>
      </c>
      <c r="K37" s="82">
        <f t="shared" ca="1" si="0"/>
        <v>3.1299999999999955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96.875</v>
      </c>
      <c r="K38" s="82">
        <f t="shared" ca="1" si="0"/>
        <v>3.125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-0.51607142857142208</v>
      </c>
      <c r="U38" s="105">
        <f ca="1">T38/25*100</f>
        <v>-2.0642857142856883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96.875</v>
      </c>
      <c r="K39" s="82">
        <f t="shared" ca="1" si="0"/>
        <v>3.125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-6.42857142856883E-2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96.875</v>
      </c>
      <c r="K40" s="82">
        <f t="shared" ca="1" si="0"/>
        <v>3.125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96.88</v>
      </c>
      <c r="K41" s="82">
        <f t="shared" ca="1" si="0"/>
        <v>3.1200000000000045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-0.52107142857141753</v>
      </c>
      <c r="U41" s="105">
        <f ca="1">T41/25*100</f>
        <v>-2.0842857142856701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96.88</v>
      </c>
      <c r="K42" s="82">
        <f t="shared" ca="1" si="0"/>
        <v>3.1200000000000045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-8.428571428567011E-2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96.88</v>
      </c>
      <c r="K43" s="82">
        <f t="shared" ca="1" si="0"/>
        <v>3.1200000000000045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96.88</v>
      </c>
      <c r="K44" s="82">
        <f t="shared" ca="1" si="0"/>
        <v>3.1200000000000045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-0.52107142857141753</v>
      </c>
      <c r="U44" s="105">
        <f ca="1">T44/25*100</f>
        <v>-2.0842857142856701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96.88</v>
      </c>
      <c r="K45" s="82">
        <f t="shared" ca="1" si="0"/>
        <v>3.1200000000000045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-8.428571428567011E-2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96.88</v>
      </c>
      <c r="K46" s="82">
        <f t="shared" ca="1" si="0"/>
        <v>3.1200000000000045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96.875</v>
      </c>
      <c r="K47" s="82">
        <f t="shared" ca="1" si="0"/>
        <v>3.125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-0.51607142857142208</v>
      </c>
      <c r="U47" s="105">
        <f ca="1">T47/25*100</f>
        <v>-2.0642857142856883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96.875</v>
      </c>
      <c r="K48" s="82">
        <f t="shared" ca="1" si="0"/>
        <v>3.125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-6.42857142856883E-2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96.875</v>
      </c>
      <c r="K49" s="82">
        <f t="shared" ca="1" si="0"/>
        <v>3.125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96.87</v>
      </c>
      <c r="K50" s="82">
        <f t="shared" ca="1" si="0"/>
        <v>3.1299999999999955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-0.51107142857142662</v>
      </c>
      <c r="U50" s="105">
        <f ca="1">T50/25*100</f>
        <v>-2.0442857142857065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96.87</v>
      </c>
      <c r="K51" s="82">
        <f t="shared" ca="1" si="0"/>
        <v>3.1299999999999955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-4.428571428570649E-2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96.87</v>
      </c>
      <c r="K52" s="82">
        <f t="shared" ca="1" si="0"/>
        <v>3.1299999999999955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96.87</v>
      </c>
      <c r="K53" s="82">
        <f t="shared" ca="1" si="0"/>
        <v>3.1299999999999955</v>
      </c>
      <c r="L53" s="82">
        <f ca="1">K53-K55</f>
        <v>-5.0000000000011369E-2</v>
      </c>
      <c r="M53" s="105">
        <f ca="1">L53/25*100</f>
        <v>-0.20000000000004545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-0.51107142857142662</v>
      </c>
      <c r="U53" s="105">
        <f ca="1">T53/25*100</f>
        <v>-2.0442857142857065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96.855000000000004</v>
      </c>
      <c r="K54" s="82">
        <f t="shared" ca="1" si="0"/>
        <v>3.144999999999996</v>
      </c>
      <c r="L54" s="96"/>
      <c r="M54" s="109"/>
      <c r="N54" s="97">
        <f ca="1">IF(M53&gt;0,MOD(M53,1),MOD(M53,-1))</f>
        <v>-0.20000000000004545</v>
      </c>
      <c r="O54" s="98">
        <f ca="1">IF(N53=-2,1-ABS(N54),IF(N53=-1,ABS(N54),0))</f>
        <v>0</v>
      </c>
      <c r="P54" s="98">
        <f ca="1">IF(N53=-1,1-ABS(N54),IF(N53=0,IF(N54&lt;0,ABS(N54),0),0))</f>
        <v>0.20000000000004545</v>
      </c>
      <c r="Q54" s="98">
        <f ca="1">IF(N53=0,1-ABS(N54),0)</f>
        <v>0.79999999999995453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-4.428571428570649E-2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96.82</v>
      </c>
      <c r="K55" s="82">
        <f t="shared" ca="1" si="0"/>
        <v>3.1800000000000068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96.82</v>
      </c>
      <c r="K56" s="82">
        <f t="shared" ca="1" si="0"/>
        <v>3.1800000000000068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-0.46107142857141525</v>
      </c>
      <c r="U56" s="105">
        <f ca="1">T56/25*100</f>
        <v>-1.8442857142856608</v>
      </c>
      <c r="V56" s="90">
        <f ca="1">TRUNC(U56,0)/1</f>
        <v>-1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96.82</v>
      </c>
      <c r="K57" s="82">
        <f t="shared" ca="1" si="0"/>
        <v>3.1800000000000068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-0.84428571428566079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96.82</v>
      </c>
      <c r="K58" s="82">
        <f t="shared" ca="1" si="0"/>
        <v>3.1800000000000068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96.82</v>
      </c>
      <c r="K59" s="82">
        <f t="shared" ca="1" si="0"/>
        <v>3.1800000000000068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-0.46107142857141525</v>
      </c>
      <c r="U59" s="105">
        <f ca="1">T59/25*100</f>
        <v>-1.8442857142856608</v>
      </c>
      <c r="V59" s="90">
        <f ca="1">TRUNC(U59,0)/1</f>
        <v>-1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96.78</v>
      </c>
      <c r="K60" s="82">
        <f t="shared" ca="1" si="0"/>
        <v>3.2199999999999989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-0.84428571428566079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96.775714285714287</v>
      </c>
      <c r="K61" s="82">
        <f t="shared" ca="1" si="0"/>
        <v>3.2242857142857133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96.770714285714263</v>
      </c>
      <c r="K62" s="82">
        <f t="shared" ca="1" si="0"/>
        <v>3.2292857142857372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-0.41178571428568489</v>
      </c>
      <c r="U62" s="105">
        <f ca="1">T62/25*100</f>
        <v>-1.6471428571427396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96.724999999999994</v>
      </c>
      <c r="K63" s="82">
        <f t="shared" ca="1" si="0"/>
        <v>3.2750000000000057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-0.64714285714273956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96.685000000000002</v>
      </c>
      <c r="K64" s="82">
        <f t="shared" ca="1" si="0"/>
        <v>3.3149999999999977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96.685000000000002</v>
      </c>
      <c r="K65" s="82">
        <f t="shared" ca="1" si="0"/>
        <v>3.3149999999999977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-0.32607142857142435</v>
      </c>
      <c r="U65" s="105">
        <f ca="1">T65/25*100</f>
        <v>-1.3042857142856974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96.685000000000002</v>
      </c>
      <c r="K66" s="82">
        <f t="shared" ca="1" si="0"/>
        <v>3.3149999999999977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-0.3042857142856974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96.685000000000002</v>
      </c>
      <c r="K67" s="82">
        <f t="shared" ca="1" si="0"/>
        <v>3.3149999999999977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96.685000000000002</v>
      </c>
      <c r="K68" s="82">
        <f t="shared" ca="1" si="0"/>
        <v>3.3149999999999977</v>
      </c>
      <c r="L68" s="82">
        <f ca="1">K68-K70</f>
        <v>-7.482758620689367E-2</v>
      </c>
      <c r="M68" s="105">
        <f ca="1">L68/25*100</f>
        <v>-0.29931034482757468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-0.32607142857142435</v>
      </c>
      <c r="U68" s="105">
        <f ca="1">T68/25*100</f>
        <v>-1.3042857142856974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96.614999999999995</v>
      </c>
      <c r="K69" s="82">
        <f t="shared" ref="K69:K87" ca="1" si="1">100-J69</f>
        <v>3.3850000000000051</v>
      </c>
      <c r="L69" s="96"/>
      <c r="M69" s="109"/>
      <c r="N69" s="97">
        <f ca="1">IF(M68&gt;0,MOD(M68,1),MOD(M68,-1))</f>
        <v>-0.29931034482757468</v>
      </c>
      <c r="O69" s="98">
        <f ca="1">IF(N68=-2,1-ABS(N69),IF(N68=-1,ABS(N69),0))</f>
        <v>0</v>
      </c>
      <c r="P69" s="98">
        <f ca="1">IF(N68=-1,1-ABS(N69),IF(N68=0,IF(N69&lt;0,ABS(N69),0),0))</f>
        <v>0.29931034482757468</v>
      </c>
      <c r="Q69" s="98">
        <f ca="1">IF(N68=0,1-ABS(N69),0)</f>
        <v>0.70068965517242532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-0.3042857142856974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96.610172413793109</v>
      </c>
      <c r="K70" s="82">
        <f t="shared" ca="1" si="1"/>
        <v>3.3898275862068914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96.606923076923053</v>
      </c>
      <c r="K71" s="82">
        <f t="shared" ca="1" si="1"/>
        <v>3.3930769230769471</v>
      </c>
      <c r="L71" s="82">
        <f ca="1">K71-K73</f>
        <v>-0.12692307692304894</v>
      </c>
      <c r="M71" s="105">
        <f ca="1">L71/25*100</f>
        <v>-0.50769230769219575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-0.24799450549447499</v>
      </c>
      <c r="U71" s="105">
        <f ca="1">T71/25*100</f>
        <v>-0.99197802197789997</v>
      </c>
      <c r="V71" s="90">
        <f ca="1">TRUNC(U71,0)/1</f>
        <v>0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96.534999999999997</v>
      </c>
      <c r="K72" s="82">
        <f t="shared" ca="1" si="1"/>
        <v>3.4650000000000034</v>
      </c>
      <c r="L72" s="96"/>
      <c r="M72" s="109"/>
      <c r="N72" s="97">
        <f ca="1">IF(M71&gt;0,MOD(M71,1),MOD(M71,-1))</f>
        <v>-0.50769230769219575</v>
      </c>
      <c r="O72" s="98">
        <f ca="1">IF(N71=-2,1-ABS(N72),IF(N71=-1,ABS(N72),0))</f>
        <v>0</v>
      </c>
      <c r="P72" s="98">
        <f ca="1">IF(N71=-1,1-ABS(N72),IF(N71=0,IF(N72&lt;0,ABS(N72),0),0))</f>
        <v>0.50769230769219575</v>
      </c>
      <c r="Q72" s="98">
        <f ca="1">IF(N71=0,1-ABS(N72),0)</f>
        <v>0.49230769230780425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-0.99197802197789997</v>
      </c>
      <c r="W72" s="99">
        <f ca="1">IF(V71&lt;0,100%,IF(V72&lt;0,ABS(V72),0))</f>
        <v>0.99197802197789997</v>
      </c>
      <c r="X72" s="100">
        <f ca="1">IF(V71=0,1-ABS(V72),0)</f>
        <v>8.0219780221000292E-3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96.48</v>
      </c>
      <c r="K73" s="82">
        <f t="shared" ca="1" si="1"/>
        <v>3.519999999999996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96.48</v>
      </c>
      <c r="K74" s="82">
        <f t="shared" ca="1" si="1"/>
        <v>3.519999999999996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-0.12107142857142605</v>
      </c>
      <c r="U74" s="105">
        <f ca="1">T74/25*100</f>
        <v>-0.48428571428570422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96.48</v>
      </c>
      <c r="K75" s="82">
        <f t="shared" ca="1" si="1"/>
        <v>3.519999999999996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-0.48428571428570422</v>
      </c>
      <c r="W75" s="99">
        <f ca="1">IF(V74&lt;0,100%,IF(V75&lt;0,ABS(V75),0))</f>
        <v>0.48428571428570422</v>
      </c>
      <c r="X75" s="100">
        <f ca="1">IF(V74=0,1-ABS(V75),0)</f>
        <v>0.51571428571429578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96.48</v>
      </c>
      <c r="K76" s="82">
        <f t="shared" ca="1" si="1"/>
        <v>3.519999999999996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96.48</v>
      </c>
      <c r="K77" s="82">
        <f t="shared" ca="1" si="1"/>
        <v>3.519999999999996</v>
      </c>
      <c r="L77" s="82">
        <f ca="1">K77-K79</f>
        <v>-4.6551724137927408E-2</v>
      </c>
      <c r="M77" s="105">
        <f ca="1">L77/25*100</f>
        <v>-0.18620689655170963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-0.12107142857142605</v>
      </c>
      <c r="U77" s="105">
        <f ca="1">T77/25*100</f>
        <v>-0.48428571428570422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96.435000000000002</v>
      </c>
      <c r="K78" s="82">
        <f t="shared" ca="1" si="1"/>
        <v>3.5649999999999977</v>
      </c>
      <c r="L78" s="96"/>
      <c r="M78" s="109"/>
      <c r="N78" s="97">
        <f ca="1">IF(M77&gt;0,MOD(M77,1),MOD(M77,-1))</f>
        <v>-0.18620689655170963</v>
      </c>
      <c r="O78" s="98">
        <f ca="1">IF(N77=-2,1-ABS(N78),IF(N77=-1,ABS(N78),0))</f>
        <v>0</v>
      </c>
      <c r="P78" s="98">
        <f ca="1">IF(N77=-1,1-ABS(N78),IF(N77=0,IF(N78&lt;0,ABS(N78),0),0))</f>
        <v>0.18620689655170963</v>
      </c>
      <c r="Q78" s="98">
        <f ca="1">IF(N77=0,1-ABS(N78),0)</f>
        <v>0.81379310344829037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-0.48428571428570422</v>
      </c>
      <c r="W78" s="99">
        <f ca="1">IF(V77&lt;0,100%,IF(V78&lt;0,ABS(V78),0))</f>
        <v>0.48428571428570422</v>
      </c>
      <c r="X78" s="100">
        <f ca="1">IF(V77=0,1-ABS(V78),0)</f>
        <v>0.51571428571429578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96.433448275862077</v>
      </c>
      <c r="K79" s="82">
        <f t="shared" ca="1" si="1"/>
        <v>3.5665517241379234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96.42961538461536</v>
      </c>
      <c r="K80" s="82">
        <f t="shared" ca="1" si="1"/>
        <v>3.5703846153846399</v>
      </c>
      <c r="L80" s="82">
        <f ca="1">K80-K82</f>
        <v>-5.9615384615355538E-2</v>
      </c>
      <c r="M80" s="105">
        <f ca="1">L80/25*100</f>
        <v>-0.23846153846142215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-7.068681318678216E-2</v>
      </c>
      <c r="U80" s="105">
        <f ca="1">T80/25*100</f>
        <v>-0.28274725274712864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96.394999999999996</v>
      </c>
      <c r="K81" s="82">
        <f t="shared" ca="1" si="1"/>
        <v>3.605000000000004</v>
      </c>
      <c r="L81" s="96"/>
      <c r="M81" s="109"/>
      <c r="N81" s="97">
        <f ca="1">IF(M80&gt;0,MOD(M80,1),MOD(M80,-1))</f>
        <v>-0.23846153846142215</v>
      </c>
      <c r="O81" s="98">
        <f ca="1">IF(N80=-2,1-ABS(N81),IF(N80=-1,ABS(N81),0))</f>
        <v>0</v>
      </c>
      <c r="P81" s="98">
        <f ca="1">IF(N80=-1,1-ABS(N81),IF(N80=0,IF(N81&lt;0,ABS(N81),0),0))</f>
        <v>0.23846153846142215</v>
      </c>
      <c r="Q81" s="98">
        <f ca="1">IF(N80=0,1-ABS(N81),0)</f>
        <v>0.76153846153857785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-0.28274725274712864</v>
      </c>
      <c r="W81" s="99">
        <f ca="1">IF(V80&lt;0,100%,IF(V81&lt;0,ABS(V81),0))</f>
        <v>0.28274725274712864</v>
      </c>
      <c r="X81" s="100">
        <f ca="1">IF(V80=0,1-ABS(V81),0)</f>
        <v>0.71725274725287136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96.37</v>
      </c>
      <c r="K82" s="82">
        <f t="shared" ca="1" si="1"/>
        <v>3.6299999999999955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96.37</v>
      </c>
      <c r="K83" s="82">
        <f t="shared" ca="1" si="1"/>
        <v>3.6299999999999955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-1.1071428571426623E-2</v>
      </c>
      <c r="U83" s="105">
        <f ca="1">T83/25*100</f>
        <v>-4.428571428570649E-2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96.37</v>
      </c>
      <c r="K84" s="83">
        <f t="shared" ca="1" si="1"/>
        <v>3.6299999999999955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-4.428571428570649E-2</v>
      </c>
      <c r="W84" s="99">
        <f ca="1">IF(V83&lt;0,100%,IF(V84&lt;0,ABS(V84),0))</f>
        <v>4.428571428570649E-2</v>
      </c>
      <c r="X84" s="100">
        <f ca="1">IF(V83=0,1-ABS(V84),0)</f>
        <v>0.95571428571429351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96.37</v>
      </c>
      <c r="K85" s="82">
        <f t="shared" ca="1" si="1"/>
        <v>3.6299999999999955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96.37</v>
      </c>
      <c r="K86" s="82">
        <f ca="1">100-J86</f>
        <v>3.6299999999999955</v>
      </c>
      <c r="L86" s="82">
        <f ca="1">K86-K88</f>
        <v>-1.1071428571426623E-2</v>
      </c>
      <c r="M86" s="105">
        <f ca="1">L86/25*100</f>
        <v>-4.428571428570649E-2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-1.1071428571426623E-2</v>
      </c>
      <c r="U86" s="105">
        <f ca="1">T86/25*100</f>
        <v>-4.428571428570649E-2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-4.428571428570649E-2</v>
      </c>
      <c r="O87" s="98">
        <f ca="1">IF(N86=-2,1-ABS(N87),IF(N86=-1,ABS(N87),0))</f>
        <v>0</v>
      </c>
      <c r="P87" s="98">
        <f ca="1">IF(N86=-1,1-ABS(N87),IF(N86=0,IF(N87&lt;0,ABS(N87),0),0))</f>
        <v>4.428571428570649E-2</v>
      </c>
      <c r="Q87" s="98">
        <f ca="1">IF(N86=0,1-ABS(N87),0)</f>
        <v>0.95571428571429351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-4.428571428570649E-2</v>
      </c>
      <c r="W87" s="99">
        <f ca="1">IF(V86&lt;0,100%,IF(V87&lt;0,ABS(V87),0))</f>
        <v>4.428571428570649E-2</v>
      </c>
      <c r="X87" s="100">
        <f ca="1">IF(V86=0,1-ABS(V87),0)</f>
        <v>0.95571428571429351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96.358928571428578</v>
      </c>
      <c r="K88" s="82">
        <f ca="1">100-J88</f>
        <v>3.6410714285714221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11:S13">
    <cfRule type="cellIs" dxfId="467" priority="12" operator="notEqual">
      <formula>0</formula>
    </cfRule>
  </conditionalFormatting>
  <conditionalFormatting sqref="W11:Y13">
    <cfRule type="cellIs" dxfId="466" priority="11" operator="notEqual">
      <formula>0</formula>
    </cfRule>
  </conditionalFormatting>
  <conditionalFormatting sqref="O53:S87">
    <cfRule type="cellIs" dxfId="465" priority="139" operator="notEqual">
      <formula>0</formula>
    </cfRule>
  </conditionalFormatting>
  <conditionalFormatting sqref="W53:Y88">
    <cfRule type="cellIs" dxfId="464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463" priority="133" operator="notEqual">
      <formula>0</formula>
    </cfRule>
  </conditionalFormatting>
  <conditionalFormatting sqref="W89:Y91">
    <cfRule type="cellIs" dxfId="462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461" priority="71" operator="notEqual">
      <formula>0</formula>
    </cfRule>
  </conditionalFormatting>
  <conditionalFormatting sqref="W50:Y52">
    <cfRule type="cellIs" dxfId="460" priority="70" operator="notEqual">
      <formula>0</formula>
    </cfRule>
  </conditionalFormatting>
  <conditionalFormatting sqref="O47:S49">
    <cfRule type="cellIs" dxfId="459" priority="69" operator="notEqual">
      <formula>0</formula>
    </cfRule>
  </conditionalFormatting>
  <conditionalFormatting sqref="W47:Y49">
    <cfRule type="cellIs" dxfId="458" priority="68" operator="notEqual">
      <formula>0</formula>
    </cfRule>
  </conditionalFormatting>
  <conditionalFormatting sqref="O44:S46">
    <cfRule type="cellIs" dxfId="457" priority="67" operator="notEqual">
      <formula>0</formula>
    </cfRule>
  </conditionalFormatting>
  <conditionalFormatting sqref="W44:Y46">
    <cfRule type="cellIs" dxfId="456" priority="66" operator="notEqual">
      <formula>0</formula>
    </cfRule>
  </conditionalFormatting>
  <conditionalFormatting sqref="O41:S43">
    <cfRule type="cellIs" dxfId="455" priority="65" operator="notEqual">
      <formula>0</formula>
    </cfRule>
  </conditionalFormatting>
  <conditionalFormatting sqref="W41:Y43">
    <cfRule type="cellIs" dxfId="454" priority="64" operator="notEqual">
      <formula>0</formula>
    </cfRule>
  </conditionalFormatting>
  <conditionalFormatting sqref="O38:S40">
    <cfRule type="cellIs" dxfId="453" priority="63" operator="notEqual">
      <formula>0</formula>
    </cfRule>
  </conditionalFormatting>
  <conditionalFormatting sqref="W38:Y40">
    <cfRule type="cellIs" dxfId="452" priority="62" operator="notEqual">
      <formula>0</formula>
    </cfRule>
  </conditionalFormatting>
  <conditionalFormatting sqref="O35:S37">
    <cfRule type="cellIs" dxfId="451" priority="61" operator="notEqual">
      <formula>0</formula>
    </cfRule>
  </conditionalFormatting>
  <conditionalFormatting sqref="W35:Y37">
    <cfRule type="cellIs" dxfId="450" priority="60" operator="notEqual">
      <formula>0</formula>
    </cfRule>
  </conditionalFormatting>
  <conditionalFormatting sqref="O32:S34">
    <cfRule type="cellIs" dxfId="449" priority="59" operator="notEqual">
      <formula>0</formula>
    </cfRule>
  </conditionalFormatting>
  <conditionalFormatting sqref="W32:Y34">
    <cfRule type="cellIs" dxfId="448" priority="58" operator="notEqual">
      <formula>0</formula>
    </cfRule>
  </conditionalFormatting>
  <conditionalFormatting sqref="O29:S31">
    <cfRule type="cellIs" dxfId="447" priority="57" operator="notEqual">
      <formula>0</formula>
    </cfRule>
  </conditionalFormatting>
  <conditionalFormatting sqref="W29:Y31">
    <cfRule type="cellIs" dxfId="446" priority="56" operator="notEqual">
      <formula>0</formula>
    </cfRule>
  </conditionalFormatting>
  <conditionalFormatting sqref="O26:S28">
    <cfRule type="cellIs" dxfId="445" priority="55" operator="notEqual">
      <formula>0</formula>
    </cfRule>
  </conditionalFormatting>
  <conditionalFormatting sqref="W26:Y28">
    <cfRule type="cellIs" dxfId="444" priority="54" operator="notEqual">
      <formula>0</formula>
    </cfRule>
  </conditionalFormatting>
  <conditionalFormatting sqref="O23:S25">
    <cfRule type="cellIs" dxfId="443" priority="53" operator="notEqual">
      <formula>0</formula>
    </cfRule>
  </conditionalFormatting>
  <conditionalFormatting sqref="W23:Y25">
    <cfRule type="cellIs" dxfId="442" priority="52" operator="notEqual">
      <formula>0</formula>
    </cfRule>
  </conditionalFormatting>
  <conditionalFormatting sqref="O20:S22">
    <cfRule type="cellIs" dxfId="441" priority="51" operator="notEqual">
      <formula>0</formula>
    </cfRule>
  </conditionalFormatting>
  <conditionalFormatting sqref="W20:Y22">
    <cfRule type="cellIs" dxfId="440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439" priority="20" operator="notEqual">
      <formula>0</formula>
    </cfRule>
  </conditionalFormatting>
  <conditionalFormatting sqref="W17:Y19">
    <cfRule type="cellIs" dxfId="438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437" priority="16" operator="notEqual">
      <formula>0</formula>
    </cfRule>
  </conditionalFormatting>
  <conditionalFormatting sqref="W14:Y16">
    <cfRule type="cellIs" dxfId="436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435" priority="8" operator="notEqual">
      <formula>0</formula>
    </cfRule>
  </conditionalFormatting>
  <conditionalFormatting sqref="W8:Y10">
    <cfRule type="cellIs" dxfId="434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433" priority="4" operator="notEqual">
      <formula>0</formula>
    </cfRule>
  </conditionalFormatting>
  <conditionalFormatting sqref="W5:Y7">
    <cfRule type="cellIs" dxfId="432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9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96.88</v>
      </c>
      <c r="K5" s="82">
        <f t="shared" ref="K5:K68" ca="1" si="0">100-J5</f>
        <v>3.1200000000000045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-0.5226785714285711</v>
      </c>
      <c r="U5" s="105">
        <f ca="1">T5/25*100</f>
        <v>-2.0907142857142844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96.88</v>
      </c>
      <c r="K6" s="82">
        <f t="shared" ca="1" si="0"/>
        <v>3.1200000000000045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-9.0714285714284415E-2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96.88</v>
      </c>
      <c r="K7" s="82">
        <f t="shared" ca="1" si="0"/>
        <v>3.1200000000000045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96.92</v>
      </c>
      <c r="K8" s="82">
        <f t="shared" ca="1" si="0"/>
        <v>3.0799999999999983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-0.56267857142857736</v>
      </c>
      <c r="U8" s="105">
        <f ca="1">T8/25*100</f>
        <v>-2.2507142857143094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96.92</v>
      </c>
      <c r="K9" s="82">
        <f t="shared" ca="1" si="0"/>
        <v>3.0799999999999983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-0.25071428571430943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96.92</v>
      </c>
      <c r="K10" s="82">
        <f t="shared" ca="1" si="0"/>
        <v>3.0799999999999983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96.935000000000002</v>
      </c>
      <c r="K11" s="82">
        <f t="shared" ca="1" si="0"/>
        <v>3.0649999999999977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-0.57767857142857792</v>
      </c>
      <c r="U11" s="105">
        <f ca="1">T11/25*100</f>
        <v>-2.3107142857143117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96.935000000000002</v>
      </c>
      <c r="K12" s="82">
        <f t="shared" ca="1" si="0"/>
        <v>3.0649999999999977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-0.3107142857143117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96.935000000000002</v>
      </c>
      <c r="K13" s="82">
        <f t="shared" ca="1" si="0"/>
        <v>3.0649999999999977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96.95</v>
      </c>
      <c r="K14" s="82">
        <f t="shared" ca="1" si="0"/>
        <v>3.0499999999999972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-0.59267857142857849</v>
      </c>
      <c r="U14" s="105">
        <f ca="1">T14/25*100</f>
        <v>-2.370714285714314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96.95</v>
      </c>
      <c r="K15" s="82">
        <f t="shared" ca="1" si="0"/>
        <v>3.0499999999999972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-0.37071428571431397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96.95</v>
      </c>
      <c r="K16" s="82">
        <f t="shared" ca="1" si="0"/>
        <v>3.0499999999999972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96.87</v>
      </c>
      <c r="K17" s="82">
        <f t="shared" ca="1" si="0"/>
        <v>3.1299999999999955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-0.5126785714285802</v>
      </c>
      <c r="U17" s="105">
        <f ca="1">T17/25*100</f>
        <v>-2.0507142857143208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96.87</v>
      </c>
      <c r="K18" s="82">
        <f t="shared" ca="1" si="0"/>
        <v>3.1299999999999955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-5.0714285714320795E-2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96.87</v>
      </c>
      <c r="K19" s="82">
        <f t="shared" ca="1" si="0"/>
        <v>3.1299999999999955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96.885000000000005</v>
      </c>
      <c r="K20" s="82">
        <f t="shared" ca="1" si="0"/>
        <v>3.1149999999999949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-0.52767857142858077</v>
      </c>
      <c r="U20" s="105">
        <f ca="1">T20/25*100</f>
        <v>-2.1107142857143231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96.885000000000005</v>
      </c>
      <c r="K21" s="82">
        <f t="shared" ca="1" si="0"/>
        <v>3.1149999999999949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-0.11071428571432307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96.885000000000005</v>
      </c>
      <c r="K22" s="82">
        <f t="shared" ca="1" si="0"/>
        <v>3.1149999999999949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96.905000000000001</v>
      </c>
      <c r="K23" s="82">
        <f t="shared" ca="1" si="0"/>
        <v>3.0949999999999989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-0.54767857142857679</v>
      </c>
      <c r="U23" s="105">
        <f ca="1">T23/25*100</f>
        <v>-2.1907142857143072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96.905000000000001</v>
      </c>
      <c r="K24" s="82">
        <f t="shared" ca="1" si="0"/>
        <v>3.0949999999999989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-0.19071428571430715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96.905000000000001</v>
      </c>
      <c r="K25" s="82">
        <f t="shared" ca="1" si="0"/>
        <v>3.0949999999999989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96.91</v>
      </c>
      <c r="K26" s="82">
        <f t="shared" ca="1" si="0"/>
        <v>3.0900000000000034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-0.55267857142857224</v>
      </c>
      <c r="U26" s="105">
        <f ca="1">T26/25*100</f>
        <v>-2.210714285714289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96.91</v>
      </c>
      <c r="K27" s="82">
        <f t="shared" ca="1" si="0"/>
        <v>3.0900000000000034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-0.21071428571428896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96.91</v>
      </c>
      <c r="K28" s="82">
        <f t="shared" ca="1" si="0"/>
        <v>3.0900000000000034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96.91</v>
      </c>
      <c r="K29" s="82">
        <f t="shared" ca="1" si="0"/>
        <v>3.0900000000000034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-0.55267857142857224</v>
      </c>
      <c r="U29" s="105">
        <f ca="1">T29/25*100</f>
        <v>-2.210714285714289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96.91</v>
      </c>
      <c r="K30" s="82">
        <f t="shared" ca="1" si="0"/>
        <v>3.0900000000000034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-0.21071428571428896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96.91</v>
      </c>
      <c r="K31" s="82">
        <f t="shared" ca="1" si="0"/>
        <v>3.0900000000000034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96.92</v>
      </c>
      <c r="K32" s="82">
        <f t="shared" ca="1" si="0"/>
        <v>3.0799999999999983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-0.56267857142857736</v>
      </c>
      <c r="U32" s="105">
        <f ca="1">T32/25*100</f>
        <v>-2.2507142857143094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96.92</v>
      </c>
      <c r="K33" s="82">
        <f t="shared" ca="1" si="0"/>
        <v>3.0799999999999983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-0.25071428571430943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96.92</v>
      </c>
      <c r="K34" s="82">
        <f t="shared" ca="1" si="0"/>
        <v>3.0799999999999983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96.91</v>
      </c>
      <c r="K35" s="82">
        <f t="shared" ca="1" si="0"/>
        <v>3.0900000000000034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-0.55267857142857224</v>
      </c>
      <c r="U35" s="105">
        <f ca="1">T35/25*100</f>
        <v>-2.210714285714289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96.91</v>
      </c>
      <c r="K36" s="82">
        <f t="shared" ca="1" si="0"/>
        <v>3.0900000000000034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-0.21071428571428896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96.91</v>
      </c>
      <c r="K37" s="82">
        <f t="shared" ca="1" si="0"/>
        <v>3.0900000000000034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96.93</v>
      </c>
      <c r="K38" s="82">
        <f t="shared" ca="1" si="0"/>
        <v>3.0699999999999932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-0.57267857142858247</v>
      </c>
      <c r="U38" s="105">
        <f ca="1">T38/25*100</f>
        <v>-2.2907142857143299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96.93</v>
      </c>
      <c r="K39" s="82">
        <f t="shared" ca="1" si="0"/>
        <v>3.0699999999999932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-0.29071428571432989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96.93</v>
      </c>
      <c r="K40" s="82">
        <f t="shared" ca="1" si="0"/>
        <v>3.0699999999999932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96.94</v>
      </c>
      <c r="K41" s="82">
        <f t="shared" ca="1" si="0"/>
        <v>3.0600000000000023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-0.58267857142857338</v>
      </c>
      <c r="U41" s="105">
        <f ca="1">T41/25*100</f>
        <v>-2.3307142857142935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96.94</v>
      </c>
      <c r="K42" s="82">
        <f t="shared" ca="1" si="0"/>
        <v>3.0600000000000023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-0.33071428571429351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96.94</v>
      </c>
      <c r="K43" s="82">
        <f t="shared" ca="1" si="0"/>
        <v>3.0600000000000023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96.94</v>
      </c>
      <c r="K44" s="82">
        <f t="shared" ca="1" si="0"/>
        <v>3.0600000000000023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-0.58267857142857338</v>
      </c>
      <c r="U44" s="105">
        <f ca="1">T44/25*100</f>
        <v>-2.3307142857142935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96.94</v>
      </c>
      <c r="K45" s="82">
        <f t="shared" ca="1" si="0"/>
        <v>3.0600000000000023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-0.33071428571429351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96.94</v>
      </c>
      <c r="K46" s="82">
        <f t="shared" ca="1" si="0"/>
        <v>3.0600000000000023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96.935000000000002</v>
      </c>
      <c r="K47" s="82">
        <f t="shared" ca="1" si="0"/>
        <v>3.0649999999999977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-0.57767857142857792</v>
      </c>
      <c r="U47" s="105">
        <f ca="1">T47/25*100</f>
        <v>-2.3107142857143117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96.935000000000002</v>
      </c>
      <c r="K48" s="82">
        <f t="shared" ca="1" si="0"/>
        <v>3.0649999999999977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-0.3107142857143117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96.935000000000002</v>
      </c>
      <c r="K49" s="82">
        <f t="shared" ca="1" si="0"/>
        <v>3.0649999999999977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96.93</v>
      </c>
      <c r="K50" s="82">
        <f t="shared" ca="1" si="0"/>
        <v>3.0699999999999932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-0.57267857142858247</v>
      </c>
      <c r="U50" s="105">
        <f ca="1">T50/25*100</f>
        <v>-2.2907142857143299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96.93</v>
      </c>
      <c r="K51" s="82">
        <f t="shared" ca="1" si="0"/>
        <v>3.0699999999999932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-0.29071428571432989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96.93</v>
      </c>
      <c r="K52" s="82">
        <f t="shared" ca="1" si="0"/>
        <v>3.0699999999999932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96.93</v>
      </c>
      <c r="K53" s="82">
        <f t="shared" ca="1" si="0"/>
        <v>3.0699999999999932</v>
      </c>
      <c r="L53" s="82">
        <f ca="1">K53-K55</f>
        <v>-5.0000000000011369E-2</v>
      </c>
      <c r="M53" s="105">
        <f ca="1">L53/25*100</f>
        <v>-0.20000000000004545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-0.57267857142858247</v>
      </c>
      <c r="U53" s="105">
        <f ca="1">T53/25*100</f>
        <v>-2.2907142857143299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96.915000000000006</v>
      </c>
      <c r="K54" s="82">
        <f t="shared" ca="1" si="0"/>
        <v>3.0849999999999937</v>
      </c>
      <c r="L54" s="96"/>
      <c r="M54" s="109"/>
      <c r="N54" s="97">
        <f ca="1">IF(M53&gt;0,MOD(M53,1),MOD(M53,-1))</f>
        <v>-0.20000000000004545</v>
      </c>
      <c r="O54" s="98">
        <f ca="1">IF(N53=-2,1-ABS(N54),IF(N53=-1,ABS(N54),0))</f>
        <v>0</v>
      </c>
      <c r="P54" s="98">
        <f ca="1">IF(N53=-1,1-ABS(N54),IF(N53=0,IF(N54&lt;0,ABS(N54),0),0))</f>
        <v>0.20000000000004545</v>
      </c>
      <c r="Q54" s="98">
        <f ca="1">IF(N53=0,1-ABS(N54),0)</f>
        <v>0.79999999999995453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-0.29071428571432989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96.88</v>
      </c>
      <c r="K55" s="82">
        <f t="shared" ca="1" si="0"/>
        <v>3.1200000000000045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96.88</v>
      </c>
      <c r="K56" s="82">
        <f t="shared" ca="1" si="0"/>
        <v>3.1200000000000045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-0.5226785714285711</v>
      </c>
      <c r="U56" s="105">
        <f ca="1">T56/25*100</f>
        <v>-2.0907142857142844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96.88</v>
      </c>
      <c r="K57" s="82">
        <f t="shared" ca="1" si="0"/>
        <v>3.1200000000000045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-9.0714285714284415E-2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96.88</v>
      </c>
      <c r="K58" s="82">
        <f t="shared" ca="1" si="0"/>
        <v>3.1200000000000045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96.88</v>
      </c>
      <c r="K59" s="82">
        <f t="shared" ca="1" si="0"/>
        <v>3.1200000000000045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-0.5226785714285711</v>
      </c>
      <c r="U59" s="105">
        <f ca="1">T59/25*100</f>
        <v>-2.0907142857142844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96.84</v>
      </c>
      <c r="K60" s="82">
        <f t="shared" ca="1" si="0"/>
        <v>3.1599999999999966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-9.0714285714284415E-2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96.835714285714289</v>
      </c>
      <c r="K61" s="82">
        <f t="shared" ca="1" si="0"/>
        <v>3.164285714285711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96.83642857142857</v>
      </c>
      <c r="K62" s="82">
        <f t="shared" ca="1" si="0"/>
        <v>3.16357142857143</v>
      </c>
      <c r="L62" s="82">
        <f ca="1">K62-K64</f>
        <v>-9.6428571428575083E-2</v>
      </c>
      <c r="M62" s="105">
        <f ca="1">L62/25*100</f>
        <v>-0.38571428571430033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-0.47910714285714562</v>
      </c>
      <c r="U62" s="105">
        <f ca="1">T62/25*100</f>
        <v>-1.9164285714285825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96.784999999999997</v>
      </c>
      <c r="K63" s="82">
        <f t="shared" ca="1" si="0"/>
        <v>3.2150000000000034</v>
      </c>
      <c r="L63" s="96"/>
      <c r="M63" s="109"/>
      <c r="N63" s="97">
        <f ca="1">IF(M62&gt;0,MOD(M62,1),MOD(M62,-1))</f>
        <v>-0.38571428571430033</v>
      </c>
      <c r="O63" s="98">
        <f ca="1">IF(N62=-2,1-ABS(N63),IF(N62=-1,ABS(N63),0))</f>
        <v>0</v>
      </c>
      <c r="P63" s="98">
        <f ca="1">IF(N62=-1,1-ABS(N63),IF(N62=0,IF(N63&lt;0,ABS(N63),0),0))</f>
        <v>0.38571428571430033</v>
      </c>
      <c r="Q63" s="98">
        <f ca="1">IF(N62=0,1-ABS(N63),0)</f>
        <v>0.61428571428569967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-0.91642857142858247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96.74</v>
      </c>
      <c r="K64" s="82">
        <f t="shared" ca="1" si="0"/>
        <v>3.2600000000000051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96.74</v>
      </c>
      <c r="K65" s="82">
        <f t="shared" ca="1" si="0"/>
        <v>3.2600000000000051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-0.38267857142857054</v>
      </c>
      <c r="U65" s="105">
        <f ca="1">T65/25*100</f>
        <v>-1.5307142857142821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96.74</v>
      </c>
      <c r="K66" s="82">
        <f t="shared" ca="1" si="0"/>
        <v>3.2600000000000051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-0.53071428571428214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96.74</v>
      </c>
      <c r="K67" s="82">
        <f t="shared" ca="1" si="0"/>
        <v>3.2600000000000051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96.74</v>
      </c>
      <c r="K68" s="82">
        <f t="shared" ca="1" si="0"/>
        <v>3.2600000000000051</v>
      </c>
      <c r="L68" s="82">
        <f ca="1">K68-K70</f>
        <v>-8.0172413793079045E-2</v>
      </c>
      <c r="M68" s="105">
        <f ca="1">L68/25*100</f>
        <v>-0.32068965517231618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-0.38267857142857054</v>
      </c>
      <c r="U68" s="105">
        <f ca="1">T68/25*100</f>
        <v>-1.5307142857142821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96.665000000000006</v>
      </c>
      <c r="K69" s="82">
        <f t="shared" ref="K69:K87" ca="1" si="1">100-J69</f>
        <v>3.3349999999999937</v>
      </c>
      <c r="L69" s="96"/>
      <c r="M69" s="109"/>
      <c r="N69" s="97">
        <f ca="1">IF(M68&gt;0,MOD(M68,1),MOD(M68,-1))</f>
        <v>-0.32068965517231618</v>
      </c>
      <c r="O69" s="98">
        <f ca="1">IF(N68=-2,1-ABS(N69),IF(N68=-1,ABS(N69),0))</f>
        <v>0</v>
      </c>
      <c r="P69" s="98">
        <f ca="1">IF(N68=-1,1-ABS(N69),IF(N68=0,IF(N69&lt;0,ABS(N69),0),0))</f>
        <v>0.32068965517231618</v>
      </c>
      <c r="Q69" s="98">
        <f ca="1">IF(N68=0,1-ABS(N69),0)</f>
        <v>0.67931034482768382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-0.53071428571428214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96.659827586206916</v>
      </c>
      <c r="K70" s="82">
        <f t="shared" ca="1" si="1"/>
        <v>3.3401724137930842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96.658461538461538</v>
      </c>
      <c r="K71" s="82">
        <f t="shared" ca="1" si="1"/>
        <v>3.3415384615384625</v>
      </c>
      <c r="L71" s="82">
        <f ca="1">K71-K73</f>
        <v>-0.13846153846154152</v>
      </c>
      <c r="M71" s="105">
        <f ca="1">L71/25*100</f>
        <v>-0.55384615384616609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-0.30114010989011319</v>
      </c>
      <c r="U71" s="105">
        <f ca="1">T71/25*100</f>
        <v>-1.2045604395604528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96.58</v>
      </c>
      <c r="K72" s="82">
        <f t="shared" ca="1" si="1"/>
        <v>3.4200000000000017</v>
      </c>
      <c r="L72" s="96"/>
      <c r="M72" s="109"/>
      <c r="N72" s="97">
        <f ca="1">IF(M71&gt;0,MOD(M71,1),MOD(M71,-1))</f>
        <v>-0.55384615384616609</v>
      </c>
      <c r="O72" s="98">
        <f ca="1">IF(N71=-2,1-ABS(N72),IF(N71=-1,ABS(N72),0))</f>
        <v>0</v>
      </c>
      <c r="P72" s="98">
        <f ca="1">IF(N71=-1,1-ABS(N72),IF(N71=0,IF(N72&lt;0,ABS(N72),0),0))</f>
        <v>0.55384615384616609</v>
      </c>
      <c r="Q72" s="98">
        <f ca="1">IF(N71=0,1-ABS(N72),0)</f>
        <v>0.44615384615383391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-0.20456043956045278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96.52</v>
      </c>
      <c r="K73" s="82">
        <f t="shared" ca="1" si="1"/>
        <v>3.480000000000004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96.52</v>
      </c>
      <c r="K74" s="82">
        <f t="shared" ca="1" si="1"/>
        <v>3.480000000000004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-0.16267857142857167</v>
      </c>
      <c r="U74" s="105">
        <f ca="1">T74/25*100</f>
        <v>-0.65071428571428669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96.52</v>
      </c>
      <c r="K75" s="82">
        <f t="shared" ca="1" si="1"/>
        <v>3.480000000000004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-0.65071428571428669</v>
      </c>
      <c r="W75" s="99">
        <f ca="1">IF(V74&lt;0,100%,IF(V75&lt;0,ABS(V75),0))</f>
        <v>0.65071428571428669</v>
      </c>
      <c r="X75" s="100">
        <f ca="1">IF(V74=0,1-ABS(V75),0)</f>
        <v>0.34928571428571331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96.52</v>
      </c>
      <c r="K76" s="82">
        <f t="shared" ca="1" si="1"/>
        <v>3.480000000000004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96.52</v>
      </c>
      <c r="K77" s="82">
        <f t="shared" ca="1" si="1"/>
        <v>3.480000000000004</v>
      </c>
      <c r="L77" s="82">
        <f ca="1">K77-K79</f>
        <v>-4.6551724137927408E-2</v>
      </c>
      <c r="M77" s="105">
        <f ca="1">L77/25*100</f>
        <v>-0.18620689655170963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-0.16267857142857167</v>
      </c>
      <c r="U77" s="105">
        <f ca="1">T77/25*100</f>
        <v>-0.65071428571428669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96.474999999999994</v>
      </c>
      <c r="K78" s="82">
        <f t="shared" ca="1" si="1"/>
        <v>3.5250000000000057</v>
      </c>
      <c r="L78" s="96"/>
      <c r="M78" s="109"/>
      <c r="N78" s="97">
        <f ca="1">IF(M77&gt;0,MOD(M77,1),MOD(M77,-1))</f>
        <v>-0.18620689655170963</v>
      </c>
      <c r="O78" s="98">
        <f ca="1">IF(N77=-2,1-ABS(N78),IF(N77=-1,ABS(N78),0))</f>
        <v>0</v>
      </c>
      <c r="P78" s="98">
        <f ca="1">IF(N77=-1,1-ABS(N78),IF(N77=0,IF(N78&lt;0,ABS(N78),0),0))</f>
        <v>0.18620689655170963</v>
      </c>
      <c r="Q78" s="98">
        <f ca="1">IF(N77=0,1-ABS(N78),0)</f>
        <v>0.81379310344829037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-0.65071428571428669</v>
      </c>
      <c r="W78" s="99">
        <f ca="1">IF(V77&lt;0,100%,IF(V78&lt;0,ABS(V78),0))</f>
        <v>0.65071428571428669</v>
      </c>
      <c r="X78" s="100">
        <f ca="1">IF(V77=0,1-ABS(V78),0)</f>
        <v>0.34928571428571331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96.473448275862069</v>
      </c>
      <c r="K79" s="82">
        <f t="shared" ca="1" si="1"/>
        <v>3.5265517241379314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96.468461538461511</v>
      </c>
      <c r="K80" s="82">
        <f t="shared" ca="1" si="1"/>
        <v>3.5315384615384886</v>
      </c>
      <c r="L80" s="82">
        <f ca="1">K80-K82</f>
        <v>-8.3461538461506279E-2</v>
      </c>
      <c r="M80" s="105">
        <f ca="1">L80/25*100</f>
        <v>-0.33384615384602512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-0.11114010989008705</v>
      </c>
      <c r="U80" s="105">
        <f ca="1">T80/25*100</f>
        <v>-0.44456043956034819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96.42</v>
      </c>
      <c r="K81" s="82">
        <f t="shared" ca="1" si="1"/>
        <v>3.5799999999999983</v>
      </c>
      <c r="L81" s="96"/>
      <c r="M81" s="109"/>
      <c r="N81" s="97">
        <f ca="1">IF(M80&gt;0,MOD(M80,1),MOD(M80,-1))</f>
        <v>-0.33384615384602512</v>
      </c>
      <c r="O81" s="98">
        <f ca="1">IF(N80=-2,1-ABS(N81),IF(N80=-1,ABS(N81),0))</f>
        <v>0</v>
      </c>
      <c r="P81" s="98">
        <f ca="1">IF(N80=-1,1-ABS(N81),IF(N80=0,IF(N81&lt;0,ABS(N81),0),0))</f>
        <v>0.33384615384602512</v>
      </c>
      <c r="Q81" s="98">
        <f ca="1">IF(N80=0,1-ABS(N81),0)</f>
        <v>0.66615384615397488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-0.44456043956034819</v>
      </c>
      <c r="W81" s="99">
        <f ca="1">IF(V80&lt;0,100%,IF(V81&lt;0,ABS(V81),0))</f>
        <v>0.44456043956034819</v>
      </c>
      <c r="X81" s="100">
        <f ca="1">IF(V80=0,1-ABS(V81),0)</f>
        <v>0.55543956043965181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96.385000000000005</v>
      </c>
      <c r="K82" s="82">
        <f t="shared" ca="1" si="1"/>
        <v>3.6149999999999949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96.385000000000005</v>
      </c>
      <c r="K83" s="82">
        <f t="shared" ca="1" si="1"/>
        <v>3.6149999999999949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-2.7678571428580767E-2</v>
      </c>
      <c r="U83" s="105">
        <f ca="1">T83/25*100</f>
        <v>-0.11071428571432307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96.385000000000005</v>
      </c>
      <c r="K84" s="83">
        <f t="shared" ca="1" si="1"/>
        <v>3.6149999999999949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-0.11071428571432307</v>
      </c>
      <c r="W84" s="99">
        <f ca="1">IF(V83&lt;0,100%,IF(V84&lt;0,ABS(V84),0))</f>
        <v>0.11071428571432307</v>
      </c>
      <c r="X84" s="100">
        <f ca="1">IF(V83=0,1-ABS(V84),0)</f>
        <v>0.88928571428567693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96.385000000000005</v>
      </c>
      <c r="K85" s="82">
        <f t="shared" ca="1" si="1"/>
        <v>3.6149999999999949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96.385000000000005</v>
      </c>
      <c r="K86" s="82">
        <f ca="1">100-J86</f>
        <v>3.6149999999999949</v>
      </c>
      <c r="L86" s="82">
        <f ca="1">K86-K88</f>
        <v>-2.7678571428580767E-2</v>
      </c>
      <c r="M86" s="105">
        <f ca="1">L86/25*100</f>
        <v>-0.11071428571432307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-2.7678571428580767E-2</v>
      </c>
      <c r="U86" s="105">
        <f ca="1">T86/25*100</f>
        <v>-0.11071428571432307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-0.11071428571432307</v>
      </c>
      <c r="O87" s="98">
        <f ca="1">IF(N86=-2,1-ABS(N87),IF(N86=-1,ABS(N87),0))</f>
        <v>0</v>
      </c>
      <c r="P87" s="98">
        <f ca="1">IF(N86=-1,1-ABS(N87),IF(N86=0,IF(N87&lt;0,ABS(N87),0),0))</f>
        <v>0.11071428571432307</v>
      </c>
      <c r="Q87" s="98">
        <f ca="1">IF(N86=0,1-ABS(N87),0)</f>
        <v>0.88928571428567693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-0.11071428571432307</v>
      </c>
      <c r="W87" s="99">
        <f ca="1">IF(V86&lt;0,100%,IF(V87&lt;0,ABS(V87),0))</f>
        <v>0.11071428571432307</v>
      </c>
      <c r="X87" s="100">
        <f ca="1">IF(V86=0,1-ABS(V87),0)</f>
        <v>0.88928571428567693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96.357321428571424</v>
      </c>
      <c r="K88" s="82">
        <f ca="1">100-J88</f>
        <v>3.6426785714285757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11:S13">
    <cfRule type="cellIs" dxfId="431" priority="12" operator="notEqual">
      <formula>0</formula>
    </cfRule>
  </conditionalFormatting>
  <conditionalFormatting sqref="W11:Y13">
    <cfRule type="cellIs" dxfId="430" priority="11" operator="notEqual">
      <formula>0</formula>
    </cfRule>
  </conditionalFormatting>
  <conditionalFormatting sqref="O53:S87">
    <cfRule type="cellIs" dxfId="429" priority="139" operator="notEqual">
      <formula>0</formula>
    </cfRule>
  </conditionalFormatting>
  <conditionalFormatting sqref="W53:Y88">
    <cfRule type="cellIs" dxfId="428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427" priority="133" operator="notEqual">
      <formula>0</formula>
    </cfRule>
  </conditionalFormatting>
  <conditionalFormatting sqref="W89:Y91">
    <cfRule type="cellIs" dxfId="426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425" priority="71" operator="notEqual">
      <formula>0</formula>
    </cfRule>
  </conditionalFormatting>
  <conditionalFormatting sqref="W50:Y52">
    <cfRule type="cellIs" dxfId="424" priority="70" operator="notEqual">
      <formula>0</formula>
    </cfRule>
  </conditionalFormatting>
  <conditionalFormatting sqref="O47:S49">
    <cfRule type="cellIs" dxfId="423" priority="69" operator="notEqual">
      <formula>0</formula>
    </cfRule>
  </conditionalFormatting>
  <conditionalFormatting sqref="W47:Y49">
    <cfRule type="cellIs" dxfId="422" priority="68" operator="notEqual">
      <formula>0</formula>
    </cfRule>
  </conditionalFormatting>
  <conditionalFormatting sqref="O44:S46">
    <cfRule type="cellIs" dxfId="421" priority="67" operator="notEqual">
      <formula>0</formula>
    </cfRule>
  </conditionalFormatting>
  <conditionalFormatting sqref="W44:Y46">
    <cfRule type="cellIs" dxfId="420" priority="66" operator="notEqual">
      <formula>0</formula>
    </cfRule>
  </conditionalFormatting>
  <conditionalFormatting sqref="O41:S43">
    <cfRule type="cellIs" dxfId="419" priority="65" operator="notEqual">
      <formula>0</formula>
    </cfRule>
  </conditionalFormatting>
  <conditionalFormatting sqref="W41:Y43">
    <cfRule type="cellIs" dxfId="418" priority="64" operator="notEqual">
      <formula>0</formula>
    </cfRule>
  </conditionalFormatting>
  <conditionalFormatting sqref="O38:S40">
    <cfRule type="cellIs" dxfId="417" priority="63" operator="notEqual">
      <formula>0</formula>
    </cfRule>
  </conditionalFormatting>
  <conditionalFormatting sqref="W38:Y40">
    <cfRule type="cellIs" dxfId="416" priority="62" operator="notEqual">
      <formula>0</formula>
    </cfRule>
  </conditionalFormatting>
  <conditionalFormatting sqref="O35:S37">
    <cfRule type="cellIs" dxfId="415" priority="61" operator="notEqual">
      <formula>0</formula>
    </cfRule>
  </conditionalFormatting>
  <conditionalFormatting sqref="W35:Y37">
    <cfRule type="cellIs" dxfId="414" priority="60" operator="notEqual">
      <formula>0</formula>
    </cfRule>
  </conditionalFormatting>
  <conditionalFormatting sqref="O32:S34">
    <cfRule type="cellIs" dxfId="413" priority="59" operator="notEqual">
      <formula>0</formula>
    </cfRule>
  </conditionalFormatting>
  <conditionalFormatting sqref="W32:Y34">
    <cfRule type="cellIs" dxfId="412" priority="58" operator="notEqual">
      <formula>0</formula>
    </cfRule>
  </conditionalFormatting>
  <conditionalFormatting sqref="O29:S31">
    <cfRule type="cellIs" dxfId="411" priority="57" operator="notEqual">
      <formula>0</formula>
    </cfRule>
  </conditionalFormatting>
  <conditionalFormatting sqref="W29:Y31">
    <cfRule type="cellIs" dxfId="410" priority="56" operator="notEqual">
      <formula>0</formula>
    </cfRule>
  </conditionalFormatting>
  <conditionalFormatting sqref="O26:S28">
    <cfRule type="cellIs" dxfId="409" priority="55" operator="notEqual">
      <formula>0</formula>
    </cfRule>
  </conditionalFormatting>
  <conditionalFormatting sqref="W26:Y28">
    <cfRule type="cellIs" dxfId="408" priority="54" operator="notEqual">
      <formula>0</formula>
    </cfRule>
  </conditionalFormatting>
  <conditionalFormatting sqref="O23:S25">
    <cfRule type="cellIs" dxfId="407" priority="53" operator="notEqual">
      <formula>0</formula>
    </cfRule>
  </conditionalFormatting>
  <conditionalFormatting sqref="W23:Y25">
    <cfRule type="cellIs" dxfId="406" priority="52" operator="notEqual">
      <formula>0</formula>
    </cfRule>
  </conditionalFormatting>
  <conditionalFormatting sqref="O20:S22">
    <cfRule type="cellIs" dxfId="405" priority="51" operator="notEqual">
      <formula>0</formula>
    </cfRule>
  </conditionalFormatting>
  <conditionalFormatting sqref="W20:Y22">
    <cfRule type="cellIs" dxfId="404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403" priority="20" operator="notEqual">
      <formula>0</formula>
    </cfRule>
  </conditionalFormatting>
  <conditionalFormatting sqref="W17:Y19">
    <cfRule type="cellIs" dxfId="402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401" priority="16" operator="notEqual">
      <formula>0</formula>
    </cfRule>
  </conditionalFormatting>
  <conditionalFormatting sqref="W14:Y16">
    <cfRule type="cellIs" dxfId="400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399" priority="8" operator="notEqual">
      <formula>0</formula>
    </cfRule>
  </conditionalFormatting>
  <conditionalFormatting sqref="W8:Y10">
    <cfRule type="cellIs" dxfId="398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397" priority="4" operator="notEqual">
      <formula>0</formula>
    </cfRule>
  </conditionalFormatting>
  <conditionalFormatting sqref="W5:Y7">
    <cfRule type="cellIs" dxfId="396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10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96.905000000000001</v>
      </c>
      <c r="K5" s="82">
        <f t="shared" ref="K5:K68" ca="1" si="0">100-J5</f>
        <v>3.0949999999999989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-0.54544642857142378</v>
      </c>
      <c r="U5" s="105">
        <f ca="1">T5/25*100</f>
        <v>-2.1817857142856951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96.905000000000001</v>
      </c>
      <c r="K6" s="82">
        <f t="shared" ca="1" si="0"/>
        <v>3.0949999999999989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-0.18178571428569512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96.905000000000001</v>
      </c>
      <c r="K7" s="82">
        <f t="shared" ca="1" si="0"/>
        <v>3.0949999999999989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96.944999999999993</v>
      </c>
      <c r="K8" s="82">
        <f t="shared" ca="1" si="0"/>
        <v>3.0550000000000068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-0.58544642857141582</v>
      </c>
      <c r="U8" s="105">
        <f ca="1">T8/25*100</f>
        <v>-2.3417857142856633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96.944999999999993</v>
      </c>
      <c r="K9" s="82">
        <f t="shared" ca="1" si="0"/>
        <v>3.0550000000000068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-0.34178571428566329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96.944999999999993</v>
      </c>
      <c r="K10" s="82">
        <f t="shared" ca="1" si="0"/>
        <v>3.0550000000000068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96.96</v>
      </c>
      <c r="K11" s="82">
        <f t="shared" ca="1" si="0"/>
        <v>3.0400000000000063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-0.60044642857141639</v>
      </c>
      <c r="U11" s="105">
        <f ca="1">T11/25*100</f>
        <v>-2.4017857142856656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96.96</v>
      </c>
      <c r="K12" s="82">
        <f t="shared" ca="1" si="0"/>
        <v>3.0400000000000063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-0.40178571428566556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96.96</v>
      </c>
      <c r="K13" s="82">
        <f t="shared" ca="1" si="0"/>
        <v>3.0400000000000063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96.974999999999994</v>
      </c>
      <c r="K14" s="82">
        <f t="shared" ca="1" si="0"/>
        <v>3.0250000000000057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-0.61544642857141696</v>
      </c>
      <c r="U14" s="105">
        <f ca="1">T14/25*100</f>
        <v>-2.4617857142856678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96.974999999999994</v>
      </c>
      <c r="K15" s="82">
        <f t="shared" ca="1" si="0"/>
        <v>3.0250000000000057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-0.46178571428566784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96.974999999999994</v>
      </c>
      <c r="K16" s="82">
        <f t="shared" ca="1" si="0"/>
        <v>3.0250000000000057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96.894999999999996</v>
      </c>
      <c r="K17" s="82">
        <f t="shared" ca="1" si="0"/>
        <v>3.105000000000004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-0.53544642857141866</v>
      </c>
      <c r="U17" s="105">
        <f ca="1">T17/25*100</f>
        <v>-2.1417857142856747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96.894999999999996</v>
      </c>
      <c r="K18" s="82">
        <f t="shared" ca="1" si="0"/>
        <v>3.105000000000004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-0.14178571428567466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96.894999999999996</v>
      </c>
      <c r="K19" s="82">
        <f t="shared" ca="1" si="0"/>
        <v>3.105000000000004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96.91</v>
      </c>
      <c r="K20" s="82">
        <f t="shared" ca="1" si="0"/>
        <v>3.0900000000000034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-0.55044642857141923</v>
      </c>
      <c r="U20" s="105">
        <f ca="1">T20/25*100</f>
        <v>-2.2017857142856769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96.91</v>
      </c>
      <c r="K21" s="82">
        <f t="shared" ca="1" si="0"/>
        <v>3.0900000000000034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-0.20178571428567693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96.91</v>
      </c>
      <c r="K22" s="82">
        <f t="shared" ca="1" si="0"/>
        <v>3.0900000000000034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96.93</v>
      </c>
      <c r="K23" s="82">
        <f t="shared" ca="1" si="0"/>
        <v>3.0699999999999932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-0.57044642857142946</v>
      </c>
      <c r="U23" s="105">
        <f ca="1">T23/25*100</f>
        <v>-2.2817857142857179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96.93</v>
      </c>
      <c r="K24" s="82">
        <f t="shared" ca="1" si="0"/>
        <v>3.0699999999999932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-0.28178571428571786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96.93</v>
      </c>
      <c r="K25" s="82">
        <f t="shared" ca="1" si="0"/>
        <v>3.0699999999999932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96.935000000000002</v>
      </c>
      <c r="K26" s="82">
        <f t="shared" ca="1" si="0"/>
        <v>3.0649999999999977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-0.57544642857142492</v>
      </c>
      <c r="U26" s="105">
        <f ca="1">T26/25*100</f>
        <v>-2.3017857142856997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96.935000000000002</v>
      </c>
      <c r="K27" s="82">
        <f t="shared" ca="1" si="0"/>
        <v>3.0649999999999977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-0.30178571428569967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96.935000000000002</v>
      </c>
      <c r="K28" s="82">
        <f t="shared" ca="1" si="0"/>
        <v>3.0649999999999977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96.935000000000002</v>
      </c>
      <c r="K29" s="82">
        <f t="shared" ca="1" si="0"/>
        <v>3.0649999999999977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-0.57544642857142492</v>
      </c>
      <c r="U29" s="105">
        <f ca="1">T29/25*100</f>
        <v>-2.3017857142856997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96.935000000000002</v>
      </c>
      <c r="K30" s="82">
        <f t="shared" ca="1" si="0"/>
        <v>3.0649999999999977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-0.30178571428569967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96.935000000000002</v>
      </c>
      <c r="K31" s="82">
        <f t="shared" ca="1" si="0"/>
        <v>3.0649999999999977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96.944999999999993</v>
      </c>
      <c r="K32" s="82">
        <f t="shared" ca="1" si="0"/>
        <v>3.0550000000000068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-0.58544642857141582</v>
      </c>
      <c r="U32" s="105">
        <f ca="1">T32/25*100</f>
        <v>-2.3417857142856633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96.944999999999993</v>
      </c>
      <c r="K33" s="82">
        <f t="shared" ca="1" si="0"/>
        <v>3.0550000000000068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-0.34178571428566329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96.944999999999993</v>
      </c>
      <c r="K34" s="82">
        <f t="shared" ca="1" si="0"/>
        <v>3.0550000000000068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96.935000000000002</v>
      </c>
      <c r="K35" s="82">
        <f t="shared" ca="1" si="0"/>
        <v>3.0649999999999977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-0.57544642857142492</v>
      </c>
      <c r="U35" s="105">
        <f ca="1">T35/25*100</f>
        <v>-2.3017857142856997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96.935000000000002</v>
      </c>
      <c r="K36" s="82">
        <f t="shared" ca="1" si="0"/>
        <v>3.0649999999999977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-0.30178571428569967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96.935000000000002</v>
      </c>
      <c r="K37" s="82">
        <f t="shared" ca="1" si="0"/>
        <v>3.0649999999999977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96.954999999999998</v>
      </c>
      <c r="K38" s="82">
        <f t="shared" ca="1" si="0"/>
        <v>3.0450000000000017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-0.59544642857142094</v>
      </c>
      <c r="U38" s="105">
        <f ca="1">T38/25*100</f>
        <v>-2.3817857142856838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96.954999999999998</v>
      </c>
      <c r="K39" s="82">
        <f t="shared" ca="1" si="0"/>
        <v>3.0450000000000017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-0.38178571428568375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96.954999999999998</v>
      </c>
      <c r="K40" s="82">
        <f t="shared" ca="1" si="0"/>
        <v>3.0450000000000017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96.965000000000003</v>
      </c>
      <c r="K41" s="82">
        <f t="shared" ca="1" si="0"/>
        <v>3.0349999999999966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-0.60544642857142605</v>
      </c>
      <c r="U41" s="105">
        <f ca="1">T41/25*100</f>
        <v>-2.4217857142857042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96.965000000000003</v>
      </c>
      <c r="K42" s="82">
        <f t="shared" ca="1" si="0"/>
        <v>3.0349999999999966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-0.42178571428570422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96.965000000000003</v>
      </c>
      <c r="K43" s="82">
        <f t="shared" ca="1" si="0"/>
        <v>3.0349999999999966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96.965000000000003</v>
      </c>
      <c r="K44" s="82">
        <f t="shared" ca="1" si="0"/>
        <v>3.0349999999999966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-0.60544642857142605</v>
      </c>
      <c r="U44" s="105">
        <f ca="1">T44/25*100</f>
        <v>-2.4217857142857042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96.965000000000003</v>
      </c>
      <c r="K45" s="82">
        <f t="shared" ca="1" si="0"/>
        <v>3.0349999999999966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-0.42178571428570422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96.965000000000003</v>
      </c>
      <c r="K46" s="82">
        <f t="shared" ca="1" si="0"/>
        <v>3.0349999999999966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96.96</v>
      </c>
      <c r="K47" s="82">
        <f t="shared" ca="1" si="0"/>
        <v>3.0400000000000063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-0.60044642857141639</v>
      </c>
      <c r="U47" s="105">
        <f ca="1">T47/25*100</f>
        <v>-2.4017857142856656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96.96</v>
      </c>
      <c r="K48" s="82">
        <f t="shared" ca="1" si="0"/>
        <v>3.0400000000000063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-0.40178571428566556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96.96</v>
      </c>
      <c r="K49" s="82">
        <f t="shared" ca="1" si="0"/>
        <v>3.0400000000000063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96.954999999999998</v>
      </c>
      <c r="K50" s="82">
        <f t="shared" ca="1" si="0"/>
        <v>3.0450000000000017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-0.59544642857142094</v>
      </c>
      <c r="U50" s="105">
        <f ca="1">T50/25*100</f>
        <v>-2.3817857142856838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96.954999999999998</v>
      </c>
      <c r="K51" s="82">
        <f t="shared" ca="1" si="0"/>
        <v>3.0450000000000017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-0.38178571428568375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96.954999999999998</v>
      </c>
      <c r="K52" s="82">
        <f t="shared" ca="1" si="0"/>
        <v>3.0450000000000017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96.954999999999998</v>
      </c>
      <c r="K53" s="82">
        <f t="shared" ca="1" si="0"/>
        <v>3.0450000000000017</v>
      </c>
      <c r="L53" s="82">
        <f ca="1">K53-K55</f>
        <v>-5.499999999999261E-2</v>
      </c>
      <c r="M53" s="105">
        <f ca="1">L53/25*100</f>
        <v>-0.21999999999997044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-0.59544642857142094</v>
      </c>
      <c r="U53" s="105">
        <f ca="1">T53/25*100</f>
        <v>-2.3817857142856838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96.94</v>
      </c>
      <c r="K54" s="82">
        <f t="shared" ca="1" si="0"/>
        <v>3.0600000000000023</v>
      </c>
      <c r="L54" s="96"/>
      <c r="M54" s="109"/>
      <c r="N54" s="97">
        <f ca="1">IF(M53&gt;0,MOD(M53,1),MOD(M53,-1))</f>
        <v>-0.21999999999997044</v>
      </c>
      <c r="O54" s="98">
        <f ca="1">IF(N53=-2,1-ABS(N54),IF(N53=-1,ABS(N54),0))</f>
        <v>0</v>
      </c>
      <c r="P54" s="98">
        <f ca="1">IF(N53=-1,1-ABS(N54),IF(N53=0,IF(N54&lt;0,ABS(N54),0),0))</f>
        <v>0.21999999999997044</v>
      </c>
      <c r="Q54" s="98">
        <f ca="1">IF(N53=0,1-ABS(N54),0)</f>
        <v>0.78000000000002956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-0.38178571428568375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</v>
      </c>
      <c r="K55" s="82">
        <f t="shared" ca="1" si="0"/>
        <v>3.0999999999999943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</v>
      </c>
      <c r="K56" s="82">
        <f t="shared" ca="1" si="0"/>
        <v>3.0999999999999943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-0.54044642857142833</v>
      </c>
      <c r="U56" s="105">
        <f ca="1">T56/25*100</f>
        <v>-2.1617857142857133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</v>
      </c>
      <c r="K57" s="82">
        <f t="shared" ca="1" si="0"/>
        <v>3.0999999999999943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-0.16178571428571331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</v>
      </c>
      <c r="K58" s="82">
        <f t="shared" ca="1" si="0"/>
        <v>3.0999999999999943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</v>
      </c>
      <c r="K59" s="82">
        <f t="shared" ca="1" si="0"/>
        <v>3.0999999999999943</v>
      </c>
      <c r="L59" s="82">
        <f ca="1">K59-K61</f>
        <v>-4.9821428571419801E-2</v>
      </c>
      <c r="M59" s="105">
        <f ca="1">L59/25*100</f>
        <v>-0.19928571428567921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-0.54044642857142833</v>
      </c>
      <c r="U59" s="105">
        <f ca="1">T59/25*100</f>
        <v>-2.1617857142857133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96.855000000000004</v>
      </c>
      <c r="K60" s="82">
        <f t="shared" ca="1" si="0"/>
        <v>3.144999999999996</v>
      </c>
      <c r="L60" s="96"/>
      <c r="M60" s="109"/>
      <c r="N60" s="97">
        <f ca="1">IF(M59&gt;0,MOD(M59,1),MOD(M59,-1))</f>
        <v>-0.19928571428567921</v>
      </c>
      <c r="O60" s="98">
        <f ca="1">IF(N59=-2,1-ABS(N60),IF(N59=-1,ABS(N60),0))</f>
        <v>0</v>
      </c>
      <c r="P60" s="98">
        <f ca="1">IF(N59=-1,1-ABS(N60),IF(N59=0,IF(N60&lt;0,ABS(N60),0),0))</f>
        <v>0.19928571428567921</v>
      </c>
      <c r="Q60" s="98">
        <f ca="1">IF(N59=0,1-ABS(N60),0)</f>
        <v>0.80071428571432079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-0.16178571428571331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96.850178571428586</v>
      </c>
      <c r="K61" s="82">
        <f t="shared" ca="1" si="0"/>
        <v>3.1498214285714141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96.84571428571428</v>
      </c>
      <c r="K62" s="82">
        <f t="shared" ca="1" si="0"/>
        <v>3.1542857142857201</v>
      </c>
      <c r="L62" s="82">
        <f ca="1">K62-K64</f>
        <v>-8.5714285714274752E-2</v>
      </c>
      <c r="M62" s="105">
        <f ca="1">L62/25*100</f>
        <v>-0.34285714285709901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-0.48616071428570251</v>
      </c>
      <c r="U62" s="105">
        <f ca="1">T62/25*100</f>
        <v>-1.94464285714281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</v>
      </c>
      <c r="K63" s="82">
        <f t="shared" ca="1" si="0"/>
        <v>3.2000000000000028</v>
      </c>
      <c r="L63" s="96"/>
      <c r="M63" s="109"/>
      <c r="N63" s="97">
        <f ca="1">IF(M62&gt;0,MOD(M62,1),MOD(M62,-1))</f>
        <v>-0.34285714285709901</v>
      </c>
      <c r="O63" s="98">
        <f ca="1">IF(N62=-2,1-ABS(N63),IF(N62=-1,ABS(N63),0))</f>
        <v>0</v>
      </c>
      <c r="P63" s="98">
        <f ca="1">IF(N62=-1,1-ABS(N63),IF(N62=0,IF(N63&lt;0,ABS(N63),0),0))</f>
        <v>0.34285714285709901</v>
      </c>
      <c r="Q63" s="98">
        <f ca="1">IF(N62=0,1-ABS(N63),0)</f>
        <v>0.65714285714290099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-0.94464285714281004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96.76</v>
      </c>
      <c r="K64" s="82">
        <f t="shared" ca="1" si="0"/>
        <v>3.2399999999999949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96.76</v>
      </c>
      <c r="K65" s="82">
        <f t="shared" ca="1" si="0"/>
        <v>3.2399999999999949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-0.40044642857142776</v>
      </c>
      <c r="U65" s="105">
        <f ca="1">T65/25*100</f>
        <v>-1.601785714285711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96.76</v>
      </c>
      <c r="K66" s="82">
        <f t="shared" ca="1" si="0"/>
        <v>3.2399999999999949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-0.60178571428571104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96.76</v>
      </c>
      <c r="K67" s="82">
        <f t="shared" ca="1" si="0"/>
        <v>3.2399999999999949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96.76</v>
      </c>
      <c r="K68" s="82">
        <f t="shared" ca="1" si="0"/>
        <v>3.2399999999999949</v>
      </c>
      <c r="L68" s="82">
        <f ca="1">K68-K70</f>
        <v>-8.0172413793107467E-2</v>
      </c>
      <c r="M68" s="105">
        <f ca="1">L68/25*100</f>
        <v>-0.32068965517242987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-0.40044642857142776</v>
      </c>
      <c r="U68" s="105">
        <f ca="1">T68/25*100</f>
        <v>-1.601785714285711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96.685000000000002</v>
      </c>
      <c r="K69" s="82">
        <f t="shared" ref="K69:K87" ca="1" si="1">100-J69</f>
        <v>3.3149999999999977</v>
      </c>
      <c r="L69" s="96"/>
      <c r="M69" s="109"/>
      <c r="N69" s="97">
        <f ca="1">IF(M68&gt;0,MOD(M68,1),MOD(M68,-1))</f>
        <v>-0.32068965517242987</v>
      </c>
      <c r="O69" s="98">
        <f ca="1">IF(N68=-2,1-ABS(N69),IF(N68=-1,ABS(N69),0))</f>
        <v>0</v>
      </c>
      <c r="P69" s="98">
        <f ca="1">IF(N68=-1,1-ABS(N69),IF(N68=0,IF(N69&lt;0,ABS(N69),0),0))</f>
        <v>0.32068965517242987</v>
      </c>
      <c r="Q69" s="98">
        <f ca="1">IF(N68=0,1-ABS(N69),0)</f>
        <v>0.67931034482757013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-0.60178571428571104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96.679827586206898</v>
      </c>
      <c r="K70" s="82">
        <f t="shared" ca="1" si="1"/>
        <v>3.3201724137931024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96.679999999999993</v>
      </c>
      <c r="K71" s="82">
        <f t="shared" ca="1" si="1"/>
        <v>3.3200000000000074</v>
      </c>
      <c r="L71" s="82">
        <f ca="1">K71-K73</f>
        <v>-0.14999999999999147</v>
      </c>
      <c r="M71" s="105">
        <f ca="1">L71/25*100</f>
        <v>-0.59999999999996589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-0.32044642857141525</v>
      </c>
      <c r="U71" s="105">
        <f ca="1">T71/25*100</f>
        <v>-1.281785714285661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96.594999999999999</v>
      </c>
      <c r="K72" s="82">
        <f t="shared" ca="1" si="1"/>
        <v>3.4050000000000011</v>
      </c>
      <c r="L72" s="96"/>
      <c r="M72" s="109"/>
      <c r="N72" s="97">
        <f ca="1">IF(M71&gt;0,MOD(M71,1),MOD(M71,-1))</f>
        <v>-0.59999999999996589</v>
      </c>
      <c r="O72" s="98">
        <f ca="1">IF(N71=-2,1-ABS(N72),IF(N71=-1,ABS(N72),0))</f>
        <v>0</v>
      </c>
      <c r="P72" s="98">
        <f ca="1">IF(N71=-1,1-ABS(N72),IF(N71=0,IF(N72&lt;0,ABS(N72),0),0))</f>
        <v>0.59999999999996589</v>
      </c>
      <c r="Q72" s="98">
        <f ca="1">IF(N71=0,1-ABS(N72),0)</f>
        <v>0.40000000000003411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-0.28178571428566102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96.53</v>
      </c>
      <c r="K73" s="82">
        <f t="shared" ca="1" si="1"/>
        <v>3.4699999999999989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96.53</v>
      </c>
      <c r="K74" s="82">
        <f t="shared" ca="1" si="1"/>
        <v>3.4699999999999989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-0.17044642857142378</v>
      </c>
      <c r="U74" s="105">
        <f ca="1">T74/25*100</f>
        <v>-0.68178571428569512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96.53</v>
      </c>
      <c r="K75" s="82">
        <f t="shared" ca="1" si="1"/>
        <v>3.4699999999999989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-0.68178571428569512</v>
      </c>
      <c r="W75" s="99">
        <f ca="1">IF(V74&lt;0,100%,IF(V75&lt;0,ABS(V75),0))</f>
        <v>0.68178571428569512</v>
      </c>
      <c r="X75" s="100">
        <f ca="1">IF(V74=0,1-ABS(V75),0)</f>
        <v>0.31821428571430488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96.53</v>
      </c>
      <c r="K76" s="82">
        <f t="shared" ca="1" si="1"/>
        <v>3.4699999999999989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96.53</v>
      </c>
      <c r="K77" s="82">
        <f t="shared" ca="1" si="1"/>
        <v>3.4699999999999989</v>
      </c>
      <c r="L77" s="82">
        <f ca="1">K77-K79</f>
        <v>-5.1724137931046243E-2</v>
      </c>
      <c r="M77" s="105">
        <f ca="1">L77/25*100</f>
        <v>-0.206896551724185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-0.17044642857142378</v>
      </c>
      <c r="U77" s="105">
        <f ca="1">T77/25*100</f>
        <v>-0.68178571428569512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96.48</v>
      </c>
      <c r="K78" s="82">
        <f t="shared" ca="1" si="1"/>
        <v>3.519999999999996</v>
      </c>
      <c r="L78" s="96"/>
      <c r="M78" s="109"/>
      <c r="N78" s="97">
        <f ca="1">IF(M77&gt;0,MOD(M77,1),MOD(M77,-1))</f>
        <v>-0.206896551724185</v>
      </c>
      <c r="O78" s="98">
        <f ca="1">IF(N77=-2,1-ABS(N78),IF(N77=-1,ABS(N78),0))</f>
        <v>0</v>
      </c>
      <c r="P78" s="98">
        <f ca="1">IF(N77=-1,1-ABS(N78),IF(N77=0,IF(N78&lt;0,ABS(N78),0),0))</f>
        <v>0.206896551724185</v>
      </c>
      <c r="Q78" s="98">
        <f ca="1">IF(N77=0,1-ABS(N78),0)</f>
        <v>0.79310344827581503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-0.68178571428569512</v>
      </c>
      <c r="W78" s="99">
        <f ca="1">IF(V77&lt;0,100%,IF(V78&lt;0,ABS(V78),0))</f>
        <v>0.68178571428569512</v>
      </c>
      <c r="X78" s="100">
        <f ca="1">IF(V77=0,1-ABS(V78),0)</f>
        <v>0.31821428571430488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96.478275862068955</v>
      </c>
      <c r="K79" s="82">
        <f t="shared" ca="1" si="1"/>
        <v>3.5217241379310451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96.473461538461507</v>
      </c>
      <c r="K80" s="82">
        <f t="shared" ca="1" si="1"/>
        <v>3.5265384615384932</v>
      </c>
      <c r="L80" s="82">
        <f ca="1">K80-K82</f>
        <v>-8.3461538461506279E-2</v>
      </c>
      <c r="M80" s="105">
        <f ca="1">L80/25*100</f>
        <v>-0.33384615384602512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-0.11390796703292949</v>
      </c>
      <c r="U80" s="105">
        <f ca="1">T80/25*100</f>
        <v>-0.45563186813171797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96.424999999999997</v>
      </c>
      <c r="K81" s="82">
        <f t="shared" ca="1" si="1"/>
        <v>3.5750000000000028</v>
      </c>
      <c r="L81" s="96"/>
      <c r="M81" s="109"/>
      <c r="N81" s="97">
        <f ca="1">IF(M80&gt;0,MOD(M80,1),MOD(M80,-1))</f>
        <v>-0.33384615384602512</v>
      </c>
      <c r="O81" s="98">
        <f ca="1">IF(N80=-2,1-ABS(N81),IF(N80=-1,ABS(N81),0))</f>
        <v>0</v>
      </c>
      <c r="P81" s="98">
        <f ca="1">IF(N80=-1,1-ABS(N81),IF(N80=0,IF(N81&lt;0,ABS(N81),0),0))</f>
        <v>0.33384615384602512</v>
      </c>
      <c r="Q81" s="98">
        <f ca="1">IF(N80=0,1-ABS(N81),0)</f>
        <v>0.66615384615397488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-0.45563186813171797</v>
      </c>
      <c r="W81" s="99">
        <f ca="1">IF(V80&lt;0,100%,IF(V81&lt;0,ABS(V81),0))</f>
        <v>0.45563186813171797</v>
      </c>
      <c r="X81" s="100">
        <f ca="1">IF(V80=0,1-ABS(V81),0)</f>
        <v>0.54436813186828203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96.39</v>
      </c>
      <c r="K82" s="82">
        <f t="shared" ca="1" si="1"/>
        <v>3.6099999999999994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96.39</v>
      </c>
      <c r="K83" s="82">
        <f t="shared" ca="1" si="1"/>
        <v>3.6099999999999994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-3.0446428571423212E-2</v>
      </c>
      <c r="U83" s="105">
        <f ca="1">T83/25*100</f>
        <v>-0.12178571428569285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96.39</v>
      </c>
      <c r="K84" s="83">
        <f t="shared" ca="1" si="1"/>
        <v>3.6099999999999994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-0.12178571428569285</v>
      </c>
      <c r="W84" s="99">
        <f ca="1">IF(V83&lt;0,100%,IF(V84&lt;0,ABS(V84),0))</f>
        <v>0.12178571428569285</v>
      </c>
      <c r="X84" s="100">
        <f ca="1">IF(V83=0,1-ABS(V84),0)</f>
        <v>0.87821428571430715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96.39</v>
      </c>
      <c r="K85" s="82">
        <f t="shared" ca="1" si="1"/>
        <v>3.6099999999999994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96.39</v>
      </c>
      <c r="K86" s="82">
        <f ca="1">100-J86</f>
        <v>3.6099999999999994</v>
      </c>
      <c r="L86" s="82">
        <f ca="1">K86-K88</f>
        <v>-3.0446428571423212E-2</v>
      </c>
      <c r="M86" s="105">
        <f ca="1">L86/25*100</f>
        <v>-0.12178571428569285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-3.0446428571423212E-2</v>
      </c>
      <c r="U86" s="105">
        <f ca="1">T86/25*100</f>
        <v>-0.12178571428569285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96.362499999999997</v>
      </c>
      <c r="K87" s="82">
        <f t="shared" ca="1" si="1"/>
        <v>3.6375000000000028</v>
      </c>
      <c r="L87" s="102"/>
      <c r="M87" s="110"/>
      <c r="N87" s="97">
        <f ca="1">IF(M86&gt;0,MOD(M86,1),MOD(M86,-1))</f>
        <v>-0.12178571428569285</v>
      </c>
      <c r="O87" s="98">
        <f ca="1">IF(N86=-2,1-ABS(N87),IF(N86=-1,ABS(N87),0))</f>
        <v>0</v>
      </c>
      <c r="P87" s="98">
        <f ca="1">IF(N86=-1,1-ABS(N87),IF(N86=0,IF(N87&lt;0,ABS(N87),0),0))</f>
        <v>0.12178571428569285</v>
      </c>
      <c r="Q87" s="98">
        <f ca="1">IF(N86=0,1-ABS(N87),0)</f>
        <v>0.87821428571430715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-0.12178571428569285</v>
      </c>
      <c r="W87" s="99">
        <f ca="1">IF(V86&lt;0,100%,IF(V87&lt;0,ABS(V87),0))</f>
        <v>0.12178571428569285</v>
      </c>
      <c r="X87" s="100">
        <f ca="1">IF(V86=0,1-ABS(V87),0)</f>
        <v>0.87821428571430715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96.359553571428577</v>
      </c>
      <c r="K88" s="82">
        <f ca="1">100-J88</f>
        <v>3.6404464285714226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395" priority="139" operator="notEqual">
      <formula>0</formula>
    </cfRule>
  </conditionalFormatting>
  <conditionalFormatting sqref="W53:Y88">
    <cfRule type="cellIs" dxfId="394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393" priority="133" operator="notEqual">
      <formula>0</formula>
    </cfRule>
  </conditionalFormatting>
  <conditionalFormatting sqref="W89:Y91">
    <cfRule type="cellIs" dxfId="392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391" priority="71" operator="notEqual">
      <formula>0</formula>
    </cfRule>
  </conditionalFormatting>
  <conditionalFormatting sqref="W50:Y52">
    <cfRule type="cellIs" dxfId="390" priority="70" operator="notEqual">
      <formula>0</formula>
    </cfRule>
  </conditionalFormatting>
  <conditionalFormatting sqref="O47:S49">
    <cfRule type="cellIs" dxfId="389" priority="69" operator="notEqual">
      <formula>0</formula>
    </cfRule>
  </conditionalFormatting>
  <conditionalFormatting sqref="W47:Y49">
    <cfRule type="cellIs" dxfId="388" priority="68" operator="notEqual">
      <formula>0</formula>
    </cfRule>
  </conditionalFormatting>
  <conditionalFormatting sqref="O44:S46">
    <cfRule type="cellIs" dxfId="387" priority="67" operator="notEqual">
      <formula>0</formula>
    </cfRule>
  </conditionalFormatting>
  <conditionalFormatting sqref="W44:Y46">
    <cfRule type="cellIs" dxfId="386" priority="66" operator="notEqual">
      <formula>0</formula>
    </cfRule>
  </conditionalFormatting>
  <conditionalFormatting sqref="O41:S43">
    <cfRule type="cellIs" dxfId="385" priority="65" operator="notEqual">
      <formula>0</formula>
    </cfRule>
  </conditionalFormatting>
  <conditionalFormatting sqref="W41:Y43">
    <cfRule type="cellIs" dxfId="384" priority="64" operator="notEqual">
      <formula>0</formula>
    </cfRule>
  </conditionalFormatting>
  <conditionalFormatting sqref="O38:S40">
    <cfRule type="cellIs" dxfId="383" priority="63" operator="notEqual">
      <formula>0</formula>
    </cfRule>
  </conditionalFormatting>
  <conditionalFormatting sqref="W38:Y40">
    <cfRule type="cellIs" dxfId="382" priority="62" operator="notEqual">
      <formula>0</formula>
    </cfRule>
  </conditionalFormatting>
  <conditionalFormatting sqref="O35:S37">
    <cfRule type="cellIs" dxfId="381" priority="61" operator="notEqual">
      <formula>0</formula>
    </cfRule>
  </conditionalFormatting>
  <conditionalFormatting sqref="W35:Y37">
    <cfRule type="cellIs" dxfId="380" priority="60" operator="notEqual">
      <formula>0</formula>
    </cfRule>
  </conditionalFormatting>
  <conditionalFormatting sqref="O32:S34">
    <cfRule type="cellIs" dxfId="379" priority="59" operator="notEqual">
      <formula>0</formula>
    </cfRule>
  </conditionalFormatting>
  <conditionalFormatting sqref="W32:Y34">
    <cfRule type="cellIs" dxfId="378" priority="58" operator="notEqual">
      <formula>0</formula>
    </cfRule>
  </conditionalFormatting>
  <conditionalFormatting sqref="O29:S31">
    <cfRule type="cellIs" dxfId="377" priority="57" operator="notEqual">
      <formula>0</formula>
    </cfRule>
  </conditionalFormatting>
  <conditionalFormatting sqref="W29:Y31">
    <cfRule type="cellIs" dxfId="376" priority="56" operator="notEqual">
      <formula>0</formula>
    </cfRule>
  </conditionalFormatting>
  <conditionalFormatting sqref="O26:S28">
    <cfRule type="cellIs" dxfId="375" priority="55" operator="notEqual">
      <formula>0</formula>
    </cfRule>
  </conditionalFormatting>
  <conditionalFormatting sqref="W26:Y28">
    <cfRule type="cellIs" dxfId="374" priority="54" operator="notEqual">
      <formula>0</formula>
    </cfRule>
  </conditionalFormatting>
  <conditionalFormatting sqref="O23:S25">
    <cfRule type="cellIs" dxfId="373" priority="53" operator="notEqual">
      <formula>0</formula>
    </cfRule>
  </conditionalFormatting>
  <conditionalFormatting sqref="W23:Y25">
    <cfRule type="cellIs" dxfId="372" priority="52" operator="notEqual">
      <formula>0</formula>
    </cfRule>
  </conditionalFormatting>
  <conditionalFormatting sqref="O20:S22">
    <cfRule type="cellIs" dxfId="371" priority="51" operator="notEqual">
      <formula>0</formula>
    </cfRule>
  </conditionalFormatting>
  <conditionalFormatting sqref="W20:Y22">
    <cfRule type="cellIs" dxfId="370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369" priority="20" operator="notEqual">
      <formula>0</formula>
    </cfRule>
  </conditionalFormatting>
  <conditionalFormatting sqref="W17:Y19">
    <cfRule type="cellIs" dxfId="368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367" priority="16" operator="notEqual">
      <formula>0</formula>
    </cfRule>
  </conditionalFormatting>
  <conditionalFormatting sqref="W14:Y16">
    <cfRule type="cellIs" dxfId="366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365" priority="12" operator="notEqual">
      <formula>0</formula>
    </cfRule>
  </conditionalFormatting>
  <conditionalFormatting sqref="W11:Y13">
    <cfRule type="cellIs" dxfId="364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363" priority="8" operator="notEqual">
      <formula>0</formula>
    </cfRule>
  </conditionalFormatting>
  <conditionalFormatting sqref="W8:Y10">
    <cfRule type="cellIs" dxfId="362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361" priority="4" operator="notEqual">
      <formula>0</formula>
    </cfRule>
  </conditionalFormatting>
  <conditionalFormatting sqref="W5:Y7">
    <cfRule type="cellIs" dxfId="360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11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96.88</v>
      </c>
      <c r="K5" s="82">
        <f t="shared" ref="K5:K68" ca="1" si="0">100-J5</f>
        <v>3.1200000000000045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-0.52428571428571047</v>
      </c>
      <c r="U5" s="105">
        <f ca="1">T5/25*100</f>
        <v>-2.0971428571428419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96.88</v>
      </c>
      <c r="K6" s="82">
        <f t="shared" ca="1" si="0"/>
        <v>3.1200000000000045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-9.7142857142841876E-2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96.88</v>
      </c>
      <c r="K7" s="82">
        <f t="shared" ca="1" si="0"/>
        <v>3.1200000000000045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96.92</v>
      </c>
      <c r="K8" s="82">
        <f t="shared" ca="1" si="0"/>
        <v>3.0799999999999983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-0.56428571428571672</v>
      </c>
      <c r="U8" s="105">
        <f ca="1">T8/25*100</f>
        <v>-2.2571428571428669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96.92</v>
      </c>
      <c r="K9" s="82">
        <f t="shared" ca="1" si="0"/>
        <v>3.0799999999999983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-0.25714285714286689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96.92</v>
      </c>
      <c r="K10" s="82">
        <f t="shared" ca="1" si="0"/>
        <v>3.0799999999999983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96.935000000000002</v>
      </c>
      <c r="K11" s="82">
        <f t="shared" ca="1" si="0"/>
        <v>3.0649999999999977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-0.57928571428571729</v>
      </c>
      <c r="U11" s="105">
        <f ca="1">T11/25*100</f>
        <v>-2.3171428571428692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96.935000000000002</v>
      </c>
      <c r="K12" s="82">
        <f t="shared" ca="1" si="0"/>
        <v>3.0649999999999977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-0.31714285714286916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96.935000000000002</v>
      </c>
      <c r="K13" s="82">
        <f t="shared" ca="1" si="0"/>
        <v>3.0649999999999977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96.95</v>
      </c>
      <c r="K14" s="82">
        <f t="shared" ca="1" si="0"/>
        <v>3.0499999999999972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-0.59428571428571786</v>
      </c>
      <c r="U14" s="105">
        <f ca="1">T14/25*100</f>
        <v>-2.3771428571428714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96.95</v>
      </c>
      <c r="K15" s="82">
        <f t="shared" ca="1" si="0"/>
        <v>3.0499999999999972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-0.37714285714287143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96.95</v>
      </c>
      <c r="K16" s="82">
        <f t="shared" ca="1" si="0"/>
        <v>3.0499999999999972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96.87</v>
      </c>
      <c r="K17" s="82">
        <f t="shared" ca="1" si="0"/>
        <v>3.1299999999999955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-0.51428571428571956</v>
      </c>
      <c r="U17" s="105">
        <f ca="1">T17/25*100</f>
        <v>-2.0571428571428783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96.87</v>
      </c>
      <c r="K18" s="82">
        <f t="shared" ca="1" si="0"/>
        <v>3.1299999999999955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-5.7142857142878256E-2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96.87</v>
      </c>
      <c r="K19" s="82">
        <f t="shared" ca="1" si="0"/>
        <v>3.1299999999999955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96.885000000000005</v>
      </c>
      <c r="K20" s="82">
        <f t="shared" ca="1" si="0"/>
        <v>3.1149999999999949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-0.52928571428572013</v>
      </c>
      <c r="U20" s="105">
        <f ca="1">T20/25*100</f>
        <v>-2.1171428571428805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96.885000000000005</v>
      </c>
      <c r="K21" s="82">
        <f t="shared" ca="1" si="0"/>
        <v>3.1149999999999949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-0.11714285714288053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96.885000000000005</v>
      </c>
      <c r="K22" s="82">
        <f t="shared" ca="1" si="0"/>
        <v>3.1149999999999949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96.905000000000001</v>
      </c>
      <c r="K23" s="82">
        <f t="shared" ca="1" si="0"/>
        <v>3.0949999999999989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-0.54928571428571615</v>
      </c>
      <c r="U23" s="105">
        <f ca="1">T23/25*100</f>
        <v>-2.1971428571428646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96.905000000000001</v>
      </c>
      <c r="K24" s="82">
        <f t="shared" ca="1" si="0"/>
        <v>3.0949999999999989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-0.19714285714286461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96.905000000000001</v>
      </c>
      <c r="K25" s="82">
        <f t="shared" ca="1" si="0"/>
        <v>3.0949999999999989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96.91</v>
      </c>
      <c r="K26" s="82">
        <f t="shared" ca="1" si="0"/>
        <v>3.0900000000000034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-0.55428571428571161</v>
      </c>
      <c r="U26" s="105">
        <f ca="1">T26/25*100</f>
        <v>-2.2171428571428464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96.91</v>
      </c>
      <c r="K27" s="82">
        <f t="shared" ca="1" si="0"/>
        <v>3.0900000000000034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-0.21714285714284642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96.91</v>
      </c>
      <c r="K28" s="82">
        <f t="shared" ca="1" si="0"/>
        <v>3.0900000000000034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96.91</v>
      </c>
      <c r="K29" s="82">
        <f t="shared" ca="1" si="0"/>
        <v>3.0900000000000034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-0.55428571428571161</v>
      </c>
      <c r="U29" s="105">
        <f ca="1">T29/25*100</f>
        <v>-2.2171428571428464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96.91</v>
      </c>
      <c r="K30" s="82">
        <f t="shared" ca="1" si="0"/>
        <v>3.0900000000000034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-0.21714285714284642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96.91</v>
      </c>
      <c r="K31" s="82">
        <f t="shared" ca="1" si="0"/>
        <v>3.0900000000000034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96.92</v>
      </c>
      <c r="K32" s="82">
        <f t="shared" ca="1" si="0"/>
        <v>3.0799999999999983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-0.56428571428571672</v>
      </c>
      <c r="U32" s="105">
        <f ca="1">T32/25*100</f>
        <v>-2.2571428571428669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96.92</v>
      </c>
      <c r="K33" s="82">
        <f t="shared" ca="1" si="0"/>
        <v>3.0799999999999983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-0.25714285714286689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96.92</v>
      </c>
      <c r="K34" s="82">
        <f t="shared" ca="1" si="0"/>
        <v>3.0799999999999983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96.91</v>
      </c>
      <c r="K35" s="82">
        <f t="shared" ca="1" si="0"/>
        <v>3.0900000000000034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-0.55428571428571161</v>
      </c>
      <c r="U35" s="105">
        <f ca="1">T35/25*100</f>
        <v>-2.2171428571428464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96.91</v>
      </c>
      <c r="K36" s="82">
        <f t="shared" ca="1" si="0"/>
        <v>3.0900000000000034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-0.21714285714284642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96.91</v>
      </c>
      <c r="K37" s="82">
        <f t="shared" ca="1" si="0"/>
        <v>3.0900000000000034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96.93</v>
      </c>
      <c r="K38" s="82">
        <f t="shared" ca="1" si="0"/>
        <v>3.0699999999999932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-0.57428571428572184</v>
      </c>
      <c r="U38" s="105">
        <f ca="1">T38/25*100</f>
        <v>-2.2971428571428874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96.93</v>
      </c>
      <c r="K39" s="82">
        <f t="shared" ca="1" si="0"/>
        <v>3.0699999999999932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-0.29714285714288735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96.93</v>
      </c>
      <c r="K40" s="82">
        <f t="shared" ca="1" si="0"/>
        <v>3.0699999999999932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96.94</v>
      </c>
      <c r="K41" s="82">
        <f t="shared" ca="1" si="0"/>
        <v>3.0600000000000023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-0.58428571428571274</v>
      </c>
      <c r="U41" s="105">
        <f ca="1">T41/25*100</f>
        <v>-2.337142857142851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96.94</v>
      </c>
      <c r="K42" s="82">
        <f t="shared" ca="1" si="0"/>
        <v>3.0600000000000023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-0.33714285714285097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96.94</v>
      </c>
      <c r="K43" s="82">
        <f t="shared" ca="1" si="0"/>
        <v>3.0600000000000023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96.94</v>
      </c>
      <c r="K44" s="82">
        <f t="shared" ca="1" si="0"/>
        <v>3.0600000000000023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-0.58428571428571274</v>
      </c>
      <c r="U44" s="105">
        <f ca="1">T44/25*100</f>
        <v>-2.337142857142851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96.94</v>
      </c>
      <c r="K45" s="82">
        <f t="shared" ca="1" si="0"/>
        <v>3.0600000000000023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-0.33714285714285097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96.94</v>
      </c>
      <c r="K46" s="82">
        <f t="shared" ca="1" si="0"/>
        <v>3.0600000000000023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96.935000000000002</v>
      </c>
      <c r="K47" s="82">
        <f t="shared" ca="1" si="0"/>
        <v>3.0649999999999977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-0.57928571428571729</v>
      </c>
      <c r="U47" s="105">
        <f ca="1">T47/25*100</f>
        <v>-2.3171428571428692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96.935000000000002</v>
      </c>
      <c r="K48" s="82">
        <f t="shared" ca="1" si="0"/>
        <v>3.0649999999999977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-0.31714285714286916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96.935000000000002</v>
      </c>
      <c r="K49" s="82">
        <f t="shared" ca="1" si="0"/>
        <v>3.0649999999999977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96.935000000000002</v>
      </c>
      <c r="K50" s="82">
        <f t="shared" ca="1" si="0"/>
        <v>3.0649999999999977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-0.57928571428571729</v>
      </c>
      <c r="U50" s="105">
        <f ca="1">T50/25*100</f>
        <v>-2.3171428571428692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96.935000000000002</v>
      </c>
      <c r="K51" s="82">
        <f t="shared" ca="1" si="0"/>
        <v>3.0649999999999977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-0.31714285714286916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96.935000000000002</v>
      </c>
      <c r="K52" s="82">
        <f t="shared" ca="1" si="0"/>
        <v>3.0649999999999977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96.935000000000002</v>
      </c>
      <c r="K53" s="82">
        <f t="shared" ca="1" si="0"/>
        <v>3.0649999999999977</v>
      </c>
      <c r="L53" s="82">
        <f ca="1">K53-K55</f>
        <v>-4.5000000000001705E-2</v>
      </c>
      <c r="M53" s="105">
        <f ca="1">L53/25*100</f>
        <v>-0.18000000000000682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-0.57928571428571729</v>
      </c>
      <c r="U53" s="105">
        <f ca="1">T53/25*100</f>
        <v>-2.3171428571428692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96.92</v>
      </c>
      <c r="K54" s="82">
        <f t="shared" ca="1" si="0"/>
        <v>3.0799999999999983</v>
      </c>
      <c r="L54" s="96"/>
      <c r="M54" s="109"/>
      <c r="N54" s="97">
        <f ca="1">IF(M53&gt;0,MOD(M53,1),MOD(M53,-1))</f>
        <v>-0.18000000000000682</v>
      </c>
      <c r="O54" s="98">
        <f ca="1">IF(N53=-2,1-ABS(N54),IF(N53=-1,ABS(N54),0))</f>
        <v>0</v>
      </c>
      <c r="P54" s="98">
        <f ca="1">IF(N53=-1,1-ABS(N54),IF(N53=0,IF(N54&lt;0,ABS(N54),0),0))</f>
        <v>0.18000000000000682</v>
      </c>
      <c r="Q54" s="98">
        <f ca="1">IF(N53=0,1-ABS(N54),0)</f>
        <v>0.81999999999999318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-0.31714285714286916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96.89</v>
      </c>
      <c r="K55" s="82">
        <f t="shared" ca="1" si="0"/>
        <v>3.1099999999999994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96.89</v>
      </c>
      <c r="K56" s="82">
        <f t="shared" ca="1" si="0"/>
        <v>3.1099999999999994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-0.53428571428571558</v>
      </c>
      <c r="U56" s="105">
        <f ca="1">T56/25*100</f>
        <v>-2.1371428571428623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96.89</v>
      </c>
      <c r="K57" s="82">
        <f t="shared" ca="1" si="0"/>
        <v>3.1099999999999994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-0.13714285714286234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96.89</v>
      </c>
      <c r="K58" s="82">
        <f t="shared" ca="1" si="0"/>
        <v>3.1099999999999994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96.89</v>
      </c>
      <c r="K59" s="82">
        <f t="shared" ca="1" si="0"/>
        <v>3.1099999999999994</v>
      </c>
      <c r="L59" s="82">
        <f ca="1">K59-K61</f>
        <v>-4.4285714285720701E-2</v>
      </c>
      <c r="M59" s="105">
        <f ca="1">L59/25*100</f>
        <v>-0.1771428571428828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-0.53428571428571558</v>
      </c>
      <c r="U59" s="105">
        <f ca="1">T59/25*100</f>
        <v>-2.1371428571428623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96.85</v>
      </c>
      <c r="K60" s="82">
        <f t="shared" ca="1" si="0"/>
        <v>3.1500000000000057</v>
      </c>
      <c r="L60" s="96"/>
      <c r="M60" s="109"/>
      <c r="N60" s="97">
        <f ca="1">IF(M59&gt;0,MOD(M59,1),MOD(M59,-1))</f>
        <v>-0.1771428571428828</v>
      </c>
      <c r="O60" s="98">
        <f ca="1">IF(N59=-2,1-ABS(N60),IF(N59=-1,ABS(N60),0))</f>
        <v>0</v>
      </c>
      <c r="P60" s="98">
        <f ca="1">IF(N59=-1,1-ABS(N60),IF(N59=0,IF(N60&lt;0,ABS(N60),0),0))</f>
        <v>0.1771428571428828</v>
      </c>
      <c r="Q60" s="98">
        <f ca="1">IF(N59=0,1-ABS(N60),0)</f>
        <v>0.8228571428571172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-0.13714285714286234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96.84571428571428</v>
      </c>
      <c r="K61" s="82">
        <f t="shared" ca="1" si="0"/>
        <v>3.1542857142857201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96.840714285714299</v>
      </c>
      <c r="K62" s="82">
        <f t="shared" ca="1" si="0"/>
        <v>3.1592857142857014</v>
      </c>
      <c r="L62" s="82">
        <f ca="1">K62-K64</f>
        <v>-8.5714285714303173E-2</v>
      </c>
      <c r="M62" s="105">
        <f ca="1">L62/25*100</f>
        <v>-0.34285714285721269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-0.48500000000001364</v>
      </c>
      <c r="U62" s="105">
        <f ca="1">T62/25*100</f>
        <v>-1.9400000000000546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96.795000000000002</v>
      </c>
      <c r="K63" s="82">
        <f t="shared" ca="1" si="0"/>
        <v>3.2049999999999983</v>
      </c>
      <c r="L63" s="96"/>
      <c r="M63" s="109"/>
      <c r="N63" s="97">
        <f ca="1">IF(M62&gt;0,MOD(M62,1),MOD(M62,-1))</f>
        <v>-0.34285714285721269</v>
      </c>
      <c r="O63" s="98">
        <f ca="1">IF(N62=-2,1-ABS(N63),IF(N62=-1,ABS(N63),0))</f>
        <v>0</v>
      </c>
      <c r="P63" s="98">
        <f ca="1">IF(N62=-1,1-ABS(N63),IF(N62=0,IF(N63&lt;0,ABS(N63),0),0))</f>
        <v>0.34285714285721269</v>
      </c>
      <c r="Q63" s="98">
        <f ca="1">IF(N62=0,1-ABS(N63),0)</f>
        <v>0.65714285714278731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-0.94000000000005457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96.754999999999995</v>
      </c>
      <c r="K64" s="82">
        <f t="shared" ca="1" si="0"/>
        <v>3.2450000000000045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96.754999999999995</v>
      </c>
      <c r="K65" s="82">
        <f t="shared" ca="1" si="0"/>
        <v>3.2450000000000045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-0.39928571428571047</v>
      </c>
      <c r="U65" s="105">
        <f ca="1">T65/25*100</f>
        <v>-1.5971428571428419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96.754999999999995</v>
      </c>
      <c r="K66" s="82">
        <f t="shared" ca="1" si="0"/>
        <v>3.2450000000000045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-0.59714285714284188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96.754999999999995</v>
      </c>
      <c r="K67" s="82">
        <f t="shared" ca="1" si="0"/>
        <v>3.2450000000000045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96.754999999999995</v>
      </c>
      <c r="K68" s="82">
        <f t="shared" ca="1" si="0"/>
        <v>3.2450000000000045</v>
      </c>
      <c r="L68" s="82">
        <f ca="1">K68-K70</f>
        <v>-8.0172413793093256E-2</v>
      </c>
      <c r="M68" s="105">
        <f ca="1">L68/25*100</f>
        <v>-0.32068965517237302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-0.39928571428571047</v>
      </c>
      <c r="U68" s="105">
        <f ca="1">T68/25*100</f>
        <v>-1.5971428571428419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96.68</v>
      </c>
      <c r="K69" s="82">
        <f t="shared" ref="K69:K87" ca="1" si="1">100-J69</f>
        <v>3.3199999999999932</v>
      </c>
      <c r="L69" s="96"/>
      <c r="M69" s="109"/>
      <c r="N69" s="97">
        <f ca="1">IF(M68&gt;0,MOD(M68,1),MOD(M68,-1))</f>
        <v>-0.32068965517237302</v>
      </c>
      <c r="O69" s="98">
        <f ca="1">IF(N68=-2,1-ABS(N69),IF(N68=-1,ABS(N69),0))</f>
        <v>0</v>
      </c>
      <c r="P69" s="98">
        <f ca="1">IF(N68=-1,1-ABS(N69),IF(N68=0,IF(N69&lt;0,ABS(N69),0),0))</f>
        <v>0.32068965517237302</v>
      </c>
      <c r="Q69" s="98">
        <f ca="1">IF(N68=0,1-ABS(N69),0)</f>
        <v>0.67931034482762698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-0.59714285714284188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96.674827586206902</v>
      </c>
      <c r="K70" s="82">
        <f t="shared" ca="1" si="1"/>
        <v>3.3251724137930978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96.666923076923069</v>
      </c>
      <c r="K71" s="82">
        <f t="shared" ca="1" si="1"/>
        <v>3.3330769230769306</v>
      </c>
      <c r="L71" s="82">
        <f ca="1">K71-K73</f>
        <v>-0.12692307692306315</v>
      </c>
      <c r="M71" s="105">
        <f ca="1">L71/25*100</f>
        <v>-0.5076923076922526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-0.31120879120878442</v>
      </c>
      <c r="U71" s="105">
        <f ca="1">T71/25*100</f>
        <v>-1.2448351648351377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96.594999999999999</v>
      </c>
      <c r="K72" s="82">
        <f t="shared" ca="1" si="1"/>
        <v>3.4050000000000011</v>
      </c>
      <c r="L72" s="96"/>
      <c r="M72" s="109"/>
      <c r="N72" s="97">
        <f ca="1">IF(M71&gt;0,MOD(M71,1),MOD(M71,-1))</f>
        <v>-0.5076923076922526</v>
      </c>
      <c r="O72" s="98">
        <f ca="1">IF(N71=-2,1-ABS(N72),IF(N71=-1,ABS(N72),0))</f>
        <v>0</v>
      </c>
      <c r="P72" s="98">
        <f ca="1">IF(N71=-1,1-ABS(N72),IF(N71=0,IF(N72&lt;0,ABS(N72),0),0))</f>
        <v>0.5076923076922526</v>
      </c>
      <c r="Q72" s="98">
        <f ca="1">IF(N71=0,1-ABS(N72),0)</f>
        <v>0.4923076923077474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-0.24483516483513768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96.54</v>
      </c>
      <c r="K73" s="82">
        <f t="shared" ca="1" si="1"/>
        <v>3.4599999999999937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96.54</v>
      </c>
      <c r="K74" s="82">
        <f t="shared" ca="1" si="1"/>
        <v>3.4599999999999937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-0.18428571428572127</v>
      </c>
      <c r="U74" s="105">
        <f ca="1">T74/25*100</f>
        <v>-0.73714285714288508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96.54</v>
      </c>
      <c r="K75" s="82">
        <f t="shared" ca="1" si="1"/>
        <v>3.4599999999999937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-0.73714285714288508</v>
      </c>
      <c r="W75" s="99">
        <f ca="1">IF(V74&lt;0,100%,IF(V75&lt;0,ABS(V75),0))</f>
        <v>0.73714285714288508</v>
      </c>
      <c r="X75" s="100">
        <f ca="1">IF(V74=0,1-ABS(V75),0)</f>
        <v>0.26285714285711492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96.54</v>
      </c>
      <c r="K76" s="82">
        <f t="shared" ca="1" si="1"/>
        <v>3.4599999999999937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96.54</v>
      </c>
      <c r="K77" s="82">
        <f t="shared" ca="1" si="1"/>
        <v>3.4599999999999937</v>
      </c>
      <c r="L77" s="82">
        <f ca="1">K77-K79</f>
        <v>-4.6551724137941619E-2</v>
      </c>
      <c r="M77" s="105">
        <f ca="1">L77/25*100</f>
        <v>-0.18620689655176648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-0.18428571428572127</v>
      </c>
      <c r="U77" s="105">
        <f ca="1">T77/25*100</f>
        <v>-0.73714285714288508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96.495000000000005</v>
      </c>
      <c r="K78" s="82">
        <f t="shared" ca="1" si="1"/>
        <v>3.5049999999999955</v>
      </c>
      <c r="L78" s="96"/>
      <c r="M78" s="109"/>
      <c r="N78" s="97">
        <f ca="1">IF(M77&gt;0,MOD(M77,1),MOD(M77,-1))</f>
        <v>-0.18620689655176648</v>
      </c>
      <c r="O78" s="98">
        <f ca="1">IF(N77=-2,1-ABS(N78),IF(N77=-1,ABS(N78),0))</f>
        <v>0</v>
      </c>
      <c r="P78" s="98">
        <f ca="1">IF(N77=-1,1-ABS(N78),IF(N77=0,IF(N78&lt;0,ABS(N78),0),0))</f>
        <v>0.18620689655176648</v>
      </c>
      <c r="Q78" s="98">
        <f ca="1">IF(N77=0,1-ABS(N78),0)</f>
        <v>0.81379310344823352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-0.73714285714288508</v>
      </c>
      <c r="W78" s="99">
        <f ca="1">IF(V77&lt;0,100%,IF(V78&lt;0,ABS(V78),0))</f>
        <v>0.73714285714288508</v>
      </c>
      <c r="X78" s="100">
        <f ca="1">IF(V77=0,1-ABS(V78),0)</f>
        <v>0.26285714285711492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96.493448275862065</v>
      </c>
      <c r="K79" s="82">
        <f t="shared" ca="1" si="1"/>
        <v>3.5065517241379354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96.49538461538458</v>
      </c>
      <c r="K80" s="82">
        <f t="shared" ca="1" si="1"/>
        <v>3.5046153846154198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-0.13967032967029525</v>
      </c>
      <c r="U80" s="105">
        <f ca="1">T80/25*100</f>
        <v>-0.55868131868118098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</v>
      </c>
      <c r="K81" s="82">
        <f t="shared" ca="1" si="1"/>
        <v>3.5600000000000023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-0.55868131868118098</v>
      </c>
      <c r="W81" s="99">
        <f ca="1">IF(V80&lt;0,100%,IF(V81&lt;0,ABS(V81),0))</f>
        <v>0.55868131868118098</v>
      </c>
      <c r="X81" s="100">
        <f ca="1">IF(V80=0,1-ABS(V81),0)</f>
        <v>0.44131868131881902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</v>
      </c>
      <c r="K82" s="82">
        <f t="shared" ca="1" si="1"/>
        <v>3.5999999999999943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</v>
      </c>
      <c r="K83" s="82">
        <f t="shared" ca="1" si="1"/>
        <v>3.5999999999999943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-4.4285714285720701E-2</v>
      </c>
      <c r="U83" s="105">
        <f ca="1">T83/25*100</f>
        <v>-0.1771428571428828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</v>
      </c>
      <c r="K84" s="83">
        <f t="shared" ca="1" si="1"/>
        <v>3.5999999999999943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-0.1771428571428828</v>
      </c>
      <c r="W84" s="99">
        <f ca="1">IF(V83&lt;0,100%,IF(V84&lt;0,ABS(V84),0))</f>
        <v>0.1771428571428828</v>
      </c>
      <c r="X84" s="100">
        <f ca="1">IF(V83=0,1-ABS(V84),0)</f>
        <v>0.8228571428571172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</v>
      </c>
      <c r="K85" s="82">
        <f t="shared" ca="1" si="1"/>
        <v>3.5999999999999943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</v>
      </c>
      <c r="K86" s="82">
        <f ca="1">100-J86</f>
        <v>3.5999999999999943</v>
      </c>
      <c r="L86" s="82">
        <f ca="1">K86-K88</f>
        <v>-4.4285714285720701E-2</v>
      </c>
      <c r="M86" s="105">
        <f ca="1">L86/25*100</f>
        <v>-0.1771428571428828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-4.4285714285720701E-2</v>
      </c>
      <c r="U86" s="105">
        <f ca="1">T86/25*100</f>
        <v>-0.1771428571428828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</v>
      </c>
      <c r="K87" s="82">
        <f t="shared" ca="1" si="1"/>
        <v>3.6400000000000006</v>
      </c>
      <c r="L87" s="102"/>
      <c r="M87" s="110"/>
      <c r="N87" s="97">
        <f ca="1">IF(M86&gt;0,MOD(M86,1),MOD(M86,-1))</f>
        <v>-0.1771428571428828</v>
      </c>
      <c r="O87" s="98">
        <f ca="1">IF(N86=-2,1-ABS(N87),IF(N86=-1,ABS(N87),0))</f>
        <v>0</v>
      </c>
      <c r="P87" s="98">
        <f ca="1">IF(N86=-1,1-ABS(N87),IF(N86=0,IF(N87&lt;0,ABS(N87),0),0))</f>
        <v>0.1771428571428828</v>
      </c>
      <c r="Q87" s="98">
        <f ca="1">IF(N86=0,1-ABS(N87),0)</f>
        <v>0.8228571428571172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-0.1771428571428828</v>
      </c>
      <c r="W87" s="99">
        <f ca="1">IF(V86&lt;0,100%,IF(V87&lt;0,ABS(V87),0))</f>
        <v>0.1771428571428828</v>
      </c>
      <c r="X87" s="100">
        <f ca="1">IF(V86=0,1-ABS(V87),0)</f>
        <v>0.8228571428571172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96.355714285714285</v>
      </c>
      <c r="K88" s="82">
        <f ca="1">100-J88</f>
        <v>3.644285714285715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359" priority="139" operator="notEqual">
      <formula>0</formula>
    </cfRule>
  </conditionalFormatting>
  <conditionalFormatting sqref="W53:Y88">
    <cfRule type="cellIs" dxfId="358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357" priority="133" operator="notEqual">
      <formula>0</formula>
    </cfRule>
  </conditionalFormatting>
  <conditionalFormatting sqref="W89:Y91">
    <cfRule type="cellIs" dxfId="356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355" priority="71" operator="notEqual">
      <formula>0</formula>
    </cfRule>
  </conditionalFormatting>
  <conditionalFormatting sqref="W50:Y52">
    <cfRule type="cellIs" dxfId="354" priority="70" operator="notEqual">
      <formula>0</formula>
    </cfRule>
  </conditionalFormatting>
  <conditionalFormatting sqref="O47:S49">
    <cfRule type="cellIs" dxfId="353" priority="69" operator="notEqual">
      <formula>0</formula>
    </cfRule>
  </conditionalFormatting>
  <conditionalFormatting sqref="W47:Y49">
    <cfRule type="cellIs" dxfId="352" priority="68" operator="notEqual">
      <formula>0</formula>
    </cfRule>
  </conditionalFormatting>
  <conditionalFormatting sqref="O44:S46">
    <cfRule type="cellIs" dxfId="351" priority="67" operator="notEqual">
      <formula>0</formula>
    </cfRule>
  </conditionalFormatting>
  <conditionalFormatting sqref="W44:Y46">
    <cfRule type="cellIs" dxfId="350" priority="66" operator="notEqual">
      <formula>0</formula>
    </cfRule>
  </conditionalFormatting>
  <conditionalFormatting sqref="O41:S43">
    <cfRule type="cellIs" dxfId="349" priority="65" operator="notEqual">
      <formula>0</formula>
    </cfRule>
  </conditionalFormatting>
  <conditionalFormatting sqref="W41:Y43">
    <cfRule type="cellIs" dxfId="348" priority="64" operator="notEqual">
      <formula>0</formula>
    </cfRule>
  </conditionalFormatting>
  <conditionalFormatting sqref="O38:S40">
    <cfRule type="cellIs" dxfId="347" priority="63" operator="notEqual">
      <formula>0</formula>
    </cfRule>
  </conditionalFormatting>
  <conditionalFormatting sqref="W38:Y40">
    <cfRule type="cellIs" dxfId="346" priority="62" operator="notEqual">
      <formula>0</formula>
    </cfRule>
  </conditionalFormatting>
  <conditionalFormatting sqref="O35:S37">
    <cfRule type="cellIs" dxfId="345" priority="61" operator="notEqual">
      <formula>0</formula>
    </cfRule>
  </conditionalFormatting>
  <conditionalFormatting sqref="W35:Y37">
    <cfRule type="cellIs" dxfId="344" priority="60" operator="notEqual">
      <formula>0</formula>
    </cfRule>
  </conditionalFormatting>
  <conditionalFormatting sqref="O32:S34">
    <cfRule type="cellIs" dxfId="343" priority="59" operator="notEqual">
      <formula>0</formula>
    </cfRule>
  </conditionalFormatting>
  <conditionalFormatting sqref="W32:Y34">
    <cfRule type="cellIs" dxfId="342" priority="58" operator="notEqual">
      <formula>0</formula>
    </cfRule>
  </conditionalFormatting>
  <conditionalFormatting sqref="O29:S31">
    <cfRule type="cellIs" dxfId="341" priority="57" operator="notEqual">
      <formula>0</formula>
    </cfRule>
  </conditionalFormatting>
  <conditionalFormatting sqref="W29:Y31">
    <cfRule type="cellIs" dxfId="340" priority="56" operator="notEqual">
      <formula>0</formula>
    </cfRule>
  </conditionalFormatting>
  <conditionalFormatting sqref="O26:S28">
    <cfRule type="cellIs" dxfId="339" priority="55" operator="notEqual">
      <formula>0</formula>
    </cfRule>
  </conditionalFormatting>
  <conditionalFormatting sqref="W26:Y28">
    <cfRule type="cellIs" dxfId="338" priority="54" operator="notEqual">
      <formula>0</formula>
    </cfRule>
  </conditionalFormatting>
  <conditionalFormatting sqref="O23:S25">
    <cfRule type="cellIs" dxfId="337" priority="53" operator="notEqual">
      <formula>0</formula>
    </cfRule>
  </conditionalFormatting>
  <conditionalFormatting sqref="W23:Y25">
    <cfRule type="cellIs" dxfId="336" priority="52" operator="notEqual">
      <formula>0</formula>
    </cfRule>
  </conditionalFormatting>
  <conditionalFormatting sqref="O20:S22">
    <cfRule type="cellIs" dxfId="335" priority="51" operator="notEqual">
      <formula>0</formula>
    </cfRule>
  </conditionalFormatting>
  <conditionalFormatting sqref="W20:Y22">
    <cfRule type="cellIs" dxfId="334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333" priority="20" operator="notEqual">
      <formula>0</formula>
    </cfRule>
  </conditionalFormatting>
  <conditionalFormatting sqref="W17:Y19">
    <cfRule type="cellIs" dxfId="332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331" priority="16" operator="notEqual">
      <formula>0</formula>
    </cfRule>
  </conditionalFormatting>
  <conditionalFormatting sqref="W14:Y16">
    <cfRule type="cellIs" dxfId="330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329" priority="12" operator="notEqual">
      <formula>0</formula>
    </cfRule>
  </conditionalFormatting>
  <conditionalFormatting sqref="W11:Y13">
    <cfRule type="cellIs" dxfId="328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327" priority="8" operator="notEqual">
      <formula>0</formula>
    </cfRule>
  </conditionalFormatting>
  <conditionalFormatting sqref="W8:Y10">
    <cfRule type="cellIs" dxfId="326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325" priority="4" operator="notEqual">
      <formula>0</formula>
    </cfRule>
  </conditionalFormatting>
  <conditionalFormatting sqref="W5:Y7">
    <cfRule type="cellIs" dxfId="324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12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96.9</v>
      </c>
      <c r="K5" s="82">
        <f t="shared" ref="K5:K68" ca="1" si="0">100-J5</f>
        <v>3.0999999999999943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-0.53651785714285438</v>
      </c>
      <c r="U5" s="105">
        <f ca="1">T5/25*100</f>
        <v>-2.1460714285714175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96.9</v>
      </c>
      <c r="K6" s="82">
        <f t="shared" ca="1" si="0"/>
        <v>3.0999999999999943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-0.14607142857141753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96.9</v>
      </c>
      <c r="K7" s="82">
        <f t="shared" ca="1" si="0"/>
        <v>3.0999999999999943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96.94</v>
      </c>
      <c r="K8" s="82">
        <f t="shared" ca="1" si="0"/>
        <v>3.0600000000000023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-0.57651785714284642</v>
      </c>
      <c r="U8" s="105">
        <f ca="1">T8/25*100</f>
        <v>-2.3060714285713857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96.94</v>
      </c>
      <c r="K9" s="82">
        <f t="shared" ca="1" si="0"/>
        <v>3.0600000000000023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-0.3060714285713857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96.94</v>
      </c>
      <c r="K10" s="82">
        <f t="shared" ca="1" si="0"/>
        <v>3.0600000000000023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96.954999999999998</v>
      </c>
      <c r="K11" s="82">
        <f t="shared" ca="1" si="0"/>
        <v>3.0450000000000017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-0.59151785714284699</v>
      </c>
      <c r="U11" s="105">
        <f ca="1">T11/25*100</f>
        <v>-2.366071428571388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96.954999999999998</v>
      </c>
      <c r="K12" s="82">
        <f t="shared" ca="1" si="0"/>
        <v>3.0450000000000017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-0.36607142857138797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96.954999999999998</v>
      </c>
      <c r="K13" s="82">
        <f t="shared" ca="1" si="0"/>
        <v>3.0450000000000017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96.97</v>
      </c>
      <c r="K14" s="82">
        <f t="shared" ca="1" si="0"/>
        <v>3.0300000000000011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-0.60651785714284756</v>
      </c>
      <c r="U14" s="105">
        <f ca="1">T14/25*100</f>
        <v>-2.4260714285713902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96.97</v>
      </c>
      <c r="K15" s="82">
        <f t="shared" ca="1" si="0"/>
        <v>3.0300000000000011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-0.42607142857139024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96.97</v>
      </c>
      <c r="K16" s="82">
        <f t="shared" ca="1" si="0"/>
        <v>3.0300000000000011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96.89</v>
      </c>
      <c r="K17" s="82">
        <f t="shared" ca="1" si="0"/>
        <v>3.1099999999999994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-0.52651785714284927</v>
      </c>
      <c r="U17" s="105">
        <f ca="1">T17/25*100</f>
        <v>-2.1060714285713971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96.89</v>
      </c>
      <c r="K18" s="82">
        <f t="shared" ca="1" si="0"/>
        <v>3.1099999999999994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-0.10607142857139706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96.89</v>
      </c>
      <c r="K19" s="82">
        <f t="shared" ca="1" si="0"/>
        <v>3.1099999999999994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96.905000000000001</v>
      </c>
      <c r="K20" s="82">
        <f t="shared" ca="1" si="0"/>
        <v>3.0949999999999989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-0.54151785714284983</v>
      </c>
      <c r="U20" s="105">
        <f ca="1">T20/25*100</f>
        <v>-2.1660714285713993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96.905000000000001</v>
      </c>
      <c r="K21" s="82">
        <f t="shared" ca="1" si="0"/>
        <v>3.0949999999999989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-0.16607142857139934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96.905000000000001</v>
      </c>
      <c r="K22" s="82">
        <f t="shared" ca="1" si="0"/>
        <v>3.0949999999999989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96.924999999999997</v>
      </c>
      <c r="K23" s="82">
        <f t="shared" ca="1" si="0"/>
        <v>3.0750000000000028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-0.56151785714284586</v>
      </c>
      <c r="U23" s="105">
        <f ca="1">T23/25*100</f>
        <v>-2.2460714285713834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96.924999999999997</v>
      </c>
      <c r="K24" s="82">
        <f t="shared" ca="1" si="0"/>
        <v>3.0750000000000028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-0.24607142857138342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96.924999999999997</v>
      </c>
      <c r="K25" s="82">
        <f t="shared" ca="1" si="0"/>
        <v>3.0750000000000028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96.93</v>
      </c>
      <c r="K26" s="82">
        <f t="shared" ca="1" si="0"/>
        <v>3.0699999999999932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-0.56651785714285552</v>
      </c>
      <c r="U26" s="105">
        <f ca="1">T26/25*100</f>
        <v>-2.2660714285714221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96.93</v>
      </c>
      <c r="K27" s="82">
        <f t="shared" ca="1" si="0"/>
        <v>3.0699999999999932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-0.26607142857142208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96.93</v>
      </c>
      <c r="K28" s="82">
        <f t="shared" ca="1" si="0"/>
        <v>3.0699999999999932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96.93</v>
      </c>
      <c r="K29" s="82">
        <f t="shared" ca="1" si="0"/>
        <v>3.0699999999999932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-0.56651785714285552</v>
      </c>
      <c r="U29" s="105">
        <f ca="1">T29/25*100</f>
        <v>-2.2660714285714221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96.93</v>
      </c>
      <c r="K30" s="82">
        <f t="shared" ca="1" si="0"/>
        <v>3.0699999999999932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-0.26607142857142208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96.93</v>
      </c>
      <c r="K31" s="82">
        <f t="shared" ca="1" si="0"/>
        <v>3.0699999999999932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96.94</v>
      </c>
      <c r="K32" s="82">
        <f t="shared" ca="1" si="0"/>
        <v>3.0600000000000023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-0.57651785714284642</v>
      </c>
      <c r="U32" s="105">
        <f ca="1">T32/25*100</f>
        <v>-2.3060714285713857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96.94</v>
      </c>
      <c r="K33" s="82">
        <f t="shared" ca="1" si="0"/>
        <v>3.0600000000000023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-0.3060714285713857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96.94</v>
      </c>
      <c r="K34" s="82">
        <f t="shared" ca="1" si="0"/>
        <v>3.0600000000000023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96.93</v>
      </c>
      <c r="K35" s="82">
        <f t="shared" ca="1" si="0"/>
        <v>3.0699999999999932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-0.56651785714285552</v>
      </c>
      <c r="U35" s="105">
        <f ca="1">T35/25*100</f>
        <v>-2.2660714285714221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96.93</v>
      </c>
      <c r="K36" s="82">
        <f t="shared" ca="1" si="0"/>
        <v>3.0699999999999932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-0.26607142857142208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96.93</v>
      </c>
      <c r="K37" s="82">
        <f t="shared" ca="1" si="0"/>
        <v>3.0699999999999932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96.95</v>
      </c>
      <c r="K38" s="82">
        <f t="shared" ca="1" si="0"/>
        <v>3.0499999999999972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-0.58651785714285154</v>
      </c>
      <c r="U38" s="105">
        <f ca="1">T38/25*100</f>
        <v>-2.3460714285714062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96.95</v>
      </c>
      <c r="K39" s="82">
        <f t="shared" ca="1" si="0"/>
        <v>3.0499999999999972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-0.34607142857140616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96.95</v>
      </c>
      <c r="K40" s="82">
        <f t="shared" ca="1" si="0"/>
        <v>3.0499999999999972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96.96</v>
      </c>
      <c r="K41" s="82">
        <f t="shared" ca="1" si="0"/>
        <v>3.0400000000000063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-0.59651785714284244</v>
      </c>
      <c r="U41" s="105">
        <f ca="1">T41/25*100</f>
        <v>-2.3860714285713698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96.96</v>
      </c>
      <c r="K42" s="82">
        <f t="shared" ca="1" si="0"/>
        <v>3.0400000000000063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-0.38607142857136978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96.96</v>
      </c>
      <c r="K43" s="82">
        <f t="shared" ca="1" si="0"/>
        <v>3.0400000000000063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96.965000000000003</v>
      </c>
      <c r="K44" s="82">
        <f t="shared" ca="1" si="0"/>
        <v>3.0349999999999966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-0.60151785714285211</v>
      </c>
      <c r="U44" s="105">
        <f ca="1">T44/25*100</f>
        <v>-2.4060714285714084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96.965000000000003</v>
      </c>
      <c r="K45" s="82">
        <f t="shared" ca="1" si="0"/>
        <v>3.0349999999999966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-0.40607142857140843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96.965000000000003</v>
      </c>
      <c r="K46" s="82">
        <f t="shared" ca="1" si="0"/>
        <v>3.0349999999999966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96.96</v>
      </c>
      <c r="K47" s="82">
        <f t="shared" ca="1" si="0"/>
        <v>3.0400000000000063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-0.59651785714284244</v>
      </c>
      <c r="U47" s="105">
        <f ca="1">T47/25*100</f>
        <v>-2.3860714285713698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96.96</v>
      </c>
      <c r="K48" s="82">
        <f t="shared" ca="1" si="0"/>
        <v>3.0400000000000063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-0.38607142857136978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96.96</v>
      </c>
      <c r="K49" s="82">
        <f t="shared" ca="1" si="0"/>
        <v>3.0400000000000063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96.96</v>
      </c>
      <c r="K50" s="82">
        <f t="shared" ca="1" si="0"/>
        <v>3.0400000000000063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-0.59651785714284244</v>
      </c>
      <c r="U50" s="105">
        <f ca="1">T50/25*100</f>
        <v>-2.3860714285713698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96.96</v>
      </c>
      <c r="K51" s="82">
        <f t="shared" ca="1" si="0"/>
        <v>3.0400000000000063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-0.38607142857136978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96.96</v>
      </c>
      <c r="K52" s="82">
        <f t="shared" ca="1" si="0"/>
        <v>3.0400000000000063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96.96</v>
      </c>
      <c r="K53" s="82">
        <f t="shared" ca="1" si="0"/>
        <v>3.0400000000000063</v>
      </c>
      <c r="L53" s="82">
        <f ca="1">K53-K55</f>
        <v>-3.9999999999992042E-2</v>
      </c>
      <c r="M53" s="105">
        <f ca="1">L53/25*100</f>
        <v>-0.15999999999996817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-0.59651785714284244</v>
      </c>
      <c r="U53" s="105">
        <f ca="1">T53/25*100</f>
        <v>-2.3860714285713698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96.95</v>
      </c>
      <c r="K54" s="82">
        <f t="shared" ca="1" si="0"/>
        <v>3.0499999999999972</v>
      </c>
      <c r="L54" s="96"/>
      <c r="M54" s="109"/>
      <c r="N54" s="97">
        <f ca="1">IF(M53&gt;0,MOD(M53,1),MOD(M53,-1))</f>
        <v>-0.15999999999996817</v>
      </c>
      <c r="O54" s="98">
        <f ca="1">IF(N53=-2,1-ABS(N54),IF(N53=-1,ABS(N54),0))</f>
        <v>0</v>
      </c>
      <c r="P54" s="98">
        <f ca="1">IF(N53=-1,1-ABS(N54),IF(N53=0,IF(N54&lt;0,ABS(N54),0),0))</f>
        <v>0.15999999999996817</v>
      </c>
      <c r="Q54" s="98">
        <f ca="1">IF(N53=0,1-ABS(N54),0)</f>
        <v>0.84000000000003183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-0.38607142857136978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96.92</v>
      </c>
      <c r="K55" s="82">
        <f t="shared" ca="1" si="0"/>
        <v>3.0799999999999983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96.92</v>
      </c>
      <c r="K56" s="82">
        <f t="shared" ca="1" si="0"/>
        <v>3.0799999999999983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-0.5565178571428504</v>
      </c>
      <c r="U56" s="105">
        <f ca="1">T56/25*100</f>
        <v>-2.2260714285714016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96.92</v>
      </c>
      <c r="K57" s="82">
        <f t="shared" ca="1" si="0"/>
        <v>3.0799999999999983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-0.22607142857140161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96.92</v>
      </c>
      <c r="K58" s="82">
        <f t="shared" ca="1" si="0"/>
        <v>3.0799999999999983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96.92</v>
      </c>
      <c r="K59" s="82">
        <f t="shared" ca="1" si="0"/>
        <v>3.0799999999999983</v>
      </c>
      <c r="L59" s="82">
        <f ca="1">K59-K61</f>
        <v>-4.4285714285720701E-2</v>
      </c>
      <c r="M59" s="105">
        <f ca="1">L59/25*100</f>
        <v>-0.1771428571428828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-0.5565178571428504</v>
      </c>
      <c r="U59" s="105">
        <f ca="1">T59/25*100</f>
        <v>-2.2260714285714016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96.88</v>
      </c>
      <c r="K60" s="82">
        <f t="shared" ca="1" si="0"/>
        <v>3.1200000000000045</v>
      </c>
      <c r="L60" s="96"/>
      <c r="M60" s="109"/>
      <c r="N60" s="97">
        <f ca="1">IF(M59&gt;0,MOD(M59,1),MOD(M59,-1))</f>
        <v>-0.1771428571428828</v>
      </c>
      <c r="O60" s="98">
        <f ca="1">IF(N59=-2,1-ABS(N60),IF(N59=-1,ABS(N60),0))</f>
        <v>0</v>
      </c>
      <c r="P60" s="98">
        <f ca="1">IF(N59=-1,1-ABS(N60),IF(N59=0,IF(N60&lt;0,ABS(N60),0),0))</f>
        <v>0.1771428571428828</v>
      </c>
      <c r="Q60" s="98">
        <f ca="1">IF(N59=0,1-ABS(N60),0)</f>
        <v>0.8228571428571172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-0.22607142857140161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96.875714285714281</v>
      </c>
      <c r="K61" s="82">
        <f t="shared" ca="1" si="0"/>
        <v>3.124285714285719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96.8707142857143</v>
      </c>
      <c r="K62" s="82">
        <f t="shared" ca="1" si="0"/>
        <v>3.1292857142857002</v>
      </c>
      <c r="L62" s="82">
        <f ca="1">K62-K64</f>
        <v>-8.5714285714303173E-2</v>
      </c>
      <c r="M62" s="105">
        <f ca="1">L62/25*100</f>
        <v>-0.34285714285721269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-0.50723214285714846</v>
      </c>
      <c r="U62" s="105">
        <f ca="1">T62/25*100</f>
        <v>-2.0289285714285938</v>
      </c>
      <c r="V62" s="90">
        <f ca="1">TRUNC(U62,0)/1</f>
        <v>-2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96.825000000000003</v>
      </c>
      <c r="K63" s="82">
        <f t="shared" ca="1" si="0"/>
        <v>3.1749999999999972</v>
      </c>
      <c r="L63" s="96"/>
      <c r="M63" s="109"/>
      <c r="N63" s="97">
        <f ca="1">IF(M62&gt;0,MOD(M62,1),MOD(M62,-1))</f>
        <v>-0.34285714285721269</v>
      </c>
      <c r="O63" s="98">
        <f ca="1">IF(N62=-2,1-ABS(N63),IF(N62=-1,ABS(N63),0))</f>
        <v>0</v>
      </c>
      <c r="P63" s="98">
        <f ca="1">IF(N62=-1,1-ABS(N63),IF(N62=0,IF(N63&lt;0,ABS(N63),0),0))</f>
        <v>0.34285714285721269</v>
      </c>
      <c r="Q63" s="98">
        <f ca="1">IF(N62=0,1-ABS(N63),0)</f>
        <v>0.65714285714278731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-2.8928571428593841E-2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96.784999999999997</v>
      </c>
      <c r="K64" s="82">
        <f t="shared" ca="1" si="0"/>
        <v>3.2150000000000034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96.784999999999997</v>
      </c>
      <c r="K65" s="82">
        <f t="shared" ca="1" si="0"/>
        <v>3.2150000000000034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-0.42151785714284529</v>
      </c>
      <c r="U65" s="105">
        <f ca="1">T65/25*100</f>
        <v>-1.6860714285713811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96.784999999999997</v>
      </c>
      <c r="K66" s="82">
        <f t="shared" ca="1" si="0"/>
        <v>3.2150000000000034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-0.68607142857138115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96.784999999999997</v>
      </c>
      <c r="K67" s="82">
        <f t="shared" ca="1" si="0"/>
        <v>3.2150000000000034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96.784999999999997</v>
      </c>
      <c r="K68" s="82">
        <f t="shared" ca="1" si="0"/>
        <v>3.2150000000000034</v>
      </c>
      <c r="L68" s="82">
        <f ca="1">K68-K70</f>
        <v>-8.0172413793107467E-2</v>
      </c>
      <c r="M68" s="105">
        <f ca="1">L68/25*100</f>
        <v>-0.32068965517242987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-0.42151785714284529</v>
      </c>
      <c r="U68" s="105">
        <f ca="1">T68/25*100</f>
        <v>-1.6860714285713811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96.71</v>
      </c>
      <c r="K69" s="82">
        <f t="shared" ref="K69:K87" ca="1" si="1">100-J69</f>
        <v>3.2900000000000063</v>
      </c>
      <c r="L69" s="96"/>
      <c r="M69" s="109"/>
      <c r="N69" s="97">
        <f ca="1">IF(M68&gt;0,MOD(M68,1),MOD(M68,-1))</f>
        <v>-0.32068965517242987</v>
      </c>
      <c r="O69" s="98">
        <f ca="1">IF(N68=-2,1-ABS(N69),IF(N68=-1,ABS(N69),0))</f>
        <v>0</v>
      </c>
      <c r="P69" s="98">
        <f ca="1">IF(N68=-1,1-ABS(N69),IF(N68=0,IF(N69&lt;0,ABS(N69),0),0))</f>
        <v>0.32068965517242987</v>
      </c>
      <c r="Q69" s="98">
        <f ca="1">IF(N68=0,1-ABS(N69),0)</f>
        <v>0.67931034482757013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-0.68607142857138115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96.704827586206889</v>
      </c>
      <c r="K70" s="82">
        <f t="shared" ca="1" si="1"/>
        <v>3.2951724137931109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96.698461538461544</v>
      </c>
      <c r="K71" s="82">
        <f t="shared" ca="1" si="1"/>
        <v>3.3015384615384562</v>
      </c>
      <c r="L71" s="82">
        <f ca="1">K71-K73</f>
        <v>-0.13846153846154152</v>
      </c>
      <c r="M71" s="105">
        <f ca="1">L71/25*100</f>
        <v>-0.55384615384616609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-0.33497939560439249</v>
      </c>
      <c r="U71" s="105">
        <f ca="1">T71/25*100</f>
        <v>-1.33991758241757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96.62</v>
      </c>
      <c r="K72" s="82">
        <f t="shared" ca="1" si="1"/>
        <v>3.3799999999999955</v>
      </c>
      <c r="L72" s="96"/>
      <c r="M72" s="109"/>
      <c r="N72" s="97">
        <f ca="1">IF(M71&gt;0,MOD(M71,1),MOD(M71,-1))</f>
        <v>-0.55384615384616609</v>
      </c>
      <c r="O72" s="98">
        <f ca="1">IF(N71=-2,1-ABS(N72),IF(N71=-1,ABS(N72),0))</f>
        <v>0</v>
      </c>
      <c r="P72" s="98">
        <f ca="1">IF(N71=-1,1-ABS(N72),IF(N71=0,IF(N72&lt;0,ABS(N72),0),0))</f>
        <v>0.55384615384616609</v>
      </c>
      <c r="Q72" s="98">
        <f ca="1">IF(N71=0,1-ABS(N72),0)</f>
        <v>0.44615384615383391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-0.33991758241756997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96.56</v>
      </c>
      <c r="K73" s="82">
        <f t="shared" ca="1" si="1"/>
        <v>3.4399999999999977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96.56</v>
      </c>
      <c r="K74" s="82">
        <f t="shared" ca="1" si="1"/>
        <v>3.4399999999999977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-0.19651785714285097</v>
      </c>
      <c r="U74" s="105">
        <f ca="1">T74/25*100</f>
        <v>-0.78607142857140389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96.56</v>
      </c>
      <c r="K75" s="82">
        <f t="shared" ca="1" si="1"/>
        <v>3.4399999999999977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-0.78607142857140389</v>
      </c>
      <c r="W75" s="99">
        <f ca="1">IF(V74&lt;0,100%,IF(V75&lt;0,ABS(V75),0))</f>
        <v>0.78607142857140389</v>
      </c>
      <c r="X75" s="100">
        <f ca="1">IF(V74=0,1-ABS(V75),0)</f>
        <v>0.21392857142859611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96.56</v>
      </c>
      <c r="K76" s="82">
        <f t="shared" ca="1" si="1"/>
        <v>3.4399999999999977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96.56</v>
      </c>
      <c r="K77" s="82">
        <f t="shared" ca="1" si="1"/>
        <v>3.4399999999999977</v>
      </c>
      <c r="L77" s="82">
        <f ca="1">K77-K79</f>
        <v>-5.1724137931032033E-2</v>
      </c>
      <c r="M77" s="105">
        <f ca="1">L77/25*100</f>
        <v>-0.20689655172412813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-0.19651785714285097</v>
      </c>
      <c r="U77" s="105">
        <f ca="1">T77/25*100</f>
        <v>-0.78607142857140389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</v>
      </c>
      <c r="K78" s="82">
        <f t="shared" ca="1" si="1"/>
        <v>3.4899999999999949</v>
      </c>
      <c r="L78" s="96"/>
      <c r="M78" s="109"/>
      <c r="N78" s="97">
        <f ca="1">IF(M77&gt;0,MOD(M77,1),MOD(M77,-1))</f>
        <v>-0.20689655172412813</v>
      </c>
      <c r="O78" s="98">
        <f ca="1">IF(N77=-2,1-ABS(N78),IF(N77=-1,ABS(N78),0))</f>
        <v>0</v>
      </c>
      <c r="P78" s="98">
        <f ca="1">IF(N77=-1,1-ABS(N78),IF(N77=0,IF(N78&lt;0,ABS(N78),0),0))</f>
        <v>0.20689655172412813</v>
      </c>
      <c r="Q78" s="98">
        <f ca="1">IF(N77=0,1-ABS(N78),0)</f>
        <v>0.79310344827587187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-0.78607142857140389</v>
      </c>
      <c r="W78" s="99">
        <f ca="1">IF(V77&lt;0,100%,IF(V78&lt;0,ABS(V78),0))</f>
        <v>0.78607142857140389</v>
      </c>
      <c r="X78" s="100">
        <f ca="1">IF(V77=0,1-ABS(V78),0)</f>
        <v>0.21392857142859611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96.50827586206897</v>
      </c>
      <c r="K79" s="82">
        <f t="shared" ca="1" si="1"/>
        <v>3.4917241379310298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96.500384615384576</v>
      </c>
      <c r="K80" s="82">
        <f t="shared" ca="1" si="1"/>
        <v>3.4996153846154243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-0.13690247252742438</v>
      </c>
      <c r="U80" s="105">
        <f ca="1">T80/25*100</f>
        <v>-0.54760989010969752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96.444999999999993</v>
      </c>
      <c r="K81" s="82">
        <f t="shared" ca="1" si="1"/>
        <v>3.5550000000000068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-0.54760989010969752</v>
      </c>
      <c r="W81" s="99">
        <f ca="1">IF(V80&lt;0,100%,IF(V81&lt;0,ABS(V81),0))</f>
        <v>0.54760989010969752</v>
      </c>
      <c r="X81" s="100">
        <f ca="1">IF(V80=0,1-ABS(V81),0)</f>
        <v>0.45239010989030248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-4.1517857142849834E-2</v>
      </c>
      <c r="U83" s="105">
        <f ca="1">T83/25*100</f>
        <v>-0.16607142857139934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-0.16607142857139934</v>
      </c>
      <c r="W84" s="99">
        <f ca="1">IF(V83&lt;0,100%,IF(V84&lt;0,ABS(V84),0))</f>
        <v>0.16607142857139934</v>
      </c>
      <c r="X84" s="100">
        <f ca="1">IF(V83=0,1-ABS(V84),0)</f>
        <v>0.83392857142860066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-4.1517857142849834E-2</v>
      </c>
      <c r="M86" s="105">
        <f ca="1">L86/25*100</f>
        <v>-0.16607142857139934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-4.1517857142849834E-2</v>
      </c>
      <c r="U86" s="105">
        <f ca="1">T86/25*100</f>
        <v>-0.16607142857139934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96.367500000000007</v>
      </c>
      <c r="K87" s="82">
        <f t="shared" ca="1" si="1"/>
        <v>3.6324999999999932</v>
      </c>
      <c r="L87" s="102"/>
      <c r="M87" s="110"/>
      <c r="N87" s="97">
        <f ca="1">IF(M86&gt;0,MOD(M86,1),MOD(M86,-1))</f>
        <v>-0.16607142857139934</v>
      </c>
      <c r="O87" s="98">
        <f ca="1">IF(N86=-2,1-ABS(N87),IF(N86=-1,ABS(N87),0))</f>
        <v>0</v>
      </c>
      <c r="P87" s="98">
        <f ca="1">IF(N86=-1,1-ABS(N87),IF(N86=0,IF(N87&lt;0,ABS(N87),0),0))</f>
        <v>0.16607142857139934</v>
      </c>
      <c r="Q87" s="98">
        <f ca="1">IF(N86=0,1-ABS(N87),0)</f>
        <v>0.83392857142860066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-0.16607142857139934</v>
      </c>
      <c r="W87" s="99">
        <f ca="1">IF(V86&lt;0,100%,IF(V87&lt;0,ABS(V87),0))</f>
        <v>0.16607142857139934</v>
      </c>
      <c r="X87" s="100">
        <f ca="1">IF(V86=0,1-ABS(V87),0)</f>
        <v>0.83392857142860066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96.363482142857151</v>
      </c>
      <c r="K88" s="82">
        <f ca="1">100-J88</f>
        <v>3.6365178571428487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323" priority="139" operator="notEqual">
      <formula>0</formula>
    </cfRule>
  </conditionalFormatting>
  <conditionalFormatting sqref="W53:Y88">
    <cfRule type="cellIs" dxfId="322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321" priority="133" operator="notEqual">
      <formula>0</formula>
    </cfRule>
  </conditionalFormatting>
  <conditionalFormatting sqref="W89:Y91">
    <cfRule type="cellIs" dxfId="320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319" priority="71" operator="notEqual">
      <formula>0</formula>
    </cfRule>
  </conditionalFormatting>
  <conditionalFormatting sqref="W50:Y52">
    <cfRule type="cellIs" dxfId="318" priority="70" operator="notEqual">
      <formula>0</formula>
    </cfRule>
  </conditionalFormatting>
  <conditionalFormatting sqref="O47:S49">
    <cfRule type="cellIs" dxfId="317" priority="69" operator="notEqual">
      <formula>0</formula>
    </cfRule>
  </conditionalFormatting>
  <conditionalFormatting sqref="W47:Y49">
    <cfRule type="cellIs" dxfId="316" priority="68" operator="notEqual">
      <formula>0</formula>
    </cfRule>
  </conditionalFormatting>
  <conditionalFormatting sqref="O44:S46">
    <cfRule type="cellIs" dxfId="315" priority="67" operator="notEqual">
      <formula>0</formula>
    </cfRule>
  </conditionalFormatting>
  <conditionalFormatting sqref="W44:Y46">
    <cfRule type="cellIs" dxfId="314" priority="66" operator="notEqual">
      <formula>0</formula>
    </cfRule>
  </conditionalFormatting>
  <conditionalFormatting sqref="O41:S43">
    <cfRule type="cellIs" dxfId="313" priority="65" operator="notEqual">
      <formula>0</formula>
    </cfRule>
  </conditionalFormatting>
  <conditionalFormatting sqref="W41:Y43">
    <cfRule type="cellIs" dxfId="312" priority="64" operator="notEqual">
      <formula>0</formula>
    </cfRule>
  </conditionalFormatting>
  <conditionalFormatting sqref="O38:S40">
    <cfRule type="cellIs" dxfId="311" priority="63" operator="notEqual">
      <formula>0</formula>
    </cfRule>
  </conditionalFormatting>
  <conditionalFormatting sqref="W38:Y40">
    <cfRule type="cellIs" dxfId="310" priority="62" operator="notEqual">
      <formula>0</formula>
    </cfRule>
  </conditionalFormatting>
  <conditionalFormatting sqref="O35:S37">
    <cfRule type="cellIs" dxfId="309" priority="61" operator="notEqual">
      <formula>0</formula>
    </cfRule>
  </conditionalFormatting>
  <conditionalFormatting sqref="W35:Y37">
    <cfRule type="cellIs" dxfId="308" priority="60" operator="notEqual">
      <formula>0</formula>
    </cfRule>
  </conditionalFormatting>
  <conditionalFormatting sqref="O32:S34">
    <cfRule type="cellIs" dxfId="307" priority="59" operator="notEqual">
      <formula>0</formula>
    </cfRule>
  </conditionalFormatting>
  <conditionalFormatting sqref="W32:Y34">
    <cfRule type="cellIs" dxfId="306" priority="58" operator="notEqual">
      <formula>0</formula>
    </cfRule>
  </conditionalFormatting>
  <conditionalFormatting sqref="O29:S31">
    <cfRule type="cellIs" dxfId="305" priority="57" operator="notEqual">
      <formula>0</formula>
    </cfRule>
  </conditionalFormatting>
  <conditionalFormatting sqref="W29:Y31">
    <cfRule type="cellIs" dxfId="304" priority="56" operator="notEqual">
      <formula>0</formula>
    </cfRule>
  </conditionalFormatting>
  <conditionalFormatting sqref="O26:S28">
    <cfRule type="cellIs" dxfId="303" priority="55" operator="notEqual">
      <formula>0</formula>
    </cfRule>
  </conditionalFormatting>
  <conditionalFormatting sqref="W26:Y28">
    <cfRule type="cellIs" dxfId="302" priority="54" operator="notEqual">
      <formula>0</formula>
    </cfRule>
  </conditionalFormatting>
  <conditionalFormatting sqref="O23:S25">
    <cfRule type="cellIs" dxfId="301" priority="53" operator="notEqual">
      <formula>0</formula>
    </cfRule>
  </conditionalFormatting>
  <conditionalFormatting sqref="W23:Y25">
    <cfRule type="cellIs" dxfId="300" priority="52" operator="notEqual">
      <formula>0</formula>
    </cfRule>
  </conditionalFormatting>
  <conditionalFormatting sqref="O20:S22">
    <cfRule type="cellIs" dxfId="299" priority="51" operator="notEqual">
      <formula>0</formula>
    </cfRule>
  </conditionalFormatting>
  <conditionalFormatting sqref="W20:Y22">
    <cfRule type="cellIs" dxfId="298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297" priority="20" operator="notEqual">
      <formula>0</formula>
    </cfRule>
  </conditionalFormatting>
  <conditionalFormatting sqref="W17:Y19">
    <cfRule type="cellIs" dxfId="296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295" priority="16" operator="notEqual">
      <formula>0</formula>
    </cfRule>
  </conditionalFormatting>
  <conditionalFormatting sqref="W14:Y16">
    <cfRule type="cellIs" dxfId="294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293" priority="12" operator="notEqual">
      <formula>0</formula>
    </cfRule>
  </conditionalFormatting>
  <conditionalFormatting sqref="W11:Y13">
    <cfRule type="cellIs" dxfId="292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291" priority="8" operator="notEqual">
      <formula>0</formula>
    </cfRule>
  </conditionalFormatting>
  <conditionalFormatting sqref="W8:Y10">
    <cfRule type="cellIs" dxfId="290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289" priority="4" operator="notEqual">
      <formula>0</formula>
    </cfRule>
  </conditionalFormatting>
  <conditionalFormatting sqref="W5:Y7">
    <cfRule type="cellIs" dxfId="288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13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96.88</v>
      </c>
      <c r="K5" s="82">
        <f t="shared" ref="K5:K68" ca="1" si="0">100-J5</f>
        <v>3.1200000000000045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-0.51651785714284415</v>
      </c>
      <c r="U5" s="105">
        <f ca="1">T5/25*100</f>
        <v>-2.0660714285713766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96.88</v>
      </c>
      <c r="K6" s="82">
        <f t="shared" ca="1" si="0"/>
        <v>3.1200000000000045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-6.60714285713766E-2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96.88</v>
      </c>
      <c r="K7" s="82">
        <f t="shared" ca="1" si="0"/>
        <v>3.1200000000000045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96.92</v>
      </c>
      <c r="K8" s="82">
        <f t="shared" ca="1" si="0"/>
        <v>3.0799999999999983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-0.5565178571428504</v>
      </c>
      <c r="U8" s="105">
        <f ca="1">T8/25*100</f>
        <v>-2.2260714285714016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96.92</v>
      </c>
      <c r="K9" s="82">
        <f t="shared" ca="1" si="0"/>
        <v>3.0799999999999983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-0.22607142857140161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96.92</v>
      </c>
      <c r="K10" s="82">
        <f t="shared" ca="1" si="0"/>
        <v>3.0799999999999983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96.935000000000002</v>
      </c>
      <c r="K11" s="82">
        <f t="shared" ca="1" si="0"/>
        <v>3.0649999999999977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-0.57151785714285097</v>
      </c>
      <c r="U11" s="105">
        <f ca="1">T11/25*100</f>
        <v>-2.2860714285714039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96.935000000000002</v>
      </c>
      <c r="K12" s="82">
        <f t="shared" ca="1" si="0"/>
        <v>3.0649999999999977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-0.28607142857140389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96.935000000000002</v>
      </c>
      <c r="K13" s="82">
        <f t="shared" ca="1" si="0"/>
        <v>3.0649999999999977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96.95</v>
      </c>
      <c r="K14" s="82">
        <f t="shared" ca="1" si="0"/>
        <v>3.0499999999999972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-0.58651785714285154</v>
      </c>
      <c r="U14" s="105">
        <f ca="1">T14/25*100</f>
        <v>-2.3460714285714062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96.95</v>
      </c>
      <c r="K15" s="82">
        <f t="shared" ca="1" si="0"/>
        <v>3.0499999999999972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-0.34607142857140616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96.95</v>
      </c>
      <c r="K16" s="82">
        <f t="shared" ca="1" si="0"/>
        <v>3.0499999999999972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96.87</v>
      </c>
      <c r="K17" s="82">
        <f t="shared" ca="1" si="0"/>
        <v>3.1299999999999955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-0.50651785714285325</v>
      </c>
      <c r="U17" s="105">
        <f ca="1">T17/25*100</f>
        <v>-2.026071428571413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96.87</v>
      </c>
      <c r="K18" s="82">
        <f t="shared" ca="1" si="0"/>
        <v>3.1299999999999955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-2.607142857141298E-2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96.87</v>
      </c>
      <c r="K19" s="82">
        <f t="shared" ca="1" si="0"/>
        <v>3.1299999999999955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96.885000000000005</v>
      </c>
      <c r="K20" s="82">
        <f t="shared" ca="1" si="0"/>
        <v>3.1149999999999949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-0.52151785714285381</v>
      </c>
      <c r="U20" s="105">
        <f ca="1">T20/25*100</f>
        <v>-2.0860714285714153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96.885000000000005</v>
      </c>
      <c r="K21" s="82">
        <f t="shared" ca="1" si="0"/>
        <v>3.1149999999999949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-8.6071428571415254E-2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96.885000000000005</v>
      </c>
      <c r="K22" s="82">
        <f t="shared" ca="1" si="0"/>
        <v>3.1149999999999949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96.905000000000001</v>
      </c>
      <c r="K23" s="82">
        <f t="shared" ca="1" si="0"/>
        <v>3.0949999999999989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-0.54151785714284983</v>
      </c>
      <c r="U23" s="105">
        <f ca="1">T23/25*100</f>
        <v>-2.1660714285713993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96.905000000000001</v>
      </c>
      <c r="K24" s="82">
        <f t="shared" ca="1" si="0"/>
        <v>3.0949999999999989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-0.16607142857139934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96.905000000000001</v>
      </c>
      <c r="K25" s="82">
        <f t="shared" ca="1" si="0"/>
        <v>3.0949999999999989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96.91</v>
      </c>
      <c r="K26" s="82">
        <f t="shared" ca="1" si="0"/>
        <v>3.0900000000000034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-0.54651785714284529</v>
      </c>
      <c r="U26" s="105">
        <f ca="1">T26/25*100</f>
        <v>-2.1860714285713811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96.91</v>
      </c>
      <c r="K27" s="82">
        <f t="shared" ca="1" si="0"/>
        <v>3.0900000000000034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-0.18607142857138115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96.91</v>
      </c>
      <c r="K28" s="82">
        <f t="shared" ca="1" si="0"/>
        <v>3.0900000000000034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96.91</v>
      </c>
      <c r="K29" s="82">
        <f t="shared" ca="1" si="0"/>
        <v>3.0900000000000034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-0.54651785714284529</v>
      </c>
      <c r="U29" s="105">
        <f ca="1">T29/25*100</f>
        <v>-2.1860714285713811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96.91</v>
      </c>
      <c r="K30" s="82">
        <f t="shared" ca="1" si="0"/>
        <v>3.0900000000000034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-0.18607142857138115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96.91</v>
      </c>
      <c r="K31" s="82">
        <f t="shared" ca="1" si="0"/>
        <v>3.0900000000000034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96.92</v>
      </c>
      <c r="K32" s="82">
        <f t="shared" ca="1" si="0"/>
        <v>3.0799999999999983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-0.5565178571428504</v>
      </c>
      <c r="U32" s="105">
        <f ca="1">T32/25*100</f>
        <v>-2.2260714285714016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96.92</v>
      </c>
      <c r="K33" s="82">
        <f t="shared" ca="1" si="0"/>
        <v>3.0799999999999983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-0.22607142857140161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96.92</v>
      </c>
      <c r="K34" s="82">
        <f t="shared" ca="1" si="0"/>
        <v>3.0799999999999983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96.91</v>
      </c>
      <c r="K35" s="82">
        <f t="shared" ca="1" si="0"/>
        <v>3.0900000000000034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-0.54651785714284529</v>
      </c>
      <c r="U35" s="105">
        <f ca="1">T35/25*100</f>
        <v>-2.1860714285713811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96.91</v>
      </c>
      <c r="K36" s="82">
        <f t="shared" ca="1" si="0"/>
        <v>3.0900000000000034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-0.18607142857138115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96.91</v>
      </c>
      <c r="K37" s="82">
        <f t="shared" ca="1" si="0"/>
        <v>3.0900000000000034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96.93</v>
      </c>
      <c r="K38" s="82">
        <f t="shared" ca="1" si="0"/>
        <v>3.0699999999999932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-0.56651785714285552</v>
      </c>
      <c r="U38" s="105">
        <f ca="1">T38/25*100</f>
        <v>-2.2660714285714221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96.93</v>
      </c>
      <c r="K39" s="82">
        <f t="shared" ca="1" si="0"/>
        <v>3.0699999999999932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-0.26607142857142208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96.93</v>
      </c>
      <c r="K40" s="82">
        <f t="shared" ca="1" si="0"/>
        <v>3.0699999999999932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96.94</v>
      </c>
      <c r="K41" s="82">
        <f t="shared" ca="1" si="0"/>
        <v>3.0600000000000023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-0.57651785714284642</v>
      </c>
      <c r="U41" s="105">
        <f ca="1">T41/25*100</f>
        <v>-2.3060714285713857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96.94</v>
      </c>
      <c r="K42" s="82">
        <f t="shared" ca="1" si="0"/>
        <v>3.0600000000000023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-0.3060714285713857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96.94</v>
      </c>
      <c r="K43" s="82">
        <f t="shared" ca="1" si="0"/>
        <v>3.0600000000000023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96.944999999999993</v>
      </c>
      <c r="K44" s="82">
        <f t="shared" ca="1" si="0"/>
        <v>3.0550000000000068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-0.58151785714284188</v>
      </c>
      <c r="U44" s="105">
        <f ca="1">T44/25*100</f>
        <v>-2.3260714285713675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96.944999999999993</v>
      </c>
      <c r="K45" s="82">
        <f t="shared" ca="1" si="0"/>
        <v>3.0550000000000068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-0.32607142857136751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96.944999999999993</v>
      </c>
      <c r="K46" s="82">
        <f t="shared" ca="1" si="0"/>
        <v>3.0550000000000068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96.94</v>
      </c>
      <c r="K47" s="82">
        <f t="shared" ca="1" si="0"/>
        <v>3.0600000000000023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-0.57651785714284642</v>
      </c>
      <c r="U47" s="105">
        <f ca="1">T47/25*100</f>
        <v>-2.3060714285713857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96.94</v>
      </c>
      <c r="K48" s="82">
        <f t="shared" ca="1" si="0"/>
        <v>3.0600000000000023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-0.3060714285713857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96.94</v>
      </c>
      <c r="K49" s="82">
        <f t="shared" ca="1" si="0"/>
        <v>3.0600000000000023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96.94</v>
      </c>
      <c r="K50" s="82">
        <f t="shared" ca="1" si="0"/>
        <v>3.0600000000000023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-0.57651785714284642</v>
      </c>
      <c r="U50" s="105">
        <f ca="1">T50/25*100</f>
        <v>-2.3060714285713857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96.94</v>
      </c>
      <c r="K51" s="82">
        <f t="shared" ca="1" si="0"/>
        <v>3.0600000000000023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-0.3060714285713857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96.94</v>
      </c>
      <c r="K52" s="82">
        <f t="shared" ca="1" si="0"/>
        <v>3.0600000000000023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96.94</v>
      </c>
      <c r="K53" s="82">
        <f t="shared" ca="1" si="0"/>
        <v>3.0600000000000023</v>
      </c>
      <c r="L53" s="82">
        <f ca="1">K53-K55</f>
        <v>-3.4999999999996589E-2</v>
      </c>
      <c r="M53" s="105">
        <f ca="1">L53/25*100</f>
        <v>-0.13999999999998636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-0.57651785714284642</v>
      </c>
      <c r="U53" s="105">
        <f ca="1">T53/25*100</f>
        <v>-2.3060714285713857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96.93</v>
      </c>
      <c r="K54" s="82">
        <f t="shared" ca="1" si="0"/>
        <v>3.0699999999999932</v>
      </c>
      <c r="L54" s="96"/>
      <c r="M54" s="109"/>
      <c r="N54" s="97">
        <f ca="1">IF(M53&gt;0,MOD(M53,1),MOD(M53,-1))</f>
        <v>-0.13999999999998636</v>
      </c>
      <c r="O54" s="98">
        <f ca="1">IF(N53=-2,1-ABS(N54),IF(N53=-1,ABS(N54),0))</f>
        <v>0</v>
      </c>
      <c r="P54" s="98">
        <f ca="1">IF(N53=-1,1-ABS(N54),IF(N53=0,IF(N54&lt;0,ABS(N54),0),0))</f>
        <v>0.13999999999998636</v>
      </c>
      <c r="Q54" s="98">
        <f ca="1">IF(N53=0,1-ABS(N54),0)</f>
        <v>0.86000000000001364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-0.3060714285713857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96.905000000000001</v>
      </c>
      <c r="K55" s="82">
        <f t="shared" ca="1" si="0"/>
        <v>3.0949999999999989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96.905000000000001</v>
      </c>
      <c r="K56" s="82">
        <f t="shared" ca="1" si="0"/>
        <v>3.0949999999999989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-0.54151785714284983</v>
      </c>
      <c r="U56" s="105">
        <f ca="1">T56/25*100</f>
        <v>-2.1660714285713993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96.905000000000001</v>
      </c>
      <c r="K57" s="82">
        <f t="shared" ca="1" si="0"/>
        <v>3.0949999999999989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-0.16607142857139934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96.905000000000001</v>
      </c>
      <c r="K58" s="82">
        <f t="shared" ca="1" si="0"/>
        <v>3.0949999999999989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96.905000000000001</v>
      </c>
      <c r="K59" s="82">
        <f t="shared" ca="1" si="0"/>
        <v>3.0949999999999989</v>
      </c>
      <c r="L59" s="82">
        <f ca="1">K59-K61</f>
        <v>-4.4285714285720701E-2</v>
      </c>
      <c r="M59" s="105">
        <f ca="1">L59/25*100</f>
        <v>-0.1771428571428828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-0.54151785714284983</v>
      </c>
      <c r="U59" s="105">
        <f ca="1">T59/25*100</f>
        <v>-2.1660714285713993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96.864999999999995</v>
      </c>
      <c r="K60" s="82">
        <f t="shared" ca="1" si="0"/>
        <v>3.1350000000000051</v>
      </c>
      <c r="L60" s="96"/>
      <c r="M60" s="109"/>
      <c r="N60" s="97">
        <f ca="1">IF(M59&gt;0,MOD(M59,1),MOD(M59,-1))</f>
        <v>-0.1771428571428828</v>
      </c>
      <c r="O60" s="98">
        <f ca="1">IF(N59=-2,1-ABS(N60),IF(N59=-1,ABS(N60),0))</f>
        <v>0</v>
      </c>
      <c r="P60" s="98">
        <f ca="1">IF(N59=-1,1-ABS(N60),IF(N59=0,IF(N60&lt;0,ABS(N60),0),0))</f>
        <v>0.1771428571428828</v>
      </c>
      <c r="Q60" s="98">
        <f ca="1">IF(N59=0,1-ABS(N60),0)</f>
        <v>0.8228571428571172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-0.16607142857139934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96.86071428571428</v>
      </c>
      <c r="K61" s="82">
        <f t="shared" ca="1" si="0"/>
        <v>3.1392857142857196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96.860714285714266</v>
      </c>
      <c r="K62" s="82">
        <f t="shared" ca="1" si="0"/>
        <v>3.1392857142857338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-0.49723214285711492</v>
      </c>
      <c r="U62" s="105">
        <f ca="1">T62/25*100</f>
        <v>-1.9889285714284597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96.814999999999998</v>
      </c>
      <c r="K63" s="82">
        <f t="shared" ca="1" si="0"/>
        <v>3.1850000000000023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-0.98892857142845969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96.775000000000006</v>
      </c>
      <c r="K64" s="82">
        <f t="shared" ca="1" si="0"/>
        <v>3.2249999999999943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96.775000000000006</v>
      </c>
      <c r="K65" s="82">
        <f t="shared" ca="1" si="0"/>
        <v>3.2249999999999943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-0.41151785714285438</v>
      </c>
      <c r="U65" s="105">
        <f ca="1">T65/25*100</f>
        <v>-1.6460714285714175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96.775000000000006</v>
      </c>
      <c r="K66" s="82">
        <f t="shared" ca="1" si="0"/>
        <v>3.2249999999999943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-0.64607142857141753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96.775000000000006</v>
      </c>
      <c r="K67" s="82">
        <f t="shared" ca="1" si="0"/>
        <v>3.2249999999999943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96.775000000000006</v>
      </c>
      <c r="K68" s="82">
        <f t="shared" ca="1" si="0"/>
        <v>3.2249999999999943</v>
      </c>
      <c r="L68" s="82">
        <f ca="1">K68-K70</f>
        <v>-7.4827586206907881E-2</v>
      </c>
      <c r="M68" s="105">
        <f ca="1">L68/25*100</f>
        <v>-0.29931034482763152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-0.41151785714285438</v>
      </c>
      <c r="U68" s="105">
        <f ca="1">T68/25*100</f>
        <v>-1.6460714285714175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96.704999999999998</v>
      </c>
      <c r="K69" s="82">
        <f t="shared" ref="K69:K87" ca="1" si="1">100-J69</f>
        <v>3.2950000000000017</v>
      </c>
      <c r="L69" s="96"/>
      <c r="M69" s="109"/>
      <c r="N69" s="97">
        <f ca="1">IF(M68&gt;0,MOD(M68,1),MOD(M68,-1))</f>
        <v>-0.29931034482763152</v>
      </c>
      <c r="O69" s="98">
        <f ca="1">IF(N68=-2,1-ABS(N69),IF(N68=-1,ABS(N69),0))</f>
        <v>0</v>
      </c>
      <c r="P69" s="98">
        <f ca="1">IF(N68=-1,1-ABS(N69),IF(N68=0,IF(N69&lt;0,ABS(N69),0),0))</f>
        <v>0.29931034482763152</v>
      </c>
      <c r="Q69" s="98">
        <f ca="1">IF(N68=0,1-ABS(N69),0)</f>
        <v>0.70068965517236848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-0.64607142857141753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96.700172413793098</v>
      </c>
      <c r="K70" s="82">
        <f t="shared" ca="1" si="1"/>
        <v>3.2998275862069022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96.698461538461544</v>
      </c>
      <c r="K71" s="82">
        <f t="shared" ca="1" si="1"/>
        <v>3.3015384615384562</v>
      </c>
      <c r="L71" s="82">
        <f ca="1">K71-K73</f>
        <v>-0.13846153846154152</v>
      </c>
      <c r="M71" s="105">
        <f ca="1">L71/25*100</f>
        <v>-0.55384615384616609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-0.33497939560439249</v>
      </c>
      <c r="U71" s="105">
        <f ca="1">T71/25*100</f>
        <v>-1.33991758241757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96.62</v>
      </c>
      <c r="K72" s="82">
        <f t="shared" ca="1" si="1"/>
        <v>3.3799999999999955</v>
      </c>
      <c r="L72" s="96"/>
      <c r="M72" s="109"/>
      <c r="N72" s="97">
        <f ca="1">IF(M71&gt;0,MOD(M71,1),MOD(M71,-1))</f>
        <v>-0.55384615384616609</v>
      </c>
      <c r="O72" s="98">
        <f ca="1">IF(N71=-2,1-ABS(N72),IF(N71=-1,ABS(N72),0))</f>
        <v>0</v>
      </c>
      <c r="P72" s="98">
        <f ca="1">IF(N71=-1,1-ABS(N72),IF(N71=0,IF(N72&lt;0,ABS(N72),0),0))</f>
        <v>0.55384615384616609</v>
      </c>
      <c r="Q72" s="98">
        <f ca="1">IF(N71=0,1-ABS(N72),0)</f>
        <v>0.44615384615383391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-0.33991758241756997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96.56</v>
      </c>
      <c r="K73" s="82">
        <f t="shared" ca="1" si="1"/>
        <v>3.4399999999999977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96.56</v>
      </c>
      <c r="K74" s="82">
        <f t="shared" ca="1" si="1"/>
        <v>3.4399999999999977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-0.19651785714285097</v>
      </c>
      <c r="U74" s="105">
        <f ca="1">T74/25*100</f>
        <v>-0.78607142857140389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96.56</v>
      </c>
      <c r="K75" s="82">
        <f t="shared" ca="1" si="1"/>
        <v>3.4399999999999977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-0.78607142857140389</v>
      </c>
      <c r="W75" s="99">
        <f ca="1">IF(V74&lt;0,100%,IF(V75&lt;0,ABS(V75),0))</f>
        <v>0.78607142857140389</v>
      </c>
      <c r="X75" s="100">
        <f ca="1">IF(V74=0,1-ABS(V75),0)</f>
        <v>0.21392857142859611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96.56</v>
      </c>
      <c r="K76" s="82">
        <f t="shared" ca="1" si="1"/>
        <v>3.4399999999999977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96.56</v>
      </c>
      <c r="K77" s="82">
        <f t="shared" ca="1" si="1"/>
        <v>3.4399999999999977</v>
      </c>
      <c r="L77" s="82">
        <f ca="1">K77-K79</f>
        <v>-5.1724137931032033E-2</v>
      </c>
      <c r="M77" s="105">
        <f ca="1">L77/25*100</f>
        <v>-0.20689655172412813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-0.19651785714285097</v>
      </c>
      <c r="U77" s="105">
        <f ca="1">T77/25*100</f>
        <v>-0.78607142857140389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</v>
      </c>
      <c r="K78" s="82">
        <f t="shared" ca="1" si="1"/>
        <v>3.4899999999999949</v>
      </c>
      <c r="L78" s="96"/>
      <c r="M78" s="109"/>
      <c r="N78" s="97">
        <f ca="1">IF(M77&gt;0,MOD(M77,1),MOD(M77,-1))</f>
        <v>-0.20689655172412813</v>
      </c>
      <c r="O78" s="98">
        <f ca="1">IF(N77=-2,1-ABS(N78),IF(N77=-1,ABS(N78),0))</f>
        <v>0</v>
      </c>
      <c r="P78" s="98">
        <f ca="1">IF(N77=-1,1-ABS(N78),IF(N77=0,IF(N78&lt;0,ABS(N78),0),0))</f>
        <v>0.20689655172412813</v>
      </c>
      <c r="Q78" s="98">
        <f ca="1">IF(N77=0,1-ABS(N78),0)</f>
        <v>0.79310344827587187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-0.78607142857140389</v>
      </c>
      <c r="W78" s="99">
        <f ca="1">IF(V77&lt;0,100%,IF(V78&lt;0,ABS(V78),0))</f>
        <v>0.78607142857140389</v>
      </c>
      <c r="X78" s="100">
        <f ca="1">IF(V77=0,1-ABS(V78),0)</f>
        <v>0.21392857142859611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96.50827586206897</v>
      </c>
      <c r="K79" s="82">
        <f t="shared" ca="1" si="1"/>
        <v>3.4917241379310298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96.500384615384576</v>
      </c>
      <c r="K80" s="82">
        <f t="shared" ca="1" si="1"/>
        <v>3.4996153846154243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-0.13690247252742438</v>
      </c>
      <c r="U80" s="105">
        <f ca="1">T80/25*100</f>
        <v>-0.54760989010969752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96.444999999999993</v>
      </c>
      <c r="K81" s="82">
        <f t="shared" ca="1" si="1"/>
        <v>3.5550000000000068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-0.54760989010969752</v>
      </c>
      <c r="W81" s="99">
        <f ca="1">IF(V80&lt;0,100%,IF(V81&lt;0,ABS(V81),0))</f>
        <v>0.54760989010969752</v>
      </c>
      <c r="X81" s="100">
        <f ca="1">IF(V80=0,1-ABS(V81),0)</f>
        <v>0.45239010989030248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-4.1517857142849834E-2</v>
      </c>
      <c r="U83" s="105">
        <f ca="1">T83/25*100</f>
        <v>-0.16607142857139934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-0.16607142857139934</v>
      </c>
      <c r="W84" s="99">
        <f ca="1">IF(V83&lt;0,100%,IF(V84&lt;0,ABS(V84),0))</f>
        <v>0.16607142857139934</v>
      </c>
      <c r="X84" s="100">
        <f ca="1">IF(V83=0,1-ABS(V84),0)</f>
        <v>0.83392857142860066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-4.1517857142849834E-2</v>
      </c>
      <c r="M86" s="105">
        <f ca="1">L86/25*100</f>
        <v>-0.16607142857139934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-4.1517857142849834E-2</v>
      </c>
      <c r="U86" s="105">
        <f ca="1">T86/25*100</f>
        <v>-0.16607142857139934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96.367500000000007</v>
      </c>
      <c r="K87" s="82">
        <f t="shared" ca="1" si="1"/>
        <v>3.6324999999999932</v>
      </c>
      <c r="L87" s="102"/>
      <c r="M87" s="110"/>
      <c r="N87" s="97">
        <f ca="1">IF(M86&gt;0,MOD(M86,1),MOD(M86,-1))</f>
        <v>-0.16607142857139934</v>
      </c>
      <c r="O87" s="98">
        <f ca="1">IF(N86=-2,1-ABS(N87),IF(N86=-1,ABS(N87),0))</f>
        <v>0</v>
      </c>
      <c r="P87" s="98">
        <f ca="1">IF(N86=-1,1-ABS(N87),IF(N86=0,IF(N87&lt;0,ABS(N87),0),0))</f>
        <v>0.16607142857139934</v>
      </c>
      <c r="Q87" s="98">
        <f ca="1">IF(N86=0,1-ABS(N87),0)</f>
        <v>0.83392857142860066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-0.16607142857139934</v>
      </c>
      <c r="W87" s="99">
        <f ca="1">IF(V86&lt;0,100%,IF(V87&lt;0,ABS(V87),0))</f>
        <v>0.16607142857139934</v>
      </c>
      <c r="X87" s="100">
        <f ca="1">IF(V86=0,1-ABS(V87),0)</f>
        <v>0.83392857142860066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96.363482142857151</v>
      </c>
      <c r="K88" s="82">
        <f ca="1">100-J88</f>
        <v>3.6365178571428487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287" priority="139" operator="notEqual">
      <formula>0</formula>
    </cfRule>
  </conditionalFormatting>
  <conditionalFormatting sqref="W53:Y88">
    <cfRule type="cellIs" dxfId="286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285" priority="133" operator="notEqual">
      <formula>0</formula>
    </cfRule>
  </conditionalFormatting>
  <conditionalFormatting sqref="W89:Y91">
    <cfRule type="cellIs" dxfId="284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283" priority="71" operator="notEqual">
      <formula>0</formula>
    </cfRule>
  </conditionalFormatting>
  <conditionalFormatting sqref="W50:Y52">
    <cfRule type="cellIs" dxfId="282" priority="70" operator="notEqual">
      <formula>0</formula>
    </cfRule>
  </conditionalFormatting>
  <conditionalFormatting sqref="O47:S49">
    <cfRule type="cellIs" dxfId="281" priority="69" operator="notEqual">
      <formula>0</formula>
    </cfRule>
  </conditionalFormatting>
  <conditionalFormatting sqref="W47:Y49">
    <cfRule type="cellIs" dxfId="280" priority="68" operator="notEqual">
      <formula>0</formula>
    </cfRule>
  </conditionalFormatting>
  <conditionalFormatting sqref="O44:S46">
    <cfRule type="cellIs" dxfId="279" priority="67" operator="notEqual">
      <formula>0</formula>
    </cfRule>
  </conditionalFormatting>
  <conditionalFormatting sqref="W44:Y46">
    <cfRule type="cellIs" dxfId="278" priority="66" operator="notEqual">
      <formula>0</formula>
    </cfRule>
  </conditionalFormatting>
  <conditionalFormatting sqref="O41:S43">
    <cfRule type="cellIs" dxfId="277" priority="65" operator="notEqual">
      <formula>0</formula>
    </cfRule>
  </conditionalFormatting>
  <conditionalFormatting sqref="W41:Y43">
    <cfRule type="cellIs" dxfId="276" priority="64" operator="notEqual">
      <formula>0</formula>
    </cfRule>
  </conditionalFormatting>
  <conditionalFormatting sqref="O38:S40">
    <cfRule type="cellIs" dxfId="275" priority="63" operator="notEqual">
      <formula>0</formula>
    </cfRule>
  </conditionalFormatting>
  <conditionalFormatting sqref="W38:Y40">
    <cfRule type="cellIs" dxfId="274" priority="62" operator="notEqual">
      <formula>0</formula>
    </cfRule>
  </conditionalFormatting>
  <conditionalFormatting sqref="O35:S37">
    <cfRule type="cellIs" dxfId="273" priority="61" operator="notEqual">
      <formula>0</formula>
    </cfRule>
  </conditionalFormatting>
  <conditionalFormatting sqref="W35:Y37">
    <cfRule type="cellIs" dxfId="272" priority="60" operator="notEqual">
      <formula>0</formula>
    </cfRule>
  </conditionalFormatting>
  <conditionalFormatting sqref="O32:S34">
    <cfRule type="cellIs" dxfId="271" priority="59" operator="notEqual">
      <formula>0</formula>
    </cfRule>
  </conditionalFormatting>
  <conditionalFormatting sqref="W32:Y34">
    <cfRule type="cellIs" dxfId="270" priority="58" operator="notEqual">
      <formula>0</formula>
    </cfRule>
  </conditionalFormatting>
  <conditionalFormatting sqref="O29:S31">
    <cfRule type="cellIs" dxfId="269" priority="57" operator="notEqual">
      <formula>0</formula>
    </cfRule>
  </conditionalFormatting>
  <conditionalFormatting sqref="W29:Y31">
    <cfRule type="cellIs" dxfId="268" priority="56" operator="notEqual">
      <formula>0</formula>
    </cfRule>
  </conditionalFormatting>
  <conditionalFormatting sqref="O26:S28">
    <cfRule type="cellIs" dxfId="267" priority="55" operator="notEqual">
      <formula>0</formula>
    </cfRule>
  </conditionalFormatting>
  <conditionalFormatting sqref="W26:Y28">
    <cfRule type="cellIs" dxfId="266" priority="54" operator="notEqual">
      <formula>0</formula>
    </cfRule>
  </conditionalFormatting>
  <conditionalFormatting sqref="O23:S25">
    <cfRule type="cellIs" dxfId="265" priority="53" operator="notEqual">
      <formula>0</formula>
    </cfRule>
  </conditionalFormatting>
  <conditionalFormatting sqref="W23:Y25">
    <cfRule type="cellIs" dxfId="264" priority="52" operator="notEqual">
      <formula>0</formula>
    </cfRule>
  </conditionalFormatting>
  <conditionalFormatting sqref="O20:S22">
    <cfRule type="cellIs" dxfId="263" priority="51" operator="notEqual">
      <formula>0</formula>
    </cfRule>
  </conditionalFormatting>
  <conditionalFormatting sqref="W20:Y22">
    <cfRule type="cellIs" dxfId="262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261" priority="20" operator="notEqual">
      <formula>0</formula>
    </cfRule>
  </conditionalFormatting>
  <conditionalFormatting sqref="W17:Y19">
    <cfRule type="cellIs" dxfId="260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259" priority="16" operator="notEqual">
      <formula>0</formula>
    </cfRule>
  </conditionalFormatting>
  <conditionalFormatting sqref="W14:Y16">
    <cfRule type="cellIs" dxfId="258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257" priority="12" operator="notEqual">
      <formula>0</formula>
    </cfRule>
  </conditionalFormatting>
  <conditionalFormatting sqref="W11:Y13">
    <cfRule type="cellIs" dxfId="256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255" priority="8" operator="notEqual">
      <formula>0</formula>
    </cfRule>
  </conditionalFormatting>
  <conditionalFormatting sqref="W8:Y10">
    <cfRule type="cellIs" dxfId="254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253" priority="4" operator="notEqual">
      <formula>0</formula>
    </cfRule>
  </conditionalFormatting>
  <conditionalFormatting sqref="W5:Y7">
    <cfRule type="cellIs" dxfId="252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14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96.88</v>
      </c>
      <c r="K5" s="82">
        <f t="shared" ref="K5:K68" ca="1" si="0">100-J5</f>
        <v>3.1200000000000045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-0.51651785714284415</v>
      </c>
      <c r="U5" s="105">
        <f ca="1">T5/25*100</f>
        <v>-2.0660714285713766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96.88</v>
      </c>
      <c r="K6" s="82">
        <f t="shared" ca="1" si="0"/>
        <v>3.1200000000000045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-6.60714285713766E-2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96.88</v>
      </c>
      <c r="K7" s="82">
        <f t="shared" ca="1" si="0"/>
        <v>3.1200000000000045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96.92</v>
      </c>
      <c r="K8" s="82">
        <f t="shared" ca="1" si="0"/>
        <v>3.0799999999999983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-0.5565178571428504</v>
      </c>
      <c r="U8" s="105">
        <f ca="1">T8/25*100</f>
        <v>-2.2260714285714016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96.92</v>
      </c>
      <c r="K9" s="82">
        <f t="shared" ca="1" si="0"/>
        <v>3.0799999999999983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-0.22607142857140161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96.92</v>
      </c>
      <c r="K10" s="82">
        <f t="shared" ca="1" si="0"/>
        <v>3.0799999999999983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96.935000000000002</v>
      </c>
      <c r="K11" s="82">
        <f t="shared" ca="1" si="0"/>
        <v>3.0649999999999977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-0.57151785714285097</v>
      </c>
      <c r="U11" s="105">
        <f ca="1">T11/25*100</f>
        <v>-2.2860714285714039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96.935000000000002</v>
      </c>
      <c r="K12" s="82">
        <f t="shared" ca="1" si="0"/>
        <v>3.0649999999999977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-0.28607142857140389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96.935000000000002</v>
      </c>
      <c r="K13" s="82">
        <f t="shared" ca="1" si="0"/>
        <v>3.0649999999999977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96.95</v>
      </c>
      <c r="K14" s="82">
        <f t="shared" ca="1" si="0"/>
        <v>3.0499999999999972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-0.58651785714285154</v>
      </c>
      <c r="U14" s="105">
        <f ca="1">T14/25*100</f>
        <v>-2.3460714285714062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96.95</v>
      </c>
      <c r="K15" s="82">
        <f t="shared" ca="1" si="0"/>
        <v>3.0499999999999972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-0.34607142857140616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96.95</v>
      </c>
      <c r="K16" s="82">
        <f t="shared" ca="1" si="0"/>
        <v>3.0499999999999972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96.87</v>
      </c>
      <c r="K17" s="82">
        <f t="shared" ca="1" si="0"/>
        <v>3.1299999999999955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-0.50651785714285325</v>
      </c>
      <c r="U17" s="105">
        <f ca="1">T17/25*100</f>
        <v>-2.026071428571413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96.87</v>
      </c>
      <c r="K18" s="82">
        <f t="shared" ca="1" si="0"/>
        <v>3.1299999999999955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-2.607142857141298E-2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96.87</v>
      </c>
      <c r="K19" s="82">
        <f t="shared" ca="1" si="0"/>
        <v>3.1299999999999955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96.885000000000005</v>
      </c>
      <c r="K20" s="82">
        <f t="shared" ca="1" si="0"/>
        <v>3.1149999999999949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-0.52151785714285381</v>
      </c>
      <c r="U20" s="105">
        <f ca="1">T20/25*100</f>
        <v>-2.0860714285714153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96.885000000000005</v>
      </c>
      <c r="K21" s="82">
        <f t="shared" ca="1" si="0"/>
        <v>3.1149999999999949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-8.6071428571415254E-2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96.885000000000005</v>
      </c>
      <c r="K22" s="82">
        <f t="shared" ca="1" si="0"/>
        <v>3.1149999999999949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96.905000000000001</v>
      </c>
      <c r="K23" s="82">
        <f t="shared" ca="1" si="0"/>
        <v>3.0949999999999989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-0.54151785714284983</v>
      </c>
      <c r="U23" s="105">
        <f ca="1">T23/25*100</f>
        <v>-2.1660714285713993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96.905000000000001</v>
      </c>
      <c r="K24" s="82">
        <f t="shared" ca="1" si="0"/>
        <v>3.0949999999999989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-0.16607142857139934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96.905000000000001</v>
      </c>
      <c r="K25" s="82">
        <f t="shared" ca="1" si="0"/>
        <v>3.0949999999999989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96.91</v>
      </c>
      <c r="K26" s="82">
        <f t="shared" ca="1" si="0"/>
        <v>3.0900000000000034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-0.54651785714284529</v>
      </c>
      <c r="U26" s="105">
        <f ca="1">T26/25*100</f>
        <v>-2.1860714285713811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96.91</v>
      </c>
      <c r="K27" s="82">
        <f t="shared" ca="1" si="0"/>
        <v>3.0900000000000034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-0.18607142857138115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96.91</v>
      </c>
      <c r="K28" s="82">
        <f t="shared" ca="1" si="0"/>
        <v>3.0900000000000034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96.91</v>
      </c>
      <c r="K29" s="82">
        <f t="shared" ca="1" si="0"/>
        <v>3.0900000000000034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-0.54651785714284529</v>
      </c>
      <c r="U29" s="105">
        <f ca="1">T29/25*100</f>
        <v>-2.1860714285713811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96.91</v>
      </c>
      <c r="K30" s="82">
        <f t="shared" ca="1" si="0"/>
        <v>3.0900000000000034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-0.18607142857138115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96.91</v>
      </c>
      <c r="K31" s="82">
        <f t="shared" ca="1" si="0"/>
        <v>3.0900000000000034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96.92</v>
      </c>
      <c r="K32" s="82">
        <f t="shared" ca="1" si="0"/>
        <v>3.0799999999999983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-0.5565178571428504</v>
      </c>
      <c r="U32" s="105">
        <f ca="1">T32/25*100</f>
        <v>-2.2260714285714016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96.92</v>
      </c>
      <c r="K33" s="82">
        <f t="shared" ca="1" si="0"/>
        <v>3.0799999999999983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-0.22607142857140161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96.92</v>
      </c>
      <c r="K34" s="82">
        <f t="shared" ca="1" si="0"/>
        <v>3.0799999999999983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96.91</v>
      </c>
      <c r="K35" s="82">
        <f t="shared" ca="1" si="0"/>
        <v>3.0900000000000034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-0.54651785714284529</v>
      </c>
      <c r="U35" s="105">
        <f ca="1">T35/25*100</f>
        <v>-2.1860714285713811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96.91</v>
      </c>
      <c r="K36" s="82">
        <f t="shared" ca="1" si="0"/>
        <v>3.0900000000000034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-0.18607142857138115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96.91</v>
      </c>
      <c r="K37" s="82">
        <f t="shared" ca="1" si="0"/>
        <v>3.0900000000000034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96.93</v>
      </c>
      <c r="K38" s="82">
        <f t="shared" ca="1" si="0"/>
        <v>3.0699999999999932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-0.56651785714285552</v>
      </c>
      <c r="U38" s="105">
        <f ca="1">T38/25*100</f>
        <v>-2.2660714285714221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96.93</v>
      </c>
      <c r="K39" s="82">
        <f t="shared" ca="1" si="0"/>
        <v>3.0699999999999932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-0.26607142857142208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96.93</v>
      </c>
      <c r="K40" s="82">
        <f t="shared" ca="1" si="0"/>
        <v>3.0699999999999932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96.94</v>
      </c>
      <c r="K41" s="82">
        <f t="shared" ca="1" si="0"/>
        <v>3.0600000000000023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-0.57651785714284642</v>
      </c>
      <c r="U41" s="105">
        <f ca="1">T41/25*100</f>
        <v>-2.3060714285713857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96.94</v>
      </c>
      <c r="K42" s="82">
        <f t="shared" ca="1" si="0"/>
        <v>3.0600000000000023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-0.3060714285713857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96.94</v>
      </c>
      <c r="K43" s="82">
        <f t="shared" ca="1" si="0"/>
        <v>3.0600000000000023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96.944999999999993</v>
      </c>
      <c r="K44" s="82">
        <f t="shared" ca="1" si="0"/>
        <v>3.0550000000000068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-0.58151785714284188</v>
      </c>
      <c r="U44" s="105">
        <f ca="1">T44/25*100</f>
        <v>-2.3260714285713675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96.944999999999993</v>
      </c>
      <c r="K45" s="82">
        <f t="shared" ca="1" si="0"/>
        <v>3.0550000000000068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-0.32607142857136751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96.944999999999993</v>
      </c>
      <c r="K46" s="82">
        <f t="shared" ca="1" si="0"/>
        <v>3.0550000000000068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96.94</v>
      </c>
      <c r="K47" s="82">
        <f t="shared" ca="1" si="0"/>
        <v>3.0600000000000023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-0.57651785714284642</v>
      </c>
      <c r="U47" s="105">
        <f ca="1">T47/25*100</f>
        <v>-2.3060714285713857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96.94</v>
      </c>
      <c r="K48" s="82">
        <f t="shared" ca="1" si="0"/>
        <v>3.0600000000000023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-0.3060714285713857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96.94</v>
      </c>
      <c r="K49" s="82">
        <f t="shared" ca="1" si="0"/>
        <v>3.0600000000000023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96.94</v>
      </c>
      <c r="K50" s="82">
        <f t="shared" ca="1" si="0"/>
        <v>3.0600000000000023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-0.57651785714284642</v>
      </c>
      <c r="U50" s="105">
        <f ca="1">T50/25*100</f>
        <v>-2.3060714285713857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96.94</v>
      </c>
      <c r="K51" s="82">
        <f t="shared" ca="1" si="0"/>
        <v>3.0600000000000023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-0.3060714285713857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96.94</v>
      </c>
      <c r="K52" s="82">
        <f t="shared" ca="1" si="0"/>
        <v>3.0600000000000023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96.94</v>
      </c>
      <c r="K53" s="82">
        <f t="shared" ca="1" si="0"/>
        <v>3.0600000000000023</v>
      </c>
      <c r="L53" s="82">
        <f ca="1">K53-K55</f>
        <v>-3.4999999999996589E-2</v>
      </c>
      <c r="M53" s="105">
        <f ca="1">L53/25*100</f>
        <v>-0.13999999999998636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-0.57651785714284642</v>
      </c>
      <c r="U53" s="105">
        <f ca="1">T53/25*100</f>
        <v>-2.3060714285713857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96.93</v>
      </c>
      <c r="K54" s="82">
        <f t="shared" ca="1" si="0"/>
        <v>3.0699999999999932</v>
      </c>
      <c r="L54" s="96"/>
      <c r="M54" s="109"/>
      <c r="N54" s="97">
        <f ca="1">IF(M53&gt;0,MOD(M53,1),MOD(M53,-1))</f>
        <v>-0.13999999999998636</v>
      </c>
      <c r="O54" s="98">
        <f ca="1">IF(N53=-2,1-ABS(N54),IF(N53=-1,ABS(N54),0))</f>
        <v>0</v>
      </c>
      <c r="P54" s="98">
        <f ca="1">IF(N53=-1,1-ABS(N54),IF(N53=0,IF(N54&lt;0,ABS(N54),0),0))</f>
        <v>0.13999999999998636</v>
      </c>
      <c r="Q54" s="98">
        <f ca="1">IF(N53=0,1-ABS(N54),0)</f>
        <v>0.86000000000001364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-0.3060714285713857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96.905000000000001</v>
      </c>
      <c r="K55" s="82">
        <f t="shared" ca="1" si="0"/>
        <v>3.0949999999999989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96.905000000000001</v>
      </c>
      <c r="K56" s="82">
        <f t="shared" ca="1" si="0"/>
        <v>3.0949999999999989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-0.54151785714284983</v>
      </c>
      <c r="U56" s="105">
        <f ca="1">T56/25*100</f>
        <v>-2.1660714285713993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96.905000000000001</v>
      </c>
      <c r="K57" s="82">
        <f t="shared" ca="1" si="0"/>
        <v>3.0949999999999989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-0.16607142857139934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96.905000000000001</v>
      </c>
      <c r="K58" s="82">
        <f t="shared" ca="1" si="0"/>
        <v>3.0949999999999989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96.905000000000001</v>
      </c>
      <c r="K59" s="82">
        <f t="shared" ca="1" si="0"/>
        <v>3.0949999999999989</v>
      </c>
      <c r="L59" s="82">
        <f ca="1">K59-K61</f>
        <v>-4.4285714285720701E-2</v>
      </c>
      <c r="M59" s="105">
        <f ca="1">L59/25*100</f>
        <v>-0.1771428571428828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-0.54151785714284983</v>
      </c>
      <c r="U59" s="105">
        <f ca="1">T59/25*100</f>
        <v>-2.1660714285713993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96.864999999999995</v>
      </c>
      <c r="K60" s="82">
        <f t="shared" ca="1" si="0"/>
        <v>3.1350000000000051</v>
      </c>
      <c r="L60" s="96"/>
      <c r="M60" s="109"/>
      <c r="N60" s="97">
        <f ca="1">IF(M59&gt;0,MOD(M59,1),MOD(M59,-1))</f>
        <v>-0.1771428571428828</v>
      </c>
      <c r="O60" s="98">
        <f ca="1">IF(N59=-2,1-ABS(N60),IF(N59=-1,ABS(N60),0))</f>
        <v>0</v>
      </c>
      <c r="P60" s="98">
        <f ca="1">IF(N59=-1,1-ABS(N60),IF(N59=0,IF(N60&lt;0,ABS(N60),0),0))</f>
        <v>0.1771428571428828</v>
      </c>
      <c r="Q60" s="98">
        <f ca="1">IF(N59=0,1-ABS(N60),0)</f>
        <v>0.8228571428571172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-0.16607142857139934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96.86071428571428</v>
      </c>
      <c r="K61" s="82">
        <f t="shared" ca="1" si="0"/>
        <v>3.1392857142857196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96.860714285714266</v>
      </c>
      <c r="K62" s="82">
        <f t="shared" ca="1" si="0"/>
        <v>3.1392857142857338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-0.49723214285711492</v>
      </c>
      <c r="U62" s="105">
        <f ca="1">T62/25*100</f>
        <v>-1.9889285714284597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96.814999999999998</v>
      </c>
      <c r="K63" s="82">
        <f t="shared" ca="1" si="0"/>
        <v>3.1850000000000023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-0.98892857142845969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96.775000000000006</v>
      </c>
      <c r="K64" s="82">
        <f t="shared" ca="1" si="0"/>
        <v>3.2249999999999943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96.775000000000006</v>
      </c>
      <c r="K65" s="82">
        <f t="shared" ca="1" si="0"/>
        <v>3.2249999999999943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-0.41151785714285438</v>
      </c>
      <c r="U65" s="105">
        <f ca="1">T65/25*100</f>
        <v>-1.6460714285714175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96.775000000000006</v>
      </c>
      <c r="K66" s="82">
        <f t="shared" ca="1" si="0"/>
        <v>3.2249999999999943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-0.64607142857141753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96.775000000000006</v>
      </c>
      <c r="K67" s="82">
        <f t="shared" ca="1" si="0"/>
        <v>3.2249999999999943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96.775000000000006</v>
      </c>
      <c r="K68" s="82">
        <f t="shared" ca="1" si="0"/>
        <v>3.2249999999999943</v>
      </c>
      <c r="L68" s="82">
        <f ca="1">K68-K70</f>
        <v>-7.4827586206907881E-2</v>
      </c>
      <c r="M68" s="105">
        <f ca="1">L68/25*100</f>
        <v>-0.29931034482763152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-0.41151785714285438</v>
      </c>
      <c r="U68" s="105">
        <f ca="1">T68/25*100</f>
        <v>-1.6460714285714175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96.704999999999998</v>
      </c>
      <c r="K69" s="82">
        <f t="shared" ref="K69:K87" ca="1" si="1">100-J69</f>
        <v>3.2950000000000017</v>
      </c>
      <c r="L69" s="96"/>
      <c r="M69" s="109"/>
      <c r="N69" s="97">
        <f ca="1">IF(M68&gt;0,MOD(M68,1),MOD(M68,-1))</f>
        <v>-0.29931034482763152</v>
      </c>
      <c r="O69" s="98">
        <f ca="1">IF(N68=-2,1-ABS(N69),IF(N68=-1,ABS(N69),0))</f>
        <v>0</v>
      </c>
      <c r="P69" s="98">
        <f ca="1">IF(N68=-1,1-ABS(N69),IF(N68=0,IF(N69&lt;0,ABS(N69),0),0))</f>
        <v>0.29931034482763152</v>
      </c>
      <c r="Q69" s="98">
        <f ca="1">IF(N68=0,1-ABS(N69),0)</f>
        <v>0.70068965517236848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-0.64607142857141753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96.700172413793098</v>
      </c>
      <c r="K70" s="82">
        <f t="shared" ca="1" si="1"/>
        <v>3.2998275862069022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96.698461538461544</v>
      </c>
      <c r="K71" s="82">
        <f t="shared" ca="1" si="1"/>
        <v>3.3015384615384562</v>
      </c>
      <c r="L71" s="82">
        <f ca="1">K71-K73</f>
        <v>-0.13846153846154152</v>
      </c>
      <c r="M71" s="105">
        <f ca="1">L71/25*100</f>
        <v>-0.55384615384616609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-0.33497939560439249</v>
      </c>
      <c r="U71" s="105">
        <f ca="1">T71/25*100</f>
        <v>-1.33991758241757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96.62</v>
      </c>
      <c r="K72" s="82">
        <f t="shared" ca="1" si="1"/>
        <v>3.3799999999999955</v>
      </c>
      <c r="L72" s="96"/>
      <c r="M72" s="109"/>
      <c r="N72" s="97">
        <f ca="1">IF(M71&gt;0,MOD(M71,1),MOD(M71,-1))</f>
        <v>-0.55384615384616609</v>
      </c>
      <c r="O72" s="98">
        <f ca="1">IF(N71=-2,1-ABS(N72),IF(N71=-1,ABS(N72),0))</f>
        <v>0</v>
      </c>
      <c r="P72" s="98">
        <f ca="1">IF(N71=-1,1-ABS(N72),IF(N71=0,IF(N72&lt;0,ABS(N72),0),0))</f>
        <v>0.55384615384616609</v>
      </c>
      <c r="Q72" s="98">
        <f ca="1">IF(N71=0,1-ABS(N72),0)</f>
        <v>0.44615384615383391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-0.33991758241756997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96.56</v>
      </c>
      <c r="K73" s="82">
        <f t="shared" ca="1" si="1"/>
        <v>3.4399999999999977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96.56</v>
      </c>
      <c r="K74" s="82">
        <f t="shared" ca="1" si="1"/>
        <v>3.4399999999999977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-0.19651785714285097</v>
      </c>
      <c r="U74" s="105">
        <f ca="1">T74/25*100</f>
        <v>-0.78607142857140389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96.56</v>
      </c>
      <c r="K75" s="82">
        <f t="shared" ca="1" si="1"/>
        <v>3.4399999999999977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-0.78607142857140389</v>
      </c>
      <c r="W75" s="99">
        <f ca="1">IF(V74&lt;0,100%,IF(V75&lt;0,ABS(V75),0))</f>
        <v>0.78607142857140389</v>
      </c>
      <c r="X75" s="100">
        <f ca="1">IF(V74=0,1-ABS(V75),0)</f>
        <v>0.21392857142859611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96.56</v>
      </c>
      <c r="K76" s="82">
        <f t="shared" ca="1" si="1"/>
        <v>3.4399999999999977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96.56</v>
      </c>
      <c r="K77" s="82">
        <f t="shared" ca="1" si="1"/>
        <v>3.4399999999999977</v>
      </c>
      <c r="L77" s="82">
        <f ca="1">K77-K79</f>
        <v>-5.1724137931032033E-2</v>
      </c>
      <c r="M77" s="105">
        <f ca="1">L77/25*100</f>
        <v>-0.20689655172412813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-0.19651785714285097</v>
      </c>
      <c r="U77" s="105">
        <f ca="1">T77/25*100</f>
        <v>-0.78607142857140389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</v>
      </c>
      <c r="K78" s="82">
        <f t="shared" ca="1" si="1"/>
        <v>3.4899999999999949</v>
      </c>
      <c r="L78" s="96"/>
      <c r="M78" s="109"/>
      <c r="N78" s="97">
        <f ca="1">IF(M77&gt;0,MOD(M77,1),MOD(M77,-1))</f>
        <v>-0.20689655172412813</v>
      </c>
      <c r="O78" s="98">
        <f ca="1">IF(N77=-2,1-ABS(N78),IF(N77=-1,ABS(N78),0))</f>
        <v>0</v>
      </c>
      <c r="P78" s="98">
        <f ca="1">IF(N77=-1,1-ABS(N78),IF(N77=0,IF(N78&lt;0,ABS(N78),0),0))</f>
        <v>0.20689655172412813</v>
      </c>
      <c r="Q78" s="98">
        <f ca="1">IF(N77=0,1-ABS(N78),0)</f>
        <v>0.79310344827587187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-0.78607142857140389</v>
      </c>
      <c r="W78" s="99">
        <f ca="1">IF(V77&lt;0,100%,IF(V78&lt;0,ABS(V78),0))</f>
        <v>0.78607142857140389</v>
      </c>
      <c r="X78" s="100">
        <f ca="1">IF(V77=0,1-ABS(V78),0)</f>
        <v>0.21392857142859611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96.50827586206897</v>
      </c>
      <c r="K79" s="82">
        <f t="shared" ca="1" si="1"/>
        <v>3.4917241379310298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96.500384615384576</v>
      </c>
      <c r="K80" s="82">
        <f t="shared" ca="1" si="1"/>
        <v>3.4996153846154243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-0.13690247252742438</v>
      </c>
      <c r="U80" s="105">
        <f ca="1">T80/25*100</f>
        <v>-0.54760989010969752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96.444999999999993</v>
      </c>
      <c r="K81" s="82">
        <f t="shared" ca="1" si="1"/>
        <v>3.5550000000000068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-0.54760989010969752</v>
      </c>
      <c r="W81" s="99">
        <f ca="1">IF(V80&lt;0,100%,IF(V81&lt;0,ABS(V81),0))</f>
        <v>0.54760989010969752</v>
      </c>
      <c r="X81" s="100">
        <f ca="1">IF(V80=0,1-ABS(V81),0)</f>
        <v>0.45239010989030248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-4.1517857142849834E-2</v>
      </c>
      <c r="U83" s="105">
        <f ca="1">T83/25*100</f>
        <v>-0.16607142857139934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-0.16607142857139934</v>
      </c>
      <c r="W84" s="99">
        <f ca="1">IF(V83&lt;0,100%,IF(V84&lt;0,ABS(V84),0))</f>
        <v>0.16607142857139934</v>
      </c>
      <c r="X84" s="100">
        <f ca="1">IF(V83=0,1-ABS(V84),0)</f>
        <v>0.83392857142860066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-4.1517857142849834E-2</v>
      </c>
      <c r="M86" s="105">
        <f ca="1">L86/25*100</f>
        <v>-0.16607142857139934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-4.1517857142849834E-2</v>
      </c>
      <c r="U86" s="105">
        <f ca="1">T86/25*100</f>
        <v>-0.16607142857139934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96.367500000000007</v>
      </c>
      <c r="K87" s="82">
        <f t="shared" ca="1" si="1"/>
        <v>3.6324999999999932</v>
      </c>
      <c r="L87" s="102"/>
      <c r="M87" s="110"/>
      <c r="N87" s="97">
        <f ca="1">IF(M86&gt;0,MOD(M86,1),MOD(M86,-1))</f>
        <v>-0.16607142857139934</v>
      </c>
      <c r="O87" s="98">
        <f ca="1">IF(N86=-2,1-ABS(N87),IF(N86=-1,ABS(N87),0))</f>
        <v>0</v>
      </c>
      <c r="P87" s="98">
        <f ca="1">IF(N86=-1,1-ABS(N87),IF(N86=0,IF(N87&lt;0,ABS(N87),0),0))</f>
        <v>0.16607142857139934</v>
      </c>
      <c r="Q87" s="98">
        <f ca="1">IF(N86=0,1-ABS(N87),0)</f>
        <v>0.83392857142860066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-0.16607142857139934</v>
      </c>
      <c r="W87" s="99">
        <f ca="1">IF(V86&lt;0,100%,IF(V87&lt;0,ABS(V87),0))</f>
        <v>0.16607142857139934</v>
      </c>
      <c r="X87" s="100">
        <f ca="1">IF(V86=0,1-ABS(V87),0)</f>
        <v>0.83392857142860066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96.363482142857151</v>
      </c>
      <c r="K88" s="82">
        <f ca="1">100-J88</f>
        <v>3.6365178571428487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251" priority="139" operator="notEqual">
      <formula>0</formula>
    </cfRule>
  </conditionalFormatting>
  <conditionalFormatting sqref="W53:Y88">
    <cfRule type="cellIs" dxfId="250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249" priority="133" operator="notEqual">
      <formula>0</formula>
    </cfRule>
  </conditionalFormatting>
  <conditionalFormatting sqref="W89:Y91">
    <cfRule type="cellIs" dxfId="248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247" priority="71" operator="notEqual">
      <formula>0</formula>
    </cfRule>
  </conditionalFormatting>
  <conditionalFormatting sqref="W50:Y52">
    <cfRule type="cellIs" dxfId="246" priority="70" operator="notEqual">
      <formula>0</formula>
    </cfRule>
  </conditionalFormatting>
  <conditionalFormatting sqref="O47:S49">
    <cfRule type="cellIs" dxfId="245" priority="69" operator="notEqual">
      <formula>0</formula>
    </cfRule>
  </conditionalFormatting>
  <conditionalFormatting sqref="W47:Y49">
    <cfRule type="cellIs" dxfId="244" priority="68" operator="notEqual">
      <formula>0</formula>
    </cfRule>
  </conditionalFormatting>
  <conditionalFormatting sqref="O44:S46">
    <cfRule type="cellIs" dxfId="243" priority="67" operator="notEqual">
      <formula>0</formula>
    </cfRule>
  </conditionalFormatting>
  <conditionalFormatting sqref="W44:Y46">
    <cfRule type="cellIs" dxfId="242" priority="66" operator="notEqual">
      <formula>0</formula>
    </cfRule>
  </conditionalFormatting>
  <conditionalFormatting sqref="O41:S43">
    <cfRule type="cellIs" dxfId="241" priority="65" operator="notEqual">
      <formula>0</formula>
    </cfRule>
  </conditionalFormatting>
  <conditionalFormatting sqref="W41:Y43">
    <cfRule type="cellIs" dxfId="240" priority="64" operator="notEqual">
      <formula>0</formula>
    </cfRule>
  </conditionalFormatting>
  <conditionalFormatting sqref="O38:S40">
    <cfRule type="cellIs" dxfId="239" priority="63" operator="notEqual">
      <formula>0</formula>
    </cfRule>
  </conditionalFormatting>
  <conditionalFormatting sqref="W38:Y40">
    <cfRule type="cellIs" dxfId="238" priority="62" operator="notEqual">
      <formula>0</formula>
    </cfRule>
  </conditionalFormatting>
  <conditionalFormatting sqref="O35:S37">
    <cfRule type="cellIs" dxfId="237" priority="61" operator="notEqual">
      <formula>0</formula>
    </cfRule>
  </conditionalFormatting>
  <conditionalFormatting sqref="W35:Y37">
    <cfRule type="cellIs" dxfId="236" priority="60" operator="notEqual">
      <formula>0</formula>
    </cfRule>
  </conditionalFormatting>
  <conditionalFormatting sqref="O32:S34">
    <cfRule type="cellIs" dxfId="235" priority="59" operator="notEqual">
      <formula>0</formula>
    </cfRule>
  </conditionalFormatting>
  <conditionalFormatting sqref="W32:Y34">
    <cfRule type="cellIs" dxfId="234" priority="58" operator="notEqual">
      <formula>0</formula>
    </cfRule>
  </conditionalFormatting>
  <conditionalFormatting sqref="O29:S31">
    <cfRule type="cellIs" dxfId="233" priority="57" operator="notEqual">
      <formula>0</formula>
    </cfRule>
  </conditionalFormatting>
  <conditionalFormatting sqref="W29:Y31">
    <cfRule type="cellIs" dxfId="232" priority="56" operator="notEqual">
      <formula>0</formula>
    </cfRule>
  </conditionalFormatting>
  <conditionalFormatting sqref="O26:S28">
    <cfRule type="cellIs" dxfId="231" priority="55" operator="notEqual">
      <formula>0</formula>
    </cfRule>
  </conditionalFormatting>
  <conditionalFormatting sqref="W26:Y28">
    <cfRule type="cellIs" dxfId="230" priority="54" operator="notEqual">
      <formula>0</formula>
    </cfRule>
  </conditionalFormatting>
  <conditionalFormatting sqref="O23:S25">
    <cfRule type="cellIs" dxfId="229" priority="53" operator="notEqual">
      <formula>0</formula>
    </cfRule>
  </conditionalFormatting>
  <conditionalFormatting sqref="W23:Y25">
    <cfRule type="cellIs" dxfId="228" priority="52" operator="notEqual">
      <formula>0</formula>
    </cfRule>
  </conditionalFormatting>
  <conditionalFormatting sqref="O20:S22">
    <cfRule type="cellIs" dxfId="227" priority="51" operator="notEqual">
      <formula>0</formula>
    </cfRule>
  </conditionalFormatting>
  <conditionalFormatting sqref="W20:Y22">
    <cfRule type="cellIs" dxfId="226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225" priority="20" operator="notEqual">
      <formula>0</formula>
    </cfRule>
  </conditionalFormatting>
  <conditionalFormatting sqref="W17:Y19">
    <cfRule type="cellIs" dxfId="224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223" priority="16" operator="notEqual">
      <formula>0</formula>
    </cfRule>
  </conditionalFormatting>
  <conditionalFormatting sqref="W14:Y16">
    <cfRule type="cellIs" dxfId="222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221" priority="12" operator="notEqual">
      <formula>0</formula>
    </cfRule>
  </conditionalFormatting>
  <conditionalFormatting sqref="W11:Y13">
    <cfRule type="cellIs" dxfId="220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219" priority="8" operator="notEqual">
      <formula>0</formula>
    </cfRule>
  </conditionalFormatting>
  <conditionalFormatting sqref="W8:Y10">
    <cfRule type="cellIs" dxfId="218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217" priority="4" operator="notEqual">
      <formula>0</formula>
    </cfRule>
  </conditionalFormatting>
  <conditionalFormatting sqref="W5:Y7">
    <cfRule type="cellIs" dxfId="216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15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96.88</v>
      </c>
      <c r="K5" s="82">
        <f t="shared" ref="K5:K68" ca="1" si="0">100-J5</f>
        <v>3.1200000000000045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-0.51651785714284415</v>
      </c>
      <c r="U5" s="105">
        <f ca="1">T5/25*100</f>
        <v>-2.0660714285713766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96.88</v>
      </c>
      <c r="K6" s="82">
        <f t="shared" ca="1" si="0"/>
        <v>3.1200000000000045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-6.60714285713766E-2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96.88</v>
      </c>
      <c r="K7" s="82">
        <f t="shared" ca="1" si="0"/>
        <v>3.1200000000000045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96.92</v>
      </c>
      <c r="K8" s="82">
        <f t="shared" ca="1" si="0"/>
        <v>3.0799999999999983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-0.5565178571428504</v>
      </c>
      <c r="U8" s="105">
        <f ca="1">T8/25*100</f>
        <v>-2.2260714285714016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96.92</v>
      </c>
      <c r="K9" s="82">
        <f t="shared" ca="1" si="0"/>
        <v>3.0799999999999983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-0.22607142857140161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96.92</v>
      </c>
      <c r="K10" s="82">
        <f t="shared" ca="1" si="0"/>
        <v>3.0799999999999983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96.935000000000002</v>
      </c>
      <c r="K11" s="82">
        <f t="shared" ca="1" si="0"/>
        <v>3.0649999999999977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-0.57151785714285097</v>
      </c>
      <c r="U11" s="105">
        <f ca="1">T11/25*100</f>
        <v>-2.2860714285714039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96.935000000000002</v>
      </c>
      <c r="K12" s="82">
        <f t="shared" ca="1" si="0"/>
        <v>3.0649999999999977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-0.28607142857140389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96.935000000000002</v>
      </c>
      <c r="K13" s="82">
        <f t="shared" ca="1" si="0"/>
        <v>3.0649999999999977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96.95</v>
      </c>
      <c r="K14" s="82">
        <f t="shared" ca="1" si="0"/>
        <v>3.0499999999999972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-0.58651785714285154</v>
      </c>
      <c r="U14" s="105">
        <f ca="1">T14/25*100</f>
        <v>-2.3460714285714062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96.95</v>
      </c>
      <c r="K15" s="82">
        <f t="shared" ca="1" si="0"/>
        <v>3.0499999999999972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-0.34607142857140616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96.95</v>
      </c>
      <c r="K16" s="82">
        <f t="shared" ca="1" si="0"/>
        <v>3.0499999999999972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96.87</v>
      </c>
      <c r="K17" s="82">
        <f t="shared" ca="1" si="0"/>
        <v>3.1299999999999955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-0.50651785714285325</v>
      </c>
      <c r="U17" s="105">
        <f ca="1">T17/25*100</f>
        <v>-2.026071428571413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96.87</v>
      </c>
      <c r="K18" s="82">
        <f t="shared" ca="1" si="0"/>
        <v>3.1299999999999955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-2.607142857141298E-2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96.87</v>
      </c>
      <c r="K19" s="82">
        <f t="shared" ca="1" si="0"/>
        <v>3.1299999999999955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96.885000000000005</v>
      </c>
      <c r="K20" s="82">
        <f t="shared" ca="1" si="0"/>
        <v>3.1149999999999949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-0.52151785714285381</v>
      </c>
      <c r="U20" s="105">
        <f ca="1">T20/25*100</f>
        <v>-2.0860714285714153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96.885000000000005</v>
      </c>
      <c r="K21" s="82">
        <f t="shared" ca="1" si="0"/>
        <v>3.1149999999999949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-8.6071428571415254E-2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96.885000000000005</v>
      </c>
      <c r="K22" s="82">
        <f t="shared" ca="1" si="0"/>
        <v>3.1149999999999949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96.905000000000001</v>
      </c>
      <c r="K23" s="82">
        <f t="shared" ca="1" si="0"/>
        <v>3.0949999999999989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-0.54151785714284983</v>
      </c>
      <c r="U23" s="105">
        <f ca="1">T23/25*100</f>
        <v>-2.1660714285713993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96.905000000000001</v>
      </c>
      <c r="K24" s="82">
        <f t="shared" ca="1" si="0"/>
        <v>3.0949999999999989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-0.16607142857139934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96.905000000000001</v>
      </c>
      <c r="K25" s="82">
        <f t="shared" ca="1" si="0"/>
        <v>3.0949999999999989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96.91</v>
      </c>
      <c r="K26" s="82">
        <f t="shared" ca="1" si="0"/>
        <v>3.0900000000000034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-0.54651785714284529</v>
      </c>
      <c r="U26" s="105">
        <f ca="1">T26/25*100</f>
        <v>-2.1860714285713811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96.91</v>
      </c>
      <c r="K27" s="82">
        <f t="shared" ca="1" si="0"/>
        <v>3.0900000000000034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-0.18607142857138115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96.91</v>
      </c>
      <c r="K28" s="82">
        <f t="shared" ca="1" si="0"/>
        <v>3.0900000000000034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96.91</v>
      </c>
      <c r="K29" s="82">
        <f t="shared" ca="1" si="0"/>
        <v>3.0900000000000034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-0.54651785714284529</v>
      </c>
      <c r="U29" s="105">
        <f ca="1">T29/25*100</f>
        <v>-2.1860714285713811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96.91</v>
      </c>
      <c r="K30" s="82">
        <f t="shared" ca="1" si="0"/>
        <v>3.0900000000000034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-0.18607142857138115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96.91</v>
      </c>
      <c r="K31" s="82">
        <f t="shared" ca="1" si="0"/>
        <v>3.0900000000000034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96.92</v>
      </c>
      <c r="K32" s="82">
        <f t="shared" ca="1" si="0"/>
        <v>3.0799999999999983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-0.5565178571428504</v>
      </c>
      <c r="U32" s="105">
        <f ca="1">T32/25*100</f>
        <v>-2.2260714285714016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96.92</v>
      </c>
      <c r="K33" s="82">
        <f t="shared" ca="1" si="0"/>
        <v>3.0799999999999983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-0.22607142857140161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96.92</v>
      </c>
      <c r="K34" s="82">
        <f t="shared" ca="1" si="0"/>
        <v>3.0799999999999983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96.91</v>
      </c>
      <c r="K35" s="82">
        <f t="shared" ca="1" si="0"/>
        <v>3.0900000000000034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-0.54651785714284529</v>
      </c>
      <c r="U35" s="105">
        <f ca="1">T35/25*100</f>
        <v>-2.1860714285713811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96.91</v>
      </c>
      <c r="K36" s="82">
        <f t="shared" ca="1" si="0"/>
        <v>3.0900000000000034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-0.18607142857138115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96.91</v>
      </c>
      <c r="K37" s="82">
        <f t="shared" ca="1" si="0"/>
        <v>3.0900000000000034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96.93</v>
      </c>
      <c r="K38" s="82">
        <f t="shared" ca="1" si="0"/>
        <v>3.0699999999999932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-0.56651785714285552</v>
      </c>
      <c r="U38" s="105">
        <f ca="1">T38/25*100</f>
        <v>-2.2660714285714221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96.93</v>
      </c>
      <c r="K39" s="82">
        <f t="shared" ca="1" si="0"/>
        <v>3.0699999999999932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-0.26607142857142208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96.93</v>
      </c>
      <c r="K40" s="82">
        <f t="shared" ca="1" si="0"/>
        <v>3.0699999999999932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96.94</v>
      </c>
      <c r="K41" s="82">
        <f t="shared" ca="1" si="0"/>
        <v>3.0600000000000023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-0.57651785714284642</v>
      </c>
      <c r="U41" s="105">
        <f ca="1">T41/25*100</f>
        <v>-2.3060714285713857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96.94</v>
      </c>
      <c r="K42" s="82">
        <f t="shared" ca="1" si="0"/>
        <v>3.0600000000000023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-0.3060714285713857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96.94</v>
      </c>
      <c r="K43" s="82">
        <f t="shared" ca="1" si="0"/>
        <v>3.0600000000000023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96.944999999999993</v>
      </c>
      <c r="K44" s="82">
        <f t="shared" ca="1" si="0"/>
        <v>3.0550000000000068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-0.58151785714284188</v>
      </c>
      <c r="U44" s="105">
        <f ca="1">T44/25*100</f>
        <v>-2.3260714285713675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96.944999999999993</v>
      </c>
      <c r="K45" s="82">
        <f t="shared" ca="1" si="0"/>
        <v>3.0550000000000068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-0.32607142857136751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96.944999999999993</v>
      </c>
      <c r="K46" s="82">
        <f t="shared" ca="1" si="0"/>
        <v>3.0550000000000068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96.94</v>
      </c>
      <c r="K47" s="82">
        <f t="shared" ca="1" si="0"/>
        <v>3.0600000000000023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-0.57651785714284642</v>
      </c>
      <c r="U47" s="105">
        <f ca="1">T47/25*100</f>
        <v>-2.3060714285713857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96.94</v>
      </c>
      <c r="K48" s="82">
        <f t="shared" ca="1" si="0"/>
        <v>3.0600000000000023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-0.3060714285713857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96.94</v>
      </c>
      <c r="K49" s="82">
        <f t="shared" ca="1" si="0"/>
        <v>3.0600000000000023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96.94</v>
      </c>
      <c r="K50" s="82">
        <f t="shared" ca="1" si="0"/>
        <v>3.0600000000000023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-0.57651785714284642</v>
      </c>
      <c r="U50" s="105">
        <f ca="1">T50/25*100</f>
        <v>-2.3060714285713857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96.94</v>
      </c>
      <c r="K51" s="82">
        <f t="shared" ca="1" si="0"/>
        <v>3.0600000000000023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-0.3060714285713857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96.94</v>
      </c>
      <c r="K52" s="82">
        <f t="shared" ca="1" si="0"/>
        <v>3.0600000000000023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96.94</v>
      </c>
      <c r="K53" s="82">
        <f t="shared" ca="1" si="0"/>
        <v>3.0600000000000023</v>
      </c>
      <c r="L53" s="82">
        <f ca="1">K53-K55</f>
        <v>-3.4999999999996589E-2</v>
      </c>
      <c r="M53" s="105">
        <f ca="1">L53/25*100</f>
        <v>-0.13999999999998636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-0.57651785714284642</v>
      </c>
      <c r="U53" s="105">
        <f ca="1">T53/25*100</f>
        <v>-2.3060714285713857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96.93</v>
      </c>
      <c r="K54" s="82">
        <f t="shared" ca="1" si="0"/>
        <v>3.0699999999999932</v>
      </c>
      <c r="L54" s="96"/>
      <c r="M54" s="109"/>
      <c r="N54" s="97">
        <f ca="1">IF(M53&gt;0,MOD(M53,1),MOD(M53,-1))</f>
        <v>-0.13999999999998636</v>
      </c>
      <c r="O54" s="98">
        <f ca="1">IF(N53=-2,1-ABS(N54),IF(N53=-1,ABS(N54),0))</f>
        <v>0</v>
      </c>
      <c r="P54" s="98">
        <f ca="1">IF(N53=-1,1-ABS(N54),IF(N53=0,IF(N54&lt;0,ABS(N54),0),0))</f>
        <v>0.13999999999998636</v>
      </c>
      <c r="Q54" s="98">
        <f ca="1">IF(N53=0,1-ABS(N54),0)</f>
        <v>0.86000000000001364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-0.3060714285713857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96.905000000000001</v>
      </c>
      <c r="K55" s="82">
        <f t="shared" ca="1" si="0"/>
        <v>3.0949999999999989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96.905000000000001</v>
      </c>
      <c r="K56" s="82">
        <f t="shared" ca="1" si="0"/>
        <v>3.0949999999999989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-0.54151785714284983</v>
      </c>
      <c r="U56" s="105">
        <f ca="1">T56/25*100</f>
        <v>-2.1660714285713993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96.905000000000001</v>
      </c>
      <c r="K57" s="82">
        <f t="shared" ca="1" si="0"/>
        <v>3.0949999999999989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-0.16607142857139934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96.905000000000001</v>
      </c>
      <c r="K58" s="82">
        <f t="shared" ca="1" si="0"/>
        <v>3.0949999999999989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96.905000000000001</v>
      </c>
      <c r="K59" s="82">
        <f t="shared" ca="1" si="0"/>
        <v>3.0949999999999989</v>
      </c>
      <c r="L59" s="82">
        <f ca="1">K59-K61</f>
        <v>-4.4285714285720701E-2</v>
      </c>
      <c r="M59" s="105">
        <f ca="1">L59/25*100</f>
        <v>-0.1771428571428828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-0.54151785714284983</v>
      </c>
      <c r="U59" s="105">
        <f ca="1">T59/25*100</f>
        <v>-2.1660714285713993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96.864999999999995</v>
      </c>
      <c r="K60" s="82">
        <f t="shared" ca="1" si="0"/>
        <v>3.1350000000000051</v>
      </c>
      <c r="L60" s="96"/>
      <c r="M60" s="109"/>
      <c r="N60" s="97">
        <f ca="1">IF(M59&gt;0,MOD(M59,1),MOD(M59,-1))</f>
        <v>-0.1771428571428828</v>
      </c>
      <c r="O60" s="98">
        <f ca="1">IF(N59=-2,1-ABS(N60),IF(N59=-1,ABS(N60),0))</f>
        <v>0</v>
      </c>
      <c r="P60" s="98">
        <f ca="1">IF(N59=-1,1-ABS(N60),IF(N59=0,IF(N60&lt;0,ABS(N60),0),0))</f>
        <v>0.1771428571428828</v>
      </c>
      <c r="Q60" s="98">
        <f ca="1">IF(N59=0,1-ABS(N60),0)</f>
        <v>0.8228571428571172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-0.16607142857139934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96.86071428571428</v>
      </c>
      <c r="K61" s="82">
        <f t="shared" ca="1" si="0"/>
        <v>3.1392857142857196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96.860714285714266</v>
      </c>
      <c r="K62" s="82">
        <f t="shared" ca="1" si="0"/>
        <v>3.1392857142857338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-0.49723214285711492</v>
      </c>
      <c r="U62" s="105">
        <f ca="1">T62/25*100</f>
        <v>-1.9889285714284597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96.814999999999998</v>
      </c>
      <c r="K63" s="82">
        <f t="shared" ca="1" si="0"/>
        <v>3.1850000000000023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-0.98892857142845969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96.775000000000006</v>
      </c>
      <c r="K64" s="82">
        <f t="shared" ca="1" si="0"/>
        <v>3.2249999999999943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96.775000000000006</v>
      </c>
      <c r="K65" s="82">
        <f t="shared" ca="1" si="0"/>
        <v>3.2249999999999943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-0.41151785714285438</v>
      </c>
      <c r="U65" s="105">
        <f ca="1">T65/25*100</f>
        <v>-1.6460714285714175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96.775000000000006</v>
      </c>
      <c r="K66" s="82">
        <f t="shared" ca="1" si="0"/>
        <v>3.2249999999999943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-0.64607142857141753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96.775000000000006</v>
      </c>
      <c r="K67" s="82">
        <f t="shared" ca="1" si="0"/>
        <v>3.2249999999999943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96.775000000000006</v>
      </c>
      <c r="K68" s="82">
        <f t="shared" ca="1" si="0"/>
        <v>3.2249999999999943</v>
      </c>
      <c r="L68" s="82">
        <f ca="1">K68-K70</f>
        <v>-7.4827586206907881E-2</v>
      </c>
      <c r="M68" s="105">
        <f ca="1">L68/25*100</f>
        <v>-0.29931034482763152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-0.41151785714285438</v>
      </c>
      <c r="U68" s="105">
        <f ca="1">T68/25*100</f>
        <v>-1.6460714285714175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96.704999999999998</v>
      </c>
      <c r="K69" s="82">
        <f t="shared" ref="K69:K87" ca="1" si="1">100-J69</f>
        <v>3.2950000000000017</v>
      </c>
      <c r="L69" s="96"/>
      <c r="M69" s="109"/>
      <c r="N69" s="97">
        <f ca="1">IF(M68&gt;0,MOD(M68,1),MOD(M68,-1))</f>
        <v>-0.29931034482763152</v>
      </c>
      <c r="O69" s="98">
        <f ca="1">IF(N68=-2,1-ABS(N69),IF(N68=-1,ABS(N69),0))</f>
        <v>0</v>
      </c>
      <c r="P69" s="98">
        <f ca="1">IF(N68=-1,1-ABS(N69),IF(N68=0,IF(N69&lt;0,ABS(N69),0),0))</f>
        <v>0.29931034482763152</v>
      </c>
      <c r="Q69" s="98">
        <f ca="1">IF(N68=0,1-ABS(N69),0)</f>
        <v>0.70068965517236848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-0.64607142857141753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96.700172413793098</v>
      </c>
      <c r="K70" s="82">
        <f t="shared" ca="1" si="1"/>
        <v>3.2998275862069022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96.698461538461544</v>
      </c>
      <c r="K71" s="82">
        <f t="shared" ca="1" si="1"/>
        <v>3.3015384615384562</v>
      </c>
      <c r="L71" s="82">
        <f ca="1">K71-K73</f>
        <v>-0.13846153846154152</v>
      </c>
      <c r="M71" s="105">
        <f ca="1">L71/25*100</f>
        <v>-0.55384615384616609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-0.33497939560439249</v>
      </c>
      <c r="U71" s="105">
        <f ca="1">T71/25*100</f>
        <v>-1.33991758241757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96.62</v>
      </c>
      <c r="K72" s="82">
        <f t="shared" ca="1" si="1"/>
        <v>3.3799999999999955</v>
      </c>
      <c r="L72" s="96"/>
      <c r="M72" s="109"/>
      <c r="N72" s="97">
        <f ca="1">IF(M71&gt;0,MOD(M71,1),MOD(M71,-1))</f>
        <v>-0.55384615384616609</v>
      </c>
      <c r="O72" s="98">
        <f ca="1">IF(N71=-2,1-ABS(N72),IF(N71=-1,ABS(N72),0))</f>
        <v>0</v>
      </c>
      <c r="P72" s="98">
        <f ca="1">IF(N71=-1,1-ABS(N72),IF(N71=0,IF(N72&lt;0,ABS(N72),0),0))</f>
        <v>0.55384615384616609</v>
      </c>
      <c r="Q72" s="98">
        <f ca="1">IF(N71=0,1-ABS(N72),0)</f>
        <v>0.44615384615383391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-0.33991758241756997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96.56</v>
      </c>
      <c r="K73" s="82">
        <f t="shared" ca="1" si="1"/>
        <v>3.4399999999999977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96.56</v>
      </c>
      <c r="K74" s="82">
        <f t="shared" ca="1" si="1"/>
        <v>3.4399999999999977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-0.19651785714285097</v>
      </c>
      <c r="U74" s="105">
        <f ca="1">T74/25*100</f>
        <v>-0.78607142857140389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96.56</v>
      </c>
      <c r="K75" s="82">
        <f t="shared" ca="1" si="1"/>
        <v>3.4399999999999977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-0.78607142857140389</v>
      </c>
      <c r="W75" s="99">
        <f ca="1">IF(V74&lt;0,100%,IF(V75&lt;0,ABS(V75),0))</f>
        <v>0.78607142857140389</v>
      </c>
      <c r="X75" s="100">
        <f ca="1">IF(V74=0,1-ABS(V75),0)</f>
        <v>0.21392857142859611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96.56</v>
      </c>
      <c r="K76" s="82">
        <f t="shared" ca="1" si="1"/>
        <v>3.4399999999999977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96.56</v>
      </c>
      <c r="K77" s="82">
        <f t="shared" ca="1" si="1"/>
        <v>3.4399999999999977</v>
      </c>
      <c r="L77" s="82">
        <f ca="1">K77-K79</f>
        <v>-5.1724137931032033E-2</v>
      </c>
      <c r="M77" s="105">
        <f ca="1">L77/25*100</f>
        <v>-0.20689655172412813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-0.19651785714285097</v>
      </c>
      <c r="U77" s="105">
        <f ca="1">T77/25*100</f>
        <v>-0.78607142857140389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</v>
      </c>
      <c r="K78" s="82">
        <f t="shared" ca="1" si="1"/>
        <v>3.4899999999999949</v>
      </c>
      <c r="L78" s="96"/>
      <c r="M78" s="109"/>
      <c r="N78" s="97">
        <f ca="1">IF(M77&gt;0,MOD(M77,1),MOD(M77,-1))</f>
        <v>-0.20689655172412813</v>
      </c>
      <c r="O78" s="98">
        <f ca="1">IF(N77=-2,1-ABS(N78),IF(N77=-1,ABS(N78),0))</f>
        <v>0</v>
      </c>
      <c r="P78" s="98">
        <f ca="1">IF(N77=-1,1-ABS(N78),IF(N77=0,IF(N78&lt;0,ABS(N78),0),0))</f>
        <v>0.20689655172412813</v>
      </c>
      <c r="Q78" s="98">
        <f ca="1">IF(N77=0,1-ABS(N78),0)</f>
        <v>0.79310344827587187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-0.78607142857140389</v>
      </c>
      <c r="W78" s="99">
        <f ca="1">IF(V77&lt;0,100%,IF(V78&lt;0,ABS(V78),0))</f>
        <v>0.78607142857140389</v>
      </c>
      <c r="X78" s="100">
        <f ca="1">IF(V77=0,1-ABS(V78),0)</f>
        <v>0.21392857142859611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96.50827586206897</v>
      </c>
      <c r="K79" s="82">
        <f t="shared" ca="1" si="1"/>
        <v>3.4917241379310298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96.500384615384576</v>
      </c>
      <c r="K80" s="82">
        <f t="shared" ca="1" si="1"/>
        <v>3.4996153846154243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-0.13690247252742438</v>
      </c>
      <c r="U80" s="105">
        <f ca="1">T80/25*100</f>
        <v>-0.54760989010969752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96.444999999999993</v>
      </c>
      <c r="K81" s="82">
        <f t="shared" ca="1" si="1"/>
        <v>3.5550000000000068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-0.54760989010969752</v>
      </c>
      <c r="W81" s="99">
        <f ca="1">IF(V80&lt;0,100%,IF(V81&lt;0,ABS(V81),0))</f>
        <v>0.54760989010969752</v>
      </c>
      <c r="X81" s="100">
        <f ca="1">IF(V80=0,1-ABS(V81),0)</f>
        <v>0.45239010989030248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-4.1517857142849834E-2</v>
      </c>
      <c r="U83" s="105">
        <f ca="1">T83/25*100</f>
        <v>-0.16607142857139934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-0.16607142857139934</v>
      </c>
      <c r="W84" s="99">
        <f ca="1">IF(V83&lt;0,100%,IF(V84&lt;0,ABS(V84),0))</f>
        <v>0.16607142857139934</v>
      </c>
      <c r="X84" s="100">
        <f ca="1">IF(V83=0,1-ABS(V84),0)</f>
        <v>0.83392857142860066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-4.1517857142849834E-2</v>
      </c>
      <c r="M86" s="105">
        <f ca="1">L86/25*100</f>
        <v>-0.16607142857139934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-4.1517857142849834E-2</v>
      </c>
      <c r="U86" s="105">
        <f ca="1">T86/25*100</f>
        <v>-0.16607142857139934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96.367500000000007</v>
      </c>
      <c r="K87" s="82">
        <f t="shared" ca="1" si="1"/>
        <v>3.6324999999999932</v>
      </c>
      <c r="L87" s="102"/>
      <c r="M87" s="110"/>
      <c r="N87" s="97">
        <f ca="1">IF(M86&gt;0,MOD(M86,1),MOD(M86,-1))</f>
        <v>-0.16607142857139934</v>
      </c>
      <c r="O87" s="98">
        <f ca="1">IF(N86=-2,1-ABS(N87),IF(N86=-1,ABS(N87),0))</f>
        <v>0</v>
      </c>
      <c r="P87" s="98">
        <f ca="1">IF(N86=-1,1-ABS(N87),IF(N86=0,IF(N87&lt;0,ABS(N87),0),0))</f>
        <v>0.16607142857139934</v>
      </c>
      <c r="Q87" s="98">
        <f ca="1">IF(N86=0,1-ABS(N87),0)</f>
        <v>0.83392857142860066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-0.16607142857139934</v>
      </c>
      <c r="W87" s="99">
        <f ca="1">IF(V86&lt;0,100%,IF(V87&lt;0,ABS(V87),0))</f>
        <v>0.16607142857139934</v>
      </c>
      <c r="X87" s="100">
        <f ca="1">IF(V86=0,1-ABS(V87),0)</f>
        <v>0.83392857142860066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96.363482142857151</v>
      </c>
      <c r="K88" s="82">
        <f ca="1">100-J88</f>
        <v>3.6365178571428487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215" priority="139" operator="notEqual">
      <formula>0</formula>
    </cfRule>
  </conditionalFormatting>
  <conditionalFormatting sqref="W53:Y88">
    <cfRule type="cellIs" dxfId="214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213" priority="133" operator="notEqual">
      <formula>0</formula>
    </cfRule>
  </conditionalFormatting>
  <conditionalFormatting sqref="W89:Y91">
    <cfRule type="cellIs" dxfId="212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211" priority="71" operator="notEqual">
      <formula>0</formula>
    </cfRule>
  </conditionalFormatting>
  <conditionalFormatting sqref="W50:Y52">
    <cfRule type="cellIs" dxfId="210" priority="70" operator="notEqual">
      <formula>0</formula>
    </cfRule>
  </conditionalFormatting>
  <conditionalFormatting sqref="O47:S49">
    <cfRule type="cellIs" dxfId="209" priority="69" operator="notEqual">
      <formula>0</formula>
    </cfRule>
  </conditionalFormatting>
  <conditionalFormatting sqref="W47:Y49">
    <cfRule type="cellIs" dxfId="208" priority="68" operator="notEqual">
      <formula>0</formula>
    </cfRule>
  </conditionalFormatting>
  <conditionalFormatting sqref="O44:S46">
    <cfRule type="cellIs" dxfId="207" priority="67" operator="notEqual">
      <formula>0</formula>
    </cfRule>
  </conditionalFormatting>
  <conditionalFormatting sqref="W44:Y46">
    <cfRule type="cellIs" dxfId="206" priority="66" operator="notEqual">
      <formula>0</formula>
    </cfRule>
  </conditionalFormatting>
  <conditionalFormatting sqref="O41:S43">
    <cfRule type="cellIs" dxfId="205" priority="65" operator="notEqual">
      <formula>0</formula>
    </cfRule>
  </conditionalFormatting>
  <conditionalFormatting sqref="W41:Y43">
    <cfRule type="cellIs" dxfId="204" priority="64" operator="notEqual">
      <formula>0</formula>
    </cfRule>
  </conditionalFormatting>
  <conditionalFormatting sqref="O38:S40">
    <cfRule type="cellIs" dxfId="203" priority="63" operator="notEqual">
      <formula>0</formula>
    </cfRule>
  </conditionalFormatting>
  <conditionalFormatting sqref="W38:Y40">
    <cfRule type="cellIs" dxfId="202" priority="62" operator="notEqual">
      <formula>0</formula>
    </cfRule>
  </conditionalFormatting>
  <conditionalFormatting sqref="O35:S37">
    <cfRule type="cellIs" dxfId="201" priority="61" operator="notEqual">
      <formula>0</formula>
    </cfRule>
  </conditionalFormatting>
  <conditionalFormatting sqref="W35:Y37">
    <cfRule type="cellIs" dxfId="200" priority="60" operator="notEqual">
      <formula>0</formula>
    </cfRule>
  </conditionalFormatting>
  <conditionalFormatting sqref="O32:S34">
    <cfRule type="cellIs" dxfId="199" priority="59" operator="notEqual">
      <formula>0</formula>
    </cfRule>
  </conditionalFormatting>
  <conditionalFormatting sqref="W32:Y34">
    <cfRule type="cellIs" dxfId="198" priority="58" operator="notEqual">
      <formula>0</formula>
    </cfRule>
  </conditionalFormatting>
  <conditionalFormatting sqref="O29:S31">
    <cfRule type="cellIs" dxfId="197" priority="57" operator="notEqual">
      <formula>0</formula>
    </cfRule>
  </conditionalFormatting>
  <conditionalFormatting sqref="W29:Y31">
    <cfRule type="cellIs" dxfId="196" priority="56" operator="notEqual">
      <formula>0</formula>
    </cfRule>
  </conditionalFormatting>
  <conditionalFormatting sqref="O26:S28">
    <cfRule type="cellIs" dxfId="195" priority="55" operator="notEqual">
      <formula>0</formula>
    </cfRule>
  </conditionalFormatting>
  <conditionalFormatting sqref="W26:Y28">
    <cfRule type="cellIs" dxfId="194" priority="54" operator="notEqual">
      <formula>0</formula>
    </cfRule>
  </conditionalFormatting>
  <conditionalFormatting sqref="O23:S25">
    <cfRule type="cellIs" dxfId="193" priority="53" operator="notEqual">
      <formula>0</formula>
    </cfRule>
  </conditionalFormatting>
  <conditionalFormatting sqref="W23:Y25">
    <cfRule type="cellIs" dxfId="192" priority="52" operator="notEqual">
      <formula>0</formula>
    </cfRule>
  </conditionalFormatting>
  <conditionalFormatting sqref="O20:S22">
    <cfRule type="cellIs" dxfId="191" priority="51" operator="notEqual">
      <formula>0</formula>
    </cfRule>
  </conditionalFormatting>
  <conditionalFormatting sqref="W20:Y22">
    <cfRule type="cellIs" dxfId="190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189" priority="20" operator="notEqual">
      <formula>0</formula>
    </cfRule>
  </conditionalFormatting>
  <conditionalFormatting sqref="W17:Y19">
    <cfRule type="cellIs" dxfId="188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187" priority="16" operator="notEqual">
      <formula>0</formula>
    </cfRule>
  </conditionalFormatting>
  <conditionalFormatting sqref="W14:Y16">
    <cfRule type="cellIs" dxfId="186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185" priority="12" operator="notEqual">
      <formula>0</formula>
    </cfRule>
  </conditionalFormatting>
  <conditionalFormatting sqref="W11:Y13">
    <cfRule type="cellIs" dxfId="184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183" priority="8" operator="notEqual">
      <formula>0</formula>
    </cfRule>
  </conditionalFormatting>
  <conditionalFormatting sqref="W8:Y10">
    <cfRule type="cellIs" dxfId="182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181" priority="4" operator="notEqual">
      <formula>0</formula>
    </cfRule>
  </conditionalFormatting>
  <conditionalFormatting sqref="W5:Y7">
    <cfRule type="cellIs" dxfId="180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16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96.894999999999996</v>
      </c>
      <c r="K5" s="82">
        <f t="shared" ref="K5:K68" ca="1" si="0">100-J5</f>
        <v>3.105000000000004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-0.52874999999998806</v>
      </c>
      <c r="U5" s="105">
        <f ca="1">T5/25*100</f>
        <v>-2.1149999999999523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96.894999999999996</v>
      </c>
      <c r="K6" s="82">
        <f t="shared" ca="1" si="0"/>
        <v>3.105000000000004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-0.11499999999995225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96.894999999999996</v>
      </c>
      <c r="K7" s="82">
        <f t="shared" ca="1" si="0"/>
        <v>3.105000000000004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96.935000000000002</v>
      </c>
      <c r="K8" s="82">
        <f t="shared" ca="1" si="0"/>
        <v>3.0649999999999977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-0.56874999999999432</v>
      </c>
      <c r="U8" s="105">
        <f ca="1">T8/25*100</f>
        <v>-2.2749999999999773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96.935000000000002</v>
      </c>
      <c r="K9" s="82">
        <f t="shared" ca="1" si="0"/>
        <v>3.0649999999999977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-0.27499999999997726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96.935000000000002</v>
      </c>
      <c r="K10" s="82">
        <f t="shared" ca="1" si="0"/>
        <v>3.0649999999999977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96.95</v>
      </c>
      <c r="K11" s="82">
        <f t="shared" ca="1" si="0"/>
        <v>3.0499999999999972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-0.58374999999999488</v>
      </c>
      <c r="U11" s="105">
        <f ca="1">T11/25*100</f>
        <v>-2.3349999999999795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96.95</v>
      </c>
      <c r="K12" s="82">
        <f t="shared" ca="1" si="0"/>
        <v>3.0499999999999972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-0.33499999999997954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96.95</v>
      </c>
      <c r="K13" s="82">
        <f t="shared" ca="1" si="0"/>
        <v>3.0499999999999972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96.965000000000003</v>
      </c>
      <c r="K14" s="82">
        <f t="shared" ca="1" si="0"/>
        <v>3.0349999999999966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-0.59874999999999545</v>
      </c>
      <c r="U14" s="105">
        <f ca="1">T14/25*100</f>
        <v>-2.3949999999999818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96.965000000000003</v>
      </c>
      <c r="K15" s="82">
        <f t="shared" ca="1" si="0"/>
        <v>3.0349999999999966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-0.39499999999998181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96.965000000000003</v>
      </c>
      <c r="K16" s="82">
        <f t="shared" ca="1" si="0"/>
        <v>3.0349999999999966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96.885000000000005</v>
      </c>
      <c r="K17" s="82">
        <f t="shared" ca="1" si="0"/>
        <v>3.1149999999999949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-0.51874999999999716</v>
      </c>
      <c r="U17" s="105">
        <f ca="1">T17/25*100</f>
        <v>-2.0749999999999886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96.885000000000005</v>
      </c>
      <c r="K18" s="82">
        <f t="shared" ca="1" si="0"/>
        <v>3.1149999999999949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-7.4999999999988631E-2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96.885000000000005</v>
      </c>
      <c r="K19" s="82">
        <f t="shared" ca="1" si="0"/>
        <v>3.1149999999999949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96.9</v>
      </c>
      <c r="K20" s="82">
        <f t="shared" ca="1" si="0"/>
        <v>3.0999999999999943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-0.53374999999999773</v>
      </c>
      <c r="U20" s="105">
        <f ca="1">T20/25*100</f>
        <v>-2.1349999999999909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96.9</v>
      </c>
      <c r="K21" s="82">
        <f t="shared" ca="1" si="0"/>
        <v>3.0999999999999943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-0.13499999999999091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96.9</v>
      </c>
      <c r="K22" s="82">
        <f t="shared" ca="1" si="0"/>
        <v>3.0999999999999943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96.92</v>
      </c>
      <c r="K23" s="82">
        <f t="shared" ca="1" si="0"/>
        <v>3.0799999999999983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-0.55374999999999375</v>
      </c>
      <c r="U23" s="105">
        <f ca="1">T23/25*100</f>
        <v>-2.214999999999975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96.92</v>
      </c>
      <c r="K24" s="82">
        <f t="shared" ca="1" si="0"/>
        <v>3.0799999999999983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-0.21499999999997499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96.92</v>
      </c>
      <c r="K25" s="82">
        <f t="shared" ca="1" si="0"/>
        <v>3.0799999999999983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96.924999999999997</v>
      </c>
      <c r="K26" s="82">
        <f t="shared" ca="1" si="0"/>
        <v>3.0750000000000028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-0.5587499999999892</v>
      </c>
      <c r="U26" s="105">
        <f ca="1">T26/25*100</f>
        <v>-2.2349999999999568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96.924999999999997</v>
      </c>
      <c r="K27" s="82">
        <f t="shared" ca="1" si="0"/>
        <v>3.0750000000000028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-0.2349999999999568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96.924999999999997</v>
      </c>
      <c r="K28" s="82">
        <f t="shared" ca="1" si="0"/>
        <v>3.0750000000000028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96.924999999999997</v>
      </c>
      <c r="K29" s="82">
        <f t="shared" ca="1" si="0"/>
        <v>3.0750000000000028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-0.5587499999999892</v>
      </c>
      <c r="U29" s="105">
        <f ca="1">T29/25*100</f>
        <v>-2.2349999999999568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96.924999999999997</v>
      </c>
      <c r="K30" s="82">
        <f t="shared" ca="1" si="0"/>
        <v>3.0750000000000028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-0.2349999999999568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96.924999999999997</v>
      </c>
      <c r="K31" s="82">
        <f t="shared" ca="1" si="0"/>
        <v>3.0750000000000028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96.935000000000002</v>
      </c>
      <c r="K32" s="82">
        <f t="shared" ca="1" si="0"/>
        <v>3.0649999999999977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-0.56874999999999432</v>
      </c>
      <c r="U32" s="105">
        <f ca="1">T32/25*100</f>
        <v>-2.2749999999999773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96.935000000000002</v>
      </c>
      <c r="K33" s="82">
        <f t="shared" ca="1" si="0"/>
        <v>3.0649999999999977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-0.27499999999997726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96.935000000000002</v>
      </c>
      <c r="K34" s="82">
        <f t="shared" ca="1" si="0"/>
        <v>3.0649999999999977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96.924999999999997</v>
      </c>
      <c r="K35" s="82">
        <f t="shared" ca="1" si="0"/>
        <v>3.0750000000000028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-0.5587499999999892</v>
      </c>
      <c r="U35" s="105">
        <f ca="1">T35/25*100</f>
        <v>-2.2349999999999568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96.924999999999997</v>
      </c>
      <c r="K36" s="82">
        <f t="shared" ca="1" si="0"/>
        <v>3.0750000000000028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-0.2349999999999568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96.924999999999997</v>
      </c>
      <c r="K37" s="82">
        <f t="shared" ca="1" si="0"/>
        <v>3.0750000000000028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96.944999999999993</v>
      </c>
      <c r="K38" s="82">
        <f t="shared" ca="1" si="0"/>
        <v>3.0550000000000068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-0.57874999999998522</v>
      </c>
      <c r="U38" s="105">
        <f ca="1">T38/25*100</f>
        <v>-2.3149999999999409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96.944999999999993</v>
      </c>
      <c r="K39" s="82">
        <f t="shared" ca="1" si="0"/>
        <v>3.0550000000000068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-0.31499999999994088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96.944999999999993</v>
      </c>
      <c r="K40" s="82">
        <f t="shared" ca="1" si="0"/>
        <v>3.0550000000000068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96.954999999999998</v>
      </c>
      <c r="K41" s="82">
        <f t="shared" ca="1" si="0"/>
        <v>3.0450000000000017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-0.58874999999999034</v>
      </c>
      <c r="U41" s="105">
        <f ca="1">T41/25*100</f>
        <v>-2.3549999999999613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96.954999999999998</v>
      </c>
      <c r="K42" s="82">
        <f t="shared" ca="1" si="0"/>
        <v>3.0450000000000017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-0.35499999999996135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96.954999999999998</v>
      </c>
      <c r="K43" s="82">
        <f t="shared" ca="1" si="0"/>
        <v>3.0450000000000017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96.954999999999998</v>
      </c>
      <c r="K44" s="82">
        <f t="shared" ca="1" si="0"/>
        <v>3.0450000000000017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-0.58874999999999034</v>
      </c>
      <c r="U44" s="105">
        <f ca="1">T44/25*100</f>
        <v>-2.3549999999999613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96.954999999999998</v>
      </c>
      <c r="K45" s="82">
        <f t="shared" ca="1" si="0"/>
        <v>3.0450000000000017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-0.35499999999996135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96.954999999999998</v>
      </c>
      <c r="K46" s="82">
        <f t="shared" ca="1" si="0"/>
        <v>3.0450000000000017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96.95</v>
      </c>
      <c r="K47" s="82">
        <f t="shared" ca="1" si="0"/>
        <v>3.0499999999999972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-0.58374999999999488</v>
      </c>
      <c r="U47" s="105">
        <f ca="1">T47/25*100</f>
        <v>-2.3349999999999795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96.95</v>
      </c>
      <c r="K48" s="82">
        <f t="shared" ca="1" si="0"/>
        <v>3.0499999999999972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-0.33499999999997954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96.95</v>
      </c>
      <c r="K49" s="82">
        <f t="shared" ca="1" si="0"/>
        <v>3.0499999999999972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96.95</v>
      </c>
      <c r="K50" s="82">
        <f t="shared" ca="1" si="0"/>
        <v>3.0499999999999972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-0.58374999999999488</v>
      </c>
      <c r="U50" s="105">
        <f ca="1">T50/25*100</f>
        <v>-2.3349999999999795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96.95</v>
      </c>
      <c r="K51" s="82">
        <f t="shared" ca="1" si="0"/>
        <v>3.0499999999999972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-0.33499999999997954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96.95</v>
      </c>
      <c r="K52" s="82">
        <f t="shared" ca="1" si="0"/>
        <v>3.0499999999999972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96.95</v>
      </c>
      <c r="K53" s="82">
        <f t="shared" ca="1" si="0"/>
        <v>3.0499999999999972</v>
      </c>
      <c r="L53" s="82">
        <f ca="1">K53-K55</f>
        <v>-4.0000000000006253E-2</v>
      </c>
      <c r="M53" s="105">
        <f ca="1">L53/25*100</f>
        <v>-0.16000000000002501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-0.58374999999999488</v>
      </c>
      <c r="U53" s="105">
        <f ca="1">T53/25*100</f>
        <v>-2.3349999999999795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96.94</v>
      </c>
      <c r="K54" s="82">
        <f t="shared" ca="1" si="0"/>
        <v>3.0600000000000023</v>
      </c>
      <c r="L54" s="96"/>
      <c r="M54" s="109"/>
      <c r="N54" s="97">
        <f ca="1">IF(M53&gt;0,MOD(M53,1),MOD(M53,-1))</f>
        <v>-0.16000000000002501</v>
      </c>
      <c r="O54" s="98">
        <f ca="1">IF(N53=-2,1-ABS(N54),IF(N53=-1,ABS(N54),0))</f>
        <v>0</v>
      </c>
      <c r="P54" s="98">
        <f ca="1">IF(N53=-1,1-ABS(N54),IF(N53=0,IF(N54&lt;0,ABS(N54),0),0))</f>
        <v>0.16000000000002501</v>
      </c>
      <c r="Q54" s="98">
        <f ca="1">IF(N53=0,1-ABS(N54),0)</f>
        <v>0.83999999999997499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-0.33499999999997954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96.91</v>
      </c>
      <c r="K55" s="82">
        <f t="shared" ca="1" si="0"/>
        <v>3.0900000000000034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96.91</v>
      </c>
      <c r="K56" s="82">
        <f t="shared" ca="1" si="0"/>
        <v>3.0900000000000034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-0.54374999999998863</v>
      </c>
      <c r="U56" s="105">
        <f ca="1">T56/25*100</f>
        <v>-2.1749999999999545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96.91</v>
      </c>
      <c r="K57" s="82">
        <f t="shared" ca="1" si="0"/>
        <v>3.0900000000000034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-0.17499999999995453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96.91</v>
      </c>
      <c r="K58" s="82">
        <f t="shared" ca="1" si="0"/>
        <v>3.0900000000000034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96.91</v>
      </c>
      <c r="K59" s="82">
        <f t="shared" ca="1" si="0"/>
        <v>3.0900000000000034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-0.54374999999998863</v>
      </c>
      <c r="U59" s="105">
        <f ca="1">T59/25*100</f>
        <v>-2.1749999999999545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96.87</v>
      </c>
      <c r="K60" s="82">
        <f t="shared" ca="1" si="0"/>
        <v>3.1299999999999955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-0.17499999999995453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96.86571428571429</v>
      </c>
      <c r="K61" s="82">
        <f t="shared" ca="1" si="0"/>
        <v>3.1342857142857099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96.865714285714276</v>
      </c>
      <c r="K62" s="82">
        <f t="shared" ca="1" si="0"/>
        <v>3.1342857142857241</v>
      </c>
      <c r="L62" s="82">
        <f ca="1">K62-K64</f>
        <v>-8.5714285714274752E-2</v>
      </c>
      <c r="M62" s="105">
        <f ca="1">L62/25*100</f>
        <v>-0.34285714285709901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-0.49946428571426793</v>
      </c>
      <c r="U62" s="105">
        <f ca="1">T62/25*100</f>
        <v>-1.9978571428570717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96.82</v>
      </c>
      <c r="K63" s="82">
        <f t="shared" ca="1" si="0"/>
        <v>3.1800000000000068</v>
      </c>
      <c r="L63" s="96"/>
      <c r="M63" s="109"/>
      <c r="N63" s="97">
        <f ca="1">IF(M62&gt;0,MOD(M62,1),MOD(M62,-1))</f>
        <v>-0.34285714285709901</v>
      </c>
      <c r="O63" s="98">
        <f ca="1">IF(N62=-2,1-ABS(N63),IF(N62=-1,ABS(N63),0))</f>
        <v>0</v>
      </c>
      <c r="P63" s="98">
        <f ca="1">IF(N62=-1,1-ABS(N63),IF(N62=0,IF(N63&lt;0,ABS(N63),0),0))</f>
        <v>0.34285714285709901</v>
      </c>
      <c r="Q63" s="98">
        <f ca="1">IF(N62=0,1-ABS(N63),0)</f>
        <v>0.65714285714290099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-0.99785714285707172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96.78</v>
      </c>
      <c r="K64" s="82">
        <f t="shared" ca="1" si="0"/>
        <v>3.2199999999999989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96.78</v>
      </c>
      <c r="K65" s="82">
        <f t="shared" ca="1" si="0"/>
        <v>3.2199999999999989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-0.41374999999999318</v>
      </c>
      <c r="U65" s="105">
        <f ca="1">T65/25*100</f>
        <v>-1.6549999999999727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96.78</v>
      </c>
      <c r="K66" s="82">
        <f t="shared" ca="1" si="0"/>
        <v>3.2199999999999989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-0.65499999999997272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96.78</v>
      </c>
      <c r="K67" s="82">
        <f t="shared" ca="1" si="0"/>
        <v>3.2199999999999989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96.78</v>
      </c>
      <c r="K68" s="82">
        <f t="shared" ca="1" si="0"/>
        <v>3.2199999999999989</v>
      </c>
      <c r="L68" s="82">
        <f ca="1">K68-K70</f>
        <v>-7.4827586206907881E-2</v>
      </c>
      <c r="M68" s="105">
        <f ca="1">L68/25*100</f>
        <v>-0.29931034482763152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-0.41374999999999318</v>
      </c>
      <c r="U68" s="105">
        <f ca="1">T68/25*100</f>
        <v>-1.6549999999999727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96.71</v>
      </c>
      <c r="K69" s="82">
        <f t="shared" ref="K69:K87" ca="1" si="1">100-J69</f>
        <v>3.2900000000000063</v>
      </c>
      <c r="L69" s="96"/>
      <c r="M69" s="109"/>
      <c r="N69" s="97">
        <f ca="1">IF(M68&gt;0,MOD(M68,1),MOD(M68,-1))</f>
        <v>-0.29931034482763152</v>
      </c>
      <c r="O69" s="98">
        <f ca="1">IF(N68=-2,1-ABS(N69),IF(N68=-1,ABS(N69),0))</f>
        <v>0</v>
      </c>
      <c r="P69" s="98">
        <f ca="1">IF(N68=-1,1-ABS(N69),IF(N68=0,IF(N69&lt;0,ABS(N69),0),0))</f>
        <v>0.29931034482763152</v>
      </c>
      <c r="Q69" s="98">
        <f ca="1">IF(N68=0,1-ABS(N69),0)</f>
        <v>0.70068965517236848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-0.65499999999997272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96.705172413793093</v>
      </c>
      <c r="K70" s="82">
        <f t="shared" ca="1" si="1"/>
        <v>3.2948275862069067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96.71</v>
      </c>
      <c r="K71" s="82">
        <f t="shared" ca="1" si="1"/>
        <v>3.2900000000000063</v>
      </c>
      <c r="L71" s="82">
        <f ca="1">K71-K73</f>
        <v>-0.14999999999999147</v>
      </c>
      <c r="M71" s="105">
        <f ca="1">L71/25*100</f>
        <v>-0.59999999999996589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-0.34374999999998579</v>
      </c>
      <c r="U71" s="105">
        <f ca="1">T71/25*100</f>
        <v>-1.3749999999999432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96.625</v>
      </c>
      <c r="K72" s="82">
        <f t="shared" ca="1" si="1"/>
        <v>3.375</v>
      </c>
      <c r="L72" s="96"/>
      <c r="M72" s="109"/>
      <c r="N72" s="97">
        <f ca="1">IF(M71&gt;0,MOD(M71,1),MOD(M71,-1))</f>
        <v>-0.59999999999996589</v>
      </c>
      <c r="O72" s="98">
        <f ca="1">IF(N71=-2,1-ABS(N72),IF(N71=-1,ABS(N72),0))</f>
        <v>0</v>
      </c>
      <c r="P72" s="98">
        <f ca="1">IF(N71=-1,1-ABS(N72),IF(N71=0,IF(N72&lt;0,ABS(N72),0),0))</f>
        <v>0.59999999999996589</v>
      </c>
      <c r="Q72" s="98">
        <f ca="1">IF(N71=0,1-ABS(N72),0)</f>
        <v>0.40000000000003411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-0.37499999999994316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96.56</v>
      </c>
      <c r="K73" s="82">
        <f t="shared" ca="1" si="1"/>
        <v>3.4399999999999977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96.56</v>
      </c>
      <c r="K74" s="82">
        <f t="shared" ca="1" si="1"/>
        <v>3.4399999999999977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-0.19374999999999432</v>
      </c>
      <c r="U74" s="105">
        <f ca="1">T74/25*100</f>
        <v>-0.77499999999997726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96.56</v>
      </c>
      <c r="K75" s="82">
        <f t="shared" ca="1" si="1"/>
        <v>3.4399999999999977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-0.77499999999997726</v>
      </c>
      <c r="W75" s="99">
        <f ca="1">IF(V74&lt;0,100%,IF(V75&lt;0,ABS(V75),0))</f>
        <v>0.77499999999997726</v>
      </c>
      <c r="X75" s="100">
        <f ca="1">IF(V74=0,1-ABS(V75),0)</f>
        <v>0.22500000000002274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96.56</v>
      </c>
      <c r="K76" s="82">
        <f t="shared" ca="1" si="1"/>
        <v>3.4399999999999977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96.56</v>
      </c>
      <c r="K77" s="82">
        <f t="shared" ca="1" si="1"/>
        <v>3.4399999999999977</v>
      </c>
      <c r="L77" s="82">
        <f ca="1">K77-K79</f>
        <v>-5.6896551724136657E-2</v>
      </c>
      <c r="M77" s="105">
        <f ca="1">L77/25*100</f>
        <v>-0.22758620689654663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-0.19374999999999432</v>
      </c>
      <c r="U77" s="105">
        <f ca="1">T77/25*100</f>
        <v>-0.77499999999997726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96.504999999999995</v>
      </c>
      <c r="K78" s="82">
        <f t="shared" ca="1" si="1"/>
        <v>3.4950000000000045</v>
      </c>
      <c r="L78" s="96"/>
      <c r="M78" s="109"/>
      <c r="N78" s="97">
        <f ca="1">IF(M77&gt;0,MOD(M77,1),MOD(M77,-1))</f>
        <v>-0.22758620689654663</v>
      </c>
      <c r="O78" s="98">
        <f ca="1">IF(N77=-2,1-ABS(N78),IF(N77=-1,ABS(N78),0))</f>
        <v>0</v>
      </c>
      <c r="P78" s="98">
        <f ca="1">IF(N77=-1,1-ABS(N78),IF(N77=0,IF(N78&lt;0,ABS(N78),0),0))</f>
        <v>0.22758620689654663</v>
      </c>
      <c r="Q78" s="98">
        <f ca="1">IF(N77=0,1-ABS(N78),0)</f>
        <v>0.77241379310345337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-0.77499999999997726</v>
      </c>
      <c r="W78" s="99">
        <f ca="1">IF(V77&lt;0,100%,IF(V78&lt;0,ABS(V78),0))</f>
        <v>0.77499999999997726</v>
      </c>
      <c r="X78" s="100">
        <f ca="1">IF(V77=0,1-ABS(V78),0)</f>
        <v>0.22500000000002274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96.503103448275866</v>
      </c>
      <c r="K79" s="82">
        <f t="shared" ca="1" si="1"/>
        <v>3.4968965517241344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96.488461538461507</v>
      </c>
      <c r="K80" s="82">
        <f t="shared" ca="1" si="1"/>
        <v>3.5115384615384926</v>
      </c>
      <c r="L80" s="82">
        <f ca="1">K80-K82</f>
        <v>-8.3461538461506279E-2</v>
      </c>
      <c r="M80" s="105">
        <f ca="1">L80/25*100</f>
        <v>-0.33384615384602512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-0.12221153846149946</v>
      </c>
      <c r="U80" s="105">
        <f ca="1">T80/25*100</f>
        <v>-0.48884615384599783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</v>
      </c>
      <c r="K81" s="82">
        <f t="shared" ca="1" si="1"/>
        <v>3.5600000000000023</v>
      </c>
      <c r="L81" s="96"/>
      <c r="M81" s="109"/>
      <c r="N81" s="97">
        <f ca="1">IF(M80&gt;0,MOD(M80,1),MOD(M80,-1))</f>
        <v>-0.33384615384602512</v>
      </c>
      <c r="O81" s="98">
        <f ca="1">IF(N80=-2,1-ABS(N81),IF(N80=-1,ABS(N81),0))</f>
        <v>0</v>
      </c>
      <c r="P81" s="98">
        <f ca="1">IF(N80=-1,1-ABS(N81),IF(N80=0,IF(N81&lt;0,ABS(N81),0),0))</f>
        <v>0.33384615384602512</v>
      </c>
      <c r="Q81" s="98">
        <f ca="1">IF(N80=0,1-ABS(N81),0)</f>
        <v>0.66615384615397488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-0.48884615384599783</v>
      </c>
      <c r="W81" s="99">
        <f ca="1">IF(V80&lt;0,100%,IF(V81&lt;0,ABS(V81),0))</f>
        <v>0.48884615384599783</v>
      </c>
      <c r="X81" s="100">
        <f ca="1">IF(V80=0,1-ABS(V81),0)</f>
        <v>0.51115384615400217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-3.8749999999993179E-2</v>
      </c>
      <c r="U83" s="105">
        <f ca="1">T83/25*100</f>
        <v>-0.15499999999997272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-0.15499999999997272</v>
      </c>
      <c r="W84" s="99">
        <f ca="1">IF(V83&lt;0,100%,IF(V84&lt;0,ABS(V84),0))</f>
        <v>0.15499999999997272</v>
      </c>
      <c r="X84" s="100">
        <f ca="1">IF(V83=0,1-ABS(V84),0)</f>
        <v>0.84500000000002728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-3.8749999999993179E-2</v>
      </c>
      <c r="M86" s="105">
        <f ca="1">L86/25*100</f>
        <v>-0.15499999999997272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-3.8749999999993179E-2</v>
      </c>
      <c r="U86" s="105">
        <f ca="1">T86/25*100</f>
        <v>-0.15499999999997272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96.37</v>
      </c>
      <c r="K87" s="82">
        <f t="shared" ca="1" si="1"/>
        <v>3.6299999999999955</v>
      </c>
      <c r="L87" s="102"/>
      <c r="M87" s="110"/>
      <c r="N87" s="97">
        <f ca="1">IF(M86&gt;0,MOD(M86,1),MOD(M86,-1))</f>
        <v>-0.15499999999997272</v>
      </c>
      <c r="O87" s="98">
        <f ca="1">IF(N86=-2,1-ABS(N87),IF(N86=-1,ABS(N87),0))</f>
        <v>0</v>
      </c>
      <c r="P87" s="98">
        <f ca="1">IF(N86=-1,1-ABS(N87),IF(N86=0,IF(N87&lt;0,ABS(N87),0),0))</f>
        <v>0.15499999999997272</v>
      </c>
      <c r="Q87" s="98">
        <f ca="1">IF(N86=0,1-ABS(N87),0)</f>
        <v>0.84500000000002728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-0.15499999999997272</v>
      </c>
      <c r="W87" s="99">
        <f ca="1">IF(V86&lt;0,100%,IF(V87&lt;0,ABS(V87),0))</f>
        <v>0.15499999999997272</v>
      </c>
      <c r="X87" s="100">
        <f ca="1">IF(V86=0,1-ABS(V87),0)</f>
        <v>0.84500000000002728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96.366250000000008</v>
      </c>
      <c r="K88" s="82">
        <f ca="1">100-J88</f>
        <v>3.633749999999992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179" priority="139" operator="notEqual">
      <formula>0</formula>
    </cfRule>
  </conditionalFormatting>
  <conditionalFormatting sqref="W53:Y88">
    <cfRule type="cellIs" dxfId="178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177" priority="133" operator="notEqual">
      <formula>0</formula>
    </cfRule>
  </conditionalFormatting>
  <conditionalFormatting sqref="W89:Y91">
    <cfRule type="cellIs" dxfId="176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175" priority="71" operator="notEqual">
      <formula>0</formula>
    </cfRule>
  </conditionalFormatting>
  <conditionalFormatting sqref="W50:Y52">
    <cfRule type="cellIs" dxfId="174" priority="70" operator="notEqual">
      <formula>0</formula>
    </cfRule>
  </conditionalFormatting>
  <conditionalFormatting sqref="O47:S49">
    <cfRule type="cellIs" dxfId="173" priority="69" operator="notEqual">
      <formula>0</formula>
    </cfRule>
  </conditionalFormatting>
  <conditionalFormatting sqref="W47:Y49">
    <cfRule type="cellIs" dxfId="172" priority="68" operator="notEqual">
      <formula>0</formula>
    </cfRule>
  </conditionalFormatting>
  <conditionalFormatting sqref="O44:S46">
    <cfRule type="cellIs" dxfId="171" priority="67" operator="notEqual">
      <formula>0</formula>
    </cfRule>
  </conditionalFormatting>
  <conditionalFormatting sqref="W44:Y46">
    <cfRule type="cellIs" dxfId="170" priority="66" operator="notEqual">
      <formula>0</formula>
    </cfRule>
  </conditionalFormatting>
  <conditionalFormatting sqref="O41:S43">
    <cfRule type="cellIs" dxfId="169" priority="65" operator="notEqual">
      <formula>0</formula>
    </cfRule>
  </conditionalFormatting>
  <conditionalFormatting sqref="W41:Y43">
    <cfRule type="cellIs" dxfId="168" priority="64" operator="notEqual">
      <formula>0</formula>
    </cfRule>
  </conditionalFormatting>
  <conditionalFormatting sqref="O38:S40">
    <cfRule type="cellIs" dxfId="167" priority="63" operator="notEqual">
      <formula>0</formula>
    </cfRule>
  </conditionalFormatting>
  <conditionalFormatting sqref="W38:Y40">
    <cfRule type="cellIs" dxfId="166" priority="62" operator="notEqual">
      <formula>0</formula>
    </cfRule>
  </conditionalFormatting>
  <conditionalFormatting sqref="O35:S37">
    <cfRule type="cellIs" dxfId="165" priority="61" operator="notEqual">
      <formula>0</formula>
    </cfRule>
  </conditionalFormatting>
  <conditionalFormatting sqref="W35:Y37">
    <cfRule type="cellIs" dxfId="164" priority="60" operator="notEqual">
      <formula>0</formula>
    </cfRule>
  </conditionalFormatting>
  <conditionalFormatting sqref="O32:S34">
    <cfRule type="cellIs" dxfId="163" priority="59" operator="notEqual">
      <formula>0</formula>
    </cfRule>
  </conditionalFormatting>
  <conditionalFormatting sqref="W32:Y34">
    <cfRule type="cellIs" dxfId="162" priority="58" operator="notEqual">
      <formula>0</formula>
    </cfRule>
  </conditionalFormatting>
  <conditionalFormatting sqref="O29:S31">
    <cfRule type="cellIs" dxfId="161" priority="57" operator="notEqual">
      <formula>0</formula>
    </cfRule>
  </conditionalFormatting>
  <conditionalFormatting sqref="W29:Y31">
    <cfRule type="cellIs" dxfId="160" priority="56" operator="notEqual">
      <formula>0</formula>
    </cfRule>
  </conditionalFormatting>
  <conditionalFormatting sqref="O26:S28">
    <cfRule type="cellIs" dxfId="159" priority="55" operator="notEqual">
      <formula>0</formula>
    </cfRule>
  </conditionalFormatting>
  <conditionalFormatting sqref="W26:Y28">
    <cfRule type="cellIs" dxfId="158" priority="54" operator="notEqual">
      <formula>0</formula>
    </cfRule>
  </conditionalFormatting>
  <conditionalFormatting sqref="O23:S25">
    <cfRule type="cellIs" dxfId="157" priority="53" operator="notEqual">
      <formula>0</formula>
    </cfRule>
  </conditionalFormatting>
  <conditionalFormatting sqref="W23:Y25">
    <cfRule type="cellIs" dxfId="156" priority="52" operator="notEqual">
      <formula>0</formula>
    </cfRule>
  </conditionalFormatting>
  <conditionalFormatting sqref="O20:S22">
    <cfRule type="cellIs" dxfId="155" priority="51" operator="notEqual">
      <formula>0</formula>
    </cfRule>
  </conditionalFormatting>
  <conditionalFormatting sqref="W20:Y22">
    <cfRule type="cellIs" dxfId="154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153" priority="20" operator="notEqual">
      <formula>0</formula>
    </cfRule>
  </conditionalFormatting>
  <conditionalFormatting sqref="W17:Y19">
    <cfRule type="cellIs" dxfId="152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151" priority="16" operator="notEqual">
      <formula>0</formula>
    </cfRule>
  </conditionalFormatting>
  <conditionalFormatting sqref="W14:Y16">
    <cfRule type="cellIs" dxfId="150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149" priority="12" operator="notEqual">
      <formula>0</formula>
    </cfRule>
  </conditionalFormatting>
  <conditionalFormatting sqref="W11:Y13">
    <cfRule type="cellIs" dxfId="148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147" priority="8" operator="notEqual">
      <formula>0</formula>
    </cfRule>
  </conditionalFormatting>
  <conditionalFormatting sqref="W8:Y10">
    <cfRule type="cellIs" dxfId="146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145" priority="4" operator="notEqual">
      <formula>0</formula>
    </cfRule>
  </conditionalFormatting>
  <conditionalFormatting sqref="W5:Y7">
    <cfRule type="cellIs" dxfId="144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17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96.894999999999996</v>
      </c>
      <c r="K5" s="82">
        <f t="shared" ref="K5:K68" ca="1" si="0">100-J5</f>
        <v>3.105000000000004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-0.52874999999998806</v>
      </c>
      <c r="U5" s="105">
        <f ca="1">T5/25*100</f>
        <v>-2.1149999999999523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96.894999999999996</v>
      </c>
      <c r="K6" s="82">
        <f t="shared" ca="1" si="0"/>
        <v>3.105000000000004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-0.11499999999995225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96.894999999999996</v>
      </c>
      <c r="K7" s="82">
        <f t="shared" ca="1" si="0"/>
        <v>3.105000000000004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96.935000000000002</v>
      </c>
      <c r="K8" s="82">
        <f t="shared" ca="1" si="0"/>
        <v>3.0649999999999977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-0.56874999999999432</v>
      </c>
      <c r="U8" s="105">
        <f ca="1">T8/25*100</f>
        <v>-2.2749999999999773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96.935000000000002</v>
      </c>
      <c r="K9" s="82">
        <f t="shared" ca="1" si="0"/>
        <v>3.0649999999999977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-0.27499999999997726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96.935000000000002</v>
      </c>
      <c r="K10" s="82">
        <f t="shared" ca="1" si="0"/>
        <v>3.0649999999999977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96.95</v>
      </c>
      <c r="K11" s="82">
        <f t="shared" ca="1" si="0"/>
        <v>3.0499999999999972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-0.58374999999999488</v>
      </c>
      <c r="U11" s="105">
        <f ca="1">T11/25*100</f>
        <v>-2.3349999999999795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96.95</v>
      </c>
      <c r="K12" s="82">
        <f t="shared" ca="1" si="0"/>
        <v>3.0499999999999972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-0.33499999999997954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96.95</v>
      </c>
      <c r="K13" s="82">
        <f t="shared" ca="1" si="0"/>
        <v>3.0499999999999972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96.965000000000003</v>
      </c>
      <c r="K14" s="82">
        <f t="shared" ca="1" si="0"/>
        <v>3.0349999999999966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-0.59874999999999545</v>
      </c>
      <c r="U14" s="105">
        <f ca="1">T14/25*100</f>
        <v>-2.3949999999999818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96.965000000000003</v>
      </c>
      <c r="K15" s="82">
        <f t="shared" ca="1" si="0"/>
        <v>3.0349999999999966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-0.39499999999998181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96.965000000000003</v>
      </c>
      <c r="K16" s="82">
        <f t="shared" ca="1" si="0"/>
        <v>3.0349999999999966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96.885000000000005</v>
      </c>
      <c r="K17" s="82">
        <f t="shared" ca="1" si="0"/>
        <v>3.1149999999999949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-0.51874999999999716</v>
      </c>
      <c r="U17" s="105">
        <f ca="1">T17/25*100</f>
        <v>-2.0749999999999886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96.885000000000005</v>
      </c>
      <c r="K18" s="82">
        <f t="shared" ca="1" si="0"/>
        <v>3.1149999999999949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-7.4999999999988631E-2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96.885000000000005</v>
      </c>
      <c r="K19" s="82">
        <f t="shared" ca="1" si="0"/>
        <v>3.1149999999999949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96.9</v>
      </c>
      <c r="K20" s="82">
        <f t="shared" ca="1" si="0"/>
        <v>3.0999999999999943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-0.53374999999999773</v>
      </c>
      <c r="U20" s="105">
        <f ca="1">T20/25*100</f>
        <v>-2.1349999999999909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96.9</v>
      </c>
      <c r="K21" s="82">
        <f t="shared" ca="1" si="0"/>
        <v>3.0999999999999943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-0.13499999999999091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96.9</v>
      </c>
      <c r="K22" s="82">
        <f t="shared" ca="1" si="0"/>
        <v>3.0999999999999943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96.92</v>
      </c>
      <c r="K23" s="82">
        <f t="shared" ca="1" si="0"/>
        <v>3.0799999999999983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-0.55374999999999375</v>
      </c>
      <c r="U23" s="105">
        <f ca="1">T23/25*100</f>
        <v>-2.214999999999975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96.92</v>
      </c>
      <c r="K24" s="82">
        <f t="shared" ca="1" si="0"/>
        <v>3.0799999999999983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-0.21499999999997499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96.92</v>
      </c>
      <c r="K25" s="82">
        <f t="shared" ca="1" si="0"/>
        <v>3.0799999999999983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96.924999999999997</v>
      </c>
      <c r="K26" s="82">
        <f t="shared" ca="1" si="0"/>
        <v>3.0750000000000028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-0.5587499999999892</v>
      </c>
      <c r="U26" s="105">
        <f ca="1">T26/25*100</f>
        <v>-2.2349999999999568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96.924999999999997</v>
      </c>
      <c r="K27" s="82">
        <f t="shared" ca="1" si="0"/>
        <v>3.0750000000000028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-0.2349999999999568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96.924999999999997</v>
      </c>
      <c r="K28" s="82">
        <f t="shared" ca="1" si="0"/>
        <v>3.0750000000000028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96.924999999999997</v>
      </c>
      <c r="K29" s="82">
        <f t="shared" ca="1" si="0"/>
        <v>3.0750000000000028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-0.5587499999999892</v>
      </c>
      <c r="U29" s="105">
        <f ca="1">T29/25*100</f>
        <v>-2.2349999999999568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96.924999999999997</v>
      </c>
      <c r="K30" s="82">
        <f t="shared" ca="1" si="0"/>
        <v>3.0750000000000028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-0.2349999999999568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96.924999999999997</v>
      </c>
      <c r="K31" s="82">
        <f t="shared" ca="1" si="0"/>
        <v>3.0750000000000028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96.935000000000002</v>
      </c>
      <c r="K32" s="82">
        <f t="shared" ca="1" si="0"/>
        <v>3.0649999999999977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-0.56874999999999432</v>
      </c>
      <c r="U32" s="105">
        <f ca="1">T32/25*100</f>
        <v>-2.2749999999999773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96.935000000000002</v>
      </c>
      <c r="K33" s="82">
        <f t="shared" ca="1" si="0"/>
        <v>3.0649999999999977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-0.27499999999997726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96.935000000000002</v>
      </c>
      <c r="K34" s="82">
        <f t="shared" ca="1" si="0"/>
        <v>3.0649999999999977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96.924999999999997</v>
      </c>
      <c r="K35" s="82">
        <f t="shared" ca="1" si="0"/>
        <v>3.0750000000000028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-0.5587499999999892</v>
      </c>
      <c r="U35" s="105">
        <f ca="1">T35/25*100</f>
        <v>-2.2349999999999568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96.924999999999997</v>
      </c>
      <c r="K36" s="82">
        <f t="shared" ca="1" si="0"/>
        <v>3.0750000000000028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-0.2349999999999568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96.924999999999997</v>
      </c>
      <c r="K37" s="82">
        <f t="shared" ca="1" si="0"/>
        <v>3.0750000000000028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96.944999999999993</v>
      </c>
      <c r="K38" s="82">
        <f t="shared" ca="1" si="0"/>
        <v>3.0550000000000068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-0.57874999999998522</v>
      </c>
      <c r="U38" s="105">
        <f ca="1">T38/25*100</f>
        <v>-2.3149999999999409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96.944999999999993</v>
      </c>
      <c r="K39" s="82">
        <f t="shared" ca="1" si="0"/>
        <v>3.0550000000000068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-0.31499999999994088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96.944999999999993</v>
      </c>
      <c r="K40" s="82">
        <f t="shared" ca="1" si="0"/>
        <v>3.0550000000000068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96.954999999999998</v>
      </c>
      <c r="K41" s="82">
        <f t="shared" ca="1" si="0"/>
        <v>3.0450000000000017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-0.58874999999999034</v>
      </c>
      <c r="U41" s="105">
        <f ca="1">T41/25*100</f>
        <v>-2.3549999999999613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96.954999999999998</v>
      </c>
      <c r="K42" s="82">
        <f t="shared" ca="1" si="0"/>
        <v>3.0450000000000017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-0.35499999999996135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96.954999999999998</v>
      </c>
      <c r="K43" s="82">
        <f t="shared" ca="1" si="0"/>
        <v>3.0450000000000017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96.954999999999998</v>
      </c>
      <c r="K44" s="82">
        <f t="shared" ca="1" si="0"/>
        <v>3.0450000000000017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-0.58874999999999034</v>
      </c>
      <c r="U44" s="105">
        <f ca="1">T44/25*100</f>
        <v>-2.3549999999999613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96.954999999999998</v>
      </c>
      <c r="K45" s="82">
        <f t="shared" ca="1" si="0"/>
        <v>3.0450000000000017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-0.35499999999996135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96.954999999999998</v>
      </c>
      <c r="K46" s="82">
        <f t="shared" ca="1" si="0"/>
        <v>3.0450000000000017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96.95</v>
      </c>
      <c r="K47" s="82">
        <f t="shared" ca="1" si="0"/>
        <v>3.0499999999999972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-0.58374999999999488</v>
      </c>
      <c r="U47" s="105">
        <f ca="1">T47/25*100</f>
        <v>-2.3349999999999795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96.95</v>
      </c>
      <c r="K48" s="82">
        <f t="shared" ca="1" si="0"/>
        <v>3.0499999999999972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-0.33499999999997954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96.95</v>
      </c>
      <c r="K49" s="82">
        <f t="shared" ca="1" si="0"/>
        <v>3.0499999999999972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96.95</v>
      </c>
      <c r="K50" s="82">
        <f t="shared" ca="1" si="0"/>
        <v>3.0499999999999972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-0.58374999999999488</v>
      </c>
      <c r="U50" s="105">
        <f ca="1">T50/25*100</f>
        <v>-2.3349999999999795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96.95</v>
      </c>
      <c r="K51" s="82">
        <f t="shared" ca="1" si="0"/>
        <v>3.0499999999999972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-0.33499999999997954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96.95</v>
      </c>
      <c r="K52" s="82">
        <f t="shared" ca="1" si="0"/>
        <v>3.0499999999999972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96.95</v>
      </c>
      <c r="K53" s="82">
        <f t="shared" ca="1" si="0"/>
        <v>3.0499999999999972</v>
      </c>
      <c r="L53" s="82">
        <f ca="1">K53-K55</f>
        <v>-4.0000000000006253E-2</v>
      </c>
      <c r="M53" s="105">
        <f ca="1">L53/25*100</f>
        <v>-0.16000000000002501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-0.58374999999999488</v>
      </c>
      <c r="U53" s="105">
        <f ca="1">T53/25*100</f>
        <v>-2.3349999999999795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96.94</v>
      </c>
      <c r="K54" s="82">
        <f t="shared" ca="1" si="0"/>
        <v>3.0600000000000023</v>
      </c>
      <c r="L54" s="96"/>
      <c r="M54" s="109"/>
      <c r="N54" s="97">
        <f ca="1">IF(M53&gt;0,MOD(M53,1),MOD(M53,-1))</f>
        <v>-0.16000000000002501</v>
      </c>
      <c r="O54" s="98">
        <f ca="1">IF(N53=-2,1-ABS(N54),IF(N53=-1,ABS(N54),0))</f>
        <v>0</v>
      </c>
      <c r="P54" s="98">
        <f ca="1">IF(N53=-1,1-ABS(N54),IF(N53=0,IF(N54&lt;0,ABS(N54),0),0))</f>
        <v>0.16000000000002501</v>
      </c>
      <c r="Q54" s="98">
        <f ca="1">IF(N53=0,1-ABS(N54),0)</f>
        <v>0.83999999999997499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-0.33499999999997954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96.91</v>
      </c>
      <c r="K55" s="82">
        <f t="shared" ca="1" si="0"/>
        <v>3.0900000000000034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96.91</v>
      </c>
      <c r="K56" s="82">
        <f t="shared" ca="1" si="0"/>
        <v>3.0900000000000034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-0.54374999999998863</v>
      </c>
      <c r="U56" s="105">
        <f ca="1">T56/25*100</f>
        <v>-2.1749999999999545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96.91</v>
      </c>
      <c r="K57" s="82">
        <f t="shared" ca="1" si="0"/>
        <v>3.0900000000000034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-0.17499999999995453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96.91</v>
      </c>
      <c r="K58" s="82">
        <f t="shared" ca="1" si="0"/>
        <v>3.0900000000000034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96.91</v>
      </c>
      <c r="K59" s="82">
        <f t="shared" ca="1" si="0"/>
        <v>3.0900000000000034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-0.54374999999998863</v>
      </c>
      <c r="U59" s="105">
        <f ca="1">T59/25*100</f>
        <v>-2.1749999999999545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96.87</v>
      </c>
      <c r="K60" s="82">
        <f t="shared" ca="1" si="0"/>
        <v>3.1299999999999955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-0.17499999999995453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96.86571428571429</v>
      </c>
      <c r="K61" s="82">
        <f t="shared" ca="1" si="0"/>
        <v>3.1342857142857099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96.865714285714276</v>
      </c>
      <c r="K62" s="82">
        <f t="shared" ca="1" si="0"/>
        <v>3.1342857142857241</v>
      </c>
      <c r="L62" s="82">
        <f ca="1">K62-K64</f>
        <v>-8.5714285714274752E-2</v>
      </c>
      <c r="M62" s="105">
        <f ca="1">L62/25*100</f>
        <v>-0.34285714285709901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-0.49946428571426793</v>
      </c>
      <c r="U62" s="105">
        <f ca="1">T62/25*100</f>
        <v>-1.9978571428570717</v>
      </c>
      <c r="V62" s="90">
        <f ca="1">TRUNC(U62,0)/1</f>
        <v>-1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96.82</v>
      </c>
      <c r="K63" s="82">
        <f t="shared" ca="1" si="0"/>
        <v>3.1800000000000068</v>
      </c>
      <c r="L63" s="96"/>
      <c r="M63" s="109"/>
      <c r="N63" s="97">
        <f ca="1">IF(M62&gt;0,MOD(M62,1),MOD(M62,-1))</f>
        <v>-0.34285714285709901</v>
      </c>
      <c r="O63" s="98">
        <f ca="1">IF(N62=-2,1-ABS(N63),IF(N62=-1,ABS(N63),0))</f>
        <v>0</v>
      </c>
      <c r="P63" s="98">
        <f ca="1">IF(N62=-1,1-ABS(N63),IF(N62=0,IF(N63&lt;0,ABS(N63),0),0))</f>
        <v>0.34285714285709901</v>
      </c>
      <c r="Q63" s="98">
        <f ca="1">IF(N62=0,1-ABS(N63),0)</f>
        <v>0.65714285714290099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-0.99785714285707172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96.78</v>
      </c>
      <c r="K64" s="82">
        <f t="shared" ca="1" si="0"/>
        <v>3.2199999999999989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96.78</v>
      </c>
      <c r="K65" s="82">
        <f t="shared" ca="1" si="0"/>
        <v>3.2199999999999989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-0.41374999999999318</v>
      </c>
      <c r="U65" s="105">
        <f ca="1">T65/25*100</f>
        <v>-1.6549999999999727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96.78</v>
      </c>
      <c r="K66" s="82">
        <f t="shared" ca="1" si="0"/>
        <v>3.2199999999999989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-0.65499999999997272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96.78</v>
      </c>
      <c r="K67" s="82">
        <f t="shared" ca="1" si="0"/>
        <v>3.2199999999999989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96.78</v>
      </c>
      <c r="K68" s="82">
        <f t="shared" ca="1" si="0"/>
        <v>3.2199999999999989</v>
      </c>
      <c r="L68" s="82">
        <f ca="1">K68-K70</f>
        <v>-7.4827586206907881E-2</v>
      </c>
      <c r="M68" s="105">
        <f ca="1">L68/25*100</f>
        <v>-0.29931034482763152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-0.41374999999999318</v>
      </c>
      <c r="U68" s="105">
        <f ca="1">T68/25*100</f>
        <v>-1.6549999999999727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96.71</v>
      </c>
      <c r="K69" s="82">
        <f t="shared" ref="K69:K87" ca="1" si="1">100-J69</f>
        <v>3.2900000000000063</v>
      </c>
      <c r="L69" s="96"/>
      <c r="M69" s="109"/>
      <c r="N69" s="97">
        <f ca="1">IF(M68&gt;0,MOD(M68,1),MOD(M68,-1))</f>
        <v>-0.29931034482763152</v>
      </c>
      <c r="O69" s="98">
        <f ca="1">IF(N68=-2,1-ABS(N69),IF(N68=-1,ABS(N69),0))</f>
        <v>0</v>
      </c>
      <c r="P69" s="98">
        <f ca="1">IF(N68=-1,1-ABS(N69),IF(N68=0,IF(N69&lt;0,ABS(N69),0),0))</f>
        <v>0.29931034482763152</v>
      </c>
      <c r="Q69" s="98">
        <f ca="1">IF(N68=0,1-ABS(N69),0)</f>
        <v>0.70068965517236848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-0.65499999999997272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96.705172413793093</v>
      </c>
      <c r="K70" s="82">
        <f t="shared" ca="1" si="1"/>
        <v>3.2948275862069067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96.71</v>
      </c>
      <c r="K71" s="82">
        <f t="shared" ca="1" si="1"/>
        <v>3.2900000000000063</v>
      </c>
      <c r="L71" s="82">
        <f ca="1">K71-K73</f>
        <v>-0.14999999999999147</v>
      </c>
      <c r="M71" s="105">
        <f ca="1">L71/25*100</f>
        <v>-0.59999999999996589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-0.34374999999998579</v>
      </c>
      <c r="U71" s="105">
        <f ca="1">T71/25*100</f>
        <v>-1.3749999999999432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96.625</v>
      </c>
      <c r="K72" s="82">
        <f t="shared" ca="1" si="1"/>
        <v>3.375</v>
      </c>
      <c r="L72" s="96"/>
      <c r="M72" s="109"/>
      <c r="N72" s="97">
        <f ca="1">IF(M71&gt;0,MOD(M71,1),MOD(M71,-1))</f>
        <v>-0.59999999999996589</v>
      </c>
      <c r="O72" s="98">
        <f ca="1">IF(N71=-2,1-ABS(N72),IF(N71=-1,ABS(N72),0))</f>
        <v>0</v>
      </c>
      <c r="P72" s="98">
        <f ca="1">IF(N71=-1,1-ABS(N72),IF(N71=0,IF(N72&lt;0,ABS(N72),0),0))</f>
        <v>0.59999999999996589</v>
      </c>
      <c r="Q72" s="98">
        <f ca="1">IF(N71=0,1-ABS(N72),0)</f>
        <v>0.40000000000003411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-0.37499999999994316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96.56</v>
      </c>
      <c r="K73" s="82">
        <f t="shared" ca="1" si="1"/>
        <v>3.4399999999999977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96.56</v>
      </c>
      <c r="K74" s="82">
        <f t="shared" ca="1" si="1"/>
        <v>3.4399999999999977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-0.19374999999999432</v>
      </c>
      <c r="U74" s="105">
        <f ca="1">T74/25*100</f>
        <v>-0.77499999999997726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96.56</v>
      </c>
      <c r="K75" s="82">
        <f t="shared" ca="1" si="1"/>
        <v>3.4399999999999977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-0.77499999999997726</v>
      </c>
      <c r="W75" s="99">
        <f ca="1">IF(V74&lt;0,100%,IF(V75&lt;0,ABS(V75),0))</f>
        <v>0.77499999999997726</v>
      </c>
      <c r="X75" s="100">
        <f ca="1">IF(V74=0,1-ABS(V75),0)</f>
        <v>0.22500000000002274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96.56</v>
      </c>
      <c r="K76" s="82">
        <f t="shared" ca="1" si="1"/>
        <v>3.4399999999999977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96.56</v>
      </c>
      <c r="K77" s="82">
        <f t="shared" ca="1" si="1"/>
        <v>3.4399999999999977</v>
      </c>
      <c r="L77" s="82">
        <f ca="1">K77-K79</f>
        <v>-5.6896551724136657E-2</v>
      </c>
      <c r="M77" s="105">
        <f ca="1">L77/25*100</f>
        <v>-0.22758620689654663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-0.19374999999999432</v>
      </c>
      <c r="U77" s="105">
        <f ca="1">T77/25*100</f>
        <v>-0.77499999999997726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96.504999999999995</v>
      </c>
      <c r="K78" s="82">
        <f t="shared" ca="1" si="1"/>
        <v>3.4950000000000045</v>
      </c>
      <c r="L78" s="96"/>
      <c r="M78" s="109"/>
      <c r="N78" s="97">
        <f ca="1">IF(M77&gt;0,MOD(M77,1),MOD(M77,-1))</f>
        <v>-0.22758620689654663</v>
      </c>
      <c r="O78" s="98">
        <f ca="1">IF(N77=-2,1-ABS(N78),IF(N77=-1,ABS(N78),0))</f>
        <v>0</v>
      </c>
      <c r="P78" s="98">
        <f ca="1">IF(N77=-1,1-ABS(N78),IF(N77=0,IF(N78&lt;0,ABS(N78),0),0))</f>
        <v>0.22758620689654663</v>
      </c>
      <c r="Q78" s="98">
        <f ca="1">IF(N77=0,1-ABS(N78),0)</f>
        <v>0.77241379310345337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-0.77499999999997726</v>
      </c>
      <c r="W78" s="99">
        <f ca="1">IF(V77&lt;0,100%,IF(V78&lt;0,ABS(V78),0))</f>
        <v>0.77499999999997726</v>
      </c>
      <c r="X78" s="100">
        <f ca="1">IF(V77=0,1-ABS(V78),0)</f>
        <v>0.22500000000002274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96.503103448275866</v>
      </c>
      <c r="K79" s="82">
        <f t="shared" ca="1" si="1"/>
        <v>3.4968965517241344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96.488461538461507</v>
      </c>
      <c r="K80" s="82">
        <f t="shared" ca="1" si="1"/>
        <v>3.5115384615384926</v>
      </c>
      <c r="L80" s="82">
        <f ca="1">K80-K82</f>
        <v>-8.3461538461506279E-2</v>
      </c>
      <c r="M80" s="105">
        <f ca="1">L80/25*100</f>
        <v>-0.33384615384602512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-0.12221153846149946</v>
      </c>
      <c r="U80" s="105">
        <f ca="1">T80/25*100</f>
        <v>-0.48884615384599783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</v>
      </c>
      <c r="K81" s="82">
        <f t="shared" ca="1" si="1"/>
        <v>3.5600000000000023</v>
      </c>
      <c r="L81" s="96"/>
      <c r="M81" s="109"/>
      <c r="N81" s="97">
        <f ca="1">IF(M80&gt;0,MOD(M80,1),MOD(M80,-1))</f>
        <v>-0.33384615384602512</v>
      </c>
      <c r="O81" s="98">
        <f ca="1">IF(N80=-2,1-ABS(N81),IF(N80=-1,ABS(N81),0))</f>
        <v>0</v>
      </c>
      <c r="P81" s="98">
        <f ca="1">IF(N80=-1,1-ABS(N81),IF(N80=0,IF(N81&lt;0,ABS(N81),0),0))</f>
        <v>0.33384615384602512</v>
      </c>
      <c r="Q81" s="98">
        <f ca="1">IF(N80=0,1-ABS(N81),0)</f>
        <v>0.66615384615397488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-0.48884615384599783</v>
      </c>
      <c r="W81" s="99">
        <f ca="1">IF(V80&lt;0,100%,IF(V81&lt;0,ABS(V81),0))</f>
        <v>0.48884615384599783</v>
      </c>
      <c r="X81" s="100">
        <f ca="1">IF(V80=0,1-ABS(V81),0)</f>
        <v>0.51115384615400217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-3.8749999999993179E-2</v>
      </c>
      <c r="U83" s="105">
        <f ca="1">T83/25*100</f>
        <v>-0.15499999999997272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-0.15499999999997272</v>
      </c>
      <c r="W84" s="99">
        <f ca="1">IF(V83&lt;0,100%,IF(V84&lt;0,ABS(V84),0))</f>
        <v>0.15499999999997272</v>
      </c>
      <c r="X84" s="100">
        <f ca="1">IF(V83=0,1-ABS(V84),0)</f>
        <v>0.84500000000002728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-3.8749999999993179E-2</v>
      </c>
      <c r="M86" s="105">
        <f ca="1">L86/25*100</f>
        <v>-0.15499999999997272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-3.8749999999993179E-2</v>
      </c>
      <c r="U86" s="105">
        <f ca="1">T86/25*100</f>
        <v>-0.15499999999997272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96.37</v>
      </c>
      <c r="K87" s="82">
        <f t="shared" ca="1" si="1"/>
        <v>3.6299999999999955</v>
      </c>
      <c r="L87" s="102"/>
      <c r="M87" s="110"/>
      <c r="N87" s="97">
        <f ca="1">IF(M86&gt;0,MOD(M86,1),MOD(M86,-1))</f>
        <v>-0.15499999999997272</v>
      </c>
      <c r="O87" s="98">
        <f ca="1">IF(N86=-2,1-ABS(N87),IF(N86=-1,ABS(N87),0))</f>
        <v>0</v>
      </c>
      <c r="P87" s="98">
        <f ca="1">IF(N86=-1,1-ABS(N87),IF(N86=0,IF(N87&lt;0,ABS(N87),0),0))</f>
        <v>0.15499999999997272</v>
      </c>
      <c r="Q87" s="98">
        <f ca="1">IF(N86=0,1-ABS(N87),0)</f>
        <v>0.84500000000002728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-0.15499999999997272</v>
      </c>
      <c r="W87" s="99">
        <f ca="1">IF(V86&lt;0,100%,IF(V87&lt;0,ABS(V87),0))</f>
        <v>0.15499999999997272</v>
      </c>
      <c r="X87" s="100">
        <f ca="1">IF(V86=0,1-ABS(V87),0)</f>
        <v>0.84500000000002728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96.366250000000008</v>
      </c>
      <c r="K88" s="82">
        <f ca="1">100-J88</f>
        <v>3.633749999999992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143" priority="139" operator="notEqual">
      <formula>0</formula>
    </cfRule>
  </conditionalFormatting>
  <conditionalFormatting sqref="W53:Y88">
    <cfRule type="cellIs" dxfId="142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141" priority="133" operator="notEqual">
      <formula>0</formula>
    </cfRule>
  </conditionalFormatting>
  <conditionalFormatting sqref="W89:Y91">
    <cfRule type="cellIs" dxfId="140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139" priority="71" operator="notEqual">
      <formula>0</formula>
    </cfRule>
  </conditionalFormatting>
  <conditionalFormatting sqref="W50:Y52">
    <cfRule type="cellIs" dxfId="138" priority="70" operator="notEqual">
      <formula>0</formula>
    </cfRule>
  </conditionalFormatting>
  <conditionalFormatting sqref="O47:S49">
    <cfRule type="cellIs" dxfId="137" priority="69" operator="notEqual">
      <formula>0</formula>
    </cfRule>
  </conditionalFormatting>
  <conditionalFormatting sqref="W47:Y49">
    <cfRule type="cellIs" dxfId="136" priority="68" operator="notEqual">
      <formula>0</formula>
    </cfRule>
  </conditionalFormatting>
  <conditionalFormatting sqref="O44:S46">
    <cfRule type="cellIs" dxfId="135" priority="67" operator="notEqual">
      <formula>0</formula>
    </cfRule>
  </conditionalFormatting>
  <conditionalFormatting sqref="W44:Y46">
    <cfRule type="cellIs" dxfId="134" priority="66" operator="notEqual">
      <formula>0</formula>
    </cfRule>
  </conditionalFormatting>
  <conditionalFormatting sqref="O41:S43">
    <cfRule type="cellIs" dxfId="133" priority="65" operator="notEqual">
      <formula>0</formula>
    </cfRule>
  </conditionalFormatting>
  <conditionalFormatting sqref="W41:Y43">
    <cfRule type="cellIs" dxfId="132" priority="64" operator="notEqual">
      <formula>0</formula>
    </cfRule>
  </conditionalFormatting>
  <conditionalFormatting sqref="O38:S40">
    <cfRule type="cellIs" dxfId="131" priority="63" operator="notEqual">
      <formula>0</formula>
    </cfRule>
  </conditionalFormatting>
  <conditionalFormatting sqref="W38:Y40">
    <cfRule type="cellIs" dxfId="130" priority="62" operator="notEqual">
      <formula>0</formula>
    </cfRule>
  </conditionalFormatting>
  <conditionalFormatting sqref="O35:S37">
    <cfRule type="cellIs" dxfId="129" priority="61" operator="notEqual">
      <formula>0</formula>
    </cfRule>
  </conditionalFormatting>
  <conditionalFormatting sqref="W35:Y37">
    <cfRule type="cellIs" dxfId="128" priority="60" operator="notEqual">
      <formula>0</formula>
    </cfRule>
  </conditionalFormatting>
  <conditionalFormatting sqref="O32:S34">
    <cfRule type="cellIs" dxfId="127" priority="59" operator="notEqual">
      <formula>0</formula>
    </cfRule>
  </conditionalFormatting>
  <conditionalFormatting sqref="W32:Y34">
    <cfRule type="cellIs" dxfId="126" priority="58" operator="notEqual">
      <formula>0</formula>
    </cfRule>
  </conditionalFormatting>
  <conditionalFormatting sqref="O29:S31">
    <cfRule type="cellIs" dxfId="125" priority="57" operator="notEqual">
      <formula>0</formula>
    </cfRule>
  </conditionalFormatting>
  <conditionalFormatting sqref="W29:Y31">
    <cfRule type="cellIs" dxfId="124" priority="56" operator="notEqual">
      <formula>0</formula>
    </cfRule>
  </conditionalFormatting>
  <conditionalFormatting sqref="O26:S28">
    <cfRule type="cellIs" dxfId="123" priority="55" operator="notEqual">
      <formula>0</formula>
    </cfRule>
  </conditionalFormatting>
  <conditionalFormatting sqref="W26:Y28">
    <cfRule type="cellIs" dxfId="122" priority="54" operator="notEqual">
      <formula>0</formula>
    </cfRule>
  </conditionalFormatting>
  <conditionalFormatting sqref="O23:S25">
    <cfRule type="cellIs" dxfId="121" priority="53" operator="notEqual">
      <formula>0</formula>
    </cfRule>
  </conditionalFormatting>
  <conditionalFormatting sqref="W23:Y25">
    <cfRule type="cellIs" dxfId="120" priority="52" operator="notEqual">
      <formula>0</formula>
    </cfRule>
  </conditionalFormatting>
  <conditionalFormatting sqref="O20:S22">
    <cfRule type="cellIs" dxfId="119" priority="51" operator="notEqual">
      <formula>0</formula>
    </cfRule>
  </conditionalFormatting>
  <conditionalFormatting sqref="W20:Y22">
    <cfRule type="cellIs" dxfId="118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117" priority="20" operator="notEqual">
      <formula>0</formula>
    </cfRule>
  </conditionalFormatting>
  <conditionalFormatting sqref="W17:Y19">
    <cfRule type="cellIs" dxfId="116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115" priority="16" operator="notEqual">
      <formula>0</formula>
    </cfRule>
  </conditionalFormatting>
  <conditionalFormatting sqref="W14:Y16">
    <cfRule type="cellIs" dxfId="114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113" priority="12" operator="notEqual">
      <formula>0</formula>
    </cfRule>
  </conditionalFormatting>
  <conditionalFormatting sqref="W11:Y13">
    <cfRule type="cellIs" dxfId="112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111" priority="8" operator="notEqual">
      <formula>0</formula>
    </cfRule>
  </conditionalFormatting>
  <conditionalFormatting sqref="W8:Y10">
    <cfRule type="cellIs" dxfId="110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109" priority="4" operator="notEqual">
      <formula>0</formula>
    </cfRule>
  </conditionalFormatting>
  <conditionalFormatting sqref="W5:Y7">
    <cfRule type="cellIs" dxfId="108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18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96.91</v>
      </c>
      <c r="K5" s="82">
        <f t="shared" ref="K5:K68" ca="1" si="0">100-J5</f>
        <v>3.0900000000000034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-0.54651785714284529</v>
      </c>
      <c r="U5" s="105">
        <f ca="1">T5/25*100</f>
        <v>-2.1860714285713811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96.91</v>
      </c>
      <c r="K6" s="82">
        <f t="shared" ca="1" si="0"/>
        <v>3.0900000000000034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-0.18607142857138115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96.91</v>
      </c>
      <c r="K7" s="82">
        <f t="shared" ca="1" si="0"/>
        <v>3.0900000000000034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96.95</v>
      </c>
      <c r="K8" s="82">
        <f t="shared" ca="1" si="0"/>
        <v>3.0499999999999972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-0.58651785714285154</v>
      </c>
      <c r="U8" s="105">
        <f ca="1">T8/25*100</f>
        <v>-2.3460714285714062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96.95</v>
      </c>
      <c r="K9" s="82">
        <f t="shared" ca="1" si="0"/>
        <v>3.0499999999999972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-0.34607142857140616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96.95</v>
      </c>
      <c r="K10" s="82">
        <f t="shared" ca="1" si="0"/>
        <v>3.0499999999999972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96.965000000000003</v>
      </c>
      <c r="K11" s="82">
        <f t="shared" ca="1" si="0"/>
        <v>3.0349999999999966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-0.60151785714285211</v>
      </c>
      <c r="U11" s="105">
        <f ca="1">T11/25*100</f>
        <v>-2.4060714285714084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96.965000000000003</v>
      </c>
      <c r="K12" s="82">
        <f t="shared" ca="1" si="0"/>
        <v>3.0349999999999966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-0.40607142857140843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96.965000000000003</v>
      </c>
      <c r="K13" s="82">
        <f t="shared" ca="1" si="0"/>
        <v>3.0349999999999966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96.98</v>
      </c>
      <c r="K14" s="82">
        <f t="shared" ca="1" si="0"/>
        <v>3.019999999999996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-0.61651785714285268</v>
      </c>
      <c r="U14" s="105">
        <f ca="1">T14/25*100</f>
        <v>-2.4660714285714107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96.98</v>
      </c>
      <c r="K15" s="82">
        <f t="shared" ca="1" si="0"/>
        <v>3.019999999999996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-0.46607142857141071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96.98</v>
      </c>
      <c r="K16" s="82">
        <f t="shared" ca="1" si="0"/>
        <v>3.019999999999996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96.9</v>
      </c>
      <c r="K17" s="82">
        <f t="shared" ca="1" si="0"/>
        <v>3.0999999999999943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-0.53651785714285438</v>
      </c>
      <c r="U17" s="105">
        <f ca="1">T17/25*100</f>
        <v>-2.1460714285714175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96.9</v>
      </c>
      <c r="K18" s="82">
        <f t="shared" ca="1" si="0"/>
        <v>3.0999999999999943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-0.14607142857141753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96.9</v>
      </c>
      <c r="K19" s="82">
        <f t="shared" ca="1" si="0"/>
        <v>3.0999999999999943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96.915000000000006</v>
      </c>
      <c r="K20" s="82">
        <f t="shared" ca="1" si="0"/>
        <v>3.0849999999999937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-0.55151785714285495</v>
      </c>
      <c r="U20" s="105">
        <f ca="1">T20/25*100</f>
        <v>-2.2060714285714198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96.915000000000006</v>
      </c>
      <c r="K21" s="82">
        <f t="shared" ca="1" si="0"/>
        <v>3.0849999999999937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-0.2060714285714198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96.915000000000006</v>
      </c>
      <c r="K22" s="82">
        <f t="shared" ca="1" si="0"/>
        <v>3.0849999999999937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96.935000000000002</v>
      </c>
      <c r="K23" s="82">
        <f t="shared" ca="1" si="0"/>
        <v>3.0649999999999977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-0.57151785714285097</v>
      </c>
      <c r="U23" s="105">
        <f ca="1">T23/25*100</f>
        <v>-2.2860714285714039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96.935000000000002</v>
      </c>
      <c r="K24" s="82">
        <f t="shared" ca="1" si="0"/>
        <v>3.0649999999999977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-0.28607142857140389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96.935000000000002</v>
      </c>
      <c r="K25" s="82">
        <f t="shared" ca="1" si="0"/>
        <v>3.0649999999999977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96.94</v>
      </c>
      <c r="K26" s="82">
        <f t="shared" ca="1" si="0"/>
        <v>3.0600000000000023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-0.57651785714284642</v>
      </c>
      <c r="U26" s="105">
        <f ca="1">T26/25*100</f>
        <v>-2.3060714285713857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96.94</v>
      </c>
      <c r="K27" s="82">
        <f t="shared" ca="1" si="0"/>
        <v>3.0600000000000023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-0.3060714285713857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96.94</v>
      </c>
      <c r="K28" s="82">
        <f t="shared" ca="1" si="0"/>
        <v>3.0600000000000023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96.94</v>
      </c>
      <c r="K29" s="82">
        <f t="shared" ca="1" si="0"/>
        <v>3.0600000000000023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-0.57651785714284642</v>
      </c>
      <c r="U29" s="105">
        <f ca="1">T29/25*100</f>
        <v>-2.3060714285713857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96.94</v>
      </c>
      <c r="K30" s="82">
        <f t="shared" ca="1" si="0"/>
        <v>3.0600000000000023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-0.3060714285713857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96.94</v>
      </c>
      <c r="K31" s="82">
        <f t="shared" ca="1" si="0"/>
        <v>3.0600000000000023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96.95</v>
      </c>
      <c r="K32" s="82">
        <f t="shared" ca="1" si="0"/>
        <v>3.0499999999999972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-0.58651785714285154</v>
      </c>
      <c r="U32" s="105">
        <f ca="1">T32/25*100</f>
        <v>-2.3460714285714062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96.95</v>
      </c>
      <c r="K33" s="82">
        <f t="shared" ca="1" si="0"/>
        <v>3.0499999999999972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-0.34607142857140616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96.95</v>
      </c>
      <c r="K34" s="82">
        <f t="shared" ca="1" si="0"/>
        <v>3.0499999999999972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96.94</v>
      </c>
      <c r="K35" s="82">
        <f t="shared" ca="1" si="0"/>
        <v>3.0600000000000023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-0.57651785714284642</v>
      </c>
      <c r="U35" s="105">
        <f ca="1">T35/25*100</f>
        <v>-2.3060714285713857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96.94</v>
      </c>
      <c r="K36" s="82">
        <f t="shared" ca="1" si="0"/>
        <v>3.0600000000000023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-0.3060714285713857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96.94</v>
      </c>
      <c r="K37" s="82">
        <f t="shared" ca="1" si="0"/>
        <v>3.0600000000000023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96.96</v>
      </c>
      <c r="K38" s="82">
        <f t="shared" ca="1" si="0"/>
        <v>3.0400000000000063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-0.59651785714284244</v>
      </c>
      <c r="U38" s="105">
        <f ca="1">T38/25*100</f>
        <v>-2.3860714285713698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96.96</v>
      </c>
      <c r="K39" s="82">
        <f t="shared" ca="1" si="0"/>
        <v>3.0400000000000063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-0.38607142857136978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96.96</v>
      </c>
      <c r="K40" s="82">
        <f t="shared" ca="1" si="0"/>
        <v>3.0400000000000063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96.97</v>
      </c>
      <c r="K41" s="82">
        <f t="shared" ca="1" si="0"/>
        <v>3.0300000000000011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-0.60651785714284756</v>
      </c>
      <c r="U41" s="105">
        <f ca="1">T41/25*100</f>
        <v>-2.4260714285713902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96.97</v>
      </c>
      <c r="K42" s="82">
        <f t="shared" ca="1" si="0"/>
        <v>3.0300000000000011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-0.42607142857139024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96.97</v>
      </c>
      <c r="K43" s="82">
        <f t="shared" ca="1" si="0"/>
        <v>3.0300000000000011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96.97</v>
      </c>
      <c r="K44" s="82">
        <f t="shared" ca="1" si="0"/>
        <v>3.0300000000000011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-0.60651785714284756</v>
      </c>
      <c r="U44" s="105">
        <f ca="1">T44/25*100</f>
        <v>-2.4260714285713902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96.97</v>
      </c>
      <c r="K45" s="82">
        <f t="shared" ca="1" si="0"/>
        <v>3.0300000000000011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-0.42607142857139024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96.97</v>
      </c>
      <c r="K46" s="82">
        <f t="shared" ca="1" si="0"/>
        <v>3.0300000000000011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96.965000000000003</v>
      </c>
      <c r="K47" s="82">
        <f t="shared" ca="1" si="0"/>
        <v>3.0349999999999966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-0.60151785714285211</v>
      </c>
      <c r="U47" s="105">
        <f ca="1">T47/25*100</f>
        <v>-2.4060714285714084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96.965000000000003</v>
      </c>
      <c r="K48" s="82">
        <f t="shared" ca="1" si="0"/>
        <v>3.0349999999999966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-0.40607142857140843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96.965000000000003</v>
      </c>
      <c r="K49" s="82">
        <f t="shared" ca="1" si="0"/>
        <v>3.0349999999999966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96.965000000000003</v>
      </c>
      <c r="K50" s="82">
        <f t="shared" ca="1" si="0"/>
        <v>3.0349999999999966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-0.60151785714285211</v>
      </c>
      <c r="U50" s="105">
        <f ca="1">T50/25*100</f>
        <v>-2.4060714285714084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96.965000000000003</v>
      </c>
      <c r="K51" s="82">
        <f t="shared" ca="1" si="0"/>
        <v>3.0349999999999966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-0.40607142857140843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96.965000000000003</v>
      </c>
      <c r="K52" s="82">
        <f t="shared" ca="1" si="0"/>
        <v>3.0349999999999966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96.965000000000003</v>
      </c>
      <c r="K53" s="82">
        <f t="shared" ca="1" si="0"/>
        <v>3.0349999999999966</v>
      </c>
      <c r="L53" s="82">
        <f ca="1">K53-K55</f>
        <v>-4.0000000000006253E-2</v>
      </c>
      <c r="M53" s="105">
        <f ca="1">L53/25*100</f>
        <v>-0.16000000000002501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-0.60151785714285211</v>
      </c>
      <c r="U53" s="105">
        <f ca="1">T53/25*100</f>
        <v>-2.4060714285714084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96.954999999999998</v>
      </c>
      <c r="K54" s="82">
        <f t="shared" ca="1" si="0"/>
        <v>3.0450000000000017</v>
      </c>
      <c r="L54" s="96"/>
      <c r="M54" s="109"/>
      <c r="N54" s="97">
        <f ca="1">IF(M53&gt;0,MOD(M53,1),MOD(M53,-1))</f>
        <v>-0.16000000000002501</v>
      </c>
      <c r="O54" s="98">
        <f ca="1">IF(N53=-2,1-ABS(N54),IF(N53=-1,ABS(N54),0))</f>
        <v>0</v>
      </c>
      <c r="P54" s="98">
        <f ca="1">IF(N53=-1,1-ABS(N54),IF(N53=0,IF(N54&lt;0,ABS(N54),0),0))</f>
        <v>0.16000000000002501</v>
      </c>
      <c r="Q54" s="98">
        <f ca="1">IF(N53=0,1-ABS(N54),0)</f>
        <v>0.83999999999997499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-0.40607142857140843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96.924999999999997</v>
      </c>
      <c r="K55" s="82">
        <f t="shared" ca="1" si="0"/>
        <v>3.0750000000000028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96.924999999999997</v>
      </c>
      <c r="K56" s="82">
        <f t="shared" ca="1" si="0"/>
        <v>3.0750000000000028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-0.56151785714284586</v>
      </c>
      <c r="U56" s="105">
        <f ca="1">T56/25*100</f>
        <v>-2.2460714285713834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96.924999999999997</v>
      </c>
      <c r="K57" s="82">
        <f t="shared" ca="1" si="0"/>
        <v>3.0750000000000028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-0.24607142857138342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96.924999999999997</v>
      </c>
      <c r="K58" s="82">
        <f t="shared" ca="1" si="0"/>
        <v>3.0750000000000028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96.924999999999997</v>
      </c>
      <c r="K59" s="82">
        <f t="shared" ca="1" si="0"/>
        <v>3.0750000000000028</v>
      </c>
      <c r="L59" s="82">
        <f ca="1">K59-K61</f>
        <v>-4.4285714285692279E-2</v>
      </c>
      <c r="M59" s="105">
        <f ca="1">L59/25*100</f>
        <v>-0.17714285714276912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-0.56151785714284586</v>
      </c>
      <c r="U59" s="105">
        <f ca="1">T59/25*100</f>
        <v>-2.2460714285713834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96.885000000000005</v>
      </c>
      <c r="K60" s="82">
        <f t="shared" ca="1" si="0"/>
        <v>3.1149999999999949</v>
      </c>
      <c r="L60" s="96"/>
      <c r="M60" s="109"/>
      <c r="N60" s="97">
        <f ca="1">IF(M59&gt;0,MOD(M59,1),MOD(M59,-1))</f>
        <v>-0.17714285714276912</v>
      </c>
      <c r="O60" s="98">
        <f ca="1">IF(N59=-2,1-ABS(N60),IF(N59=-1,ABS(N60),0))</f>
        <v>0</v>
      </c>
      <c r="P60" s="98">
        <f ca="1">IF(N59=-1,1-ABS(N60),IF(N59=0,IF(N60&lt;0,ABS(N60),0),0))</f>
        <v>0.17714285714276912</v>
      </c>
      <c r="Q60" s="98">
        <f ca="1">IF(N59=0,1-ABS(N60),0)</f>
        <v>0.82285714285723088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-0.24607142857138342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96.880714285714305</v>
      </c>
      <c r="K61" s="82">
        <f t="shared" ca="1" si="0"/>
        <v>3.1192857142856951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96.880714285714262</v>
      </c>
      <c r="K62" s="82">
        <f t="shared" ca="1" si="0"/>
        <v>3.1192857142857378</v>
      </c>
      <c r="L62" s="82">
        <f ca="1">K62-K64</f>
        <v>-8.5714285714260541E-2</v>
      </c>
      <c r="M62" s="105">
        <f ca="1">L62/25*100</f>
        <v>-0.34285714285704216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-0.51723214285711094</v>
      </c>
      <c r="U62" s="105">
        <f ca="1">T62/25*100</f>
        <v>-2.0689285714284438</v>
      </c>
      <c r="V62" s="90">
        <f ca="1">TRUNC(U62,0)/1</f>
        <v>-2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96.834999999999994</v>
      </c>
      <c r="K63" s="82">
        <f t="shared" ca="1" si="0"/>
        <v>3.1650000000000063</v>
      </c>
      <c r="L63" s="96"/>
      <c r="M63" s="109"/>
      <c r="N63" s="97">
        <f ca="1">IF(M62&gt;0,MOD(M62,1),MOD(M62,-1))</f>
        <v>-0.34285714285704216</v>
      </c>
      <c r="O63" s="98">
        <f ca="1">IF(N62=-2,1-ABS(N63),IF(N62=-1,ABS(N63),0))</f>
        <v>0</v>
      </c>
      <c r="P63" s="98">
        <f ca="1">IF(N62=-1,1-ABS(N63),IF(N62=0,IF(N63&lt;0,ABS(N63),0),0))</f>
        <v>0.34285714285704216</v>
      </c>
      <c r="Q63" s="98">
        <f ca="1">IF(N62=0,1-ABS(N63),0)</f>
        <v>0.65714285714295784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-6.8928571428443774E-2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96.795000000000002</v>
      </c>
      <c r="K64" s="82">
        <f t="shared" ca="1" si="0"/>
        <v>3.2049999999999983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96.795000000000002</v>
      </c>
      <c r="K65" s="82">
        <f t="shared" ca="1" si="0"/>
        <v>3.2049999999999983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-0.4315178571428504</v>
      </c>
      <c r="U65" s="105">
        <f ca="1">T65/25*100</f>
        <v>-1.7260714285714014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96.795000000000002</v>
      </c>
      <c r="K66" s="82">
        <f t="shared" ca="1" si="0"/>
        <v>3.2049999999999983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-0.72607142857140139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96.795000000000002</v>
      </c>
      <c r="K67" s="82">
        <f t="shared" ca="1" si="0"/>
        <v>3.2049999999999983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96.795000000000002</v>
      </c>
      <c r="K68" s="82">
        <f t="shared" ca="1" si="0"/>
        <v>3.2049999999999983</v>
      </c>
      <c r="L68" s="82">
        <f ca="1">K68-K70</f>
        <v>-8.0172413793107467E-2</v>
      </c>
      <c r="M68" s="105">
        <f ca="1">L68/25*100</f>
        <v>-0.32068965517242987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-0.4315178571428504</v>
      </c>
      <c r="U68" s="105">
        <f ca="1">T68/25*100</f>
        <v>-1.7260714285714014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96.72</v>
      </c>
      <c r="K69" s="82">
        <f t="shared" ref="K69:K87" ca="1" si="1">100-J69</f>
        <v>3.2800000000000011</v>
      </c>
      <c r="L69" s="96"/>
      <c r="M69" s="109"/>
      <c r="N69" s="97">
        <f ca="1">IF(M68&gt;0,MOD(M68,1),MOD(M68,-1))</f>
        <v>-0.32068965517242987</v>
      </c>
      <c r="O69" s="98">
        <f ca="1">IF(N68=-2,1-ABS(N69),IF(N68=-1,ABS(N69),0))</f>
        <v>0</v>
      </c>
      <c r="P69" s="98">
        <f ca="1">IF(N68=-1,1-ABS(N69),IF(N68=0,IF(N69&lt;0,ABS(N69),0),0))</f>
        <v>0.32068965517242987</v>
      </c>
      <c r="Q69" s="98">
        <f ca="1">IF(N68=0,1-ABS(N69),0)</f>
        <v>0.67931034482757013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-0.72607142857140139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96.714827586206894</v>
      </c>
      <c r="K70" s="82">
        <f t="shared" ca="1" si="1"/>
        <v>3.2851724137931058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96.720000000000027</v>
      </c>
      <c r="K71" s="82">
        <f t="shared" ca="1" si="1"/>
        <v>3.2799999999999727</v>
      </c>
      <c r="L71" s="82">
        <f ca="1">K71-K73</f>
        <v>-0.15000000000003411</v>
      </c>
      <c r="M71" s="105">
        <f ca="1">L71/25*100</f>
        <v>-0.60000000000013642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-0.35651785714287598</v>
      </c>
      <c r="U71" s="105">
        <f ca="1">T71/25*100</f>
        <v>-1.4260714285715039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96.635000000000005</v>
      </c>
      <c r="K72" s="82">
        <f t="shared" ca="1" si="1"/>
        <v>3.3649999999999949</v>
      </c>
      <c r="L72" s="96"/>
      <c r="M72" s="109"/>
      <c r="N72" s="97">
        <f ca="1">IF(M71&gt;0,MOD(M71,1),MOD(M71,-1))</f>
        <v>-0.60000000000013642</v>
      </c>
      <c r="O72" s="98">
        <f ca="1">IF(N71=-2,1-ABS(N72),IF(N71=-1,ABS(N72),0))</f>
        <v>0</v>
      </c>
      <c r="P72" s="98">
        <f ca="1">IF(N71=-1,1-ABS(N72),IF(N71=0,IF(N72&lt;0,ABS(N72),0),0))</f>
        <v>0.60000000000013642</v>
      </c>
      <c r="Q72" s="98">
        <f ca="1">IF(N71=0,1-ABS(N72),0)</f>
        <v>0.39999999999986358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-0.42607142857150393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96.57</v>
      </c>
      <c r="K73" s="82">
        <f t="shared" ca="1" si="1"/>
        <v>3.4300000000000068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96.57</v>
      </c>
      <c r="K74" s="82">
        <f t="shared" ca="1" si="1"/>
        <v>3.4300000000000068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-0.20651785714284188</v>
      </c>
      <c r="U74" s="105">
        <f ca="1">T74/25*100</f>
        <v>-0.82607142857136751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96.57</v>
      </c>
      <c r="K75" s="82">
        <f t="shared" ca="1" si="1"/>
        <v>3.4300000000000068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-0.82607142857136751</v>
      </c>
      <c r="W75" s="99">
        <f ca="1">IF(V74&lt;0,100%,IF(V75&lt;0,ABS(V75),0))</f>
        <v>0.82607142857136751</v>
      </c>
      <c r="X75" s="100">
        <f ca="1">IF(V74=0,1-ABS(V75),0)</f>
        <v>0.17392857142863249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96.57</v>
      </c>
      <c r="K76" s="82">
        <f t="shared" ca="1" si="1"/>
        <v>3.4300000000000068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96.57</v>
      </c>
      <c r="K77" s="82">
        <f t="shared" ca="1" si="1"/>
        <v>3.4300000000000068</v>
      </c>
      <c r="L77" s="82">
        <f ca="1">K77-K79</f>
        <v>-6.206896551722707E-2</v>
      </c>
      <c r="M77" s="105">
        <f ca="1">L77/25*100</f>
        <v>-0.24827586206890828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-0.20651785714284188</v>
      </c>
      <c r="U77" s="105">
        <f ca="1">T77/25*100</f>
        <v>-0.82607142857136751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</v>
      </c>
      <c r="K78" s="82">
        <f t="shared" ca="1" si="1"/>
        <v>3.4899999999999949</v>
      </c>
      <c r="L78" s="96"/>
      <c r="M78" s="109"/>
      <c r="N78" s="97">
        <f ca="1">IF(M77&gt;0,MOD(M77,1),MOD(M77,-1))</f>
        <v>-0.24827586206890828</v>
      </c>
      <c r="O78" s="98">
        <f ca="1">IF(N77=-2,1-ABS(N78),IF(N77=-1,ABS(N78),0))</f>
        <v>0</v>
      </c>
      <c r="P78" s="98">
        <f ca="1">IF(N77=-1,1-ABS(N78),IF(N77=0,IF(N78&lt;0,ABS(N78),0),0))</f>
        <v>0.24827586206890828</v>
      </c>
      <c r="Q78" s="98">
        <f ca="1">IF(N77=0,1-ABS(N78),0)</f>
        <v>0.75172413793109172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-0.82607142857136751</v>
      </c>
      <c r="W78" s="99">
        <f ca="1">IF(V77&lt;0,100%,IF(V78&lt;0,ABS(V78),0))</f>
        <v>0.82607142857136751</v>
      </c>
      <c r="X78" s="100">
        <f ca="1">IF(V77=0,1-ABS(V78),0)</f>
        <v>0.17392857142863249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96.507931034482766</v>
      </c>
      <c r="K79" s="82">
        <f t="shared" ca="1" si="1"/>
        <v>3.4920689655172339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96.488461538461507</v>
      </c>
      <c r="K80" s="82">
        <f t="shared" ca="1" si="1"/>
        <v>3.5115384615384926</v>
      </c>
      <c r="L80" s="82">
        <f ca="1">K80-K82</f>
        <v>-8.3461538461506279E-2</v>
      </c>
      <c r="M80" s="105">
        <f ca="1">L80/25*100</f>
        <v>-0.33384615384602512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-0.12497939560435611</v>
      </c>
      <c r="U80" s="105">
        <f ca="1">T80/25*100</f>
        <v>-0.49991758241742446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</v>
      </c>
      <c r="K81" s="82">
        <f t="shared" ca="1" si="1"/>
        <v>3.5600000000000023</v>
      </c>
      <c r="L81" s="96"/>
      <c r="M81" s="109"/>
      <c r="N81" s="97">
        <f ca="1">IF(M80&gt;0,MOD(M80,1),MOD(M80,-1))</f>
        <v>-0.33384615384602512</v>
      </c>
      <c r="O81" s="98">
        <f ca="1">IF(N80=-2,1-ABS(N81),IF(N80=-1,ABS(N81),0))</f>
        <v>0</v>
      </c>
      <c r="P81" s="98">
        <f ca="1">IF(N80=-1,1-ABS(N81),IF(N80=0,IF(N81&lt;0,ABS(N81),0),0))</f>
        <v>0.33384615384602512</v>
      </c>
      <c r="Q81" s="98">
        <f ca="1">IF(N80=0,1-ABS(N81),0)</f>
        <v>0.66615384615397488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-0.49991758241742446</v>
      </c>
      <c r="W81" s="99">
        <f ca="1">IF(V80&lt;0,100%,IF(V81&lt;0,ABS(V81),0))</f>
        <v>0.49991758241742446</v>
      </c>
      <c r="X81" s="100">
        <f ca="1">IF(V80=0,1-ABS(V81),0)</f>
        <v>0.50008241758257554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-4.1517857142849834E-2</v>
      </c>
      <c r="U83" s="105">
        <f ca="1">T83/25*100</f>
        <v>-0.16607142857139934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-0.16607142857139934</v>
      </c>
      <c r="W84" s="99">
        <f ca="1">IF(V83&lt;0,100%,IF(V84&lt;0,ABS(V84),0))</f>
        <v>0.16607142857139934</v>
      </c>
      <c r="X84" s="100">
        <f ca="1">IF(V83=0,1-ABS(V84),0)</f>
        <v>0.83392857142860066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-4.1517857142849834E-2</v>
      </c>
      <c r="M86" s="105">
        <f ca="1">L86/25*100</f>
        <v>-0.16607142857139934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-4.1517857142849834E-2</v>
      </c>
      <c r="U86" s="105">
        <f ca="1">T86/25*100</f>
        <v>-0.16607142857139934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96.367500000000007</v>
      </c>
      <c r="K87" s="82">
        <f t="shared" ca="1" si="1"/>
        <v>3.6324999999999932</v>
      </c>
      <c r="L87" s="102"/>
      <c r="M87" s="110"/>
      <c r="N87" s="97">
        <f ca="1">IF(M86&gt;0,MOD(M86,1),MOD(M86,-1))</f>
        <v>-0.16607142857139934</v>
      </c>
      <c r="O87" s="98">
        <f ca="1">IF(N86=-2,1-ABS(N87),IF(N86=-1,ABS(N87),0))</f>
        <v>0</v>
      </c>
      <c r="P87" s="98">
        <f ca="1">IF(N86=-1,1-ABS(N87),IF(N86=0,IF(N87&lt;0,ABS(N87),0),0))</f>
        <v>0.16607142857139934</v>
      </c>
      <c r="Q87" s="98">
        <f ca="1">IF(N86=0,1-ABS(N87),0)</f>
        <v>0.83392857142860066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-0.16607142857139934</v>
      </c>
      <c r="W87" s="99">
        <f ca="1">IF(V86&lt;0,100%,IF(V87&lt;0,ABS(V87),0))</f>
        <v>0.16607142857139934</v>
      </c>
      <c r="X87" s="100">
        <f ca="1">IF(V86=0,1-ABS(V87),0)</f>
        <v>0.83392857142860066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96.363482142857151</v>
      </c>
      <c r="K88" s="82">
        <f ca="1">100-J88</f>
        <v>3.6365178571428487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107" priority="139" operator="notEqual">
      <formula>0</formula>
    </cfRule>
  </conditionalFormatting>
  <conditionalFormatting sqref="W53:Y88">
    <cfRule type="cellIs" dxfId="106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105" priority="133" operator="notEqual">
      <formula>0</formula>
    </cfRule>
  </conditionalFormatting>
  <conditionalFormatting sqref="W89:Y91">
    <cfRule type="cellIs" dxfId="104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103" priority="71" operator="notEqual">
      <formula>0</formula>
    </cfRule>
  </conditionalFormatting>
  <conditionalFormatting sqref="W50:Y52">
    <cfRule type="cellIs" dxfId="102" priority="70" operator="notEqual">
      <formula>0</formula>
    </cfRule>
  </conditionalFormatting>
  <conditionalFormatting sqref="O47:S49">
    <cfRule type="cellIs" dxfId="101" priority="69" operator="notEqual">
      <formula>0</formula>
    </cfRule>
  </conditionalFormatting>
  <conditionalFormatting sqref="W47:Y49">
    <cfRule type="cellIs" dxfId="100" priority="68" operator="notEqual">
      <formula>0</formula>
    </cfRule>
  </conditionalFormatting>
  <conditionalFormatting sqref="O44:S46">
    <cfRule type="cellIs" dxfId="99" priority="67" operator="notEqual">
      <formula>0</formula>
    </cfRule>
  </conditionalFormatting>
  <conditionalFormatting sqref="W44:Y46">
    <cfRule type="cellIs" dxfId="98" priority="66" operator="notEqual">
      <formula>0</formula>
    </cfRule>
  </conditionalFormatting>
  <conditionalFormatting sqref="O41:S43">
    <cfRule type="cellIs" dxfId="97" priority="65" operator="notEqual">
      <formula>0</formula>
    </cfRule>
  </conditionalFormatting>
  <conditionalFormatting sqref="W41:Y43">
    <cfRule type="cellIs" dxfId="96" priority="64" operator="notEqual">
      <formula>0</formula>
    </cfRule>
  </conditionalFormatting>
  <conditionalFormatting sqref="O38:S40">
    <cfRule type="cellIs" dxfId="95" priority="63" operator="notEqual">
      <formula>0</formula>
    </cfRule>
  </conditionalFormatting>
  <conditionalFormatting sqref="W38:Y40">
    <cfRule type="cellIs" dxfId="94" priority="62" operator="notEqual">
      <formula>0</formula>
    </cfRule>
  </conditionalFormatting>
  <conditionalFormatting sqref="O35:S37">
    <cfRule type="cellIs" dxfId="93" priority="61" operator="notEqual">
      <formula>0</formula>
    </cfRule>
  </conditionalFormatting>
  <conditionalFormatting sqref="W35:Y37">
    <cfRule type="cellIs" dxfId="92" priority="60" operator="notEqual">
      <formula>0</formula>
    </cfRule>
  </conditionalFormatting>
  <conditionalFormatting sqref="O32:S34">
    <cfRule type="cellIs" dxfId="91" priority="59" operator="notEqual">
      <formula>0</formula>
    </cfRule>
  </conditionalFormatting>
  <conditionalFormatting sqref="W32:Y34">
    <cfRule type="cellIs" dxfId="90" priority="58" operator="notEqual">
      <formula>0</formula>
    </cfRule>
  </conditionalFormatting>
  <conditionalFormatting sqref="O29:S31">
    <cfRule type="cellIs" dxfId="89" priority="57" operator="notEqual">
      <formula>0</formula>
    </cfRule>
  </conditionalFormatting>
  <conditionalFormatting sqref="W29:Y31">
    <cfRule type="cellIs" dxfId="88" priority="56" operator="notEqual">
      <formula>0</formula>
    </cfRule>
  </conditionalFormatting>
  <conditionalFormatting sqref="O26:S28">
    <cfRule type="cellIs" dxfId="87" priority="55" operator="notEqual">
      <formula>0</formula>
    </cfRule>
  </conditionalFormatting>
  <conditionalFormatting sqref="W26:Y28">
    <cfRule type="cellIs" dxfId="86" priority="54" operator="notEqual">
      <formula>0</formula>
    </cfRule>
  </conditionalFormatting>
  <conditionalFormatting sqref="O23:S25">
    <cfRule type="cellIs" dxfId="85" priority="53" operator="notEqual">
      <formula>0</formula>
    </cfRule>
  </conditionalFormatting>
  <conditionalFormatting sqref="W23:Y25">
    <cfRule type="cellIs" dxfId="84" priority="52" operator="notEqual">
      <formula>0</formula>
    </cfRule>
  </conditionalFormatting>
  <conditionalFormatting sqref="O20:S22">
    <cfRule type="cellIs" dxfId="83" priority="51" operator="notEqual">
      <formula>0</formula>
    </cfRule>
  </conditionalFormatting>
  <conditionalFormatting sqref="W20:Y22">
    <cfRule type="cellIs" dxfId="82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81" priority="20" operator="notEqual">
      <formula>0</formula>
    </cfRule>
  </conditionalFormatting>
  <conditionalFormatting sqref="W17:Y19">
    <cfRule type="cellIs" dxfId="80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79" priority="16" operator="notEqual">
      <formula>0</formula>
    </cfRule>
  </conditionalFormatting>
  <conditionalFormatting sqref="W14:Y16">
    <cfRule type="cellIs" dxfId="78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77" priority="12" operator="notEqual">
      <formula>0</formula>
    </cfRule>
  </conditionalFormatting>
  <conditionalFormatting sqref="W11:Y13">
    <cfRule type="cellIs" dxfId="76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75" priority="8" operator="notEqual">
      <formula>0</formula>
    </cfRule>
  </conditionalFormatting>
  <conditionalFormatting sqref="W8:Y10">
    <cfRule type="cellIs" dxfId="74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73" priority="4" operator="notEqual">
      <formula>0</formula>
    </cfRule>
  </conditionalFormatting>
  <conditionalFormatting sqref="W5:Y7">
    <cfRule type="cellIs" dxfId="72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19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96.91</v>
      </c>
      <c r="K5" s="82">
        <f t="shared" ref="K5:K68" ca="1" si="0">100-J5</f>
        <v>3.0900000000000034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-0.54651785714284529</v>
      </c>
      <c r="U5" s="105">
        <f ca="1">T5/25*100</f>
        <v>-2.1860714285713811</v>
      </c>
      <c r="V5" s="90">
        <f ca="1">TRUNC(U5,0)/1</f>
        <v>-2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96.91</v>
      </c>
      <c r="K6" s="82">
        <f t="shared" ca="1" si="0"/>
        <v>3.0900000000000034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-0.18607142857138115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96.91</v>
      </c>
      <c r="K7" s="82">
        <f t="shared" ca="1" si="0"/>
        <v>3.0900000000000034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96.95</v>
      </c>
      <c r="K8" s="82">
        <f t="shared" ca="1" si="0"/>
        <v>3.0499999999999972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-0.58651785714285154</v>
      </c>
      <c r="U8" s="105">
        <f ca="1">T8/25*100</f>
        <v>-2.3460714285714062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96.95</v>
      </c>
      <c r="K9" s="82">
        <f t="shared" ca="1" si="0"/>
        <v>3.0499999999999972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-0.34607142857140616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96.95</v>
      </c>
      <c r="K10" s="82">
        <f t="shared" ca="1" si="0"/>
        <v>3.0499999999999972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96.965000000000003</v>
      </c>
      <c r="K11" s="82">
        <f t="shared" ca="1" si="0"/>
        <v>3.0349999999999966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-0.60151785714285211</v>
      </c>
      <c r="U11" s="105">
        <f ca="1">T11/25*100</f>
        <v>-2.4060714285714084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96.965000000000003</v>
      </c>
      <c r="K12" s="82">
        <f t="shared" ca="1" si="0"/>
        <v>3.0349999999999966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-0.40607142857140843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96.965000000000003</v>
      </c>
      <c r="K13" s="82">
        <f t="shared" ca="1" si="0"/>
        <v>3.0349999999999966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96.98</v>
      </c>
      <c r="K14" s="82">
        <f t="shared" ca="1" si="0"/>
        <v>3.019999999999996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-0.61651785714285268</v>
      </c>
      <c r="U14" s="105">
        <f ca="1">T14/25*100</f>
        <v>-2.4660714285714107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96.98</v>
      </c>
      <c r="K15" s="82">
        <f t="shared" ca="1" si="0"/>
        <v>3.019999999999996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-0.46607142857141071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96.98</v>
      </c>
      <c r="K16" s="82">
        <f t="shared" ca="1" si="0"/>
        <v>3.019999999999996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96.9</v>
      </c>
      <c r="K17" s="82">
        <f t="shared" ca="1" si="0"/>
        <v>3.0999999999999943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-0.53651785714285438</v>
      </c>
      <c r="U17" s="105">
        <f ca="1">T17/25*100</f>
        <v>-2.1460714285714175</v>
      </c>
      <c r="V17" s="90">
        <f ca="1">TRUNC(U17,0)/1</f>
        <v>-2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96.9</v>
      </c>
      <c r="K18" s="82">
        <f t="shared" ca="1" si="0"/>
        <v>3.0999999999999943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-0.14607142857141753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96.9</v>
      </c>
      <c r="K19" s="82">
        <f t="shared" ca="1" si="0"/>
        <v>3.0999999999999943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96.915000000000006</v>
      </c>
      <c r="K20" s="82">
        <f t="shared" ca="1" si="0"/>
        <v>3.0849999999999937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-0.55151785714285495</v>
      </c>
      <c r="U20" s="105">
        <f ca="1">T20/25*100</f>
        <v>-2.2060714285714198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96.915000000000006</v>
      </c>
      <c r="K21" s="82">
        <f t="shared" ca="1" si="0"/>
        <v>3.0849999999999937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-0.2060714285714198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96.915000000000006</v>
      </c>
      <c r="K22" s="82">
        <f t="shared" ca="1" si="0"/>
        <v>3.0849999999999937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96.935000000000002</v>
      </c>
      <c r="K23" s="82">
        <f t="shared" ca="1" si="0"/>
        <v>3.0649999999999977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-0.57151785714285097</v>
      </c>
      <c r="U23" s="105">
        <f ca="1">T23/25*100</f>
        <v>-2.2860714285714039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96.935000000000002</v>
      </c>
      <c r="K24" s="82">
        <f t="shared" ca="1" si="0"/>
        <v>3.0649999999999977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-0.28607142857140389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96.935000000000002</v>
      </c>
      <c r="K25" s="82">
        <f t="shared" ca="1" si="0"/>
        <v>3.0649999999999977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96.94</v>
      </c>
      <c r="K26" s="82">
        <f t="shared" ca="1" si="0"/>
        <v>3.0600000000000023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-0.57651785714284642</v>
      </c>
      <c r="U26" s="105">
        <f ca="1">T26/25*100</f>
        <v>-2.3060714285713857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96.94</v>
      </c>
      <c r="K27" s="82">
        <f t="shared" ca="1" si="0"/>
        <v>3.0600000000000023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-0.3060714285713857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96.94</v>
      </c>
      <c r="K28" s="82">
        <f t="shared" ca="1" si="0"/>
        <v>3.0600000000000023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96.94</v>
      </c>
      <c r="K29" s="82">
        <f t="shared" ca="1" si="0"/>
        <v>3.0600000000000023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-0.57651785714284642</v>
      </c>
      <c r="U29" s="105">
        <f ca="1">T29/25*100</f>
        <v>-2.3060714285713857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96.94</v>
      </c>
      <c r="K30" s="82">
        <f t="shared" ca="1" si="0"/>
        <v>3.0600000000000023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-0.3060714285713857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96.94</v>
      </c>
      <c r="K31" s="82">
        <f t="shared" ca="1" si="0"/>
        <v>3.0600000000000023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96.95</v>
      </c>
      <c r="K32" s="82">
        <f t="shared" ca="1" si="0"/>
        <v>3.0499999999999972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-0.58651785714285154</v>
      </c>
      <c r="U32" s="105">
        <f ca="1">T32/25*100</f>
        <v>-2.3460714285714062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96.95</v>
      </c>
      <c r="K33" s="82">
        <f t="shared" ca="1" si="0"/>
        <v>3.0499999999999972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-0.34607142857140616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96.95</v>
      </c>
      <c r="K34" s="82">
        <f t="shared" ca="1" si="0"/>
        <v>3.0499999999999972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96.94</v>
      </c>
      <c r="K35" s="82">
        <f t="shared" ca="1" si="0"/>
        <v>3.0600000000000023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-0.57651785714284642</v>
      </c>
      <c r="U35" s="105">
        <f ca="1">T35/25*100</f>
        <v>-2.3060714285713857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96.94</v>
      </c>
      <c r="K36" s="82">
        <f t="shared" ca="1" si="0"/>
        <v>3.0600000000000023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-0.3060714285713857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96.94</v>
      </c>
      <c r="K37" s="82">
        <f t="shared" ca="1" si="0"/>
        <v>3.0600000000000023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96.96</v>
      </c>
      <c r="K38" s="82">
        <f t="shared" ca="1" si="0"/>
        <v>3.0400000000000063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-0.59651785714284244</v>
      </c>
      <c r="U38" s="105">
        <f ca="1">T38/25*100</f>
        <v>-2.3860714285713698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96.96</v>
      </c>
      <c r="K39" s="82">
        <f t="shared" ca="1" si="0"/>
        <v>3.0400000000000063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-0.38607142857136978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96.96</v>
      </c>
      <c r="K40" s="82">
        <f t="shared" ca="1" si="0"/>
        <v>3.0400000000000063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96.97</v>
      </c>
      <c r="K41" s="82">
        <f t="shared" ca="1" si="0"/>
        <v>3.0300000000000011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-0.60651785714284756</v>
      </c>
      <c r="U41" s="105">
        <f ca="1">T41/25*100</f>
        <v>-2.4260714285713902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96.97</v>
      </c>
      <c r="K42" s="82">
        <f t="shared" ca="1" si="0"/>
        <v>3.0300000000000011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-0.42607142857139024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96.97</v>
      </c>
      <c r="K43" s="82">
        <f t="shared" ca="1" si="0"/>
        <v>3.0300000000000011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96.97</v>
      </c>
      <c r="K44" s="82">
        <f t="shared" ca="1" si="0"/>
        <v>3.0300000000000011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-0.60651785714284756</v>
      </c>
      <c r="U44" s="105">
        <f ca="1">T44/25*100</f>
        <v>-2.4260714285713902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96.97</v>
      </c>
      <c r="K45" s="82">
        <f t="shared" ca="1" si="0"/>
        <v>3.0300000000000011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-0.42607142857139024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96.97</v>
      </c>
      <c r="K46" s="82">
        <f t="shared" ca="1" si="0"/>
        <v>3.0300000000000011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96.965000000000003</v>
      </c>
      <c r="K47" s="82">
        <f t="shared" ca="1" si="0"/>
        <v>3.0349999999999966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-0.60151785714285211</v>
      </c>
      <c r="U47" s="105">
        <f ca="1">T47/25*100</f>
        <v>-2.4060714285714084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96.965000000000003</v>
      </c>
      <c r="K48" s="82">
        <f t="shared" ca="1" si="0"/>
        <v>3.0349999999999966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-0.40607142857140843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96.965000000000003</v>
      </c>
      <c r="K49" s="82">
        <f t="shared" ca="1" si="0"/>
        <v>3.0349999999999966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96.965000000000003</v>
      </c>
      <c r="K50" s="82">
        <f t="shared" ca="1" si="0"/>
        <v>3.0349999999999966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-0.60151785714285211</v>
      </c>
      <c r="U50" s="105">
        <f ca="1">T50/25*100</f>
        <v>-2.4060714285714084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96.965000000000003</v>
      </c>
      <c r="K51" s="82">
        <f t="shared" ca="1" si="0"/>
        <v>3.0349999999999966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-0.40607142857140843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96.965000000000003</v>
      </c>
      <c r="K52" s="82">
        <f t="shared" ca="1" si="0"/>
        <v>3.0349999999999966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96.965000000000003</v>
      </c>
      <c r="K53" s="82">
        <f t="shared" ca="1" si="0"/>
        <v>3.0349999999999966</v>
      </c>
      <c r="L53" s="82">
        <f ca="1">K53-K55</f>
        <v>-3.4999999999996589E-2</v>
      </c>
      <c r="M53" s="105">
        <f ca="1">L53/25*100</f>
        <v>-0.13999999999998636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-0.60151785714285211</v>
      </c>
      <c r="U53" s="105">
        <f ca="1">T53/25*100</f>
        <v>-2.4060714285714084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96.954999999999998</v>
      </c>
      <c r="K54" s="82">
        <f t="shared" ca="1" si="0"/>
        <v>3.0450000000000017</v>
      </c>
      <c r="L54" s="96"/>
      <c r="M54" s="109"/>
      <c r="N54" s="97">
        <f ca="1">IF(M53&gt;0,MOD(M53,1),MOD(M53,-1))</f>
        <v>-0.13999999999998636</v>
      </c>
      <c r="O54" s="98">
        <f ca="1">IF(N53=-2,1-ABS(N54),IF(N53=-1,ABS(N54),0))</f>
        <v>0</v>
      </c>
      <c r="P54" s="98">
        <f ca="1">IF(N53=-1,1-ABS(N54),IF(N53=0,IF(N54&lt;0,ABS(N54),0),0))</f>
        <v>0.13999999999998636</v>
      </c>
      <c r="Q54" s="98">
        <f ca="1">IF(N53=0,1-ABS(N54),0)</f>
        <v>0.86000000000001364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-0.40607142857140843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96.93</v>
      </c>
      <c r="K55" s="82">
        <f t="shared" ca="1" si="0"/>
        <v>3.0699999999999932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96.93</v>
      </c>
      <c r="K56" s="82">
        <f t="shared" ca="1" si="0"/>
        <v>3.0699999999999932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-0.56651785714285552</v>
      </c>
      <c r="U56" s="105">
        <f ca="1">T56/25*100</f>
        <v>-2.2660714285714221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96.93</v>
      </c>
      <c r="K57" s="82">
        <f t="shared" ca="1" si="0"/>
        <v>3.0699999999999932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-0.26607142857142208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96.93</v>
      </c>
      <c r="K58" s="82">
        <f t="shared" ca="1" si="0"/>
        <v>3.0699999999999932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96.93</v>
      </c>
      <c r="K59" s="82">
        <f t="shared" ca="1" si="0"/>
        <v>3.0699999999999932</v>
      </c>
      <c r="L59" s="82">
        <f ca="1">K59-K61</f>
        <v>-4.428571428570649E-2</v>
      </c>
      <c r="M59" s="105">
        <f ca="1">L59/25*100</f>
        <v>-0.17714285714282596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-0.56651785714285552</v>
      </c>
      <c r="U59" s="105">
        <f ca="1">T59/25*100</f>
        <v>-2.2660714285714221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96.89</v>
      </c>
      <c r="K60" s="82">
        <f t="shared" ca="1" si="0"/>
        <v>3.1099999999999994</v>
      </c>
      <c r="L60" s="96"/>
      <c r="M60" s="109"/>
      <c r="N60" s="97">
        <f ca="1">IF(M59&gt;0,MOD(M59,1),MOD(M59,-1))</f>
        <v>-0.17714285714282596</v>
      </c>
      <c r="O60" s="98">
        <f ca="1">IF(N59=-2,1-ABS(N60),IF(N59=-1,ABS(N60),0))</f>
        <v>0</v>
      </c>
      <c r="P60" s="98">
        <f ca="1">IF(N59=-1,1-ABS(N60),IF(N59=0,IF(N60&lt;0,ABS(N60),0),0))</f>
        <v>0.17714285714282596</v>
      </c>
      <c r="Q60" s="98">
        <f ca="1">IF(N59=0,1-ABS(N60),0)</f>
        <v>0.82285714285717404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-0.26607142857142208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96.8857142857143</v>
      </c>
      <c r="K61" s="82">
        <f t="shared" ca="1" si="0"/>
        <v>3.1142857142856997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96.8857142857143</v>
      </c>
      <c r="K62" s="82">
        <f t="shared" ca="1" si="0"/>
        <v>3.1142857142856997</v>
      </c>
      <c r="L62" s="82">
        <f ca="1">K62-K64</f>
        <v>-8.5714285714303173E-2</v>
      </c>
      <c r="M62" s="105">
        <f ca="1">L62/25*100</f>
        <v>-0.34285714285721269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-0.52223214285714903</v>
      </c>
      <c r="U62" s="105">
        <f ca="1">T62/25*100</f>
        <v>-2.0889285714285961</v>
      </c>
      <c r="V62" s="90">
        <f ca="1">TRUNC(U62,0)/1</f>
        <v>-2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96.84</v>
      </c>
      <c r="K63" s="82">
        <f t="shared" ca="1" si="0"/>
        <v>3.1599999999999966</v>
      </c>
      <c r="L63" s="96"/>
      <c r="M63" s="109"/>
      <c r="N63" s="97">
        <f ca="1">IF(M62&gt;0,MOD(M62,1),MOD(M62,-1))</f>
        <v>-0.34285714285721269</v>
      </c>
      <c r="O63" s="98">
        <f ca="1">IF(N62=-2,1-ABS(N63),IF(N62=-1,ABS(N63),0))</f>
        <v>0</v>
      </c>
      <c r="P63" s="98">
        <f ca="1">IF(N62=-1,1-ABS(N63),IF(N62=0,IF(N63&lt;0,ABS(N63),0),0))</f>
        <v>0.34285714285721269</v>
      </c>
      <c r="Q63" s="98">
        <f ca="1">IF(N62=0,1-ABS(N63),0)</f>
        <v>0.65714285714278731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-8.8928571428596115E-2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96.8</v>
      </c>
      <c r="K64" s="82">
        <f t="shared" ca="1" si="0"/>
        <v>3.2000000000000028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96.8</v>
      </c>
      <c r="K65" s="82">
        <f t="shared" ca="1" si="0"/>
        <v>3.2000000000000028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-0.43651785714284586</v>
      </c>
      <c r="U65" s="105">
        <f ca="1">T65/25*100</f>
        <v>-1.7460714285713834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96.8</v>
      </c>
      <c r="K66" s="82">
        <f t="shared" ca="1" si="0"/>
        <v>3.2000000000000028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-0.74607142857138342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96.8</v>
      </c>
      <c r="K67" s="82">
        <f t="shared" ca="1" si="0"/>
        <v>3.2000000000000028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96.8</v>
      </c>
      <c r="K68" s="82">
        <f t="shared" ca="1" si="0"/>
        <v>3.2000000000000028</v>
      </c>
      <c r="L68" s="82">
        <f ca="1">K68-K70</f>
        <v>-8.0172413793107467E-2</v>
      </c>
      <c r="M68" s="105">
        <f ca="1">L68/25*100</f>
        <v>-0.32068965517242987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-0.43651785714284586</v>
      </c>
      <c r="U68" s="105">
        <f ca="1">T68/25*100</f>
        <v>-1.7460714285713834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96.724999999999994</v>
      </c>
      <c r="K69" s="82">
        <f t="shared" ref="K69:K87" ca="1" si="1">100-J69</f>
        <v>3.2750000000000057</v>
      </c>
      <c r="L69" s="96"/>
      <c r="M69" s="109"/>
      <c r="N69" s="97">
        <f ca="1">IF(M68&gt;0,MOD(M68,1),MOD(M68,-1))</f>
        <v>-0.32068965517242987</v>
      </c>
      <c r="O69" s="98">
        <f ca="1">IF(N68=-2,1-ABS(N69),IF(N68=-1,ABS(N69),0))</f>
        <v>0</v>
      </c>
      <c r="P69" s="98">
        <f ca="1">IF(N68=-1,1-ABS(N69),IF(N68=0,IF(N69&lt;0,ABS(N69),0),0))</f>
        <v>0.32068965517242987</v>
      </c>
      <c r="Q69" s="98">
        <f ca="1">IF(N68=0,1-ABS(N69),0)</f>
        <v>0.67931034482757013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-0.74607142857138342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96.71982758620689</v>
      </c>
      <c r="K70" s="82">
        <f t="shared" ca="1" si="1"/>
        <v>3.2801724137931103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96.724999999999994</v>
      </c>
      <c r="K71" s="82">
        <f t="shared" ca="1" si="1"/>
        <v>3.2750000000000057</v>
      </c>
      <c r="L71" s="82">
        <f ca="1">K71-K73</f>
        <v>-0.14999999999999147</v>
      </c>
      <c r="M71" s="105">
        <f ca="1">L71/25*100</f>
        <v>-0.59999999999996589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-0.36151785714284301</v>
      </c>
      <c r="U71" s="105">
        <f ca="1">T71/25*100</f>
        <v>-1.4460714285713721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96.64</v>
      </c>
      <c r="K72" s="82">
        <f t="shared" ca="1" si="1"/>
        <v>3.3599999999999994</v>
      </c>
      <c r="L72" s="96"/>
      <c r="M72" s="109"/>
      <c r="N72" s="97">
        <f ca="1">IF(M71&gt;0,MOD(M71,1),MOD(M71,-1))</f>
        <v>-0.59999999999996589</v>
      </c>
      <c r="O72" s="98">
        <f ca="1">IF(N71=-2,1-ABS(N72),IF(N71=-1,ABS(N72),0))</f>
        <v>0</v>
      </c>
      <c r="P72" s="98">
        <f ca="1">IF(N71=-1,1-ABS(N72),IF(N71=0,IF(N72&lt;0,ABS(N72),0),0))</f>
        <v>0.59999999999996589</v>
      </c>
      <c r="Q72" s="98">
        <f ca="1">IF(N71=0,1-ABS(N72),0)</f>
        <v>0.40000000000003411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-0.44607142857137205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96.575000000000003</v>
      </c>
      <c r="K73" s="82">
        <f t="shared" ca="1" si="1"/>
        <v>3.4249999999999972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96.575000000000003</v>
      </c>
      <c r="K74" s="82">
        <f t="shared" ca="1" si="1"/>
        <v>3.4249999999999972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-0.21151785714285154</v>
      </c>
      <c r="U74" s="105">
        <f ca="1">T74/25*100</f>
        <v>-0.84607142857140616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96.575000000000003</v>
      </c>
      <c r="K75" s="82">
        <f t="shared" ca="1" si="1"/>
        <v>3.4249999999999972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-0.84607142857140616</v>
      </c>
      <c r="W75" s="99">
        <f ca="1">IF(V74&lt;0,100%,IF(V75&lt;0,ABS(V75),0))</f>
        <v>0.84607142857140616</v>
      </c>
      <c r="X75" s="100">
        <f ca="1">IF(V74=0,1-ABS(V75),0)</f>
        <v>0.15392857142859384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96.575000000000003</v>
      </c>
      <c r="K76" s="82">
        <f t="shared" ca="1" si="1"/>
        <v>3.4249999999999972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96.575000000000003</v>
      </c>
      <c r="K77" s="82">
        <f t="shared" ca="1" si="1"/>
        <v>3.4249999999999972</v>
      </c>
      <c r="L77" s="82">
        <f ca="1">K77-K79</f>
        <v>-6.2068965517241281E-2</v>
      </c>
      <c r="M77" s="105">
        <f ca="1">L77/25*100</f>
        <v>-0.24827586206896515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-0.21151785714285154</v>
      </c>
      <c r="U77" s="105">
        <f ca="1">T77/25*100</f>
        <v>-0.84607142857140616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96.515000000000001</v>
      </c>
      <c r="K78" s="82">
        <f t="shared" ca="1" si="1"/>
        <v>3.4849999999999994</v>
      </c>
      <c r="L78" s="96"/>
      <c r="M78" s="109"/>
      <c r="N78" s="97">
        <f ca="1">IF(M77&gt;0,MOD(M77,1),MOD(M77,-1))</f>
        <v>-0.24827586206896515</v>
      </c>
      <c r="O78" s="98">
        <f ca="1">IF(N77=-2,1-ABS(N78),IF(N77=-1,ABS(N78),0))</f>
        <v>0</v>
      </c>
      <c r="P78" s="98">
        <f ca="1">IF(N77=-1,1-ABS(N78),IF(N77=0,IF(N78&lt;0,ABS(N78),0),0))</f>
        <v>0.24827586206896515</v>
      </c>
      <c r="Q78" s="98">
        <f ca="1">IF(N77=0,1-ABS(N78),0)</f>
        <v>0.75172413793103487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-0.84607142857140616</v>
      </c>
      <c r="W78" s="99">
        <f ca="1">IF(V77&lt;0,100%,IF(V78&lt;0,ABS(V78),0))</f>
        <v>0.84607142857140616</v>
      </c>
      <c r="X78" s="100">
        <f ca="1">IF(V77=0,1-ABS(V78),0)</f>
        <v>0.15392857142859384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96.512931034482762</v>
      </c>
      <c r="K79" s="82">
        <f t="shared" ca="1" si="1"/>
        <v>3.4870689655172384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96.500384615384576</v>
      </c>
      <c r="K80" s="82">
        <f t="shared" ca="1" si="1"/>
        <v>3.4996153846154243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-0.13690247252742438</v>
      </c>
      <c r="U80" s="105">
        <f ca="1">T80/25*100</f>
        <v>-0.54760989010969752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96.444999999999993</v>
      </c>
      <c r="K81" s="82">
        <f t="shared" ca="1" si="1"/>
        <v>3.5550000000000068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-0.54760989010969752</v>
      </c>
      <c r="W81" s="99">
        <f ca="1">IF(V80&lt;0,100%,IF(V81&lt;0,ABS(V81),0))</f>
        <v>0.54760989010969752</v>
      </c>
      <c r="X81" s="100">
        <f ca="1">IF(V80=0,1-ABS(V81),0)</f>
        <v>0.45239010989030248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-4.1517857142849834E-2</v>
      </c>
      <c r="U83" s="105">
        <f ca="1">T83/25*100</f>
        <v>-0.16607142857139934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-0.16607142857139934</v>
      </c>
      <c r="W84" s="99">
        <f ca="1">IF(V83&lt;0,100%,IF(V84&lt;0,ABS(V84),0))</f>
        <v>0.16607142857139934</v>
      </c>
      <c r="X84" s="100">
        <f ca="1">IF(V83=0,1-ABS(V84),0)</f>
        <v>0.83392857142860066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-4.1517857142849834E-2</v>
      </c>
      <c r="M86" s="105">
        <f ca="1">L86/25*100</f>
        <v>-0.16607142857139934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-4.1517857142849834E-2</v>
      </c>
      <c r="U86" s="105">
        <f ca="1">T86/25*100</f>
        <v>-0.16607142857139934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96.367500000000007</v>
      </c>
      <c r="K87" s="82">
        <f t="shared" ca="1" si="1"/>
        <v>3.6324999999999932</v>
      </c>
      <c r="L87" s="102"/>
      <c r="M87" s="110"/>
      <c r="N87" s="97">
        <f ca="1">IF(M86&gt;0,MOD(M86,1),MOD(M86,-1))</f>
        <v>-0.16607142857139934</v>
      </c>
      <c r="O87" s="98">
        <f ca="1">IF(N86=-2,1-ABS(N87),IF(N86=-1,ABS(N87),0))</f>
        <v>0</v>
      </c>
      <c r="P87" s="98">
        <f ca="1">IF(N86=-1,1-ABS(N87),IF(N86=0,IF(N87&lt;0,ABS(N87),0),0))</f>
        <v>0.16607142857139934</v>
      </c>
      <c r="Q87" s="98">
        <f ca="1">IF(N86=0,1-ABS(N87),0)</f>
        <v>0.83392857142860066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-0.16607142857139934</v>
      </c>
      <c r="W87" s="99">
        <f ca="1">IF(V86&lt;0,100%,IF(V87&lt;0,ABS(V87),0))</f>
        <v>0.16607142857139934</v>
      </c>
      <c r="X87" s="100">
        <f ca="1">IF(V86=0,1-ABS(V87),0)</f>
        <v>0.83392857142860066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96.363482142857151</v>
      </c>
      <c r="K88" s="82">
        <f ca="1">100-J88</f>
        <v>3.6365178571428487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71" priority="139" operator="notEqual">
      <formula>0</formula>
    </cfRule>
  </conditionalFormatting>
  <conditionalFormatting sqref="W53:Y88">
    <cfRule type="cellIs" dxfId="70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69" priority="133" operator="notEqual">
      <formula>0</formula>
    </cfRule>
  </conditionalFormatting>
  <conditionalFormatting sqref="W89:Y91">
    <cfRule type="cellIs" dxfId="68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67" priority="71" operator="notEqual">
      <formula>0</formula>
    </cfRule>
  </conditionalFormatting>
  <conditionalFormatting sqref="W50:Y52">
    <cfRule type="cellIs" dxfId="66" priority="70" operator="notEqual">
      <formula>0</formula>
    </cfRule>
  </conditionalFormatting>
  <conditionalFormatting sqref="O47:S49">
    <cfRule type="cellIs" dxfId="65" priority="69" operator="notEqual">
      <formula>0</formula>
    </cfRule>
  </conditionalFormatting>
  <conditionalFormatting sqref="W47:Y49">
    <cfRule type="cellIs" dxfId="64" priority="68" operator="notEqual">
      <formula>0</formula>
    </cfRule>
  </conditionalFormatting>
  <conditionalFormatting sqref="O44:S46">
    <cfRule type="cellIs" dxfId="63" priority="67" operator="notEqual">
      <formula>0</formula>
    </cfRule>
  </conditionalFormatting>
  <conditionalFormatting sqref="W44:Y46">
    <cfRule type="cellIs" dxfId="62" priority="66" operator="notEqual">
      <formula>0</formula>
    </cfRule>
  </conditionalFormatting>
  <conditionalFormatting sqref="O41:S43">
    <cfRule type="cellIs" dxfId="61" priority="65" operator="notEqual">
      <formula>0</formula>
    </cfRule>
  </conditionalFormatting>
  <conditionalFormatting sqref="W41:Y43">
    <cfRule type="cellIs" dxfId="60" priority="64" operator="notEqual">
      <formula>0</formula>
    </cfRule>
  </conditionalFormatting>
  <conditionalFormatting sqref="O38:S40">
    <cfRule type="cellIs" dxfId="59" priority="63" operator="notEqual">
      <formula>0</formula>
    </cfRule>
  </conditionalFormatting>
  <conditionalFormatting sqref="W38:Y40">
    <cfRule type="cellIs" dxfId="58" priority="62" operator="notEqual">
      <formula>0</formula>
    </cfRule>
  </conditionalFormatting>
  <conditionalFormatting sqref="O35:S37">
    <cfRule type="cellIs" dxfId="57" priority="61" operator="notEqual">
      <formula>0</formula>
    </cfRule>
  </conditionalFormatting>
  <conditionalFormatting sqref="W35:Y37">
    <cfRule type="cellIs" dxfId="56" priority="60" operator="notEqual">
      <formula>0</formula>
    </cfRule>
  </conditionalFormatting>
  <conditionalFormatting sqref="O32:S34">
    <cfRule type="cellIs" dxfId="55" priority="59" operator="notEqual">
      <formula>0</formula>
    </cfRule>
  </conditionalFormatting>
  <conditionalFormatting sqref="W32:Y34">
    <cfRule type="cellIs" dxfId="54" priority="58" operator="notEqual">
      <formula>0</formula>
    </cfRule>
  </conditionalFormatting>
  <conditionalFormatting sqref="O29:S31">
    <cfRule type="cellIs" dxfId="53" priority="57" operator="notEqual">
      <formula>0</formula>
    </cfRule>
  </conditionalFormatting>
  <conditionalFormatting sqref="W29:Y31">
    <cfRule type="cellIs" dxfId="52" priority="56" operator="notEqual">
      <formula>0</formula>
    </cfRule>
  </conditionalFormatting>
  <conditionalFormatting sqref="O26:S28">
    <cfRule type="cellIs" dxfId="51" priority="55" operator="notEqual">
      <formula>0</formula>
    </cfRule>
  </conditionalFormatting>
  <conditionalFormatting sqref="W26:Y28">
    <cfRule type="cellIs" dxfId="50" priority="54" operator="notEqual">
      <formula>0</formula>
    </cfRule>
  </conditionalFormatting>
  <conditionalFormatting sqref="O23:S25">
    <cfRule type="cellIs" dxfId="49" priority="53" operator="notEqual">
      <formula>0</formula>
    </cfRule>
  </conditionalFormatting>
  <conditionalFormatting sqref="W23:Y25">
    <cfRule type="cellIs" dxfId="48" priority="52" operator="notEqual">
      <formula>0</formula>
    </cfRule>
  </conditionalFormatting>
  <conditionalFormatting sqref="O20:S22">
    <cfRule type="cellIs" dxfId="47" priority="51" operator="notEqual">
      <formula>0</formula>
    </cfRule>
  </conditionalFormatting>
  <conditionalFormatting sqref="W20:Y22">
    <cfRule type="cellIs" dxfId="46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45" priority="20" operator="notEqual">
      <formula>0</formula>
    </cfRule>
  </conditionalFormatting>
  <conditionalFormatting sqref="W17:Y19">
    <cfRule type="cellIs" dxfId="44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43" priority="16" operator="notEqual">
      <formula>0</formula>
    </cfRule>
  </conditionalFormatting>
  <conditionalFormatting sqref="W14:Y16">
    <cfRule type="cellIs" dxfId="42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41" priority="12" operator="notEqual">
      <formula>0</formula>
    </cfRule>
  </conditionalFormatting>
  <conditionalFormatting sqref="W11:Y13">
    <cfRule type="cellIs" dxfId="40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39" priority="8" operator="notEqual">
      <formula>0</formula>
    </cfRule>
  </conditionalFormatting>
  <conditionalFormatting sqref="W8:Y10">
    <cfRule type="cellIs" dxfId="38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37" priority="4" operator="notEqual">
      <formula>0</formula>
    </cfRule>
  </conditionalFormatting>
  <conditionalFormatting sqref="W5:Y7">
    <cfRule type="cellIs" dxfId="36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3636D"/>
  </sheetPr>
  <dimension ref="A1:AA93"/>
  <sheetViews>
    <sheetView showGridLines="0" zoomScaleNormal="100" zoomScaleSheetLayoutView="100" workbookViewId="0">
      <pane ySplit="1" topLeftCell="A2" activePane="bottomLeft" state="frozen"/>
      <selection activeCell="W7" sqref="W7"/>
      <selection pane="bottomLeft"/>
    </sheetView>
  </sheetViews>
  <sheetFormatPr defaultRowHeight="15" x14ac:dyDescent="0.2"/>
  <cols>
    <col min="1" max="1" width="2.625" customWidth="1"/>
    <col min="2" max="2" width="1.625" customWidth="1"/>
    <col min="3" max="3" width="16.125" style="46" hidden="1" customWidth="1"/>
    <col min="4" max="4" width="16.125" customWidth="1"/>
    <col min="5" max="5" width="11.5" style="48" hidden="1" customWidth="1"/>
    <col min="6" max="6" width="20" style="48" hidden="1" customWidth="1"/>
    <col min="7" max="7" width="17.5" hidden="1" customWidth="1"/>
    <col min="8" max="9" width="11.5" hidden="1" customWidth="1"/>
    <col min="10" max="13" width="11.5" customWidth="1"/>
    <col min="14" max="14" width="12.375" customWidth="1"/>
    <col min="15" max="19" width="8.625" customWidth="1"/>
    <col min="20" max="21" width="11.5" customWidth="1"/>
    <col min="22" max="22" width="12.375" customWidth="1"/>
    <col min="23" max="25" width="12.625" customWidth="1"/>
    <col min="26" max="26" width="1.625" style="7" customWidth="1"/>
    <col min="27" max="27" width="2.625" customWidth="1"/>
  </cols>
  <sheetData>
    <row r="1" spans="1:27" ht="30.95" customHeight="1" x14ac:dyDescent="0.2">
      <c r="A1" s="21"/>
      <c r="B1" s="21"/>
      <c r="C1" s="21"/>
      <c r="D1" s="21"/>
      <c r="E1" s="21"/>
      <c r="F1" s="21"/>
      <c r="G1" s="196" t="s">
        <v>42</v>
      </c>
      <c r="H1" s="196"/>
      <c r="I1" s="196"/>
      <c r="J1" s="196"/>
      <c r="K1" s="196"/>
      <c r="L1" s="196"/>
      <c r="M1" s="196"/>
      <c r="N1" s="196"/>
      <c r="O1" s="188"/>
      <c r="P1" s="188"/>
      <c r="Q1" s="188"/>
      <c r="R1" s="188"/>
      <c r="S1" s="188"/>
      <c r="T1" s="196"/>
      <c r="U1" s="196"/>
      <c r="V1" s="196"/>
      <c r="W1" s="196"/>
      <c r="X1" s="9" t="s">
        <v>4</v>
      </c>
      <c r="Y1" s="50">
        <f ca="1">TODAY()</f>
        <v>46037</v>
      </c>
      <c r="Z1" s="21"/>
      <c r="AA1" s="21"/>
    </row>
    <row r="2" spans="1:27" ht="12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x14ac:dyDescent="0.2">
      <c r="A3" s="10"/>
      <c r="B3">
        <v>20</v>
      </c>
      <c r="C3" s="44"/>
      <c r="D3" s="47"/>
      <c r="E3" s="25"/>
      <c r="F3" s="57"/>
      <c r="G3" s="57"/>
      <c r="H3" s="57"/>
      <c r="I3" s="57"/>
      <c r="J3" s="57"/>
      <c r="K3" s="57"/>
      <c r="L3" s="57"/>
      <c r="M3" s="57"/>
      <c r="N3" s="57"/>
      <c r="O3" s="197" t="s">
        <v>51</v>
      </c>
      <c r="P3" s="197"/>
      <c r="Q3" s="197"/>
      <c r="R3" s="197"/>
      <c r="S3" s="197"/>
      <c r="T3" s="59"/>
      <c r="U3" s="59"/>
      <c r="V3" s="59"/>
      <c r="W3" s="197" t="s">
        <v>52</v>
      </c>
      <c r="X3" s="197"/>
      <c r="Y3" s="197"/>
      <c r="Z3" s="48"/>
      <c r="AA3" s="10"/>
    </row>
    <row r="4" spans="1:27" ht="34.5" x14ac:dyDescent="0.2">
      <c r="A4" s="10"/>
      <c r="C4" s="6" t="s">
        <v>0</v>
      </c>
      <c r="D4" s="84"/>
      <c r="E4" s="25"/>
      <c r="F4" s="52" t="s">
        <v>41</v>
      </c>
      <c r="G4" s="58"/>
      <c r="H4" s="52" t="s">
        <v>17</v>
      </c>
      <c r="I4" s="53" t="s">
        <v>14</v>
      </c>
      <c r="J4" s="54" t="s">
        <v>15</v>
      </c>
      <c r="K4" s="53" t="s">
        <v>18</v>
      </c>
      <c r="L4" s="53" t="s">
        <v>16</v>
      </c>
      <c r="M4" s="53" t="s">
        <v>33</v>
      </c>
      <c r="N4" s="53" t="s">
        <v>34</v>
      </c>
      <c r="O4" s="53" t="s">
        <v>54</v>
      </c>
      <c r="P4" s="53" t="s">
        <v>55</v>
      </c>
      <c r="Q4" s="53" t="s">
        <v>56</v>
      </c>
      <c r="R4" s="53" t="s">
        <v>53</v>
      </c>
      <c r="S4" s="53" t="s">
        <v>57</v>
      </c>
      <c r="T4" s="53" t="s">
        <v>50</v>
      </c>
      <c r="U4" s="53" t="s">
        <v>33</v>
      </c>
      <c r="V4" s="53" t="s">
        <v>34</v>
      </c>
      <c r="W4" s="55" t="s">
        <v>20</v>
      </c>
      <c r="X4" s="56" t="s">
        <v>19</v>
      </c>
      <c r="Y4" s="56" t="s">
        <v>21</v>
      </c>
      <c r="Z4" s="48"/>
      <c r="AA4" s="10"/>
    </row>
    <row r="5" spans="1:27" ht="17.25" x14ac:dyDescent="0.3">
      <c r="A5" s="10"/>
      <c r="C5" s="44" t="str">
        <f ca="1">TEXT(D5,"YYMM")&amp;"EE"</f>
        <v>2804EE</v>
      </c>
      <c r="D5" s="156">
        <f ca="1">D6</f>
        <v>46844.083333333336</v>
      </c>
      <c r="E5" s="86" t="s">
        <v>24</v>
      </c>
      <c r="F5" s="52"/>
      <c r="G5" s="58"/>
      <c r="H5" s="88">
        <f ca="1">DAY(EOMONTH(D5,0))-H7</f>
        <v>30</v>
      </c>
      <c r="I5" s="89">
        <f ca="1">H5/(H7+H5)</f>
        <v>1</v>
      </c>
      <c r="J5" s="82">
        <f ca="1">IF(G6,IF(I7=0,J6,(J6-I7*J7)/I5),J6)</f>
        <v>96.86</v>
      </c>
      <c r="K5" s="82">
        <f t="shared" ref="K5:K68" ca="1" si="0">100-J5</f>
        <v>3.1400000000000006</v>
      </c>
      <c r="L5" s="82">
        <f ca="1">K5-K7</f>
        <v>0</v>
      </c>
      <c r="M5" s="105">
        <f ca="1">L5/25*100</f>
        <v>0</v>
      </c>
      <c r="N5" s="90">
        <f ca="1">TRUNC(M5,0)/1</f>
        <v>0</v>
      </c>
      <c r="O5" s="91"/>
      <c r="P5" s="91"/>
      <c r="Q5" s="91"/>
      <c r="R5" s="91"/>
      <c r="S5" s="91"/>
      <c r="T5" s="82">
        <f ca="1">K5-$K$88</f>
        <v>-0.499285714285719</v>
      </c>
      <c r="U5" s="105">
        <f ca="1">T5/25*100</f>
        <v>-1.9971428571428762</v>
      </c>
      <c r="V5" s="90">
        <f ca="1">TRUNC(U5,0)/1</f>
        <v>-1</v>
      </c>
      <c r="W5" s="92"/>
      <c r="X5" s="93"/>
      <c r="Y5" s="93"/>
      <c r="Z5" s="48"/>
      <c r="AA5" s="10"/>
    </row>
    <row r="6" spans="1:27" ht="17.25" x14ac:dyDescent="0.3">
      <c r="A6" s="10"/>
      <c r="C6" s="44" t="str">
        <f ca="1">TEXT(D6,"YYMM")&amp;"E"</f>
        <v>2804E</v>
      </c>
      <c r="D6" s="85">
        <f ca="1">日历计算!G30</f>
        <v>46844.083333333336</v>
      </c>
      <c r="E6" s="86" t="s">
        <v>22</v>
      </c>
      <c r="F6" s="94" t="str">
        <f ca="1">IF(日历计算!H30&lt;&gt;0,日历计算!G30,"当月无会议"&amp;"("&amp;TEXT(日历计算!G30,"M")&amp;"月)")</f>
        <v>当月无会议(4月)</v>
      </c>
      <c r="G6" s="94" t="b">
        <f ca="1">IF(LEFT(F6,1)="当",FALSE,TRUE)</f>
        <v>0</v>
      </c>
      <c r="H6" s="95"/>
      <c r="I6" s="89"/>
      <c r="J6" s="82">
        <f ca="1">VLOOKUP(C6,FF期货结算价!D:Z,$B$3,0)</f>
        <v>96.86</v>
      </c>
      <c r="K6" s="82">
        <f t="shared" ca="1" si="0"/>
        <v>3.1400000000000006</v>
      </c>
      <c r="L6" s="96"/>
      <c r="M6" s="109"/>
      <c r="N6" s="97">
        <f ca="1">IF(M5&gt;0,MOD(M5,1),MOD(M5,-1))</f>
        <v>0</v>
      </c>
      <c r="O6" s="98">
        <f ca="1">IF(N5=-2,1-ABS(N6),IF(N5=-1,ABS(N6),0))</f>
        <v>0</v>
      </c>
      <c r="P6" s="98">
        <f ca="1">IF(N5=-1,1-ABS(N6),IF(N5=0,IF(N6&lt;0,ABS(N6),0),0))</f>
        <v>0</v>
      </c>
      <c r="Q6" s="98">
        <f ca="1">IF(N5=0,1-ABS(N6),0)</f>
        <v>1</v>
      </c>
      <c r="R6" s="98">
        <f ca="1">IF(N5=0,IF(N6&gt;0,ABS(N6),0),IF(N6=1,1-ABS(N6),0))</f>
        <v>0</v>
      </c>
      <c r="S6" s="98">
        <f ca="1">IF(N5=1,ABS(N6),IF(N5=2,1-ABS(N6),0))</f>
        <v>0</v>
      </c>
      <c r="T6" s="96"/>
      <c r="U6" s="106"/>
      <c r="V6" s="97">
        <f ca="1">IF(U5&gt;0,MOD(U5,1),MOD(U5,-1))</f>
        <v>-0.9971428571428762</v>
      </c>
      <c r="W6" s="99">
        <f ca="1">IF(V5&lt;0,100%,IF(V6&lt;0,ABS(V6),0))</f>
        <v>1</v>
      </c>
      <c r="X6" s="100">
        <f ca="1">IF(V5=0,1-ABS(V6),0)</f>
        <v>0</v>
      </c>
      <c r="Y6" s="100">
        <f ca="1">IF(V5&gt;0,100%,IF(V6&gt;0,V6,0))</f>
        <v>0</v>
      </c>
      <c r="Z6" s="48"/>
      <c r="AA6" s="10"/>
    </row>
    <row r="7" spans="1:27" ht="17.25" x14ac:dyDescent="0.3">
      <c r="A7" s="10"/>
      <c r="C7" s="6"/>
      <c r="D7" s="156">
        <f ca="1">D6</f>
        <v>46844.083333333336</v>
      </c>
      <c r="E7" s="86" t="s">
        <v>23</v>
      </c>
      <c r="F7" s="52"/>
      <c r="G7" s="58"/>
      <c r="H7" s="95">
        <f ca="1">TEXT(D7,"dd")-1</f>
        <v>0</v>
      </c>
      <c r="I7" s="89">
        <f ca="1">H7/(H7+H5)</f>
        <v>0</v>
      </c>
      <c r="J7" s="82">
        <f ca="1">IF(G6,J8,J6)</f>
        <v>96.86</v>
      </c>
      <c r="K7" s="82">
        <f t="shared" ca="1" si="0"/>
        <v>3.1400000000000006</v>
      </c>
      <c r="L7" s="96"/>
      <c r="M7" s="109"/>
      <c r="N7" s="96"/>
      <c r="O7" s="91"/>
      <c r="P7" s="91"/>
      <c r="Q7" s="91"/>
      <c r="R7" s="91"/>
      <c r="S7" s="91"/>
      <c r="T7" s="96"/>
      <c r="U7" s="106"/>
      <c r="V7" s="96"/>
      <c r="W7" s="92"/>
      <c r="X7" s="93"/>
      <c r="Y7" s="93"/>
      <c r="Z7" s="48"/>
      <c r="AA7" s="10"/>
    </row>
    <row r="8" spans="1:27" ht="17.25" x14ac:dyDescent="0.3">
      <c r="A8" s="10"/>
      <c r="C8" s="44" t="str">
        <f ca="1">TEXT(D8,"YYMM")&amp;"EE"</f>
        <v>2803EE</v>
      </c>
      <c r="D8" s="156">
        <f ca="1">D9</f>
        <v>46813.083333333336</v>
      </c>
      <c r="E8" s="86" t="s">
        <v>24</v>
      </c>
      <c r="F8" s="52"/>
      <c r="G8" s="58"/>
      <c r="H8" s="88">
        <f ca="1">DAY(EOMONTH(D8,0))-H10</f>
        <v>31</v>
      </c>
      <c r="I8" s="89">
        <f ca="1">H8/(H10+H8)</f>
        <v>1</v>
      </c>
      <c r="J8" s="82">
        <f ca="1">IF(G9,IF(G6,IF(I10=0,J9,(J9-I10*J11)/I8),J7),J9)</f>
        <v>96.9</v>
      </c>
      <c r="K8" s="82">
        <f t="shared" ca="1" si="0"/>
        <v>3.0999999999999943</v>
      </c>
      <c r="L8" s="82">
        <f ca="1">K8-K10</f>
        <v>0</v>
      </c>
      <c r="M8" s="105">
        <f ca="1">L8/25*100</f>
        <v>0</v>
      </c>
      <c r="N8" s="90">
        <f ca="1">TRUNC(M8,0)/1</f>
        <v>0</v>
      </c>
      <c r="O8" s="91"/>
      <c r="P8" s="91"/>
      <c r="Q8" s="91"/>
      <c r="R8" s="91"/>
      <c r="S8" s="91"/>
      <c r="T8" s="82">
        <f ca="1">K8-$K$88</f>
        <v>-0.53928571428572525</v>
      </c>
      <c r="U8" s="105">
        <f ca="1">T8/25*100</f>
        <v>-2.157142857142901</v>
      </c>
      <c r="V8" s="90">
        <f ca="1">TRUNC(U8,0)/1</f>
        <v>-2</v>
      </c>
      <c r="W8" s="92"/>
      <c r="X8" s="93"/>
      <c r="Y8" s="93"/>
      <c r="Z8" s="48"/>
      <c r="AA8" s="10"/>
    </row>
    <row r="9" spans="1:27" ht="17.25" x14ac:dyDescent="0.3">
      <c r="A9" s="10"/>
      <c r="C9" s="44" t="str">
        <f ca="1">TEXT(D9,"YYMM")&amp;"E"</f>
        <v>2803E</v>
      </c>
      <c r="D9" s="85">
        <f ca="1">日历计算!G29</f>
        <v>46813.083333333336</v>
      </c>
      <c r="E9" s="86" t="s">
        <v>22</v>
      </c>
      <c r="F9" s="94" t="str">
        <f ca="1">IF(日历计算!H29&lt;&gt;0,日历计算!G29,"当月无会议"&amp;"("&amp;TEXT(日历计算!G29,"M")&amp;"月)")</f>
        <v>当月无会议(3月)</v>
      </c>
      <c r="G9" s="94" t="b">
        <f ca="1">IF(LEFT(F9,1)="当",FALSE,TRUE)</f>
        <v>0</v>
      </c>
      <c r="H9" s="95"/>
      <c r="I9" s="89"/>
      <c r="J9" s="82">
        <f ca="1">VLOOKUP(C9,FF期货结算价!D:Z,$B$3,0)</f>
        <v>96.9</v>
      </c>
      <c r="K9" s="82">
        <f t="shared" ca="1" si="0"/>
        <v>3.0999999999999943</v>
      </c>
      <c r="L9" s="96"/>
      <c r="M9" s="109"/>
      <c r="N9" s="97">
        <f ca="1">IF(M8&gt;0,MOD(M8,1),MOD(M8,-1))</f>
        <v>0</v>
      </c>
      <c r="O9" s="98">
        <f ca="1">IF(N8=-2,1-ABS(N9),IF(N8=-1,ABS(N9),0))</f>
        <v>0</v>
      </c>
      <c r="P9" s="98">
        <f ca="1">IF(N8=-1,1-ABS(N9),IF(N8=0,IF(N9&lt;0,ABS(N9),0),0))</f>
        <v>0</v>
      </c>
      <c r="Q9" s="98">
        <f ca="1">IF(N8=0,1-ABS(N9),0)</f>
        <v>1</v>
      </c>
      <c r="R9" s="98">
        <f ca="1">IF(N8=0,IF(N9&gt;0,ABS(N9),0),IF(N9=1,1-ABS(N9),0))</f>
        <v>0</v>
      </c>
      <c r="S9" s="98">
        <f ca="1">IF(N8=1,ABS(N9),IF(N8=2,1-ABS(N9),0))</f>
        <v>0</v>
      </c>
      <c r="T9" s="96"/>
      <c r="U9" s="106"/>
      <c r="V9" s="97">
        <f ca="1">IF(U8&gt;0,MOD(U8,1),MOD(U8,-1))</f>
        <v>-0.15714285714290099</v>
      </c>
      <c r="W9" s="99">
        <f ca="1">IF(V8&lt;0,100%,IF(V9&lt;0,ABS(V9),0))</f>
        <v>1</v>
      </c>
      <c r="X9" s="100">
        <f ca="1">IF(V8=0,1-ABS(V9),0)</f>
        <v>0</v>
      </c>
      <c r="Y9" s="100">
        <f ca="1">IF(V8&gt;0,100%,IF(V9&gt;0,V9,0))</f>
        <v>0</v>
      </c>
      <c r="Z9" s="48"/>
      <c r="AA9" s="10"/>
    </row>
    <row r="10" spans="1:27" ht="17.25" x14ac:dyDescent="0.3">
      <c r="A10" s="10"/>
      <c r="C10" s="6"/>
      <c r="D10" s="156">
        <f ca="1">D9</f>
        <v>46813.083333333336</v>
      </c>
      <c r="E10" s="86" t="s">
        <v>23</v>
      </c>
      <c r="F10" s="52"/>
      <c r="G10" s="58"/>
      <c r="H10" s="95">
        <f ca="1">TEXT(D10,"dd")-1</f>
        <v>0</v>
      </c>
      <c r="I10" s="89">
        <f ca="1">H10/(H10+H8)</f>
        <v>0</v>
      </c>
      <c r="J10" s="82">
        <f ca="1">IF(G9,J11,J9)</f>
        <v>96.9</v>
      </c>
      <c r="K10" s="82">
        <f t="shared" ca="1" si="0"/>
        <v>3.0999999999999943</v>
      </c>
      <c r="L10" s="96"/>
      <c r="M10" s="109"/>
      <c r="N10" s="96"/>
      <c r="O10" s="91"/>
      <c r="P10" s="91"/>
      <c r="Q10" s="91"/>
      <c r="R10" s="91"/>
      <c r="S10" s="91"/>
      <c r="T10" s="96"/>
      <c r="U10" s="106"/>
      <c r="V10" s="96"/>
      <c r="W10" s="92"/>
      <c r="X10" s="93"/>
      <c r="Y10" s="93"/>
      <c r="Z10" s="48"/>
      <c r="AA10" s="10"/>
    </row>
    <row r="11" spans="1:27" ht="17.25" x14ac:dyDescent="0.3">
      <c r="A11" s="10"/>
      <c r="C11" s="44" t="str">
        <f ca="1">TEXT(D11,"YYMM")&amp;"EE"</f>
        <v>2802EE</v>
      </c>
      <c r="D11" s="156">
        <f ca="1">D12</f>
        <v>46784.083333333336</v>
      </c>
      <c r="E11" s="86" t="s">
        <v>24</v>
      </c>
      <c r="F11" s="52"/>
      <c r="G11" s="58"/>
      <c r="H11" s="88">
        <f ca="1">DAY(EOMONTH(D11,0))-H13</f>
        <v>29</v>
      </c>
      <c r="I11" s="89">
        <f ca="1">H11/(H13+H11)</f>
        <v>1</v>
      </c>
      <c r="J11" s="82">
        <f ca="1">IF(G12,IF(G9,IF(I13=0,J12,(J12-I13*J14)/I11),J10),J12)</f>
        <v>96.915000000000006</v>
      </c>
      <c r="K11" s="82">
        <f t="shared" ca="1" si="0"/>
        <v>3.0849999999999937</v>
      </c>
      <c r="L11" s="82">
        <f ca="1">K11-K13</f>
        <v>0</v>
      </c>
      <c r="M11" s="105">
        <f ca="1">L11/25*100</f>
        <v>0</v>
      </c>
      <c r="N11" s="90">
        <f ca="1">TRUNC(M11,0)/1</f>
        <v>0</v>
      </c>
      <c r="O11" s="91"/>
      <c r="P11" s="91"/>
      <c r="Q11" s="91"/>
      <c r="R11" s="91"/>
      <c r="S11" s="91"/>
      <c r="T11" s="82">
        <f ca="1">K11-$K$88</f>
        <v>-0.55428571428572582</v>
      </c>
      <c r="U11" s="105">
        <f ca="1">T11/25*100</f>
        <v>-2.2171428571429033</v>
      </c>
      <c r="V11" s="90">
        <f ca="1">TRUNC(U11,0)/1</f>
        <v>-2</v>
      </c>
      <c r="W11" s="92"/>
      <c r="X11" s="93"/>
      <c r="Y11" s="93"/>
      <c r="Z11" s="48"/>
      <c r="AA11" s="10"/>
    </row>
    <row r="12" spans="1:27" ht="17.25" x14ac:dyDescent="0.3">
      <c r="A12" s="10"/>
      <c r="C12" s="44" t="str">
        <f ca="1">TEXT(D12,"YYMM")&amp;"E"</f>
        <v>2802E</v>
      </c>
      <c r="D12" s="85">
        <f ca="1">日历计算!G28</f>
        <v>46784.083333333336</v>
      </c>
      <c r="E12" s="86" t="s">
        <v>22</v>
      </c>
      <c r="F12" s="94" t="str">
        <f ca="1">IF(日历计算!H28&lt;&gt;0,日历计算!G28,"当月无会议"&amp;"("&amp;TEXT(日历计算!G28,"M")&amp;"月)")</f>
        <v>当月无会议(2月)</v>
      </c>
      <c r="G12" s="94" t="b">
        <f ca="1">IF(LEFT(F12,1)="当",FALSE,TRUE)</f>
        <v>0</v>
      </c>
      <c r="H12" s="95"/>
      <c r="I12" s="89"/>
      <c r="J12" s="82">
        <f ca="1">VLOOKUP(C12,FF期货结算价!D:Z,$B$3,0)</f>
        <v>96.915000000000006</v>
      </c>
      <c r="K12" s="82">
        <f t="shared" ca="1" si="0"/>
        <v>3.0849999999999937</v>
      </c>
      <c r="L12" s="96"/>
      <c r="M12" s="109"/>
      <c r="N12" s="97">
        <f ca="1">IF(M11&gt;0,MOD(M11,1),MOD(M11,-1))</f>
        <v>0</v>
      </c>
      <c r="O12" s="98">
        <f ca="1">IF(N11=-2,1-ABS(N12),IF(N11=-1,ABS(N12),0))</f>
        <v>0</v>
      </c>
      <c r="P12" s="98">
        <f ca="1">IF(N11=-1,1-ABS(N12),IF(N11=0,IF(N12&lt;0,ABS(N12),0),0))</f>
        <v>0</v>
      </c>
      <c r="Q12" s="98">
        <f ca="1">IF(N11=0,1-ABS(N12),0)</f>
        <v>1</v>
      </c>
      <c r="R12" s="98">
        <f ca="1">IF(N11=0,IF(N12&gt;0,ABS(N12),0),IF(N12=1,1-ABS(N12),0))</f>
        <v>0</v>
      </c>
      <c r="S12" s="98">
        <f ca="1">IF(N11=1,ABS(N12),IF(N11=2,1-ABS(N12),0))</f>
        <v>0</v>
      </c>
      <c r="T12" s="96"/>
      <c r="U12" s="106"/>
      <c r="V12" s="97">
        <f ca="1">IF(U11&gt;0,MOD(U11,1),MOD(U11,-1))</f>
        <v>-0.21714285714290327</v>
      </c>
      <c r="W12" s="99">
        <f ca="1">IF(V11&lt;0,100%,IF(V12&lt;0,ABS(V12),0))</f>
        <v>1</v>
      </c>
      <c r="X12" s="100">
        <f ca="1">IF(V11=0,1-ABS(V12),0)</f>
        <v>0</v>
      </c>
      <c r="Y12" s="100">
        <f ca="1">IF(V11&gt;0,100%,IF(V12&gt;0,V12,0))</f>
        <v>0</v>
      </c>
      <c r="Z12" s="48"/>
      <c r="AA12" s="10"/>
    </row>
    <row r="13" spans="1:27" ht="17.25" x14ac:dyDescent="0.3">
      <c r="A13" s="10"/>
      <c r="C13" s="6"/>
      <c r="D13" s="156">
        <f ca="1">D12</f>
        <v>46784.083333333336</v>
      </c>
      <c r="E13" s="86" t="s">
        <v>23</v>
      </c>
      <c r="F13" s="52"/>
      <c r="G13" s="58"/>
      <c r="H13" s="95">
        <f ca="1">TEXT(D13,"dd")-1</f>
        <v>0</v>
      </c>
      <c r="I13" s="89">
        <f ca="1">H13/(H13+H11)</f>
        <v>0</v>
      </c>
      <c r="J13" s="82">
        <f ca="1">IF(G12,J14,J12)</f>
        <v>96.915000000000006</v>
      </c>
      <c r="K13" s="82">
        <f t="shared" ca="1" si="0"/>
        <v>3.0849999999999937</v>
      </c>
      <c r="L13" s="96"/>
      <c r="M13" s="109"/>
      <c r="N13" s="96"/>
      <c r="O13" s="91"/>
      <c r="P13" s="91"/>
      <c r="Q13" s="91"/>
      <c r="R13" s="91"/>
      <c r="S13" s="91"/>
      <c r="T13" s="96"/>
      <c r="U13" s="106"/>
      <c r="V13" s="96"/>
      <c r="W13" s="92"/>
      <c r="X13" s="93"/>
      <c r="Y13" s="93"/>
      <c r="Z13" s="48"/>
      <c r="AA13" s="10"/>
    </row>
    <row r="14" spans="1:27" ht="17.25" x14ac:dyDescent="0.3">
      <c r="A14" s="10"/>
      <c r="C14" s="44" t="str">
        <f ca="1">TEXT(D14,"YYMM")&amp;"EE"</f>
        <v>2801EE</v>
      </c>
      <c r="D14" s="156">
        <f ca="1">D15</f>
        <v>46753.083333333336</v>
      </c>
      <c r="E14" s="86" t="s">
        <v>24</v>
      </c>
      <c r="F14" s="52"/>
      <c r="G14" s="58"/>
      <c r="H14" s="88">
        <f ca="1">DAY(EOMONTH(D14,0))-H16</f>
        <v>31</v>
      </c>
      <c r="I14" s="89">
        <f ca="1">H14/(H16+H14)</f>
        <v>1</v>
      </c>
      <c r="J14" s="82">
        <f ca="1">IF(G15,IF(G12,IF(I16=0,J15,(J15-I16*J17)/I14),J13),J15)</f>
        <v>96.93</v>
      </c>
      <c r="K14" s="82">
        <f t="shared" ca="1" si="0"/>
        <v>3.0699999999999932</v>
      </c>
      <c r="L14" s="82">
        <f ca="1">K14-K16</f>
        <v>0</v>
      </c>
      <c r="M14" s="105">
        <f ca="1">L14/25*100</f>
        <v>0</v>
      </c>
      <c r="N14" s="90">
        <f ca="1">TRUNC(M14,0)/1</f>
        <v>0</v>
      </c>
      <c r="O14" s="91"/>
      <c r="P14" s="91"/>
      <c r="Q14" s="91"/>
      <c r="R14" s="91"/>
      <c r="S14" s="91"/>
      <c r="T14" s="82">
        <f ca="1">K14-$K$88</f>
        <v>-0.56928571428572639</v>
      </c>
      <c r="U14" s="105">
        <f ca="1">T14/25*100</f>
        <v>-2.2771428571429055</v>
      </c>
      <c r="V14" s="90">
        <f ca="1">TRUNC(U14,0)/1</f>
        <v>-2</v>
      </c>
      <c r="W14" s="92"/>
      <c r="X14" s="93"/>
      <c r="Y14" s="93"/>
      <c r="Z14" s="48"/>
      <c r="AA14" s="10"/>
    </row>
    <row r="15" spans="1:27" ht="17.25" x14ac:dyDescent="0.3">
      <c r="A15" s="10"/>
      <c r="C15" s="44" t="str">
        <f ca="1">TEXT(D15,"YYMM")&amp;"E"</f>
        <v>2801E</v>
      </c>
      <c r="D15" s="85">
        <f ca="1">日历计算!G27</f>
        <v>46753.083333333336</v>
      </c>
      <c r="E15" s="86" t="s">
        <v>22</v>
      </c>
      <c r="F15" s="94" t="str">
        <f ca="1">IF(日历计算!H27&lt;&gt;0,日历计算!G27,"当月无会议"&amp;"("&amp;TEXT(日历计算!G27,"M")&amp;"月)")</f>
        <v>当月无会议(1月)</v>
      </c>
      <c r="G15" s="94" t="b">
        <f ca="1">IF(LEFT(F15,1)="当",FALSE,TRUE)</f>
        <v>0</v>
      </c>
      <c r="H15" s="95"/>
      <c r="I15" s="89"/>
      <c r="J15" s="82">
        <f ca="1">VLOOKUP(C15,FF期货结算价!D:Z,$B$3,0)</f>
        <v>96.93</v>
      </c>
      <c r="K15" s="82">
        <f t="shared" ca="1" si="0"/>
        <v>3.0699999999999932</v>
      </c>
      <c r="L15" s="96"/>
      <c r="M15" s="109"/>
      <c r="N15" s="97">
        <f ca="1">IF(M14&gt;0,MOD(M14,1),MOD(M14,-1))</f>
        <v>0</v>
      </c>
      <c r="O15" s="98">
        <f ca="1">IF(N14=-2,1-ABS(N15),IF(N14=-1,ABS(N15),0))</f>
        <v>0</v>
      </c>
      <c r="P15" s="98">
        <f ca="1">IF(N14=-1,1-ABS(N15),IF(N14=0,IF(N15&lt;0,ABS(N15),0),0))</f>
        <v>0</v>
      </c>
      <c r="Q15" s="98">
        <f ca="1">IF(N14=0,1-ABS(N15),0)</f>
        <v>1</v>
      </c>
      <c r="R15" s="98">
        <f ca="1">IF(N14=0,IF(N15&gt;0,ABS(N15),0),IF(N15=1,1-ABS(N15),0))</f>
        <v>0</v>
      </c>
      <c r="S15" s="98">
        <f ca="1">IF(N14=1,ABS(N15),IF(N14=2,1-ABS(N15),0))</f>
        <v>0</v>
      </c>
      <c r="T15" s="96"/>
      <c r="U15" s="106"/>
      <c r="V15" s="97">
        <f ca="1">IF(U14&gt;0,MOD(U14,1),MOD(U14,-1))</f>
        <v>-0.27714285714290554</v>
      </c>
      <c r="W15" s="99">
        <f ca="1">IF(V14&lt;0,100%,IF(V15&lt;0,ABS(V15),0))</f>
        <v>1</v>
      </c>
      <c r="X15" s="100">
        <f ca="1">IF(V14=0,1-ABS(V15),0)</f>
        <v>0</v>
      </c>
      <c r="Y15" s="100">
        <f ca="1">IF(V14&gt;0,100%,IF(V15&gt;0,V15,0))</f>
        <v>0</v>
      </c>
      <c r="Z15" s="48"/>
      <c r="AA15" s="10"/>
    </row>
    <row r="16" spans="1:27" ht="17.25" x14ac:dyDescent="0.3">
      <c r="A16" s="10"/>
      <c r="C16" s="6"/>
      <c r="D16" s="156">
        <f ca="1">D15</f>
        <v>46753.083333333336</v>
      </c>
      <c r="E16" s="86" t="s">
        <v>23</v>
      </c>
      <c r="F16" s="52"/>
      <c r="G16" s="58"/>
      <c r="H16" s="95">
        <f ca="1">TEXT(D16,"dd")-1</f>
        <v>0</v>
      </c>
      <c r="I16" s="89">
        <f ca="1">H16/(H16+H14)</f>
        <v>0</v>
      </c>
      <c r="J16" s="82">
        <f ca="1">IF(G15,J17,J15)</f>
        <v>96.93</v>
      </c>
      <c r="K16" s="82">
        <f t="shared" ca="1" si="0"/>
        <v>3.0699999999999932</v>
      </c>
      <c r="L16" s="96"/>
      <c r="M16" s="109"/>
      <c r="N16" s="96"/>
      <c r="O16" s="91"/>
      <c r="P16" s="91"/>
      <c r="Q16" s="91"/>
      <c r="R16" s="91"/>
      <c r="S16" s="91"/>
      <c r="T16" s="96"/>
      <c r="U16" s="106"/>
      <c r="V16" s="96"/>
      <c r="W16" s="92"/>
      <c r="X16" s="93"/>
      <c r="Y16" s="93"/>
      <c r="Z16" s="48"/>
      <c r="AA16" s="10"/>
    </row>
    <row r="17" spans="1:27" ht="17.25" x14ac:dyDescent="0.3">
      <c r="A17" s="10"/>
      <c r="C17" s="44" t="str">
        <f ca="1">TEXT(D17,"YYMM")&amp;"EE"</f>
        <v>2712EE</v>
      </c>
      <c r="D17" s="156">
        <f ca="1">D18</f>
        <v>46722.083333333336</v>
      </c>
      <c r="E17" s="86" t="s">
        <v>24</v>
      </c>
      <c r="F17" s="52"/>
      <c r="G17" s="58"/>
      <c r="H17" s="88">
        <f ca="1">DAY(EOMONTH(D17,0))-H19</f>
        <v>31</v>
      </c>
      <c r="I17" s="89">
        <f ca="1">H17/(H19+H17)</f>
        <v>1</v>
      </c>
      <c r="J17" s="82">
        <f ca="1">IF(G18,IF(G15,IF(I19=0,J18,(J18-I19*J20)/I17),J16),J18)</f>
        <v>96.85</v>
      </c>
      <c r="K17" s="82">
        <f t="shared" ca="1" si="0"/>
        <v>3.1500000000000057</v>
      </c>
      <c r="L17" s="82">
        <f ca="1">K17-K19</f>
        <v>0</v>
      </c>
      <c r="M17" s="105">
        <f ca="1">L17/25*100</f>
        <v>0</v>
      </c>
      <c r="N17" s="90">
        <f ca="1">TRUNC(M17,0)/1</f>
        <v>0</v>
      </c>
      <c r="O17" s="91"/>
      <c r="P17" s="91"/>
      <c r="Q17" s="91"/>
      <c r="R17" s="91"/>
      <c r="S17" s="91"/>
      <c r="T17" s="82">
        <f ca="1">K17-$K$88</f>
        <v>-0.48928571428571388</v>
      </c>
      <c r="U17" s="105">
        <f ca="1">T17/25*100</f>
        <v>-1.9571428571428555</v>
      </c>
      <c r="V17" s="90">
        <f ca="1">TRUNC(U17,0)/1</f>
        <v>-1</v>
      </c>
      <c r="W17" s="92"/>
      <c r="X17" s="93"/>
      <c r="Y17" s="93"/>
      <c r="Z17" s="48"/>
      <c r="AA17" s="10"/>
    </row>
    <row r="18" spans="1:27" ht="17.25" x14ac:dyDescent="0.3">
      <c r="A18" s="10"/>
      <c r="C18" s="44" t="str">
        <f ca="1">TEXT(D18,"YYMM")&amp;"E"</f>
        <v>2712E</v>
      </c>
      <c r="D18" s="85">
        <f ca="1">日历计算!G26</f>
        <v>46722.083333333336</v>
      </c>
      <c r="E18" s="86" t="s">
        <v>22</v>
      </c>
      <c r="F18" s="94" t="str">
        <f ca="1">IF(日历计算!H26&lt;&gt;0,日历计算!G26,"当月无会议"&amp;"("&amp;TEXT(日历计算!G26,"M")&amp;"月)")</f>
        <v>当月无会议(12月)</v>
      </c>
      <c r="G18" s="94" t="b">
        <f ca="1">IF(LEFT(F18,1)="当",FALSE,TRUE)</f>
        <v>0</v>
      </c>
      <c r="H18" s="95"/>
      <c r="I18" s="89"/>
      <c r="J18" s="82">
        <f ca="1">VLOOKUP(C18,FF期货结算价!D:Z,$B$3,0)</f>
        <v>96.85</v>
      </c>
      <c r="K18" s="82">
        <f t="shared" ca="1" si="0"/>
        <v>3.1500000000000057</v>
      </c>
      <c r="L18" s="96"/>
      <c r="M18" s="109"/>
      <c r="N18" s="97">
        <f ca="1">IF(M17&gt;0,MOD(M17,1),MOD(M17,-1))</f>
        <v>0</v>
      </c>
      <c r="O18" s="98">
        <f ca="1">IF(N17=-2,1-ABS(N18),IF(N17=-1,ABS(N18),0))</f>
        <v>0</v>
      </c>
      <c r="P18" s="98">
        <f ca="1">IF(N17=-1,1-ABS(N18),IF(N17=0,IF(N18&lt;0,ABS(N18),0),0))</f>
        <v>0</v>
      </c>
      <c r="Q18" s="98">
        <f ca="1">IF(N17=0,1-ABS(N18),0)</f>
        <v>1</v>
      </c>
      <c r="R18" s="98">
        <f ca="1">IF(N17=0,IF(N18&gt;0,ABS(N18),0),IF(N18=1,1-ABS(N18),0))</f>
        <v>0</v>
      </c>
      <c r="S18" s="98">
        <f ca="1">IF(N17=1,ABS(N18),IF(N17=2,1-ABS(N18),0))</f>
        <v>0</v>
      </c>
      <c r="T18" s="96"/>
      <c r="U18" s="106"/>
      <c r="V18" s="97">
        <f ca="1">IF(U17&gt;0,MOD(U17,1),MOD(U17,-1))</f>
        <v>-0.95714285714285552</v>
      </c>
      <c r="W18" s="99">
        <f ca="1">IF(V17&lt;0,100%,IF(V18&lt;0,ABS(V18),0))</f>
        <v>1</v>
      </c>
      <c r="X18" s="100">
        <f ca="1">IF(V17=0,1-ABS(V18),0)</f>
        <v>0</v>
      </c>
      <c r="Y18" s="100">
        <f ca="1">IF(V17&gt;0,100%,IF(V18&gt;0,V18,0))</f>
        <v>0</v>
      </c>
      <c r="Z18" s="48"/>
      <c r="AA18" s="10"/>
    </row>
    <row r="19" spans="1:27" ht="17.25" x14ac:dyDescent="0.3">
      <c r="A19" s="10"/>
      <c r="C19" s="6"/>
      <c r="D19" s="156">
        <f ca="1">D18</f>
        <v>46722.083333333336</v>
      </c>
      <c r="E19" s="86" t="s">
        <v>23</v>
      </c>
      <c r="F19" s="52"/>
      <c r="G19" s="58"/>
      <c r="H19" s="95">
        <f ca="1">TEXT(D19,"dd")-1</f>
        <v>0</v>
      </c>
      <c r="I19" s="89">
        <f ca="1">H19/(H19+H17)</f>
        <v>0</v>
      </c>
      <c r="J19" s="82">
        <f ca="1">IF(G18,J20,J18)</f>
        <v>96.85</v>
      </c>
      <c r="K19" s="82">
        <f t="shared" ca="1" si="0"/>
        <v>3.1500000000000057</v>
      </c>
      <c r="L19" s="96"/>
      <c r="M19" s="109"/>
      <c r="N19" s="96"/>
      <c r="O19" s="91"/>
      <c r="P19" s="91"/>
      <c r="Q19" s="91"/>
      <c r="R19" s="91"/>
      <c r="S19" s="91"/>
      <c r="T19" s="96"/>
      <c r="U19" s="106"/>
      <c r="V19" s="96"/>
      <c r="W19" s="92"/>
      <c r="X19" s="93"/>
      <c r="Y19" s="93"/>
      <c r="Z19" s="48"/>
      <c r="AA19" s="10"/>
    </row>
    <row r="20" spans="1:27" ht="17.25" x14ac:dyDescent="0.3">
      <c r="A20" s="10"/>
      <c r="C20" s="44" t="str">
        <f ca="1">TEXT(D20,"YYMM")&amp;"EE"</f>
        <v>2711EE</v>
      </c>
      <c r="D20" s="85">
        <f ca="1">D21</f>
        <v>46692.083333333336</v>
      </c>
      <c r="E20" s="86" t="s">
        <v>24</v>
      </c>
      <c r="F20" s="52"/>
      <c r="G20" s="58"/>
      <c r="H20" s="88">
        <f ca="1">DAY(EOMONTH(D20,0))-H22</f>
        <v>30</v>
      </c>
      <c r="I20" s="89">
        <f ca="1">H20/(H22+H20)</f>
        <v>1</v>
      </c>
      <c r="J20" s="82">
        <f ca="1">IF(G21,IF(G18,IF(I22=0,J21,(J21-I22*J23)/I20),J19),J21)</f>
        <v>96.864999999999995</v>
      </c>
      <c r="K20" s="82">
        <f t="shared" ca="1" si="0"/>
        <v>3.1350000000000051</v>
      </c>
      <c r="L20" s="82">
        <f ca="1">K20-K22</f>
        <v>0</v>
      </c>
      <c r="M20" s="105">
        <f ca="1">L20/25*100</f>
        <v>0</v>
      </c>
      <c r="N20" s="90">
        <f ca="1">TRUNC(M20,0)/1</f>
        <v>0</v>
      </c>
      <c r="O20" s="91"/>
      <c r="P20" s="91"/>
      <c r="Q20" s="91"/>
      <c r="R20" s="91"/>
      <c r="S20" s="91"/>
      <c r="T20" s="82">
        <f ca="1">K20-$K$88</f>
        <v>-0.50428571428571445</v>
      </c>
      <c r="U20" s="105">
        <f ca="1">T20/25*100</f>
        <v>-2.0171428571428578</v>
      </c>
      <c r="V20" s="90">
        <f ca="1">TRUNC(U20,0)/1</f>
        <v>-2</v>
      </c>
      <c r="W20" s="92"/>
      <c r="X20" s="93"/>
      <c r="Y20" s="93"/>
      <c r="Z20" s="48"/>
      <c r="AA20" s="10"/>
    </row>
    <row r="21" spans="1:27" ht="17.25" x14ac:dyDescent="0.3">
      <c r="A21" s="10"/>
      <c r="C21" s="44" t="str">
        <f ca="1">TEXT(D21,"YYMM")&amp;"E"</f>
        <v>2711E</v>
      </c>
      <c r="D21" s="85">
        <f ca="1">日历计算!G25</f>
        <v>46692.083333333336</v>
      </c>
      <c r="E21" s="86" t="s">
        <v>22</v>
      </c>
      <c r="F21" s="94" t="str">
        <f ca="1">IF(日历计算!H25&lt;&gt;0,日历计算!G25,"当月无会议"&amp;"("&amp;TEXT(日历计算!G25,"M")&amp;"月)")</f>
        <v>当月无会议(11月)</v>
      </c>
      <c r="G21" s="94" t="b">
        <f ca="1">IF(LEFT(F21,1)="当",FALSE,TRUE)</f>
        <v>0</v>
      </c>
      <c r="H21" s="95"/>
      <c r="I21" s="89"/>
      <c r="J21" s="82">
        <f ca="1">VLOOKUP(C21,FF期货结算价!D:Z,$B$3,0)</f>
        <v>96.864999999999995</v>
      </c>
      <c r="K21" s="82">
        <f t="shared" ca="1" si="0"/>
        <v>3.1350000000000051</v>
      </c>
      <c r="L21" s="96"/>
      <c r="M21" s="109"/>
      <c r="N21" s="97">
        <f ca="1">IF(M20&gt;0,MOD(M20,1),MOD(M20,-1))</f>
        <v>0</v>
      </c>
      <c r="O21" s="98">
        <f ca="1">IF(N20=-2,1-ABS(N21),IF(N20=-1,ABS(N21),0))</f>
        <v>0</v>
      </c>
      <c r="P21" s="98">
        <f ca="1">IF(N20=-1,1-ABS(N21),IF(N20=0,IF(N21&lt;0,ABS(N21),0),0))</f>
        <v>0</v>
      </c>
      <c r="Q21" s="98">
        <f ca="1">IF(N20=0,1-ABS(N21),0)</f>
        <v>1</v>
      </c>
      <c r="R21" s="98">
        <f ca="1">IF(N20=0,IF(N21&gt;0,ABS(N21),0),IF(N21=1,1-ABS(N21),0))</f>
        <v>0</v>
      </c>
      <c r="S21" s="98">
        <f ca="1">IF(N20=1,ABS(N21),IF(N20=2,1-ABS(N21),0))</f>
        <v>0</v>
      </c>
      <c r="T21" s="96"/>
      <c r="U21" s="106"/>
      <c r="V21" s="97">
        <f ca="1">IF(U20&gt;0,MOD(U20,1),MOD(U20,-1))</f>
        <v>-1.7142857142857792E-2</v>
      </c>
      <c r="W21" s="99">
        <f ca="1">IF(V20&lt;0,100%,IF(V21&lt;0,ABS(V21),0))</f>
        <v>1</v>
      </c>
      <c r="X21" s="100">
        <f ca="1">IF(V20=0,1-ABS(V21),0)</f>
        <v>0</v>
      </c>
      <c r="Y21" s="100">
        <f ca="1">IF(V20&gt;0,100%,IF(V21&gt;0,V21,0))</f>
        <v>0</v>
      </c>
      <c r="Z21" s="48"/>
      <c r="AA21" s="10"/>
    </row>
    <row r="22" spans="1:27" ht="17.25" x14ac:dyDescent="0.3">
      <c r="A22" s="10"/>
      <c r="C22" s="6"/>
      <c r="D22" s="85">
        <f ca="1">D21</f>
        <v>46692.083333333336</v>
      </c>
      <c r="E22" s="86" t="s">
        <v>23</v>
      </c>
      <c r="F22" s="52"/>
      <c r="G22" s="58"/>
      <c r="H22" s="95">
        <f ca="1">TEXT(D22,"dd")-1</f>
        <v>0</v>
      </c>
      <c r="I22" s="89">
        <f ca="1">H22/(H22+H20)</f>
        <v>0</v>
      </c>
      <c r="J22" s="82">
        <f ca="1">IF(G21,J23,J21)</f>
        <v>96.864999999999995</v>
      </c>
      <c r="K22" s="82">
        <f t="shared" ca="1" si="0"/>
        <v>3.1350000000000051</v>
      </c>
      <c r="L22" s="96"/>
      <c r="M22" s="109"/>
      <c r="N22" s="96"/>
      <c r="O22" s="91"/>
      <c r="P22" s="91"/>
      <c r="Q22" s="91"/>
      <c r="R22" s="91"/>
      <c r="S22" s="91"/>
      <c r="T22" s="96"/>
      <c r="U22" s="106"/>
      <c r="V22" s="96"/>
      <c r="W22" s="92"/>
      <c r="X22" s="93"/>
      <c r="Y22" s="93"/>
      <c r="Z22" s="48"/>
      <c r="AA22" s="10"/>
    </row>
    <row r="23" spans="1:27" ht="17.25" x14ac:dyDescent="0.3">
      <c r="A23" s="10"/>
      <c r="C23" s="44" t="str">
        <f ca="1">TEXT(D23,"YYMM")&amp;"EE"</f>
        <v>2710EE</v>
      </c>
      <c r="D23" s="85">
        <f ca="1">D24</f>
        <v>46661.083333333336</v>
      </c>
      <c r="E23" s="86" t="s">
        <v>24</v>
      </c>
      <c r="F23" s="52"/>
      <c r="G23" s="58"/>
      <c r="H23" s="88">
        <f ca="1">DAY(EOMONTH(D23,0))-H25</f>
        <v>31</v>
      </c>
      <c r="I23" s="89">
        <f ca="1">H23/(H25+H23)</f>
        <v>1</v>
      </c>
      <c r="J23" s="82">
        <f ca="1">IF(G24,IF(G21,IF(I25=0,J24,(J24-I25*J26)/I23),J22),J24)</f>
        <v>96.885000000000005</v>
      </c>
      <c r="K23" s="82">
        <f t="shared" ca="1" si="0"/>
        <v>3.1149999999999949</v>
      </c>
      <c r="L23" s="82">
        <f ca="1">K23-K25</f>
        <v>0</v>
      </c>
      <c r="M23" s="105">
        <f ca="1">L23/25*100</f>
        <v>0</v>
      </c>
      <c r="N23" s="90">
        <f ca="1">TRUNC(M23,0)/1</f>
        <v>0</v>
      </c>
      <c r="O23" s="91"/>
      <c r="P23" s="91"/>
      <c r="Q23" s="91"/>
      <c r="R23" s="91"/>
      <c r="S23" s="91"/>
      <c r="T23" s="82">
        <f ca="1">K23-$K$88</f>
        <v>-0.52428571428572468</v>
      </c>
      <c r="U23" s="105">
        <f ca="1">T23/25*100</f>
        <v>-2.0971428571428987</v>
      </c>
      <c r="V23" s="90">
        <f ca="1">TRUNC(U23,0)/1</f>
        <v>-2</v>
      </c>
      <c r="W23" s="92"/>
      <c r="X23" s="93"/>
      <c r="Y23" s="93"/>
      <c r="Z23" s="48"/>
      <c r="AA23" s="10"/>
    </row>
    <row r="24" spans="1:27" ht="17.25" x14ac:dyDescent="0.3">
      <c r="A24" s="10"/>
      <c r="C24" s="44" t="str">
        <f ca="1">TEXT(D24,"YYMM")&amp;"E"</f>
        <v>2710E</v>
      </c>
      <c r="D24" s="85">
        <f ca="1">日历计算!G24</f>
        <v>46661.083333333336</v>
      </c>
      <c r="E24" s="86" t="s">
        <v>22</v>
      </c>
      <c r="F24" s="94" t="str">
        <f ca="1">IF(日历计算!H24&lt;&gt;0,日历计算!G24,"当月无会议"&amp;"("&amp;TEXT(日历计算!G24,"M")&amp;"月)")</f>
        <v>当月无会议(10月)</v>
      </c>
      <c r="G24" s="94" t="b">
        <f ca="1">IF(LEFT(F24,1)="当",FALSE,TRUE)</f>
        <v>0</v>
      </c>
      <c r="H24" s="95"/>
      <c r="I24" s="89"/>
      <c r="J24" s="82">
        <f ca="1">VLOOKUP(C24,FF期货结算价!D:Z,$B$3,0)</f>
        <v>96.885000000000005</v>
      </c>
      <c r="K24" s="82">
        <f t="shared" ca="1" si="0"/>
        <v>3.1149999999999949</v>
      </c>
      <c r="L24" s="96"/>
      <c r="M24" s="109"/>
      <c r="N24" s="97">
        <f ca="1">IF(M23&gt;0,MOD(M23,1),MOD(M23,-1))</f>
        <v>0</v>
      </c>
      <c r="O24" s="98">
        <f ca="1">IF(N23=-2,1-ABS(N24),IF(N23=-1,ABS(N24),0))</f>
        <v>0</v>
      </c>
      <c r="P24" s="98">
        <f ca="1">IF(N23=-1,1-ABS(N24),IF(N23=0,IF(N24&lt;0,ABS(N24),0),0))</f>
        <v>0</v>
      </c>
      <c r="Q24" s="98">
        <f ca="1">IF(N23=0,1-ABS(N24),0)</f>
        <v>1</v>
      </c>
      <c r="R24" s="98">
        <f ca="1">IF(N23=0,IF(N24&gt;0,ABS(N24),0),IF(N24=1,1-ABS(N24),0))</f>
        <v>0</v>
      </c>
      <c r="S24" s="98">
        <f ca="1">IF(N23=1,ABS(N24),IF(N23=2,1-ABS(N24),0))</f>
        <v>0</v>
      </c>
      <c r="T24" s="96"/>
      <c r="U24" s="106"/>
      <c r="V24" s="97">
        <f ca="1">IF(U23&gt;0,MOD(U23,1),MOD(U23,-1))</f>
        <v>-9.714285714289872E-2</v>
      </c>
      <c r="W24" s="99">
        <f ca="1">IF(V23&lt;0,100%,IF(V24&lt;0,ABS(V24),0))</f>
        <v>1</v>
      </c>
      <c r="X24" s="100">
        <f ca="1">IF(V23=0,1-ABS(V24),0)</f>
        <v>0</v>
      </c>
      <c r="Y24" s="100">
        <f ca="1">IF(V23&gt;0,100%,IF(V24&gt;0,V24,0))</f>
        <v>0</v>
      </c>
      <c r="Z24" s="48"/>
      <c r="AA24" s="10"/>
    </row>
    <row r="25" spans="1:27" ht="17.25" x14ac:dyDescent="0.3">
      <c r="A25" s="10"/>
      <c r="C25" s="6"/>
      <c r="D25" s="85">
        <f ca="1">D24</f>
        <v>46661.083333333336</v>
      </c>
      <c r="E25" s="86" t="s">
        <v>23</v>
      </c>
      <c r="F25" s="52"/>
      <c r="G25" s="58"/>
      <c r="H25" s="95">
        <f ca="1">TEXT(D25,"dd")-1</f>
        <v>0</v>
      </c>
      <c r="I25" s="89">
        <f ca="1">H25/(H25+H23)</f>
        <v>0</v>
      </c>
      <c r="J25" s="82">
        <f ca="1">IF(G24,J26,J24)</f>
        <v>96.885000000000005</v>
      </c>
      <c r="K25" s="82">
        <f t="shared" ca="1" si="0"/>
        <v>3.1149999999999949</v>
      </c>
      <c r="L25" s="96"/>
      <c r="M25" s="109"/>
      <c r="N25" s="96"/>
      <c r="O25" s="91"/>
      <c r="P25" s="91"/>
      <c r="Q25" s="91"/>
      <c r="R25" s="91"/>
      <c r="S25" s="91"/>
      <c r="T25" s="96"/>
      <c r="U25" s="106"/>
      <c r="V25" s="96"/>
      <c r="W25" s="92"/>
      <c r="X25" s="93"/>
      <c r="Y25" s="93"/>
      <c r="Z25" s="48"/>
      <c r="AA25" s="10"/>
    </row>
    <row r="26" spans="1:27" ht="17.25" x14ac:dyDescent="0.3">
      <c r="A26" s="10"/>
      <c r="C26" s="44" t="str">
        <f ca="1">TEXT(D26,"YYMM")&amp;"EE"</f>
        <v>2709EE</v>
      </c>
      <c r="D26" s="85">
        <f ca="1">D27</f>
        <v>46631.083333333336</v>
      </c>
      <c r="E26" s="86" t="s">
        <v>24</v>
      </c>
      <c r="F26" s="52"/>
      <c r="G26" s="58"/>
      <c r="H26" s="88">
        <f ca="1">DAY(EOMONTH(D26,0))-H28</f>
        <v>30</v>
      </c>
      <c r="I26" s="89">
        <f ca="1">H26/(H28+H26)</f>
        <v>1</v>
      </c>
      <c r="J26" s="82">
        <f ca="1">IF(G27,IF(G24,IF(I28=0,J27,(J27-I28*J29)/I26),J25),J27)</f>
        <v>96.89</v>
      </c>
      <c r="K26" s="82">
        <f t="shared" ca="1" si="0"/>
        <v>3.1099999999999994</v>
      </c>
      <c r="L26" s="82">
        <f ca="1">K26-K28</f>
        <v>0</v>
      </c>
      <c r="M26" s="105">
        <f ca="1">L26/25*100</f>
        <v>0</v>
      </c>
      <c r="N26" s="90">
        <f ca="1">TRUNC(M26,0)/1</f>
        <v>0</v>
      </c>
      <c r="O26" s="91"/>
      <c r="P26" s="91"/>
      <c r="Q26" s="91"/>
      <c r="R26" s="91"/>
      <c r="S26" s="91"/>
      <c r="T26" s="82">
        <f ca="1">K26-$K$88</f>
        <v>-0.52928571428572013</v>
      </c>
      <c r="U26" s="105">
        <f ca="1">T26/25*100</f>
        <v>-2.1171428571428805</v>
      </c>
      <c r="V26" s="90">
        <f ca="1">TRUNC(U26,0)/1</f>
        <v>-2</v>
      </c>
      <c r="W26" s="92"/>
      <c r="X26" s="93"/>
      <c r="Y26" s="93"/>
      <c r="Z26" s="48"/>
      <c r="AA26" s="10"/>
    </row>
    <row r="27" spans="1:27" ht="17.25" x14ac:dyDescent="0.3">
      <c r="A27" s="10"/>
      <c r="C27" s="44" t="str">
        <f ca="1">TEXT(D27,"YYMM")&amp;"E"</f>
        <v>2709E</v>
      </c>
      <c r="D27" s="85">
        <f ca="1">日历计算!G23</f>
        <v>46631.083333333336</v>
      </c>
      <c r="E27" s="86" t="s">
        <v>22</v>
      </c>
      <c r="F27" s="94" t="str">
        <f ca="1">IF(日历计算!H23&lt;&gt;0,日历计算!G23,"当月无会议"&amp;"("&amp;TEXT(日历计算!G23,"M")&amp;"月)")</f>
        <v>当月无会议(9月)</v>
      </c>
      <c r="G27" s="94" t="b">
        <f ca="1">IF(LEFT(F27,1)="当",FALSE,TRUE)</f>
        <v>0</v>
      </c>
      <c r="H27" s="95"/>
      <c r="I27" s="89"/>
      <c r="J27" s="82">
        <f ca="1">VLOOKUP(C27,FF期货结算价!D:Z,$B$3,0)</f>
        <v>96.89</v>
      </c>
      <c r="K27" s="82">
        <f t="shared" ca="1" si="0"/>
        <v>3.1099999999999994</v>
      </c>
      <c r="L27" s="96"/>
      <c r="M27" s="109"/>
      <c r="N27" s="97">
        <f ca="1">IF(M26&gt;0,MOD(M26,1),MOD(M26,-1))</f>
        <v>0</v>
      </c>
      <c r="O27" s="98">
        <f ca="1">IF(N26=-2,1-ABS(N27),IF(N26=-1,ABS(N27),0))</f>
        <v>0</v>
      </c>
      <c r="P27" s="98">
        <f ca="1">IF(N26=-1,1-ABS(N27),IF(N26=0,IF(N27&lt;0,ABS(N27),0),0))</f>
        <v>0</v>
      </c>
      <c r="Q27" s="98">
        <f ca="1">IF(N26=0,1-ABS(N27),0)</f>
        <v>1</v>
      </c>
      <c r="R27" s="98">
        <f ca="1">IF(N26=0,IF(N27&gt;0,ABS(N27),0),IF(N27=1,1-ABS(N27),0))</f>
        <v>0</v>
      </c>
      <c r="S27" s="98">
        <f ca="1">IF(N26=1,ABS(N27),IF(N26=2,1-ABS(N27),0))</f>
        <v>0</v>
      </c>
      <c r="T27" s="96"/>
      <c r="U27" s="106"/>
      <c r="V27" s="97">
        <f ca="1">IF(U26&gt;0,MOD(U26,1),MOD(U26,-1))</f>
        <v>-0.11714285714288053</v>
      </c>
      <c r="W27" s="99">
        <f ca="1">IF(V26&lt;0,100%,IF(V27&lt;0,ABS(V27),0))</f>
        <v>1</v>
      </c>
      <c r="X27" s="100">
        <f ca="1">IF(V26=0,1-ABS(V27),0)</f>
        <v>0</v>
      </c>
      <c r="Y27" s="100">
        <f ca="1">IF(V26&gt;0,100%,IF(V27&gt;0,V27,0))</f>
        <v>0</v>
      </c>
      <c r="Z27" s="48"/>
      <c r="AA27" s="10"/>
    </row>
    <row r="28" spans="1:27" ht="17.25" x14ac:dyDescent="0.3">
      <c r="A28" s="10"/>
      <c r="C28" s="6"/>
      <c r="D28" s="85">
        <f ca="1">D27</f>
        <v>46631.083333333336</v>
      </c>
      <c r="E28" s="86" t="s">
        <v>23</v>
      </c>
      <c r="F28" s="52"/>
      <c r="G28" s="58"/>
      <c r="H28" s="95">
        <f ca="1">TEXT(D28,"dd")-1</f>
        <v>0</v>
      </c>
      <c r="I28" s="89">
        <f ca="1">H28/(H28+H26)</f>
        <v>0</v>
      </c>
      <c r="J28" s="82">
        <f ca="1">IF(G27,J29,J27)</f>
        <v>96.89</v>
      </c>
      <c r="K28" s="82">
        <f t="shared" ca="1" si="0"/>
        <v>3.1099999999999994</v>
      </c>
      <c r="L28" s="96"/>
      <c r="M28" s="109"/>
      <c r="N28" s="96"/>
      <c r="O28" s="91"/>
      <c r="P28" s="91"/>
      <c r="Q28" s="91"/>
      <c r="R28" s="91"/>
      <c r="S28" s="91"/>
      <c r="T28" s="96"/>
      <c r="U28" s="106"/>
      <c r="V28" s="96"/>
      <c r="W28" s="92"/>
      <c r="X28" s="93"/>
      <c r="Y28" s="93"/>
      <c r="Z28" s="48"/>
      <c r="AA28" s="10"/>
    </row>
    <row r="29" spans="1:27" ht="17.25" x14ac:dyDescent="0.3">
      <c r="A29" s="10"/>
      <c r="C29" s="44" t="str">
        <f ca="1">TEXT(D29,"YYMM")&amp;"EE"</f>
        <v>2708EE</v>
      </c>
      <c r="D29" s="85">
        <f ca="1">D30</f>
        <v>46600.083333333336</v>
      </c>
      <c r="E29" s="86" t="s">
        <v>24</v>
      </c>
      <c r="F29" s="52"/>
      <c r="G29" s="58"/>
      <c r="H29" s="88">
        <f ca="1">DAY(EOMONTH(D29,0))-H31</f>
        <v>31</v>
      </c>
      <c r="I29" s="89">
        <f ca="1">H29/(H31+H29)</f>
        <v>1</v>
      </c>
      <c r="J29" s="82">
        <f ca="1">IF(G30,IF(G27,IF(I31=0,J30,(J30-I31*J32)/I29),J28),J30)</f>
        <v>96.89</v>
      </c>
      <c r="K29" s="82">
        <f t="shared" ca="1" si="0"/>
        <v>3.1099999999999994</v>
      </c>
      <c r="L29" s="82">
        <f ca="1">K29-K31</f>
        <v>0</v>
      </c>
      <c r="M29" s="105">
        <f ca="1">L29/25*100</f>
        <v>0</v>
      </c>
      <c r="N29" s="90">
        <f ca="1">TRUNC(M29,0)/1</f>
        <v>0</v>
      </c>
      <c r="O29" s="91"/>
      <c r="P29" s="91"/>
      <c r="Q29" s="91"/>
      <c r="R29" s="91"/>
      <c r="S29" s="91"/>
      <c r="T29" s="82">
        <f ca="1">K29-$K$88</f>
        <v>-0.52928571428572013</v>
      </c>
      <c r="U29" s="105">
        <f ca="1">T29/25*100</f>
        <v>-2.1171428571428805</v>
      </c>
      <c r="V29" s="90">
        <f ca="1">TRUNC(U29,0)/1</f>
        <v>-2</v>
      </c>
      <c r="W29" s="92"/>
      <c r="X29" s="93"/>
      <c r="Y29" s="93"/>
      <c r="Z29" s="48"/>
      <c r="AA29" s="10"/>
    </row>
    <row r="30" spans="1:27" ht="17.25" x14ac:dyDescent="0.3">
      <c r="A30" s="10"/>
      <c r="C30" s="44" t="str">
        <f ca="1">TEXT(D30,"YYMM")&amp;"E"</f>
        <v>2708E</v>
      </c>
      <c r="D30" s="85">
        <f ca="1">日历计算!G22</f>
        <v>46600.083333333336</v>
      </c>
      <c r="E30" s="86" t="s">
        <v>22</v>
      </c>
      <c r="F30" s="94" t="str">
        <f ca="1">IF(日历计算!H22&lt;&gt;0,日历计算!G22,"当月无会议"&amp;"("&amp;TEXT(日历计算!G22,"M")&amp;"月)")</f>
        <v>当月无会议(8月)</v>
      </c>
      <c r="G30" s="94" t="b">
        <f ca="1">IF(LEFT(F30,1)="当",FALSE,TRUE)</f>
        <v>0</v>
      </c>
      <c r="H30" s="95"/>
      <c r="I30" s="89"/>
      <c r="J30" s="82">
        <f ca="1">VLOOKUP(C30,FF期货结算价!D:Z,$B$3,0)</f>
        <v>96.89</v>
      </c>
      <c r="K30" s="82">
        <f t="shared" ca="1" si="0"/>
        <v>3.1099999999999994</v>
      </c>
      <c r="L30" s="96"/>
      <c r="M30" s="109"/>
      <c r="N30" s="97">
        <f ca="1">IF(M29&gt;0,MOD(M29,1),MOD(M29,-1))</f>
        <v>0</v>
      </c>
      <c r="O30" s="98">
        <f ca="1">IF(N29=-2,1-ABS(N30),IF(N29=-1,ABS(N30),0))</f>
        <v>0</v>
      </c>
      <c r="P30" s="98">
        <f ca="1">IF(N29=-1,1-ABS(N30),IF(N29=0,IF(N30&lt;0,ABS(N30),0),0))</f>
        <v>0</v>
      </c>
      <c r="Q30" s="98">
        <f ca="1">IF(N29=0,1-ABS(N30),0)</f>
        <v>1</v>
      </c>
      <c r="R30" s="98">
        <f ca="1">IF(N29=0,IF(N30&gt;0,ABS(N30),0),IF(N30=1,1-ABS(N30),0))</f>
        <v>0</v>
      </c>
      <c r="S30" s="98">
        <f ca="1">IF(N29=1,ABS(N30),IF(N29=2,1-ABS(N30),0))</f>
        <v>0</v>
      </c>
      <c r="T30" s="96"/>
      <c r="U30" s="106"/>
      <c r="V30" s="97">
        <f ca="1">IF(U29&gt;0,MOD(U29,1),MOD(U29,-1))</f>
        <v>-0.11714285714288053</v>
      </c>
      <c r="W30" s="99">
        <f ca="1">IF(V29&lt;0,100%,IF(V30&lt;0,ABS(V30),0))</f>
        <v>1</v>
      </c>
      <c r="X30" s="100">
        <f ca="1">IF(V29=0,1-ABS(V30),0)</f>
        <v>0</v>
      </c>
      <c r="Y30" s="100">
        <f ca="1">IF(V29&gt;0,100%,IF(V30&gt;0,V30,0))</f>
        <v>0</v>
      </c>
      <c r="Z30" s="48"/>
      <c r="AA30" s="10"/>
    </row>
    <row r="31" spans="1:27" ht="17.25" x14ac:dyDescent="0.3">
      <c r="A31" s="10"/>
      <c r="C31" s="6"/>
      <c r="D31" s="85">
        <f ca="1">D30</f>
        <v>46600.083333333336</v>
      </c>
      <c r="E31" s="86" t="s">
        <v>23</v>
      </c>
      <c r="F31" s="52"/>
      <c r="G31" s="58"/>
      <c r="H31" s="95">
        <f ca="1">TEXT(D31,"dd")-1</f>
        <v>0</v>
      </c>
      <c r="I31" s="89">
        <f ca="1">H31/(H31+H29)</f>
        <v>0</v>
      </c>
      <c r="J31" s="82">
        <f ca="1">IF(G30,J32,J30)</f>
        <v>96.89</v>
      </c>
      <c r="K31" s="82">
        <f t="shared" ca="1" si="0"/>
        <v>3.1099999999999994</v>
      </c>
      <c r="L31" s="96"/>
      <c r="M31" s="109"/>
      <c r="N31" s="96"/>
      <c r="O31" s="91"/>
      <c r="P31" s="91"/>
      <c r="Q31" s="91"/>
      <c r="R31" s="91"/>
      <c r="S31" s="91"/>
      <c r="T31" s="96"/>
      <c r="U31" s="106"/>
      <c r="V31" s="96"/>
      <c r="W31" s="92"/>
      <c r="X31" s="93"/>
      <c r="Y31" s="93"/>
      <c r="Z31" s="48"/>
      <c r="AA31" s="10"/>
    </row>
    <row r="32" spans="1:27" ht="17.25" x14ac:dyDescent="0.3">
      <c r="A32" s="10"/>
      <c r="C32" s="44" t="str">
        <f ca="1">TEXT(D32,"YYMM")&amp;"EE"</f>
        <v>2707EE</v>
      </c>
      <c r="D32" s="85">
        <f ca="1">D33</f>
        <v>46569.083333333336</v>
      </c>
      <c r="E32" s="86" t="s">
        <v>24</v>
      </c>
      <c r="F32" s="52"/>
      <c r="G32" s="58"/>
      <c r="H32" s="88">
        <f ca="1">DAY(EOMONTH(D32,0))-H34</f>
        <v>31</v>
      </c>
      <c r="I32" s="89">
        <f ca="1">H32/(H34+H32)</f>
        <v>1</v>
      </c>
      <c r="J32" s="82">
        <f ca="1">IF(G33,IF(G30,IF(I34=0,J33,(J33-I34*J35)/I32),J31),J33)</f>
        <v>96.9</v>
      </c>
      <c r="K32" s="82">
        <f t="shared" ca="1" si="0"/>
        <v>3.0999999999999943</v>
      </c>
      <c r="L32" s="82">
        <f ca="1">K32-K34</f>
        <v>0</v>
      </c>
      <c r="M32" s="105">
        <f ca="1">L32/25*100</f>
        <v>0</v>
      </c>
      <c r="N32" s="90">
        <f ca="1">TRUNC(M32,0)/1</f>
        <v>0</v>
      </c>
      <c r="O32" s="91"/>
      <c r="P32" s="91"/>
      <c r="Q32" s="91"/>
      <c r="R32" s="91"/>
      <c r="S32" s="91"/>
      <c r="T32" s="82">
        <f ca="1">K32-$K$88</f>
        <v>-0.53928571428572525</v>
      </c>
      <c r="U32" s="105">
        <f ca="1">T32/25*100</f>
        <v>-2.157142857142901</v>
      </c>
      <c r="V32" s="90">
        <f ca="1">TRUNC(U32,0)/1</f>
        <v>-2</v>
      </c>
      <c r="W32" s="92"/>
      <c r="X32" s="93"/>
      <c r="Y32" s="93"/>
      <c r="Z32" s="48"/>
      <c r="AA32" s="10"/>
    </row>
    <row r="33" spans="1:27" ht="17.25" x14ac:dyDescent="0.3">
      <c r="A33" s="10"/>
      <c r="C33" s="44" t="str">
        <f ca="1">TEXT(D33,"YYMM")&amp;"E"</f>
        <v>2707E</v>
      </c>
      <c r="D33" s="85">
        <f ca="1">日历计算!G21</f>
        <v>46569.083333333336</v>
      </c>
      <c r="E33" s="86" t="s">
        <v>22</v>
      </c>
      <c r="F33" s="94" t="str">
        <f ca="1">IF(日历计算!H21&lt;&gt;0,日历计算!G21,"当月无会议"&amp;"("&amp;TEXT(日历计算!G21,"M")&amp;"月)")</f>
        <v>当月无会议(7月)</v>
      </c>
      <c r="G33" s="94" t="b">
        <f ca="1">IF(LEFT(F33,1)="当",FALSE,TRUE)</f>
        <v>0</v>
      </c>
      <c r="H33" s="95"/>
      <c r="I33" s="89"/>
      <c r="J33" s="82">
        <f ca="1">VLOOKUP(C33,FF期货结算价!D:Z,$B$3,0)</f>
        <v>96.9</v>
      </c>
      <c r="K33" s="82">
        <f t="shared" ca="1" si="0"/>
        <v>3.0999999999999943</v>
      </c>
      <c r="L33" s="96"/>
      <c r="M33" s="109"/>
      <c r="N33" s="97">
        <f ca="1">IF(M32&gt;0,MOD(M32,1),MOD(M32,-1))</f>
        <v>0</v>
      </c>
      <c r="O33" s="98">
        <f ca="1">IF(N32=-2,1-ABS(N33),IF(N32=-1,ABS(N33),0))</f>
        <v>0</v>
      </c>
      <c r="P33" s="98">
        <f ca="1">IF(N32=-1,1-ABS(N33),IF(N32=0,IF(N33&lt;0,ABS(N33),0),0))</f>
        <v>0</v>
      </c>
      <c r="Q33" s="98">
        <f ca="1">IF(N32=0,1-ABS(N33),0)</f>
        <v>1</v>
      </c>
      <c r="R33" s="98">
        <f ca="1">IF(N32=0,IF(N33&gt;0,ABS(N33),0),IF(N33=1,1-ABS(N33),0))</f>
        <v>0</v>
      </c>
      <c r="S33" s="98">
        <f ca="1">IF(N32=1,ABS(N33),IF(N32=2,1-ABS(N33),0))</f>
        <v>0</v>
      </c>
      <c r="T33" s="96"/>
      <c r="U33" s="106"/>
      <c r="V33" s="97">
        <f ca="1">IF(U32&gt;0,MOD(U32,1),MOD(U32,-1))</f>
        <v>-0.15714285714290099</v>
      </c>
      <c r="W33" s="99">
        <f ca="1">IF(V32&lt;0,100%,IF(V33&lt;0,ABS(V33),0))</f>
        <v>1</v>
      </c>
      <c r="X33" s="100">
        <f ca="1">IF(V32=0,1-ABS(V33),0)</f>
        <v>0</v>
      </c>
      <c r="Y33" s="100">
        <f ca="1">IF(V32&gt;0,100%,IF(V33&gt;0,V33,0))</f>
        <v>0</v>
      </c>
      <c r="Z33" s="48"/>
      <c r="AA33" s="10"/>
    </row>
    <row r="34" spans="1:27" ht="17.25" x14ac:dyDescent="0.3">
      <c r="A34" s="10"/>
      <c r="C34" s="6"/>
      <c r="D34" s="85">
        <f ca="1">D33</f>
        <v>46569.083333333336</v>
      </c>
      <c r="E34" s="86" t="s">
        <v>23</v>
      </c>
      <c r="F34" s="52"/>
      <c r="G34" s="58"/>
      <c r="H34" s="95">
        <f ca="1">TEXT(D34,"dd")-1</f>
        <v>0</v>
      </c>
      <c r="I34" s="89">
        <f ca="1">H34/(H34+H32)</f>
        <v>0</v>
      </c>
      <c r="J34" s="82">
        <f ca="1">IF(G33,J35,J33)</f>
        <v>96.9</v>
      </c>
      <c r="K34" s="82">
        <f t="shared" ca="1" si="0"/>
        <v>3.0999999999999943</v>
      </c>
      <c r="L34" s="96"/>
      <c r="M34" s="109"/>
      <c r="N34" s="96"/>
      <c r="O34" s="91"/>
      <c r="P34" s="91"/>
      <c r="Q34" s="91"/>
      <c r="R34" s="91"/>
      <c r="S34" s="91"/>
      <c r="T34" s="96"/>
      <c r="U34" s="106"/>
      <c r="V34" s="96"/>
      <c r="W34" s="92"/>
      <c r="X34" s="93"/>
      <c r="Y34" s="93"/>
      <c r="Z34" s="48"/>
      <c r="AA34" s="10"/>
    </row>
    <row r="35" spans="1:27" ht="17.25" x14ac:dyDescent="0.3">
      <c r="A35" s="10"/>
      <c r="C35" s="44" t="str">
        <f ca="1">TEXT(D35,"YYMM")&amp;"EE"</f>
        <v>2706EE</v>
      </c>
      <c r="D35" s="85">
        <f ca="1">D36</f>
        <v>46539.083333333336</v>
      </c>
      <c r="E35" s="86" t="s">
        <v>24</v>
      </c>
      <c r="F35" s="52"/>
      <c r="G35" s="58"/>
      <c r="H35" s="88">
        <f ca="1">DAY(EOMONTH(D35,0))-H37</f>
        <v>30</v>
      </c>
      <c r="I35" s="89">
        <f ca="1">H35/(H37+H35)</f>
        <v>1</v>
      </c>
      <c r="J35" s="82">
        <f ca="1">IF(G36,IF(G33,IF(I37=0,J36,(J36-I37*J38)/I35),J34),J36)</f>
        <v>96.91</v>
      </c>
      <c r="K35" s="82">
        <f t="shared" ca="1" si="0"/>
        <v>3.0900000000000034</v>
      </c>
      <c r="L35" s="82">
        <f ca="1">K35-K37</f>
        <v>0</v>
      </c>
      <c r="M35" s="105">
        <f ca="1">L35/25*100</f>
        <v>0</v>
      </c>
      <c r="N35" s="90">
        <f ca="1">TRUNC(M35,0)/1</f>
        <v>0</v>
      </c>
      <c r="O35" s="91"/>
      <c r="P35" s="91"/>
      <c r="Q35" s="91"/>
      <c r="R35" s="91"/>
      <c r="S35" s="91"/>
      <c r="T35" s="82">
        <f ca="1">K35-$K$88</f>
        <v>-0.54928571428571615</v>
      </c>
      <c r="U35" s="105">
        <f ca="1">T35/25*100</f>
        <v>-2.1971428571428646</v>
      </c>
      <c r="V35" s="90">
        <f ca="1">TRUNC(U35,0)/1</f>
        <v>-2</v>
      </c>
      <c r="W35" s="92"/>
      <c r="X35" s="93"/>
      <c r="Y35" s="93"/>
      <c r="Z35" s="48"/>
      <c r="AA35" s="10"/>
    </row>
    <row r="36" spans="1:27" ht="17.25" x14ac:dyDescent="0.3">
      <c r="A36" s="10"/>
      <c r="C36" s="44" t="str">
        <f ca="1">TEXT(D36,"YYMM")&amp;"E"</f>
        <v>2706E</v>
      </c>
      <c r="D36" s="85">
        <f ca="1">日历计算!G20</f>
        <v>46539.083333333336</v>
      </c>
      <c r="E36" s="86" t="s">
        <v>22</v>
      </c>
      <c r="F36" s="94" t="str">
        <f ca="1">IF(日历计算!H20&lt;&gt;0,日历计算!G20,"当月无会议"&amp;"("&amp;TEXT(日历计算!G20,"M")&amp;"月)")</f>
        <v>当月无会议(6月)</v>
      </c>
      <c r="G36" s="94" t="b">
        <f ca="1">IF(LEFT(F36,1)="当",FALSE,TRUE)</f>
        <v>0</v>
      </c>
      <c r="H36" s="95"/>
      <c r="I36" s="89"/>
      <c r="J36" s="82">
        <f ca="1">VLOOKUP(C36,FF期货结算价!D:Z,$B$3,0)</f>
        <v>96.91</v>
      </c>
      <c r="K36" s="82">
        <f t="shared" ca="1" si="0"/>
        <v>3.0900000000000034</v>
      </c>
      <c r="L36" s="96"/>
      <c r="M36" s="109"/>
      <c r="N36" s="97">
        <f ca="1">IF(M35&gt;0,MOD(M35,1),MOD(M35,-1))</f>
        <v>0</v>
      </c>
      <c r="O36" s="98">
        <f ca="1">IF(N35=-2,1-ABS(N36),IF(N35=-1,ABS(N36),0))</f>
        <v>0</v>
      </c>
      <c r="P36" s="98">
        <f ca="1">IF(N35=-1,1-ABS(N36),IF(N35=0,IF(N36&lt;0,ABS(N36),0),0))</f>
        <v>0</v>
      </c>
      <c r="Q36" s="98">
        <f ca="1">IF(N35=0,1-ABS(N36),0)</f>
        <v>1</v>
      </c>
      <c r="R36" s="98">
        <f ca="1">IF(N35=0,IF(N36&gt;0,ABS(N36),0),IF(N36=1,1-ABS(N36),0))</f>
        <v>0</v>
      </c>
      <c r="S36" s="98">
        <f ca="1">IF(N35=1,ABS(N36),IF(N35=2,1-ABS(N36),0))</f>
        <v>0</v>
      </c>
      <c r="T36" s="96"/>
      <c r="U36" s="106"/>
      <c r="V36" s="97">
        <f ca="1">IF(U35&gt;0,MOD(U35,1),MOD(U35,-1))</f>
        <v>-0.19714285714286461</v>
      </c>
      <c r="W36" s="99">
        <f ca="1">IF(V35&lt;0,100%,IF(V36&lt;0,ABS(V36),0))</f>
        <v>1</v>
      </c>
      <c r="X36" s="100">
        <f ca="1">IF(V35=0,1-ABS(V36),0)</f>
        <v>0</v>
      </c>
      <c r="Y36" s="100">
        <f ca="1">IF(V35&gt;0,100%,IF(V36&gt;0,V36,0))</f>
        <v>0</v>
      </c>
      <c r="Z36" s="48"/>
      <c r="AA36" s="10"/>
    </row>
    <row r="37" spans="1:27" ht="17.25" x14ac:dyDescent="0.3">
      <c r="A37" s="10"/>
      <c r="C37" s="6"/>
      <c r="D37" s="85">
        <f ca="1">D36</f>
        <v>46539.083333333336</v>
      </c>
      <c r="E37" s="86" t="s">
        <v>23</v>
      </c>
      <c r="F37" s="52"/>
      <c r="G37" s="58"/>
      <c r="H37" s="95">
        <f ca="1">TEXT(D37,"dd")-1</f>
        <v>0</v>
      </c>
      <c r="I37" s="89">
        <f ca="1">H37/(H37+H35)</f>
        <v>0</v>
      </c>
      <c r="J37" s="82">
        <f ca="1">IF(G36,J38,J36)</f>
        <v>96.91</v>
      </c>
      <c r="K37" s="82">
        <f t="shared" ca="1" si="0"/>
        <v>3.0900000000000034</v>
      </c>
      <c r="L37" s="96"/>
      <c r="M37" s="109"/>
      <c r="N37" s="96"/>
      <c r="O37" s="91"/>
      <c r="P37" s="91"/>
      <c r="Q37" s="91"/>
      <c r="R37" s="91"/>
      <c r="S37" s="91"/>
      <c r="T37" s="96"/>
      <c r="U37" s="106"/>
      <c r="V37" s="96"/>
      <c r="W37" s="92"/>
      <c r="X37" s="93"/>
      <c r="Y37" s="93"/>
      <c r="Z37" s="48"/>
      <c r="AA37" s="10"/>
    </row>
    <row r="38" spans="1:27" ht="17.25" x14ac:dyDescent="0.3">
      <c r="A38" s="10"/>
      <c r="C38" s="44" t="str">
        <f ca="1">TEXT(D38,"YYMM")&amp;"EE"</f>
        <v>2705EE</v>
      </c>
      <c r="D38" s="85">
        <f ca="1">D39</f>
        <v>46508.083333333336</v>
      </c>
      <c r="E38" s="86" t="s">
        <v>24</v>
      </c>
      <c r="F38" s="52"/>
      <c r="G38" s="58"/>
      <c r="H38" s="88">
        <f ca="1">DAY(EOMONTH(D38,0))-H40</f>
        <v>31</v>
      </c>
      <c r="I38" s="89">
        <f ca="1">H38/(H40+H38)</f>
        <v>1</v>
      </c>
      <c r="J38" s="82">
        <f ca="1">IF(G39,IF(G36,IF(I40=0,J39,(J39-I40*J41)/I38),J37),J39)</f>
        <v>96.93</v>
      </c>
      <c r="K38" s="82">
        <f t="shared" ca="1" si="0"/>
        <v>3.0699999999999932</v>
      </c>
      <c r="L38" s="82">
        <f ca="1">K38-K40</f>
        <v>0</v>
      </c>
      <c r="M38" s="105">
        <f ca="1">L38/25*100</f>
        <v>0</v>
      </c>
      <c r="N38" s="90">
        <f ca="1">TRUNC(M38,0)/1</f>
        <v>0</v>
      </c>
      <c r="O38" s="91"/>
      <c r="P38" s="91"/>
      <c r="Q38" s="91"/>
      <c r="R38" s="91"/>
      <c r="S38" s="91"/>
      <c r="T38" s="82">
        <f ca="1">K38-$K$88</f>
        <v>-0.56928571428572639</v>
      </c>
      <c r="U38" s="105">
        <f ca="1">T38/25*100</f>
        <v>-2.2771428571429055</v>
      </c>
      <c r="V38" s="90">
        <f ca="1">TRUNC(U38,0)/1</f>
        <v>-2</v>
      </c>
      <c r="W38" s="92"/>
      <c r="X38" s="93"/>
      <c r="Y38" s="93"/>
      <c r="Z38" s="48"/>
      <c r="AA38" s="10"/>
    </row>
    <row r="39" spans="1:27" ht="17.25" x14ac:dyDescent="0.3">
      <c r="A39" s="10"/>
      <c r="C39" s="44" t="str">
        <f ca="1">TEXT(D39,"YYMM")&amp;"E"</f>
        <v>2705E</v>
      </c>
      <c r="D39" s="85">
        <f ca="1">日历计算!G19</f>
        <v>46508.083333333336</v>
      </c>
      <c r="E39" s="86" t="s">
        <v>22</v>
      </c>
      <c r="F39" s="94" t="str">
        <f ca="1">IF(日历计算!H19&lt;&gt;0,日历计算!G19,"当月无会议"&amp;"("&amp;TEXT(日历计算!G19,"M")&amp;"月)")</f>
        <v>当月无会议(5月)</v>
      </c>
      <c r="G39" s="94" t="b">
        <f ca="1">IF(LEFT(F39,1)="当",FALSE,TRUE)</f>
        <v>0</v>
      </c>
      <c r="H39" s="95"/>
      <c r="I39" s="89"/>
      <c r="J39" s="82">
        <f ca="1">VLOOKUP(C39,FF期货结算价!D:Z,$B$3,0)</f>
        <v>96.93</v>
      </c>
      <c r="K39" s="82">
        <f t="shared" ca="1" si="0"/>
        <v>3.0699999999999932</v>
      </c>
      <c r="L39" s="96"/>
      <c r="M39" s="109"/>
      <c r="N39" s="97">
        <f ca="1">IF(M38&gt;0,MOD(M38,1),MOD(M38,-1))</f>
        <v>0</v>
      </c>
      <c r="O39" s="98">
        <f ca="1">IF(N38=-2,1-ABS(N39),IF(N38=-1,ABS(N39),0))</f>
        <v>0</v>
      </c>
      <c r="P39" s="98">
        <f ca="1">IF(N38=-1,1-ABS(N39),IF(N38=0,IF(N39&lt;0,ABS(N39),0),0))</f>
        <v>0</v>
      </c>
      <c r="Q39" s="98">
        <f ca="1">IF(N38=0,1-ABS(N39),0)</f>
        <v>1</v>
      </c>
      <c r="R39" s="98">
        <f ca="1">IF(N38=0,IF(N39&gt;0,ABS(N39),0),IF(N39=1,1-ABS(N39),0))</f>
        <v>0</v>
      </c>
      <c r="S39" s="98">
        <f ca="1">IF(N38=1,ABS(N39),IF(N38=2,1-ABS(N39),0))</f>
        <v>0</v>
      </c>
      <c r="T39" s="96"/>
      <c r="U39" s="106"/>
      <c r="V39" s="97">
        <f ca="1">IF(U38&gt;0,MOD(U38,1),MOD(U38,-1))</f>
        <v>-0.27714285714290554</v>
      </c>
      <c r="W39" s="99">
        <f ca="1">IF(V38&lt;0,100%,IF(V39&lt;0,ABS(V39),0))</f>
        <v>1</v>
      </c>
      <c r="X39" s="100">
        <f ca="1">IF(V38=0,1-ABS(V39),0)</f>
        <v>0</v>
      </c>
      <c r="Y39" s="100">
        <f ca="1">IF(V38&gt;0,100%,IF(V39&gt;0,V39,0))</f>
        <v>0</v>
      </c>
      <c r="Z39" s="48"/>
      <c r="AA39" s="10"/>
    </row>
    <row r="40" spans="1:27" ht="17.25" x14ac:dyDescent="0.3">
      <c r="A40" s="10"/>
      <c r="C40" s="6"/>
      <c r="D40" s="85">
        <f ca="1">D39</f>
        <v>46508.083333333336</v>
      </c>
      <c r="E40" s="86" t="s">
        <v>23</v>
      </c>
      <c r="F40" s="52"/>
      <c r="G40" s="58"/>
      <c r="H40" s="95">
        <f ca="1">TEXT(D40,"dd")-1</f>
        <v>0</v>
      </c>
      <c r="I40" s="89">
        <f ca="1">H40/(H40+H38)</f>
        <v>0</v>
      </c>
      <c r="J40" s="82">
        <f ca="1">IF(G39,J41,J39)</f>
        <v>96.93</v>
      </c>
      <c r="K40" s="82">
        <f t="shared" ca="1" si="0"/>
        <v>3.0699999999999932</v>
      </c>
      <c r="L40" s="96"/>
      <c r="M40" s="109"/>
      <c r="N40" s="96"/>
      <c r="O40" s="91"/>
      <c r="P40" s="91"/>
      <c r="Q40" s="91"/>
      <c r="R40" s="91"/>
      <c r="S40" s="91"/>
      <c r="T40" s="96"/>
      <c r="U40" s="106"/>
      <c r="V40" s="96"/>
      <c r="W40" s="92"/>
      <c r="X40" s="93"/>
      <c r="Y40" s="93"/>
      <c r="Z40" s="48"/>
      <c r="AA40" s="10"/>
    </row>
    <row r="41" spans="1:27" ht="17.25" x14ac:dyDescent="0.3">
      <c r="A41" s="10"/>
      <c r="C41" s="44" t="str">
        <f ca="1">TEXT(D41,"YYMM")&amp;"EE"</f>
        <v>2704EE</v>
      </c>
      <c r="D41" s="85">
        <f ca="1">D42</f>
        <v>46478.083333333336</v>
      </c>
      <c r="E41" s="86" t="s">
        <v>24</v>
      </c>
      <c r="F41" s="52"/>
      <c r="G41" s="58"/>
      <c r="H41" s="88">
        <f ca="1">DAY(EOMONTH(D41,0))-H43</f>
        <v>30</v>
      </c>
      <c r="I41" s="89">
        <f ca="1">H41/(H43+H41)</f>
        <v>1</v>
      </c>
      <c r="J41" s="82">
        <f ca="1">IF(G42,IF(G39,IF(I43=0,J42,(J42-I43*J44)/I41),J40),J42)</f>
        <v>96.94</v>
      </c>
      <c r="K41" s="82">
        <f t="shared" ca="1" si="0"/>
        <v>3.0600000000000023</v>
      </c>
      <c r="L41" s="82">
        <f ca="1">K41-K43</f>
        <v>0</v>
      </c>
      <c r="M41" s="105">
        <f ca="1">L41/25*100</f>
        <v>0</v>
      </c>
      <c r="N41" s="90">
        <f ca="1">TRUNC(M41,0)/1</f>
        <v>0</v>
      </c>
      <c r="O41" s="91"/>
      <c r="P41" s="91"/>
      <c r="Q41" s="91"/>
      <c r="R41" s="91"/>
      <c r="S41" s="91"/>
      <c r="T41" s="82">
        <f ca="1">K41-$K$88</f>
        <v>-0.57928571428571729</v>
      </c>
      <c r="U41" s="105">
        <f ca="1">T41/25*100</f>
        <v>-2.3171428571428692</v>
      </c>
      <c r="V41" s="90">
        <f ca="1">TRUNC(U41,0)/1</f>
        <v>-2</v>
      </c>
      <c r="W41" s="92"/>
      <c r="X41" s="93"/>
      <c r="Y41" s="93"/>
      <c r="Z41" s="48"/>
      <c r="AA41" s="10"/>
    </row>
    <row r="42" spans="1:27" ht="17.25" x14ac:dyDescent="0.3">
      <c r="A42" s="10"/>
      <c r="C42" s="44" t="str">
        <f ca="1">TEXT(D42,"YYMM")&amp;"E"</f>
        <v>2704E</v>
      </c>
      <c r="D42" s="85">
        <f ca="1">日历计算!G18</f>
        <v>46478.083333333336</v>
      </c>
      <c r="E42" s="86" t="s">
        <v>22</v>
      </c>
      <c r="F42" s="94" t="str">
        <f ca="1">IF(日历计算!H18&lt;&gt;0,日历计算!G18,"当月无会议"&amp;"("&amp;TEXT(日历计算!G18,"M")&amp;"月)")</f>
        <v>当月无会议(4月)</v>
      </c>
      <c r="G42" s="94" t="b">
        <f ca="1">IF(LEFT(F42,1)="当",FALSE,TRUE)</f>
        <v>0</v>
      </c>
      <c r="H42" s="95"/>
      <c r="I42" s="89"/>
      <c r="J42" s="82">
        <f ca="1">VLOOKUP(C42,FF期货结算价!D:Z,$B$3,0)</f>
        <v>96.94</v>
      </c>
      <c r="K42" s="82">
        <f t="shared" ca="1" si="0"/>
        <v>3.0600000000000023</v>
      </c>
      <c r="L42" s="96"/>
      <c r="M42" s="109"/>
      <c r="N42" s="97">
        <f ca="1">IF(M41&gt;0,MOD(M41,1),MOD(M41,-1))</f>
        <v>0</v>
      </c>
      <c r="O42" s="98">
        <f ca="1">IF(N41=-2,1-ABS(N42),IF(N41=-1,ABS(N42),0))</f>
        <v>0</v>
      </c>
      <c r="P42" s="98">
        <f ca="1">IF(N41=-1,1-ABS(N42),IF(N41=0,IF(N42&lt;0,ABS(N42),0),0))</f>
        <v>0</v>
      </c>
      <c r="Q42" s="98">
        <f ca="1">IF(N41=0,1-ABS(N42),0)</f>
        <v>1</v>
      </c>
      <c r="R42" s="98">
        <f ca="1">IF(N41=0,IF(N42&gt;0,ABS(N42),0),IF(N42=1,1-ABS(N42),0))</f>
        <v>0</v>
      </c>
      <c r="S42" s="98">
        <f ca="1">IF(N41=1,ABS(N42),IF(N41=2,1-ABS(N42),0))</f>
        <v>0</v>
      </c>
      <c r="T42" s="96"/>
      <c r="U42" s="106"/>
      <c r="V42" s="97">
        <f ca="1">IF(U41&gt;0,MOD(U41,1),MOD(U41,-1))</f>
        <v>-0.31714285714286916</v>
      </c>
      <c r="W42" s="99">
        <f ca="1">IF(V41&lt;0,100%,IF(V42&lt;0,ABS(V42),0))</f>
        <v>1</v>
      </c>
      <c r="X42" s="100">
        <f ca="1">IF(V41=0,1-ABS(V42),0)</f>
        <v>0</v>
      </c>
      <c r="Y42" s="100">
        <f ca="1">IF(V41&gt;0,100%,IF(V42&gt;0,V42,0))</f>
        <v>0</v>
      </c>
      <c r="Z42" s="48"/>
      <c r="AA42" s="10"/>
    </row>
    <row r="43" spans="1:27" ht="17.25" x14ac:dyDescent="0.3">
      <c r="A43" s="10"/>
      <c r="C43" s="6"/>
      <c r="D43" s="85">
        <f ca="1">D42</f>
        <v>46478.083333333336</v>
      </c>
      <c r="E43" s="86" t="s">
        <v>23</v>
      </c>
      <c r="F43" s="52"/>
      <c r="G43" s="58"/>
      <c r="H43" s="95">
        <f ca="1">TEXT(D43,"dd")-1</f>
        <v>0</v>
      </c>
      <c r="I43" s="89">
        <f ca="1">H43/(H43+H41)</f>
        <v>0</v>
      </c>
      <c r="J43" s="82">
        <f ca="1">IF(G42,J44,J42)</f>
        <v>96.94</v>
      </c>
      <c r="K43" s="82">
        <f t="shared" ca="1" si="0"/>
        <v>3.0600000000000023</v>
      </c>
      <c r="L43" s="96"/>
      <c r="M43" s="109"/>
      <c r="N43" s="96"/>
      <c r="O43" s="91"/>
      <c r="P43" s="91"/>
      <c r="Q43" s="91"/>
      <c r="R43" s="91"/>
      <c r="S43" s="91"/>
      <c r="T43" s="96"/>
      <c r="U43" s="106"/>
      <c r="V43" s="96"/>
      <c r="W43" s="92"/>
      <c r="X43" s="93"/>
      <c r="Y43" s="93"/>
      <c r="Z43" s="48"/>
      <c r="AA43" s="10"/>
    </row>
    <row r="44" spans="1:27" ht="17.25" x14ac:dyDescent="0.3">
      <c r="A44" s="10"/>
      <c r="C44" s="44" t="str">
        <f ca="1">TEXT(D44,"YYMM")&amp;"EE"</f>
        <v>2703EE</v>
      </c>
      <c r="D44" s="85">
        <f ca="1">D45</f>
        <v>46447.083333333336</v>
      </c>
      <c r="E44" s="86" t="s">
        <v>24</v>
      </c>
      <c r="F44" s="52"/>
      <c r="G44" s="58"/>
      <c r="H44" s="88">
        <f ca="1">DAY(EOMONTH(D44,0))-H46</f>
        <v>31</v>
      </c>
      <c r="I44" s="89">
        <f ca="1">H44/(H46+H44)</f>
        <v>1</v>
      </c>
      <c r="J44" s="82">
        <f ca="1">IF(G45,IF(G42,IF(I46=0,J45,(J45-I46*J47)/I44),J43),J45)</f>
        <v>96.94</v>
      </c>
      <c r="K44" s="82">
        <f t="shared" ca="1" si="0"/>
        <v>3.0600000000000023</v>
      </c>
      <c r="L44" s="82">
        <f ca="1">K44-K46</f>
        <v>0</v>
      </c>
      <c r="M44" s="105">
        <f ca="1">L44/25*100</f>
        <v>0</v>
      </c>
      <c r="N44" s="90">
        <f ca="1">TRUNC(M44,0)/1</f>
        <v>0</v>
      </c>
      <c r="O44" s="91"/>
      <c r="P44" s="91"/>
      <c r="Q44" s="91"/>
      <c r="R44" s="91"/>
      <c r="S44" s="91"/>
      <c r="T44" s="82">
        <f ca="1">K44-$K$88</f>
        <v>-0.57928571428571729</v>
      </c>
      <c r="U44" s="105">
        <f ca="1">T44/25*100</f>
        <v>-2.3171428571428692</v>
      </c>
      <c r="V44" s="90">
        <f ca="1">TRUNC(U44,0)/1</f>
        <v>-2</v>
      </c>
      <c r="W44" s="92"/>
      <c r="X44" s="93"/>
      <c r="Y44" s="93"/>
      <c r="Z44" s="48"/>
      <c r="AA44" s="10"/>
    </row>
    <row r="45" spans="1:27" ht="17.25" x14ac:dyDescent="0.3">
      <c r="A45" s="10"/>
      <c r="C45" s="44" t="str">
        <f ca="1">TEXT(D45,"YYMM")&amp;"E"</f>
        <v>2703E</v>
      </c>
      <c r="D45" s="85">
        <f ca="1">日历计算!G17</f>
        <v>46447.083333333336</v>
      </c>
      <c r="E45" s="86" t="s">
        <v>22</v>
      </c>
      <c r="F45" s="94" t="str">
        <f ca="1">IF(日历计算!H17&lt;&gt;0,日历计算!G17,"当月无会议"&amp;"("&amp;TEXT(日历计算!G17,"M")&amp;"月)")</f>
        <v>当月无会议(3月)</v>
      </c>
      <c r="G45" s="94" t="b">
        <f ca="1">IF(LEFT(F45,1)="当",FALSE,TRUE)</f>
        <v>0</v>
      </c>
      <c r="H45" s="95"/>
      <c r="I45" s="89"/>
      <c r="J45" s="82">
        <f ca="1">VLOOKUP(C45,FF期货结算价!D:Z,$B$3,0)</f>
        <v>96.94</v>
      </c>
      <c r="K45" s="82">
        <f t="shared" ca="1" si="0"/>
        <v>3.0600000000000023</v>
      </c>
      <c r="L45" s="96"/>
      <c r="M45" s="109"/>
      <c r="N45" s="97">
        <f ca="1">IF(M44&gt;0,MOD(M44,1),MOD(M44,-1))</f>
        <v>0</v>
      </c>
      <c r="O45" s="98">
        <f ca="1">IF(N44=-2,1-ABS(N45),IF(N44=-1,ABS(N45),0))</f>
        <v>0</v>
      </c>
      <c r="P45" s="98">
        <f ca="1">IF(N44=-1,1-ABS(N45),IF(N44=0,IF(N45&lt;0,ABS(N45),0),0))</f>
        <v>0</v>
      </c>
      <c r="Q45" s="98">
        <f ca="1">IF(N44=0,1-ABS(N45),0)</f>
        <v>1</v>
      </c>
      <c r="R45" s="98">
        <f ca="1">IF(N44=0,IF(N45&gt;0,ABS(N45),0),IF(N45=1,1-ABS(N45),0))</f>
        <v>0</v>
      </c>
      <c r="S45" s="98">
        <f ca="1">IF(N44=1,ABS(N45),IF(N44=2,1-ABS(N45),0))</f>
        <v>0</v>
      </c>
      <c r="T45" s="96"/>
      <c r="U45" s="106"/>
      <c r="V45" s="97">
        <f ca="1">IF(U44&gt;0,MOD(U44,1),MOD(U44,-1))</f>
        <v>-0.31714285714286916</v>
      </c>
      <c r="W45" s="99">
        <f ca="1">IF(V44&lt;0,100%,IF(V45&lt;0,ABS(V45),0))</f>
        <v>1</v>
      </c>
      <c r="X45" s="100">
        <f ca="1">IF(V44=0,1-ABS(V45),0)</f>
        <v>0</v>
      </c>
      <c r="Y45" s="100">
        <f ca="1">IF(V44&gt;0,100%,IF(V45&gt;0,V45,0))</f>
        <v>0</v>
      </c>
      <c r="Z45" s="48"/>
      <c r="AA45" s="10"/>
    </row>
    <row r="46" spans="1:27" ht="17.25" x14ac:dyDescent="0.3">
      <c r="A46" s="10"/>
      <c r="C46" s="6"/>
      <c r="D46" s="85">
        <f ca="1">D45</f>
        <v>46447.083333333336</v>
      </c>
      <c r="E46" s="86" t="s">
        <v>23</v>
      </c>
      <c r="F46" s="52"/>
      <c r="G46" s="58"/>
      <c r="H46" s="95">
        <f ca="1">TEXT(D46,"dd")-1</f>
        <v>0</v>
      </c>
      <c r="I46" s="89">
        <f ca="1">H46/(H46+H44)</f>
        <v>0</v>
      </c>
      <c r="J46" s="82">
        <f ca="1">IF(G45,J47,J45)</f>
        <v>96.94</v>
      </c>
      <c r="K46" s="82">
        <f t="shared" ca="1" si="0"/>
        <v>3.0600000000000023</v>
      </c>
      <c r="L46" s="96"/>
      <c r="M46" s="109"/>
      <c r="N46" s="96"/>
      <c r="O46" s="91"/>
      <c r="P46" s="91"/>
      <c r="Q46" s="91"/>
      <c r="R46" s="91"/>
      <c r="S46" s="91"/>
      <c r="T46" s="96"/>
      <c r="U46" s="106"/>
      <c r="V46" s="96"/>
      <c r="W46" s="92"/>
      <c r="X46" s="93"/>
      <c r="Y46" s="93"/>
      <c r="Z46" s="48"/>
      <c r="AA46" s="10"/>
    </row>
    <row r="47" spans="1:27" ht="17.25" x14ac:dyDescent="0.3">
      <c r="A47" s="10"/>
      <c r="C47" s="44" t="str">
        <f ca="1">TEXT(D47,"YYMM")&amp;"EE"</f>
        <v>2702EE</v>
      </c>
      <c r="D47" s="85">
        <f ca="1">D48</f>
        <v>46419.083333333336</v>
      </c>
      <c r="E47" s="86" t="s">
        <v>24</v>
      </c>
      <c r="F47" s="52"/>
      <c r="G47" s="58"/>
      <c r="H47" s="88">
        <f ca="1">DAY(EOMONTH(D47,0))-H49</f>
        <v>28</v>
      </c>
      <c r="I47" s="89">
        <f ca="1">H47/(H49+H47)</f>
        <v>1</v>
      </c>
      <c r="J47" s="82">
        <f ca="1">IF(G48,IF(G45,IF(I49=0,J48,(J48-I49*J50)/I47),J46),J48)</f>
        <v>96.935000000000002</v>
      </c>
      <c r="K47" s="82">
        <f t="shared" ca="1" si="0"/>
        <v>3.0649999999999977</v>
      </c>
      <c r="L47" s="82">
        <f ca="1">K47-K49</f>
        <v>0</v>
      </c>
      <c r="M47" s="105">
        <f ca="1">L47/25*100</f>
        <v>0</v>
      </c>
      <c r="N47" s="90">
        <f ca="1">TRUNC(M47,0)/1</f>
        <v>0</v>
      </c>
      <c r="O47" s="91"/>
      <c r="P47" s="91"/>
      <c r="Q47" s="91"/>
      <c r="R47" s="91"/>
      <c r="S47" s="91"/>
      <c r="T47" s="82">
        <f ca="1">K47-$K$88</f>
        <v>-0.57428571428572184</v>
      </c>
      <c r="U47" s="105">
        <f ca="1">T47/25*100</f>
        <v>-2.2971428571428874</v>
      </c>
      <c r="V47" s="90">
        <f ca="1">TRUNC(U47,0)/1</f>
        <v>-2</v>
      </c>
      <c r="W47" s="92"/>
      <c r="X47" s="93"/>
      <c r="Y47" s="93"/>
      <c r="Z47" s="48"/>
      <c r="AA47" s="10"/>
    </row>
    <row r="48" spans="1:27" ht="17.25" x14ac:dyDescent="0.3">
      <c r="A48" s="10"/>
      <c r="C48" s="44" t="str">
        <f ca="1">TEXT(D48,"YYMM")&amp;"E"</f>
        <v>2702E</v>
      </c>
      <c r="D48" s="85">
        <f ca="1">日历计算!G16</f>
        <v>46419.083333333336</v>
      </c>
      <c r="E48" s="86" t="s">
        <v>22</v>
      </c>
      <c r="F48" s="94" t="str">
        <f ca="1">IF(日历计算!H16&lt;&gt;0,日历计算!G16,"当月无会议"&amp;"("&amp;TEXT(日历计算!G16,"M")&amp;"月)")</f>
        <v>当月无会议(2月)</v>
      </c>
      <c r="G48" s="94" t="b">
        <f ca="1">IF(LEFT(F48,1)="当",FALSE,TRUE)</f>
        <v>0</v>
      </c>
      <c r="H48" s="95"/>
      <c r="I48" s="89"/>
      <c r="J48" s="82">
        <f ca="1">VLOOKUP(C48,FF期货结算价!D:Z,$B$3,0)</f>
        <v>96.935000000000002</v>
      </c>
      <c r="K48" s="82">
        <f t="shared" ca="1" si="0"/>
        <v>3.0649999999999977</v>
      </c>
      <c r="L48" s="96"/>
      <c r="M48" s="109"/>
      <c r="N48" s="97">
        <f ca="1">IF(M47&gt;0,MOD(M47,1),MOD(M47,-1))</f>
        <v>0</v>
      </c>
      <c r="O48" s="98">
        <f ca="1">IF(N47=-2,1-ABS(N48),IF(N47=-1,ABS(N48),0))</f>
        <v>0</v>
      </c>
      <c r="P48" s="98">
        <f ca="1">IF(N47=-1,1-ABS(N48),IF(N47=0,IF(N48&lt;0,ABS(N48),0),0))</f>
        <v>0</v>
      </c>
      <c r="Q48" s="98">
        <f ca="1">IF(N47=0,1-ABS(N48),0)</f>
        <v>1</v>
      </c>
      <c r="R48" s="98">
        <f ca="1">IF(N47=0,IF(N48&gt;0,ABS(N48),0),IF(N48=1,1-ABS(N48),0))</f>
        <v>0</v>
      </c>
      <c r="S48" s="98">
        <f ca="1">IF(N47=1,ABS(N48),IF(N47=2,1-ABS(N48),0))</f>
        <v>0</v>
      </c>
      <c r="T48" s="96"/>
      <c r="U48" s="106"/>
      <c r="V48" s="97">
        <f ca="1">IF(U47&gt;0,MOD(U47,1),MOD(U47,-1))</f>
        <v>-0.29714285714288735</v>
      </c>
      <c r="W48" s="99">
        <f ca="1">IF(V47&lt;0,100%,IF(V48&lt;0,ABS(V48),0))</f>
        <v>1</v>
      </c>
      <c r="X48" s="100">
        <f ca="1">IF(V47=0,1-ABS(V48),0)</f>
        <v>0</v>
      </c>
      <c r="Y48" s="100">
        <f ca="1">IF(V47&gt;0,100%,IF(V48&gt;0,V48,0))</f>
        <v>0</v>
      </c>
      <c r="Z48" s="48"/>
      <c r="AA48" s="10"/>
    </row>
    <row r="49" spans="1:27" ht="17.25" x14ac:dyDescent="0.3">
      <c r="A49" s="10"/>
      <c r="C49" s="6"/>
      <c r="D49" s="85">
        <f ca="1">D48</f>
        <v>46419.083333333336</v>
      </c>
      <c r="E49" s="86" t="s">
        <v>23</v>
      </c>
      <c r="F49" s="52"/>
      <c r="G49" s="58"/>
      <c r="H49" s="95">
        <f ca="1">TEXT(D49,"dd")-1</f>
        <v>0</v>
      </c>
      <c r="I49" s="89">
        <f ca="1">H49/(H49+H47)</f>
        <v>0</v>
      </c>
      <c r="J49" s="82">
        <f ca="1">IF(G48,J50,J48)</f>
        <v>96.935000000000002</v>
      </c>
      <c r="K49" s="82">
        <f t="shared" ca="1" si="0"/>
        <v>3.0649999999999977</v>
      </c>
      <c r="L49" s="96"/>
      <c r="M49" s="109"/>
      <c r="N49" s="96"/>
      <c r="O49" s="91"/>
      <c r="P49" s="91"/>
      <c r="Q49" s="91"/>
      <c r="R49" s="91"/>
      <c r="S49" s="91"/>
      <c r="T49" s="96"/>
      <c r="U49" s="106"/>
      <c r="V49" s="96"/>
      <c r="W49" s="92"/>
      <c r="X49" s="93"/>
      <c r="Y49" s="93"/>
      <c r="Z49" s="48"/>
      <c r="AA49" s="10"/>
    </row>
    <row r="50" spans="1:27" ht="17.25" x14ac:dyDescent="0.3">
      <c r="A50" s="10"/>
      <c r="C50" s="44" t="str">
        <f ca="1">TEXT(D50,"YYMM")&amp;"EE"</f>
        <v>2701EE</v>
      </c>
      <c r="D50" s="85">
        <f ca="1">D51</f>
        <v>46388.083333333336</v>
      </c>
      <c r="E50" s="86" t="s">
        <v>24</v>
      </c>
      <c r="F50" s="52"/>
      <c r="G50" s="58"/>
      <c r="H50" s="88">
        <f ca="1">DAY(EOMONTH(D50,0))-H52</f>
        <v>31</v>
      </c>
      <c r="I50" s="89">
        <f ca="1">H50/(H52+H50)</f>
        <v>1</v>
      </c>
      <c r="J50" s="82">
        <f ca="1">IF(G51,IF(G48,IF(I52=0,J51,(J51-I52*J53)/I50),J49),J51)</f>
        <v>96.94</v>
      </c>
      <c r="K50" s="82">
        <f t="shared" ca="1" si="0"/>
        <v>3.0600000000000023</v>
      </c>
      <c r="L50" s="82">
        <f ca="1">K50-K52</f>
        <v>0</v>
      </c>
      <c r="M50" s="105">
        <f ca="1">L50/25*100</f>
        <v>0</v>
      </c>
      <c r="N50" s="90">
        <f ca="1">TRUNC(M50,0)/1</f>
        <v>0</v>
      </c>
      <c r="O50" s="91"/>
      <c r="P50" s="91"/>
      <c r="Q50" s="91"/>
      <c r="R50" s="91"/>
      <c r="S50" s="91"/>
      <c r="T50" s="82">
        <f ca="1">K50-$K$88</f>
        <v>-0.57928571428571729</v>
      </c>
      <c r="U50" s="105">
        <f ca="1">T50/25*100</f>
        <v>-2.3171428571428692</v>
      </c>
      <c r="V50" s="90">
        <f ca="1">TRUNC(U50,0)/1</f>
        <v>-2</v>
      </c>
      <c r="W50" s="92"/>
      <c r="X50" s="93"/>
      <c r="Y50" s="93"/>
      <c r="Z50" s="48"/>
      <c r="AA50" s="10"/>
    </row>
    <row r="51" spans="1:27" ht="17.25" x14ac:dyDescent="0.3">
      <c r="A51" s="10"/>
      <c r="C51" s="44" t="str">
        <f ca="1">TEXT(D51,"YYMM")&amp;"E"</f>
        <v>2701E</v>
      </c>
      <c r="D51" s="85">
        <f ca="1">日历计算!G15</f>
        <v>46388.083333333336</v>
      </c>
      <c r="E51" s="86" t="s">
        <v>22</v>
      </c>
      <c r="F51" s="94" t="str">
        <f ca="1">IF(日历计算!H15&lt;&gt;0,日历计算!G15,"当月无会议"&amp;"("&amp;TEXT(日历计算!G15,"M")&amp;"月)")</f>
        <v>当月无会议(1月)</v>
      </c>
      <c r="G51" s="94" t="b">
        <f ca="1">IF(LEFT(F51,1)="当",FALSE,TRUE)</f>
        <v>0</v>
      </c>
      <c r="H51" s="95"/>
      <c r="I51" s="89"/>
      <c r="J51" s="82">
        <f ca="1">VLOOKUP(C51,FF期货结算价!D:Z,$B$3,0)</f>
        <v>96.94</v>
      </c>
      <c r="K51" s="82">
        <f t="shared" ca="1" si="0"/>
        <v>3.0600000000000023</v>
      </c>
      <c r="L51" s="96"/>
      <c r="M51" s="109"/>
      <c r="N51" s="97">
        <f ca="1">IF(M50&gt;0,MOD(M50,1),MOD(M50,-1))</f>
        <v>0</v>
      </c>
      <c r="O51" s="98">
        <f ca="1">IF(N50=-2,1-ABS(N51),IF(N50=-1,ABS(N51),0))</f>
        <v>0</v>
      </c>
      <c r="P51" s="98">
        <f ca="1">IF(N50=-1,1-ABS(N51),IF(N50=0,IF(N51&lt;0,ABS(N51),0),0))</f>
        <v>0</v>
      </c>
      <c r="Q51" s="98">
        <f ca="1">IF(N50=0,1-ABS(N51),0)</f>
        <v>1</v>
      </c>
      <c r="R51" s="98">
        <f ca="1">IF(N50=0,IF(N51&gt;0,ABS(N51),0),IF(N51=1,1-ABS(N51),0))</f>
        <v>0</v>
      </c>
      <c r="S51" s="98">
        <f ca="1">IF(N50=1,ABS(N51),IF(N50=2,1-ABS(N51),0))</f>
        <v>0</v>
      </c>
      <c r="T51" s="96"/>
      <c r="U51" s="106"/>
      <c r="V51" s="97">
        <f ca="1">IF(U50&gt;0,MOD(U50,1),MOD(U50,-1))</f>
        <v>-0.31714285714286916</v>
      </c>
      <c r="W51" s="99">
        <f ca="1">IF(V50&lt;0,100%,IF(V51&lt;0,ABS(V51),0))</f>
        <v>1</v>
      </c>
      <c r="X51" s="100">
        <f ca="1">IF(V50=0,1-ABS(V51),0)</f>
        <v>0</v>
      </c>
      <c r="Y51" s="100">
        <f ca="1">IF(V50&gt;0,100%,IF(V51&gt;0,V51,0))</f>
        <v>0</v>
      </c>
      <c r="Z51" s="48"/>
      <c r="AA51" s="10"/>
    </row>
    <row r="52" spans="1:27" ht="17.25" x14ac:dyDescent="0.3">
      <c r="A52" s="10"/>
      <c r="C52" s="6"/>
      <c r="D52" s="85">
        <f ca="1">D51</f>
        <v>46388.083333333336</v>
      </c>
      <c r="E52" s="86" t="s">
        <v>23</v>
      </c>
      <c r="F52" s="52"/>
      <c r="G52" s="58"/>
      <c r="H52" s="95">
        <f ca="1">TEXT(D52,"dd")-1</f>
        <v>0</v>
      </c>
      <c r="I52" s="89">
        <f ca="1">H52/(H52+H50)</f>
        <v>0</v>
      </c>
      <c r="J52" s="82">
        <f ca="1">IF(G51,J53,J51)</f>
        <v>96.94</v>
      </c>
      <c r="K52" s="82">
        <f t="shared" ca="1" si="0"/>
        <v>3.0600000000000023</v>
      </c>
      <c r="L52" s="96"/>
      <c r="M52" s="109"/>
      <c r="N52" s="96"/>
      <c r="O52" s="91"/>
      <c r="P52" s="91"/>
      <c r="Q52" s="91"/>
      <c r="R52" s="91"/>
      <c r="S52" s="91"/>
      <c r="T52" s="96"/>
      <c r="U52" s="106"/>
      <c r="V52" s="96"/>
      <c r="W52" s="92"/>
      <c r="X52" s="93"/>
      <c r="Y52" s="93"/>
      <c r="Z52" s="48"/>
      <c r="AA52" s="10"/>
    </row>
    <row r="53" spans="1:27" ht="17.25" x14ac:dyDescent="0.3">
      <c r="A53" s="10"/>
      <c r="C53" s="44" t="str">
        <f ca="1">TEXT(D53,"YYMM")&amp;"EE"</f>
        <v>2612EE</v>
      </c>
      <c r="D53" s="85">
        <f ca="1">D54</f>
        <v>46366.083333333336</v>
      </c>
      <c r="E53" s="86" t="s">
        <v>24</v>
      </c>
      <c r="F53" s="87"/>
      <c r="G53" s="87"/>
      <c r="H53" s="88">
        <f ca="1">DAY(EOMONTH(D53,0))-H55</f>
        <v>22</v>
      </c>
      <c r="I53" s="89">
        <f ca="1">H53/(H55+H53)</f>
        <v>0.70967741935483875</v>
      </c>
      <c r="J53" s="82">
        <f ca="1">IF(G54,IF(G51,IF(I55=0,J54,(J54-I55*J56)/I53),J52),J54)</f>
        <v>96.94</v>
      </c>
      <c r="K53" s="82">
        <f t="shared" ca="1" si="0"/>
        <v>3.0600000000000023</v>
      </c>
      <c r="L53" s="82">
        <f ca="1">K53-K55</f>
        <v>-3.4999999999996589E-2</v>
      </c>
      <c r="M53" s="105">
        <f ca="1">L53/25*100</f>
        <v>-0.13999999999998636</v>
      </c>
      <c r="N53" s="90">
        <f ca="1">TRUNC(M53,0)/1</f>
        <v>0</v>
      </c>
      <c r="O53" s="91"/>
      <c r="P53" s="91"/>
      <c r="Q53" s="91"/>
      <c r="R53" s="91"/>
      <c r="S53" s="91"/>
      <c r="T53" s="82">
        <f ca="1">K53-$K$88</f>
        <v>-0.57928571428571729</v>
      </c>
      <c r="U53" s="105">
        <f ca="1">T53/25*100</f>
        <v>-2.3171428571428692</v>
      </c>
      <c r="V53" s="90">
        <f ca="1">TRUNC(U53,0)/1</f>
        <v>-2</v>
      </c>
      <c r="W53" s="92"/>
      <c r="X53" s="93"/>
      <c r="Y53" s="93"/>
      <c r="Z53" s="48"/>
      <c r="AA53" s="10"/>
    </row>
    <row r="54" spans="1:27" ht="17.25" x14ac:dyDescent="0.3">
      <c r="A54" s="10"/>
      <c r="C54" s="44" t="str">
        <f ca="1">TEXT(D54,"YYMM")&amp;"E"</f>
        <v>2612E</v>
      </c>
      <c r="D54" s="85">
        <f ca="1">日历计算!G14</f>
        <v>46366.083333333336</v>
      </c>
      <c r="E54" s="86" t="s">
        <v>22</v>
      </c>
      <c r="F54" s="94">
        <f ca="1">IF(日历计算!H14&lt;&gt;0,日历计算!G14,"当月无会议"&amp;"("&amp;TEXT(日历计算!G14,"M")&amp;"月)")</f>
        <v>46366.083333333336</v>
      </c>
      <c r="G54" s="94" t="b">
        <f ca="1">IF(LEFT(F54,1)="当",FALSE,TRUE)</f>
        <v>1</v>
      </c>
      <c r="H54" s="95"/>
      <c r="I54" s="89"/>
      <c r="J54" s="82">
        <f ca="1">VLOOKUP(C54,FF期货结算价!D:Z,$B$3,0)</f>
        <v>96.93</v>
      </c>
      <c r="K54" s="82">
        <f t="shared" ca="1" si="0"/>
        <v>3.0699999999999932</v>
      </c>
      <c r="L54" s="96"/>
      <c r="M54" s="109"/>
      <c r="N54" s="97">
        <f ca="1">IF(M53&gt;0,MOD(M53,1),MOD(M53,-1))</f>
        <v>-0.13999999999998636</v>
      </c>
      <c r="O54" s="98">
        <f ca="1">IF(N53=-2,1-ABS(N54),IF(N53=-1,ABS(N54),0))</f>
        <v>0</v>
      </c>
      <c r="P54" s="98">
        <f ca="1">IF(N53=-1,1-ABS(N54),IF(N53=0,IF(N54&lt;0,ABS(N54),0),0))</f>
        <v>0.13999999999998636</v>
      </c>
      <c r="Q54" s="98">
        <f ca="1">IF(N53=0,1-ABS(N54),0)</f>
        <v>0.86000000000001364</v>
      </c>
      <c r="R54" s="98">
        <f ca="1">IF(N53=0,IF(N54&gt;0,ABS(N54),0),IF(N54=1,1-ABS(N54),0))</f>
        <v>0</v>
      </c>
      <c r="S54" s="98">
        <f ca="1">IF(N53=1,ABS(N54),IF(N53=2,1-ABS(N54),0))</f>
        <v>0</v>
      </c>
      <c r="T54" s="96"/>
      <c r="U54" s="106"/>
      <c r="V54" s="97">
        <f ca="1">IF(U53&gt;0,MOD(U53,1),MOD(U53,-1))</f>
        <v>-0.31714285714286916</v>
      </c>
      <c r="W54" s="99">
        <f ca="1">IF(V53&lt;0,100%,IF(V54&lt;0,ABS(V54),0))</f>
        <v>1</v>
      </c>
      <c r="X54" s="100">
        <f ca="1">IF(V53=0,1-ABS(V54),0)</f>
        <v>0</v>
      </c>
      <c r="Y54" s="100">
        <f ca="1">IF(V53&gt;0,100%,IF(V54&gt;0,V54,0))</f>
        <v>0</v>
      </c>
      <c r="Z54" s="48"/>
      <c r="AA54" s="10"/>
    </row>
    <row r="55" spans="1:27" ht="17.25" x14ac:dyDescent="0.3">
      <c r="A55" s="10"/>
      <c r="C55" s="44"/>
      <c r="D55" s="85">
        <f ca="1">D54</f>
        <v>46366.083333333336</v>
      </c>
      <c r="E55" s="86" t="s">
        <v>23</v>
      </c>
      <c r="F55" s="87"/>
      <c r="G55" s="87"/>
      <c r="H55" s="95">
        <f ca="1">TEXT(D55,"dd")-1</f>
        <v>9</v>
      </c>
      <c r="I55" s="89">
        <f ca="1">H55/(H55+H53)</f>
        <v>0.29032258064516131</v>
      </c>
      <c r="J55" s="82">
        <f ca="1">IF(G54,J56,J54)</f>
        <v>96.905000000000001</v>
      </c>
      <c r="K55" s="82">
        <f t="shared" ca="1" si="0"/>
        <v>3.0949999999999989</v>
      </c>
      <c r="L55" s="96"/>
      <c r="M55" s="109"/>
      <c r="N55" s="96"/>
      <c r="O55" s="91"/>
      <c r="P55" s="91"/>
      <c r="Q55" s="91"/>
      <c r="R55" s="91"/>
      <c r="S55" s="91"/>
      <c r="T55" s="96"/>
      <c r="U55" s="106"/>
      <c r="V55" s="96"/>
      <c r="W55" s="92"/>
      <c r="X55" s="93"/>
      <c r="Y55" s="93"/>
      <c r="Z55" s="48"/>
      <c r="AA55" s="10"/>
    </row>
    <row r="56" spans="1:27" ht="17.25" x14ac:dyDescent="0.3">
      <c r="A56" s="10"/>
      <c r="C56" s="44" t="str">
        <f ca="1">TEXT(D56,"YYMM")&amp;"EE"</f>
        <v>2611EE</v>
      </c>
      <c r="D56" s="85">
        <f ca="1">D57</f>
        <v>46327.083333333336</v>
      </c>
      <c r="E56" s="86" t="s">
        <v>24</v>
      </c>
      <c r="F56" s="87"/>
      <c r="G56" s="87"/>
      <c r="H56" s="88">
        <f ca="1">DAY(EOMONTH(D56,0))-H58</f>
        <v>30</v>
      </c>
      <c r="I56" s="89">
        <f ca="1">H56/(H58+H56)</f>
        <v>1</v>
      </c>
      <c r="J56" s="82">
        <f ca="1">IF(G57,IF(G54,IF(I58=0,J57,(J57-I58*J59)/I56),J55),J57)</f>
        <v>96.905000000000001</v>
      </c>
      <c r="K56" s="82">
        <f t="shared" ca="1" si="0"/>
        <v>3.0949999999999989</v>
      </c>
      <c r="L56" s="82">
        <f ca="1">K56-K58</f>
        <v>0</v>
      </c>
      <c r="M56" s="105">
        <f ca="1">L56/25*100</f>
        <v>0</v>
      </c>
      <c r="N56" s="90">
        <f ca="1">TRUNC(M56,0)/1</f>
        <v>0</v>
      </c>
      <c r="O56" s="101"/>
      <c r="P56" s="101"/>
      <c r="Q56" s="101"/>
      <c r="R56" s="101"/>
      <c r="S56" s="101"/>
      <c r="T56" s="82">
        <f ca="1">K56-$K$88</f>
        <v>-0.5442857142857207</v>
      </c>
      <c r="U56" s="105">
        <f ca="1">T56/25*100</f>
        <v>-2.1771428571428828</v>
      </c>
      <c r="V56" s="90">
        <f ca="1">TRUNC(U56,0)/1</f>
        <v>-2</v>
      </c>
      <c r="W56" s="92"/>
      <c r="X56" s="93"/>
      <c r="Y56" s="93"/>
      <c r="Z56" s="48"/>
      <c r="AA56" s="10"/>
    </row>
    <row r="57" spans="1:27" ht="17.25" x14ac:dyDescent="0.3">
      <c r="A57" s="10"/>
      <c r="C57" s="44" t="str">
        <f ca="1">TEXT(D57,"YYMM")&amp;"E"</f>
        <v>2611E</v>
      </c>
      <c r="D57" s="85">
        <f ca="1">日历计算!G13</f>
        <v>46327.083333333336</v>
      </c>
      <c r="E57" s="86" t="s">
        <v>22</v>
      </c>
      <c r="F57" s="94" t="str">
        <f ca="1">IF(日历计算!H13&lt;&gt;0,日历计算!G13,"当月无会议"&amp;"("&amp;TEXT(日历计算!G13,"M")&amp;"月)")</f>
        <v>当月无会议(11月)</v>
      </c>
      <c r="G57" s="94" t="b">
        <f ca="1">IF(LEFT(F57,1)="当",FALSE,TRUE)</f>
        <v>0</v>
      </c>
      <c r="H57" s="95"/>
      <c r="I57" s="89"/>
      <c r="J57" s="82">
        <f ca="1">VLOOKUP(C57,FF期货结算价!D:Z,$B$3,0)</f>
        <v>96.905000000000001</v>
      </c>
      <c r="K57" s="82">
        <f t="shared" ca="1" si="0"/>
        <v>3.0949999999999989</v>
      </c>
      <c r="L57" s="96"/>
      <c r="M57" s="109"/>
      <c r="N57" s="97">
        <f ca="1">IF(M56&gt;0,MOD(M56,1),MOD(M56,-1))</f>
        <v>0</v>
      </c>
      <c r="O57" s="98">
        <f ca="1">IF(N56=-2,1-ABS(N57),IF(N56=-1,ABS(N57),0))</f>
        <v>0</v>
      </c>
      <c r="P57" s="98">
        <f ca="1">IF(N56=-1,1-ABS(N57),IF(N56=0,IF(N57&lt;0,ABS(N57),0),0))</f>
        <v>0</v>
      </c>
      <c r="Q57" s="98">
        <f ca="1">IF(N56=0,1-ABS(N57),0)</f>
        <v>1</v>
      </c>
      <c r="R57" s="98">
        <f ca="1">IF(N56=0,IF(N57&gt;0,ABS(N57),0),IF(N57=1,1-ABS(N57),0))</f>
        <v>0</v>
      </c>
      <c r="S57" s="98">
        <f ca="1">IF(N56=1,ABS(N57),IF(N56=2,1-ABS(N57),0))</f>
        <v>0</v>
      </c>
      <c r="T57" s="96"/>
      <c r="U57" s="106"/>
      <c r="V57" s="97">
        <f ca="1">IF(U56&gt;0,MOD(U56,1),MOD(U56,-1))</f>
        <v>-0.1771428571428828</v>
      </c>
      <c r="W57" s="99">
        <f ca="1">IF(V56&lt;0,100%,IF(V57&lt;0,ABS(V57),0))</f>
        <v>1</v>
      </c>
      <c r="X57" s="100">
        <f ca="1">IF(V56=0,1-ABS(V57),0)</f>
        <v>0</v>
      </c>
      <c r="Y57" s="100">
        <f ca="1">IF(V56&gt;0,100%,IF(V57&gt;0,V57,0))</f>
        <v>0</v>
      </c>
      <c r="Z57" s="51"/>
      <c r="AA57" s="10"/>
    </row>
    <row r="58" spans="1:27" ht="17.25" x14ac:dyDescent="0.3">
      <c r="A58" s="10"/>
      <c r="C58" s="44"/>
      <c r="D58" s="85">
        <f ca="1">D57</f>
        <v>46327.083333333336</v>
      </c>
      <c r="E58" s="86" t="s">
        <v>23</v>
      </c>
      <c r="F58" s="87"/>
      <c r="G58" s="87"/>
      <c r="H58" s="95">
        <f ca="1">TEXT(D58,"dd")-1</f>
        <v>0</v>
      </c>
      <c r="I58" s="89">
        <f ca="1">H58/(H58+H56)</f>
        <v>0</v>
      </c>
      <c r="J58" s="82">
        <f ca="1">IF(G57,IF(G54,J59,IF(G60,IF(I58=0,J57,(J57-J56*I56)/I58),J59)),J57)</f>
        <v>96.905000000000001</v>
      </c>
      <c r="K58" s="82">
        <f t="shared" ca="1" si="0"/>
        <v>3.0949999999999989</v>
      </c>
      <c r="L58" s="96"/>
      <c r="M58" s="109"/>
      <c r="N58" s="96"/>
      <c r="O58" s="101"/>
      <c r="P58" s="101"/>
      <c r="Q58" s="101"/>
      <c r="R58" s="101"/>
      <c r="S58" s="101"/>
      <c r="T58" s="96"/>
      <c r="U58" s="106"/>
      <c r="V58" s="96"/>
      <c r="W58" s="92"/>
      <c r="X58" s="93"/>
      <c r="Y58" s="93"/>
      <c r="Z58" s="51"/>
      <c r="AA58" s="10"/>
    </row>
    <row r="59" spans="1:27" ht="17.25" x14ac:dyDescent="0.3">
      <c r="A59" s="10"/>
      <c r="C59" s="44" t="str">
        <f ca="1">TEXT(D59,"YYMM")&amp;"EE"</f>
        <v>2610EE</v>
      </c>
      <c r="D59" s="85">
        <f ca="1">D60</f>
        <v>46324.083333333336</v>
      </c>
      <c r="E59" s="86" t="s">
        <v>24</v>
      </c>
      <c r="F59" s="87"/>
      <c r="G59" s="87"/>
      <c r="H59" s="88">
        <f ca="1">DAY(EOMONTH(D59,0))-H61</f>
        <v>3</v>
      </c>
      <c r="I59" s="89">
        <f ca="1">H59/(H61+H59)</f>
        <v>9.6774193548387094E-2</v>
      </c>
      <c r="J59" s="82">
        <f ca="1">IF(G60,IF(G57,IF(G63,J58,IF(I61=0,J60,(J60-J61*I61)/I59)),J58),J60)</f>
        <v>96.905000000000001</v>
      </c>
      <c r="K59" s="82">
        <f t="shared" ca="1" si="0"/>
        <v>3.0949999999999989</v>
      </c>
      <c r="L59" s="82">
        <f ca="1">K59-K61</f>
        <v>-3.8749999999993179E-2</v>
      </c>
      <c r="M59" s="105">
        <f ca="1">L59/25*100</f>
        <v>-0.15499999999997272</v>
      </c>
      <c r="N59" s="90">
        <f ca="1">TRUNC(M59,0)/1</f>
        <v>0</v>
      </c>
      <c r="O59" s="101"/>
      <c r="P59" s="101"/>
      <c r="Q59" s="101"/>
      <c r="R59" s="101"/>
      <c r="S59" s="101"/>
      <c r="T59" s="82">
        <f ca="1">K59-$K$88</f>
        <v>-0.5442857142857207</v>
      </c>
      <c r="U59" s="105">
        <f ca="1">T59/25*100</f>
        <v>-2.1771428571428828</v>
      </c>
      <c r="V59" s="90">
        <f ca="1">TRUNC(U59,0)/1</f>
        <v>-2</v>
      </c>
      <c r="W59" s="92"/>
      <c r="X59" s="93"/>
      <c r="Y59" s="93"/>
      <c r="Z59" s="51"/>
      <c r="AA59" s="10"/>
    </row>
    <row r="60" spans="1:27" ht="17.25" x14ac:dyDescent="0.3">
      <c r="A60" s="10"/>
      <c r="C60" s="44" t="str">
        <f ca="1">TEXT(D60,"YYMM")&amp;"E"</f>
        <v>2610E</v>
      </c>
      <c r="D60" s="85">
        <f ca="1">日历计算!G12</f>
        <v>46324.083333333336</v>
      </c>
      <c r="E60" s="86" t="s">
        <v>22</v>
      </c>
      <c r="F60" s="94">
        <f ca="1">IF(日历计算!H12&lt;&gt;0,日历计算!G12,"当月无会议"&amp;"("&amp;TEXT(日历计算!G12,"M")&amp;"月)")</f>
        <v>46324.083333333336</v>
      </c>
      <c r="G60" s="94" t="b">
        <f ca="1">IF(LEFT(F60,1)="当",FALSE,TRUE)</f>
        <v>1</v>
      </c>
      <c r="H60" s="95"/>
      <c r="I60" s="89"/>
      <c r="J60" s="82">
        <f ca="1">VLOOKUP(C60,FF期货结算价!D:Z,$B$3,0)</f>
        <v>96.87</v>
      </c>
      <c r="K60" s="82">
        <f t="shared" ca="1" si="0"/>
        <v>3.1299999999999955</v>
      </c>
      <c r="L60" s="96"/>
      <c r="M60" s="109"/>
      <c r="N60" s="97">
        <f ca="1">IF(M59&gt;0,MOD(M59,1),MOD(M59,-1))</f>
        <v>-0.15499999999997272</v>
      </c>
      <c r="O60" s="98">
        <f ca="1">IF(N59=-2,1-ABS(N60),IF(N59=-1,ABS(N60),0))</f>
        <v>0</v>
      </c>
      <c r="P60" s="98">
        <f ca="1">IF(N59=-1,1-ABS(N60),IF(N59=0,IF(N60&lt;0,ABS(N60),0),0))</f>
        <v>0.15499999999997272</v>
      </c>
      <c r="Q60" s="98">
        <f ca="1">IF(N59=0,1-ABS(N60),0)</f>
        <v>0.84500000000002728</v>
      </c>
      <c r="R60" s="98">
        <f ca="1">IF(N59=0,IF(N60&gt;0,ABS(N60),0),IF(N60=1,1-ABS(N60),0))</f>
        <v>0</v>
      </c>
      <c r="S60" s="98">
        <f ca="1">IF(N59=1,ABS(N60),IF(N59=2,1-ABS(N60),0))</f>
        <v>0</v>
      </c>
      <c r="T60" s="96"/>
      <c r="U60" s="106"/>
      <c r="V60" s="97">
        <f ca="1">IF(U59&gt;0,MOD(U59,1),MOD(U59,-1))</f>
        <v>-0.1771428571428828</v>
      </c>
      <c r="W60" s="99">
        <f ca="1">IF(V59&lt;0,100%,IF(V60&lt;0,ABS(V60),0))</f>
        <v>1</v>
      </c>
      <c r="X60" s="100">
        <f ca="1">IF(V59=0,1-ABS(V60),0)</f>
        <v>0</v>
      </c>
      <c r="Y60" s="100">
        <f ca="1">IF(V59&gt;0,100%,IF(V60&gt;0,V60,0))</f>
        <v>0</v>
      </c>
      <c r="Z60" s="51"/>
      <c r="AA60" s="10"/>
    </row>
    <row r="61" spans="1:27" ht="17.25" x14ac:dyDescent="0.3">
      <c r="A61" s="10"/>
      <c r="C61" s="44"/>
      <c r="D61" s="85">
        <f ca="1">D60</f>
        <v>46324.083333333336</v>
      </c>
      <c r="E61" s="86" t="s">
        <v>23</v>
      </c>
      <c r="F61" s="87"/>
      <c r="G61" s="87"/>
      <c r="H61" s="95">
        <f ca="1">TEXT(D61,"dd")-1</f>
        <v>28</v>
      </c>
      <c r="I61" s="89">
        <f ca="1">H61/(H61+H59)</f>
        <v>0.90322580645161288</v>
      </c>
      <c r="J61" s="82">
        <f ca="1">IF(G60,IF(G57,IF(G63,IF(I61=0,J60,(J60-I59*J59)/I61),J62),IF(I61=0,J60,(J60-I59*J59)/I61)),J60)</f>
        <v>96.866250000000008</v>
      </c>
      <c r="K61" s="82">
        <f t="shared" ca="1" si="0"/>
        <v>3.133749999999992</v>
      </c>
      <c r="L61" s="96"/>
      <c r="M61" s="109"/>
      <c r="N61" s="96"/>
      <c r="O61" s="91"/>
      <c r="P61" s="91"/>
      <c r="Q61" s="91"/>
      <c r="R61" s="91"/>
      <c r="S61" s="91"/>
      <c r="T61" s="96"/>
      <c r="U61" s="106"/>
      <c r="V61" s="96"/>
      <c r="W61" s="92"/>
      <c r="X61" s="93"/>
      <c r="Y61" s="93"/>
      <c r="Z61" s="51"/>
      <c r="AA61" s="10"/>
    </row>
    <row r="62" spans="1:27" ht="17.25" x14ac:dyDescent="0.3">
      <c r="A62" s="10"/>
      <c r="C62" s="44" t="str">
        <f ca="1">TEXT(D62,"YYMM")&amp;"EE"</f>
        <v>2609EE</v>
      </c>
      <c r="D62" s="85">
        <f ca="1">D63</f>
        <v>46282.083333333336</v>
      </c>
      <c r="E62" s="86" t="s">
        <v>24</v>
      </c>
      <c r="F62" s="87"/>
      <c r="G62" s="87"/>
      <c r="H62" s="88">
        <f ca="1">DAY(EOMONTH(D62,0))-H64</f>
        <v>14</v>
      </c>
      <c r="I62" s="89">
        <f ca="1">H62/(H64+H62)</f>
        <v>0.46666666666666667</v>
      </c>
      <c r="J62" s="82">
        <f ca="1">IF(G63,IF(G60,IF(G66,J61,IF(I64=0,J63,(J63-J64*I64)/I62)),J61),J63)</f>
        <v>96.865714285714276</v>
      </c>
      <c r="K62" s="82">
        <f t="shared" ca="1" si="0"/>
        <v>3.1342857142857241</v>
      </c>
      <c r="L62" s="82">
        <f ca="1">K62-K64</f>
        <v>-8.5714285714274752E-2</v>
      </c>
      <c r="M62" s="105">
        <f ca="1">L62/25*100</f>
        <v>-0.34285714285709901</v>
      </c>
      <c r="N62" s="90">
        <f ca="1">TRUNC(M62,0)/1</f>
        <v>0</v>
      </c>
      <c r="O62" s="101"/>
      <c r="P62" s="101"/>
      <c r="Q62" s="101"/>
      <c r="R62" s="101"/>
      <c r="S62" s="101"/>
      <c r="T62" s="82">
        <f ca="1">K62-$K$88</f>
        <v>-0.50499999999999545</v>
      </c>
      <c r="U62" s="105">
        <f ca="1">T62/25*100</f>
        <v>-2.0199999999999818</v>
      </c>
      <c r="V62" s="90">
        <f ca="1">TRUNC(U62,0)/1</f>
        <v>-2</v>
      </c>
      <c r="W62" s="92"/>
      <c r="X62" s="93"/>
      <c r="Y62" s="93"/>
      <c r="Z62" s="51"/>
      <c r="AA62" s="10"/>
    </row>
    <row r="63" spans="1:27" ht="17.25" x14ac:dyDescent="0.3">
      <c r="A63" s="10"/>
      <c r="C63" s="44" t="str">
        <f ca="1">TEXT(D63,"YYMM")&amp;"E"</f>
        <v>2609E</v>
      </c>
      <c r="D63" s="85">
        <f ca="1">日历计算!G11</f>
        <v>46282.083333333336</v>
      </c>
      <c r="E63" s="86" t="s">
        <v>22</v>
      </c>
      <c r="F63" s="94">
        <f ca="1">IF(日历计算!H11&lt;&gt;0,日历计算!G11,"当月无会议"&amp;"("&amp;TEXT(日历计算!G11,"M")&amp;"月)")</f>
        <v>46282.083333333336</v>
      </c>
      <c r="G63" s="94" t="b">
        <f ca="1">IF(LEFT(F63,1)="当",FALSE,TRUE)</f>
        <v>1</v>
      </c>
      <c r="H63" s="95"/>
      <c r="I63" s="89"/>
      <c r="J63" s="82">
        <f ca="1">VLOOKUP(C63,FF期货结算价!D:Z,$B$3,0)</f>
        <v>96.82</v>
      </c>
      <c r="K63" s="82">
        <f t="shared" ca="1" si="0"/>
        <v>3.1800000000000068</v>
      </c>
      <c r="L63" s="96"/>
      <c r="M63" s="109"/>
      <c r="N63" s="97">
        <f ca="1">IF(M62&gt;0,MOD(M62,1),MOD(M62,-1))</f>
        <v>-0.34285714285709901</v>
      </c>
      <c r="O63" s="98">
        <f ca="1">IF(N62=-2,1-ABS(N63),IF(N62=-1,ABS(N63),0))</f>
        <v>0</v>
      </c>
      <c r="P63" s="98">
        <f ca="1">IF(N62=-1,1-ABS(N63),IF(N62=0,IF(N63&lt;0,ABS(N63),0),0))</f>
        <v>0.34285714285709901</v>
      </c>
      <c r="Q63" s="98">
        <f ca="1">IF(N62=0,1-ABS(N63),0)</f>
        <v>0.65714285714290099</v>
      </c>
      <c r="R63" s="98">
        <f ca="1">IF(N62=0,IF(N63&gt;0,ABS(N63),0),IF(N63=1,1-ABS(N63),0))</f>
        <v>0</v>
      </c>
      <c r="S63" s="98">
        <f ca="1">IF(N62=1,ABS(N63),IF(N62=2,1-ABS(N63),0))</f>
        <v>0</v>
      </c>
      <c r="T63" s="96"/>
      <c r="U63" s="106"/>
      <c r="V63" s="97">
        <f ca="1">IF(U62&gt;0,MOD(U62,1),MOD(U62,-1))</f>
        <v>-1.999999999998181E-2</v>
      </c>
      <c r="W63" s="99">
        <f ca="1">IF(V62&lt;0,100%,IF(V63&lt;0,ABS(V63),0))</f>
        <v>1</v>
      </c>
      <c r="X63" s="100">
        <f ca="1">IF(V62=0,1-ABS(V63),0)</f>
        <v>0</v>
      </c>
      <c r="Y63" s="100">
        <f ca="1">IF(V62&gt;0,100%,IF(V63&gt;0,V63,0))</f>
        <v>0</v>
      </c>
      <c r="Z63" s="51"/>
      <c r="AA63" s="10"/>
    </row>
    <row r="64" spans="1:27" ht="17.25" x14ac:dyDescent="0.3">
      <c r="A64" s="10"/>
      <c r="C64" s="44"/>
      <c r="D64" s="85">
        <f ca="1">D63</f>
        <v>46282.083333333336</v>
      </c>
      <c r="E64" s="86" t="s">
        <v>23</v>
      </c>
      <c r="F64" s="87"/>
      <c r="G64" s="87"/>
      <c r="H64" s="95">
        <f ca="1">TEXT(D64,"dd")-1</f>
        <v>16</v>
      </c>
      <c r="I64" s="89">
        <f ca="1">H64/(H64+H62)</f>
        <v>0.53333333333333333</v>
      </c>
      <c r="J64" s="82">
        <f ca="1">IF(G63,IF(G60,IF(G66,IF(I64=0,J63,(J63-I62*J62)/I64),J65),IF(I64=0,J63,(J63-I62*J62)/I64)),J63)</f>
        <v>96.78</v>
      </c>
      <c r="K64" s="82">
        <f t="shared" ca="1" si="0"/>
        <v>3.2199999999999989</v>
      </c>
      <c r="L64" s="96"/>
      <c r="M64" s="109"/>
      <c r="N64" s="96"/>
      <c r="O64" s="91"/>
      <c r="P64" s="91"/>
      <c r="Q64" s="91"/>
      <c r="R64" s="91"/>
      <c r="S64" s="91"/>
      <c r="T64" s="96"/>
      <c r="U64" s="106"/>
      <c r="V64" s="96"/>
      <c r="W64" s="92"/>
      <c r="X64" s="93"/>
      <c r="Y64" s="93"/>
      <c r="Z64" s="51"/>
      <c r="AA64" s="10"/>
    </row>
    <row r="65" spans="1:27" ht="17.25" x14ac:dyDescent="0.3">
      <c r="A65" s="10"/>
      <c r="C65" s="44" t="str">
        <f ca="1">TEXT(D65,"YYMM")&amp;"EE"</f>
        <v>2608EE</v>
      </c>
      <c r="D65" s="85">
        <f ca="1">D66</f>
        <v>46235.083333333336</v>
      </c>
      <c r="E65" s="86" t="s">
        <v>24</v>
      </c>
      <c r="F65" s="87"/>
      <c r="G65" s="87"/>
      <c r="H65" s="88">
        <f ca="1">DAY(EOMONTH(D65,0))-H67</f>
        <v>31</v>
      </c>
      <c r="I65" s="89">
        <f ca="1">H65/(H67+H65)</f>
        <v>1</v>
      </c>
      <c r="J65" s="82">
        <f ca="1">IF(G66,IF(G63,IF(G69,J64,IF(I67=0,J66,(J66-J67*I67)/I65)),J64),J66)</f>
        <v>96.78</v>
      </c>
      <c r="K65" s="82">
        <f t="shared" ca="1" si="0"/>
        <v>3.2199999999999989</v>
      </c>
      <c r="L65" s="82">
        <f ca="1">K65-K67</f>
        <v>0</v>
      </c>
      <c r="M65" s="105">
        <f ca="1">L65/25*100</f>
        <v>0</v>
      </c>
      <c r="N65" s="90">
        <f ca="1">TRUNC(M65,0)/1</f>
        <v>0</v>
      </c>
      <c r="O65" s="101"/>
      <c r="P65" s="101"/>
      <c r="Q65" s="101"/>
      <c r="R65" s="101"/>
      <c r="S65" s="101"/>
      <c r="T65" s="82">
        <f ca="1">K65-$K$88</f>
        <v>-0.4192857142857207</v>
      </c>
      <c r="U65" s="105">
        <f ca="1">T65/25*100</f>
        <v>-1.677142857142883</v>
      </c>
      <c r="V65" s="90">
        <f ca="1">TRUNC(U65,0)/1</f>
        <v>-1</v>
      </c>
      <c r="W65" s="92"/>
      <c r="X65" s="93"/>
      <c r="Y65" s="93"/>
      <c r="Z65" s="51"/>
      <c r="AA65" s="10"/>
    </row>
    <row r="66" spans="1:27" ht="17.25" x14ac:dyDescent="0.3">
      <c r="A66" s="10"/>
      <c r="C66" s="44" t="str">
        <f ca="1">TEXT(D66,"YYMM")&amp;"E"</f>
        <v>2608E</v>
      </c>
      <c r="D66" s="85">
        <f ca="1">日历计算!G10</f>
        <v>46235.083333333336</v>
      </c>
      <c r="E66" s="86" t="s">
        <v>22</v>
      </c>
      <c r="F66" s="94" t="str">
        <f ca="1">IF(日历计算!H10&lt;&gt;0,日历计算!G10,"当月无会议"&amp;"("&amp;TEXT(日历计算!G10,"M")&amp;"月)")</f>
        <v>当月无会议(8月)</v>
      </c>
      <c r="G66" s="94" t="b">
        <f ca="1">IF(LEFT(F66,1)="当",FALSE,TRUE)</f>
        <v>0</v>
      </c>
      <c r="H66" s="95"/>
      <c r="I66" s="89"/>
      <c r="J66" s="82">
        <f ca="1">VLOOKUP(C66,FF期货结算价!D:Z,$B$3,0)</f>
        <v>96.78</v>
      </c>
      <c r="K66" s="82">
        <f t="shared" ca="1" si="0"/>
        <v>3.2199999999999989</v>
      </c>
      <c r="L66" s="96"/>
      <c r="M66" s="109"/>
      <c r="N66" s="97">
        <f ca="1">IF(M65&gt;0,MOD(M65,1),MOD(M65,-1))</f>
        <v>0</v>
      </c>
      <c r="O66" s="98">
        <f ca="1">IF(N65=-2,1-ABS(N66),IF(N65=-1,ABS(N66),0))</f>
        <v>0</v>
      </c>
      <c r="P66" s="98">
        <f ca="1">IF(N65=-1,1-ABS(N66),IF(N65=0,IF(N66&lt;0,ABS(N66),0),0))</f>
        <v>0</v>
      </c>
      <c r="Q66" s="98">
        <f ca="1">IF(N65=0,1-ABS(N66),0)</f>
        <v>1</v>
      </c>
      <c r="R66" s="98">
        <f ca="1">IF(N65=0,IF(N66&gt;0,ABS(N66),0),IF(N66=1,1-ABS(N66),0))</f>
        <v>0</v>
      </c>
      <c r="S66" s="98">
        <f ca="1">IF(N65=1,ABS(N66),IF(N65=2,1-ABS(N66),0))</f>
        <v>0</v>
      </c>
      <c r="T66" s="96"/>
      <c r="U66" s="106"/>
      <c r="V66" s="97">
        <f ca="1">IF(U65&gt;0,MOD(U65,1),MOD(U65,-1))</f>
        <v>-0.67714285714288303</v>
      </c>
      <c r="W66" s="99">
        <f ca="1">IF(V65&lt;0,100%,IF(V66&lt;0,ABS(V66),0))</f>
        <v>1</v>
      </c>
      <c r="X66" s="100">
        <f ca="1">IF(V65=0,1-ABS(V66),0)</f>
        <v>0</v>
      </c>
      <c r="Y66" s="100">
        <f ca="1">IF(V65&gt;0,100%,IF(V66&gt;0,V66,0))</f>
        <v>0</v>
      </c>
      <c r="Z66" s="51"/>
      <c r="AA66" s="10"/>
    </row>
    <row r="67" spans="1:27" ht="17.25" x14ac:dyDescent="0.3">
      <c r="A67" s="10"/>
      <c r="C67" s="44"/>
      <c r="D67" s="85">
        <f ca="1">D66</f>
        <v>46235.083333333336</v>
      </c>
      <c r="E67" s="86" t="s">
        <v>23</v>
      </c>
      <c r="F67" s="87"/>
      <c r="G67" s="87"/>
      <c r="H67" s="95">
        <f ca="1">TEXT(D67,"dd")-1</f>
        <v>0</v>
      </c>
      <c r="I67" s="89">
        <f ca="1">H67/(H67+H65)</f>
        <v>0</v>
      </c>
      <c r="J67" s="82">
        <f ca="1">IF(G66,IF(G63,IF(G69,IF(I67=0,J66,(J66-I65*J65)/I67),J68),IF(I67=0,J66,(J66-I65*J65)/I67)),J66)</f>
        <v>96.78</v>
      </c>
      <c r="K67" s="82">
        <f t="shared" ca="1" si="0"/>
        <v>3.2199999999999989</v>
      </c>
      <c r="L67" s="96"/>
      <c r="M67" s="109"/>
      <c r="N67" s="96"/>
      <c r="O67" s="91"/>
      <c r="P67" s="91"/>
      <c r="Q67" s="91"/>
      <c r="R67" s="91"/>
      <c r="S67" s="91"/>
      <c r="T67" s="96"/>
      <c r="U67" s="106"/>
      <c r="V67" s="96"/>
      <c r="W67" s="92"/>
      <c r="X67" s="93"/>
      <c r="Y67" s="93"/>
      <c r="Z67" s="51"/>
      <c r="AA67" s="10"/>
    </row>
    <row r="68" spans="1:27" ht="17.25" x14ac:dyDescent="0.3">
      <c r="A68" s="10"/>
      <c r="C68" s="44" t="str">
        <f ca="1">TEXT(D68,"YYMM")&amp;"EE"</f>
        <v>2607EE</v>
      </c>
      <c r="D68" s="85">
        <f ca="1">D69</f>
        <v>46233.083333333336</v>
      </c>
      <c r="E68" s="86" t="s">
        <v>24</v>
      </c>
      <c r="F68" s="87"/>
      <c r="G68" s="87"/>
      <c r="H68" s="88">
        <f ca="1">DAY(EOMONTH(D68,0))-H70</f>
        <v>2</v>
      </c>
      <c r="I68" s="89">
        <f ca="1">H68/(H70+H68)</f>
        <v>6.4516129032258063E-2</v>
      </c>
      <c r="J68" s="82">
        <f ca="1">IF(G69,IF(G66,IF(G72,J67,IF(I70=0,J69,(J69-J70*I70)/I68)),J67),J69)</f>
        <v>96.78</v>
      </c>
      <c r="K68" s="82">
        <f t="shared" ca="1" si="0"/>
        <v>3.2199999999999989</v>
      </c>
      <c r="L68" s="82">
        <f ca="1">K68-K70</f>
        <v>-7.4827586206907881E-2</v>
      </c>
      <c r="M68" s="105">
        <f ca="1">L68/25*100</f>
        <v>-0.29931034482763152</v>
      </c>
      <c r="N68" s="90">
        <f ca="1">TRUNC(M68,0)/1</f>
        <v>0</v>
      </c>
      <c r="O68" s="101"/>
      <c r="P68" s="101"/>
      <c r="Q68" s="101"/>
      <c r="R68" s="101"/>
      <c r="S68" s="101"/>
      <c r="T68" s="82">
        <f ca="1">K68-$K$88</f>
        <v>-0.4192857142857207</v>
      </c>
      <c r="U68" s="105">
        <f ca="1">T68/25*100</f>
        <v>-1.677142857142883</v>
      </c>
      <c r="V68" s="90">
        <f ca="1">TRUNC(U68,0)/1</f>
        <v>-1</v>
      </c>
      <c r="W68" s="92"/>
      <c r="X68" s="93"/>
      <c r="Y68" s="93"/>
      <c r="Z68" s="51"/>
      <c r="AA68" s="10"/>
    </row>
    <row r="69" spans="1:27" ht="17.25" x14ac:dyDescent="0.3">
      <c r="A69" s="10"/>
      <c r="C69" s="44" t="str">
        <f ca="1">TEXT(D69,"YYMM")&amp;"E"</f>
        <v>2607E</v>
      </c>
      <c r="D69" s="85">
        <f ca="1">日历计算!G9</f>
        <v>46233.083333333336</v>
      </c>
      <c r="E69" s="86" t="s">
        <v>22</v>
      </c>
      <c r="F69" s="94">
        <f ca="1">IF(日历计算!H9&lt;&gt;0,日历计算!G9,"当月无会议"&amp;"("&amp;TEXT(日历计算!G9,"M")&amp;"月)")</f>
        <v>46233.083333333336</v>
      </c>
      <c r="G69" s="94" t="b">
        <f ca="1">IF(LEFT(F69,1)="当",FALSE,TRUE)</f>
        <v>1</v>
      </c>
      <c r="H69" s="95"/>
      <c r="I69" s="89"/>
      <c r="J69" s="82">
        <f ca="1">VLOOKUP(C69,FF期货结算价!D:Z,$B$3,0)</f>
        <v>96.71</v>
      </c>
      <c r="K69" s="82">
        <f t="shared" ref="K69:K87" ca="1" si="1">100-J69</f>
        <v>3.2900000000000063</v>
      </c>
      <c r="L69" s="96"/>
      <c r="M69" s="109"/>
      <c r="N69" s="97">
        <f ca="1">IF(M68&gt;0,MOD(M68,1),MOD(M68,-1))</f>
        <v>-0.29931034482763152</v>
      </c>
      <c r="O69" s="98">
        <f ca="1">IF(N68=-2,1-ABS(N69),IF(N68=-1,ABS(N69),0))</f>
        <v>0</v>
      </c>
      <c r="P69" s="98">
        <f ca="1">IF(N68=-1,1-ABS(N69),IF(N68=0,IF(N69&lt;0,ABS(N69),0),0))</f>
        <v>0.29931034482763152</v>
      </c>
      <c r="Q69" s="98">
        <f ca="1">IF(N68=0,1-ABS(N69),0)</f>
        <v>0.70068965517236848</v>
      </c>
      <c r="R69" s="98">
        <f ca="1">IF(N68=0,IF(N69&gt;0,ABS(N69),0),IF(N69=1,1-ABS(N69),0))</f>
        <v>0</v>
      </c>
      <c r="S69" s="98">
        <f ca="1">IF(N68=1,ABS(N69),IF(N68=2,1-ABS(N69),0))</f>
        <v>0</v>
      </c>
      <c r="T69" s="96"/>
      <c r="U69" s="106"/>
      <c r="V69" s="97">
        <f ca="1">IF(U68&gt;0,MOD(U68,1),MOD(U68,-1))</f>
        <v>-0.67714285714288303</v>
      </c>
      <c r="W69" s="99">
        <f ca="1">IF(V68&lt;0,100%,IF(V69&lt;0,ABS(V69),0))</f>
        <v>1</v>
      </c>
      <c r="X69" s="100">
        <f ca="1">IF(V68=0,1-ABS(V69),0)</f>
        <v>0</v>
      </c>
      <c r="Y69" s="100">
        <f ca="1">IF(V68&gt;0,100%,IF(V69&gt;0,V69,0))</f>
        <v>0</v>
      </c>
      <c r="Z69" s="51"/>
      <c r="AA69" s="10"/>
    </row>
    <row r="70" spans="1:27" ht="17.25" x14ac:dyDescent="0.3">
      <c r="A70" s="10"/>
      <c r="C70" s="44"/>
      <c r="D70" s="85">
        <f ca="1">D69</f>
        <v>46233.083333333336</v>
      </c>
      <c r="E70" s="86" t="s">
        <v>23</v>
      </c>
      <c r="F70" s="87"/>
      <c r="G70" s="87"/>
      <c r="H70" s="95">
        <f ca="1">TEXT(D70,"dd")-1</f>
        <v>29</v>
      </c>
      <c r="I70" s="89">
        <f ca="1">H70/(H70+H68)</f>
        <v>0.93548387096774188</v>
      </c>
      <c r="J70" s="82">
        <f ca="1">IF(G69,IF(G66,IF(G72,IF(I70=0,J69,(J69-I68*J68)/I70),J71),IF(I70=0,J69,(J69-I68*J68)/I70)),J69)</f>
        <v>96.705172413793093</v>
      </c>
      <c r="K70" s="82">
        <f t="shared" ca="1" si="1"/>
        <v>3.2948275862069067</v>
      </c>
      <c r="L70" s="102"/>
      <c r="M70" s="110"/>
      <c r="N70" s="102"/>
      <c r="O70" s="98"/>
      <c r="P70" s="98"/>
      <c r="Q70" s="98"/>
      <c r="R70" s="98"/>
      <c r="S70" s="98"/>
      <c r="T70" s="102"/>
      <c r="U70" s="107"/>
      <c r="V70" s="102"/>
      <c r="W70" s="99"/>
      <c r="X70" s="100"/>
      <c r="Y70" s="100"/>
      <c r="Z70" s="51"/>
      <c r="AA70" s="10"/>
    </row>
    <row r="71" spans="1:27" ht="17.25" x14ac:dyDescent="0.3">
      <c r="A71" s="10"/>
      <c r="C71" s="44" t="str">
        <f ca="1">TEXT(D71,"YYMM")&amp;"EE"</f>
        <v>2606EE</v>
      </c>
      <c r="D71" s="85">
        <f ca="1">D72</f>
        <v>46191.083333333336</v>
      </c>
      <c r="E71" s="86" t="s">
        <v>24</v>
      </c>
      <c r="F71" s="87"/>
      <c r="G71" s="87"/>
      <c r="H71" s="88">
        <f ca="1">DAY(EOMONTH(D71,0))-H73</f>
        <v>13</v>
      </c>
      <c r="I71" s="89">
        <f ca="1">H71/(H73+H71)</f>
        <v>0.43333333333333335</v>
      </c>
      <c r="J71" s="82">
        <f ca="1">IF(G72,IF(G69,IF(G75,J70,IF(I73=0,J72,(J72-J73*I73)/I71)),J70),J72)</f>
        <v>96.708461538461549</v>
      </c>
      <c r="K71" s="82">
        <f t="shared" ca="1" si="1"/>
        <v>3.2915384615384511</v>
      </c>
      <c r="L71" s="82">
        <f ca="1">K71-K73</f>
        <v>-0.13846153846155573</v>
      </c>
      <c r="M71" s="105">
        <f ca="1">L71/25*100</f>
        <v>-0.55384615384622293</v>
      </c>
      <c r="N71" s="90">
        <f ca="1">TRUNC(M71,0)/1</f>
        <v>0</v>
      </c>
      <c r="O71" s="101"/>
      <c r="P71" s="101"/>
      <c r="Q71" s="101"/>
      <c r="R71" s="101"/>
      <c r="S71" s="101"/>
      <c r="T71" s="82">
        <f ca="1">K71-$K$88</f>
        <v>-0.34774725274726848</v>
      </c>
      <c r="U71" s="105">
        <f ca="1">T71/25*100</f>
        <v>-1.3909890109890739</v>
      </c>
      <c r="V71" s="90">
        <f ca="1">TRUNC(U71,0)/1</f>
        <v>-1</v>
      </c>
      <c r="W71" s="99"/>
      <c r="X71" s="100"/>
      <c r="Y71" s="100"/>
      <c r="Z71" s="51"/>
      <c r="AA71" s="10"/>
    </row>
    <row r="72" spans="1:27" ht="17.25" x14ac:dyDescent="0.3">
      <c r="A72" s="10"/>
      <c r="C72" s="44" t="str">
        <f ca="1">TEXT(D72,"YYMM")&amp;"E"</f>
        <v>2606E</v>
      </c>
      <c r="D72" s="85">
        <f ca="1">日历计算!G8</f>
        <v>46191.083333333336</v>
      </c>
      <c r="E72" s="86" t="s">
        <v>22</v>
      </c>
      <c r="F72" s="94">
        <f ca="1">IF(日历计算!H8&lt;&gt;0,日历计算!G8,"当月无会议"&amp;"("&amp;TEXT(日历计算!G8,"M")&amp;"月)")</f>
        <v>46191.083333333336</v>
      </c>
      <c r="G72" s="94" t="b">
        <f ca="1">IF(LEFT(F72,1)="当",FALSE,TRUE)</f>
        <v>1</v>
      </c>
      <c r="H72" s="95"/>
      <c r="I72" s="89"/>
      <c r="J72" s="82">
        <f ca="1">VLOOKUP(C72,FF期货结算价!D:Z,$B$3,0)</f>
        <v>96.63</v>
      </c>
      <c r="K72" s="82">
        <f t="shared" ca="1" si="1"/>
        <v>3.3700000000000045</v>
      </c>
      <c r="L72" s="96"/>
      <c r="M72" s="109"/>
      <c r="N72" s="97">
        <f ca="1">IF(M71&gt;0,MOD(M71,1),MOD(M71,-1))</f>
        <v>-0.55384615384622293</v>
      </c>
      <c r="O72" s="98">
        <f ca="1">IF(N71=-2,1-ABS(N72),IF(N71=-1,ABS(N72),0))</f>
        <v>0</v>
      </c>
      <c r="P72" s="98">
        <f ca="1">IF(N71=-1,1-ABS(N72),IF(N71=0,IF(N72&lt;0,ABS(N72),0),0))</f>
        <v>0.55384615384622293</v>
      </c>
      <c r="Q72" s="98">
        <f ca="1">IF(N71=0,1-ABS(N72),0)</f>
        <v>0.44615384615377707</v>
      </c>
      <c r="R72" s="98">
        <f ca="1">IF(N71=0,IF(N72&gt;0,ABS(N72),0),IF(N72=1,1-ABS(N72),0))</f>
        <v>0</v>
      </c>
      <c r="S72" s="98">
        <f ca="1">IF(N71=1,ABS(N72),IF(N71=2,1-ABS(N72),0))</f>
        <v>0</v>
      </c>
      <c r="T72" s="96"/>
      <c r="U72" s="106"/>
      <c r="V72" s="97">
        <f ca="1">IF(U71&gt;0,MOD(U71,1),MOD(U71,-1))</f>
        <v>-0.3909890109890739</v>
      </c>
      <c r="W72" s="99">
        <f ca="1">IF(V71&lt;0,100%,IF(V72&lt;0,ABS(V72),0))</f>
        <v>1</v>
      </c>
      <c r="X72" s="100">
        <f ca="1">IF(V71=0,1-ABS(V72),0)</f>
        <v>0</v>
      </c>
      <c r="Y72" s="100">
        <f ca="1">IF(V71&gt;0,100%,IF(V72&gt;0,V72,0))</f>
        <v>0</v>
      </c>
      <c r="Z72" s="51"/>
      <c r="AA72" s="10"/>
    </row>
    <row r="73" spans="1:27" ht="17.25" x14ac:dyDescent="0.3">
      <c r="A73" s="10"/>
      <c r="C73" s="44"/>
      <c r="D73" s="85">
        <f ca="1">D72</f>
        <v>46191.083333333336</v>
      </c>
      <c r="E73" s="86" t="s">
        <v>23</v>
      </c>
      <c r="F73" s="87"/>
      <c r="G73" s="87"/>
      <c r="H73" s="95">
        <f ca="1">TEXT(D73,"dd")-1</f>
        <v>17</v>
      </c>
      <c r="I73" s="89">
        <f ca="1">H73/(H73+H71)</f>
        <v>0.56666666666666665</v>
      </c>
      <c r="J73" s="82">
        <f ca="1">IF(G72,IF(G69,IF(G75,IF(I73=0,J72,(J72-I71*J71)/I73),J74),IF(I73=0,J72,(J72-I71*J71)/I73)),J72)</f>
        <v>96.57</v>
      </c>
      <c r="K73" s="82">
        <f t="shared" ca="1" si="1"/>
        <v>3.4300000000000068</v>
      </c>
      <c r="L73" s="96"/>
      <c r="M73" s="109"/>
      <c r="N73" s="96"/>
      <c r="O73" s="91"/>
      <c r="P73" s="91"/>
      <c r="Q73" s="91"/>
      <c r="R73" s="91"/>
      <c r="S73" s="91"/>
      <c r="T73" s="96"/>
      <c r="U73" s="106"/>
      <c r="V73" s="96"/>
      <c r="W73" s="99"/>
      <c r="X73" s="100"/>
      <c r="Y73" s="100"/>
      <c r="Z73" s="51"/>
      <c r="AA73" s="10"/>
    </row>
    <row r="74" spans="1:27" ht="17.25" x14ac:dyDescent="0.3">
      <c r="A74" s="10"/>
      <c r="C74" s="44" t="str">
        <f ca="1">TEXT(D74,"YYMM")&amp;"EE"</f>
        <v>2605EE</v>
      </c>
      <c r="D74" s="85">
        <f ca="1">D75</f>
        <v>46143.083333333336</v>
      </c>
      <c r="E74" s="86" t="s">
        <v>24</v>
      </c>
      <c r="F74" s="87"/>
      <c r="G74" s="87"/>
      <c r="H74" s="88">
        <f ca="1">DAY(EOMONTH(D74,0))-H76</f>
        <v>31</v>
      </c>
      <c r="I74" s="89">
        <f ca="1">H74/(H76+H74)</f>
        <v>1</v>
      </c>
      <c r="J74" s="82">
        <f ca="1">IF(G75,IF(G72,IF(G78,J73,IF(I76=0,J75,(J75-J76*I76)/I74)),J73),J75)</f>
        <v>96.57</v>
      </c>
      <c r="K74" s="82">
        <f t="shared" ca="1" si="1"/>
        <v>3.4300000000000068</v>
      </c>
      <c r="L74" s="82">
        <f ca="1">K74-K76</f>
        <v>0</v>
      </c>
      <c r="M74" s="105">
        <f ca="1">L74/25*100</f>
        <v>0</v>
      </c>
      <c r="N74" s="90">
        <f ca="1">TRUNC(M74,0)/1</f>
        <v>0</v>
      </c>
      <c r="O74" s="101"/>
      <c r="P74" s="101"/>
      <c r="Q74" s="101"/>
      <c r="R74" s="101"/>
      <c r="S74" s="101"/>
      <c r="T74" s="82">
        <f ca="1">K74-$K$88</f>
        <v>-0.20928571428571274</v>
      </c>
      <c r="U74" s="105">
        <f ca="1">T74/25*100</f>
        <v>-0.83714285714285086</v>
      </c>
      <c r="V74" s="90">
        <f ca="1">TRUNC(U74,0)/1</f>
        <v>0</v>
      </c>
      <c r="W74" s="99"/>
      <c r="X74" s="100"/>
      <c r="Y74" s="100"/>
      <c r="Z74" s="51"/>
      <c r="AA74" s="10"/>
    </row>
    <row r="75" spans="1:27" ht="17.25" x14ac:dyDescent="0.3">
      <c r="A75" s="10"/>
      <c r="C75" s="44" t="str">
        <f ca="1">TEXT(D75,"YYMM")&amp;"E"</f>
        <v>2605E</v>
      </c>
      <c r="D75" s="85">
        <f ca="1">日历计算!G7</f>
        <v>46143.083333333336</v>
      </c>
      <c r="E75" s="86" t="s">
        <v>22</v>
      </c>
      <c r="F75" s="94" t="str">
        <f ca="1">IF(日历计算!H7&lt;&gt;0,日历计算!G7,"当月无会议"&amp;"("&amp;TEXT(日历计算!G7,"M")&amp;"月)")</f>
        <v>当月无会议(5月)</v>
      </c>
      <c r="G75" s="94" t="b">
        <f ca="1">IF(LEFT(F75,1)="当",FALSE,TRUE)</f>
        <v>0</v>
      </c>
      <c r="H75" s="95"/>
      <c r="I75" s="89"/>
      <c r="J75" s="82">
        <f ca="1">VLOOKUP(C75,FF期货结算价!D:Z,$B$3,0)</f>
        <v>96.57</v>
      </c>
      <c r="K75" s="82">
        <f t="shared" ca="1" si="1"/>
        <v>3.4300000000000068</v>
      </c>
      <c r="L75" s="96"/>
      <c r="M75" s="109"/>
      <c r="N75" s="97">
        <f ca="1">IF(M74&gt;0,MOD(M74,1),MOD(M74,-1))</f>
        <v>0</v>
      </c>
      <c r="O75" s="98">
        <f ca="1">IF(N74=-2,1-ABS(N75),IF(N74=-1,ABS(N75),0))</f>
        <v>0</v>
      </c>
      <c r="P75" s="98">
        <f ca="1">IF(N74=-1,1-ABS(N75),IF(N74=0,IF(N75&lt;0,ABS(N75),0),0))</f>
        <v>0</v>
      </c>
      <c r="Q75" s="98">
        <f ca="1">IF(N74=0,1-ABS(N75),0)</f>
        <v>1</v>
      </c>
      <c r="R75" s="98">
        <f ca="1">IF(N74=0,IF(N75&gt;0,ABS(N75),0),IF(N75=1,1-ABS(N75),0))</f>
        <v>0</v>
      </c>
      <c r="S75" s="98">
        <f ca="1">IF(N74=1,ABS(N75),IF(N74=2,1-ABS(N75),0))</f>
        <v>0</v>
      </c>
      <c r="T75" s="96"/>
      <c r="U75" s="106"/>
      <c r="V75" s="97">
        <f ca="1">IF(U74&gt;0,MOD(U74,1),MOD(U74,-1))</f>
        <v>-0.83714285714285086</v>
      </c>
      <c r="W75" s="99">
        <f ca="1">IF(V74&lt;0,100%,IF(V75&lt;0,ABS(V75),0))</f>
        <v>0.83714285714285086</v>
      </c>
      <c r="X75" s="100">
        <f ca="1">IF(V74=0,1-ABS(V75),0)</f>
        <v>0.16285714285714914</v>
      </c>
      <c r="Y75" s="100">
        <f ca="1">IF(V74&gt;0,100%,IF(V75&gt;0,V75,0))</f>
        <v>0</v>
      </c>
      <c r="Z75" s="51"/>
      <c r="AA75" s="10"/>
    </row>
    <row r="76" spans="1:27" ht="17.25" x14ac:dyDescent="0.3">
      <c r="A76" s="10"/>
      <c r="C76" s="44"/>
      <c r="D76" s="85">
        <f ca="1">D75</f>
        <v>46143.083333333336</v>
      </c>
      <c r="E76" s="86" t="s">
        <v>23</v>
      </c>
      <c r="F76" s="87"/>
      <c r="G76" s="87"/>
      <c r="H76" s="95">
        <f ca="1">TEXT(D76,"dd")-1</f>
        <v>0</v>
      </c>
      <c r="I76" s="89">
        <f ca="1">H76/(H76+H74)</f>
        <v>0</v>
      </c>
      <c r="J76" s="82">
        <f ca="1">IF(G75,IF(G72,IF(G78,IF(I76=0,J75,(J75-I74*J74)/I76),J77),IF(I76=0,J75,(J75-I74*J74)/I76)),J75)</f>
        <v>96.57</v>
      </c>
      <c r="K76" s="82">
        <f t="shared" ca="1" si="1"/>
        <v>3.4300000000000068</v>
      </c>
      <c r="L76" s="102"/>
      <c r="M76" s="110"/>
      <c r="N76" s="102"/>
      <c r="O76" s="98"/>
      <c r="P76" s="98"/>
      <c r="Q76" s="98"/>
      <c r="R76" s="98"/>
      <c r="S76" s="98"/>
      <c r="T76" s="102"/>
      <c r="U76" s="107"/>
      <c r="V76" s="102"/>
      <c r="W76" s="99"/>
      <c r="X76" s="100"/>
      <c r="Y76" s="100"/>
      <c r="Z76" s="51"/>
      <c r="AA76" s="10"/>
    </row>
    <row r="77" spans="1:27" ht="17.25" x14ac:dyDescent="0.3">
      <c r="A77" s="10"/>
      <c r="C77" s="44" t="str">
        <f ca="1">TEXT(D77,"YYMM")&amp;"EE"</f>
        <v>2604EE</v>
      </c>
      <c r="D77" s="85">
        <f ca="1">D78</f>
        <v>46142.083333333336</v>
      </c>
      <c r="E77" s="86" t="s">
        <v>24</v>
      </c>
      <c r="F77" s="87"/>
      <c r="G77" s="87"/>
      <c r="H77" s="88">
        <f ca="1">DAY(EOMONTH(D77,0))-H79</f>
        <v>1</v>
      </c>
      <c r="I77" s="89">
        <f ca="1">H77/(H79+H77)</f>
        <v>3.3333333333333333E-2</v>
      </c>
      <c r="J77" s="82">
        <f ca="1">IF(G78,IF(G75,IF(G81,J76,IF(I79=0,J78,(J78-J79*I79)/I77)),J76),J78)</f>
        <v>96.57</v>
      </c>
      <c r="K77" s="82">
        <f t="shared" ca="1" si="1"/>
        <v>3.4300000000000068</v>
      </c>
      <c r="L77" s="82">
        <f ca="1">K77-K79</f>
        <v>-5.6896551724122446E-2</v>
      </c>
      <c r="M77" s="105">
        <f ca="1">L77/25*100</f>
        <v>-0.22758620689648981</v>
      </c>
      <c r="N77" s="90">
        <f ca="1">TRUNC(M77,0)/1</f>
        <v>0</v>
      </c>
      <c r="O77" s="101"/>
      <c r="P77" s="101"/>
      <c r="Q77" s="101"/>
      <c r="R77" s="101"/>
      <c r="S77" s="101"/>
      <c r="T77" s="82">
        <f ca="1">K77-$K$88</f>
        <v>-0.20928571428571274</v>
      </c>
      <c r="U77" s="105">
        <f ca="1">T77/25*100</f>
        <v>-0.83714285714285086</v>
      </c>
      <c r="V77" s="90">
        <f ca="1">TRUNC(U77,0)/1</f>
        <v>0</v>
      </c>
      <c r="W77" s="103"/>
      <c r="X77" s="98"/>
      <c r="Y77" s="98"/>
      <c r="Z77" s="51"/>
      <c r="AA77" s="10"/>
    </row>
    <row r="78" spans="1:27" ht="17.25" x14ac:dyDescent="0.3">
      <c r="A78" s="10"/>
      <c r="C78" s="44" t="str">
        <f ca="1">TEXT(D78,"YYMM")&amp;"E"</f>
        <v>2604E</v>
      </c>
      <c r="D78" s="85">
        <f ca="1">日历计算!G6</f>
        <v>46142.083333333336</v>
      </c>
      <c r="E78" s="86" t="s">
        <v>22</v>
      </c>
      <c r="F78" s="94">
        <f ca="1">IF(日历计算!H6&lt;&gt;0,日历计算!G6,"当月无会议"&amp;"("&amp;TEXT(日历计算!G6,"M")&amp;"月)")</f>
        <v>46142.083333333336</v>
      </c>
      <c r="G78" s="94" t="b">
        <f ca="1">IF(LEFT(F78,1)="当",FALSE,TRUE)</f>
        <v>1</v>
      </c>
      <c r="H78" s="95"/>
      <c r="I78" s="89"/>
      <c r="J78" s="82">
        <f ca="1">VLOOKUP(C78,FF期货结算价!D:Z,$B$3,0)</f>
        <v>96.515000000000001</v>
      </c>
      <c r="K78" s="82">
        <f t="shared" ca="1" si="1"/>
        <v>3.4849999999999994</v>
      </c>
      <c r="L78" s="96"/>
      <c r="M78" s="109"/>
      <c r="N78" s="97">
        <f ca="1">IF(M77&gt;0,MOD(M77,1),MOD(M77,-1))</f>
        <v>-0.22758620689648981</v>
      </c>
      <c r="O78" s="98">
        <f ca="1">IF(N77=-2,1-ABS(N78),IF(N77=-1,ABS(N78),0))</f>
        <v>0</v>
      </c>
      <c r="P78" s="98">
        <f ca="1">IF(N77=-1,1-ABS(N78),IF(N77=0,IF(N78&lt;0,ABS(N78),0),0))</f>
        <v>0.22758620689648981</v>
      </c>
      <c r="Q78" s="98">
        <f ca="1">IF(N77=0,1-ABS(N78),0)</f>
        <v>0.77241379310351022</v>
      </c>
      <c r="R78" s="98">
        <f ca="1">IF(N77=0,IF(N78&gt;0,ABS(N78),0),IF(N78=1,1-ABS(N78),0))</f>
        <v>0</v>
      </c>
      <c r="S78" s="98">
        <f ca="1">IF(N77=1,ABS(N78),IF(N77=2,1-ABS(N78),0))</f>
        <v>0</v>
      </c>
      <c r="T78" s="96"/>
      <c r="U78" s="106"/>
      <c r="V78" s="97">
        <f ca="1">IF(U77&gt;0,MOD(U77,1),MOD(U77,-1))</f>
        <v>-0.83714285714285086</v>
      </c>
      <c r="W78" s="99">
        <f ca="1">IF(V77&lt;0,100%,IF(V78&lt;0,ABS(V78),0))</f>
        <v>0.83714285714285086</v>
      </c>
      <c r="X78" s="100">
        <f ca="1">IF(V77=0,1-ABS(V78),0)</f>
        <v>0.16285714285714914</v>
      </c>
      <c r="Y78" s="100">
        <f ca="1">IF(V77&gt;0,100%,IF(V78&gt;0,V78,0))</f>
        <v>0</v>
      </c>
      <c r="Z78" s="51"/>
      <c r="AA78" s="10"/>
    </row>
    <row r="79" spans="1:27" ht="17.25" x14ac:dyDescent="0.3">
      <c r="A79" s="10"/>
      <c r="C79" s="44"/>
      <c r="D79" s="85">
        <f ca="1">D78</f>
        <v>46142.083333333336</v>
      </c>
      <c r="E79" s="86" t="s">
        <v>23</v>
      </c>
      <c r="F79" s="87"/>
      <c r="G79" s="87"/>
      <c r="H79" s="95">
        <f ca="1">TEXT(D79,"dd")-1</f>
        <v>29</v>
      </c>
      <c r="I79" s="89">
        <f ca="1">H79/(H79+H77)</f>
        <v>0.96666666666666667</v>
      </c>
      <c r="J79" s="82">
        <f ca="1">IF(G78,IF(G75,IF(G81,IF(I79=0,J78,(J78-I77*J77)/I79),J80),IF(I79=0,J78,(J78-I77*J77)/I79)),J78)</f>
        <v>96.513103448275871</v>
      </c>
      <c r="K79" s="82">
        <f t="shared" ca="1" si="1"/>
        <v>3.4868965517241293</v>
      </c>
      <c r="L79" s="96"/>
      <c r="M79" s="109"/>
      <c r="N79" s="96"/>
      <c r="O79" s="91"/>
      <c r="P79" s="91"/>
      <c r="Q79" s="91"/>
      <c r="R79" s="91"/>
      <c r="S79" s="91"/>
      <c r="T79" s="96"/>
      <c r="U79" s="106"/>
      <c r="V79" s="96"/>
      <c r="W79" s="99"/>
      <c r="X79" s="100"/>
      <c r="Y79" s="100"/>
      <c r="Z79" s="51"/>
      <c r="AA79" s="10"/>
    </row>
    <row r="80" spans="1:27" ht="17.25" x14ac:dyDescent="0.3">
      <c r="A80" s="10"/>
      <c r="C80" s="44" t="str">
        <f ca="1">TEXT(D80,"YYMM")&amp;"EE"</f>
        <v>2603EE</v>
      </c>
      <c r="D80" s="85">
        <f ca="1">D81</f>
        <v>46100.083333333336</v>
      </c>
      <c r="E80" s="86" t="s">
        <v>24</v>
      </c>
      <c r="F80" s="87"/>
      <c r="G80" s="87"/>
      <c r="H80" s="88">
        <f ca="1">DAY(EOMONTH(D80,0))-H82</f>
        <v>13</v>
      </c>
      <c r="I80" s="89">
        <f ca="1">H80/(H82+H80)</f>
        <v>0.41935483870967744</v>
      </c>
      <c r="J80" s="82">
        <f ca="1">IF(G81,IF(G78,IF(G84,J79,IF(I82=0,J81,(J81-J82*I82)/I80)),J79),J81)</f>
        <v>96.500384615384576</v>
      </c>
      <c r="K80" s="82">
        <f t="shared" ca="1" si="1"/>
        <v>3.4996153846154243</v>
      </c>
      <c r="L80" s="82">
        <f ca="1">K80-K82</f>
        <v>-9.5384615384574545E-2</v>
      </c>
      <c r="M80" s="105">
        <f ca="1">L80/25*100</f>
        <v>-0.38153846153829818</v>
      </c>
      <c r="N80" s="90">
        <f ca="1">TRUNC(M80,0)/1</f>
        <v>0</v>
      </c>
      <c r="O80" s="101"/>
      <c r="P80" s="101"/>
      <c r="Q80" s="101"/>
      <c r="R80" s="101"/>
      <c r="S80" s="101"/>
      <c r="T80" s="82">
        <f ca="1">K80-$K$88</f>
        <v>-0.13967032967029525</v>
      </c>
      <c r="U80" s="105">
        <f ca="1">T80/25*100</f>
        <v>-0.55868131868118098</v>
      </c>
      <c r="V80" s="90">
        <f ca="1">TRUNC(U80,0)/1</f>
        <v>0</v>
      </c>
      <c r="W80" s="99"/>
      <c r="X80" s="100"/>
      <c r="Y80" s="100"/>
      <c r="Z80" s="51"/>
      <c r="AA80" s="10"/>
    </row>
    <row r="81" spans="1:27" ht="17.25" x14ac:dyDescent="0.3">
      <c r="A81" s="10"/>
      <c r="C81" s="44" t="str">
        <f ca="1">TEXT(D81,"YYMM")&amp;"E"</f>
        <v>2603E</v>
      </c>
      <c r="D81" s="85">
        <f ca="1">日历计算!G5</f>
        <v>46100.083333333336</v>
      </c>
      <c r="E81" s="86" t="s">
        <v>22</v>
      </c>
      <c r="F81" s="94">
        <f ca="1">IF(日历计算!H5&lt;&gt;0,日历计算!G5,"当月无会议"&amp;"("&amp;TEXT(日历计算!G5,"M")&amp;"月)")</f>
        <v>46100.083333333336</v>
      </c>
      <c r="G81" s="94" t="b">
        <f ca="1">IF(LEFT(F81,1)="当",FALSE,TRUE)</f>
        <v>1</v>
      </c>
      <c r="H81" s="95"/>
      <c r="I81" s="89"/>
      <c r="J81" s="82">
        <f ca="1">VLOOKUP(C81,FF期货结算价!D:Z,$B$3,0)</f>
        <v>96.444999999999993</v>
      </c>
      <c r="K81" s="82">
        <f t="shared" ca="1" si="1"/>
        <v>3.5550000000000068</v>
      </c>
      <c r="L81" s="96"/>
      <c r="M81" s="109"/>
      <c r="N81" s="97">
        <f ca="1">IF(M80&gt;0,MOD(M80,1),MOD(M80,-1))</f>
        <v>-0.38153846153829818</v>
      </c>
      <c r="O81" s="98">
        <f ca="1">IF(N80=-2,1-ABS(N81),IF(N80=-1,ABS(N81),0))</f>
        <v>0</v>
      </c>
      <c r="P81" s="98">
        <f ca="1">IF(N80=-1,1-ABS(N81),IF(N80=0,IF(N81&lt;0,ABS(N81),0),0))</f>
        <v>0.38153846153829818</v>
      </c>
      <c r="Q81" s="98">
        <f ca="1">IF(N80=0,1-ABS(N81),0)</f>
        <v>0.61846153846170182</v>
      </c>
      <c r="R81" s="98">
        <f ca="1">IF(N80=0,IF(N81&gt;0,ABS(N81),0),IF(N81=1,1-ABS(N81),0))</f>
        <v>0</v>
      </c>
      <c r="S81" s="98">
        <f ca="1">IF(N80=1,ABS(N81),IF(N80=2,1-ABS(N81),0))</f>
        <v>0</v>
      </c>
      <c r="T81" s="96"/>
      <c r="U81" s="106"/>
      <c r="V81" s="97">
        <f ca="1">IF(U80&gt;0,MOD(U80,1),MOD(U80,-1))</f>
        <v>-0.55868131868118098</v>
      </c>
      <c r="W81" s="99">
        <f ca="1">IF(V80&lt;0,100%,IF(V81&lt;0,ABS(V81),0))</f>
        <v>0.55868131868118098</v>
      </c>
      <c r="X81" s="100">
        <f ca="1">IF(V80=0,1-ABS(V81),0)</f>
        <v>0.44131868131881902</v>
      </c>
      <c r="Y81" s="100">
        <f ca="1">IF(V80&gt;0,100%,IF(V81&gt;0,V81,0))</f>
        <v>0</v>
      </c>
      <c r="Z81" s="51"/>
      <c r="AA81" s="10"/>
    </row>
    <row r="82" spans="1:27" ht="17.25" x14ac:dyDescent="0.3">
      <c r="A82" s="10"/>
      <c r="C82" s="44"/>
      <c r="D82" s="85">
        <f ca="1">D81</f>
        <v>46100.083333333336</v>
      </c>
      <c r="E82" s="86" t="s">
        <v>23</v>
      </c>
      <c r="F82" s="87"/>
      <c r="G82" s="87"/>
      <c r="H82" s="95">
        <f ca="1">TEXT(D82,"dd")-1</f>
        <v>18</v>
      </c>
      <c r="I82" s="89">
        <f ca="1">H82/(H82+H80)</f>
        <v>0.58064516129032262</v>
      </c>
      <c r="J82" s="82">
        <f ca="1">IF(G81,IF(G78,IF(G84,IF(I82=0,J81,(J81-I80*J80)/I82),J83),IF(I82=0,J81,(J81-I80*J80)/I82)),J81)</f>
        <v>96.405000000000001</v>
      </c>
      <c r="K82" s="82">
        <f t="shared" ca="1" si="1"/>
        <v>3.5949999999999989</v>
      </c>
      <c r="L82" s="102"/>
      <c r="M82" s="110"/>
      <c r="N82" s="102"/>
      <c r="O82" s="98"/>
      <c r="P82" s="98"/>
      <c r="Q82" s="98"/>
      <c r="R82" s="98"/>
      <c r="S82" s="98"/>
      <c r="T82" s="102"/>
      <c r="U82" s="107"/>
      <c r="V82" s="102"/>
      <c r="W82" s="99"/>
      <c r="X82" s="100"/>
      <c r="Y82" s="100"/>
      <c r="Z82" s="51"/>
      <c r="AA82" s="10"/>
    </row>
    <row r="83" spans="1:27" ht="17.25" x14ac:dyDescent="0.3">
      <c r="A83" s="10"/>
      <c r="C83" s="44" t="str">
        <f ca="1">TEXT(D83,"YYMM")&amp;"EE"</f>
        <v>2602EE</v>
      </c>
      <c r="D83" s="85">
        <f ca="1">D84</f>
        <v>46054.083333333336</v>
      </c>
      <c r="E83" s="86" t="s">
        <v>24</v>
      </c>
      <c r="F83" s="87"/>
      <c r="G83" s="87"/>
      <c r="H83" s="88">
        <f ca="1">DAY(EOMONTH(D83,0))-H85</f>
        <v>28</v>
      </c>
      <c r="I83" s="89">
        <f ca="1">H83/(H85+H83)</f>
        <v>1</v>
      </c>
      <c r="J83" s="82">
        <f ca="1">IF(G84,IF(G81,IF(G87,J82,IF(I85=0,J84,(J84-J85*I85)/I83)),J82),J84)</f>
        <v>96.405000000000001</v>
      </c>
      <c r="K83" s="82">
        <f t="shared" ca="1" si="1"/>
        <v>3.5949999999999989</v>
      </c>
      <c r="L83" s="82">
        <f ca="1">K83-K85</f>
        <v>0</v>
      </c>
      <c r="M83" s="105">
        <f ca="1">L83/25*100</f>
        <v>0</v>
      </c>
      <c r="N83" s="90">
        <f ca="1">TRUNC(M83,0)/1</f>
        <v>0</v>
      </c>
      <c r="O83" s="98"/>
      <c r="P83" s="98"/>
      <c r="Q83" s="98"/>
      <c r="R83" s="98"/>
      <c r="S83" s="98"/>
      <c r="T83" s="82">
        <f ca="1">K83-$K$88</f>
        <v>-4.4285714285720701E-2</v>
      </c>
      <c r="U83" s="105">
        <f ca="1">T83/25*100</f>
        <v>-0.1771428571428828</v>
      </c>
      <c r="V83" s="90">
        <f ca="1">TRUNC(U83,0)/1</f>
        <v>0</v>
      </c>
      <c r="W83" s="99"/>
      <c r="X83" s="100"/>
      <c r="Y83" s="100"/>
      <c r="Z83" s="51"/>
      <c r="AA83" s="10"/>
    </row>
    <row r="84" spans="1:27" ht="17.25" x14ac:dyDescent="0.3">
      <c r="A84" s="10"/>
      <c r="C84" s="44" t="str">
        <f ca="1">TEXT(D84,"YYMM")&amp;"E"</f>
        <v>2602E</v>
      </c>
      <c r="D84" s="85">
        <f ca="1">日历计算!G4</f>
        <v>46054.083333333336</v>
      </c>
      <c r="E84" s="86" t="s">
        <v>22</v>
      </c>
      <c r="F84" s="94" t="str">
        <f ca="1">IF(日历计算!H4&lt;&gt;0,日历计算!G4,"当月无会议"&amp;"("&amp;TEXT(日历计算!G4,"M")&amp;"月)")</f>
        <v>当月无会议(2月)</v>
      </c>
      <c r="G84" s="94" t="b">
        <f ca="1">IF(LEFT(F84,1)="当",FALSE,TRUE)</f>
        <v>0</v>
      </c>
      <c r="H84" s="95"/>
      <c r="I84" s="89"/>
      <c r="J84" s="82">
        <f ca="1">VLOOKUP(C84,FF期货结算价!D:Z,$B$3,0)</f>
        <v>96.405000000000001</v>
      </c>
      <c r="K84" s="83">
        <f t="shared" ca="1" si="1"/>
        <v>3.5949999999999989</v>
      </c>
      <c r="L84" s="102"/>
      <c r="M84" s="110"/>
      <c r="N84" s="97">
        <f ca="1">IF(M83&gt;0,MOD(M83,1),MOD(M83,-1))</f>
        <v>0</v>
      </c>
      <c r="O84" s="98">
        <f ca="1">IF(N83=-2,1-ABS(N84),IF(N83=-1,ABS(N84),0))</f>
        <v>0</v>
      </c>
      <c r="P84" s="98">
        <f ca="1">IF(N83=-1,1-ABS(N84),IF(N83=0,IF(N84&lt;0,ABS(N84),0),0))</f>
        <v>0</v>
      </c>
      <c r="Q84" s="98">
        <f ca="1">IF(N83=0,1-ABS(N84),0)</f>
        <v>1</v>
      </c>
      <c r="R84" s="98">
        <f ca="1">IF(N83=0,IF(N84&gt;0,ABS(N84),0),IF(N84=1,1-ABS(N84),0))</f>
        <v>0</v>
      </c>
      <c r="S84" s="98">
        <f ca="1">IF(N83=1,ABS(N84),IF(N83=2,1-ABS(N84),0))</f>
        <v>0</v>
      </c>
      <c r="T84" s="102"/>
      <c r="U84" s="107"/>
      <c r="V84" s="97">
        <f ca="1">IF(U83&gt;0,MOD(U83,1),MOD(U83,-1))</f>
        <v>-0.1771428571428828</v>
      </c>
      <c r="W84" s="99">
        <f ca="1">IF(V83&lt;0,100%,IF(V84&lt;0,ABS(V84),0))</f>
        <v>0.1771428571428828</v>
      </c>
      <c r="X84" s="100">
        <f ca="1">IF(V83=0,1-ABS(V84),0)</f>
        <v>0.8228571428571172</v>
      </c>
      <c r="Y84" s="100">
        <f ca="1">IF(V83&gt;0,100%,IF(V84&gt;0,V84,0))</f>
        <v>0</v>
      </c>
      <c r="Z84" s="51"/>
      <c r="AA84" s="10"/>
    </row>
    <row r="85" spans="1:27" ht="17.25" x14ac:dyDescent="0.3">
      <c r="A85" s="10"/>
      <c r="C85" s="44"/>
      <c r="D85" s="85">
        <f ca="1">D84</f>
        <v>46054.083333333336</v>
      </c>
      <c r="E85" s="86" t="s">
        <v>23</v>
      </c>
      <c r="F85" s="87"/>
      <c r="G85" s="87"/>
      <c r="H85" s="95">
        <f ca="1">TEXT(D85,"dd")-1</f>
        <v>0</v>
      </c>
      <c r="I85" s="89">
        <f ca="1">H85/(H85+H83)</f>
        <v>0</v>
      </c>
      <c r="J85" s="82">
        <f ca="1">IF(G84,IF(G81,IF(G87,IF(I85=0,J84,(J84-I83*J83)/I85),J86),IF(I85=0,J84,(J84-I83*J83)/I85)),J84)</f>
        <v>96.405000000000001</v>
      </c>
      <c r="K85" s="82">
        <f t="shared" ca="1" si="1"/>
        <v>3.5949999999999989</v>
      </c>
      <c r="L85" s="102"/>
      <c r="M85" s="110"/>
      <c r="N85" s="102"/>
      <c r="O85" s="98"/>
      <c r="P85" s="98"/>
      <c r="Q85" s="98"/>
      <c r="R85" s="98"/>
      <c r="S85" s="98"/>
      <c r="T85" s="102"/>
      <c r="U85" s="107"/>
      <c r="V85" s="102"/>
      <c r="W85" s="99"/>
      <c r="X85" s="100"/>
      <c r="Y85" s="100"/>
      <c r="Z85" s="51"/>
      <c r="AA85" s="10"/>
    </row>
    <row r="86" spans="1:27" ht="17.25" x14ac:dyDescent="0.3">
      <c r="A86" s="10"/>
      <c r="C86" s="44" t="str">
        <f ca="1">TEXT(D86,"YYMM")&amp;"EE"</f>
        <v>2601EE</v>
      </c>
      <c r="D86" s="85">
        <f ca="1">D87</f>
        <v>46051.083333333336</v>
      </c>
      <c r="E86" s="86" t="s">
        <v>24</v>
      </c>
      <c r="F86" s="87"/>
      <c r="G86" s="87"/>
      <c r="H86" s="88">
        <f ca="1">DAY(EOMONTH(D86,0))-H88</f>
        <v>3</v>
      </c>
      <c r="I86" s="89">
        <f ca="1">H86/(H88+H86)</f>
        <v>9.6774193548387094E-2</v>
      </c>
      <c r="J86" s="82">
        <f ca="1">IF(G87,J85,J87)</f>
        <v>96.405000000000001</v>
      </c>
      <c r="K86" s="82">
        <f ca="1">100-J86</f>
        <v>3.5949999999999989</v>
      </c>
      <c r="L86" s="82">
        <f ca="1">K86-K88</f>
        <v>-4.4285714285720701E-2</v>
      </c>
      <c r="M86" s="105">
        <f ca="1">L86/25*100</f>
        <v>-0.1771428571428828</v>
      </c>
      <c r="N86" s="90">
        <f ca="1">TRUNC(M86,0)/1</f>
        <v>0</v>
      </c>
      <c r="O86" s="98"/>
      <c r="P86" s="98"/>
      <c r="Q86" s="98"/>
      <c r="R86" s="98"/>
      <c r="S86" s="98"/>
      <c r="T86" s="82">
        <f ca="1">K86-$K$88</f>
        <v>-4.4285714285720701E-2</v>
      </c>
      <c r="U86" s="105">
        <f ca="1">T86/25*100</f>
        <v>-0.1771428571428828</v>
      </c>
      <c r="V86" s="90">
        <f ca="1">TRUNC(U86,0)/1</f>
        <v>0</v>
      </c>
      <c r="W86" s="99"/>
      <c r="X86" s="100"/>
      <c r="Y86" s="100"/>
      <c r="Z86" s="51"/>
      <c r="AA86" s="10"/>
    </row>
    <row r="87" spans="1:27" ht="17.25" x14ac:dyDescent="0.3">
      <c r="A87" s="10"/>
      <c r="C87" s="44" t="str">
        <f ca="1">TEXT(D87,"YYMM")&amp;"E"</f>
        <v>2601E</v>
      </c>
      <c r="D87" s="85">
        <f ca="1">日历计算!G3</f>
        <v>46051.083333333336</v>
      </c>
      <c r="E87" s="86" t="s">
        <v>22</v>
      </c>
      <c r="F87" s="94">
        <f ca="1">IF(日历计算!H3&lt;&gt;0,日历计算!G3,"当月无会议"&amp;"("&amp;TEXT(日历计算!G3,"M")&amp;"月)")</f>
        <v>46051.083333333336</v>
      </c>
      <c r="G87" s="94" t="b">
        <f ca="1">IF(LEFT(F87,1)="当",FALSE,TRUE)</f>
        <v>1</v>
      </c>
      <c r="H87" s="95"/>
      <c r="I87" s="89"/>
      <c r="J87" s="82">
        <f ca="1">VLOOKUP(C87,FF期货结算价!D:Z,$B$3,0)</f>
        <v>96.364999999999995</v>
      </c>
      <c r="K87" s="82">
        <f t="shared" ca="1" si="1"/>
        <v>3.6350000000000051</v>
      </c>
      <c r="L87" s="102"/>
      <c r="M87" s="110"/>
      <c r="N87" s="97">
        <f ca="1">IF(M86&gt;0,MOD(M86,1),MOD(M86,-1))</f>
        <v>-0.1771428571428828</v>
      </c>
      <c r="O87" s="98">
        <f ca="1">IF(N86=-2,1-ABS(N87),IF(N86=-1,ABS(N87),0))</f>
        <v>0</v>
      </c>
      <c r="P87" s="98">
        <f ca="1">IF(N86=-1,1-ABS(N87),IF(N86=0,IF(N87&lt;0,ABS(N87),0),0))</f>
        <v>0.1771428571428828</v>
      </c>
      <c r="Q87" s="98">
        <f ca="1">IF(N86=0,1-ABS(N87),0)</f>
        <v>0.8228571428571172</v>
      </c>
      <c r="R87" s="98">
        <f ca="1">IF(N86=0,IF(N87&gt;0,ABS(N87),0),IF(N87=1,1-ABS(N87),0))</f>
        <v>0</v>
      </c>
      <c r="S87" s="98">
        <f ca="1">IF(N86=1,ABS(N87),IF(N86=2,1-ABS(N87),0))</f>
        <v>0</v>
      </c>
      <c r="T87" s="102"/>
      <c r="U87" s="107"/>
      <c r="V87" s="97">
        <f ca="1">IF(U86&gt;0,MOD(U86,1),MOD(U86,-1))</f>
        <v>-0.1771428571428828</v>
      </c>
      <c r="W87" s="99">
        <f ca="1">IF(V86&lt;0,100%,IF(V87&lt;0,ABS(V87),0))</f>
        <v>0.1771428571428828</v>
      </c>
      <c r="X87" s="100">
        <f ca="1">IF(V86=0,1-ABS(V87),0)</f>
        <v>0.8228571428571172</v>
      </c>
      <c r="Y87" s="100">
        <f ca="1">IF(V86&gt;0,100%,IF(V87&gt;0,V87,0))</f>
        <v>0</v>
      </c>
      <c r="Z87" s="51"/>
      <c r="AA87" s="10"/>
    </row>
    <row r="88" spans="1:27" ht="17.25" x14ac:dyDescent="0.3">
      <c r="A88" s="10"/>
      <c r="C88" s="44"/>
      <c r="D88" s="85">
        <f ca="1">D87</f>
        <v>46051.083333333336</v>
      </c>
      <c r="E88" s="86" t="s">
        <v>23</v>
      </c>
      <c r="F88" s="86"/>
      <c r="G88" s="86"/>
      <c r="H88" s="95">
        <f ca="1">TEXT(D88,"dd")-1</f>
        <v>28</v>
      </c>
      <c r="I88" s="89">
        <f ca="1">H88/(H88+H86)</f>
        <v>0.90322580645161288</v>
      </c>
      <c r="J88" s="82">
        <f ca="1">IF(G87,IF(G84,IF(G90,IF(I88=0,J87,(J87-I86*J86)/I88),J89),IF(I88=0,J87,(J87-I86*J86)/I88)),J87)</f>
        <v>96.36071428571428</v>
      </c>
      <c r="K88" s="82">
        <f ca="1">100-J88</f>
        <v>3.6392857142857196</v>
      </c>
      <c r="L88" s="102"/>
      <c r="M88" s="108"/>
      <c r="N88" s="102"/>
      <c r="O88" s="104"/>
      <c r="P88" s="104"/>
      <c r="Q88" s="104"/>
      <c r="R88" s="104"/>
      <c r="S88" s="104"/>
      <c r="T88" s="102"/>
      <c r="U88" s="108"/>
      <c r="V88" s="102"/>
      <c r="W88" s="104"/>
      <c r="X88" s="104"/>
      <c r="Y88" s="104"/>
      <c r="Z88" s="51"/>
      <c r="AA88" s="10"/>
    </row>
    <row r="89" spans="1:27" ht="17.25" x14ac:dyDescent="0.3">
      <c r="A89" s="10"/>
      <c r="C89" s="44" t="str">
        <f ca="1">TEXT(D89,"YYMM")&amp;"EE"</f>
        <v>连续日历月(含会议日)EE</v>
      </c>
      <c r="D89" s="85" t="str">
        <f ca="1">D90</f>
        <v>连续日历月(含会议日)</v>
      </c>
      <c r="E89" s="86" t="s">
        <v>24</v>
      </c>
      <c r="F89" s="87"/>
      <c r="G89" s="87"/>
      <c r="H89" s="88" t="e">
        <f ca="1">DAY(EOMONTH(D89,0))-H91</f>
        <v>#VALUE!</v>
      </c>
      <c r="I89" s="89" t="e">
        <f ca="1">H89/(H91+H89)</f>
        <v>#VALUE!</v>
      </c>
      <c r="J89" s="82" t="e">
        <f ca="1">IF(G90,J88,J90)</f>
        <v>#N/A</v>
      </c>
      <c r="K89" s="82" t="e">
        <f ca="1">100-J89</f>
        <v>#N/A</v>
      </c>
      <c r="L89" s="82" t="e">
        <f ca="1">K89-K91</f>
        <v>#N/A</v>
      </c>
      <c r="M89" s="105" t="e">
        <f ca="1">L89/25*100</f>
        <v>#N/A</v>
      </c>
      <c r="N89" s="90" t="e">
        <f ca="1">TRUNC(M89,0)/1</f>
        <v>#N/A</v>
      </c>
      <c r="O89" s="98"/>
      <c r="P89" s="98"/>
      <c r="Q89" s="98"/>
      <c r="R89" s="98"/>
      <c r="S89" s="98"/>
      <c r="T89" s="82" t="e">
        <f ca="1">K89-$K$88</f>
        <v>#N/A</v>
      </c>
      <c r="U89" s="105" t="e">
        <f ca="1">T89/25*100</f>
        <v>#N/A</v>
      </c>
      <c r="V89" s="90" t="e">
        <f ca="1">TRUNC(U89,0)/1</f>
        <v>#N/A</v>
      </c>
      <c r="W89" s="99"/>
      <c r="X89" s="100"/>
      <c r="Y89" s="100"/>
      <c r="Z89" s="51"/>
      <c r="AA89" s="10"/>
    </row>
    <row r="90" spans="1:27" ht="17.25" x14ac:dyDescent="0.3">
      <c r="A90" s="10"/>
      <c r="C90" s="44" t="str">
        <f ca="1">TEXT(D90,"YYMM")&amp;"E"</f>
        <v>连续日历月(含会议日)E</v>
      </c>
      <c r="D90" s="85" t="str">
        <f ca="1">日历计算!G2</f>
        <v>连续日历月(含会议日)</v>
      </c>
      <c r="E90" s="86" t="s">
        <v>22</v>
      </c>
      <c r="F90" s="94" t="str">
        <f ca="1">IF(日历计算!H2&lt;&gt;0,日历计算!G2,"当月无会议"&amp;"("&amp;TEXT(日历计算!G2,"M")&amp;"月)")</f>
        <v>当月无会议(连续日历月(含会议日)月)</v>
      </c>
      <c r="G90" s="94" t="b">
        <f ca="1">IF(LEFT(F90,1)="当",FALSE,TRUE)</f>
        <v>0</v>
      </c>
      <c r="H90" s="95"/>
      <c r="I90" s="89"/>
      <c r="J90" s="82" t="e">
        <f ca="1">VLOOKUP(C90,FF期货结算价!D:Z,$B$3,0)</f>
        <v>#N/A</v>
      </c>
      <c r="K90" s="82" t="e">
        <f t="shared" ref="K90" ca="1" si="2">100-J90</f>
        <v>#N/A</v>
      </c>
      <c r="L90" s="102"/>
      <c r="M90" s="110"/>
      <c r="N90" s="97" t="e">
        <f ca="1">IF(M89&gt;0,MOD(M89,1),MOD(M89,-1))</f>
        <v>#N/A</v>
      </c>
      <c r="O90" s="98" t="e">
        <f ca="1">IF(N89=-2,1-ABS(N90),IF(N89=-1,ABS(N90),0))</f>
        <v>#N/A</v>
      </c>
      <c r="P90" s="98" t="e">
        <f ca="1">IF(N89=-1,1-ABS(N90),IF(N89=0,IF(N90&lt;0,ABS(N90),0),0))</f>
        <v>#N/A</v>
      </c>
      <c r="Q90" s="98" t="e">
        <f ca="1">IF(N89=0,1-ABS(N90),0)</f>
        <v>#N/A</v>
      </c>
      <c r="R90" s="98" t="e">
        <f ca="1">IF(N89=0,IF(N90&gt;0,ABS(N90),0),IF(N90=1,1-ABS(N90),0))</f>
        <v>#N/A</v>
      </c>
      <c r="S90" s="98" t="e">
        <f ca="1">IF(N89=1,ABS(N90),IF(N89=2,1-ABS(N90),0))</f>
        <v>#N/A</v>
      </c>
      <c r="T90" s="102"/>
      <c r="U90" s="107"/>
      <c r="V90" s="97" t="e">
        <f ca="1">IF(U89&gt;0,MOD(U89,1),MOD(U89,-1))</f>
        <v>#N/A</v>
      </c>
      <c r="W90" s="99" t="e">
        <f ca="1">IF(V89&lt;0,100%,IF(V90&lt;0,ABS(V90),0))</f>
        <v>#N/A</v>
      </c>
      <c r="X90" s="100" t="e">
        <f ca="1">IF(V89=0,1-ABS(V90),0)</f>
        <v>#N/A</v>
      </c>
      <c r="Y90" s="100" t="e">
        <f ca="1">IF(V89&gt;0,100%,IF(V90&gt;0,V90,0))</f>
        <v>#N/A</v>
      </c>
      <c r="Z90" s="51"/>
      <c r="AA90" s="10"/>
    </row>
    <row r="91" spans="1:27" ht="17.25" x14ac:dyDescent="0.3">
      <c r="A91" s="10"/>
      <c r="C91" s="44"/>
      <c r="D91" s="85" t="str">
        <f ca="1">D90</f>
        <v>连续日历月(含会议日)</v>
      </c>
      <c r="E91" s="86" t="s">
        <v>23</v>
      </c>
      <c r="F91" s="86"/>
      <c r="G91" s="86"/>
      <c r="H91" s="95" t="e">
        <f ca="1">TEXT(D91,"dd")-1</f>
        <v>#VALUE!</v>
      </c>
      <c r="I91" s="89" t="e">
        <f ca="1">H91/(H91+H89)</f>
        <v>#VALUE!</v>
      </c>
      <c r="J91" s="82" t="e">
        <f ca="1">J90</f>
        <v>#N/A</v>
      </c>
      <c r="K91" s="82" t="e">
        <f ca="1">100-J91</f>
        <v>#N/A</v>
      </c>
      <c r="L91" s="102"/>
      <c r="M91" s="108"/>
      <c r="N91" s="102"/>
      <c r="O91" s="104"/>
      <c r="P91" s="104"/>
      <c r="Q91" s="104"/>
      <c r="R91" s="104"/>
      <c r="S91" s="104"/>
      <c r="T91" s="102"/>
      <c r="U91" s="108"/>
      <c r="V91" s="102"/>
      <c r="W91" s="104"/>
      <c r="X91" s="104"/>
      <c r="Y91" s="104"/>
      <c r="Z91" s="51"/>
      <c r="AA91" s="10"/>
    </row>
    <row r="92" spans="1:27" x14ac:dyDescent="0.2">
      <c r="A92" s="10"/>
      <c r="C92" s="45"/>
      <c r="D92" s="51"/>
      <c r="E92" s="4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10"/>
    </row>
    <row r="93" spans="1:27" ht="14.2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</sheetData>
  <sheetProtection formatCells="0" formatColumns="0" formatRows="0"/>
  <mergeCells count="3">
    <mergeCell ref="G1:W1"/>
    <mergeCell ref="O3:S3"/>
    <mergeCell ref="W3:Y3"/>
  </mergeCells>
  <phoneticPr fontId="1" type="noConversion"/>
  <conditionalFormatting sqref="O53:S87">
    <cfRule type="cellIs" dxfId="35" priority="139" operator="notEqual">
      <formula>0</formula>
    </cfRule>
  </conditionalFormatting>
  <conditionalFormatting sqref="W53:Y88">
    <cfRule type="cellIs" dxfId="34" priority="138" operator="notEqual">
      <formula>0</formula>
    </cfRule>
  </conditionalFormatting>
  <conditionalFormatting sqref="E53:G88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4:J88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K8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5">
      <colorScale>
        <cfvo type="min"/>
        <cfvo type="max"/>
        <color rgb="FFF8696B"/>
        <color rgb="FFFCFCFF"/>
      </colorScale>
    </cfRule>
  </conditionalFormatting>
  <conditionalFormatting sqref="O89:S90">
    <cfRule type="cellIs" dxfId="33" priority="133" operator="notEqual">
      <formula>0</formula>
    </cfRule>
  </conditionalFormatting>
  <conditionalFormatting sqref="W89:Y91">
    <cfRule type="cellIs" dxfId="32" priority="132" operator="notEqual">
      <formula>0</formula>
    </cfRule>
  </conditionalFormatting>
  <conditionalFormatting sqref="E89:G91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9:J91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9:K91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9">
      <colorScale>
        <cfvo type="min"/>
        <cfvo type="max"/>
        <color rgb="FFF8696B"/>
        <color rgb="FFFCFCFF"/>
      </colorScale>
    </cfRule>
  </conditionalFormatting>
  <conditionalFormatting sqref="J54:J9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E52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E49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46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E4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E40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E34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1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E28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E2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8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2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6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3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1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8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5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4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9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3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0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7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1:J53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8:J50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5:J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2:J44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4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38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3:J35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2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:J2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2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0:S52">
    <cfRule type="cellIs" dxfId="31" priority="71" operator="notEqual">
      <formula>0</formula>
    </cfRule>
  </conditionalFormatting>
  <conditionalFormatting sqref="W50:Y52">
    <cfRule type="cellIs" dxfId="30" priority="70" operator="notEqual">
      <formula>0</formula>
    </cfRule>
  </conditionalFormatting>
  <conditionalFormatting sqref="O47:S49">
    <cfRule type="cellIs" dxfId="29" priority="69" operator="notEqual">
      <formula>0</formula>
    </cfRule>
  </conditionalFormatting>
  <conditionalFormatting sqref="W47:Y49">
    <cfRule type="cellIs" dxfId="28" priority="68" operator="notEqual">
      <formula>0</formula>
    </cfRule>
  </conditionalFormatting>
  <conditionalFormatting sqref="O44:S46">
    <cfRule type="cellIs" dxfId="27" priority="67" operator="notEqual">
      <formula>0</formula>
    </cfRule>
  </conditionalFormatting>
  <conditionalFormatting sqref="W44:Y46">
    <cfRule type="cellIs" dxfId="26" priority="66" operator="notEqual">
      <formula>0</formula>
    </cfRule>
  </conditionalFormatting>
  <conditionalFormatting sqref="O41:S43">
    <cfRule type="cellIs" dxfId="25" priority="65" operator="notEqual">
      <formula>0</formula>
    </cfRule>
  </conditionalFormatting>
  <conditionalFormatting sqref="W41:Y43">
    <cfRule type="cellIs" dxfId="24" priority="64" operator="notEqual">
      <formula>0</formula>
    </cfRule>
  </conditionalFormatting>
  <conditionalFormatting sqref="O38:S40">
    <cfRule type="cellIs" dxfId="23" priority="63" operator="notEqual">
      <formula>0</formula>
    </cfRule>
  </conditionalFormatting>
  <conditionalFormatting sqref="W38:Y40">
    <cfRule type="cellIs" dxfId="22" priority="62" operator="notEqual">
      <formula>0</formula>
    </cfRule>
  </conditionalFormatting>
  <conditionalFormatting sqref="O35:S37">
    <cfRule type="cellIs" dxfId="21" priority="61" operator="notEqual">
      <formula>0</formula>
    </cfRule>
  </conditionalFormatting>
  <conditionalFormatting sqref="W35:Y37">
    <cfRule type="cellIs" dxfId="20" priority="60" operator="notEqual">
      <formula>0</formula>
    </cfRule>
  </conditionalFormatting>
  <conditionalFormatting sqref="O32:S34">
    <cfRule type="cellIs" dxfId="19" priority="59" operator="notEqual">
      <formula>0</formula>
    </cfRule>
  </conditionalFormatting>
  <conditionalFormatting sqref="W32:Y34">
    <cfRule type="cellIs" dxfId="18" priority="58" operator="notEqual">
      <formula>0</formula>
    </cfRule>
  </conditionalFormatting>
  <conditionalFormatting sqref="O29:S31">
    <cfRule type="cellIs" dxfId="17" priority="57" operator="notEqual">
      <formula>0</formula>
    </cfRule>
  </conditionalFormatting>
  <conditionalFormatting sqref="W29:Y31">
    <cfRule type="cellIs" dxfId="16" priority="56" operator="notEqual">
      <formula>0</formula>
    </cfRule>
  </conditionalFormatting>
  <conditionalFormatting sqref="O26:S28">
    <cfRule type="cellIs" dxfId="15" priority="55" operator="notEqual">
      <formula>0</formula>
    </cfRule>
  </conditionalFormatting>
  <conditionalFormatting sqref="W26:Y28">
    <cfRule type="cellIs" dxfId="14" priority="54" operator="notEqual">
      <formula>0</formula>
    </cfRule>
  </conditionalFormatting>
  <conditionalFormatting sqref="O23:S25">
    <cfRule type="cellIs" dxfId="13" priority="53" operator="notEqual">
      <formula>0</formula>
    </cfRule>
  </conditionalFormatting>
  <conditionalFormatting sqref="W23:Y25">
    <cfRule type="cellIs" dxfId="12" priority="52" operator="notEqual">
      <formula>0</formula>
    </cfRule>
  </conditionalFormatting>
  <conditionalFormatting sqref="O20:S22">
    <cfRule type="cellIs" dxfId="11" priority="51" operator="notEqual">
      <formula>0</formula>
    </cfRule>
  </conditionalFormatting>
  <conditionalFormatting sqref="W20:Y22">
    <cfRule type="cellIs" dxfId="10" priority="50" operator="notEqual">
      <formula>0</formula>
    </cfRule>
  </conditionalFormatting>
  <conditionalFormatting sqref="E14:E1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E1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E1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7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E19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2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:J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:J17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:K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max"/>
        <color rgb="FFF8696B"/>
        <color rgb="FFFCFCFF"/>
      </colorScale>
    </cfRule>
  </conditionalFormatting>
  <conditionalFormatting sqref="O17:S19">
    <cfRule type="cellIs" dxfId="9" priority="20" operator="notEqual">
      <formula>0</formula>
    </cfRule>
  </conditionalFormatting>
  <conditionalFormatting sqref="W17:Y19">
    <cfRule type="cellIs" dxfId="8" priority="19" operator="notEqual">
      <formula>0</formula>
    </cfRule>
  </conditionalFormatting>
  <conditionalFormatting sqref="K14:K1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O14:S16">
    <cfRule type="cellIs" dxfId="7" priority="16" operator="notEqual">
      <formula>0</formula>
    </cfRule>
  </conditionalFormatting>
  <conditionalFormatting sqref="W14:Y16">
    <cfRule type="cellIs" dxfId="6" priority="15" operator="notEqual">
      <formula>0</formula>
    </cfRule>
  </conditionalFormatting>
  <conditionalFormatting sqref="K11:K1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8696B"/>
        <color rgb="FFFCFCFF"/>
      </colorScale>
    </cfRule>
  </conditionalFormatting>
  <conditionalFormatting sqref="O11:S13">
    <cfRule type="cellIs" dxfId="5" priority="12" operator="notEqual">
      <formula>0</formula>
    </cfRule>
  </conditionalFormatting>
  <conditionalFormatting sqref="W11:Y13">
    <cfRule type="cellIs" dxfId="4" priority="11" operator="notEqual">
      <formula>0</formula>
    </cfRule>
  </conditionalFormatting>
  <conditionalFormatting sqref="K8:K1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O8:S10">
    <cfRule type="cellIs" dxfId="3" priority="8" operator="notEqual">
      <formula>0</formula>
    </cfRule>
  </conditionalFormatting>
  <conditionalFormatting sqref="W8:Y10">
    <cfRule type="cellIs" dxfId="2" priority="7" operator="notEqual">
      <formula>0</formula>
    </cfRule>
  </conditionalFormatting>
  <conditionalFormatting sqref="K5:K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O5:S7">
    <cfRule type="cellIs" dxfId="1" priority="4" operator="notEqual">
      <formula>0</formula>
    </cfRule>
  </conditionalFormatting>
  <conditionalFormatting sqref="W5:Y7">
    <cfRule type="cellIs" dxfId="0" priority="3" operator="notEqual">
      <formula>0</formula>
    </cfRule>
  </conditionalFormatting>
  <conditionalFormatting sqref="J5:J9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4">
    <tabColor rgb="FF63636D"/>
  </sheetPr>
  <dimension ref="A1:X34"/>
  <sheetViews>
    <sheetView showGridLines="0" zoomScaleNormal="100" workbookViewId="0">
      <pane ySplit="1" topLeftCell="A2" activePane="bottomLeft" state="frozen"/>
      <selection activeCell="W7" sqref="W7"/>
      <selection pane="bottomLeft"/>
    </sheetView>
  </sheetViews>
  <sheetFormatPr defaultColWidth="24.125" defaultRowHeight="15" x14ac:dyDescent="0.2"/>
  <cols>
    <col min="1" max="1" width="4.5" customWidth="1"/>
    <col min="2" max="2" width="14.875" style="4" bestFit="1" customWidth="1"/>
    <col min="3" max="3" width="23.625" style="4" bestFit="1" customWidth="1"/>
    <col min="4" max="4" width="17.625" style="163" bestFit="1" customWidth="1"/>
    <col min="5" max="5" width="13.25" style="164" bestFit="1" customWidth="1"/>
    <col min="6" max="9" width="13.25" bestFit="1" customWidth="1"/>
    <col min="10" max="23" width="13.25" style="3" bestFit="1" customWidth="1"/>
    <col min="24" max="16384" width="24.125" style="3"/>
  </cols>
  <sheetData>
    <row r="1" spans="1:24" s="2" customFormat="1" ht="30.95" customHeight="1" x14ac:dyDescent="0.2">
      <c r="B1" s="15"/>
      <c r="C1" s="145" t="s">
        <v>70</v>
      </c>
      <c r="D1" s="62"/>
      <c r="E1" s="160">
        <f ca="1">美联储利率观测器!O13</f>
        <v>46037</v>
      </c>
      <c r="F1" s="160">
        <f ca="1">美联储利率观测器!O14</f>
        <v>46036</v>
      </c>
      <c r="G1" s="160">
        <f ca="1">美联储利率观测器!O15</f>
        <v>46035</v>
      </c>
      <c r="H1" s="160">
        <f ca="1">美联储利率观测器!O16</f>
        <v>46034</v>
      </c>
      <c r="I1" s="160">
        <f ca="1">美联储利率观测器!O17</f>
        <v>46033</v>
      </c>
      <c r="J1" s="160">
        <f ca="1">美联储利率观测器!O18</f>
        <v>46032</v>
      </c>
      <c r="K1" s="160">
        <f ca="1">美联储利率观测器!O19</f>
        <v>46031</v>
      </c>
      <c r="L1" s="160">
        <f ca="1">美联储利率观测器!O20</f>
        <v>46030</v>
      </c>
      <c r="M1" s="160">
        <f ca="1">美联储利率观测器!O21</f>
        <v>46029</v>
      </c>
      <c r="N1" s="160">
        <f ca="1">美联储利率观测器!O22</f>
        <v>46028</v>
      </c>
      <c r="O1" s="160">
        <f ca="1">美联储利率观测器!O23</f>
        <v>46027</v>
      </c>
      <c r="P1" s="160">
        <f ca="1">美联储利率观测器!O24</f>
        <v>46026</v>
      </c>
      <c r="Q1" s="160">
        <f ca="1">美联储利率观测器!O25</f>
        <v>46025</v>
      </c>
      <c r="R1" s="160">
        <f ca="1">美联储利率观测器!O26</f>
        <v>46024</v>
      </c>
      <c r="S1" s="160">
        <f ca="1">美联储利率观测器!O27</f>
        <v>46023</v>
      </c>
      <c r="T1" s="160">
        <f ca="1">美联储利率观测器!O28</f>
        <v>46022</v>
      </c>
      <c r="U1" s="160">
        <f ca="1">美联储利率观测器!O29</f>
        <v>46021</v>
      </c>
      <c r="V1" s="160">
        <f ca="1">美联储利率观测器!O30</f>
        <v>46020</v>
      </c>
      <c r="W1" s="143">
        <f ca="1">美联储利率观测器!O31</f>
        <v>46019</v>
      </c>
      <c r="X1" s="157"/>
    </row>
    <row r="2" spans="1:24" ht="18" hidden="1" x14ac:dyDescent="0.35">
      <c r="B2" s="165" t="s">
        <v>86</v>
      </c>
      <c r="C2" s="16" t="s">
        <v>85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175"/>
    </row>
    <row r="3" spans="1:24" ht="18" x14ac:dyDescent="0.25">
      <c r="B3" s="66" t="s">
        <v>36</v>
      </c>
      <c r="C3" s="27" t="s">
        <v>2</v>
      </c>
      <c r="D3" s="27" t="s">
        <v>3</v>
      </c>
      <c r="E3" s="161" t="s">
        <v>77</v>
      </c>
      <c r="F3" s="161" t="s">
        <v>78</v>
      </c>
      <c r="G3" s="161" t="s">
        <v>78</v>
      </c>
      <c r="H3" s="161" t="s">
        <v>78</v>
      </c>
      <c r="I3" s="161" t="s">
        <v>71</v>
      </c>
      <c r="J3" s="161" t="s">
        <v>78</v>
      </c>
      <c r="K3" s="161" t="s">
        <v>77</v>
      </c>
      <c r="L3" s="161" t="s">
        <v>78</v>
      </c>
      <c r="M3" s="161" t="s">
        <v>77</v>
      </c>
      <c r="N3" s="161" t="s">
        <v>71</v>
      </c>
      <c r="O3" s="161" t="s">
        <v>71</v>
      </c>
      <c r="P3" s="161" t="s">
        <v>71</v>
      </c>
      <c r="Q3" s="161" t="s">
        <v>71</v>
      </c>
      <c r="R3" s="161" t="s">
        <v>71</v>
      </c>
      <c r="S3" s="161" t="s">
        <v>71</v>
      </c>
      <c r="T3" s="161" t="s">
        <v>71</v>
      </c>
      <c r="U3" s="161" t="s">
        <v>71</v>
      </c>
      <c r="V3" s="161" t="s">
        <v>71</v>
      </c>
      <c r="W3" s="64" t="s">
        <v>71</v>
      </c>
    </row>
    <row r="4" spans="1:24" ht="21" x14ac:dyDescent="0.4">
      <c r="B4" s="67" t="s">
        <v>37</v>
      </c>
      <c r="C4" s="28" t="s">
        <v>11</v>
      </c>
      <c r="D4" s="28" t="s">
        <v>12</v>
      </c>
      <c r="E4" s="162" t="s">
        <v>79</v>
      </c>
      <c r="F4" s="162" t="s">
        <v>80</v>
      </c>
      <c r="G4" s="162" t="s">
        <v>80</v>
      </c>
      <c r="H4" s="162" t="s">
        <v>69</v>
      </c>
      <c r="I4" s="162" t="s">
        <v>80</v>
      </c>
      <c r="J4" s="162" t="s">
        <v>79</v>
      </c>
      <c r="K4" s="162" t="s">
        <v>80</v>
      </c>
      <c r="L4" s="162" t="s">
        <v>69</v>
      </c>
      <c r="M4" s="162" t="s">
        <v>80</v>
      </c>
      <c r="N4" s="162" t="s">
        <v>69</v>
      </c>
      <c r="O4" s="162" t="s">
        <v>69</v>
      </c>
      <c r="P4" s="162" t="s">
        <v>69</v>
      </c>
      <c r="Q4" s="162" t="s">
        <v>69</v>
      </c>
      <c r="R4" s="162" t="s">
        <v>69</v>
      </c>
      <c r="S4" s="162" t="s">
        <v>69</v>
      </c>
      <c r="T4" s="162" t="s">
        <v>69</v>
      </c>
      <c r="U4" s="162" t="s">
        <v>69</v>
      </c>
      <c r="V4" s="162" t="s">
        <v>69</v>
      </c>
      <c r="W4" s="65" t="s">
        <v>69</v>
      </c>
    </row>
    <row r="5" spans="1:24" x14ac:dyDescent="0.2">
      <c r="A5" s="159"/>
      <c r="B5" s="68" t="str">
        <f ca="1">IF(RIGHT([1]!to_tradecode(C5),1)="E",[1]!to_tradecode(C5)&amp;".CBT",[1]!to_tradecode(C5)&amp;"E.CBT")</f>
        <v>E.CBT</v>
      </c>
      <c r="C5" s="26" t="str">
        <f ca="1">"30天期联邦基金"&amp;TEXT(日历计算!G2,"YYMM")</f>
        <v>30天期联邦基金连续日历月(含会议日)</v>
      </c>
      <c r="D5" s="26" t="str">
        <f ca="1">RIGHT(C5,4)&amp;MID(B5,6,1)</f>
        <v>会议日)</v>
      </c>
      <c r="E5" s="166" t="str">
        <f ca="1">IF(OR([1]!s_dq_settle($B5,E$1)={"0","","#N/A",0}),[1]!s_dq_settle($B$5,[1]!s_info_ltdate_new($B$5,"")),[1]!s_dq_settle($B5,E$1))</f>
        <v/>
      </c>
      <c r="F5" s="166" t="str">
        <f ca="1">IF(OR([1]!s_dq_settle($B5,F$1)={"0","","#N/A",0}),[1]!s_dq_settle($B$5,[1]!s_info_ltdate_new($B$5,"")),[1]!s_dq_settle($B5,F$1))</f>
        <v/>
      </c>
      <c r="G5" s="166" t="str">
        <f ca="1">IF(OR([1]!s_dq_settle($B5,G$1)={"0","","#N/A",0}),[1]!s_dq_settle($B$5,[1]!s_info_ltdate_new($B$5,"")),[1]!s_dq_settle($B5,G$1))</f>
        <v/>
      </c>
      <c r="H5" s="166" t="str">
        <f ca="1">IF(OR([1]!s_dq_settle($B5,H$1)={"0","","#N/A",0}),[1]!s_dq_settle($B$5,[1]!s_info_ltdate_new($B$5,"")),[1]!s_dq_settle($B5,H$1))</f>
        <v/>
      </c>
      <c r="I5" s="166" t="str">
        <f ca="1">IF(OR([1]!s_dq_settle($B5,I$1)={"0","","#N/A",0}),[1]!s_dq_settle($B$5,[1]!s_info_ltdate_new($B$5,"")),[1]!s_dq_settle($B5,I$1))</f>
        <v/>
      </c>
      <c r="J5" s="166" t="str">
        <f ca="1">IF(OR([1]!s_dq_settle($B5,J$1)={"0","","#N/A",0}),[1]!s_dq_settle($B$5,[1]!s_info_ltdate_new($B$5,"")),[1]!s_dq_settle($B5,J$1))</f>
        <v/>
      </c>
      <c r="K5" s="166" t="str">
        <f ca="1">IF(OR([1]!s_dq_settle($B5,K$1)={"0","","#N/A",0}),[1]!s_dq_settle($B$5,[1]!s_info_ltdate_new($B$5,"")),[1]!s_dq_settle($B5,K$1))</f>
        <v/>
      </c>
      <c r="L5" s="166" t="str">
        <f ca="1">IF(OR([1]!s_dq_settle($B5,L$1)={"0","","#N/A",0}),[1]!s_dq_settle($B$5,[1]!s_info_ltdate_new($B$5,"")),[1]!s_dq_settle($B5,L$1))</f>
        <v/>
      </c>
      <c r="M5" s="166" t="str">
        <f ca="1">IF(OR([1]!s_dq_settle($B5,M$1)={"0","","#N/A",0}),[1]!s_dq_settle($B$5,[1]!s_info_ltdate_new($B$5,"")),[1]!s_dq_settle($B5,M$1))</f>
        <v/>
      </c>
      <c r="N5" s="166" t="str">
        <f ca="1">IF(OR([1]!s_dq_settle($B5,N$1)={"0","","#N/A",0}),[1]!s_dq_settle($B$5,[1]!s_info_ltdate_new($B$5,"")),[1]!s_dq_settle($B5,N$1))</f>
        <v/>
      </c>
      <c r="O5" s="166" t="str">
        <f ca="1">IF(OR([1]!s_dq_settle($B5,O$1)={"0","","#N/A",0}),[1]!s_dq_settle($B$5,[1]!s_info_ltdate_new($B$5,"")),[1]!s_dq_settle($B5,O$1))</f>
        <v/>
      </c>
      <c r="P5" s="166" t="str">
        <f ca="1">IF(OR([1]!s_dq_settle($B5,P$1)={"0","","#N/A",0}),[1]!s_dq_settle($B$5,[1]!s_info_ltdate_new($B$5,"")),[1]!s_dq_settle($B5,P$1))</f>
        <v/>
      </c>
      <c r="Q5" s="166" t="str">
        <f ca="1">IF(OR([1]!s_dq_settle($B5,Q$1)={"0","","#N/A",0}),[1]!s_dq_settle($B$5,[1]!s_info_ltdate_new($B$5,"")),[1]!s_dq_settle($B5,Q$1))</f>
        <v/>
      </c>
      <c r="R5" s="166" t="str">
        <f ca="1">IF(OR([1]!s_dq_settle($B5,R$1)={"0","","#N/A",0}),[1]!s_dq_settle($B$5,[1]!s_info_ltdate_new($B$5,"")),[1]!s_dq_settle($B5,R$1))</f>
        <v/>
      </c>
      <c r="S5" s="166" t="str">
        <f ca="1">IF(OR([1]!s_dq_settle($B5,S$1)={"0","","#N/A",0}),[1]!s_dq_settle($B$5,[1]!s_info_ltdate_new($B$5,"")),[1]!s_dq_settle($B5,S$1))</f>
        <v/>
      </c>
      <c r="T5" s="166" t="str">
        <f ca="1">IF(OR([1]!s_dq_settle($B5,T$1)={"0","","#N/A",0}),[1]!s_dq_settle($B$5,[1]!s_info_ltdate_new($B$5,"")),[1]!s_dq_settle($B5,T$1))</f>
        <v/>
      </c>
      <c r="U5" s="166" t="str">
        <f ca="1">IF(OR([1]!s_dq_settle($B5,U$1)={"0","","#N/A",0}),[1]!s_dq_settle($B$5,[1]!s_info_ltdate_new($B$5,"")),[1]!s_dq_settle($B5,U$1))</f>
        <v/>
      </c>
      <c r="V5" s="166" t="str">
        <f ca="1">IF(OR([1]!s_dq_settle($B5,V$1)={"0","","#N/A",0}),[1]!s_dq_settle($B$5,[1]!s_info_ltdate_new($B$5,"")),[1]!s_dq_settle($B5,V$1))</f>
        <v/>
      </c>
      <c r="W5" s="166" t="str">
        <f ca="1">IF(OR([1]!s_dq_settle($B5,W$1)={"0","","#N/A",0}),[1]!s_dq_settle($B$5,[1]!s_info_ltdate_new($B$5,"")),[1]!s_dq_settle($B5,W$1))</f>
        <v/>
      </c>
    </row>
    <row r="6" spans="1:24" x14ac:dyDescent="0.2">
      <c r="A6" s="159"/>
      <c r="B6" s="68" t="str">
        <f ca="1">IF(RIGHT([1]!to_tradecode(C6),1)="E",[1]!to_tradecode(C6)&amp;".CBT",[1]!to_tradecode(C6)&amp;"E.CBT")</f>
        <v>FFF26E.CBT</v>
      </c>
      <c r="C6" s="26" t="str">
        <f ca="1">"30天期联邦基金"&amp;TEXT(日历计算!G3,"YYMM")</f>
        <v>30天期联邦基金2601</v>
      </c>
      <c r="D6" s="144" t="str">
        <f ca="1">RIGHT(C6,4)&amp;MID(B6,6,1)</f>
        <v>2601E</v>
      </c>
      <c r="E6" s="167">
        <f ca="1">[1]!s_dq_settle($B6,E$1)</f>
        <v>96.36</v>
      </c>
      <c r="F6" s="167">
        <f ca="1">[1]!s_dq_settle($B6,F$1)</f>
        <v>96.36</v>
      </c>
      <c r="G6" s="167">
        <f ca="1">[1]!s_dq_settle($B6,G$1)</f>
        <v>96.36</v>
      </c>
      <c r="H6" s="167">
        <f ca="1">[1]!s_dq_settle($B6,H$1)</f>
        <v>96.36</v>
      </c>
      <c r="I6" s="167">
        <f ca="1">[1]!s_dq_settle($B6,I$1)</f>
        <v>96.36</v>
      </c>
      <c r="J6" s="167">
        <f ca="1">[1]!s_dq_settle($B6,J$1)</f>
        <v>96.36</v>
      </c>
      <c r="K6" s="167">
        <f ca="1">[1]!s_dq_settle($B6,K$1)</f>
        <v>96.36</v>
      </c>
      <c r="L6" s="167">
        <f ca="1">[1]!s_dq_settle($B6,L$1)</f>
        <v>96.36</v>
      </c>
      <c r="M6" s="167">
        <f ca="1">[1]!s_dq_settle($B6,M$1)</f>
        <v>96.362499999999997</v>
      </c>
      <c r="N6" s="167">
        <f ca="1">[1]!s_dq_settle($B6,N$1)</f>
        <v>96.36</v>
      </c>
      <c r="O6" s="167">
        <f ca="1">[1]!s_dq_settle($B6,O$1)</f>
        <v>96.367500000000007</v>
      </c>
      <c r="P6" s="167">
        <f ca="1">[1]!s_dq_settle($B6,P$1)</f>
        <v>96.367500000000007</v>
      </c>
      <c r="Q6" s="167">
        <f ca="1">[1]!s_dq_settle($B6,Q$1)</f>
        <v>96.367500000000007</v>
      </c>
      <c r="R6" s="167">
        <f ca="1">[1]!s_dq_settle($B6,R$1)</f>
        <v>96.367500000000007</v>
      </c>
      <c r="S6" s="167">
        <f ca="1">[1]!s_dq_settle($B6,S$1)</f>
        <v>96.37</v>
      </c>
      <c r="T6" s="167">
        <f ca="1">[1]!s_dq_settle($B6,T$1)</f>
        <v>96.37</v>
      </c>
      <c r="U6" s="167">
        <f ca="1">[1]!s_dq_settle($B6,U$1)</f>
        <v>96.367500000000007</v>
      </c>
      <c r="V6" s="167">
        <f ca="1">[1]!s_dq_settle($B6,V$1)</f>
        <v>96.367500000000007</v>
      </c>
      <c r="W6" s="173">
        <f ca="1">[1]!s_dq_settle($B6,W$1)</f>
        <v>96.364999999999995</v>
      </c>
    </row>
    <row r="7" spans="1:24" x14ac:dyDescent="0.2">
      <c r="A7" s="159"/>
      <c r="B7" s="68" t="str">
        <f ca="1">IF(RIGHT([1]!to_tradecode(C7),1)="E",[1]!to_tradecode(C7)&amp;".CBT",[1]!to_tradecode(C7)&amp;"E.CBT")</f>
        <v>FFG26E.CBT</v>
      </c>
      <c r="C7" s="26" t="str">
        <f ca="1">"30天期联邦基金"&amp;TEXT(日历计算!G4,"YYMM")</f>
        <v>30天期联邦基金2602</v>
      </c>
      <c r="D7" s="26" t="str">
        <f t="shared" ref="D7:D34" ca="1" si="0">RIGHT(C7,4)&amp;MID(B7,6,1)</f>
        <v>2602E</v>
      </c>
      <c r="E7" s="166">
        <f ca="1">[1]!s_dq_settle($B7,E$1)</f>
        <v>96.37</v>
      </c>
      <c r="F7" s="166">
        <f ca="1">[1]!s_dq_settle($B7,F$1)</f>
        <v>96.37</v>
      </c>
      <c r="G7" s="166">
        <f ca="1">[1]!s_dq_settle($B7,G$1)</f>
        <v>96.364999999999995</v>
      </c>
      <c r="H7" s="166">
        <f ca="1">[1]!s_dq_settle($B7,H$1)</f>
        <v>96.37</v>
      </c>
      <c r="I7" s="166">
        <f ca="1">[1]!s_dq_settle($B7,I$1)</f>
        <v>96.37</v>
      </c>
      <c r="J7" s="166">
        <f ca="1">[1]!s_dq_settle($B7,J$1)</f>
        <v>96.37</v>
      </c>
      <c r="K7" s="166">
        <f ca="1">[1]!s_dq_settle($B7,K$1)</f>
        <v>96.37</v>
      </c>
      <c r="L7" s="166">
        <f ca="1">[1]!s_dq_settle($B7,L$1)</f>
        <v>96.385000000000005</v>
      </c>
      <c r="M7" s="166">
        <f ca="1">[1]!s_dq_settle($B7,M$1)</f>
        <v>96.39</v>
      </c>
      <c r="N7" s="166">
        <f ca="1">[1]!s_dq_settle($B7,N$1)</f>
        <v>96.4</v>
      </c>
      <c r="O7" s="166">
        <f ca="1">[1]!s_dq_settle($B7,O$1)</f>
        <v>96.405000000000001</v>
      </c>
      <c r="P7" s="166">
        <f ca="1">[1]!s_dq_settle($B7,P$1)</f>
        <v>96.405000000000001</v>
      </c>
      <c r="Q7" s="166">
        <f ca="1">[1]!s_dq_settle($B7,Q$1)</f>
        <v>96.405000000000001</v>
      </c>
      <c r="R7" s="166">
        <f ca="1">[1]!s_dq_settle($B7,R$1)</f>
        <v>96.405000000000001</v>
      </c>
      <c r="S7" s="166">
        <f ca="1">[1]!s_dq_settle($B7,S$1)</f>
        <v>96.405000000000001</v>
      </c>
      <c r="T7" s="166">
        <f ca="1">[1]!s_dq_settle($B7,T$1)</f>
        <v>96.405000000000001</v>
      </c>
      <c r="U7" s="166">
        <f ca="1">[1]!s_dq_settle($B7,U$1)</f>
        <v>96.405000000000001</v>
      </c>
      <c r="V7" s="166">
        <f ca="1">[1]!s_dq_settle($B7,V$1)</f>
        <v>96.405000000000001</v>
      </c>
      <c r="W7" s="172">
        <f ca="1">[1]!s_dq_settle($B7,W$1)</f>
        <v>96.405000000000001</v>
      </c>
    </row>
    <row r="8" spans="1:24" x14ac:dyDescent="0.2">
      <c r="A8" s="159"/>
      <c r="B8" s="68" t="str">
        <f ca="1">IF(RIGHT([1]!to_tradecode(C8),1)="E",[1]!to_tradecode(C8)&amp;".CBT",[1]!to_tradecode(C8)&amp;"E.CBT")</f>
        <v>FFH26E.CBT</v>
      </c>
      <c r="C8" s="26" t="str">
        <f ca="1">"30天期联邦基金"&amp;TEXT(日历计算!G5,"YYMM")</f>
        <v>30天期联邦基金2603</v>
      </c>
      <c r="D8" s="144" t="str">
        <f t="shared" ca="1" si="0"/>
        <v>2603E</v>
      </c>
      <c r="E8" s="167">
        <f ca="1">[1]!s_dq_settle($B8,E$1)</f>
        <v>96.394999999999996</v>
      </c>
      <c r="F8" s="167">
        <f ca="1">[1]!s_dq_settle($B8,F$1)</f>
        <v>96.394999999999996</v>
      </c>
      <c r="G8" s="167">
        <f ca="1">[1]!s_dq_settle($B8,G$1)</f>
        <v>96.39</v>
      </c>
      <c r="H8" s="167">
        <f ca="1">[1]!s_dq_settle($B8,H$1)</f>
        <v>96.394999999999996</v>
      </c>
      <c r="I8" s="167">
        <f ca="1">[1]!s_dq_settle($B8,I$1)</f>
        <v>96.394999999999996</v>
      </c>
      <c r="J8" s="167">
        <f ca="1">[1]!s_dq_settle($B8,J$1)</f>
        <v>96.394999999999996</v>
      </c>
      <c r="K8" s="167">
        <f ca="1">[1]!s_dq_settle($B8,K$1)</f>
        <v>96.394999999999996</v>
      </c>
      <c r="L8" s="167">
        <f ca="1">[1]!s_dq_settle($B8,L$1)</f>
        <v>96.42</v>
      </c>
      <c r="M8" s="167">
        <f ca="1">[1]!s_dq_settle($B8,M$1)</f>
        <v>96.424999999999997</v>
      </c>
      <c r="N8" s="167">
        <f ca="1">[1]!s_dq_settle($B8,N$1)</f>
        <v>96.44</v>
      </c>
      <c r="O8" s="167">
        <f ca="1">[1]!s_dq_settle($B8,O$1)</f>
        <v>96.444999999999993</v>
      </c>
      <c r="P8" s="167">
        <f ca="1">[1]!s_dq_settle($B8,P$1)</f>
        <v>96.444999999999993</v>
      </c>
      <c r="Q8" s="167">
        <f ca="1">[1]!s_dq_settle($B8,Q$1)</f>
        <v>96.444999999999993</v>
      </c>
      <c r="R8" s="167">
        <f ca="1">[1]!s_dq_settle($B8,R$1)</f>
        <v>96.444999999999993</v>
      </c>
      <c r="S8" s="167">
        <f ca="1">[1]!s_dq_settle($B8,S$1)</f>
        <v>96.44</v>
      </c>
      <c r="T8" s="167">
        <f ca="1">[1]!s_dq_settle($B8,T$1)</f>
        <v>96.44</v>
      </c>
      <c r="U8" s="167">
        <f ca="1">[1]!s_dq_settle($B8,U$1)</f>
        <v>96.44</v>
      </c>
      <c r="V8" s="167">
        <f ca="1">[1]!s_dq_settle($B8,V$1)</f>
        <v>96.444999999999993</v>
      </c>
      <c r="W8" s="173">
        <f ca="1">[1]!s_dq_settle($B8,W$1)</f>
        <v>96.444999999999993</v>
      </c>
    </row>
    <row r="9" spans="1:24" x14ac:dyDescent="0.2">
      <c r="A9" s="159"/>
      <c r="B9" s="68" t="str">
        <f ca="1">IF(RIGHT([1]!to_tradecode(C9),1)="E",[1]!to_tradecode(C9)&amp;".CBT",[1]!to_tradecode(C9)&amp;"E.CBT")</f>
        <v>FFJ26E.CBT</v>
      </c>
      <c r="C9" s="26" t="str">
        <f ca="1">"30天期联邦基金"&amp;TEXT(日历计算!G6,"YYMM")</f>
        <v>30天期联邦基金2604</v>
      </c>
      <c r="D9" s="26" t="str">
        <f t="shared" ca="1" si="0"/>
        <v>2604E</v>
      </c>
      <c r="E9" s="166">
        <f ca="1">[1]!s_dq_settle($B9,E$1)</f>
        <v>96.43</v>
      </c>
      <c r="F9" s="166">
        <f ca="1">[1]!s_dq_settle($B9,F$1)</f>
        <v>96.43</v>
      </c>
      <c r="G9" s="166">
        <f ca="1">[1]!s_dq_settle($B9,G$1)</f>
        <v>96.43</v>
      </c>
      <c r="H9" s="166">
        <f ca="1">[1]!s_dq_settle($B9,H$1)</f>
        <v>96.435000000000002</v>
      </c>
      <c r="I9" s="166">
        <f ca="1">[1]!s_dq_settle($B9,I$1)</f>
        <v>96.435000000000002</v>
      </c>
      <c r="J9" s="166">
        <f ca="1">[1]!s_dq_settle($B9,J$1)</f>
        <v>96.435000000000002</v>
      </c>
      <c r="K9" s="166">
        <f ca="1">[1]!s_dq_settle($B9,K$1)</f>
        <v>96.435000000000002</v>
      </c>
      <c r="L9" s="166">
        <f ca="1">[1]!s_dq_settle($B9,L$1)</f>
        <v>96.474999999999994</v>
      </c>
      <c r="M9" s="166">
        <f ca="1">[1]!s_dq_settle($B9,M$1)</f>
        <v>96.48</v>
      </c>
      <c r="N9" s="166">
        <f ca="1">[1]!s_dq_settle($B9,N$1)</f>
        <v>96.495000000000005</v>
      </c>
      <c r="O9" s="166">
        <f ca="1">[1]!s_dq_settle($B9,O$1)</f>
        <v>96.51</v>
      </c>
      <c r="P9" s="166">
        <f ca="1">[1]!s_dq_settle($B9,P$1)</f>
        <v>96.51</v>
      </c>
      <c r="Q9" s="166">
        <f ca="1">[1]!s_dq_settle($B9,Q$1)</f>
        <v>96.51</v>
      </c>
      <c r="R9" s="166">
        <f ca="1">[1]!s_dq_settle($B9,R$1)</f>
        <v>96.51</v>
      </c>
      <c r="S9" s="166">
        <f ca="1">[1]!s_dq_settle($B9,S$1)</f>
        <v>96.504999999999995</v>
      </c>
      <c r="T9" s="166">
        <f ca="1">[1]!s_dq_settle($B9,T$1)</f>
        <v>96.504999999999995</v>
      </c>
      <c r="U9" s="166">
        <f ca="1">[1]!s_dq_settle($B9,U$1)</f>
        <v>96.51</v>
      </c>
      <c r="V9" s="166">
        <f ca="1">[1]!s_dq_settle($B9,V$1)</f>
        <v>96.515000000000001</v>
      </c>
      <c r="W9" s="172">
        <f ca="1">[1]!s_dq_settle($B9,W$1)</f>
        <v>96.515000000000001</v>
      </c>
    </row>
    <row r="10" spans="1:24" x14ac:dyDescent="0.2">
      <c r="A10" s="159"/>
      <c r="B10" s="68" t="str">
        <f ca="1">IF(RIGHT([1]!to_tradecode(C10),1)="E",[1]!to_tradecode(C10)&amp;".CBT",[1]!to_tradecode(C10)&amp;"E.CBT")</f>
        <v>FFK26E.CBT</v>
      </c>
      <c r="C10" s="26" t="str">
        <f ca="1">"30天期联邦基金"&amp;TEXT(日历计算!G7,"YYMM")</f>
        <v>30天期联邦基金2605</v>
      </c>
      <c r="D10" s="144" t="str">
        <f t="shared" ca="1" si="0"/>
        <v>2605E</v>
      </c>
      <c r="E10" s="167">
        <f ca="1">[1]!s_dq_settle($B10,E$1)</f>
        <v>96.474999999999994</v>
      </c>
      <c r="F10" s="167">
        <f ca="1">[1]!s_dq_settle($B10,F$1)</f>
        <v>96.474999999999994</v>
      </c>
      <c r="G10" s="167">
        <f ca="1">[1]!s_dq_settle($B10,G$1)</f>
        <v>96.47</v>
      </c>
      <c r="H10" s="167">
        <f ca="1">[1]!s_dq_settle($B10,H$1)</f>
        <v>96.474999999999994</v>
      </c>
      <c r="I10" s="167">
        <f ca="1">[1]!s_dq_settle($B10,I$1)</f>
        <v>96.48</v>
      </c>
      <c r="J10" s="167">
        <f ca="1">[1]!s_dq_settle($B10,J$1)</f>
        <v>96.48</v>
      </c>
      <c r="K10" s="167">
        <f ca="1">[1]!s_dq_settle($B10,K$1)</f>
        <v>96.48</v>
      </c>
      <c r="L10" s="167">
        <f ca="1">[1]!s_dq_settle($B10,L$1)</f>
        <v>96.52</v>
      </c>
      <c r="M10" s="167">
        <f ca="1">[1]!s_dq_settle($B10,M$1)</f>
        <v>96.53</v>
      </c>
      <c r="N10" s="167">
        <f ca="1">[1]!s_dq_settle($B10,N$1)</f>
        <v>96.54</v>
      </c>
      <c r="O10" s="167">
        <f ca="1">[1]!s_dq_settle($B10,O$1)</f>
        <v>96.56</v>
      </c>
      <c r="P10" s="167">
        <f ca="1">[1]!s_dq_settle($B10,P$1)</f>
        <v>96.56</v>
      </c>
      <c r="Q10" s="167">
        <f ca="1">[1]!s_dq_settle($B10,Q$1)</f>
        <v>96.56</v>
      </c>
      <c r="R10" s="167">
        <f ca="1">[1]!s_dq_settle($B10,R$1)</f>
        <v>96.56</v>
      </c>
      <c r="S10" s="167">
        <f ca="1">[1]!s_dq_settle($B10,S$1)</f>
        <v>96.56</v>
      </c>
      <c r="T10" s="167">
        <f ca="1">[1]!s_dq_settle($B10,T$1)</f>
        <v>96.56</v>
      </c>
      <c r="U10" s="167">
        <f ca="1">[1]!s_dq_settle($B10,U$1)</f>
        <v>96.57</v>
      </c>
      <c r="V10" s="167">
        <f ca="1">[1]!s_dq_settle($B10,V$1)</f>
        <v>96.575000000000003</v>
      </c>
      <c r="W10" s="173">
        <f ca="1">[1]!s_dq_settle($B10,W$1)</f>
        <v>96.57</v>
      </c>
    </row>
    <row r="11" spans="1:24" x14ac:dyDescent="0.2">
      <c r="A11" s="159"/>
      <c r="B11" s="68" t="str">
        <f ca="1">IF(RIGHT([1]!to_tradecode(C11),1)="E",[1]!to_tradecode(C11)&amp;".CBT",[1]!to_tradecode(C11)&amp;"E.CBT")</f>
        <v>FFM26E.CBT</v>
      </c>
      <c r="C11" s="26" t="str">
        <f ca="1">"30天期联邦基金"&amp;TEXT(日历计算!G8,"YYMM")</f>
        <v>30天期联邦基金2606</v>
      </c>
      <c r="D11" s="26" t="str">
        <f t="shared" ca="1" si="0"/>
        <v>2606E</v>
      </c>
      <c r="E11" s="166">
        <f ca="1">[1]!s_dq_settle($B11,E$1)</f>
        <v>96.53</v>
      </c>
      <c r="F11" s="166">
        <f ca="1">[1]!s_dq_settle($B11,F$1)</f>
        <v>96.53</v>
      </c>
      <c r="G11" s="166">
        <f ca="1">[1]!s_dq_settle($B11,G$1)</f>
        <v>96.525000000000006</v>
      </c>
      <c r="H11" s="166">
        <f ca="1">[1]!s_dq_settle($B11,H$1)</f>
        <v>96.525000000000006</v>
      </c>
      <c r="I11" s="166">
        <f ca="1">[1]!s_dq_settle($B11,I$1)</f>
        <v>96.534999999999997</v>
      </c>
      <c r="J11" s="166">
        <f ca="1">[1]!s_dq_settle($B11,J$1)</f>
        <v>96.534999999999997</v>
      </c>
      <c r="K11" s="166">
        <f ca="1">[1]!s_dq_settle($B11,K$1)</f>
        <v>96.534999999999997</v>
      </c>
      <c r="L11" s="166">
        <f ca="1">[1]!s_dq_settle($B11,L$1)</f>
        <v>96.58</v>
      </c>
      <c r="M11" s="166">
        <f ca="1">[1]!s_dq_settle($B11,M$1)</f>
        <v>96.594999999999999</v>
      </c>
      <c r="N11" s="166">
        <f ca="1">[1]!s_dq_settle($B11,N$1)</f>
        <v>96.594999999999999</v>
      </c>
      <c r="O11" s="166">
        <f ca="1">[1]!s_dq_settle($B11,O$1)</f>
        <v>96.62</v>
      </c>
      <c r="P11" s="166">
        <f ca="1">[1]!s_dq_settle($B11,P$1)</f>
        <v>96.62</v>
      </c>
      <c r="Q11" s="166">
        <f ca="1">[1]!s_dq_settle($B11,Q$1)</f>
        <v>96.62</v>
      </c>
      <c r="R11" s="166">
        <f ca="1">[1]!s_dq_settle($B11,R$1)</f>
        <v>96.62</v>
      </c>
      <c r="S11" s="166">
        <f ca="1">[1]!s_dq_settle($B11,S$1)</f>
        <v>96.625</v>
      </c>
      <c r="T11" s="166">
        <f ca="1">[1]!s_dq_settle($B11,T$1)</f>
        <v>96.625</v>
      </c>
      <c r="U11" s="166">
        <f ca="1">[1]!s_dq_settle($B11,U$1)</f>
        <v>96.635000000000005</v>
      </c>
      <c r="V11" s="166">
        <f ca="1">[1]!s_dq_settle($B11,V$1)</f>
        <v>96.64</v>
      </c>
      <c r="W11" s="172">
        <f ca="1">[1]!s_dq_settle($B11,W$1)</f>
        <v>96.63</v>
      </c>
    </row>
    <row r="12" spans="1:24" x14ac:dyDescent="0.2">
      <c r="A12" s="159"/>
      <c r="B12" s="68" t="str">
        <f ca="1">IF(RIGHT([1]!to_tradecode(C12),1)="E",[1]!to_tradecode(C12)&amp;".CBT",[1]!to_tradecode(C12)&amp;"E.CBT")</f>
        <v>FFN26E.CBT</v>
      </c>
      <c r="C12" s="26" t="str">
        <f ca="1">"30天期联邦基金"&amp;TEXT(日历计算!G9,"YYMM")</f>
        <v>30天期联邦基金2607</v>
      </c>
      <c r="D12" s="144" t="str">
        <f t="shared" ca="1" si="0"/>
        <v>2607E</v>
      </c>
      <c r="E12" s="167">
        <f ca="1">[1]!s_dq_settle($B12,E$1)</f>
        <v>96.61</v>
      </c>
      <c r="F12" s="167">
        <f ca="1">[1]!s_dq_settle($B12,F$1)</f>
        <v>96.61</v>
      </c>
      <c r="G12" s="167">
        <f ca="1">[1]!s_dq_settle($B12,G$1)</f>
        <v>96.605000000000004</v>
      </c>
      <c r="H12" s="167">
        <f ca="1">[1]!s_dq_settle($B12,H$1)</f>
        <v>96.594999999999999</v>
      </c>
      <c r="I12" s="167">
        <f ca="1">[1]!s_dq_settle($B12,I$1)</f>
        <v>96.614999999999995</v>
      </c>
      <c r="J12" s="167">
        <f ca="1">[1]!s_dq_settle($B12,J$1)</f>
        <v>96.614999999999995</v>
      </c>
      <c r="K12" s="167">
        <f ca="1">[1]!s_dq_settle($B12,K$1)</f>
        <v>96.614999999999995</v>
      </c>
      <c r="L12" s="167">
        <f ca="1">[1]!s_dq_settle($B12,L$1)</f>
        <v>96.665000000000006</v>
      </c>
      <c r="M12" s="167">
        <f ca="1">[1]!s_dq_settle($B12,M$1)</f>
        <v>96.685000000000002</v>
      </c>
      <c r="N12" s="167">
        <f ca="1">[1]!s_dq_settle($B12,N$1)</f>
        <v>96.68</v>
      </c>
      <c r="O12" s="167">
        <f ca="1">[1]!s_dq_settle($B12,O$1)</f>
        <v>96.71</v>
      </c>
      <c r="P12" s="167">
        <f ca="1">[1]!s_dq_settle($B12,P$1)</f>
        <v>96.704999999999998</v>
      </c>
      <c r="Q12" s="167">
        <f ca="1">[1]!s_dq_settle($B12,Q$1)</f>
        <v>96.704999999999998</v>
      </c>
      <c r="R12" s="167">
        <f ca="1">[1]!s_dq_settle($B12,R$1)</f>
        <v>96.704999999999998</v>
      </c>
      <c r="S12" s="167">
        <f ca="1">[1]!s_dq_settle($B12,S$1)</f>
        <v>96.71</v>
      </c>
      <c r="T12" s="167">
        <f ca="1">[1]!s_dq_settle($B12,T$1)</f>
        <v>96.71</v>
      </c>
      <c r="U12" s="167">
        <f ca="1">[1]!s_dq_settle($B12,U$1)</f>
        <v>96.72</v>
      </c>
      <c r="V12" s="167">
        <f ca="1">[1]!s_dq_settle($B12,V$1)</f>
        <v>96.724999999999994</v>
      </c>
      <c r="W12" s="173">
        <f ca="1">[1]!s_dq_settle($B12,W$1)</f>
        <v>96.71</v>
      </c>
    </row>
    <row r="13" spans="1:24" x14ac:dyDescent="0.2">
      <c r="A13" s="159"/>
      <c r="B13" s="68" t="str">
        <f ca="1">IF(RIGHT([1]!to_tradecode(C13),1)="E",[1]!to_tradecode(C13)&amp;".CBT",[1]!to_tradecode(C13)&amp;"E.CBT")</f>
        <v>FFQ26E.CBT</v>
      </c>
      <c r="C13" s="26" t="str">
        <f ca="1">"30天期联邦基金"&amp;TEXT(日历计算!G10,"YYMM")</f>
        <v>30天期联邦基金2608</v>
      </c>
      <c r="D13" s="26" t="str">
        <f t="shared" ca="1" si="0"/>
        <v>2608E</v>
      </c>
      <c r="E13" s="166">
        <f ca="1">[1]!s_dq_settle($B13,E$1)</f>
        <v>96.685000000000002</v>
      </c>
      <c r="F13" s="166">
        <f ca="1">[1]!s_dq_settle($B13,F$1)</f>
        <v>96.685000000000002</v>
      </c>
      <c r="G13" s="166">
        <f ca="1">[1]!s_dq_settle($B13,G$1)</f>
        <v>96.68</v>
      </c>
      <c r="H13" s="166">
        <f ca="1">[1]!s_dq_settle($B13,H$1)</f>
        <v>96.665000000000006</v>
      </c>
      <c r="I13" s="166">
        <f ca="1">[1]!s_dq_settle($B13,I$1)</f>
        <v>96.685000000000002</v>
      </c>
      <c r="J13" s="166">
        <f ca="1">[1]!s_dq_settle($B13,J$1)</f>
        <v>96.685000000000002</v>
      </c>
      <c r="K13" s="166">
        <f ca="1">[1]!s_dq_settle($B13,K$1)</f>
        <v>96.685000000000002</v>
      </c>
      <c r="L13" s="166">
        <f ca="1">[1]!s_dq_settle($B13,L$1)</f>
        <v>96.74</v>
      </c>
      <c r="M13" s="166">
        <f ca="1">[1]!s_dq_settle($B13,M$1)</f>
        <v>96.76</v>
      </c>
      <c r="N13" s="166">
        <f ca="1">[1]!s_dq_settle($B13,N$1)</f>
        <v>96.754999999999995</v>
      </c>
      <c r="O13" s="166">
        <f ca="1">[1]!s_dq_settle($B13,O$1)</f>
        <v>96.784999999999997</v>
      </c>
      <c r="P13" s="166">
        <f ca="1">[1]!s_dq_settle($B13,P$1)</f>
        <v>96.775000000000006</v>
      </c>
      <c r="Q13" s="166">
        <f ca="1">[1]!s_dq_settle($B13,Q$1)</f>
        <v>96.775000000000006</v>
      </c>
      <c r="R13" s="166">
        <f ca="1">[1]!s_dq_settle($B13,R$1)</f>
        <v>96.775000000000006</v>
      </c>
      <c r="S13" s="166">
        <f ca="1">[1]!s_dq_settle($B13,S$1)</f>
        <v>96.78</v>
      </c>
      <c r="T13" s="166">
        <f ca="1">[1]!s_dq_settle($B13,T$1)</f>
        <v>96.78</v>
      </c>
      <c r="U13" s="166">
        <f ca="1">[1]!s_dq_settle($B13,U$1)</f>
        <v>96.795000000000002</v>
      </c>
      <c r="V13" s="166">
        <f ca="1">[1]!s_dq_settle($B13,V$1)</f>
        <v>96.8</v>
      </c>
      <c r="W13" s="172">
        <f ca="1">[1]!s_dq_settle($B13,W$1)</f>
        <v>96.78</v>
      </c>
    </row>
    <row r="14" spans="1:24" x14ac:dyDescent="0.2">
      <c r="A14" s="159"/>
      <c r="B14" s="68" t="str">
        <f ca="1">IF(RIGHT([1]!to_tradecode(C14),1)="E",[1]!to_tradecode(C14)&amp;".CBT",[1]!to_tradecode(C14)&amp;"E.CBT")</f>
        <v>FFU26E.CBT</v>
      </c>
      <c r="C14" s="26" t="str">
        <f ca="1">"30天期联邦基金"&amp;TEXT(日历计算!G11,"YYMM")</f>
        <v>30天期联邦基金2609</v>
      </c>
      <c r="D14" s="144" t="str">
        <f t="shared" ca="1" si="0"/>
        <v>2609E</v>
      </c>
      <c r="E14" s="167">
        <f ca="1">[1]!s_dq_settle($B14,E$1)</f>
        <v>96.734999999999999</v>
      </c>
      <c r="F14" s="167">
        <f ca="1">[1]!s_dq_settle($B14,F$1)</f>
        <v>96.734999999999999</v>
      </c>
      <c r="G14" s="167">
        <f ca="1">[1]!s_dq_settle($B14,G$1)</f>
        <v>96.724999999999994</v>
      </c>
      <c r="H14" s="167">
        <f ca="1">[1]!s_dq_settle($B14,H$1)</f>
        <v>96.71</v>
      </c>
      <c r="I14" s="167">
        <f ca="1">[1]!s_dq_settle($B14,I$1)</f>
        <v>96.724999999999994</v>
      </c>
      <c r="J14" s="167">
        <f ca="1">[1]!s_dq_settle($B14,J$1)</f>
        <v>96.724999999999994</v>
      </c>
      <c r="K14" s="167">
        <f ca="1">[1]!s_dq_settle($B14,K$1)</f>
        <v>96.724999999999994</v>
      </c>
      <c r="L14" s="167">
        <f ca="1">[1]!s_dq_settle($B14,L$1)</f>
        <v>96.784999999999997</v>
      </c>
      <c r="M14" s="167">
        <f ca="1">[1]!s_dq_settle($B14,M$1)</f>
        <v>96.8</v>
      </c>
      <c r="N14" s="167">
        <f ca="1">[1]!s_dq_settle($B14,N$1)</f>
        <v>96.795000000000002</v>
      </c>
      <c r="O14" s="167">
        <f ca="1">[1]!s_dq_settle($B14,O$1)</f>
        <v>96.825000000000003</v>
      </c>
      <c r="P14" s="167">
        <f ca="1">[1]!s_dq_settle($B14,P$1)</f>
        <v>96.814999999999998</v>
      </c>
      <c r="Q14" s="167">
        <f ca="1">[1]!s_dq_settle($B14,Q$1)</f>
        <v>96.814999999999998</v>
      </c>
      <c r="R14" s="167">
        <f ca="1">[1]!s_dq_settle($B14,R$1)</f>
        <v>96.814999999999998</v>
      </c>
      <c r="S14" s="167">
        <f ca="1">[1]!s_dq_settle($B14,S$1)</f>
        <v>96.82</v>
      </c>
      <c r="T14" s="167">
        <f ca="1">[1]!s_dq_settle($B14,T$1)</f>
        <v>96.82</v>
      </c>
      <c r="U14" s="167">
        <f ca="1">[1]!s_dq_settle($B14,U$1)</f>
        <v>96.834999999999994</v>
      </c>
      <c r="V14" s="167">
        <f ca="1">[1]!s_dq_settle($B14,V$1)</f>
        <v>96.84</v>
      </c>
      <c r="W14" s="173">
        <f ca="1">[1]!s_dq_settle($B14,W$1)</f>
        <v>96.82</v>
      </c>
    </row>
    <row r="15" spans="1:24" x14ac:dyDescent="0.2">
      <c r="A15" s="159"/>
      <c r="B15" s="68" t="str">
        <f ca="1">IF(RIGHT([1]!to_tradecode(C15),1)="E",[1]!to_tradecode(C15)&amp;".CBT",[1]!to_tradecode(C15)&amp;"E.CBT")</f>
        <v>FFV26E.CBT</v>
      </c>
      <c r="C15" s="26" t="str">
        <f ca="1">"30天期联邦基金"&amp;TEXT(日历计算!G12,"YYMM")</f>
        <v>30天期联邦基金2610</v>
      </c>
      <c r="D15" s="26" t="str">
        <f t="shared" ca="1" si="0"/>
        <v>2610E</v>
      </c>
      <c r="E15" s="166">
        <f ca="1">[1]!s_dq_settle($B15,E$1)</f>
        <v>96.8</v>
      </c>
      <c r="F15" s="166">
        <f ca="1">[1]!s_dq_settle($B15,F$1)</f>
        <v>96.8</v>
      </c>
      <c r="G15" s="166">
        <f ca="1">[1]!s_dq_settle($B15,G$1)</f>
        <v>96.784999999999997</v>
      </c>
      <c r="H15" s="166">
        <f ca="1">[1]!s_dq_settle($B15,H$1)</f>
        <v>96.77</v>
      </c>
      <c r="I15" s="166">
        <f ca="1">[1]!s_dq_settle($B15,I$1)</f>
        <v>96.78</v>
      </c>
      <c r="J15" s="166">
        <f ca="1">[1]!s_dq_settle($B15,J$1)</f>
        <v>96.78</v>
      </c>
      <c r="K15" s="166">
        <f ca="1">[1]!s_dq_settle($B15,K$1)</f>
        <v>96.78</v>
      </c>
      <c r="L15" s="166">
        <f ca="1">[1]!s_dq_settle($B15,L$1)</f>
        <v>96.84</v>
      </c>
      <c r="M15" s="166">
        <f ca="1">[1]!s_dq_settle($B15,M$1)</f>
        <v>96.855000000000004</v>
      </c>
      <c r="N15" s="166">
        <f ca="1">[1]!s_dq_settle($B15,N$1)</f>
        <v>96.85</v>
      </c>
      <c r="O15" s="166">
        <f ca="1">[1]!s_dq_settle($B15,O$1)</f>
        <v>96.88</v>
      </c>
      <c r="P15" s="166">
        <f ca="1">[1]!s_dq_settle($B15,P$1)</f>
        <v>96.864999999999995</v>
      </c>
      <c r="Q15" s="166">
        <f ca="1">[1]!s_dq_settle($B15,Q$1)</f>
        <v>96.864999999999995</v>
      </c>
      <c r="R15" s="166">
        <f ca="1">[1]!s_dq_settle($B15,R$1)</f>
        <v>96.864999999999995</v>
      </c>
      <c r="S15" s="166">
        <f ca="1">[1]!s_dq_settle($B15,S$1)</f>
        <v>96.87</v>
      </c>
      <c r="T15" s="166">
        <f ca="1">[1]!s_dq_settle($B15,T$1)</f>
        <v>96.87</v>
      </c>
      <c r="U15" s="166">
        <f ca="1">[1]!s_dq_settle($B15,U$1)</f>
        <v>96.885000000000005</v>
      </c>
      <c r="V15" s="166">
        <f ca="1">[1]!s_dq_settle($B15,V$1)</f>
        <v>96.89</v>
      </c>
      <c r="W15" s="172">
        <f ca="1">[1]!s_dq_settle($B15,W$1)</f>
        <v>96.87</v>
      </c>
    </row>
    <row r="16" spans="1:24" x14ac:dyDescent="0.2">
      <c r="A16" s="159"/>
      <c r="B16" s="68" t="str">
        <f ca="1">IF(RIGHT([1]!to_tradecode(C16),1)="E",[1]!to_tradecode(C16)&amp;".CBT",[1]!to_tradecode(C16)&amp;"E.CBT")</f>
        <v>FFX26E.CBT</v>
      </c>
      <c r="C16" s="26" t="str">
        <f ca="1">"30天期联邦基金"&amp;TEXT(日历计算!G13,"YYMM")</f>
        <v>30天期联邦基金2611</v>
      </c>
      <c r="D16" s="144" t="str">
        <f t="shared" ca="1" si="0"/>
        <v>2611E</v>
      </c>
      <c r="E16" s="167">
        <f ca="1">[1]!s_dq_settle($B16,E$1)</f>
        <v>96.85</v>
      </c>
      <c r="F16" s="167">
        <f ca="1">[1]!s_dq_settle($B16,F$1)</f>
        <v>96.85</v>
      </c>
      <c r="G16" s="167">
        <f ca="1">[1]!s_dq_settle($B16,G$1)</f>
        <v>96.834999999999994</v>
      </c>
      <c r="H16" s="167">
        <f ca="1">[1]!s_dq_settle($B16,H$1)</f>
        <v>96.814999999999998</v>
      </c>
      <c r="I16" s="167">
        <f ca="1">[1]!s_dq_settle($B16,I$1)</f>
        <v>96.82</v>
      </c>
      <c r="J16" s="167">
        <f ca="1">[1]!s_dq_settle($B16,J$1)</f>
        <v>96.82</v>
      </c>
      <c r="K16" s="167">
        <f ca="1">[1]!s_dq_settle($B16,K$1)</f>
        <v>96.82</v>
      </c>
      <c r="L16" s="167">
        <f ca="1">[1]!s_dq_settle($B16,L$1)</f>
        <v>96.88</v>
      </c>
      <c r="M16" s="167">
        <f ca="1">[1]!s_dq_settle($B16,M$1)</f>
        <v>96.9</v>
      </c>
      <c r="N16" s="167">
        <f ca="1">[1]!s_dq_settle($B16,N$1)</f>
        <v>96.89</v>
      </c>
      <c r="O16" s="167">
        <f ca="1">[1]!s_dq_settle($B16,O$1)</f>
        <v>96.92</v>
      </c>
      <c r="P16" s="167">
        <f ca="1">[1]!s_dq_settle($B16,P$1)</f>
        <v>96.905000000000001</v>
      </c>
      <c r="Q16" s="167">
        <f ca="1">[1]!s_dq_settle($B16,Q$1)</f>
        <v>96.905000000000001</v>
      </c>
      <c r="R16" s="167">
        <f ca="1">[1]!s_dq_settle($B16,R$1)</f>
        <v>96.905000000000001</v>
      </c>
      <c r="S16" s="167">
        <f ca="1">[1]!s_dq_settle($B16,S$1)</f>
        <v>96.91</v>
      </c>
      <c r="T16" s="167">
        <f ca="1">[1]!s_dq_settle($B16,T$1)</f>
        <v>96.91</v>
      </c>
      <c r="U16" s="167">
        <f ca="1">[1]!s_dq_settle($B16,U$1)</f>
        <v>96.924999999999997</v>
      </c>
      <c r="V16" s="167">
        <f ca="1">[1]!s_dq_settle($B16,V$1)</f>
        <v>96.93</v>
      </c>
      <c r="W16" s="173">
        <f ca="1">[1]!s_dq_settle($B16,W$1)</f>
        <v>96.905000000000001</v>
      </c>
    </row>
    <row r="17" spans="1:23" x14ac:dyDescent="0.2">
      <c r="A17" s="159"/>
      <c r="B17" s="68" t="str">
        <f ca="1">IF(RIGHT([1]!to_tradecode(C17),1)="E",[1]!to_tradecode(C17)&amp;".CBT",[1]!to_tradecode(C17)&amp;"E.CBT")</f>
        <v>FFZ26E.CBT</v>
      </c>
      <c r="C17" s="26" t="str">
        <f ca="1">"30天期联邦基金"&amp;TEXT(日历计算!G14,"YYMM")</f>
        <v>30天期联邦基金2612</v>
      </c>
      <c r="D17" s="26" t="str">
        <f t="shared" ca="1" si="0"/>
        <v>2612E</v>
      </c>
      <c r="E17" s="166">
        <f ca="1">[1]!s_dq_settle($B17,E$1)</f>
        <v>96.894999999999996</v>
      </c>
      <c r="F17" s="166">
        <f ca="1">[1]!s_dq_settle($B17,F$1)</f>
        <v>96.894999999999996</v>
      </c>
      <c r="G17" s="166">
        <f ca="1">[1]!s_dq_settle($B17,G$1)</f>
        <v>96.88</v>
      </c>
      <c r="H17" s="166">
        <f ca="1">[1]!s_dq_settle($B17,H$1)</f>
        <v>96.855000000000004</v>
      </c>
      <c r="I17" s="166">
        <f ca="1">[1]!s_dq_settle($B17,I$1)</f>
        <v>96.855000000000004</v>
      </c>
      <c r="J17" s="166">
        <f ca="1">[1]!s_dq_settle($B17,J$1)</f>
        <v>96.855000000000004</v>
      </c>
      <c r="K17" s="166">
        <f ca="1">[1]!s_dq_settle($B17,K$1)</f>
        <v>96.855000000000004</v>
      </c>
      <c r="L17" s="166">
        <f ca="1">[1]!s_dq_settle($B17,L$1)</f>
        <v>96.915000000000006</v>
      </c>
      <c r="M17" s="166">
        <f ca="1">[1]!s_dq_settle($B17,M$1)</f>
        <v>96.94</v>
      </c>
      <c r="N17" s="166">
        <f ca="1">[1]!s_dq_settle($B17,N$1)</f>
        <v>96.92</v>
      </c>
      <c r="O17" s="166">
        <f ca="1">[1]!s_dq_settle($B17,O$1)</f>
        <v>96.95</v>
      </c>
      <c r="P17" s="166">
        <f ca="1">[1]!s_dq_settle($B17,P$1)</f>
        <v>96.93</v>
      </c>
      <c r="Q17" s="166">
        <f ca="1">[1]!s_dq_settle($B17,Q$1)</f>
        <v>96.93</v>
      </c>
      <c r="R17" s="166">
        <f ca="1">[1]!s_dq_settle($B17,R$1)</f>
        <v>96.93</v>
      </c>
      <c r="S17" s="166">
        <f ca="1">[1]!s_dq_settle($B17,S$1)</f>
        <v>96.94</v>
      </c>
      <c r="T17" s="166">
        <f ca="1">[1]!s_dq_settle($B17,T$1)</f>
        <v>96.94</v>
      </c>
      <c r="U17" s="166">
        <f ca="1">[1]!s_dq_settle($B17,U$1)</f>
        <v>96.954999999999998</v>
      </c>
      <c r="V17" s="166">
        <f ca="1">[1]!s_dq_settle($B17,V$1)</f>
        <v>96.954999999999998</v>
      </c>
      <c r="W17" s="172">
        <f ca="1">[1]!s_dq_settle($B17,W$1)</f>
        <v>96.93</v>
      </c>
    </row>
    <row r="18" spans="1:23" x14ac:dyDescent="0.2">
      <c r="A18" s="159"/>
      <c r="B18" s="68" t="str">
        <f ca="1">IF(RIGHT([1]!to_tradecode(C18),1)="E",[1]!to_tradecode(C18)&amp;".CBT",[1]!to_tradecode(C18)&amp;"E.CBT")</f>
        <v>FFF27E.CBT</v>
      </c>
      <c r="C18" s="26" t="str">
        <f ca="1">"30天期联邦基金"&amp;TEXT(日历计算!G15,"YYMM")</f>
        <v>30天期联邦基金2701</v>
      </c>
      <c r="D18" s="144" t="str">
        <f t="shared" ca="1" si="0"/>
        <v>2701E</v>
      </c>
      <c r="E18" s="167">
        <f ca="1">[1]!s_dq_settle($B18,E$1)</f>
        <v>96.91</v>
      </c>
      <c r="F18" s="167">
        <f ca="1">[1]!s_dq_settle($B18,F$1)</f>
        <v>96.91</v>
      </c>
      <c r="G18" s="167">
        <f ca="1">[1]!s_dq_settle($B18,G$1)</f>
        <v>96.894999999999996</v>
      </c>
      <c r="H18" s="167">
        <f ca="1">[1]!s_dq_settle($B18,H$1)</f>
        <v>96.87</v>
      </c>
      <c r="I18" s="167">
        <f ca="1">[1]!s_dq_settle($B18,I$1)</f>
        <v>96.87</v>
      </c>
      <c r="J18" s="167">
        <f ca="1">[1]!s_dq_settle($B18,J$1)</f>
        <v>96.87</v>
      </c>
      <c r="K18" s="167">
        <f ca="1">[1]!s_dq_settle($B18,K$1)</f>
        <v>96.87</v>
      </c>
      <c r="L18" s="167">
        <f ca="1">[1]!s_dq_settle($B18,L$1)</f>
        <v>96.93</v>
      </c>
      <c r="M18" s="167">
        <f ca="1">[1]!s_dq_settle($B18,M$1)</f>
        <v>96.954999999999998</v>
      </c>
      <c r="N18" s="167">
        <f ca="1">[1]!s_dq_settle($B18,N$1)</f>
        <v>96.935000000000002</v>
      </c>
      <c r="O18" s="167">
        <f ca="1">[1]!s_dq_settle($B18,O$1)</f>
        <v>96.96</v>
      </c>
      <c r="P18" s="167">
        <f ca="1">[1]!s_dq_settle($B18,P$1)</f>
        <v>96.94</v>
      </c>
      <c r="Q18" s="167">
        <f ca="1">[1]!s_dq_settle($B18,Q$1)</f>
        <v>96.94</v>
      </c>
      <c r="R18" s="167">
        <f ca="1">[1]!s_dq_settle($B18,R$1)</f>
        <v>96.94</v>
      </c>
      <c r="S18" s="167">
        <f ca="1">[1]!s_dq_settle($B18,S$1)</f>
        <v>96.95</v>
      </c>
      <c r="T18" s="167">
        <f ca="1">[1]!s_dq_settle($B18,T$1)</f>
        <v>96.95</v>
      </c>
      <c r="U18" s="167">
        <f ca="1">[1]!s_dq_settle($B18,U$1)</f>
        <v>96.965000000000003</v>
      </c>
      <c r="V18" s="167">
        <f ca="1">[1]!s_dq_settle($B18,V$1)</f>
        <v>96.965000000000003</v>
      </c>
      <c r="W18" s="173">
        <f ca="1">[1]!s_dq_settle($B18,W$1)</f>
        <v>96.94</v>
      </c>
    </row>
    <row r="19" spans="1:23" x14ac:dyDescent="0.2">
      <c r="A19" s="159"/>
      <c r="B19" s="68" t="str">
        <f ca="1">IF(RIGHT([1]!to_tradecode(C19),1)="E",[1]!to_tradecode(C19)&amp;".CBT",[1]!to_tradecode(C19)&amp;"E.CBT")</f>
        <v>FFG27E.CBT</v>
      </c>
      <c r="C19" s="26" t="str">
        <f ca="1">"30天期联邦基金"&amp;TEXT(日历计算!G16,"YYMM")</f>
        <v>30天期联邦基金2702</v>
      </c>
      <c r="D19" s="26" t="str">
        <f t="shared" ca="1" si="0"/>
        <v>2702E</v>
      </c>
      <c r="E19" s="166">
        <f ca="1">[1]!s_dq_settle($B19,E$1)</f>
        <v>96.915000000000006</v>
      </c>
      <c r="F19" s="166">
        <f ca="1">[1]!s_dq_settle($B19,F$1)</f>
        <v>96.915000000000006</v>
      </c>
      <c r="G19" s="166">
        <f ca="1">[1]!s_dq_settle($B19,G$1)</f>
        <v>96.9</v>
      </c>
      <c r="H19" s="166">
        <f ca="1">[1]!s_dq_settle($B19,H$1)</f>
        <v>96.875</v>
      </c>
      <c r="I19" s="166">
        <f ca="1">[1]!s_dq_settle($B19,I$1)</f>
        <v>96.875</v>
      </c>
      <c r="J19" s="166">
        <f ca="1">[1]!s_dq_settle($B19,J$1)</f>
        <v>96.875</v>
      </c>
      <c r="K19" s="166">
        <f ca="1">[1]!s_dq_settle($B19,K$1)</f>
        <v>96.875</v>
      </c>
      <c r="L19" s="166">
        <f ca="1">[1]!s_dq_settle($B19,L$1)</f>
        <v>96.935000000000002</v>
      </c>
      <c r="M19" s="166">
        <f ca="1">[1]!s_dq_settle($B19,M$1)</f>
        <v>96.96</v>
      </c>
      <c r="N19" s="166">
        <f ca="1">[1]!s_dq_settle($B19,N$1)</f>
        <v>96.935000000000002</v>
      </c>
      <c r="O19" s="166">
        <f ca="1">[1]!s_dq_settle($B19,O$1)</f>
        <v>96.96</v>
      </c>
      <c r="P19" s="166">
        <f ca="1">[1]!s_dq_settle($B19,P$1)</f>
        <v>96.94</v>
      </c>
      <c r="Q19" s="166">
        <f ca="1">[1]!s_dq_settle($B19,Q$1)</f>
        <v>96.94</v>
      </c>
      <c r="R19" s="166">
        <f ca="1">[1]!s_dq_settle($B19,R$1)</f>
        <v>96.94</v>
      </c>
      <c r="S19" s="166">
        <f ca="1">[1]!s_dq_settle($B19,S$1)</f>
        <v>96.95</v>
      </c>
      <c r="T19" s="166">
        <f ca="1">[1]!s_dq_settle($B19,T$1)</f>
        <v>96.95</v>
      </c>
      <c r="U19" s="166">
        <f ca="1">[1]!s_dq_settle($B19,U$1)</f>
        <v>96.965000000000003</v>
      </c>
      <c r="V19" s="166">
        <f ca="1">[1]!s_dq_settle($B19,V$1)</f>
        <v>96.965000000000003</v>
      </c>
      <c r="W19" s="172">
        <f ca="1">[1]!s_dq_settle($B19,W$1)</f>
        <v>96.935000000000002</v>
      </c>
    </row>
    <row r="20" spans="1:23" x14ac:dyDescent="0.2">
      <c r="A20" s="159"/>
      <c r="B20" s="68" t="str">
        <f ca="1">IF(RIGHT([1]!to_tradecode(C20),1)="E",[1]!to_tradecode(C20)&amp;".CBT",[1]!to_tradecode(C20)&amp;"E.CBT")</f>
        <v>FFH27E.CBT</v>
      </c>
      <c r="C20" s="26" t="str">
        <f ca="1">"30天期联邦基金"&amp;TEXT(日历计算!G17,"YYMM")</f>
        <v>30天期联邦基金2703</v>
      </c>
      <c r="D20" s="144" t="str">
        <f t="shared" ca="1" si="0"/>
        <v>2703E</v>
      </c>
      <c r="E20" s="167">
        <f ca="1">[1]!s_dq_settle($B20,E$1)</f>
        <v>96.92</v>
      </c>
      <c r="F20" s="167">
        <f ca="1">[1]!s_dq_settle($B20,F$1)</f>
        <v>96.92</v>
      </c>
      <c r="G20" s="167">
        <f ca="1">[1]!s_dq_settle($B20,G$1)</f>
        <v>96.905000000000001</v>
      </c>
      <c r="H20" s="167">
        <f ca="1">[1]!s_dq_settle($B20,H$1)</f>
        <v>96.88</v>
      </c>
      <c r="I20" s="167">
        <f ca="1">[1]!s_dq_settle($B20,I$1)</f>
        <v>96.88</v>
      </c>
      <c r="J20" s="167">
        <f ca="1">[1]!s_dq_settle($B20,J$1)</f>
        <v>96.88</v>
      </c>
      <c r="K20" s="167">
        <f ca="1">[1]!s_dq_settle($B20,K$1)</f>
        <v>96.88</v>
      </c>
      <c r="L20" s="167">
        <f ca="1">[1]!s_dq_settle($B20,L$1)</f>
        <v>96.94</v>
      </c>
      <c r="M20" s="167">
        <f ca="1">[1]!s_dq_settle($B20,M$1)</f>
        <v>96.965000000000003</v>
      </c>
      <c r="N20" s="167">
        <f ca="1">[1]!s_dq_settle($B20,N$1)</f>
        <v>96.94</v>
      </c>
      <c r="O20" s="167">
        <f ca="1">[1]!s_dq_settle($B20,O$1)</f>
        <v>96.965000000000003</v>
      </c>
      <c r="P20" s="167">
        <f ca="1">[1]!s_dq_settle($B20,P$1)</f>
        <v>96.944999999999993</v>
      </c>
      <c r="Q20" s="167">
        <f ca="1">[1]!s_dq_settle($B20,Q$1)</f>
        <v>96.944999999999993</v>
      </c>
      <c r="R20" s="167">
        <f ca="1">[1]!s_dq_settle($B20,R$1)</f>
        <v>96.944999999999993</v>
      </c>
      <c r="S20" s="167">
        <f ca="1">[1]!s_dq_settle($B20,S$1)</f>
        <v>96.954999999999998</v>
      </c>
      <c r="T20" s="167">
        <f ca="1">[1]!s_dq_settle($B20,T$1)</f>
        <v>96.954999999999998</v>
      </c>
      <c r="U20" s="167">
        <f ca="1">[1]!s_dq_settle($B20,U$1)</f>
        <v>96.97</v>
      </c>
      <c r="V20" s="167">
        <f ca="1">[1]!s_dq_settle($B20,V$1)</f>
        <v>96.97</v>
      </c>
      <c r="W20" s="173">
        <f ca="1">[1]!s_dq_settle($B20,W$1)</f>
        <v>96.94</v>
      </c>
    </row>
    <row r="21" spans="1:23" x14ac:dyDescent="0.2">
      <c r="A21" s="159"/>
      <c r="B21" s="68" t="str">
        <f ca="1">IF(RIGHT([1]!to_tradecode(C21),1)="E",[1]!to_tradecode(C21)&amp;".CBT",[1]!to_tradecode(C21)&amp;"E.CBT")</f>
        <v>FFJ27E.CBT</v>
      </c>
      <c r="C21" s="26" t="str">
        <f ca="1">"30天期联邦基金"&amp;TEXT(日历计算!G18,"YYMM")</f>
        <v>30天期联邦基金2704</v>
      </c>
      <c r="D21" s="26" t="str">
        <f t="shared" ca="1" si="0"/>
        <v>2704E</v>
      </c>
      <c r="E21" s="166">
        <f ca="1">[1]!s_dq_settle($B21,E$1)</f>
        <v>96.924999999999997</v>
      </c>
      <c r="F21" s="166">
        <f ca="1">[1]!s_dq_settle($B21,F$1)</f>
        <v>96.924999999999997</v>
      </c>
      <c r="G21" s="166">
        <f ca="1">[1]!s_dq_settle($B21,G$1)</f>
        <v>96.905000000000001</v>
      </c>
      <c r="H21" s="166">
        <f ca="1">[1]!s_dq_settle($B21,H$1)</f>
        <v>96.875</v>
      </c>
      <c r="I21" s="166">
        <f ca="1">[1]!s_dq_settle($B21,I$1)</f>
        <v>96.88</v>
      </c>
      <c r="J21" s="166">
        <f ca="1">[1]!s_dq_settle($B21,J$1)</f>
        <v>96.88</v>
      </c>
      <c r="K21" s="166">
        <f ca="1">[1]!s_dq_settle($B21,K$1)</f>
        <v>96.88</v>
      </c>
      <c r="L21" s="166">
        <f ca="1">[1]!s_dq_settle($B21,L$1)</f>
        <v>96.94</v>
      </c>
      <c r="M21" s="166">
        <f ca="1">[1]!s_dq_settle($B21,M$1)</f>
        <v>96.965000000000003</v>
      </c>
      <c r="N21" s="166">
        <f ca="1">[1]!s_dq_settle($B21,N$1)</f>
        <v>96.94</v>
      </c>
      <c r="O21" s="166">
        <f ca="1">[1]!s_dq_settle($B21,O$1)</f>
        <v>96.96</v>
      </c>
      <c r="P21" s="166">
        <f ca="1">[1]!s_dq_settle($B21,P$1)</f>
        <v>96.94</v>
      </c>
      <c r="Q21" s="166">
        <f ca="1">[1]!s_dq_settle($B21,Q$1)</f>
        <v>96.94</v>
      </c>
      <c r="R21" s="166">
        <f ca="1">[1]!s_dq_settle($B21,R$1)</f>
        <v>96.94</v>
      </c>
      <c r="S21" s="166">
        <f ca="1">[1]!s_dq_settle($B21,S$1)</f>
        <v>96.954999999999998</v>
      </c>
      <c r="T21" s="166">
        <f ca="1">[1]!s_dq_settle($B21,T$1)</f>
        <v>96.954999999999998</v>
      </c>
      <c r="U21" s="166">
        <f ca="1">[1]!s_dq_settle($B21,U$1)</f>
        <v>96.97</v>
      </c>
      <c r="V21" s="166">
        <f ca="1">[1]!s_dq_settle($B21,V$1)</f>
        <v>96.97</v>
      </c>
      <c r="W21" s="172">
        <f ca="1">[1]!s_dq_settle($B21,W$1)</f>
        <v>96.94</v>
      </c>
    </row>
    <row r="22" spans="1:23" x14ac:dyDescent="0.2">
      <c r="A22" s="159"/>
      <c r="B22" s="68" t="str">
        <f ca="1">IF(RIGHT([1]!to_tradecode(C22),1)="E",[1]!to_tradecode(C22)&amp;".CBT",[1]!to_tradecode(C22)&amp;"E.CBT")</f>
        <v>FFK27E.CBT</v>
      </c>
      <c r="C22" s="26" t="str">
        <f ca="1">"30天期联邦基金"&amp;TEXT(日历计算!G19,"YYMM")</f>
        <v>30天期联邦基金2705</v>
      </c>
      <c r="D22" s="144" t="str">
        <f t="shared" ca="1" si="0"/>
        <v>2705E</v>
      </c>
      <c r="E22" s="167">
        <f ca="1">[1]!s_dq_settle($B22,E$1)</f>
        <v>96.92</v>
      </c>
      <c r="F22" s="167">
        <f ca="1">[1]!s_dq_settle($B22,F$1)</f>
        <v>96.92</v>
      </c>
      <c r="G22" s="167">
        <f ca="1">[1]!s_dq_settle($B22,G$1)</f>
        <v>96.9</v>
      </c>
      <c r="H22" s="167">
        <f ca="1">[1]!s_dq_settle($B22,H$1)</f>
        <v>96.87</v>
      </c>
      <c r="I22" s="167">
        <f ca="1">[1]!s_dq_settle($B22,I$1)</f>
        <v>96.875</v>
      </c>
      <c r="J22" s="167">
        <f ca="1">[1]!s_dq_settle($B22,J$1)</f>
        <v>96.875</v>
      </c>
      <c r="K22" s="167">
        <f ca="1">[1]!s_dq_settle($B22,K$1)</f>
        <v>96.875</v>
      </c>
      <c r="L22" s="167">
        <f ca="1">[1]!s_dq_settle($B22,L$1)</f>
        <v>96.93</v>
      </c>
      <c r="M22" s="167">
        <f ca="1">[1]!s_dq_settle($B22,M$1)</f>
        <v>96.954999999999998</v>
      </c>
      <c r="N22" s="167">
        <f ca="1">[1]!s_dq_settle($B22,N$1)</f>
        <v>96.93</v>
      </c>
      <c r="O22" s="167">
        <f ca="1">[1]!s_dq_settle($B22,O$1)</f>
        <v>96.95</v>
      </c>
      <c r="P22" s="167">
        <f ca="1">[1]!s_dq_settle($B22,P$1)</f>
        <v>96.93</v>
      </c>
      <c r="Q22" s="167">
        <f ca="1">[1]!s_dq_settle($B22,Q$1)</f>
        <v>96.93</v>
      </c>
      <c r="R22" s="167">
        <f ca="1">[1]!s_dq_settle($B22,R$1)</f>
        <v>96.93</v>
      </c>
      <c r="S22" s="167">
        <f ca="1">[1]!s_dq_settle($B22,S$1)</f>
        <v>96.944999999999993</v>
      </c>
      <c r="T22" s="167">
        <f ca="1">[1]!s_dq_settle($B22,T$1)</f>
        <v>96.944999999999993</v>
      </c>
      <c r="U22" s="167">
        <f ca="1">[1]!s_dq_settle($B22,U$1)</f>
        <v>96.96</v>
      </c>
      <c r="V22" s="167">
        <f ca="1">[1]!s_dq_settle($B22,V$1)</f>
        <v>96.96</v>
      </c>
      <c r="W22" s="173">
        <f ca="1">[1]!s_dq_settle($B22,W$1)</f>
        <v>96.93</v>
      </c>
    </row>
    <row r="23" spans="1:23" x14ac:dyDescent="0.2">
      <c r="A23" s="159"/>
      <c r="B23" s="68" t="str">
        <f ca="1">IF(RIGHT([1]!to_tradecode(C23),1)="E",[1]!to_tradecode(C23)&amp;".CBT",[1]!to_tradecode(C23)&amp;"E.CBT")</f>
        <v>FFM27E.CBT</v>
      </c>
      <c r="C23" s="26" t="str">
        <f ca="1">"30天期联邦基金"&amp;TEXT(日历计算!G20,"YYMM")</f>
        <v>30天期联邦基金2706</v>
      </c>
      <c r="D23" s="26" t="str">
        <f t="shared" ca="1" si="0"/>
        <v>2706E</v>
      </c>
      <c r="E23" s="166">
        <f ca="1">[1]!s_dq_settle($B23,E$1)</f>
        <v>96.92</v>
      </c>
      <c r="F23" s="166">
        <f ca="1">[1]!s_dq_settle($B23,F$1)</f>
        <v>96.92</v>
      </c>
      <c r="G23" s="166">
        <f ca="1">[1]!s_dq_settle($B23,G$1)</f>
        <v>96.9</v>
      </c>
      <c r="H23" s="166">
        <f ca="1">[1]!s_dq_settle($B23,H$1)</f>
        <v>96.87</v>
      </c>
      <c r="I23" s="166">
        <f ca="1">[1]!s_dq_settle($B23,I$1)</f>
        <v>96.87</v>
      </c>
      <c r="J23" s="166">
        <f ca="1">[1]!s_dq_settle($B23,J$1)</f>
        <v>96.87</v>
      </c>
      <c r="K23" s="166">
        <f ca="1">[1]!s_dq_settle($B23,K$1)</f>
        <v>96.87</v>
      </c>
      <c r="L23" s="166">
        <f ca="1">[1]!s_dq_settle($B23,L$1)</f>
        <v>96.91</v>
      </c>
      <c r="M23" s="166">
        <f ca="1">[1]!s_dq_settle($B23,M$1)</f>
        <v>96.935000000000002</v>
      </c>
      <c r="N23" s="166">
        <f ca="1">[1]!s_dq_settle($B23,N$1)</f>
        <v>96.91</v>
      </c>
      <c r="O23" s="166">
        <f ca="1">[1]!s_dq_settle($B23,O$1)</f>
        <v>96.93</v>
      </c>
      <c r="P23" s="166">
        <f ca="1">[1]!s_dq_settle($B23,P$1)</f>
        <v>96.91</v>
      </c>
      <c r="Q23" s="166">
        <f ca="1">[1]!s_dq_settle($B23,Q$1)</f>
        <v>96.91</v>
      </c>
      <c r="R23" s="166">
        <f ca="1">[1]!s_dq_settle($B23,R$1)</f>
        <v>96.91</v>
      </c>
      <c r="S23" s="166">
        <f ca="1">[1]!s_dq_settle($B23,S$1)</f>
        <v>96.924999999999997</v>
      </c>
      <c r="T23" s="166">
        <f ca="1">[1]!s_dq_settle($B23,T$1)</f>
        <v>96.924999999999997</v>
      </c>
      <c r="U23" s="166">
        <f ca="1">[1]!s_dq_settle($B23,U$1)</f>
        <v>96.94</v>
      </c>
      <c r="V23" s="166">
        <f ca="1">[1]!s_dq_settle($B23,V$1)</f>
        <v>96.94</v>
      </c>
      <c r="W23" s="172">
        <f ca="1">[1]!s_dq_settle($B23,W$1)</f>
        <v>96.91</v>
      </c>
    </row>
    <row r="24" spans="1:23" x14ac:dyDescent="0.2">
      <c r="A24" s="159"/>
      <c r="B24" s="68" t="str">
        <f ca="1">IF(RIGHT([1]!to_tradecode(C24),1)="E",[1]!to_tradecode(C24)&amp;".CBT",[1]!to_tradecode(C24)&amp;"E.CBT")</f>
        <v>FFN27E.CBT</v>
      </c>
      <c r="C24" s="26" t="str">
        <f ca="1">"30天期联邦基金"&amp;TEXT(日历计算!G21,"YYMM")</f>
        <v>30天期联邦基金2707</v>
      </c>
      <c r="D24" s="144" t="str">
        <f t="shared" ca="1" si="0"/>
        <v>2707E</v>
      </c>
      <c r="E24" s="167">
        <f ca="1">[1]!s_dq_settle($B24,E$1)</f>
        <v>96.915000000000006</v>
      </c>
      <c r="F24" s="167">
        <f ca="1">[1]!s_dq_settle($B24,F$1)</f>
        <v>96.915000000000006</v>
      </c>
      <c r="G24" s="167">
        <f ca="1">[1]!s_dq_settle($B24,G$1)</f>
        <v>96.894999999999996</v>
      </c>
      <c r="H24" s="167">
        <f ca="1">[1]!s_dq_settle($B24,H$1)</f>
        <v>96.864999999999995</v>
      </c>
      <c r="I24" s="167">
        <f ca="1">[1]!s_dq_settle($B24,I$1)</f>
        <v>96.87</v>
      </c>
      <c r="J24" s="167">
        <f ca="1">[1]!s_dq_settle($B24,J$1)</f>
        <v>96.87</v>
      </c>
      <c r="K24" s="167">
        <f ca="1">[1]!s_dq_settle($B24,K$1)</f>
        <v>96.87</v>
      </c>
      <c r="L24" s="167">
        <f ca="1">[1]!s_dq_settle($B24,L$1)</f>
        <v>96.92</v>
      </c>
      <c r="M24" s="167">
        <f ca="1">[1]!s_dq_settle($B24,M$1)</f>
        <v>96.944999999999993</v>
      </c>
      <c r="N24" s="167">
        <f ca="1">[1]!s_dq_settle($B24,N$1)</f>
        <v>96.92</v>
      </c>
      <c r="O24" s="167">
        <f ca="1">[1]!s_dq_settle($B24,O$1)</f>
        <v>96.94</v>
      </c>
      <c r="P24" s="167">
        <f ca="1">[1]!s_dq_settle($B24,P$1)</f>
        <v>96.92</v>
      </c>
      <c r="Q24" s="167">
        <f ca="1">[1]!s_dq_settle($B24,Q$1)</f>
        <v>96.92</v>
      </c>
      <c r="R24" s="167">
        <f ca="1">[1]!s_dq_settle($B24,R$1)</f>
        <v>96.92</v>
      </c>
      <c r="S24" s="167">
        <f ca="1">[1]!s_dq_settle($B24,S$1)</f>
        <v>96.935000000000002</v>
      </c>
      <c r="T24" s="167">
        <f ca="1">[1]!s_dq_settle($B24,T$1)</f>
        <v>96.935000000000002</v>
      </c>
      <c r="U24" s="167">
        <f ca="1">[1]!s_dq_settle($B24,U$1)</f>
        <v>96.95</v>
      </c>
      <c r="V24" s="167">
        <f ca="1">[1]!s_dq_settle($B24,V$1)</f>
        <v>96.95</v>
      </c>
      <c r="W24" s="173">
        <f ca="1">[1]!s_dq_settle($B24,W$1)</f>
        <v>96.9</v>
      </c>
    </row>
    <row r="25" spans="1:23" x14ac:dyDescent="0.2">
      <c r="A25" s="159"/>
      <c r="B25" s="68" t="str">
        <f ca="1">IF(RIGHT([1]!to_tradecode(C25),1)="E",[1]!to_tradecode(C25)&amp;".CBT",[1]!to_tradecode(C25)&amp;"E.CBT")</f>
        <v>FFQ27E.CBT</v>
      </c>
      <c r="C25" s="26" t="str">
        <f ca="1">"30天期联邦基金"&amp;TEXT(日历计算!G22,"YYMM")</f>
        <v>30天期联邦基金2708</v>
      </c>
      <c r="D25" s="26" t="str">
        <f t="shared" ca="1" si="0"/>
        <v>2708E</v>
      </c>
      <c r="E25" s="166">
        <f ca="1">[1]!s_dq_settle($B25,E$1)</f>
        <v>96.905000000000001</v>
      </c>
      <c r="F25" s="166">
        <f ca="1">[1]!s_dq_settle($B25,F$1)</f>
        <v>96.905000000000001</v>
      </c>
      <c r="G25" s="166">
        <f ca="1">[1]!s_dq_settle($B25,G$1)</f>
        <v>96.885000000000005</v>
      </c>
      <c r="H25" s="166">
        <f ca="1">[1]!s_dq_settle($B25,H$1)</f>
        <v>96.855000000000004</v>
      </c>
      <c r="I25" s="166">
        <f ca="1">[1]!s_dq_settle($B25,I$1)</f>
        <v>96.86</v>
      </c>
      <c r="J25" s="166">
        <f ca="1">[1]!s_dq_settle($B25,J$1)</f>
        <v>96.86</v>
      </c>
      <c r="K25" s="166">
        <f ca="1">[1]!s_dq_settle($B25,K$1)</f>
        <v>96.86</v>
      </c>
      <c r="L25" s="166">
        <f ca="1">[1]!s_dq_settle($B25,L$1)</f>
        <v>96.91</v>
      </c>
      <c r="M25" s="166">
        <f ca="1">[1]!s_dq_settle($B25,M$1)</f>
        <v>96.935000000000002</v>
      </c>
      <c r="N25" s="166">
        <f ca="1">[1]!s_dq_settle($B25,N$1)</f>
        <v>96.91</v>
      </c>
      <c r="O25" s="166">
        <f ca="1">[1]!s_dq_settle($B25,O$1)</f>
        <v>96.93</v>
      </c>
      <c r="P25" s="166">
        <f ca="1">[1]!s_dq_settle($B25,P$1)</f>
        <v>96.91</v>
      </c>
      <c r="Q25" s="166">
        <f ca="1">[1]!s_dq_settle($B25,Q$1)</f>
        <v>96.91</v>
      </c>
      <c r="R25" s="166">
        <f ca="1">[1]!s_dq_settle($B25,R$1)</f>
        <v>96.91</v>
      </c>
      <c r="S25" s="166">
        <f ca="1">[1]!s_dq_settle($B25,S$1)</f>
        <v>96.924999999999997</v>
      </c>
      <c r="T25" s="166">
        <f ca="1">[1]!s_dq_settle($B25,T$1)</f>
        <v>96.924999999999997</v>
      </c>
      <c r="U25" s="166">
        <f ca="1">[1]!s_dq_settle($B25,U$1)</f>
        <v>96.94</v>
      </c>
      <c r="V25" s="166">
        <f ca="1">[1]!s_dq_settle($B25,V$1)</f>
        <v>96.94</v>
      </c>
      <c r="W25" s="172">
        <f ca="1">[1]!s_dq_settle($B25,W$1)</f>
        <v>96.89</v>
      </c>
    </row>
    <row r="26" spans="1:23" x14ac:dyDescent="0.2">
      <c r="A26" s="159"/>
      <c r="B26" s="68" t="str">
        <f ca="1">IF(RIGHT([1]!to_tradecode(C26),1)="E",[1]!to_tradecode(C26)&amp;".CBT",[1]!to_tradecode(C26)&amp;"E.CBT")</f>
        <v>FFU27E.CBT</v>
      </c>
      <c r="C26" s="26" t="str">
        <f ca="1">"30天期联邦基金"&amp;TEXT(日历计算!G23,"YYMM")</f>
        <v>30天期联邦基金2709</v>
      </c>
      <c r="D26" s="144" t="str">
        <f t="shared" ca="1" si="0"/>
        <v>2709E</v>
      </c>
      <c r="E26" s="167">
        <f ca="1">[1]!s_dq_settle($B26,E$1)</f>
        <v>96.905000000000001</v>
      </c>
      <c r="F26" s="167">
        <f ca="1">[1]!s_dq_settle($B26,F$1)</f>
        <v>96.905000000000001</v>
      </c>
      <c r="G26" s="167">
        <f ca="1">[1]!s_dq_settle($B26,G$1)</f>
        <v>96.885000000000005</v>
      </c>
      <c r="H26" s="167">
        <f ca="1">[1]!s_dq_settle($B26,H$1)</f>
        <v>96.855000000000004</v>
      </c>
      <c r="I26" s="167">
        <f ca="1">[1]!s_dq_settle($B26,I$1)</f>
        <v>96.86</v>
      </c>
      <c r="J26" s="167">
        <f ca="1">[1]!s_dq_settle($B26,J$1)</f>
        <v>96.86</v>
      </c>
      <c r="K26" s="167">
        <f ca="1">[1]!s_dq_settle($B26,K$1)</f>
        <v>96.86</v>
      </c>
      <c r="L26" s="167">
        <f ca="1">[1]!s_dq_settle($B26,L$1)</f>
        <v>96.91</v>
      </c>
      <c r="M26" s="167">
        <f ca="1">[1]!s_dq_settle($B26,M$1)</f>
        <v>96.935000000000002</v>
      </c>
      <c r="N26" s="167">
        <f ca="1">[1]!s_dq_settle($B26,N$1)</f>
        <v>96.91</v>
      </c>
      <c r="O26" s="167">
        <f ca="1">[1]!s_dq_settle($B26,O$1)</f>
        <v>96.93</v>
      </c>
      <c r="P26" s="167">
        <f ca="1">[1]!s_dq_settle($B26,P$1)</f>
        <v>96.91</v>
      </c>
      <c r="Q26" s="167">
        <f ca="1">[1]!s_dq_settle($B26,Q$1)</f>
        <v>96.91</v>
      </c>
      <c r="R26" s="167">
        <f ca="1">[1]!s_dq_settle($B26,R$1)</f>
        <v>96.91</v>
      </c>
      <c r="S26" s="167">
        <f ca="1">[1]!s_dq_settle($B26,S$1)</f>
        <v>96.924999999999997</v>
      </c>
      <c r="T26" s="167">
        <f ca="1">[1]!s_dq_settle($B26,T$1)</f>
        <v>96.924999999999997</v>
      </c>
      <c r="U26" s="167">
        <f ca="1">[1]!s_dq_settle($B26,U$1)</f>
        <v>96.94</v>
      </c>
      <c r="V26" s="167">
        <f ca="1">[1]!s_dq_settle($B26,V$1)</f>
        <v>96.94</v>
      </c>
      <c r="W26" s="173">
        <f ca="1">[1]!s_dq_settle($B26,W$1)</f>
        <v>96.89</v>
      </c>
    </row>
    <row r="27" spans="1:23" x14ac:dyDescent="0.2">
      <c r="A27" s="159"/>
      <c r="B27" s="68" t="str">
        <f ca="1">IF(RIGHT([1]!to_tradecode(C27),1)="E",[1]!to_tradecode(C27)&amp;".CBT",[1]!to_tradecode(C27)&amp;"E.CBT")</f>
        <v>FFV27E.CBT</v>
      </c>
      <c r="C27" s="26" t="str">
        <f ca="1">"30天期联邦基金"&amp;TEXT(日历计算!G24,"YYMM")</f>
        <v>30天期联邦基金2710</v>
      </c>
      <c r="D27" s="26" t="str">
        <f t="shared" ca="1" si="0"/>
        <v>2710E</v>
      </c>
      <c r="E27" s="166">
        <f ca="1">[1]!s_dq_settle($B27,E$1)</f>
        <v>96.9</v>
      </c>
      <c r="F27" s="166">
        <f ca="1">[1]!s_dq_settle($B27,F$1)</f>
        <v>96.9</v>
      </c>
      <c r="G27" s="166">
        <f ca="1">[1]!s_dq_settle($B27,G$1)</f>
        <v>96.88</v>
      </c>
      <c r="H27" s="166">
        <f ca="1">[1]!s_dq_settle($B27,H$1)</f>
        <v>96.85</v>
      </c>
      <c r="I27" s="166">
        <f ca="1">[1]!s_dq_settle($B27,I$1)</f>
        <v>96.855000000000004</v>
      </c>
      <c r="J27" s="166">
        <f ca="1">[1]!s_dq_settle($B27,J$1)</f>
        <v>96.855000000000004</v>
      </c>
      <c r="K27" s="166">
        <f ca="1">[1]!s_dq_settle($B27,K$1)</f>
        <v>96.855000000000004</v>
      </c>
      <c r="L27" s="166">
        <f ca="1">[1]!s_dq_settle($B27,L$1)</f>
        <v>96.905000000000001</v>
      </c>
      <c r="M27" s="166">
        <f ca="1">[1]!s_dq_settle($B27,M$1)</f>
        <v>96.93</v>
      </c>
      <c r="N27" s="166">
        <f ca="1">[1]!s_dq_settle($B27,N$1)</f>
        <v>96.905000000000001</v>
      </c>
      <c r="O27" s="166">
        <f ca="1">[1]!s_dq_settle($B27,O$1)</f>
        <v>96.924999999999997</v>
      </c>
      <c r="P27" s="166">
        <f ca="1">[1]!s_dq_settle($B27,P$1)</f>
        <v>96.905000000000001</v>
      </c>
      <c r="Q27" s="166">
        <f ca="1">[1]!s_dq_settle($B27,Q$1)</f>
        <v>96.905000000000001</v>
      </c>
      <c r="R27" s="166">
        <f ca="1">[1]!s_dq_settle($B27,R$1)</f>
        <v>96.905000000000001</v>
      </c>
      <c r="S27" s="166">
        <f ca="1">[1]!s_dq_settle($B27,S$1)</f>
        <v>96.92</v>
      </c>
      <c r="T27" s="166">
        <f ca="1">[1]!s_dq_settle($B27,T$1)</f>
        <v>96.92</v>
      </c>
      <c r="U27" s="166">
        <f ca="1">[1]!s_dq_settle($B27,U$1)</f>
        <v>96.935000000000002</v>
      </c>
      <c r="V27" s="166">
        <f ca="1">[1]!s_dq_settle($B27,V$1)</f>
        <v>96.935000000000002</v>
      </c>
      <c r="W27" s="172">
        <f ca="1">[1]!s_dq_settle($B27,W$1)</f>
        <v>96.885000000000005</v>
      </c>
    </row>
    <row r="28" spans="1:23" x14ac:dyDescent="0.2">
      <c r="A28" s="159"/>
      <c r="B28" s="68" t="str">
        <f ca="1">IF(RIGHT([1]!to_tradecode(C28),1)="E",[1]!to_tradecode(C28)&amp;".CBT",[1]!to_tradecode(C28)&amp;"E.CBT")</f>
        <v>FFX27E.CBT</v>
      </c>
      <c r="C28" s="26" t="str">
        <f ca="1">"30天期联邦基金"&amp;TEXT(日历计算!G25,"YYMM")</f>
        <v>30天期联邦基金2711</v>
      </c>
      <c r="D28" s="144" t="str">
        <f t="shared" ca="1" si="0"/>
        <v>2711E</v>
      </c>
      <c r="E28" s="167">
        <f ca="1">[1]!s_dq_settle($B28,E$1)</f>
        <v>96.88</v>
      </c>
      <c r="F28" s="167">
        <f ca="1">[1]!s_dq_settle($B28,F$1)</f>
        <v>96.88</v>
      </c>
      <c r="G28" s="167">
        <f ca="1">[1]!s_dq_settle($B28,G$1)</f>
        <v>96.86</v>
      </c>
      <c r="H28" s="167">
        <f ca="1">[1]!s_dq_settle($B28,H$1)</f>
        <v>96.83</v>
      </c>
      <c r="I28" s="167">
        <f ca="1">[1]!s_dq_settle($B28,I$1)</f>
        <v>96.834999999999994</v>
      </c>
      <c r="J28" s="167">
        <f ca="1">[1]!s_dq_settle($B28,J$1)</f>
        <v>96.834999999999994</v>
      </c>
      <c r="K28" s="167">
        <f ca="1">[1]!s_dq_settle($B28,K$1)</f>
        <v>96.834999999999994</v>
      </c>
      <c r="L28" s="167">
        <f ca="1">[1]!s_dq_settle($B28,L$1)</f>
        <v>96.885000000000005</v>
      </c>
      <c r="M28" s="167">
        <f ca="1">[1]!s_dq_settle($B28,M$1)</f>
        <v>96.91</v>
      </c>
      <c r="N28" s="167">
        <f ca="1">[1]!s_dq_settle($B28,N$1)</f>
        <v>96.885000000000005</v>
      </c>
      <c r="O28" s="167">
        <f ca="1">[1]!s_dq_settle($B28,O$1)</f>
        <v>96.905000000000001</v>
      </c>
      <c r="P28" s="167">
        <f ca="1">[1]!s_dq_settle($B28,P$1)</f>
        <v>96.885000000000005</v>
      </c>
      <c r="Q28" s="167">
        <f ca="1">[1]!s_dq_settle($B28,Q$1)</f>
        <v>96.885000000000005</v>
      </c>
      <c r="R28" s="167">
        <f ca="1">[1]!s_dq_settle($B28,R$1)</f>
        <v>96.885000000000005</v>
      </c>
      <c r="S28" s="167">
        <f ca="1">[1]!s_dq_settle($B28,S$1)</f>
        <v>96.9</v>
      </c>
      <c r="T28" s="167">
        <f ca="1">[1]!s_dq_settle($B28,T$1)</f>
        <v>96.9</v>
      </c>
      <c r="U28" s="167">
        <f ca="1">[1]!s_dq_settle($B28,U$1)</f>
        <v>96.915000000000006</v>
      </c>
      <c r="V28" s="167">
        <f ca="1">[1]!s_dq_settle($B28,V$1)</f>
        <v>96.915000000000006</v>
      </c>
      <c r="W28" s="173">
        <f ca="1">[1]!s_dq_settle($B28,W$1)</f>
        <v>96.864999999999995</v>
      </c>
    </row>
    <row r="29" spans="1:23" x14ac:dyDescent="0.2">
      <c r="A29" s="159"/>
      <c r="B29" s="68" t="str">
        <f ca="1">IF(RIGHT([1]!to_tradecode(C29),1)="E",[1]!to_tradecode(C29)&amp;".CBT",[1]!to_tradecode(C29)&amp;"E.CBT")</f>
        <v>FFZ27E.CBT</v>
      </c>
      <c r="C29" s="26" t="str">
        <f ca="1">"30天期联邦基金"&amp;TEXT(日历计算!G26,"YYMM")</f>
        <v>30天期联邦基金2712</v>
      </c>
      <c r="D29" s="26" t="str">
        <f t="shared" ca="1" si="0"/>
        <v>2712E</v>
      </c>
      <c r="E29" s="166">
        <f ca="1">[1]!s_dq_settle($B29,E$1)</f>
        <v>96.864999999999995</v>
      </c>
      <c r="F29" s="166">
        <f ca="1">[1]!s_dq_settle($B29,F$1)</f>
        <v>96.864999999999995</v>
      </c>
      <c r="G29" s="166">
        <f ca="1">[1]!s_dq_settle($B29,G$1)</f>
        <v>96.844999999999999</v>
      </c>
      <c r="H29" s="166">
        <f ca="1">[1]!s_dq_settle($B29,H$1)</f>
        <v>96.814999999999998</v>
      </c>
      <c r="I29" s="166">
        <f ca="1">[1]!s_dq_settle($B29,I$1)</f>
        <v>96.82</v>
      </c>
      <c r="J29" s="166">
        <f ca="1">[1]!s_dq_settle($B29,J$1)</f>
        <v>96.82</v>
      </c>
      <c r="K29" s="166">
        <f ca="1">[1]!s_dq_settle($B29,K$1)</f>
        <v>96.82</v>
      </c>
      <c r="L29" s="166">
        <f ca="1">[1]!s_dq_settle($B29,L$1)</f>
        <v>96.87</v>
      </c>
      <c r="M29" s="166">
        <f ca="1">[1]!s_dq_settle($B29,M$1)</f>
        <v>96.894999999999996</v>
      </c>
      <c r="N29" s="166">
        <f ca="1">[1]!s_dq_settle($B29,N$1)</f>
        <v>96.87</v>
      </c>
      <c r="O29" s="166">
        <f ca="1">[1]!s_dq_settle($B29,O$1)</f>
        <v>96.89</v>
      </c>
      <c r="P29" s="166">
        <f ca="1">[1]!s_dq_settle($B29,P$1)</f>
        <v>96.87</v>
      </c>
      <c r="Q29" s="166">
        <f ca="1">[1]!s_dq_settle($B29,Q$1)</f>
        <v>96.87</v>
      </c>
      <c r="R29" s="166">
        <f ca="1">[1]!s_dq_settle($B29,R$1)</f>
        <v>96.87</v>
      </c>
      <c r="S29" s="166">
        <f ca="1">[1]!s_dq_settle($B29,S$1)</f>
        <v>96.885000000000005</v>
      </c>
      <c r="T29" s="166">
        <f ca="1">[1]!s_dq_settle($B29,T$1)</f>
        <v>96.885000000000005</v>
      </c>
      <c r="U29" s="166">
        <f ca="1">[1]!s_dq_settle($B29,U$1)</f>
        <v>96.9</v>
      </c>
      <c r="V29" s="166">
        <f ca="1">[1]!s_dq_settle($B29,V$1)</f>
        <v>96.9</v>
      </c>
      <c r="W29" s="172">
        <f ca="1">[1]!s_dq_settle($B29,W$1)</f>
        <v>96.85</v>
      </c>
    </row>
    <row r="30" spans="1:23" x14ac:dyDescent="0.2">
      <c r="A30" s="159"/>
      <c r="B30" s="68" t="str">
        <f ca="1">IF(RIGHT([1]!to_tradecode(C30),1)="E",[1]!to_tradecode(C30)&amp;".CBT",[1]!to_tradecode(C30)&amp;"E.CBT")</f>
        <v>FFF28E.CBT</v>
      </c>
      <c r="C30" s="26" t="str">
        <f ca="1">"30天期联邦基金"&amp;TEXT(日历计算!G27,"YYMM")</f>
        <v>30天期联邦基金2801</v>
      </c>
      <c r="D30" s="144" t="str">
        <f t="shared" ca="1" si="0"/>
        <v>2801E</v>
      </c>
      <c r="E30" s="167">
        <f ca="1">[1]!s_dq_settle($B30,E$1)</f>
        <v>96.944999999999993</v>
      </c>
      <c r="F30" s="167">
        <f ca="1">[1]!s_dq_settle($B30,F$1)</f>
        <v>96.944999999999993</v>
      </c>
      <c r="G30" s="167">
        <f ca="1">[1]!s_dq_settle($B30,G$1)</f>
        <v>96.924999999999997</v>
      </c>
      <c r="H30" s="167">
        <f ca="1">[1]!s_dq_settle($B30,H$1)</f>
        <v>96.894999999999996</v>
      </c>
      <c r="I30" s="167">
        <f ca="1">[1]!s_dq_settle($B30,I$1)</f>
        <v>96.9</v>
      </c>
      <c r="J30" s="167">
        <f ca="1">[1]!s_dq_settle($B30,J$1)</f>
        <v>96.9</v>
      </c>
      <c r="K30" s="167">
        <f ca="1">[1]!s_dq_settle($B30,K$1)</f>
        <v>96.9</v>
      </c>
      <c r="L30" s="167">
        <f ca="1">[1]!s_dq_settle($B30,L$1)</f>
        <v>96.95</v>
      </c>
      <c r="M30" s="167">
        <f ca="1">[1]!s_dq_settle($B30,M$1)</f>
        <v>96.974999999999994</v>
      </c>
      <c r="N30" s="167">
        <f ca="1">[1]!s_dq_settle($B30,N$1)</f>
        <v>96.95</v>
      </c>
      <c r="O30" s="167">
        <f ca="1">[1]!s_dq_settle($B30,O$1)</f>
        <v>96.97</v>
      </c>
      <c r="P30" s="167">
        <f ca="1">[1]!s_dq_settle($B30,P$1)</f>
        <v>96.95</v>
      </c>
      <c r="Q30" s="167">
        <f ca="1">[1]!s_dq_settle($B30,Q$1)</f>
        <v>96.95</v>
      </c>
      <c r="R30" s="167">
        <f ca="1">[1]!s_dq_settle($B30,R$1)</f>
        <v>96.95</v>
      </c>
      <c r="S30" s="167">
        <f ca="1">[1]!s_dq_settle($B30,S$1)</f>
        <v>96.965000000000003</v>
      </c>
      <c r="T30" s="167">
        <f ca="1">[1]!s_dq_settle($B30,T$1)</f>
        <v>96.965000000000003</v>
      </c>
      <c r="U30" s="167">
        <f ca="1">[1]!s_dq_settle($B30,U$1)</f>
        <v>96.98</v>
      </c>
      <c r="V30" s="167">
        <f ca="1">[1]!s_dq_settle($B30,V$1)</f>
        <v>96.98</v>
      </c>
      <c r="W30" s="173">
        <f ca="1">[1]!s_dq_settle($B30,W$1)</f>
        <v>96.93</v>
      </c>
    </row>
    <row r="31" spans="1:23" x14ac:dyDescent="0.2">
      <c r="A31" s="159"/>
      <c r="B31" s="68" t="str">
        <f ca="1">IF(RIGHT([1]!to_tradecode(C31),1)="E",[1]!to_tradecode(C31)&amp;".CBT",[1]!to_tradecode(C31)&amp;"E.CBT")</f>
        <v>FFG28E.CBT</v>
      </c>
      <c r="C31" s="26" t="str">
        <f ca="1">"30天期联邦基金"&amp;TEXT(日历计算!G28,"YYMM")</f>
        <v>30天期联邦基金2802</v>
      </c>
      <c r="D31" s="26" t="str">
        <f t="shared" ca="1" si="0"/>
        <v>2802E</v>
      </c>
      <c r="E31" s="166">
        <f ca="1">[1]!s_dq_settle($B31,E$1)</f>
        <v>96.93</v>
      </c>
      <c r="F31" s="166">
        <f ca="1">[1]!s_dq_settle($B31,F$1)</f>
        <v>96.93</v>
      </c>
      <c r="G31" s="166">
        <f ca="1">[1]!s_dq_settle($B31,G$1)</f>
        <v>96.91</v>
      </c>
      <c r="H31" s="166">
        <f ca="1">[1]!s_dq_settle($B31,H$1)</f>
        <v>96.88</v>
      </c>
      <c r="I31" s="166">
        <f ca="1">[1]!s_dq_settle($B31,I$1)</f>
        <v>96.885000000000005</v>
      </c>
      <c r="J31" s="166">
        <f ca="1">[1]!s_dq_settle($B31,J$1)</f>
        <v>96.885000000000005</v>
      </c>
      <c r="K31" s="166">
        <f ca="1">[1]!s_dq_settle($B31,K$1)</f>
        <v>96.885000000000005</v>
      </c>
      <c r="L31" s="166">
        <f ca="1">[1]!s_dq_settle($B31,L$1)</f>
        <v>96.935000000000002</v>
      </c>
      <c r="M31" s="166">
        <f ca="1">[1]!s_dq_settle($B31,M$1)</f>
        <v>96.96</v>
      </c>
      <c r="N31" s="166">
        <f ca="1">[1]!s_dq_settle($B31,N$1)</f>
        <v>96.935000000000002</v>
      </c>
      <c r="O31" s="166">
        <f ca="1">[1]!s_dq_settle($B31,O$1)</f>
        <v>96.954999999999998</v>
      </c>
      <c r="P31" s="166">
        <f ca="1">[1]!s_dq_settle($B31,P$1)</f>
        <v>96.935000000000002</v>
      </c>
      <c r="Q31" s="166">
        <f ca="1">[1]!s_dq_settle($B31,Q$1)</f>
        <v>96.935000000000002</v>
      </c>
      <c r="R31" s="166">
        <f ca="1">[1]!s_dq_settle($B31,R$1)</f>
        <v>96.935000000000002</v>
      </c>
      <c r="S31" s="166">
        <f ca="1">[1]!s_dq_settle($B31,S$1)</f>
        <v>96.95</v>
      </c>
      <c r="T31" s="166">
        <f ca="1">[1]!s_dq_settle($B31,T$1)</f>
        <v>96.95</v>
      </c>
      <c r="U31" s="166">
        <f ca="1">[1]!s_dq_settle($B31,U$1)</f>
        <v>96.965000000000003</v>
      </c>
      <c r="V31" s="166">
        <f ca="1">[1]!s_dq_settle($B31,V$1)</f>
        <v>96.965000000000003</v>
      </c>
      <c r="W31" s="172">
        <f ca="1">[1]!s_dq_settle($B31,W$1)</f>
        <v>96.915000000000006</v>
      </c>
    </row>
    <row r="32" spans="1:23" x14ac:dyDescent="0.2">
      <c r="A32" s="159"/>
      <c r="B32" s="68" t="str">
        <f ca="1">IF(RIGHT([1]!to_tradecode(C32),1)="E",[1]!to_tradecode(C32)&amp;".CBT",[1]!to_tradecode(C32)&amp;"E.CBT")</f>
        <v>FFH28E.CBT</v>
      </c>
      <c r="C32" s="26" t="str">
        <f ca="1">"30天期联邦基金"&amp;TEXT(日历计算!G29,"YYMM")</f>
        <v>30天期联邦基金2803</v>
      </c>
      <c r="D32" s="144" t="str">
        <f t="shared" ca="1" si="0"/>
        <v>2803E</v>
      </c>
      <c r="E32" s="167">
        <f ca="1">[1]!s_dq_settle($B32,E$1)</f>
        <v>96.915000000000006</v>
      </c>
      <c r="F32" s="167">
        <f ca="1">[1]!s_dq_settle($B32,F$1)</f>
        <v>96.915000000000006</v>
      </c>
      <c r="G32" s="167">
        <f ca="1">[1]!s_dq_settle($B32,G$1)</f>
        <v>96.894999999999996</v>
      </c>
      <c r="H32" s="167">
        <f ca="1">[1]!s_dq_settle($B32,H$1)</f>
        <v>96.864999999999995</v>
      </c>
      <c r="I32" s="167">
        <f ca="1">[1]!s_dq_settle($B32,I$1)</f>
        <v>96.87</v>
      </c>
      <c r="J32" s="167">
        <f ca="1">[1]!s_dq_settle($B32,J$1)</f>
        <v>96.87</v>
      </c>
      <c r="K32" s="167">
        <f ca="1">[1]!s_dq_settle($B32,K$1)</f>
        <v>96.87</v>
      </c>
      <c r="L32" s="167">
        <f ca="1">[1]!s_dq_settle($B32,L$1)</f>
        <v>96.92</v>
      </c>
      <c r="M32" s="167">
        <f ca="1">[1]!s_dq_settle($B32,M$1)</f>
        <v>96.944999999999993</v>
      </c>
      <c r="N32" s="167">
        <f ca="1">[1]!s_dq_settle($B32,N$1)</f>
        <v>96.92</v>
      </c>
      <c r="O32" s="167">
        <f ca="1">[1]!s_dq_settle($B32,O$1)</f>
        <v>96.94</v>
      </c>
      <c r="P32" s="167">
        <f ca="1">[1]!s_dq_settle($B32,P$1)</f>
        <v>96.92</v>
      </c>
      <c r="Q32" s="167">
        <f ca="1">[1]!s_dq_settle($B32,Q$1)</f>
        <v>96.92</v>
      </c>
      <c r="R32" s="167">
        <f ca="1">[1]!s_dq_settle($B32,R$1)</f>
        <v>96.92</v>
      </c>
      <c r="S32" s="167">
        <f ca="1">[1]!s_dq_settle($B32,S$1)</f>
        <v>96.935000000000002</v>
      </c>
      <c r="T32" s="167">
        <f ca="1">[1]!s_dq_settle($B32,T$1)</f>
        <v>96.935000000000002</v>
      </c>
      <c r="U32" s="167">
        <f ca="1">[1]!s_dq_settle($B32,U$1)</f>
        <v>96.95</v>
      </c>
      <c r="V32" s="167">
        <f ca="1">[1]!s_dq_settle($B32,V$1)</f>
        <v>96.95</v>
      </c>
      <c r="W32" s="173">
        <f ca="1">[1]!s_dq_settle($B32,W$1)</f>
        <v>96.9</v>
      </c>
    </row>
    <row r="33" spans="1:23" x14ac:dyDescent="0.2">
      <c r="A33" s="159"/>
      <c r="B33" s="68" t="str">
        <f ca="1">IF(RIGHT([1]!to_tradecode(C33),1)="E",[1]!to_tradecode(C33)&amp;".CBT",[1]!to_tradecode(C33)&amp;"E.CBT")</f>
        <v>FFJ28E.CBT</v>
      </c>
      <c r="C33" s="26" t="str">
        <f ca="1">"30天期联邦基金"&amp;TEXT(日历计算!G30,"YYMM")</f>
        <v>30天期联邦基金2804</v>
      </c>
      <c r="D33" s="26" t="str">
        <f t="shared" ca="1" si="0"/>
        <v>2804E</v>
      </c>
      <c r="E33" s="166">
        <f ca="1">[1]!s_dq_settle($B33,E$1)</f>
        <v>96.875</v>
      </c>
      <c r="F33" s="166">
        <f ca="1">[1]!s_dq_settle($B33,F$1)</f>
        <v>96.875</v>
      </c>
      <c r="G33" s="166">
        <f ca="1">[1]!s_dq_settle($B33,G$1)</f>
        <v>96.855000000000004</v>
      </c>
      <c r="H33" s="166">
        <f ca="1">[1]!s_dq_settle($B33,H$1)</f>
        <v>96.825000000000003</v>
      </c>
      <c r="I33" s="166">
        <f ca="1">[1]!s_dq_settle($B33,I$1)</f>
        <v>96.83</v>
      </c>
      <c r="J33" s="166">
        <f ca="1">[1]!s_dq_settle($B33,J$1)</f>
        <v>96.83</v>
      </c>
      <c r="K33" s="166">
        <f ca="1">[1]!s_dq_settle($B33,K$1)</f>
        <v>96.83</v>
      </c>
      <c r="L33" s="166">
        <f ca="1">[1]!s_dq_settle($B33,L$1)</f>
        <v>96.88</v>
      </c>
      <c r="M33" s="166">
        <f ca="1">[1]!s_dq_settle($B33,M$1)</f>
        <v>96.905000000000001</v>
      </c>
      <c r="N33" s="166">
        <f ca="1">[1]!s_dq_settle($B33,N$1)</f>
        <v>96.88</v>
      </c>
      <c r="O33" s="166">
        <f ca="1">[1]!s_dq_settle($B33,O$1)</f>
        <v>96.9</v>
      </c>
      <c r="P33" s="166">
        <f ca="1">[1]!s_dq_settle($B33,P$1)</f>
        <v>96.88</v>
      </c>
      <c r="Q33" s="166">
        <f ca="1">[1]!s_dq_settle($B33,Q$1)</f>
        <v>96.88</v>
      </c>
      <c r="R33" s="166">
        <f ca="1">[1]!s_dq_settle($B33,R$1)</f>
        <v>96.88</v>
      </c>
      <c r="S33" s="166">
        <f ca="1">[1]!s_dq_settle($B33,S$1)</f>
        <v>96.894999999999996</v>
      </c>
      <c r="T33" s="166">
        <f ca="1">[1]!s_dq_settle($B33,T$1)</f>
        <v>96.894999999999996</v>
      </c>
      <c r="U33" s="166">
        <f ca="1">[1]!s_dq_settle($B33,U$1)</f>
        <v>96.91</v>
      </c>
      <c r="V33" s="166">
        <f ca="1">[1]!s_dq_settle($B33,V$1)</f>
        <v>96.91</v>
      </c>
      <c r="W33" s="172">
        <f ca="1">[1]!s_dq_settle($B33,W$1)</f>
        <v>96.86</v>
      </c>
    </row>
    <row r="34" spans="1:23" x14ac:dyDescent="0.2">
      <c r="A34" s="159"/>
      <c r="B34" s="168" t="str">
        <f ca="1">IF(RIGHT([1]!to_tradecode(C34),1)="E",[1]!to_tradecode(C34)&amp;".CBT",[1]!to_tradecode(C34)&amp;"E.CBT")</f>
        <v>FFK28E.CBT</v>
      </c>
      <c r="C34" s="169" t="str">
        <f ca="1">"30天期联邦基金"&amp;TEXT(日历计算!G31,"YYMM")</f>
        <v>30天期联邦基金2805</v>
      </c>
      <c r="D34" s="170" t="str">
        <f t="shared" ca="1" si="0"/>
        <v>2805E</v>
      </c>
      <c r="E34" s="171">
        <f ca="1">[1]!s_dq_settle($B34,E$1)</f>
        <v>96.85</v>
      </c>
      <c r="F34" s="171">
        <f ca="1">[1]!s_dq_settle($B34,F$1)</f>
        <v>96.85</v>
      </c>
      <c r="G34" s="171">
        <f ca="1">[1]!s_dq_settle($B34,G$1)</f>
        <v>96.83</v>
      </c>
      <c r="H34" s="171">
        <f ca="1">[1]!s_dq_settle($B34,H$1)</f>
        <v>96.8</v>
      </c>
      <c r="I34" s="171">
        <f ca="1">[1]!s_dq_settle($B34,I$1)</f>
        <v>96.805000000000007</v>
      </c>
      <c r="J34" s="171">
        <f ca="1">[1]!s_dq_settle($B34,J$1)</f>
        <v>96.805000000000007</v>
      </c>
      <c r="K34" s="171">
        <f ca="1">[1]!s_dq_settle($B34,K$1)</f>
        <v>96.805000000000007</v>
      </c>
      <c r="L34" s="171">
        <f ca="1">[1]!s_dq_settle($B34,L$1)</f>
        <v>96.855000000000004</v>
      </c>
      <c r="M34" s="171">
        <f ca="1">[1]!s_dq_settle($B34,M$1)</f>
        <v>96.88</v>
      </c>
      <c r="N34" s="171">
        <f ca="1">[1]!s_dq_settle($B34,N$1)</f>
        <v>96.855000000000004</v>
      </c>
      <c r="O34" s="171">
        <f ca="1">[1]!s_dq_settle($B34,O$1)</f>
        <v>96.875</v>
      </c>
      <c r="P34" s="171">
        <f ca="1">[1]!s_dq_settle($B34,P$1)</f>
        <v>96.855000000000004</v>
      </c>
      <c r="Q34" s="171">
        <f ca="1">[1]!s_dq_settle($B34,Q$1)</f>
        <v>96.855000000000004</v>
      </c>
      <c r="R34" s="171">
        <f ca="1">[1]!s_dq_settle($B34,R$1)</f>
        <v>96.855000000000004</v>
      </c>
      <c r="S34" s="171">
        <f ca="1">[1]!s_dq_settle($B34,S$1)</f>
        <v>96.87</v>
      </c>
      <c r="T34" s="171">
        <f ca="1">[1]!s_dq_settle($B34,T$1)</f>
        <v>96.87</v>
      </c>
      <c r="U34" s="171">
        <f ca="1">[1]!s_dq_settle($B34,U$1)</f>
        <v>96.885000000000005</v>
      </c>
      <c r="V34" s="171">
        <f ca="1">[1]!s_dq_settle($B34,V$1)</f>
        <v>96.885000000000005</v>
      </c>
      <c r="W34" s="174">
        <f ca="1">[1]!s_dq_settle($B34,W$1)</f>
        <v>96.834999999999994</v>
      </c>
    </row>
  </sheetData>
  <phoneticPr fontId="1" type="noConversion"/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美联储利率观测器</vt:lpstr>
      <vt:lpstr>美联储议息会议日历</vt:lpstr>
      <vt:lpstr>日历计算</vt:lpstr>
      <vt:lpstr>使用说明</vt:lpstr>
      <vt:lpstr>加息降息概率计算</vt:lpstr>
      <vt:lpstr>加息降息概率计算-1P</vt:lpstr>
      <vt:lpstr>加息降息概率计算-2P</vt:lpstr>
      <vt:lpstr>加息降息概率计算-3P</vt:lpstr>
      <vt:lpstr>加息降息概率计算-4P</vt:lpstr>
      <vt:lpstr>加息降息概率计算-5P</vt:lpstr>
      <vt:lpstr>加息降息概率计算-6P</vt:lpstr>
      <vt:lpstr>加息降息概率计算-7P</vt:lpstr>
      <vt:lpstr>加息降息概率计算-8P</vt:lpstr>
      <vt:lpstr>加息降息概率计算-9P</vt:lpstr>
      <vt:lpstr>加息降息概率计算-10P</vt:lpstr>
      <vt:lpstr>加息降息概率计算-11P</vt:lpstr>
      <vt:lpstr>加息降息概率计算-12P</vt:lpstr>
      <vt:lpstr>加息降息概率计算-13P</vt:lpstr>
      <vt:lpstr>加息降息概率计算-14P</vt:lpstr>
      <vt:lpstr>加息降息概率计算-15P</vt:lpstr>
      <vt:lpstr>加息降息概率计算-16P</vt:lpstr>
      <vt:lpstr>加息降息概率计算-17P</vt:lpstr>
      <vt:lpstr>加息降息概率计算-18P</vt:lpstr>
      <vt:lpstr>FF期货结算价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美联储利率观测器</dc:title>
  <dc:creator/>
  <cp:lastModifiedBy/>
  <dcterms:created xsi:type="dcterms:W3CDTF">2015-06-05T18:19:34Z</dcterms:created>
  <dcterms:modified xsi:type="dcterms:W3CDTF">2026-01-15T10:42:24Z</dcterms:modified>
</cp:coreProperties>
</file>