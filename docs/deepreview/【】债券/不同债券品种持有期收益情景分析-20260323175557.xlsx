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yqcui\SVN\WindRes\Management\API\QntProduct\PT\yqcui\Excel插件模板库项目\20230727 模板库-更新计划1期\债券\"/>
    </mc:Choice>
  </mc:AlternateContent>
  <bookViews>
    <workbookView xWindow="0" yWindow="0" windowWidth="28800" windowHeight="12240"/>
  </bookViews>
  <sheets>
    <sheet name="计算" sheetId="1" r:id="rId1"/>
    <sheet name="使用说明" sheetId="5" r:id="rId2"/>
    <sheet name="数据" sheetId="2" r:id="rId3"/>
    <sheet name="算法说明" sheetId="3" r:id="rId4"/>
    <sheet name="Wind模板" sheetId="6" state="veryHidden" r:id="rId5"/>
  </sheets>
  <externalReferences>
    <externalReference r:id="rId6"/>
  </externalReferences>
  <definedNames>
    <definedName name="zzz">数据!$A$1:$A$274</definedName>
  </definedNames>
  <calcPr calcId="162913"/>
</workbook>
</file>

<file path=xl/calcChain.xml><?xml version="1.0" encoding="utf-8"?>
<calcChain xmlns="http://schemas.openxmlformats.org/spreadsheetml/2006/main">
  <c r="C8" i="1" l="1"/>
  <c r="C6" i="1"/>
  <c r="E276" i="2" s="1"/>
  <c r="F276" i="2" s="1"/>
  <c r="B13" i="1"/>
  <c r="B14" i="1"/>
  <c r="B15" i="1"/>
  <c r="B16" i="1"/>
  <c r="B17" i="1"/>
  <c r="B18" i="1"/>
  <c r="B19" i="1"/>
  <c r="B20" i="1"/>
  <c r="B21" i="1"/>
  <c r="B22" i="1"/>
  <c r="B23" i="1"/>
  <c r="G277" i="2"/>
  <c r="G276" i="2"/>
  <c r="G275" i="2"/>
  <c r="G274" i="2"/>
  <c r="G273" i="2"/>
  <c r="F28" i="1"/>
  <c r="E28" i="1"/>
  <c r="D28" i="1"/>
  <c r="C28" i="1"/>
  <c r="J28" i="1"/>
  <c r="M28" i="1"/>
  <c r="L28" i="1"/>
  <c r="K28" i="1"/>
  <c r="I28" i="1"/>
  <c r="H28" i="1"/>
  <c r="G28" i="1"/>
  <c r="G27" i="1" l="1"/>
  <c r="I27" i="1"/>
  <c r="J27" i="1"/>
  <c r="E273" i="2"/>
  <c r="F273" i="2" s="1"/>
  <c r="E275" i="2"/>
  <c r="D27" i="1"/>
  <c r="E274" i="2"/>
  <c r="F274" i="2" s="1"/>
  <c r="E272" i="2"/>
  <c r="F272" i="2" s="1"/>
  <c r="E27" i="1"/>
  <c r="E277" i="2"/>
  <c r="F277" i="2" s="1"/>
  <c r="F27" i="1"/>
  <c r="C27" i="1"/>
  <c r="L27" i="1"/>
  <c r="M27" i="1"/>
  <c r="K27" i="1"/>
  <c r="H27" i="1"/>
  <c r="E271" i="2"/>
  <c r="F271" i="2" s="1"/>
  <c r="E6" i="1" l="1"/>
  <c r="F275" i="2"/>
  <c r="C29" i="1" s="1"/>
  <c r="C30" i="1"/>
  <c r="I29" i="1" l="1"/>
  <c r="K29" i="1"/>
  <c r="F29" i="1"/>
  <c r="H29" i="1"/>
  <c r="G29" i="1"/>
  <c r="J29" i="1"/>
  <c r="E29" i="1"/>
  <c r="D29" i="1"/>
  <c r="L29" i="1"/>
  <c r="M29" i="1"/>
  <c r="C33" i="1"/>
  <c r="C34" i="1"/>
  <c r="C35" i="1"/>
  <c r="C36" i="1"/>
  <c r="C37" i="1"/>
  <c r="C38" i="1"/>
  <c r="C39" i="1"/>
  <c r="C40" i="1"/>
  <c r="C41" i="1"/>
  <c r="I30" i="1"/>
  <c r="K30" i="1"/>
  <c r="C32" i="1"/>
  <c r="C31" i="1"/>
  <c r="F30" i="1"/>
  <c r="H30" i="1"/>
  <c r="G30" i="1"/>
  <c r="J30" i="1"/>
  <c r="E30" i="1"/>
  <c r="D30" i="1"/>
  <c r="L30" i="1"/>
  <c r="M30" i="1"/>
  <c r="C15" i="1" l="1"/>
  <c r="C16" i="1"/>
  <c r="C21" i="1"/>
  <c r="C20" i="1"/>
  <c r="C19" i="1"/>
  <c r="C17" i="1"/>
  <c r="C23" i="1"/>
  <c r="C18" i="1"/>
  <c r="C22" i="1"/>
  <c r="C13" i="1"/>
  <c r="C14" i="1"/>
  <c r="L41" i="1"/>
  <c r="E37" i="1"/>
  <c r="J33" i="1"/>
  <c r="H33" i="1"/>
  <c r="D31" i="1"/>
  <c r="H36" i="1"/>
  <c r="I41" i="1"/>
  <c r="L39" i="1"/>
  <c r="H40" i="1"/>
  <c r="I36" i="1"/>
  <c r="D34" i="1"/>
  <c r="J32" i="1"/>
  <c r="G41" i="1"/>
  <c r="I37" i="1"/>
  <c r="E40" i="1"/>
  <c r="F35" i="1"/>
  <c r="K33" i="1"/>
  <c r="E33" i="1"/>
  <c r="F38" i="1"/>
  <c r="E35" i="1"/>
  <c r="E36" i="1"/>
  <c r="G40" i="1"/>
  <c r="H32" i="1"/>
  <c r="K39" i="1"/>
  <c r="J37" i="1"/>
  <c r="K41" i="1"/>
  <c r="M37" i="1"/>
  <c r="J39" i="1"/>
  <c r="K34" i="1"/>
  <c r="J31" i="1"/>
  <c r="H31" i="1"/>
  <c r="F31" i="1"/>
  <c r="M33" i="1"/>
  <c r="G33" i="1"/>
  <c r="I40" i="1"/>
  <c r="L38" i="1"/>
  <c r="G37" i="1"/>
  <c r="I33" i="1"/>
  <c r="G39" i="1"/>
  <c r="F41" i="1"/>
  <c r="K37" i="1"/>
  <c r="L34" i="1"/>
  <c r="F34" i="1"/>
  <c r="M36" i="1"/>
  <c r="D41" i="1"/>
  <c r="H39" i="1"/>
  <c r="L40" i="1"/>
  <c r="H35" i="1"/>
  <c r="K36" i="1"/>
  <c r="I38" i="1"/>
  <c r="D38" i="1"/>
  <c r="K40" i="1"/>
  <c r="L37" i="1"/>
  <c r="J38" i="1"/>
  <c r="F37" i="1"/>
  <c r="D33" i="1"/>
  <c r="F40" i="1"/>
  <c r="I35" i="1"/>
  <c r="M32" i="1"/>
  <c r="E39" i="1"/>
  <c r="I39" i="1"/>
  <c r="D40" i="1"/>
  <c r="G36" i="1"/>
  <c r="K35" i="1"/>
  <c r="F32" i="1"/>
  <c r="L33" i="1"/>
  <c r="J35" i="1"/>
  <c r="M35" i="1"/>
  <c r="E31" i="1"/>
  <c r="H38" i="1"/>
  <c r="M39" i="1"/>
  <c r="J41" i="1"/>
  <c r="I34" i="1"/>
  <c r="M31" i="1"/>
  <c r="D37" i="1"/>
  <c r="G32" i="1"/>
  <c r="L36" i="1"/>
  <c r="G35" i="1"/>
  <c r="F33" i="1"/>
  <c r="D32" i="1"/>
  <c r="G34" i="1"/>
  <c r="M40" i="1"/>
  <c r="L32" i="1"/>
  <c r="E38" i="1"/>
  <c r="H34" i="1"/>
  <c r="D39" i="1"/>
  <c r="H37" i="1"/>
  <c r="K32" i="1"/>
  <c r="E34" i="1"/>
  <c r="H41" i="1"/>
  <c r="L31" i="1"/>
  <c r="D36" i="1"/>
  <c r="J34" i="1"/>
  <c r="M34" i="1"/>
  <c r="E41" i="1"/>
  <c r="F36" i="1"/>
  <c r="I31" i="1"/>
  <c r="J40" i="1"/>
  <c r="F39" i="1"/>
  <c r="M41" i="1"/>
  <c r="D35" i="1"/>
  <c r="E32" i="1"/>
  <c r="G31" i="1"/>
  <c r="L35" i="1"/>
  <c r="J36" i="1"/>
  <c r="K31" i="1"/>
  <c r="M38" i="1"/>
  <c r="G38" i="1"/>
  <c r="K38" i="1"/>
  <c r="I32" i="1"/>
  <c r="M18" i="1" l="1"/>
  <c r="F19" i="1"/>
  <c r="G23" i="1"/>
  <c r="D23" i="1"/>
  <c r="K23" i="1"/>
  <c r="J20" i="1"/>
  <c r="L22" i="1"/>
  <c r="F18" i="1"/>
  <c r="G19" i="1"/>
  <c r="M23" i="1"/>
  <c r="H13" i="1"/>
  <c r="E19" i="1"/>
  <c r="F20" i="1"/>
  <c r="D20" i="1"/>
  <c r="E15" i="1"/>
  <c r="D22" i="1"/>
  <c r="K19" i="1"/>
  <c r="J15" i="1"/>
  <c r="L20" i="1"/>
  <c r="F13" i="1"/>
  <c r="I23" i="1"/>
  <c r="M22" i="1"/>
  <c r="H18" i="1"/>
  <c r="E17" i="1"/>
  <c r="L17" i="1"/>
  <c r="J13" i="1"/>
  <c r="J23" i="1"/>
  <c r="D15" i="1"/>
  <c r="K15" i="1"/>
  <c r="J19" i="1"/>
  <c r="L16" i="1"/>
  <c r="G22" i="1"/>
  <c r="I15" i="1"/>
  <c r="M15" i="1"/>
  <c r="H15" i="1"/>
  <c r="E21" i="1"/>
  <c r="I14" i="1"/>
  <c r="L15" i="1"/>
  <c r="I22" i="1"/>
  <c r="D19" i="1"/>
  <c r="K14" i="1"/>
  <c r="J21" i="1"/>
  <c r="F23" i="1"/>
  <c r="G14" i="1"/>
  <c r="I16" i="1"/>
  <c r="M16" i="1"/>
  <c r="H21" i="1"/>
  <c r="E16" i="1"/>
  <c r="H17" i="1"/>
  <c r="K16" i="1"/>
  <c r="L13" i="1"/>
  <c r="D17" i="1"/>
  <c r="K17" i="1"/>
  <c r="L14" i="1"/>
  <c r="F15" i="1"/>
  <c r="G20" i="1"/>
  <c r="I18" i="1"/>
  <c r="M20" i="1"/>
  <c r="H19" i="1"/>
  <c r="E18" i="1"/>
  <c r="K18" i="1"/>
  <c r="M21" i="1"/>
  <c r="F14" i="1"/>
  <c r="D21" i="1"/>
  <c r="J22" i="1"/>
  <c r="L23" i="1"/>
  <c r="F21" i="1"/>
  <c r="G17" i="1"/>
  <c r="I20" i="1"/>
  <c r="M17" i="1"/>
  <c r="H14" i="1"/>
  <c r="E14" i="1"/>
  <c r="G16" i="1"/>
  <c r="G13" i="1"/>
  <c r="H20" i="1"/>
  <c r="K13" i="1"/>
  <c r="J17" i="1"/>
  <c r="L18" i="1"/>
  <c r="F17" i="1"/>
  <c r="G15" i="1"/>
  <c r="I19" i="1"/>
  <c r="M19" i="1"/>
  <c r="H23" i="1"/>
  <c r="E13" i="1"/>
  <c r="D18" i="1"/>
  <c r="I17" i="1"/>
  <c r="K22" i="1"/>
  <c r="D14" i="1"/>
  <c r="K20" i="1"/>
  <c r="J16" i="1"/>
  <c r="L21" i="1"/>
  <c r="F16" i="1"/>
  <c r="G21" i="1"/>
  <c r="I13" i="1"/>
  <c r="M13" i="1"/>
  <c r="H22" i="1"/>
  <c r="E23" i="1"/>
  <c r="J18" i="1"/>
  <c r="E22" i="1"/>
  <c r="D16" i="1"/>
  <c r="D13" i="1"/>
  <c r="K21" i="1"/>
  <c r="J14" i="1"/>
  <c r="L19" i="1"/>
  <c r="F22" i="1"/>
  <c r="G18" i="1"/>
  <c r="I21" i="1"/>
  <c r="M14" i="1"/>
  <c r="H16" i="1"/>
  <c r="E20" i="1"/>
</calcChain>
</file>

<file path=xl/comments1.xml><?xml version="1.0" encoding="utf-8"?>
<comments xmlns="http://schemas.openxmlformats.org/spreadsheetml/2006/main">
  <authors>
    <author>作者</author>
  </authors>
  <commentList>
    <comment ref="B31" authorId="0" shapeId="0">
      <text>
        <r>
          <rPr>
            <b/>
            <sz val="9"/>
            <color indexed="81"/>
            <rFont val="宋体"/>
            <family val="3"/>
            <charset val="134"/>
          </rPr>
          <t>作者:</t>
        </r>
        <r>
          <rPr>
            <sz val="9"/>
            <color indexed="81"/>
            <rFont val="宋体"/>
            <family val="3"/>
            <charset val="134"/>
          </rPr>
          <t xml:space="preserve">
变动</t>
        </r>
        <r>
          <rPr>
            <sz val="9"/>
            <color indexed="81"/>
            <rFont val="Tahoma"/>
            <family val="2"/>
          </rPr>
          <t>BP</t>
        </r>
      </text>
    </comment>
  </commentList>
</comments>
</file>

<file path=xl/sharedStrings.xml><?xml version="1.0" encoding="utf-8"?>
<sst xmlns="http://schemas.openxmlformats.org/spreadsheetml/2006/main" count="405" uniqueCount="403">
  <si>
    <t>-------------"中证收益率曲线"-------------------------</t>
    <phoneticPr fontId="2" type="noConversion"/>
  </si>
  <si>
    <r>
      <rPr>
        <b/>
        <sz val="10"/>
        <color indexed="9"/>
        <rFont val="宋体"/>
        <family val="3"/>
        <charset val="134"/>
      </rPr>
      <t>计算日期</t>
    </r>
    <phoneticPr fontId="8" type="noConversion"/>
  </si>
  <si>
    <r>
      <rPr>
        <b/>
        <sz val="10"/>
        <color indexed="9"/>
        <rFont val="宋体"/>
        <family val="3"/>
        <charset val="134"/>
      </rPr>
      <t>收益率曲线</t>
    </r>
    <phoneticPr fontId="8" type="noConversion"/>
  </si>
  <si>
    <r>
      <rPr>
        <b/>
        <sz val="10"/>
        <color indexed="9"/>
        <rFont val="宋体"/>
        <family val="3"/>
        <charset val="134"/>
      </rPr>
      <t>曲线代码</t>
    </r>
    <phoneticPr fontId="8" type="noConversion"/>
  </si>
  <si>
    <r>
      <rPr>
        <b/>
        <sz val="10"/>
        <color indexed="9"/>
        <rFont val="宋体"/>
        <family val="3"/>
        <charset val="134"/>
      </rPr>
      <t>年付息次数</t>
    </r>
    <phoneticPr fontId="8" type="noConversion"/>
  </si>
  <si>
    <r>
      <rPr>
        <b/>
        <sz val="10"/>
        <color indexed="9"/>
        <rFont val="宋体"/>
        <family val="3"/>
        <charset val="134"/>
      </rPr>
      <t>关键年期</t>
    </r>
    <phoneticPr fontId="8" type="noConversion"/>
  </si>
  <si>
    <r>
      <rPr>
        <b/>
        <sz val="10"/>
        <color indexed="9"/>
        <rFont val="宋体"/>
        <family val="3"/>
        <charset val="134"/>
      </rPr>
      <t>持有期末日期</t>
    </r>
    <phoneticPr fontId="8" type="noConversion"/>
  </si>
  <si>
    <t>1y</t>
    <phoneticPr fontId="8" type="noConversion"/>
  </si>
  <si>
    <t>2y</t>
    <phoneticPr fontId="8" type="noConversion"/>
  </si>
  <si>
    <t>3y</t>
    <phoneticPr fontId="8" type="noConversion"/>
  </si>
  <si>
    <t>4y</t>
    <phoneticPr fontId="8" type="noConversion"/>
  </si>
  <si>
    <t>5y</t>
    <phoneticPr fontId="8" type="noConversion"/>
  </si>
  <si>
    <t>6y</t>
    <phoneticPr fontId="8" type="noConversion"/>
  </si>
  <si>
    <t>7y</t>
    <phoneticPr fontId="8" type="noConversion"/>
  </si>
  <si>
    <t>10y</t>
    <phoneticPr fontId="8" type="noConversion"/>
  </si>
  <si>
    <t>15y</t>
    <phoneticPr fontId="8" type="noConversion"/>
  </si>
  <si>
    <t>20y</t>
    <phoneticPr fontId="8" type="noConversion"/>
  </si>
  <si>
    <t>30y</t>
    <phoneticPr fontId="8" type="noConversion"/>
  </si>
  <si>
    <t>1y</t>
    <phoneticPr fontId="8" type="noConversion"/>
  </si>
  <si>
    <t>2y</t>
    <phoneticPr fontId="8" type="noConversion"/>
  </si>
  <si>
    <t>3y</t>
    <phoneticPr fontId="8" type="noConversion"/>
  </si>
  <si>
    <t>4y</t>
    <phoneticPr fontId="8" type="noConversion"/>
  </si>
  <si>
    <t>5y</t>
    <phoneticPr fontId="8" type="noConversion"/>
  </si>
  <si>
    <t>6y</t>
    <phoneticPr fontId="8" type="noConversion"/>
  </si>
  <si>
    <t>7y</t>
    <phoneticPr fontId="8" type="noConversion"/>
  </si>
  <si>
    <t>10y</t>
    <phoneticPr fontId="8" type="noConversion"/>
  </si>
  <si>
    <t>15y</t>
    <phoneticPr fontId="8" type="noConversion"/>
  </si>
  <si>
    <t>20y</t>
    <phoneticPr fontId="8" type="noConversion"/>
  </si>
  <si>
    <t>30y</t>
    <phoneticPr fontId="8" type="noConversion"/>
  </si>
  <si>
    <r>
      <rPr>
        <b/>
        <sz val="10"/>
        <color indexed="9"/>
        <rFont val="宋体"/>
        <family val="3"/>
        <charset val="134"/>
      </rPr>
      <t>持有期末全价</t>
    </r>
    <phoneticPr fontId="8" type="noConversion"/>
  </si>
  <si>
    <t xml:space="preserve">     持有期收益(%)</t>
    <phoneticPr fontId="8" type="noConversion"/>
  </si>
  <si>
    <r>
      <rPr>
        <b/>
        <sz val="10"/>
        <color indexed="9"/>
        <rFont val="宋体"/>
        <family val="3"/>
        <charset val="134"/>
      </rPr>
      <t>持有时间（月）</t>
    </r>
    <phoneticPr fontId="8" type="noConversion"/>
  </si>
  <si>
    <t>6M</t>
    <phoneticPr fontId="8" type="noConversion"/>
  </si>
  <si>
    <t>1M</t>
    <phoneticPr fontId="8" type="noConversion"/>
  </si>
  <si>
    <t>3M</t>
    <phoneticPr fontId="8" type="noConversion"/>
  </si>
  <si>
    <t>9M</t>
    <phoneticPr fontId="8" type="noConversion"/>
  </si>
  <si>
    <t>1Y</t>
    <phoneticPr fontId="8" type="noConversion"/>
  </si>
  <si>
    <t>1.5Y</t>
    <phoneticPr fontId="8" type="noConversion"/>
  </si>
  <si>
    <t>付息次数</t>
    <phoneticPr fontId="2" type="noConversion"/>
  </si>
  <si>
    <t>持有天数</t>
    <phoneticPr fontId="2" type="noConversion"/>
  </si>
  <si>
    <t>持有期期末</t>
    <phoneticPr fontId="2" type="noConversion"/>
  </si>
  <si>
    <t>虚拟券到期日期</t>
    <phoneticPr fontId="8" type="noConversion"/>
  </si>
  <si>
    <t>虚拟券票面利率</t>
    <phoneticPr fontId="8" type="noConversion"/>
  </si>
  <si>
    <r>
      <t>持有期末Y</t>
    </r>
    <r>
      <rPr>
        <b/>
        <sz val="10"/>
        <color indexed="9"/>
        <rFont val="宋体"/>
        <family val="3"/>
        <charset val="134"/>
      </rPr>
      <t>TM</t>
    </r>
    <phoneticPr fontId="8" type="noConversion"/>
  </si>
  <si>
    <t>2Y</t>
    <phoneticPr fontId="8" type="noConversion"/>
  </si>
  <si>
    <t>地方政府债收益率曲线</t>
  </si>
  <si>
    <t>2022</t>
  </si>
  <si>
    <t>1102</t>
  </si>
  <si>
    <t>1502</t>
  </si>
  <si>
    <t>1082</t>
  </si>
  <si>
    <t>1072</t>
  </si>
  <si>
    <t>1092</t>
  </si>
  <si>
    <t>1052</t>
  </si>
  <si>
    <t>1042</t>
  </si>
  <si>
    <t>1062</t>
  </si>
  <si>
    <t>1262</t>
  </si>
  <si>
    <t>1442</t>
  </si>
  <si>
    <t>1252</t>
  </si>
  <si>
    <t>1852</t>
  </si>
  <si>
    <t>1902</t>
  </si>
  <si>
    <t>1912</t>
  </si>
  <si>
    <t>2032</t>
  </si>
  <si>
    <t>2042</t>
  </si>
  <si>
    <t>2052</t>
  </si>
  <si>
    <t>2062</t>
  </si>
  <si>
    <t>国债收益率曲线</t>
  </si>
  <si>
    <t>铁道债收益率曲线</t>
  </si>
  <si>
    <t>0502</t>
  </si>
  <si>
    <t>上交所国债收益率曲线</t>
    <phoneticPr fontId="2" type="noConversion"/>
  </si>
  <si>
    <t>上交所企债收益率曲线</t>
    <phoneticPr fontId="2" type="noConversion"/>
  </si>
  <si>
    <t>银行间国债收益率曲线</t>
    <phoneticPr fontId="2" type="noConversion"/>
  </si>
  <si>
    <t>银行间金融债收益率曲线</t>
    <phoneticPr fontId="2" type="noConversion"/>
  </si>
  <si>
    <t>持有期末剩余期限</t>
    <phoneticPr fontId="8" type="noConversion"/>
  </si>
  <si>
    <t>------------"中债收益率曲线"-----------------------</t>
    <phoneticPr fontId="2" type="noConversion"/>
  </si>
  <si>
    <t>-------------"Wind收益率曲线"------------------------</t>
    <phoneticPr fontId="2" type="noConversion"/>
  </si>
  <si>
    <t xml:space="preserve"> </t>
    <phoneticPr fontId="8" type="noConversion"/>
  </si>
  <si>
    <t>中债国债收益率曲线</t>
  </si>
  <si>
    <t>财政部-中国地方政府债券收益率曲线</t>
  </si>
  <si>
    <t>中债国开债收益率曲线</t>
  </si>
  <si>
    <t>中债进出口行债收益率曲线</t>
  </si>
  <si>
    <t>中债农发行债收益率曲线</t>
  </si>
  <si>
    <t>中债铁道债收益率曲线</t>
  </si>
  <si>
    <t>中债铁道债收益率曲线(减税)</t>
  </si>
  <si>
    <t>中债三峡集团债券收益率曲线</t>
  </si>
  <si>
    <t>中债中短期票据收益率曲线(AAA+)</t>
  </si>
  <si>
    <t>中债中短期票据收益率曲线(AAA)</t>
  </si>
  <si>
    <t>中债中短期票据收益率曲线(AAA-)</t>
  </si>
  <si>
    <t>中债中短期票据收益率曲线(AA+)</t>
  </si>
  <si>
    <t>中债中短期票据收益率曲线(AA)</t>
  </si>
  <si>
    <t>中债中短期票据收益率曲线(AA-)</t>
  </si>
  <si>
    <t>中债中短期票据收益率曲线(A+)</t>
  </si>
  <si>
    <t>中债中短期票据收益率曲线(A)</t>
  </si>
  <si>
    <t>中债中短期票据收益率曲线(A-)</t>
  </si>
  <si>
    <t>中债企业债收益率曲线(AAA)</t>
  </si>
  <si>
    <t>中债企业债收益率曲线(AAA-)</t>
  </si>
  <si>
    <t>中债企业债收益率曲线(AA+)</t>
  </si>
  <si>
    <t>中债企业债收益率曲线(AA)</t>
  </si>
  <si>
    <t>中债企业债收益率曲线(AA-)</t>
  </si>
  <si>
    <t>中债企业债收益率曲线(A+)</t>
  </si>
  <si>
    <t>中债企业债收益率曲线(A)</t>
  </si>
  <si>
    <t>中债企业债收益率曲线(BBB+)</t>
  </si>
  <si>
    <t>中债企业债收益率曲线(BBB)</t>
  </si>
  <si>
    <t>中债企业债收益率曲线(BB)</t>
  </si>
  <si>
    <t>中债企业债收益率曲线(B)</t>
  </si>
  <si>
    <t>中债企业债收益率曲线(CCC)</t>
  </si>
  <si>
    <t>中债企业债收益率曲线(CC)</t>
  </si>
  <si>
    <t>中债城投债收益率曲线(AAA)</t>
  </si>
  <si>
    <t>中债城投债收益率曲线(AA+)</t>
  </si>
  <si>
    <t>中债城投债收益率曲线(AA)</t>
  </si>
  <si>
    <t>中债城投债收益率曲线(AA(2))</t>
  </si>
  <si>
    <t>中债城投债收益率曲线(AA-)</t>
  </si>
  <si>
    <t>中债商业银行普通债收益率曲线(AAA)</t>
  </si>
  <si>
    <t>中债商业银行普通债收益率曲线(AAA-)</t>
  </si>
  <si>
    <t>中债商业银行普通债收益率曲线(AA+)</t>
  </si>
  <si>
    <t>中债商业银行普通债收益率曲线(AA)</t>
  </si>
  <si>
    <t>中债商业银行普通债收益率曲线(AA-)</t>
  </si>
  <si>
    <t>中债商业银行普通债收益率曲线(A+)</t>
  </si>
  <si>
    <t>中债商业银行普通债收益率曲线(A)</t>
  </si>
  <si>
    <t>中债商业银行普通债收益率曲线(A-)</t>
  </si>
  <si>
    <t>中债商业银行二级资本债收益率曲线(AAA-)</t>
  </si>
  <si>
    <t>中债商业银行二级资本债收益率曲线(AA+)</t>
  </si>
  <si>
    <t>中债商业银行二级资本债收益率曲线(AA)</t>
  </si>
  <si>
    <t>中债商业银行二级资本债收益率曲线(AA-)</t>
  </si>
  <si>
    <t>中债商业银行二级资本债收益率曲线(A+)</t>
  </si>
  <si>
    <t>中债商业银行二级资本债收益率曲线(A)</t>
  </si>
  <si>
    <t>中债商业银行同业存单收益率曲线(AAA)</t>
  </si>
  <si>
    <t>中债商业银行同业存单收益率曲线(AAA-)</t>
  </si>
  <si>
    <t>中债商业银行同业存单收益率曲线(AA+)</t>
  </si>
  <si>
    <t>中债商业银行同业存单收益率曲线(AA)</t>
  </si>
  <si>
    <t>中债商业银行同业存单收益率曲线(AA-)</t>
  </si>
  <si>
    <t>中债商业银行同业存单收益率曲线(A+)</t>
  </si>
  <si>
    <t>中债商业银行同业存单收益率曲线(A)</t>
  </si>
  <si>
    <t>中债商业银行同业存单收益率曲线(A-)</t>
  </si>
  <si>
    <t>4172</t>
  </si>
  <si>
    <t>中债企业债收益率曲线(A-)</t>
  </si>
  <si>
    <t>中债商业银行无固定期限资本债(行权)收益率曲线(AAA-)</t>
  </si>
  <si>
    <t>中债商业银行无固定期限资本债(行权)收益率曲线(AA+)</t>
  </si>
  <si>
    <t>中债商业银行无固定期限资本债(行权)收益率曲线(AA)</t>
  </si>
  <si>
    <t>中债商业银行无固定期限资本债(行权)收益率曲线(AA-)</t>
  </si>
  <si>
    <t>中债商业银行无固定期限资本债(行权)收益率曲线(A+)</t>
  </si>
  <si>
    <t>中债银行业非存款类金融机构债收益率曲线(AAA-)</t>
  </si>
  <si>
    <t>中债银行业非存款类金融机构债收益率曲线(AA+)</t>
  </si>
  <si>
    <t>中债银行业非存款类金融机构债收益率曲线(AA)</t>
  </si>
  <si>
    <t>中债银行业非存款类金融机构债收益率曲线(AA-)</t>
  </si>
  <si>
    <t>中债银行业非存款类金融机构二级资本债收益率曲线(AA+)</t>
  </si>
  <si>
    <t>中债资产支持证券收益率曲线(AAA)</t>
  </si>
  <si>
    <t>中债资产支持证券收益率曲线(AAA-)</t>
  </si>
  <si>
    <t>中债资产支持证券收益率曲线(AA+)</t>
  </si>
  <si>
    <t>中债资产支持证券收益率曲线(AA)</t>
  </si>
  <si>
    <t>中债资产支持证券收益率曲线(AA-)</t>
  </si>
  <si>
    <t>中债资产支持证券收益率曲线(A+)</t>
  </si>
  <si>
    <t>中债个人住房抵押贷款资产支持证券收益率曲线(AAA)</t>
  </si>
  <si>
    <t>中债消费金融资产支持证券收益率曲线(AAA)</t>
  </si>
  <si>
    <t>中债消费金融资产支持证券收益率曲线(AA+)</t>
  </si>
  <si>
    <t>中债消费金融资产支持证券收益率曲线(AA)</t>
  </si>
  <si>
    <t>中债消费金融资产支持证券收益率曲线(AA-)</t>
  </si>
  <si>
    <t>中债对公贷款与租赁债权资产支持证券收益率曲线(AAA)</t>
  </si>
  <si>
    <t>中债对公贷款与租赁债权资产支持证券收益率曲线(AA+)</t>
  </si>
  <si>
    <t>中债对公贷款与租赁债权资产支持证券收益率曲线(AA)</t>
  </si>
  <si>
    <t>中债对公贷款与租赁债权资产支持证券收益率曲线(AA-)</t>
  </si>
  <si>
    <t>中债企业资产支持证券收益率曲线(AAA)</t>
  </si>
  <si>
    <t>中债企业资产支持证券收益率曲线(AAA-)</t>
  </si>
  <si>
    <t>中债企业资产支持证券收益率曲线(AA+)</t>
  </si>
  <si>
    <t>中债企业资产支持证券收益率曲线(AA)</t>
  </si>
  <si>
    <t>中债企业资产支持证券收益率曲线(AA-)</t>
  </si>
  <si>
    <t>中债企业资产支持证券收益率曲线(A+)</t>
  </si>
  <si>
    <t>中债中资欧元债收益率曲线(A+)</t>
  </si>
  <si>
    <t>中债中资欧元债收益率曲线(A)</t>
  </si>
  <si>
    <t>中债中资欧元债收益率曲线(BBB+)</t>
  </si>
  <si>
    <t>中债中资欧元债收益率曲线(BBB)</t>
  </si>
  <si>
    <t>中债中资欧元债收益率曲线(BBB-)</t>
  </si>
  <si>
    <t>中债中资欧元债收益率曲线(BB+)</t>
  </si>
  <si>
    <t>中债中资美元债收益率曲线(A+)</t>
  </si>
  <si>
    <t>中债中资美元债收益率曲线(A)</t>
  </si>
  <si>
    <t>中债中资美元债收益率曲线(A-)</t>
  </si>
  <si>
    <t>中债中资美元债收益率曲线(BBB+)</t>
  </si>
  <si>
    <t>中债中资美元债收益率曲线(BBB)</t>
  </si>
  <si>
    <t>中债中资美元债收益率曲线(BBB-)</t>
  </si>
  <si>
    <t>中债中资美元债收益率曲线(BB+)</t>
  </si>
  <si>
    <t>中债中资美元债收益率曲线(BB)</t>
  </si>
  <si>
    <t>中债中资美元债收益率曲线(BB-)</t>
  </si>
  <si>
    <t>中债中资美元债收益率曲线(B+)</t>
  </si>
  <si>
    <t>中债中资美元债收益率曲线(B)</t>
  </si>
  <si>
    <t>中债中资美元债收益率曲线(B-)</t>
  </si>
  <si>
    <t>中债中资美元债收益率曲线(CCC+)</t>
  </si>
  <si>
    <t>中债城投中资美元债收益率曲线(A)</t>
  </si>
  <si>
    <t>中债城投中资美元债收益率曲线(A-)</t>
  </si>
  <si>
    <t>中债城投中资美元债收益率曲线(BBB+)</t>
  </si>
  <si>
    <t>中债城投中资美元债收益率曲线(BBB)</t>
  </si>
  <si>
    <t>中债城投中资美元债收益率曲线(BBB-)</t>
  </si>
  <si>
    <t>中债城投中资美元债收益率曲线(BB+)</t>
  </si>
  <si>
    <t>中债城投中资美元债收益率曲线(BB)</t>
  </si>
  <si>
    <t>中债城投中资美元债收益率曲线(BB-)</t>
  </si>
  <si>
    <t>中债可续期城投债收益率曲线(AAA)</t>
  </si>
  <si>
    <t>中债可续期城投债收益率曲线(AA+)</t>
  </si>
  <si>
    <t>中债可续期城投债收益率曲线(AA)</t>
  </si>
  <si>
    <t>中债可续期城投债收益率曲线(AA(2))</t>
  </si>
  <si>
    <t>中债可续期产业债收益率曲线(AAA)</t>
  </si>
  <si>
    <t>中债可续期产业债收益率曲线(AAA-)</t>
  </si>
  <si>
    <t>中债可续期产业债收益率曲线(AA+)</t>
  </si>
  <si>
    <t>中债可续期产业债收益率曲线(AA)</t>
  </si>
  <si>
    <t>中债次级可续期产业债收益率曲线(AAA-)</t>
  </si>
  <si>
    <t>中债次级可续期产业债收益率曲线(AA+)</t>
  </si>
  <si>
    <t>中债次级可续期产业债收益率曲线(AA)</t>
  </si>
  <si>
    <t>中债房地产行业中资美元债收益率曲线(BBB+)</t>
  </si>
  <si>
    <t>中债房地产行业中资美元债收益率曲线(BBB)</t>
  </si>
  <si>
    <t>中债房地产行业中资美元债收益率曲线(BBB-)</t>
  </si>
  <si>
    <t>中债房地产行业中资美元债收益率曲线(BB+)</t>
  </si>
  <si>
    <t>中债房地产行业中资美元债收益率曲线(BB)</t>
  </si>
  <si>
    <t>中债房地产行业中资美元债收益率曲线(BB-)</t>
  </si>
  <si>
    <t>中债房地产行业中资美元债收益率曲线(B+)</t>
  </si>
  <si>
    <t>中债房地产行业中资美元债收益率曲线(B)</t>
  </si>
  <si>
    <t>中债房地产行业中资美元债收益率曲线(B-)</t>
  </si>
  <si>
    <t>中债房地产行业中资美元债收益率曲线(CCC+)</t>
  </si>
  <si>
    <t>中债离岸人民币中国主权债收益率曲线</t>
  </si>
  <si>
    <t>中债离岸人民币中国政策性金融债收益率曲线</t>
  </si>
  <si>
    <t>中债煤炭行业债券收益率曲线(AAA) - 前20%</t>
  </si>
  <si>
    <t>中债煤炭行业债券收益率曲线(AAA) - 中位数</t>
  </si>
  <si>
    <t>中债煤炭行业债券收益率曲线(AAA-) - 前20%</t>
  </si>
  <si>
    <t>中债煤炭行业债券收益率曲线(AAA-) - 中位数</t>
  </si>
  <si>
    <t>中债煤炭行业债券收益率曲线(AA+) - 前20%</t>
  </si>
  <si>
    <t>中债煤炭行业债券收益率曲线(AA+) - 中位数</t>
  </si>
  <si>
    <t>中债煤炭行业债券收益率曲线(AA) - 前20%</t>
  </si>
  <si>
    <t>中债煤炭行业债券收益率曲线(AA) - 中位数</t>
  </si>
  <si>
    <t>中债煤炭行业债券收益率曲线(AA-) - 前24%</t>
  </si>
  <si>
    <t>中债煤炭行业债券收益率曲线(AA-) - 中位数</t>
  </si>
  <si>
    <t>中债钢铁行业债券收益率曲线(AAA-) - 前20%</t>
  </si>
  <si>
    <t>中债钢铁行业债券收益率曲线(AAA-) - 中位数</t>
  </si>
  <si>
    <t>中债钢铁行业债券收益率曲线(AA+) - 前20%</t>
  </si>
  <si>
    <t>中债钢铁行业债券收益率曲线(AA+) - 中位数</t>
  </si>
  <si>
    <t>中债钢铁行业债券收益率曲线(AA) - 前20%</t>
  </si>
  <si>
    <t>中债钢铁行业债券收益率曲线(AA) - 中位数</t>
  </si>
  <si>
    <t>中债钢铁行业债券收益率曲线(AA-) - 前20%</t>
  </si>
  <si>
    <t>中债钢铁行业债券收益率曲线(AA-) - 中位数</t>
  </si>
  <si>
    <t>中债房地产行业债券收益率曲线(AAA) - 前20%</t>
  </si>
  <si>
    <t>中债房地产行业债券收益率曲线(AAA) - 中位数</t>
  </si>
  <si>
    <t>中债房地产行业债券收益率曲线(AAA-) - 前20%</t>
  </si>
  <si>
    <t>中债房地产行业债券收益率曲线(AAA-) - 中位数</t>
  </si>
  <si>
    <t>中债房地产行业债券收益率曲线(AA+) - 前20%</t>
  </si>
  <si>
    <t>中债房地产行业债券收益率曲线(AA+) - 中位数</t>
  </si>
  <si>
    <t>中债房地产行业债券收益率曲线(AA) - 前20%</t>
  </si>
  <si>
    <t>中债房地产行业债券收益率曲线(AA) - 中位数</t>
  </si>
  <si>
    <t>中债房地产行业债券收益率曲线(AA-) - 前20%</t>
  </si>
  <si>
    <t>中债房地产行业债券收益率曲线(AA-) - 中位数</t>
  </si>
  <si>
    <t>中债公路行业债券收益率曲线(AAA) - 前20%</t>
  </si>
  <si>
    <t>中债公路行业债券收益率曲线(AAA) - 中位数</t>
  </si>
  <si>
    <t>中债公路行业债券收益率曲线(AAA-) - 前20%</t>
  </si>
  <si>
    <t>中债公路行业债券收益率曲线(AAA-) - 中位数</t>
  </si>
  <si>
    <t>中债公路行业债券收益率曲线(AA+) - 前20%</t>
  </si>
  <si>
    <t>中债公路行业债券收益率曲线(AA+) - 中位数</t>
  </si>
  <si>
    <t>中债电力行业债券收益率曲线(AAA) - 前20%</t>
  </si>
  <si>
    <t>中债电力行业债券收益率曲线(AAA) - 中位数</t>
  </si>
  <si>
    <t>中债电力行业债券收益率曲线(AAA-) - 前20%</t>
  </si>
  <si>
    <t>中债电力行业债券收益率曲线(AAA-) - 中位数</t>
  </si>
  <si>
    <t>中债电力行业债券收益率曲线(AA+) - 前20%</t>
  </si>
  <si>
    <t>中债电力行业债券收益率曲线(AA+) - 中位数</t>
  </si>
  <si>
    <t>中债电力行业债券收益率曲线(AA) - 前20%</t>
  </si>
  <si>
    <t>中债电力行业债券收益率曲线(AA) - 中位数</t>
  </si>
  <si>
    <t>中债建筑工程行业债券收益率曲线(AAA) - 前20%</t>
  </si>
  <si>
    <t>中债建筑工程行业债券收益率曲线(AAA) - 中位数</t>
  </si>
  <si>
    <t>中债建筑工程行业债券收益率曲线(AAA-) - 前20%</t>
  </si>
  <si>
    <t>中债建筑工程行业债券收益率曲线(AAA-) - 中位数</t>
  </si>
  <si>
    <t>中债建筑工程行业债券收益率曲线(AA+) - 前20%</t>
  </si>
  <si>
    <t>中债建筑工程行业债券收益率曲线(AA+) - 中位数</t>
  </si>
  <si>
    <t>中债建筑工程行业债券收益率曲线(AA) - 前20%</t>
  </si>
  <si>
    <t>中债建筑工程行业债券收益率曲线(AA) - 中位数</t>
  </si>
  <si>
    <t>中债建筑工程行业债券收益率曲线(AA-) - 前20%</t>
  </si>
  <si>
    <t>中债建筑工程行业债券收益率曲线(AA-) - 中位数</t>
  </si>
  <si>
    <t>中债非公开发行产业债收益率曲线(AAA)</t>
  </si>
  <si>
    <t>中债非公开发行产业债收益率曲线(AAA-)</t>
  </si>
  <si>
    <t>中债非公开发行产业债收益率曲线(AA+)</t>
  </si>
  <si>
    <t>中债非公开发行产业债收益率曲线(AA)</t>
  </si>
  <si>
    <t>中债非公开发行产业债收益率曲线(AA-)</t>
  </si>
  <si>
    <t>中债非公开发行城投债收益率曲线(AAA)</t>
  </si>
  <si>
    <t>中债非公开发行城投债收益率曲线(AA+)</t>
  </si>
  <si>
    <t>中债非公开发行城投债收益率曲线(AA)</t>
  </si>
  <si>
    <t>中债非公开发行城投债收益率曲线(AA(2))</t>
  </si>
  <si>
    <t>中债非公开发行城投债收益率曲线(AA-)</t>
  </si>
  <si>
    <t>中债证券公司债收益率曲线(AAA)</t>
  </si>
  <si>
    <t>中债证券公司债收益率曲线(AAA-)</t>
  </si>
  <si>
    <t>中债证券公司债收益率曲线(AA+)</t>
  </si>
  <si>
    <t>中债证券公司债收益率曲线(AA)</t>
  </si>
  <si>
    <t>中债证券公司次级债收益率曲线(AA+)</t>
  </si>
  <si>
    <t>中债证券公司次级债收益率曲线(AA)</t>
  </si>
  <si>
    <t>国开债收益率曲线</t>
  </si>
  <si>
    <t>公司债收益率曲线(AAA)</t>
  </si>
  <si>
    <t>公司债收益率曲线(AAA-)</t>
  </si>
  <si>
    <t>公司债收益率曲线(AA+)</t>
  </si>
  <si>
    <t>公司债收益率曲线(AA)</t>
  </si>
  <si>
    <t>公司债收益率曲线(AA-)</t>
  </si>
  <si>
    <t>公司债收益率曲线(A+)</t>
  </si>
  <si>
    <t>公司债收益率曲线(A)</t>
  </si>
  <si>
    <t>公司债收益率曲线(A-)</t>
  </si>
  <si>
    <t>公司债收益率曲线(BBB+)</t>
  </si>
  <si>
    <t>公司债收益率曲线(BBB)</t>
  </si>
  <si>
    <t>公司债收益率曲线(BB)</t>
  </si>
  <si>
    <t>公司债收益率曲线(B)</t>
  </si>
  <si>
    <t>公司债收益率曲线(CCC)</t>
  </si>
  <si>
    <t>公司债收益率曲线(C)</t>
  </si>
  <si>
    <t>企业债收益率曲线(AAA)</t>
  </si>
  <si>
    <r>
      <rPr>
        <sz val="11"/>
        <color indexed="8"/>
        <rFont val="宋体"/>
        <family val="3"/>
        <charset val="134"/>
      </rPr>
      <t>企业债收益率曲线</t>
    </r>
    <r>
      <rPr>
        <sz val="11"/>
        <color indexed="8"/>
        <rFont val="Arial Unicode MS"/>
        <family val="2"/>
      </rPr>
      <t>(AAA-)</t>
    </r>
    <phoneticPr fontId="15" type="noConversion"/>
  </si>
  <si>
    <r>
      <rPr>
        <sz val="11"/>
        <color indexed="8"/>
        <rFont val="宋体"/>
        <family val="3"/>
        <charset val="134"/>
      </rPr>
      <t>企业债收益率曲线</t>
    </r>
    <r>
      <rPr>
        <sz val="11"/>
        <color indexed="8"/>
        <rFont val="Arial Unicode MS"/>
        <family val="2"/>
      </rPr>
      <t>(AA+)</t>
    </r>
    <phoneticPr fontId="15" type="noConversion"/>
  </si>
  <si>
    <r>
      <rPr>
        <sz val="11"/>
        <color indexed="8"/>
        <rFont val="宋体"/>
        <family val="3"/>
        <charset val="134"/>
      </rPr>
      <t>企业债收益率曲线</t>
    </r>
    <r>
      <rPr>
        <sz val="11"/>
        <color indexed="8"/>
        <rFont val="Arial Unicode MS"/>
        <family val="2"/>
      </rPr>
      <t>(AA)</t>
    </r>
    <phoneticPr fontId="15" type="noConversion"/>
  </si>
  <si>
    <r>
      <rPr>
        <sz val="11"/>
        <color indexed="8"/>
        <rFont val="宋体"/>
        <family val="3"/>
        <charset val="134"/>
      </rPr>
      <t>企业债收益率曲线</t>
    </r>
    <r>
      <rPr>
        <sz val="11"/>
        <color indexed="8"/>
        <rFont val="Arial Unicode MS"/>
        <family val="2"/>
      </rPr>
      <t>(AA-)</t>
    </r>
    <phoneticPr fontId="15" type="noConversion"/>
  </si>
  <si>
    <r>
      <rPr>
        <sz val="11"/>
        <color indexed="8"/>
        <rFont val="宋体"/>
        <family val="3"/>
        <charset val="134"/>
      </rPr>
      <t>企业债收益率曲线</t>
    </r>
    <r>
      <rPr>
        <sz val="11"/>
        <color indexed="8"/>
        <rFont val="Arial Unicode MS"/>
        <family val="2"/>
      </rPr>
      <t>(A+)</t>
    </r>
    <phoneticPr fontId="15" type="noConversion"/>
  </si>
  <si>
    <r>
      <rPr>
        <sz val="11"/>
        <color indexed="8"/>
        <rFont val="宋体"/>
        <family val="3"/>
        <charset val="134"/>
      </rPr>
      <t>企业债收益率曲线</t>
    </r>
    <r>
      <rPr>
        <sz val="11"/>
        <color indexed="8"/>
        <rFont val="Arial Unicode MS"/>
        <family val="2"/>
      </rPr>
      <t>(A)</t>
    </r>
    <phoneticPr fontId="15" type="noConversion"/>
  </si>
  <si>
    <r>
      <rPr>
        <sz val="11"/>
        <color indexed="8"/>
        <rFont val="宋体"/>
        <family val="3"/>
        <charset val="134"/>
      </rPr>
      <t>企业债收益率曲线</t>
    </r>
    <r>
      <rPr>
        <sz val="11"/>
        <color indexed="8"/>
        <rFont val="Arial Unicode MS"/>
        <family val="2"/>
      </rPr>
      <t>(A-)</t>
    </r>
    <phoneticPr fontId="15" type="noConversion"/>
  </si>
  <si>
    <r>
      <rPr>
        <sz val="11"/>
        <color indexed="8"/>
        <rFont val="宋体"/>
        <family val="3"/>
        <charset val="134"/>
      </rPr>
      <t>中短票据收益率曲线</t>
    </r>
    <r>
      <rPr>
        <sz val="11"/>
        <color indexed="8"/>
        <rFont val="Arial Unicode MS"/>
        <family val="2"/>
      </rPr>
      <t>(</t>
    </r>
    <r>
      <rPr>
        <sz val="11"/>
        <color indexed="8"/>
        <rFont val="宋体"/>
        <family val="3"/>
        <charset val="134"/>
      </rPr>
      <t>超</t>
    </r>
    <r>
      <rPr>
        <sz val="11"/>
        <color indexed="8"/>
        <rFont val="Arial Unicode MS"/>
        <family val="2"/>
      </rPr>
      <t>AAA)</t>
    </r>
    <phoneticPr fontId="15" type="noConversion"/>
  </si>
  <si>
    <r>
      <rPr>
        <sz val="11"/>
        <color indexed="8"/>
        <rFont val="宋体"/>
        <family val="3"/>
        <charset val="134"/>
      </rPr>
      <t>中短票据收益率曲线</t>
    </r>
    <r>
      <rPr>
        <sz val="11"/>
        <color indexed="8"/>
        <rFont val="Arial Unicode MS"/>
        <family val="2"/>
      </rPr>
      <t>(</t>
    </r>
    <r>
      <rPr>
        <sz val="11"/>
        <color indexed="8"/>
        <rFont val="Arial Unicode MS"/>
        <family val="2"/>
      </rPr>
      <t>AAA)</t>
    </r>
    <phoneticPr fontId="15" type="noConversion"/>
  </si>
  <si>
    <r>
      <rPr>
        <sz val="11"/>
        <color indexed="8"/>
        <rFont val="宋体"/>
        <family val="3"/>
        <charset val="134"/>
      </rPr>
      <t>中短票据收益率曲线</t>
    </r>
    <r>
      <rPr>
        <sz val="11"/>
        <color indexed="8"/>
        <rFont val="Arial Unicode MS"/>
        <family val="2"/>
      </rPr>
      <t>(AAA-)</t>
    </r>
    <phoneticPr fontId="15" type="noConversion"/>
  </si>
  <si>
    <r>
      <rPr>
        <sz val="11"/>
        <color indexed="8"/>
        <rFont val="宋体"/>
        <family val="3"/>
        <charset val="134"/>
      </rPr>
      <t>中短票据收益率曲线</t>
    </r>
    <r>
      <rPr>
        <sz val="11"/>
        <color indexed="8"/>
        <rFont val="Arial Unicode MS"/>
        <family val="2"/>
      </rPr>
      <t>(AA+)</t>
    </r>
    <phoneticPr fontId="15" type="noConversion"/>
  </si>
  <si>
    <r>
      <rPr>
        <sz val="11"/>
        <color indexed="8"/>
        <rFont val="宋体"/>
        <family val="3"/>
        <charset val="134"/>
      </rPr>
      <t>中短票据收益率曲线</t>
    </r>
    <r>
      <rPr>
        <sz val="11"/>
        <color indexed="8"/>
        <rFont val="Arial Unicode MS"/>
        <family val="2"/>
      </rPr>
      <t>(</t>
    </r>
    <r>
      <rPr>
        <sz val="11"/>
        <color indexed="8"/>
        <rFont val="Arial Unicode MS"/>
        <family val="2"/>
      </rPr>
      <t>AA)</t>
    </r>
    <phoneticPr fontId="15" type="noConversion"/>
  </si>
  <si>
    <r>
      <rPr>
        <sz val="11"/>
        <color indexed="8"/>
        <rFont val="宋体"/>
        <family val="3"/>
        <charset val="134"/>
      </rPr>
      <t>中短票据收益率曲线</t>
    </r>
    <r>
      <rPr>
        <sz val="11"/>
        <color indexed="8"/>
        <rFont val="Arial Unicode MS"/>
        <family val="2"/>
      </rPr>
      <t>(AA-)</t>
    </r>
    <phoneticPr fontId="15" type="noConversion"/>
  </si>
  <si>
    <r>
      <rPr>
        <sz val="11"/>
        <color indexed="8"/>
        <rFont val="宋体"/>
        <family val="3"/>
        <charset val="134"/>
      </rPr>
      <t>中短票据收益率曲线</t>
    </r>
    <r>
      <rPr>
        <sz val="11"/>
        <color indexed="8"/>
        <rFont val="Arial Unicode MS"/>
        <family val="2"/>
      </rPr>
      <t>(A+)</t>
    </r>
    <phoneticPr fontId="15" type="noConversion"/>
  </si>
  <si>
    <r>
      <rPr>
        <sz val="11"/>
        <color indexed="8"/>
        <rFont val="宋体"/>
        <family val="3"/>
        <charset val="134"/>
      </rPr>
      <t>中短票据收益率曲线</t>
    </r>
    <r>
      <rPr>
        <sz val="11"/>
        <color indexed="8"/>
        <rFont val="Arial Unicode MS"/>
        <family val="2"/>
      </rPr>
      <t>(</t>
    </r>
    <r>
      <rPr>
        <sz val="11"/>
        <color indexed="8"/>
        <rFont val="Arial Unicode MS"/>
        <family val="2"/>
      </rPr>
      <t>A)</t>
    </r>
    <phoneticPr fontId="15" type="noConversion"/>
  </si>
  <si>
    <r>
      <rPr>
        <sz val="11"/>
        <color indexed="8"/>
        <rFont val="宋体"/>
        <family val="3"/>
        <charset val="134"/>
      </rPr>
      <t>中短票据收益率曲线</t>
    </r>
    <r>
      <rPr>
        <sz val="11"/>
        <color indexed="8"/>
        <rFont val="Arial Unicode MS"/>
        <family val="2"/>
      </rPr>
      <t>(A-)</t>
    </r>
    <phoneticPr fontId="15" type="noConversion"/>
  </si>
  <si>
    <r>
      <rPr>
        <sz val="11"/>
        <color indexed="8"/>
        <rFont val="宋体"/>
        <family val="3"/>
        <charset val="134"/>
      </rPr>
      <t>产业债收益率曲线</t>
    </r>
    <r>
      <rPr>
        <sz val="11"/>
        <color indexed="8"/>
        <rFont val="Arial Unicode MS"/>
        <family val="2"/>
      </rPr>
      <t>(</t>
    </r>
    <r>
      <rPr>
        <sz val="11"/>
        <color indexed="8"/>
        <rFont val="Arial Unicode MS"/>
        <family val="2"/>
      </rPr>
      <t>AAA)</t>
    </r>
    <phoneticPr fontId="15" type="noConversion"/>
  </si>
  <si>
    <r>
      <rPr>
        <sz val="11"/>
        <color indexed="8"/>
        <rFont val="宋体"/>
        <family val="3"/>
        <charset val="134"/>
      </rPr>
      <t>产业债收益率曲线</t>
    </r>
    <r>
      <rPr>
        <sz val="11"/>
        <color indexed="8"/>
        <rFont val="Arial Unicode MS"/>
        <family val="2"/>
      </rPr>
      <t>(AAA-)</t>
    </r>
    <phoneticPr fontId="15" type="noConversion"/>
  </si>
  <si>
    <r>
      <rPr>
        <sz val="11"/>
        <color indexed="8"/>
        <rFont val="宋体"/>
        <family val="3"/>
        <charset val="134"/>
      </rPr>
      <t>产业债收益率曲线</t>
    </r>
    <r>
      <rPr>
        <sz val="11"/>
        <color indexed="8"/>
        <rFont val="Arial Unicode MS"/>
        <family val="2"/>
      </rPr>
      <t>(AA+)</t>
    </r>
    <phoneticPr fontId="15" type="noConversion"/>
  </si>
  <si>
    <r>
      <rPr>
        <sz val="11"/>
        <color indexed="8"/>
        <rFont val="宋体"/>
        <family val="3"/>
        <charset val="134"/>
      </rPr>
      <t>产业债收益率曲线</t>
    </r>
    <r>
      <rPr>
        <sz val="11"/>
        <color indexed="8"/>
        <rFont val="Arial Unicode MS"/>
        <family val="2"/>
      </rPr>
      <t>(AA)</t>
    </r>
    <phoneticPr fontId="15" type="noConversion"/>
  </si>
  <si>
    <r>
      <rPr>
        <sz val="11"/>
        <color indexed="8"/>
        <rFont val="宋体"/>
        <family val="3"/>
        <charset val="134"/>
      </rPr>
      <t>产业债收益率曲线</t>
    </r>
    <r>
      <rPr>
        <sz val="11"/>
        <color indexed="8"/>
        <rFont val="Arial Unicode MS"/>
        <family val="2"/>
      </rPr>
      <t>(AA-)</t>
    </r>
    <phoneticPr fontId="15" type="noConversion"/>
  </si>
  <si>
    <r>
      <rPr>
        <sz val="11"/>
        <color indexed="8"/>
        <rFont val="宋体"/>
        <family val="3"/>
        <charset val="134"/>
      </rPr>
      <t>城投债收益率曲线</t>
    </r>
    <r>
      <rPr>
        <sz val="11"/>
        <color indexed="8"/>
        <rFont val="Arial Unicode MS"/>
        <family val="2"/>
      </rPr>
      <t>(AA+)</t>
    </r>
    <phoneticPr fontId="15" type="noConversion"/>
  </si>
  <si>
    <r>
      <rPr>
        <sz val="11"/>
        <color indexed="8"/>
        <rFont val="宋体"/>
        <family val="3"/>
        <charset val="134"/>
      </rPr>
      <t>城投债收益率曲线</t>
    </r>
    <r>
      <rPr>
        <sz val="11"/>
        <color indexed="8"/>
        <rFont val="Arial Unicode MS"/>
        <family val="2"/>
      </rPr>
      <t>(AA)</t>
    </r>
    <phoneticPr fontId="15" type="noConversion"/>
  </si>
  <si>
    <r>
      <rPr>
        <sz val="11"/>
        <color indexed="8"/>
        <rFont val="宋体"/>
        <family val="3"/>
        <charset val="134"/>
      </rPr>
      <t>城投债收益率曲线</t>
    </r>
    <r>
      <rPr>
        <sz val="11"/>
        <color indexed="8"/>
        <rFont val="Arial Unicode MS"/>
        <family val="2"/>
      </rPr>
      <t>(AA2)</t>
    </r>
    <phoneticPr fontId="15" type="noConversion"/>
  </si>
  <si>
    <r>
      <rPr>
        <sz val="11"/>
        <color indexed="8"/>
        <rFont val="宋体"/>
        <family val="3"/>
        <charset val="134"/>
      </rPr>
      <t>城投债收益率曲线</t>
    </r>
    <r>
      <rPr>
        <sz val="11"/>
        <color indexed="8"/>
        <rFont val="Arial Unicode MS"/>
        <family val="2"/>
      </rPr>
      <t>(AA-)</t>
    </r>
    <r>
      <rPr>
        <sz val="11"/>
        <color indexed="8"/>
        <rFont val="宋体"/>
        <family val="3"/>
        <charset val="134"/>
      </rPr>
      <t/>
    </r>
    <phoneticPr fontId="15" type="noConversion"/>
  </si>
  <si>
    <r>
      <rPr>
        <sz val="11"/>
        <color indexed="8"/>
        <rFont val="宋体"/>
        <family val="3"/>
        <charset val="134"/>
      </rPr>
      <t>同业存单收益率曲线</t>
    </r>
    <r>
      <rPr>
        <sz val="11"/>
        <color indexed="8"/>
        <rFont val="Arial Unicode MS"/>
        <family val="2"/>
      </rPr>
      <t>(</t>
    </r>
    <r>
      <rPr>
        <sz val="11"/>
        <color indexed="8"/>
        <rFont val="宋体"/>
        <family val="3"/>
        <charset val="134"/>
      </rPr>
      <t>国有银行</t>
    </r>
    <r>
      <rPr>
        <sz val="11"/>
        <color indexed="8"/>
        <rFont val="Arial Unicode MS"/>
        <family val="2"/>
      </rPr>
      <t>)</t>
    </r>
    <r>
      <rPr>
        <sz val="11"/>
        <color indexed="8"/>
        <rFont val="宋体"/>
        <family val="3"/>
        <charset val="134"/>
      </rPr>
      <t/>
    </r>
    <phoneticPr fontId="15" type="noConversion"/>
  </si>
  <si>
    <r>
      <rPr>
        <sz val="11"/>
        <color indexed="8"/>
        <rFont val="宋体"/>
        <family val="3"/>
        <charset val="134"/>
      </rPr>
      <t>同业存单收益率曲线</t>
    </r>
    <r>
      <rPr>
        <sz val="11"/>
        <color indexed="8"/>
        <rFont val="Arial Unicode MS"/>
        <family val="2"/>
      </rPr>
      <t>(</t>
    </r>
    <r>
      <rPr>
        <sz val="11"/>
        <color indexed="8"/>
        <rFont val="宋体"/>
        <family val="3"/>
        <charset val="134"/>
      </rPr>
      <t>股份制银行</t>
    </r>
    <r>
      <rPr>
        <sz val="11"/>
        <color indexed="8"/>
        <rFont val="Arial Unicode MS"/>
        <family val="2"/>
      </rPr>
      <t>)</t>
    </r>
    <r>
      <rPr>
        <sz val="11"/>
        <color indexed="8"/>
        <rFont val="宋体"/>
        <family val="3"/>
        <charset val="134"/>
      </rPr>
      <t/>
    </r>
    <phoneticPr fontId="15" type="noConversion"/>
  </si>
  <si>
    <r>
      <rPr>
        <sz val="11"/>
        <color indexed="8"/>
        <rFont val="宋体"/>
        <family val="3"/>
        <charset val="134"/>
      </rPr>
      <t>同业存单收益率曲线</t>
    </r>
    <r>
      <rPr>
        <sz val="11"/>
        <color indexed="8"/>
        <rFont val="Arial Unicode MS"/>
        <family val="2"/>
      </rPr>
      <t>(</t>
    </r>
    <r>
      <rPr>
        <sz val="11"/>
        <color indexed="8"/>
        <rFont val="宋体"/>
        <family val="3"/>
        <charset val="134"/>
      </rPr>
      <t>农商行</t>
    </r>
    <r>
      <rPr>
        <sz val="11"/>
        <color indexed="8"/>
        <rFont val="Arial Unicode MS"/>
        <family val="2"/>
      </rPr>
      <t>)</t>
    </r>
    <r>
      <rPr>
        <sz val="11"/>
        <color indexed="8"/>
        <rFont val="宋体"/>
        <family val="3"/>
        <charset val="134"/>
      </rPr>
      <t/>
    </r>
    <phoneticPr fontId="15" type="noConversion"/>
  </si>
  <si>
    <r>
      <rPr>
        <sz val="11"/>
        <color indexed="8"/>
        <rFont val="宋体"/>
        <family val="3"/>
        <charset val="134"/>
      </rPr>
      <t>城投债收益率曲线</t>
    </r>
    <r>
      <rPr>
        <sz val="11"/>
        <color indexed="8"/>
        <rFont val="Arial Unicode MS"/>
        <family val="2"/>
      </rPr>
      <t>(AAA)</t>
    </r>
    <phoneticPr fontId="15" type="noConversion"/>
  </si>
  <si>
    <r>
      <rPr>
        <sz val="11"/>
        <color indexed="8"/>
        <rFont val="宋体"/>
        <family val="3"/>
        <charset val="134"/>
      </rPr>
      <t>商业银行债收益率曲线</t>
    </r>
    <r>
      <rPr>
        <sz val="11"/>
        <color indexed="8"/>
        <rFont val="Arial Unicode MS"/>
        <family val="2"/>
      </rPr>
      <t>(AAA)</t>
    </r>
    <phoneticPr fontId="15" type="noConversion"/>
  </si>
  <si>
    <r>
      <rPr>
        <sz val="11"/>
        <color indexed="8"/>
        <rFont val="宋体"/>
        <family val="3"/>
        <charset val="134"/>
      </rPr>
      <t>商业银行债收益率曲线</t>
    </r>
    <r>
      <rPr>
        <sz val="11"/>
        <color indexed="8"/>
        <rFont val="Arial Unicode MS"/>
        <family val="2"/>
      </rPr>
      <t>(AAA-)</t>
    </r>
    <phoneticPr fontId="15" type="noConversion"/>
  </si>
  <si>
    <r>
      <rPr>
        <sz val="11"/>
        <color indexed="8"/>
        <rFont val="宋体"/>
        <family val="3"/>
        <charset val="134"/>
      </rPr>
      <t>商业银行债收益率曲线</t>
    </r>
    <r>
      <rPr>
        <sz val="11"/>
        <color indexed="8"/>
        <rFont val="Arial Unicode MS"/>
        <family val="2"/>
      </rPr>
      <t>(AA+)</t>
    </r>
    <phoneticPr fontId="15" type="noConversion"/>
  </si>
  <si>
    <r>
      <rPr>
        <sz val="11"/>
        <color indexed="8"/>
        <rFont val="宋体"/>
        <family val="3"/>
        <charset val="134"/>
      </rPr>
      <t>商业银行债收益率曲线</t>
    </r>
    <r>
      <rPr>
        <sz val="11"/>
        <color indexed="8"/>
        <rFont val="Arial Unicode MS"/>
        <family val="2"/>
      </rPr>
      <t>(AA)</t>
    </r>
    <phoneticPr fontId="15" type="noConversion"/>
  </si>
  <si>
    <r>
      <rPr>
        <sz val="11"/>
        <color indexed="8"/>
        <rFont val="宋体"/>
        <family val="3"/>
        <charset val="134"/>
      </rPr>
      <t>商业银行债收益率曲线</t>
    </r>
    <r>
      <rPr>
        <sz val="11"/>
        <color indexed="8"/>
        <rFont val="Arial Unicode MS"/>
        <family val="2"/>
      </rPr>
      <t>(AA-)</t>
    </r>
    <phoneticPr fontId="15" type="noConversion"/>
  </si>
  <si>
    <r>
      <rPr>
        <sz val="11"/>
        <color indexed="8"/>
        <rFont val="宋体"/>
        <family val="3"/>
        <charset val="134"/>
      </rPr>
      <t>商业银行债收益率曲线</t>
    </r>
    <r>
      <rPr>
        <sz val="11"/>
        <color indexed="8"/>
        <rFont val="Arial Unicode MS"/>
        <family val="2"/>
      </rPr>
      <t>(A+)</t>
    </r>
    <phoneticPr fontId="15" type="noConversion"/>
  </si>
  <si>
    <r>
      <rPr>
        <sz val="11"/>
        <color indexed="8"/>
        <rFont val="宋体"/>
        <family val="3"/>
        <charset val="134"/>
      </rPr>
      <t>商业银行债收益率曲线</t>
    </r>
    <r>
      <rPr>
        <sz val="11"/>
        <color indexed="8"/>
        <rFont val="Arial Unicode MS"/>
        <family val="2"/>
      </rPr>
      <t>(A)</t>
    </r>
    <phoneticPr fontId="15" type="noConversion"/>
  </si>
  <si>
    <r>
      <rPr>
        <sz val="11"/>
        <color indexed="8"/>
        <rFont val="宋体"/>
        <family val="3"/>
        <charset val="134"/>
      </rPr>
      <t>商业银行债收益率曲线</t>
    </r>
    <r>
      <rPr>
        <sz val="11"/>
        <color indexed="8"/>
        <rFont val="Arial Unicode MS"/>
        <family val="2"/>
      </rPr>
      <t>(A-)</t>
    </r>
    <phoneticPr fontId="15" type="noConversion"/>
  </si>
  <si>
    <t>农发行债收益率曲线</t>
    <phoneticPr fontId="15" type="noConversion"/>
  </si>
  <si>
    <t>进出口行债收益率曲线</t>
    <phoneticPr fontId="15" type="noConversion"/>
  </si>
  <si>
    <r>
      <rPr>
        <sz val="11"/>
        <color indexed="8"/>
        <rFont val="宋体"/>
        <family val="3"/>
        <charset val="134"/>
      </rPr>
      <t>个人住房抵押贷款资产支持证券收益率曲线</t>
    </r>
    <r>
      <rPr>
        <sz val="11"/>
        <color indexed="8"/>
        <rFont val="Arial Unicode MS"/>
        <family val="2"/>
      </rPr>
      <t>(AAA)</t>
    </r>
    <phoneticPr fontId="15" type="noConversion"/>
  </si>
  <si>
    <t>0102</t>
    <phoneticPr fontId="15" type="noConversion"/>
  </si>
  <si>
    <t>02502</t>
    <phoneticPr fontId="15" type="noConversion"/>
  </si>
  <si>
    <t>02202</t>
    <phoneticPr fontId="15" type="noConversion"/>
  </si>
  <si>
    <t>02302</t>
    <phoneticPr fontId="15" type="noConversion"/>
  </si>
  <si>
    <t>02402</t>
    <phoneticPr fontId="15" type="noConversion"/>
  </si>
  <si>
    <t>03502</t>
    <phoneticPr fontId="15" type="noConversion"/>
  </si>
  <si>
    <t>03602</t>
    <phoneticPr fontId="15" type="noConversion"/>
  </si>
  <si>
    <t>02902</t>
    <phoneticPr fontId="15" type="noConversion"/>
  </si>
  <si>
    <t>04102</t>
    <phoneticPr fontId="15" type="noConversion"/>
  </si>
  <si>
    <t>03002</t>
    <phoneticPr fontId="15" type="noConversion"/>
  </si>
  <si>
    <t>03102</t>
    <phoneticPr fontId="15" type="noConversion"/>
  </si>
  <si>
    <t>03202</t>
    <phoneticPr fontId="15" type="noConversion"/>
  </si>
  <si>
    <t>03302</t>
    <phoneticPr fontId="15" type="noConversion"/>
  </si>
  <si>
    <t>03402</t>
    <phoneticPr fontId="15" type="noConversion"/>
  </si>
  <si>
    <t>04002</t>
    <phoneticPr fontId="15" type="noConversion"/>
  </si>
  <si>
    <t>01102</t>
    <phoneticPr fontId="15" type="noConversion"/>
  </si>
  <si>
    <t>03702</t>
    <phoneticPr fontId="15" type="noConversion"/>
  </si>
  <si>
    <t>03802</t>
    <phoneticPr fontId="15" type="noConversion"/>
  </si>
  <si>
    <t>04202</t>
    <phoneticPr fontId="15" type="noConversion"/>
  </si>
  <si>
    <t>01502</t>
    <phoneticPr fontId="15" type="noConversion"/>
  </si>
  <si>
    <t>01902</t>
    <phoneticPr fontId="15" type="noConversion"/>
  </si>
  <si>
    <t>02602</t>
    <phoneticPr fontId="15" type="noConversion"/>
  </si>
  <si>
    <t>02702</t>
    <phoneticPr fontId="15" type="noConversion"/>
  </si>
  <si>
    <t>02802</t>
    <phoneticPr fontId="15" type="noConversion"/>
  </si>
  <si>
    <t>03902</t>
    <phoneticPr fontId="15" type="noConversion"/>
  </si>
  <si>
    <t>02102</t>
    <phoneticPr fontId="15" type="noConversion"/>
  </si>
  <si>
    <t>04902</t>
    <phoneticPr fontId="15" type="noConversion"/>
  </si>
  <si>
    <t>04802</t>
    <phoneticPr fontId="15" type="noConversion"/>
  </si>
  <si>
    <t>06002</t>
    <phoneticPr fontId="15" type="noConversion"/>
  </si>
  <si>
    <t>06102</t>
    <phoneticPr fontId="15" type="noConversion"/>
  </si>
  <si>
    <t>06202</t>
    <phoneticPr fontId="15" type="noConversion"/>
  </si>
  <si>
    <t>06302</t>
    <phoneticPr fontId="15" type="noConversion"/>
  </si>
  <si>
    <t>06402</t>
    <phoneticPr fontId="15" type="noConversion"/>
  </si>
  <si>
    <t>06502</t>
    <phoneticPr fontId="15" type="noConversion"/>
  </si>
  <si>
    <t>0702</t>
    <phoneticPr fontId="15" type="noConversion"/>
  </si>
  <si>
    <t>04702</t>
    <phoneticPr fontId="15" type="noConversion"/>
  </si>
  <si>
    <t>0802</t>
    <phoneticPr fontId="15" type="noConversion"/>
  </si>
  <si>
    <t>0902</t>
    <phoneticPr fontId="15" type="noConversion"/>
  </si>
  <si>
    <t>01002</t>
    <phoneticPr fontId="15" type="noConversion"/>
  </si>
  <si>
    <t>04602</t>
    <phoneticPr fontId="15" type="noConversion"/>
  </si>
  <si>
    <t>04302</t>
    <phoneticPr fontId="15" type="noConversion"/>
  </si>
  <si>
    <t>01402</t>
    <phoneticPr fontId="15" type="noConversion"/>
  </si>
  <si>
    <t>01602</t>
    <phoneticPr fontId="15" type="noConversion"/>
  </si>
  <si>
    <t>04502</t>
    <phoneticPr fontId="15" type="noConversion"/>
  </si>
  <si>
    <t>01702</t>
    <phoneticPr fontId="15" type="noConversion"/>
  </si>
  <si>
    <t>01802</t>
    <phoneticPr fontId="15" type="noConversion"/>
  </si>
  <si>
    <t>04402</t>
    <phoneticPr fontId="15" type="noConversion"/>
  </si>
  <si>
    <t>05602</t>
    <phoneticPr fontId="15" type="noConversion"/>
  </si>
  <si>
    <t>05702</t>
    <phoneticPr fontId="15" type="noConversion"/>
  </si>
  <si>
    <t>05402</t>
    <phoneticPr fontId="15" type="noConversion"/>
  </si>
  <si>
    <t>05302</t>
    <phoneticPr fontId="15" type="noConversion"/>
  </si>
  <si>
    <t>05502</t>
    <phoneticPr fontId="15" type="noConversion"/>
  </si>
  <si>
    <t>05102</t>
    <phoneticPr fontId="15" type="noConversion"/>
  </si>
  <si>
    <t>05002</t>
    <phoneticPr fontId="15" type="noConversion"/>
  </si>
  <si>
    <t>05202</t>
    <phoneticPr fontId="15" type="noConversion"/>
  </si>
  <si>
    <t>05802</t>
    <phoneticPr fontId="15" type="noConversion"/>
  </si>
  <si>
    <t>05902</t>
    <phoneticPr fontId="15" type="noConversion"/>
  </si>
  <si>
    <t>06602</t>
    <phoneticPr fontId="15" type="noConversion"/>
  </si>
  <si>
    <t>002112</t>
    <phoneticPr fontId="15" type="noConversion"/>
  </si>
  <si>
    <t>002122</t>
    <phoneticPr fontId="15" type="noConversion"/>
  </si>
  <si>
    <t>002212</t>
    <phoneticPr fontId="15" type="noConversion"/>
  </si>
  <si>
    <t>002222</t>
    <phoneticPr fontId="15" type="noConversion"/>
  </si>
  <si>
    <t>不同债券品种持有期收益情景分析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</si>
</sst>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000"/>
    <numFmt numFmtId="177" formatCode="0_ "/>
    <numFmt numFmtId="178" formatCode="0_);\(0\)"/>
    <numFmt numFmtId="179" formatCode="0.0000_ "/>
    <numFmt numFmtId="180" formatCode="0.0000_ ;[Red]\-0.0000\ "/>
    <numFmt numFmtId="181" formatCode="0.00_ "/>
    <numFmt numFmtId="182" formatCode="yyyy/m/d;@"/>
  </numFmts>
  <fonts count="22">
    <font>
      <sz val="12"/>
      <name val="宋体"/>
      <charset val="134"/>
    </font>
    <font>
      <sz val="11"/>
      <color indexed="8"/>
      <name val="宋体"/>
      <family val="3"/>
      <charset val="134"/>
    </font>
    <font>
      <sz val="9"/>
      <name val="宋体"/>
      <family val="3"/>
      <charset val="134"/>
    </font>
    <font>
      <sz val="10"/>
      <name val="Arial"/>
      <family val="2"/>
    </font>
    <font>
      <b/>
      <sz val="10"/>
      <color indexed="9"/>
      <name val="Arial"/>
      <family val="2"/>
    </font>
    <font>
      <b/>
      <sz val="10"/>
      <color indexed="9"/>
      <name val="宋体"/>
      <family val="3"/>
      <charset val="134"/>
    </font>
    <font>
      <sz val="10"/>
      <color indexed="9"/>
      <name val="Arial"/>
      <family val="2"/>
    </font>
    <font>
      <b/>
      <sz val="10"/>
      <color indexed="9"/>
      <name val="宋体"/>
      <family val="3"/>
      <charset val="134"/>
    </font>
    <font>
      <sz val="9"/>
      <name val="宋体"/>
      <family val="3"/>
      <charset val="134"/>
    </font>
    <font>
      <sz val="9"/>
      <color indexed="81"/>
      <name val="Tahoma"/>
      <family val="2"/>
    </font>
    <font>
      <b/>
      <sz val="9"/>
      <color indexed="81"/>
      <name val="宋体"/>
      <family val="3"/>
      <charset val="134"/>
    </font>
    <font>
      <sz val="9"/>
      <color indexed="81"/>
      <name val="宋体"/>
      <family val="3"/>
      <charset val="134"/>
    </font>
    <font>
      <sz val="11"/>
      <name val="Arial Unicode MS"/>
      <family val="2"/>
    </font>
    <font>
      <sz val="11"/>
      <color indexed="8"/>
      <name val="Arial Unicode MS"/>
      <family val="2"/>
    </font>
    <font>
      <b/>
      <sz val="10"/>
      <name val="Arial"/>
      <family val="2"/>
    </font>
    <font>
      <sz val="9"/>
      <name val="等线"/>
      <family val="3"/>
      <charset val="134"/>
    </font>
    <font>
      <sz val="11"/>
      <color theme="1"/>
      <name val="Arial Unicode MS"/>
      <family val="2"/>
    </font>
    <font>
      <sz val="10"/>
      <color theme="1"/>
      <name val="Arial"/>
      <family val="2"/>
    </font>
    <font>
      <sz val="10"/>
      <color theme="1" tint="4.9989318521683403E-2"/>
      <name val="Arial"/>
      <family val="2"/>
    </font>
    <font>
      <sz val="11"/>
      <color theme="1"/>
      <name val="宋体"/>
      <family val="3"/>
      <charset val="134"/>
    </font>
    <font>
      <sz val="12"/>
      <name val="宋体"/>
      <family val="3"/>
      <charset val="134"/>
    </font>
    <font>
      <sz val="12"/>
      <name val="微软雅黑"/>
      <family val="2"/>
      <charset val="134"/>
    </font>
  </fonts>
  <fills count="6">
    <fill>
      <patternFill patternType="none"/>
    </fill>
    <fill>
      <patternFill patternType="gray125"/>
    </fill>
    <fill>
      <patternFill patternType="solid">
        <fgColor rgb="FF4279B5"/>
        <bgColor indexed="64"/>
      </patternFill>
    </fill>
    <fill>
      <patternFill patternType="solid">
        <fgColor theme="9" tint="0.79998168889431442"/>
        <bgColor indexed="64"/>
      </patternFill>
    </fill>
    <fill>
      <patternFill patternType="solid">
        <fgColor rgb="FFC8D8ED"/>
        <bgColor indexed="64"/>
      </patternFill>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s>
  <cellStyleXfs count="1">
    <xf numFmtId="0" fontId="0" fillId="0" borderId="0" applyNumberFormat="0" applyFill="0" applyBorder="0" applyAlignment="0" applyProtection="0"/>
  </cellStyleXfs>
  <cellXfs count="48">
    <xf numFmtId="0" fontId="0" fillId="0" borderId="0" xfId="0"/>
    <xf numFmtId="178" fontId="0" fillId="0" borderId="0" xfId="0" applyNumberFormat="1"/>
    <xf numFmtId="0" fontId="12" fillId="0" borderId="1" xfId="0" applyFont="1" applyBorder="1"/>
    <xf numFmtId="182" fontId="12" fillId="0" borderId="1" xfId="0" applyNumberFormat="1" applyFont="1" applyBorder="1"/>
    <xf numFmtId="14" fontId="12" fillId="0" borderId="1" xfId="0" applyNumberFormat="1" applyFont="1" applyBorder="1"/>
    <xf numFmtId="0" fontId="16" fillId="0" borderId="1" xfId="0" applyFont="1" applyBorder="1" applyAlignment="1">
      <alignment vertical="center"/>
    </xf>
    <xf numFmtId="181" fontId="7" fillId="2" borderId="5" xfId="0" applyNumberFormat="1" applyFont="1" applyFill="1" applyBorder="1" applyAlignment="1" applyProtection="1">
      <alignment horizontal="center" vertical="center"/>
    </xf>
    <xf numFmtId="0" fontId="3" fillId="0" borderId="0" xfId="0" applyFont="1" applyProtection="1"/>
    <xf numFmtId="0" fontId="3" fillId="0" borderId="0" xfId="0" applyFont="1" applyFill="1" applyBorder="1" applyProtection="1"/>
    <xf numFmtId="0" fontId="3" fillId="0" borderId="0" xfId="0" applyFont="1" applyFill="1" applyProtection="1"/>
    <xf numFmtId="0" fontId="4" fillId="0" borderId="6" xfId="0" applyFont="1" applyFill="1" applyBorder="1" applyAlignment="1" applyProtection="1">
      <alignment horizontal="center" vertical="center"/>
    </xf>
    <xf numFmtId="176" fontId="3" fillId="0" borderId="0" xfId="0" applyNumberFormat="1" applyFont="1" applyFill="1" applyProtection="1"/>
    <xf numFmtId="14" fontId="3" fillId="3" borderId="7" xfId="0" applyNumberFormat="1" applyFont="1" applyFill="1" applyBorder="1" applyAlignment="1" applyProtection="1">
      <alignment horizontal="right" vertical="center"/>
    </xf>
    <xf numFmtId="176" fontId="3" fillId="0" borderId="0" xfId="0" applyNumberFormat="1" applyFont="1" applyFill="1" applyBorder="1" applyProtection="1"/>
    <xf numFmtId="0" fontId="6" fillId="0" borderId="0" xfId="0" applyFont="1" applyFill="1" applyBorder="1" applyAlignment="1" applyProtection="1">
      <alignment horizontal="right" vertical="center"/>
    </xf>
    <xf numFmtId="0" fontId="6" fillId="0" borderId="0" xfId="0" applyFont="1" applyFill="1" applyBorder="1" applyProtection="1"/>
    <xf numFmtId="0" fontId="3" fillId="0" borderId="0" xfId="0" applyFont="1" applyAlignment="1" applyProtection="1">
      <alignment horizontal="right"/>
    </xf>
    <xf numFmtId="179" fontId="3" fillId="0" borderId="0" xfId="0" applyNumberFormat="1" applyFont="1" applyProtection="1"/>
    <xf numFmtId="0" fontId="6" fillId="0" borderId="0" xfId="0" applyFont="1" applyProtection="1"/>
    <xf numFmtId="181" fontId="4" fillId="2" borderId="5" xfId="0" applyNumberFormat="1" applyFont="1" applyFill="1" applyBorder="1" applyAlignment="1" applyProtection="1">
      <alignment horizontal="center" vertical="center"/>
    </xf>
    <xf numFmtId="180" fontId="17" fillId="4" borderId="2" xfId="0" applyNumberFormat="1" applyFont="1" applyFill="1" applyBorder="1" applyAlignment="1" applyProtection="1">
      <alignment horizontal="right" vertical="center"/>
    </xf>
    <xf numFmtId="0" fontId="3" fillId="0" borderId="0" xfId="0" applyFont="1" applyFill="1" applyBorder="1" applyAlignment="1" applyProtection="1">
      <alignment horizontal="right" vertical="center"/>
    </xf>
    <xf numFmtId="0" fontId="14" fillId="0" borderId="0" xfId="0" applyFont="1" applyFill="1" applyBorder="1" applyAlignment="1" applyProtection="1">
      <alignment horizontal="center" vertical="center"/>
    </xf>
    <xf numFmtId="176" fontId="3" fillId="0" borderId="0" xfId="0" applyNumberFormat="1" applyFont="1" applyProtection="1"/>
    <xf numFmtId="181" fontId="5" fillId="2" borderId="5" xfId="0" applyNumberFormat="1" applyFont="1" applyFill="1" applyBorder="1" applyAlignment="1" applyProtection="1">
      <alignment horizontal="center" vertical="center"/>
    </xf>
    <xf numFmtId="180" fontId="18" fillId="4" borderId="2" xfId="0" applyNumberFormat="1" applyFont="1" applyFill="1" applyBorder="1" applyAlignment="1" applyProtection="1">
      <alignment horizontal="right" vertical="center"/>
    </xf>
    <xf numFmtId="181" fontId="5" fillId="2" borderId="0" xfId="0" applyNumberFormat="1" applyFont="1" applyFill="1" applyBorder="1" applyAlignment="1" applyProtection="1">
      <alignment horizontal="center" vertical="center"/>
    </xf>
    <xf numFmtId="177" fontId="4" fillId="2" borderId="5" xfId="0" applyNumberFormat="1" applyFont="1" applyFill="1" applyBorder="1" applyAlignment="1" applyProtection="1">
      <alignment horizontal="center" vertical="center"/>
    </xf>
    <xf numFmtId="14" fontId="3" fillId="3" borderId="8" xfId="0" applyNumberFormat="1" applyFont="1" applyFill="1" applyBorder="1" applyAlignment="1" applyProtection="1">
      <alignment horizontal="right" vertical="center"/>
      <protection locked="0"/>
    </xf>
    <xf numFmtId="177" fontId="4" fillId="2" borderId="5" xfId="0" applyNumberFormat="1" applyFont="1" applyFill="1"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3" fillId="3" borderId="8" xfId="0" applyFont="1" applyFill="1" applyBorder="1" applyAlignment="1" applyProtection="1">
      <alignment vertical="center"/>
    </xf>
    <xf numFmtId="49" fontId="13" fillId="0" borderId="3" xfId="0" applyNumberFormat="1" applyFont="1" applyBorder="1" applyAlignment="1">
      <alignment horizontal="left"/>
    </xf>
    <xf numFmtId="49" fontId="13" fillId="0" borderId="4" xfId="0" applyNumberFormat="1" applyFont="1" applyBorder="1" applyAlignment="1">
      <alignment horizontal="right"/>
    </xf>
    <xf numFmtId="0" fontId="13" fillId="0" borderId="3" xfId="0" applyFont="1" applyBorder="1" applyAlignment="1">
      <alignment horizontal="left"/>
    </xf>
    <xf numFmtId="0" fontId="12" fillId="0" borderId="0" xfId="0" applyFont="1"/>
    <xf numFmtId="49" fontId="12" fillId="0" borderId="0" xfId="0" applyNumberFormat="1" applyFont="1"/>
    <xf numFmtId="0" fontId="3" fillId="3" borderId="0" xfId="0" applyFont="1" applyFill="1" applyBorder="1" applyAlignment="1" applyProtection="1">
      <alignment horizontal="right" vertical="center"/>
      <protection locked="0"/>
    </xf>
    <xf numFmtId="0" fontId="3" fillId="3" borderId="10" xfId="0" applyFont="1" applyFill="1" applyBorder="1" applyAlignment="1" applyProtection="1">
      <alignment horizontal="center" vertical="center"/>
      <protection locked="0"/>
    </xf>
    <xf numFmtId="0" fontId="3" fillId="3" borderId="7" xfId="0" applyFont="1" applyFill="1" applyBorder="1" applyAlignment="1" applyProtection="1">
      <alignment vertical="center"/>
      <protection locked="0"/>
    </xf>
    <xf numFmtId="180" fontId="18" fillId="5" borderId="2" xfId="0" applyNumberFormat="1" applyFont="1" applyFill="1" applyBorder="1" applyAlignment="1" applyProtection="1">
      <alignment horizontal="right" vertical="center"/>
    </xf>
    <xf numFmtId="180" fontId="17" fillId="5" borderId="2" xfId="0" applyNumberFormat="1" applyFont="1" applyFill="1" applyBorder="1" applyAlignment="1" applyProtection="1">
      <alignment horizontal="right" vertical="center"/>
    </xf>
    <xf numFmtId="0" fontId="19" fillId="0" borderId="1" xfId="0" applyFont="1" applyBorder="1" applyAlignment="1">
      <alignment vertical="center"/>
    </xf>
    <xf numFmtId="49" fontId="16" fillId="0" borderId="1" xfId="0" applyNumberFormat="1" applyFont="1" applyBorder="1" applyAlignment="1">
      <alignment horizontal="left" vertical="center"/>
    </xf>
    <xf numFmtId="49" fontId="16" fillId="0" borderId="1" xfId="0" quotePrefix="1" applyNumberFormat="1" applyFont="1" applyBorder="1" applyAlignment="1">
      <alignment horizontal="left" vertical="center"/>
    </xf>
    <xf numFmtId="0" fontId="20" fillId="0" borderId="0" xfId="0" applyFont="1"/>
    <xf numFmtId="176" fontId="0" fillId="0" borderId="0" xfId="0" applyNumberFormat="1"/>
    <xf numFmtId="0" fontId="21" fillId="0" borderId="0" xfId="0" applyFont="1"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Lines="7" dropStyle="combo" dx="22" fmlaLink="$C$5" fmlaRange="数据!$D$271:$D$277" noThreeD="1" sel="5" val="0"/>
</file>

<file path=xl/ctrlProps/ctrlProp2.xml><?xml version="1.0" encoding="utf-8"?>
<formControlPr xmlns="http://schemas.microsoft.com/office/spreadsheetml/2009/9/main" objectType="Drop" dropLines="30" dropStyle="combo" dx="22" fmlaLink="$C$7" fmlaRange="zzz" noThreeD="1" sel="8" val="6"/>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695325</xdr:colOff>
      <xdr:row>0</xdr:row>
      <xdr:rowOff>0</xdr:rowOff>
    </xdr:from>
    <xdr:to>
      <xdr:col>11</xdr:col>
      <xdr:colOff>865845</xdr:colOff>
      <xdr:row>2</xdr:row>
      <xdr:rowOff>114300</xdr:rowOff>
    </xdr:to>
    <xdr:sp macro="" textlink="">
      <xdr:nvSpPr>
        <xdr:cNvPr id="5" name="com_bar"/>
        <xdr:cNvSpPr>
          <a:spLocks noChangeArrowheads="1"/>
        </xdr:cNvSpPr>
      </xdr:nvSpPr>
      <xdr:spPr bwMode="auto">
        <a:xfrm>
          <a:off x="2247900" y="0"/>
          <a:ext cx="8371545" cy="438150"/>
        </a:xfrm>
        <a:prstGeom prst="rect">
          <a:avLst/>
        </a:prstGeom>
        <a:gradFill>
          <a:gsLst>
            <a:gs pos="0">
              <a:srgbClr val="043E79"/>
            </a:gs>
            <a:gs pos="100000">
              <a:srgbClr val="4177B5"/>
            </a:gs>
          </a:gsLst>
          <a:lin ang="5400000" scaled="0"/>
        </a:gradFill>
        <a:ln w="9525">
          <a:noFill/>
          <a:miter lim="800000"/>
          <a:headEnd/>
          <a:tailEnd/>
        </a:ln>
      </xdr:spPr>
      <xdr:txBody>
        <a:bodyPr vertOverflow="clip" wrap="square" lIns="0" tIns="0" rIns="0" bIns="0" anchor="ctr" upright="1"/>
        <a:lstStyle/>
        <a:p>
          <a:pPr algn="ctr" rtl="0">
            <a:lnSpc>
              <a:spcPts val="1600"/>
            </a:lnSpc>
          </a:pPr>
          <a:r>
            <a:rPr lang="zh-CN" altLang="en-US" sz="2000" b="1" i="0" baseline="0">
              <a:solidFill>
                <a:schemeClr val="bg1"/>
              </a:solidFill>
              <a:latin typeface="微软雅黑" panose="020B0503020204020204" pitchFamily="34" charset="-122"/>
              <a:ea typeface="微软雅黑" panose="020B0503020204020204" pitchFamily="34" charset="-122"/>
              <a:cs typeface="+mn-cs"/>
            </a:rPr>
            <a:t>不同债券品种持有期收益情景分析</a:t>
          </a:r>
          <a:endParaRPr lang="en-US" altLang="zh-CN" sz="2000" b="1" i="0" baseline="0">
            <a:solidFill>
              <a:schemeClr val="bg1"/>
            </a:solidFill>
            <a:latin typeface="微软雅黑" panose="020B0503020204020204" pitchFamily="34" charset="-122"/>
            <a:ea typeface="微软雅黑" panose="020B0503020204020204" pitchFamily="34" charset="-122"/>
            <a:cs typeface="+mn-cs"/>
          </a:endParaRPr>
        </a:p>
      </xdr:txBody>
    </xdr:sp>
    <xdr:clientData/>
  </xdr:twoCellAnchor>
  <mc:AlternateContent xmlns:mc="http://schemas.openxmlformats.org/markup-compatibility/2006">
    <mc:Choice xmlns:a14="http://schemas.microsoft.com/office/drawing/2010/main" Requires="a14">
      <xdr:twoCellAnchor editAs="oneCell">
        <xdr:from>
          <xdr:col>1</xdr:col>
          <xdr:colOff>1276350</xdr:colOff>
          <xdr:row>4</xdr:row>
          <xdr:rowOff>0</xdr:rowOff>
        </xdr:from>
        <xdr:to>
          <xdr:col>3</xdr:col>
          <xdr:colOff>28575</xdr:colOff>
          <xdr:row>5</xdr:row>
          <xdr:rowOff>0</xdr:rowOff>
        </xdr:to>
        <xdr:sp macro="" textlink="">
          <xdr:nvSpPr>
            <xdr:cNvPr id="1609" name="Drop Down 585" hidden="1">
              <a:extLst>
                <a:ext uri="{63B3BB69-23CF-44E3-9099-C40C66FF867C}">
                  <a14:compatExt spid="_x0000_s1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1285875</xdr:colOff>
          <xdr:row>6</xdr:row>
          <xdr:rowOff>0</xdr:rowOff>
        </xdr:from>
        <xdr:to>
          <xdr:col>4</xdr:col>
          <xdr:colOff>790575</xdr:colOff>
          <xdr:row>6</xdr:row>
          <xdr:rowOff>190500</xdr:rowOff>
        </xdr:to>
        <xdr:sp macro="" textlink="">
          <xdr:nvSpPr>
            <xdr:cNvPr id="1633" name="Drop Down 609" hidden="1">
              <a:extLst>
                <a:ext uri="{63B3BB69-23CF-44E3-9099-C40C66FF867C}">
                  <a14:compatExt spid="_x0000_s1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438150</xdr:colOff>
      <xdr:row>0</xdr:row>
      <xdr:rowOff>76200</xdr:rowOff>
    </xdr:from>
    <xdr:to>
      <xdr:col>2</xdr:col>
      <xdr:colOff>57150</xdr:colOff>
      <xdr:row>2</xdr:row>
      <xdr:rowOff>66675</xdr:rowOff>
    </xdr:to>
    <xdr:pic>
      <xdr:nvPicPr>
        <xdr:cNvPr id="1680" name="图片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76200"/>
          <a:ext cx="914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342900</xdr:colOff>
      <xdr:row>4</xdr:row>
      <xdr:rowOff>104775</xdr:rowOff>
    </xdr:from>
    <xdr:to>
      <xdr:col>14</xdr:col>
      <xdr:colOff>409575</xdr:colOff>
      <xdr:row>33</xdr:row>
      <xdr:rowOff>104775</xdr:rowOff>
    </xdr:to>
    <xdr:pic>
      <xdr:nvPicPr>
        <xdr:cNvPr id="3117" name="图片 6" descr="新图片(1).bmp"/>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828675"/>
          <a:ext cx="9667875" cy="524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504825</xdr:colOff>
      <xdr:row>2</xdr:row>
      <xdr:rowOff>161924</xdr:rowOff>
    </xdr:from>
    <xdr:to>
      <xdr:col>10</xdr:col>
      <xdr:colOff>276225</xdr:colOff>
      <xdr:row>6</xdr:row>
      <xdr:rowOff>152399</xdr:rowOff>
    </xdr:to>
    <xdr:sp macro="" textlink="">
      <xdr:nvSpPr>
        <xdr:cNvPr id="5" name="圆角矩形标注 4"/>
        <xdr:cNvSpPr/>
      </xdr:nvSpPr>
      <xdr:spPr>
        <a:xfrm>
          <a:off x="4619625" y="523874"/>
          <a:ext cx="2514600" cy="714375"/>
        </a:xfrm>
        <a:prstGeom prst="wedgeRoundRectCallout">
          <a:avLst>
            <a:gd name="adj1" fmla="val -98681"/>
            <a:gd name="adj2" fmla="val 129183"/>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ctr"/>
        <a:lstStyle/>
        <a:p>
          <a:pPr algn="ctr">
            <a:lnSpc>
              <a:spcPts val="1300"/>
            </a:lnSpc>
          </a:pPr>
          <a:r>
            <a:rPr lang="zh-CN" altLang="en-US" sz="1100">
              <a:solidFill>
                <a:schemeClr val="tx1"/>
              </a:solidFill>
            </a:rPr>
            <a:t>选择持有时间、计算日期、年付息次数以及相应券种的收益率曲线，即可计算相应券种持有期收益率</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0</xdr:row>
      <xdr:rowOff>171450</xdr:rowOff>
    </xdr:from>
    <xdr:to>
      <xdr:col>11</xdr:col>
      <xdr:colOff>495301</xdr:colOff>
      <xdr:row>15</xdr:row>
      <xdr:rowOff>76200</xdr:rowOff>
    </xdr:to>
    <xdr:sp macro="" textlink="">
      <xdr:nvSpPr>
        <xdr:cNvPr id="2" name="TextBox 1"/>
        <xdr:cNvSpPr txBox="1">
          <a:spLocks noChangeArrowheads="1"/>
        </xdr:cNvSpPr>
      </xdr:nvSpPr>
      <xdr:spPr bwMode="auto">
        <a:xfrm>
          <a:off x="1371601" y="171450"/>
          <a:ext cx="6667500" cy="2619375"/>
        </a:xfrm>
        <a:prstGeom prst="rect">
          <a:avLst/>
        </a:prstGeom>
        <a:solidFill>
          <a:srgbClr val="EBF1DE"/>
        </a:solidFill>
        <a:ln w="9525">
          <a:solidFill>
            <a:srgbClr val="BCBCBC"/>
          </a:solidFill>
          <a:miter lim="800000"/>
          <a:headEnd/>
          <a:tailEnd/>
        </a:ln>
        <a:effectLst>
          <a:outerShdw dist="50800" dir="5400000" algn="ctr" rotWithShape="0">
            <a:srgbClr val="DBEEDD"/>
          </a:outerShdw>
        </a:effectLst>
      </xdr:spPr>
      <xdr:txBody>
        <a:bodyPr vertOverflow="clip" wrap="square" lIns="27432" tIns="27432" rIns="0" bIns="0" anchor="t" upright="1"/>
        <a:lstStyle/>
        <a:p>
          <a:pPr algn="l" rtl="1">
            <a:defRPr sz="1000"/>
          </a:pPr>
          <a:endParaRPr lang="zh-CN" altLang="en-US" sz="1100" b="0" i="0" strike="noStrike">
            <a:solidFill>
              <a:srgbClr val="000000"/>
            </a:solidFill>
            <a:latin typeface="Calibri"/>
          </a:endParaRPr>
        </a:p>
        <a:p>
          <a:pPr algn="ctr" rtl="1">
            <a:defRPr sz="1000"/>
          </a:pPr>
          <a:r>
            <a:rPr lang="zh-CN" altLang="en-US" sz="1600" b="1" i="0" strike="noStrike">
              <a:solidFill>
                <a:srgbClr val="000000"/>
              </a:solidFill>
              <a:latin typeface="宋体"/>
              <a:ea typeface="宋体"/>
            </a:rPr>
            <a:t>算法说明</a:t>
          </a:r>
          <a:endParaRPr lang="zh-CN" altLang="en-US" sz="1100" b="0" i="0" strike="noStrike">
            <a:solidFill>
              <a:srgbClr val="000000"/>
            </a:solidFill>
            <a:latin typeface="Calibri"/>
          </a:endParaRPr>
        </a:p>
        <a:p>
          <a:pPr algn="l" rtl="1">
            <a:defRPr sz="1000"/>
          </a:pPr>
          <a:endParaRPr lang="zh-CN" altLang="en-US" sz="1100" b="0" i="0" strike="noStrike">
            <a:solidFill>
              <a:srgbClr val="000000"/>
            </a:solidFill>
            <a:latin typeface="Calibri"/>
          </a:endParaRPr>
        </a:p>
        <a:p>
          <a:pPr algn="l" rtl="1">
            <a:defRPr sz="1000"/>
          </a:pPr>
          <a:r>
            <a:rPr lang="zh-CN" altLang="en-US" sz="1100" b="0" i="0" strike="noStrike">
              <a:solidFill>
                <a:srgbClr val="000000"/>
              </a:solidFill>
              <a:latin typeface="Calibri"/>
            </a:rPr>
            <a:t>        </a:t>
          </a:r>
          <a:r>
            <a:rPr lang="en-US" altLang="zh-CN" sz="1100" b="0" i="0" strike="noStrike">
              <a:solidFill>
                <a:srgbClr val="000000"/>
              </a:solidFill>
              <a:latin typeface="Calibri"/>
            </a:rPr>
            <a:t>1</a:t>
          </a:r>
          <a:r>
            <a:rPr lang="zh-CN" altLang="en-US" sz="1100" b="0" i="0" strike="noStrike">
              <a:solidFill>
                <a:srgbClr val="000000"/>
              </a:solidFill>
              <a:latin typeface="Calibri"/>
            </a:rPr>
            <a:t>、计算日期在关键年期各买入</a:t>
          </a:r>
          <a:r>
            <a:rPr lang="en-US" altLang="zh-CN" sz="1100" b="0" i="0" strike="noStrike">
              <a:solidFill>
                <a:srgbClr val="000000"/>
              </a:solidFill>
              <a:latin typeface="Calibri"/>
            </a:rPr>
            <a:t>100</a:t>
          </a:r>
          <a:r>
            <a:rPr lang="zh-CN" altLang="en-US" sz="1100" b="0" i="0" strike="noStrike">
              <a:solidFill>
                <a:srgbClr val="000000"/>
              </a:solidFill>
              <a:latin typeface="Calibri"/>
            </a:rPr>
            <a:t>元虚拟债券</a:t>
          </a:r>
          <a:r>
            <a:rPr lang="en-US" altLang="zh-CN" sz="1100" b="0" i="0" strike="noStrike">
              <a:solidFill>
                <a:srgbClr val="000000"/>
              </a:solidFill>
              <a:latin typeface="Calibri"/>
            </a:rPr>
            <a:t>(</a:t>
          </a:r>
          <a:r>
            <a:rPr lang="zh-CN" altLang="en-US" sz="1100" b="0" i="0" strike="noStrike">
              <a:solidFill>
                <a:srgbClr val="000000"/>
              </a:solidFill>
              <a:latin typeface="Calibri"/>
            </a:rPr>
            <a:t>固定利率附息，票面利率为计算日期相应期限的到期收益率</a:t>
          </a:r>
          <a:r>
            <a:rPr lang="en-US" altLang="zh-CN" sz="1100" b="0" i="0" strike="noStrike">
              <a:solidFill>
                <a:srgbClr val="000000"/>
              </a:solidFill>
              <a:latin typeface="Calibri"/>
            </a:rPr>
            <a:t>)</a:t>
          </a:r>
          <a:endParaRPr lang="en-US" altLang="zh-CN" sz="1100" b="0" i="0" strike="noStrike" baseline="0">
            <a:solidFill>
              <a:srgbClr val="000000"/>
            </a:solidFill>
            <a:latin typeface="Calibri"/>
          </a:endParaRPr>
        </a:p>
        <a:p>
          <a:pPr algn="l" rtl="1">
            <a:defRPr sz="1000"/>
          </a:pPr>
          <a:endParaRPr lang="en-US" altLang="zh-CN" sz="1100" b="0" i="0" strike="noStrike" baseline="0">
            <a:solidFill>
              <a:srgbClr val="000000"/>
            </a:solidFill>
            <a:latin typeface="Calibri"/>
          </a:endParaRPr>
        </a:p>
        <a:p>
          <a:pPr algn="l" rtl="1">
            <a:defRPr sz="1000"/>
          </a:pPr>
          <a:r>
            <a:rPr lang="en-US" altLang="zh-CN" sz="1100" b="0" i="0" strike="noStrike" baseline="0">
              <a:solidFill>
                <a:srgbClr val="000000"/>
              </a:solidFill>
              <a:latin typeface="Calibri"/>
            </a:rPr>
            <a:t>        2</a:t>
          </a:r>
          <a:r>
            <a:rPr lang="zh-CN" altLang="en-US" sz="1100" b="0" i="0" strike="noStrike" baseline="0">
              <a:solidFill>
                <a:srgbClr val="000000"/>
              </a:solidFill>
              <a:latin typeface="Calibri"/>
            </a:rPr>
            <a:t>、持有相应的期限之后</a:t>
          </a:r>
          <a:r>
            <a:rPr lang="en-US" altLang="zh-CN" sz="1100" b="0" i="0" strike="noStrike">
              <a:solidFill>
                <a:srgbClr val="000000"/>
              </a:solidFill>
              <a:latin typeface="Calibri"/>
            </a:rPr>
            <a:t> </a:t>
          </a:r>
          <a:r>
            <a:rPr lang="zh-CN" altLang="en-US" sz="1100" b="0" i="0" strike="noStrike">
              <a:solidFill>
                <a:srgbClr val="000000"/>
              </a:solidFill>
              <a:latin typeface="Calibri"/>
            </a:rPr>
            <a:t>，根据假设的 收益率曲线变化情况</a:t>
          </a:r>
          <a:r>
            <a:rPr lang="en-US" altLang="zh-CN" sz="1100" b="0" i="0" strike="noStrike">
              <a:solidFill>
                <a:srgbClr val="000000"/>
              </a:solidFill>
              <a:latin typeface="Calibri"/>
            </a:rPr>
            <a:t> </a:t>
          </a:r>
          <a:r>
            <a:rPr lang="zh-CN" altLang="en-US" sz="1100" b="0" i="0" strike="noStrike">
              <a:solidFill>
                <a:srgbClr val="000000"/>
              </a:solidFill>
              <a:latin typeface="Calibri"/>
            </a:rPr>
            <a:t>，将其设为贴现利率计算到期全价。变动</a:t>
          </a:r>
          <a:r>
            <a:rPr lang="en-US" altLang="zh-CN" sz="1100" b="0" i="0" strike="noStrike">
              <a:solidFill>
                <a:srgbClr val="000000"/>
              </a:solidFill>
              <a:latin typeface="Calibri"/>
            </a:rPr>
            <a:t>0BP</a:t>
          </a:r>
          <a:r>
            <a:rPr lang="zh-CN" altLang="en-US" sz="1100" b="0" i="0" strike="noStrike">
              <a:solidFill>
                <a:srgbClr val="000000"/>
              </a:solidFill>
              <a:latin typeface="Calibri"/>
            </a:rPr>
            <a:t>表示根据计算日期收益率曲线和持有期末日期各虚拟券的剩余期限计算全价。</a:t>
          </a:r>
          <a:endParaRPr lang="en-US" altLang="zh-CN" sz="1100" b="0" i="0" strike="noStrike">
            <a:solidFill>
              <a:srgbClr val="000000"/>
            </a:solidFill>
            <a:latin typeface="Calibri"/>
          </a:endParaRPr>
        </a:p>
        <a:p>
          <a:pPr algn="l" rtl="1">
            <a:defRPr sz="1000"/>
          </a:pPr>
          <a:r>
            <a:rPr lang="en-US" altLang="zh-CN" sz="1100" b="0" i="0" strike="noStrike">
              <a:solidFill>
                <a:srgbClr val="000000"/>
              </a:solidFill>
              <a:latin typeface="Calibri"/>
            </a:rPr>
            <a:t>      </a:t>
          </a:r>
        </a:p>
        <a:p>
          <a:pPr algn="l" rtl="1">
            <a:defRPr sz="1000"/>
          </a:pPr>
          <a:r>
            <a:rPr lang="en-US" altLang="zh-CN" sz="1100" b="0" i="0" strike="noStrike">
              <a:solidFill>
                <a:srgbClr val="000000"/>
              </a:solidFill>
              <a:latin typeface="Calibri"/>
            </a:rPr>
            <a:t>        3</a:t>
          </a:r>
          <a:r>
            <a:rPr lang="zh-CN" altLang="en-US" sz="1100" b="0" i="0" strike="noStrike">
              <a:solidFill>
                <a:srgbClr val="000000"/>
              </a:solidFill>
              <a:latin typeface="Calibri"/>
            </a:rPr>
            <a:t>、根据模拟计算的 到期全价即可计算持有该券种相应期限后的持有期收益率。</a:t>
          </a:r>
          <a:endParaRPr lang="en-US" altLang="zh-CN" sz="1100" b="0" i="0" strike="noStrike">
            <a:solidFill>
              <a:srgbClr val="000000"/>
            </a:solidFill>
            <a:latin typeface="Calibri"/>
          </a:endParaRPr>
        </a:p>
        <a:p>
          <a:pPr algn="l" rtl="1">
            <a:defRPr sz="1000"/>
          </a:pPr>
          <a:endParaRPr lang="en-US" altLang="zh-CN" sz="1100" b="0" i="0" strike="noStrike">
            <a:solidFill>
              <a:srgbClr val="000000"/>
            </a:solidFill>
            <a:latin typeface="Calibri"/>
          </a:endParaRPr>
        </a:p>
        <a:p>
          <a:pPr algn="l" rtl="1">
            <a:defRPr sz="1000"/>
          </a:pPr>
          <a:r>
            <a:rPr lang="en-US" altLang="zh-CN" sz="1100" b="0" i="0" strike="noStrike">
              <a:solidFill>
                <a:srgbClr val="000000"/>
              </a:solidFill>
              <a:latin typeface="Calibri"/>
            </a:rPr>
            <a:t>        4</a:t>
          </a:r>
          <a:r>
            <a:rPr lang="zh-CN" altLang="en-US" sz="1100" b="0" i="0" strike="noStrike">
              <a:solidFill>
                <a:srgbClr val="000000"/>
              </a:solidFill>
              <a:latin typeface="Calibri"/>
            </a:rPr>
            <a:t>、此模板没有考虑资金成本 等因素 。</a:t>
          </a:r>
          <a:r>
            <a:rPr lang="en-US" altLang="zh-CN" sz="1100" b="0" i="0" strike="noStrike">
              <a:solidFill>
                <a:srgbClr val="000000"/>
              </a:solidFill>
              <a:latin typeface="Calibri"/>
            </a:rPr>
            <a:t>   </a:t>
          </a:r>
        </a:p>
        <a:p>
          <a:pPr algn="l" rtl="1">
            <a:defRPr sz="1000"/>
          </a:pPr>
          <a:r>
            <a:rPr lang="en-US" altLang="zh-CN" sz="1100" b="0" i="0" strike="noStrike">
              <a:solidFill>
                <a:srgbClr val="000000"/>
              </a:solidFill>
              <a:latin typeface="Calibri"/>
            </a:rPr>
            <a:t>      </a:t>
          </a:r>
        </a:p>
        <a:p>
          <a:pPr rtl="1"/>
          <a:r>
            <a:rPr lang="en-US" sz="1100" b="0" i="0" baseline="0">
              <a:latin typeface="+mn-lt"/>
              <a:ea typeface="+mn-ea"/>
              <a:cs typeface="+mn-cs"/>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Wind.NET.Client\WindNET\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B_CALC_CURVE"/>
      <definedName name="B_CALC_CURVE_CHINABOND"/>
      <definedName name="b_calc_curve_csi"/>
      <definedName name="B_CALC_PRICE"/>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B5:M41"/>
  <sheetViews>
    <sheetView showGridLines="0" tabSelected="1" zoomScaleNormal="100" workbookViewId="0">
      <selection activeCell="A46" sqref="A46"/>
    </sheetView>
  </sheetViews>
  <sheetFormatPr defaultRowHeight="12.75"/>
  <cols>
    <col min="1" max="1" width="3.375" style="7" customWidth="1"/>
    <col min="2" max="2" width="17" style="7" customWidth="1"/>
    <col min="3" max="5" width="10.625" style="7" customWidth="1"/>
    <col min="6" max="13" width="12.625" style="7" customWidth="1"/>
    <col min="14" max="16" width="11.625" style="7" customWidth="1"/>
    <col min="17" max="33" width="10.625" style="7" customWidth="1"/>
    <col min="34" max="16384" width="9" style="7"/>
  </cols>
  <sheetData>
    <row r="5" spans="2:13" ht="15.95" customHeight="1">
      <c r="B5" s="6" t="s">
        <v>31</v>
      </c>
      <c r="C5" s="37">
        <v>5</v>
      </c>
      <c r="I5" s="8"/>
      <c r="J5" s="9"/>
    </row>
    <row r="6" spans="2:13" ht="15.95" customHeight="1">
      <c r="B6" s="6" t="s">
        <v>1</v>
      </c>
      <c r="C6" s="28">
        <f ca="1">WORKDAY(TODAY(),-1)</f>
        <v>45398</v>
      </c>
      <c r="D6" s="6" t="s">
        <v>6</v>
      </c>
      <c r="E6" s="12">
        <f ca="1">OFFSET(数据!E270,C5,0)</f>
        <v>45763</v>
      </c>
      <c r="H6" s="10"/>
      <c r="I6" s="11"/>
    </row>
    <row r="7" spans="2:13" ht="15.95" customHeight="1">
      <c r="B7" s="6" t="s">
        <v>2</v>
      </c>
      <c r="C7" s="39">
        <v>8</v>
      </c>
      <c r="D7" s="31"/>
      <c r="I7" s="13"/>
      <c r="J7" s="11"/>
    </row>
    <row r="8" spans="2:13" ht="15.95" customHeight="1">
      <c r="B8" s="6" t="s">
        <v>3</v>
      </c>
      <c r="C8" s="38">
        <f ca="1">OFFSET(数据!A1,计算!C7-1,1)</f>
        <v>2122</v>
      </c>
      <c r="D8" s="6" t="s">
        <v>4</v>
      </c>
      <c r="E8" s="30">
        <v>1</v>
      </c>
      <c r="F8" s="7" t="s">
        <v>75</v>
      </c>
      <c r="I8" s="13"/>
      <c r="J8" s="9"/>
    </row>
    <row r="9" spans="2:13" ht="7.5" customHeight="1">
      <c r="G9" s="14"/>
      <c r="H9" s="15"/>
      <c r="I9" s="13"/>
      <c r="J9" s="9"/>
    </row>
    <row r="10" spans="2:13" ht="3.75" customHeight="1">
      <c r="D10" s="16"/>
    </row>
    <row r="11" spans="2:13" ht="15.75" customHeight="1">
      <c r="B11" s="6" t="s">
        <v>30</v>
      </c>
      <c r="C11" s="17"/>
      <c r="D11" s="18"/>
    </row>
    <row r="12" spans="2:13" ht="15.75" customHeight="1">
      <c r="B12" s="6" t="s">
        <v>5</v>
      </c>
      <c r="C12" s="19" t="s">
        <v>7</v>
      </c>
      <c r="D12" s="19" t="s">
        <v>8</v>
      </c>
      <c r="E12" s="19" t="s">
        <v>9</v>
      </c>
      <c r="F12" s="19" t="s">
        <v>10</v>
      </c>
      <c r="G12" s="19" t="s">
        <v>11</v>
      </c>
      <c r="H12" s="19" t="s">
        <v>12</v>
      </c>
      <c r="I12" s="19" t="s">
        <v>13</v>
      </c>
      <c r="J12" s="19" t="s">
        <v>14</v>
      </c>
      <c r="K12" s="19" t="s">
        <v>15</v>
      </c>
      <c r="L12" s="19" t="s">
        <v>16</v>
      </c>
      <c r="M12" s="19" t="s">
        <v>17</v>
      </c>
    </row>
    <row r="13" spans="2:13" ht="15.75" customHeight="1">
      <c r="B13" s="19" t="str">
        <f t="shared" ref="B13:B22" si="0">ROUND(B31,0) &amp; "BP"</f>
        <v>-30BP</v>
      </c>
      <c r="C13" s="20">
        <f ca="1">C31+C$28/$E$8*OFFSET(数据!$G$270,计算!$C$5,0)-100</f>
        <v>2.4928719140055762</v>
      </c>
      <c r="D13" s="20">
        <f ca="1">D31+D$28/$E$8*OFFSET(数据!$G$270,计算!$C$5,0)-100</f>
        <v>2.8875720327144165</v>
      </c>
      <c r="E13" s="20">
        <f ca="1">E31+E$28/$E$8*OFFSET(数据!$G$270,计算!$C$5,0)-100</f>
        <v>3.3840816752973524</v>
      </c>
      <c r="F13" s="20">
        <f ca="1">F31+F$28/$E$8*OFFSET(数据!$G$270,计算!$C$5,0)-100</f>
        <v>3.8566451786225002</v>
      </c>
      <c r="G13" s="20">
        <f ca="1">G31+G$28/$E$8*OFFSET(数据!$G$270,计算!$C$5,0)-100</f>
        <v>3.9140902506525634</v>
      </c>
      <c r="H13" s="20">
        <f ca="1">H31+H$28/$E$8*OFFSET(数据!$G$270,计算!$C$5,0)-100</f>
        <v>4.2516790543830183</v>
      </c>
      <c r="I13" s="20">
        <f ca="1">I31+I$28/$E$8*OFFSET(数据!$G$270,计算!$C$5,0)-100</f>
        <v>4.7023556640040027</v>
      </c>
      <c r="J13" s="20">
        <f ca="1">J31+J$28/$E$8*OFFSET(数据!$G$270,计算!$C$5,0)-100</f>
        <v>5.2962691783523752</v>
      </c>
      <c r="K13" s="20">
        <f ca="1">K31+K$28/$E$8*OFFSET(数据!$G$270,计算!$C$5,0)-100</f>
        <v>6.3935710707222313</v>
      </c>
      <c r="L13" s="20">
        <f ca="1">L31+L$28/$E$8*OFFSET(数据!$G$270,计算!$C$5,0)-100</f>
        <v>7.5906117846261338</v>
      </c>
      <c r="M13" s="20">
        <f ca="1">M31+M$28/$E$8*OFFSET(数据!$G$270,计算!$C$5,0)-100</f>
        <v>9.0726964480867878</v>
      </c>
    </row>
    <row r="14" spans="2:13" ht="15.75" customHeight="1">
      <c r="B14" s="19" t="str">
        <f t="shared" si="0"/>
        <v>-20BP</v>
      </c>
      <c r="C14" s="20">
        <f ca="1">C32+C$28/$E$8*OFFSET(数据!$G$270,计算!$C$5,0)-100</f>
        <v>2.3940904728188031</v>
      </c>
      <c r="D14" s="20">
        <f ca="1">D32+D$28/$E$8*OFFSET(数据!$G$270,计算!$C$5,0)-100</f>
        <v>2.6918615232852687</v>
      </c>
      <c r="E14" s="20">
        <f ca="1">E32+E$28/$E$8*OFFSET(数据!$G$270,计算!$C$5,0)-100</f>
        <v>3.0930615352141331</v>
      </c>
      <c r="F14" s="20">
        <f ca="1">F32+F$28/$E$8*OFFSET(数据!$G$270,计算!$C$5,0)-100</f>
        <v>3.4724541186877644</v>
      </c>
      <c r="G14" s="20">
        <f ca="1">G32+G$28/$E$8*OFFSET(数据!$G$270,计算!$C$5,0)-100</f>
        <v>3.4400290489591043</v>
      </c>
      <c r="H14" s="20">
        <f ca="1">H32+H$28/$E$8*OFFSET(数据!$G$270,计算!$C$5,0)-100</f>
        <v>3.688307858213534</v>
      </c>
      <c r="I14" s="20">
        <f ca="1">I32+I$28/$E$8*OFFSET(数据!$G$270,计算!$C$5,0)-100</f>
        <v>4.051288583745972</v>
      </c>
      <c r="J14" s="20">
        <f ca="1">J32+J$28/$E$8*OFFSET(数据!$G$270,计算!$C$5,0)-100</f>
        <v>4.3973918586819707</v>
      </c>
      <c r="K14" s="20">
        <f ca="1">K32+K$28/$E$8*OFFSET(数据!$G$270,计算!$C$5,0)-100</f>
        <v>5.1119950563744396</v>
      </c>
      <c r="L14" s="20">
        <f ca="1">L32+L$28/$E$8*OFFSET(数据!$G$270,计算!$C$5,0)-100</f>
        <v>5.9727537778482116</v>
      </c>
      <c r="M14" s="20">
        <f ca="1">M32+M$28/$E$8*OFFSET(数据!$G$270,计算!$C$5,0)-100</f>
        <v>6.8812034660370927</v>
      </c>
    </row>
    <row r="15" spans="2:13" ht="15.75" customHeight="1">
      <c r="B15" s="19" t="str">
        <f t="shared" si="0"/>
        <v>-10BP</v>
      </c>
      <c r="C15" s="20">
        <f ca="1">C33+C$28/$E$8*OFFSET(数据!$G$270,计算!$C$5,0)-100</f>
        <v>2.2955031241403532</v>
      </c>
      <c r="D15" s="20">
        <f ca="1">D33+D$28/$E$8*OFFSET(数据!$G$270,计算!$C$5,0)-100</f>
        <v>2.4967246515586226</v>
      </c>
      <c r="E15" s="20">
        <f ca="1">E33+E$28/$E$8*OFFSET(数据!$G$270,计算!$C$5,0)-100</f>
        <v>2.8031728487777627</v>
      </c>
      <c r="F15" s="20">
        <f ca="1">F33+F$28/$E$8*OFFSET(数据!$G$270,计算!$C$5,0)-100</f>
        <v>3.090119725301264</v>
      </c>
      <c r="G15" s="20">
        <f ca="1">G33+G$28/$E$8*OFFSET(数据!$G$270,计算!$C$5,0)-100</f>
        <v>2.9687018923867612</v>
      </c>
      <c r="H15" s="20">
        <f ca="1">H33+H$28/$E$8*OFFSET(数据!$G$270,计算!$C$5,0)-100</f>
        <v>3.1287086330942344</v>
      </c>
      <c r="I15" s="20">
        <f ca="1">I33+I$28/$E$8*OFFSET(数据!$G$270,计算!$C$5,0)-100</f>
        <v>3.4051773481542114</v>
      </c>
      <c r="J15" s="20">
        <f ca="1">J33+J$28/$E$8*OFFSET(数据!$G$270,计算!$C$5,0)-100</f>
        <v>3.5077764090367509</v>
      </c>
      <c r="K15" s="20">
        <f ca="1">K33+K$28/$E$8*OFFSET(数据!$G$270,计算!$C$5,0)-100</f>
        <v>3.8491628418818351</v>
      </c>
      <c r="L15" s="20">
        <f ca="1">L33+L$28/$E$8*OFFSET(数据!$G$270,计算!$C$5,0)-100</f>
        <v>4.385115687191103</v>
      </c>
      <c r="M15" s="20">
        <f ca="1">M33+M$28/$E$8*OFFSET(数据!$G$270,计算!$C$5,0)-100</f>
        <v>4.7471402204160711</v>
      </c>
    </row>
    <row r="16" spans="2:13" ht="15.75" customHeight="1">
      <c r="B16" s="19" t="str">
        <f t="shared" si="0"/>
        <v>0BP</v>
      </c>
      <c r="C16" s="20">
        <f ca="1">C34+C$28/$E$8*OFFSET(数据!$G$270,计算!$C$5,0)-100</f>
        <v>2.1971092964823953</v>
      </c>
      <c r="D16" s="20">
        <f ca="1">D34+D$28/$E$8*OFFSET(数据!$G$270,计算!$C$5,0)-100</f>
        <v>2.3021591739944967</v>
      </c>
      <c r="E16" s="20">
        <f ca="1">E34+E$28/$E$8*OFFSET(数据!$G$270,计算!$C$5,0)-100</f>
        <v>2.5144101025587986</v>
      </c>
      <c r="F16" s="20">
        <f ca="1">F34+F$28/$E$8*OFFSET(数据!$G$270,计算!$C$5,0)-100</f>
        <v>2.709631180145152</v>
      </c>
      <c r="G16" s="20">
        <f ca="1">G34+G$28/$E$8*OFFSET(数据!$G$270,计算!$C$5,0)-100</f>
        <v>2.5000902603649422</v>
      </c>
      <c r="H16" s="20">
        <f ca="1">H34+H$28/$E$8*OFFSET(数据!$G$270,计算!$C$5,0)-100</f>
        <v>2.5728522612960774</v>
      </c>
      <c r="I16" s="20">
        <f ca="1">I34+I$28/$E$8*OFFSET(数据!$G$270,计算!$C$5,0)-100</f>
        <v>2.7639790495902474</v>
      </c>
      <c r="J16" s="20">
        <f ca="1">J34+J$28/$E$8*OFFSET(数据!$G$270,计算!$C$5,0)-100</f>
        <v>2.6273168873149757</v>
      </c>
      <c r="K16" s="20">
        <f ca="1">K34+K$28/$E$8*OFFSET(数据!$G$270,计算!$C$5,0)-100</f>
        <v>2.6047748868336527</v>
      </c>
      <c r="L16" s="20">
        <f ca="1">L34+L$28/$E$8*OFFSET(数据!$G$270,计算!$C$5,0)-100</f>
        <v>2.8270822839875649</v>
      </c>
      <c r="M16" s="20">
        <f ca="1">M34+M$28/$E$8*OFFSET(数据!$G$270,计算!$C$5,0)-100</f>
        <v>2.6688552091533637</v>
      </c>
    </row>
    <row r="17" spans="2:13" ht="15.75" customHeight="1">
      <c r="B17" s="19" t="str">
        <f t="shared" si="0"/>
        <v>10BP</v>
      </c>
      <c r="C17" s="20">
        <f ca="1">C35+C$28/$E$8*OFFSET(数据!$G$270,计算!$C$5,0)-100</f>
        <v>2.0989084205985051</v>
      </c>
      <c r="D17" s="20">
        <f ca="1">D35+D$28/$E$8*OFFSET(数据!$G$270,计算!$C$5,0)-100</f>
        <v>2.108162858018332</v>
      </c>
      <c r="E17" s="20">
        <f ca="1">E35+E$28/$E$8*OFFSET(数据!$G$270,计算!$C$5,0)-100</f>
        <v>2.2267678153828854</v>
      </c>
      <c r="F17" s="20">
        <f ca="1">F35+F$28/$E$8*OFFSET(数据!$G$270,计算!$C$5,0)-100</f>
        <v>2.3309777385409234</v>
      </c>
      <c r="G17" s="20">
        <f ca="1">G35+G$28/$E$8*OFFSET(数据!$G$270,计算!$C$5,0)-100</f>
        <v>2.0341757760127166</v>
      </c>
      <c r="H17" s="20">
        <f ca="1">H35+H$28/$E$8*OFFSET(数据!$G$270,计算!$C$5,0)-100</f>
        <v>2.0207098787153512</v>
      </c>
      <c r="I17" s="20">
        <f ca="1">I35+I$28/$E$8*OFFSET(数据!$G$270,计算!$C$5,0)-100</f>
        <v>2.1276511947871342</v>
      </c>
      <c r="J17" s="20">
        <f ca="1">J35+J$28/$E$8*OFFSET(数据!$G$270,计算!$C$5,0)-100</f>
        <v>1.7559086728200413</v>
      </c>
      <c r="K17" s="20">
        <f ca="1">K35+K$28/$E$8*OFFSET(数据!$G$270,计算!$C$5,0)-100</f>
        <v>1.3785367749121065</v>
      </c>
      <c r="L17" s="20">
        <f ca="1">L35+L$28/$E$8*OFFSET(数据!$G$270,计算!$C$5,0)-100</f>
        <v>1.2980516429237383</v>
      </c>
      <c r="M17" s="20">
        <f ca="1">M35+M$28/$E$8*OFFSET(数据!$G$270,计算!$C$5,0)-100</f>
        <v>0.64474715878164091</v>
      </c>
    </row>
    <row r="18" spans="2:13" ht="15.75" customHeight="1">
      <c r="B18" s="19" t="str">
        <f t="shared" si="0"/>
        <v>15BP</v>
      </c>
      <c r="C18" s="20">
        <f ca="1">C36+C$28/$E$8*OFFSET(数据!$G$270,计算!$C$5,0)-100</f>
        <v>2.0498801622924816</v>
      </c>
      <c r="D18" s="20">
        <f ca="1">D36+D$28/$E$8*OFFSET(数据!$G$270,计算!$C$5,0)-100</f>
        <v>2.0113774409285838</v>
      </c>
      <c r="E18" s="20">
        <f ca="1">E36+E$28/$E$8*OFFSET(数据!$G$270,计算!$C$5,0)-100</f>
        <v>2.0833651398348252</v>
      </c>
      <c r="F18" s="20">
        <f ca="1">F36+F$28/$E$8*OFFSET(数据!$G$270,计算!$C$5,0)-100</f>
        <v>2.1423358438531466</v>
      </c>
      <c r="G18" s="20">
        <f ca="1">G36+G$28/$E$8*OFFSET(数据!$G$270,计算!$C$5,0)-100</f>
        <v>1.8022242604181571</v>
      </c>
      <c r="H18" s="20">
        <f ca="1">H36+H$28/$E$8*OFFSET(数据!$G$270,计算!$C$5,0)-100</f>
        <v>1.7460224820943608</v>
      </c>
      <c r="I18" s="20">
        <f ca="1">I36+I$28/$E$8*OFFSET(数据!$G$270,计算!$C$5,0)-100</f>
        <v>1.8113005168683571</v>
      </c>
      <c r="J18" s="20">
        <f ca="1">J36+J$28/$E$8*OFFSET(数据!$G$270,计算!$C$5,0)-100</f>
        <v>1.3235664687506556</v>
      </c>
      <c r="K18" s="20">
        <f ca="1">K36+K$28/$E$8*OFFSET(数据!$G$270,计算!$C$5,0)-100</f>
        <v>0.77213328322292796</v>
      </c>
      <c r="L18" s="20">
        <f ca="1">L36+L$28/$E$8*OFFSET(数据!$G$270,计算!$C$5,0)-100</f>
        <v>0.54422781958994904</v>
      </c>
      <c r="M18" s="20">
        <f ca="1">M36+M$28/$E$8*OFFSET(数据!$G$270,计算!$C$5,0)-100</f>
        <v>-0.34747756290326492</v>
      </c>
    </row>
    <row r="19" spans="2:13" ht="15.75" customHeight="1">
      <c r="B19" s="19" t="str">
        <f t="shared" si="0"/>
        <v>20BP</v>
      </c>
      <c r="C19" s="41">
        <f ca="1">C37+C$28/$E$8*OFFSET(数据!$G$270,计算!$C$5,0)-100</f>
        <v>2.0008999294726095</v>
      </c>
      <c r="D19" s="41">
        <f ca="1">D37+D$28/$E$8*OFFSET(数据!$G$270,计算!$C$5,0)-100</f>
        <v>1.9147334819563895</v>
      </c>
      <c r="E19" s="41">
        <f ca="1">E37+E$28/$E$8*OFFSET(数据!$G$270,计算!$C$5,0)-100</f>
        <v>1.9402405381111691</v>
      </c>
      <c r="F19" s="41">
        <f ca="1">F37+F$28/$E$8*OFFSET(数据!$G$270,计算!$C$5,0)-100</f>
        <v>1.9541487288758077</v>
      </c>
      <c r="G19" s="41">
        <f ca="1">G37+G$28/$E$8*OFFSET(数据!$G$270,计算!$C$5,0)-100</f>
        <v>1.5709402048831578</v>
      </c>
      <c r="H19" s="41">
        <f ca="1">H37+H$28/$E$8*OFFSET(数据!$G$270,计算!$C$5,0)-100</f>
        <v>1.4722528724156945</v>
      </c>
      <c r="I19" s="41">
        <f ca="1">I37+I$28/$E$8*OFFSET(数据!$G$270,计算!$C$5,0)-100</f>
        <v>1.4961517004400093</v>
      </c>
      <c r="J19" s="41">
        <f ca="1">J37+J$28/$E$8*OFFSET(数据!$G$270,计算!$C$5,0)-100</f>
        <v>0.89344844845969362</v>
      </c>
      <c r="K19" s="41">
        <f ca="1">K37+K$28/$E$8*OFFSET(数据!$G$270,计算!$C$5,0)-100</f>
        <v>0.17015912090239738</v>
      </c>
      <c r="L19" s="41">
        <f ca="1">L37+L$28/$E$8*OFFSET(数据!$G$270,计算!$C$5,0)-100</f>
        <v>-0.2025651604096339</v>
      </c>
      <c r="M19" s="41">
        <f ca="1">M37+M$28/$E$8*OFFSET(数据!$G$270,计算!$C$5,0)-100</f>
        <v>-1.326736569167565</v>
      </c>
    </row>
    <row r="20" spans="2:13" ht="15.75" customHeight="1">
      <c r="B20" s="19" t="str">
        <f t="shared" si="0"/>
        <v>25BP</v>
      </c>
      <c r="C20" s="41">
        <f ca="1">C38+C$28/$E$8*OFFSET(数据!$G$270,计算!$C$5,0)-100</f>
        <v>1.951967651608598</v>
      </c>
      <c r="D20" s="41">
        <f ca="1">D38+D$28/$E$8*OFFSET(数据!$G$270,计算!$C$5,0)-100</f>
        <v>1.8182307050852984</v>
      </c>
      <c r="E20" s="41">
        <f ca="1">E38+E$28/$E$8*OFFSET(数据!$G$270,计算!$C$5,0)-100</f>
        <v>1.7973933340392563</v>
      </c>
      <c r="F20" s="41">
        <f ca="1">F38+F$28/$E$8*OFFSET(数据!$G$270,计算!$C$5,0)-100</f>
        <v>1.7664150709806847</v>
      </c>
      <c r="G20" s="41">
        <f ca="1">G38+G$28/$E$8*OFFSET(数据!$G$270,计算!$C$5,0)-100</f>
        <v>1.3403213521532109</v>
      </c>
      <c r="H20" s="41">
        <f ca="1">H38+H$28/$E$8*OFFSET(数据!$G$270,计算!$C$5,0)-100</f>
        <v>1.1993975119087423</v>
      </c>
      <c r="I20" s="41">
        <f ca="1">I38+I$28/$E$8*OFFSET(数据!$G$270,计算!$C$5,0)-100</f>
        <v>1.1821995484307308</v>
      </c>
      <c r="J20" s="41">
        <f ca="1">J38+J$28/$E$8*OFFSET(数据!$G$270,计算!$C$5,0)-100</f>
        <v>0.46554189812080438</v>
      </c>
      <c r="K20" s="41">
        <f ca="1">K38+K$28/$E$8*OFFSET(数据!$G$270,计算!$C$5,0)-100</f>
        <v>-0.42742111405623007</v>
      </c>
      <c r="L20" s="41">
        <f ca="1">L38+L$28/$E$8*OFFSET(数据!$G$270,计算!$C$5,0)-100</f>
        <v>-0.9423989296746953</v>
      </c>
      <c r="M20" s="41">
        <f ca="1">M38+M$28/$E$8*OFFSET(数据!$G$270,计算!$C$5,0)-100</f>
        <v>-2.2932165934510209</v>
      </c>
    </row>
    <row r="21" spans="2:13" ht="15.75" customHeight="1">
      <c r="B21" s="19" t="str">
        <f t="shared" si="0"/>
        <v>30BP</v>
      </c>
      <c r="C21" s="20">
        <f ca="1">C39+C$28/$E$8*OFFSET(数据!$G$270,计算!$C$5,0)-100</f>
        <v>1.9030832583082145</v>
      </c>
      <c r="D21" s="20">
        <f ca="1">D39+D$28/$E$8*OFFSET(数据!$G$270,计算!$C$5,0)-100</f>
        <v>1.7218688349722697</v>
      </c>
      <c r="E21" s="20">
        <f ca="1">E39+E$28/$E$8*OFFSET(数据!$G$270,计算!$C$5,0)-100</f>
        <v>1.6548228534212939</v>
      </c>
      <c r="F21" s="20">
        <f ca="1">F39+F$28/$E$8*OFFSET(数据!$G$270,计算!$C$5,0)-100</f>
        <v>1.5791335520354437</v>
      </c>
      <c r="G21" s="20">
        <f ca="1">G39+G$28/$E$8*OFFSET(数据!$G$270,计算!$C$5,0)-100</f>
        <v>1.1103654537214993</v>
      </c>
      <c r="H21" s="20">
        <f ca="1">H39+H$28/$E$8*OFFSET(数据!$G$270,计算!$C$5,0)-100</f>
        <v>0.92745287819805355</v>
      </c>
      <c r="I21" s="20">
        <f ca="1">I39+I$28/$E$8*OFFSET(数据!$G$270,计算!$C$5,0)-100</f>
        <v>0.86943888884999865</v>
      </c>
      <c r="J21" s="20">
        <f ca="1">J39+J$28/$E$8*OFFSET(数据!$G$270,计算!$C$5,0)-100</f>
        <v>3.9834183204433771E-2</v>
      </c>
      <c r="K21" s="20">
        <f ca="1">K39+K$28/$E$8*OFFSET(数据!$G$270,计算!$C$5,0)-100</f>
        <v>-1.0206425205207381</v>
      </c>
      <c r="L21" s="20">
        <f ca="1">L39+L$28/$E$8*OFFSET(数据!$G$270,计算!$C$5,0)-100</f>
        <v>-1.6753443447700107</v>
      </c>
      <c r="M21" s="20">
        <f ca="1">M39+M$28/$E$8*OFFSET(数据!$G$270,计算!$C$5,0)-100</f>
        <v>-3.2471015193755903</v>
      </c>
    </row>
    <row r="22" spans="2:13" ht="15.75" customHeight="1">
      <c r="B22" s="19" t="str">
        <f t="shared" si="0"/>
        <v>40BP</v>
      </c>
      <c r="C22" s="20">
        <f ca="1">C40+C$28/$E$8*OFFSET(数据!$G$270,计算!$C$5,0)-100</f>
        <v>1.8054578445174343</v>
      </c>
      <c r="D22" s="20">
        <f ca="1">D40+D$28/$E$8*OFFSET(数据!$G$270,计算!$C$5,0)-100</f>
        <v>1.5295667170031919</v>
      </c>
      <c r="E22" s="20">
        <f ca="1">E40+E$28/$E$8*OFFSET(数据!$G$270,计算!$C$5,0)-100</f>
        <v>1.3705093755913254</v>
      </c>
      <c r="F22" s="20">
        <f ca="1">F40+F$28/$E$8*OFFSET(数据!$G$270,计算!$C$5,0)-100</f>
        <v>1.2059216808402482</v>
      </c>
      <c r="G22" s="20">
        <f ca="1">G40+G$28/$E$8*OFFSET(数据!$G$270,计算!$C$5,0)-100</f>
        <v>0.65243356923363649</v>
      </c>
      <c r="H22" s="20">
        <f ca="1">H40+H$28/$E$8*OFFSET(数据!$G$270,计算!$C$5,0)-100</f>
        <v>0.38628177819478537</v>
      </c>
      <c r="I22" s="20">
        <f ca="1">I40+I$28/$E$8*OFFSET(数据!$G$270,计算!$C$5,0)-100</f>
        <v>0.24747148361669247</v>
      </c>
      <c r="J22" s="20">
        <f ca="1">J40+J$28/$E$8*OFFSET(数据!$G$270,计算!$C$5,0)-100</f>
        <v>-0.80503488520120925</v>
      </c>
      <c r="K22" s="20">
        <f ca="1">K40+K$28/$E$8*OFFSET(数据!$G$270,计算!$C$5,0)-100</f>
        <v>-2.1941477442570516</v>
      </c>
      <c r="L22" s="20">
        <f ca="1">L40+L$28/$E$8*OFFSET(数据!$G$270,计算!$C$5,0)-100</f>
        <v>-3.1208497115084981</v>
      </c>
      <c r="M22" s="20">
        <f ca="1">M40+M$28/$E$8*OFFSET(数据!$G$270,计算!$C$5,0)-100</f>
        <v>-5.1178076333198987</v>
      </c>
    </row>
    <row r="23" spans="2:13" ht="15.75" customHeight="1">
      <c r="B23" s="19" t="str">
        <f>ROUND(B41,0) &amp; "BP"</f>
        <v>50BP</v>
      </c>
      <c r="C23" s="20">
        <f ca="1">C41+C$28/$E$8*OFFSET(数据!$G$270,计算!$C$5,0)-100</f>
        <v>1.7080231277102627</v>
      </c>
      <c r="D23" s="20">
        <f ca="1">D41+D$28/$E$8*OFFSET(数据!$G$270,计算!$C$5,0)-100</f>
        <v>1.3378249386973238</v>
      </c>
      <c r="E23" s="20">
        <f ca="1">E41+E$28/$E$8*OFFSET(数据!$G$270,计算!$C$5,0)-100</f>
        <v>1.087294750284201</v>
      </c>
      <c r="F23" s="20">
        <f ca="1">F41+F$28/$E$8*OFFSET(数据!$G$270,计算!$C$5,0)-100</f>
        <v>0.83450265948798119</v>
      </c>
      <c r="G23" s="20">
        <f ca="1">G41+G$28/$E$8*OFFSET(数据!$G$270,计算!$C$5,0)-100</f>
        <v>0.19712673686812821</v>
      </c>
      <c r="H23" s="20">
        <f ca="1">H41+H$28/$E$8*OFFSET(数据!$G$270,计算!$C$5,0)-100</f>
        <v>-0.15128830150892725</v>
      </c>
      <c r="I23" s="20">
        <f ca="1">I41+I$28/$E$8*OFFSET(数据!$G$270,计算!$C$5,0)-100</f>
        <v>-0.36979139461762145</v>
      </c>
      <c r="J23" s="20">
        <f ca="1">J41+J$28/$E$8*OFFSET(数据!$G$270,计算!$C$5,0)-100</f>
        <v>-1.6412582672786016</v>
      </c>
      <c r="K23" s="20">
        <f ca="1">K41+K$28/$E$8*OFFSET(数据!$G$270,计算!$C$5,0)-100</f>
        <v>-3.3506313825392624</v>
      </c>
      <c r="L23" s="20">
        <f ca="1">L41+L$28/$E$8*OFFSET(数据!$G$270,计算!$C$5,0)-100</f>
        <v>-4.5396329259712473</v>
      </c>
      <c r="M23" s="20">
        <f ca="1">M41+M$28/$E$8*OFFSET(数据!$G$270,计算!$C$5,0)-100</f>
        <v>-6.9402706909603182</v>
      </c>
    </row>
    <row r="24" spans="2:13" ht="15.75" customHeight="1"/>
    <row r="25" spans="2:13" ht="15.75" customHeight="1">
      <c r="B25" s="6" t="s">
        <v>29</v>
      </c>
      <c r="C25" s="21"/>
      <c r="D25" s="22"/>
      <c r="E25" s="21"/>
      <c r="F25" s="9"/>
      <c r="I25" s="23"/>
      <c r="J25" s="23"/>
    </row>
    <row r="26" spans="2:13" ht="15.75" customHeight="1">
      <c r="B26" s="6" t="s">
        <v>5</v>
      </c>
      <c r="C26" s="19" t="s">
        <v>18</v>
      </c>
      <c r="D26" s="19" t="s">
        <v>19</v>
      </c>
      <c r="E26" s="19" t="s">
        <v>20</v>
      </c>
      <c r="F26" s="19" t="s">
        <v>21</v>
      </c>
      <c r="G26" s="19" t="s">
        <v>22</v>
      </c>
      <c r="H26" s="19" t="s">
        <v>23</v>
      </c>
      <c r="I26" s="19" t="s">
        <v>24</v>
      </c>
      <c r="J26" s="19" t="s">
        <v>25</v>
      </c>
      <c r="K26" s="19" t="s">
        <v>26</v>
      </c>
      <c r="L26" s="19" t="s">
        <v>27</v>
      </c>
      <c r="M26" s="19" t="s">
        <v>28</v>
      </c>
    </row>
    <row r="27" spans="2:13" ht="15.75" customHeight="1">
      <c r="B27" s="24" t="s">
        <v>41</v>
      </c>
      <c r="C27" s="19" t="str">
        <f ca="1">(YEAR(C6)+1)&amp;"-"&amp;(MONTH(C6))&amp;"-"&amp;DAY(C6)</f>
        <v>2025-4-16</v>
      </c>
      <c r="D27" s="19" t="str">
        <f ca="1">(YEAR(C6)+2)&amp;"-"&amp;(MONTH(C6))&amp;"-"&amp;DAY(C6)</f>
        <v>2026-4-16</v>
      </c>
      <c r="E27" s="19" t="str">
        <f ca="1">(YEAR(C6)+3)&amp;"-"&amp;(MONTH(C6))&amp;"-"&amp;DAY(C6)</f>
        <v>2027-4-16</v>
      </c>
      <c r="F27" s="19" t="str">
        <f ca="1">(YEAR(C6)+4)&amp;"-"&amp;(MONTH(C6))&amp;"-"&amp;DAY(C6)</f>
        <v>2028-4-16</v>
      </c>
      <c r="G27" s="19" t="str">
        <f ca="1">(YEAR(C6)+5)&amp;"-"&amp;(MONTH(C6))&amp;"-"&amp;DAY(C6)</f>
        <v>2029-4-16</v>
      </c>
      <c r="H27" s="19" t="str">
        <f ca="1">(YEAR(C6)+6)&amp;"-"&amp;(MONTH(C6))&amp;"-"&amp;DAY(C6)</f>
        <v>2030-4-16</v>
      </c>
      <c r="I27" s="19" t="str">
        <f ca="1">(YEAR(C6)+7)&amp;"-"&amp;(MONTH(C6))&amp;"-"&amp;DAY(C6)</f>
        <v>2031-4-16</v>
      </c>
      <c r="J27" s="19" t="str">
        <f ca="1">(YEAR(C6)+10)&amp;"-"&amp;(MONTH(C6))&amp;"-"&amp;DAY(C6)</f>
        <v>2034-4-16</v>
      </c>
      <c r="K27" s="19" t="str">
        <f ca="1">(YEAR(C6)+15)&amp;"-"&amp;(MONTH(C6))&amp;"-"&amp;DAY(C6)</f>
        <v>2039-4-16</v>
      </c>
      <c r="L27" s="19" t="str">
        <f ca="1">(YEAR(C6)+20)&amp;"-"&amp;(MONTH(C6))&amp;"-"&amp;DAY(C6)</f>
        <v>2044-4-16</v>
      </c>
      <c r="M27" s="19" t="str">
        <f ca="1">(YEAR(C6)+30)&amp;"-"&amp;(MONTH(C6))&amp;"-"&amp;DAY(C6)</f>
        <v>2054-4-16</v>
      </c>
    </row>
    <row r="28" spans="2:13" ht="15.75" customHeight="1">
      <c r="B28" s="24" t="s">
        <v>42</v>
      </c>
      <c r="C28" s="40">
        <f ca="1">IF($C$7&lt;46,[1]!B_CALC_CURVE_CHINABOND($C$8,$C$6,C26),IF($C$7&lt;71,[1]!b_calc_curve_csi($C$8,$C$6,C26),[1]!B_CALC_CURVE($C$8,$C$6,C26)))</f>
        <v>2.044</v>
      </c>
      <c r="D28" s="40">
        <f ca="1">IF($C$7&lt;46,[1]!B_CALC_CURVE_CHINABOND($C$8,$C$6,D26),IF($C$7&lt;71,[1]!b_calc_curve_csi($C$8,$C$6,D26),[1]!B_CALC_CURVE($C$8,$C$6,D26)))</f>
        <v>2.1318000000000001</v>
      </c>
      <c r="E28" s="40">
        <f ca="1">IF($C$7&lt;46,[1]!B_CALC_CURVE_CHINABOND($C$8,$C$6,E26),IF($C$7&lt;71,[1]!b_calc_curve_csi($C$8,$C$6,E26),[1]!B_CALC_CURVE($C$8,$C$6,E26)))</f>
        <v>2.2305000000000001</v>
      </c>
      <c r="F28" s="40">
        <f ca="1">IF($C$7&lt;46,[1]!B_CALC_CURVE_CHINABOND($C$8,$C$6,F26),IF($C$7&lt;71,[1]!b_calc_curve_csi($C$8,$C$6,F26),[1]!B_CALC_CURVE($C$8,$C$6,F26)))</f>
        <v>2.3306</v>
      </c>
      <c r="G28" s="40">
        <f ca="1">IF($C$7&lt;46,[1]!B_CALC_CURVE_CHINABOND($C$8,$C$6,G26),IF($C$7&lt;71,[1]!b_calc_curve_csi($C$8,$C$6,G26),[1]!B_CALC_CURVE($C$8,$C$6,G26)))</f>
        <v>2.3605</v>
      </c>
      <c r="H28" s="40">
        <f ca="1">IF($C$7&lt;46,[1]!B_CALC_CURVE_CHINABOND($C$8,$C$6,H26),IF($C$7&lt;71,[1]!b_calc_curve_csi($C$8,$C$6,H26),[1]!B_CALC_CURVE($C$8,$C$6,H26)))</f>
        <v>2.3929999999999998</v>
      </c>
      <c r="I28" s="40">
        <f ca="1">IF($C$7&lt;46,[1]!B_CALC_CURVE_CHINABOND($C$8,$C$6,I26),IF($C$7&lt;71,[1]!b_calc_curve_csi($C$8,$C$6,I26),[1]!B_CALC_CURVE($C$8,$C$6,I26)))</f>
        <v>2.4432999999999998</v>
      </c>
      <c r="J28" s="40">
        <f ca="1">IF($C$7&lt;46,[1]!B_CALC_CURVE_CHINABOND($C$8,$C$6,J26),IF($C$7&lt;71,[1]!b_calc_curve_csi($C$8,$C$6,J26),[1]!B_CALC_CURVE($C$8,$C$6,J26)))</f>
        <v>2.5108999999999999</v>
      </c>
      <c r="K28" s="40">
        <f ca="1">IF($C$7&lt;46,[1]!B_CALC_CURVE_CHINABOND($C$8,$C$6,K26),IF($C$7&lt;71,[1]!b_calc_curve_csi($C$8,$C$6,K26),[1]!B_CALC_CURVE($C$8,$C$6,K26)))</f>
        <v>2.5417999999999998</v>
      </c>
      <c r="L28" s="40">
        <f ca="1">IF($C$7&lt;46,[1]!B_CALC_CURVE_CHINABOND($C$8,$C$6,L26),IF($C$7&lt;71,[1]!b_calc_curve_csi($C$8,$C$6,L26),[1]!B_CALC_CURVE($C$8,$C$6,L26)))</f>
        <v>2.6313</v>
      </c>
      <c r="M28" s="40">
        <f ca="1">IF($C$7&lt;46,[1]!B_CALC_CURVE_CHINABOND($C$8,$C$6,M26),IF($C$7&lt;71,[1]!b_calc_curve_csi($C$8,$C$6,M26),[1]!B_CALC_CURVE($C$8,$C$6,M26)))</f>
        <v>2.6545000000000001</v>
      </c>
    </row>
    <row r="29" spans="2:13">
      <c r="B29" s="24" t="s">
        <v>72</v>
      </c>
      <c r="C29" s="40">
        <f ca="1">LEFT(C26,SEARCH("y",C26)-1)-OFFSET(数据!$F$270,计算!$C$5,0)/365</f>
        <v>0</v>
      </c>
      <c r="D29" s="40">
        <f ca="1">LEFT(D26,SEARCH("y",D26)-1)-OFFSET(数据!$F$270,计算!$C$5,0)/365</f>
        <v>1</v>
      </c>
      <c r="E29" s="40">
        <f ca="1">LEFT(E26,SEARCH("y",E26)-1)-OFFSET(数据!$F$270,计算!$C$5,0)/365</f>
        <v>2</v>
      </c>
      <c r="F29" s="40">
        <f ca="1">LEFT(F26,SEARCH("y",F26)-1)-OFFSET(数据!$F$270,计算!$C$5,0)/365</f>
        <v>3</v>
      </c>
      <c r="G29" s="40">
        <f ca="1">LEFT(G26,SEARCH("y",G26)-1)-OFFSET(数据!$F$270,计算!$C$5,0)/365</f>
        <v>4</v>
      </c>
      <c r="H29" s="40">
        <f ca="1">LEFT(H26,SEARCH("y",H26)-1)-OFFSET(数据!$F$270,计算!$C$5,0)/365</f>
        <v>5</v>
      </c>
      <c r="I29" s="40">
        <f ca="1">LEFT(I26,SEARCH("y",I26)-1)-OFFSET(数据!$F$270,计算!$C$5,0)/365</f>
        <v>6</v>
      </c>
      <c r="J29" s="40">
        <f ca="1">LEFT(J26,SEARCH("y",J26)-1)-OFFSET(数据!$F$270,计算!$C$5,0)/365</f>
        <v>9</v>
      </c>
      <c r="K29" s="40">
        <f ca="1">LEFT(K26,SEARCH("y",K26)-1)-OFFSET(数据!$F$270,计算!$C$5,0)/365</f>
        <v>14</v>
      </c>
      <c r="L29" s="40">
        <f ca="1">LEFT(L26,SEARCH("y",L26)-1)-OFFSET(数据!$F$270,计算!$C$5,0)/365</f>
        <v>19</v>
      </c>
      <c r="M29" s="40">
        <f ca="1">LEFT(M26,SEARCH("y",M26)-1)-OFFSET(数据!$F$270,计算!$C$5,0)/365</f>
        <v>29</v>
      </c>
    </row>
    <row r="30" spans="2:13" ht="15.75" customHeight="1">
      <c r="B30" s="26" t="s">
        <v>43</v>
      </c>
      <c r="C30" s="40">
        <f ca="1">IF($C$7&lt;46,[1]!B_CALC_CURVE_CHINABOND($C$8,$C$6,C29),IF($C$7&lt;71,[1]!b_calc_curve_csi($C$8,$C$6,C29),[1]!B_CALC_CURVE($C$8,$C$6,C29)))</f>
        <v>1.8879999999999999</v>
      </c>
      <c r="D30" s="40">
        <f ca="1">IF($C$7&lt;46,[1]!B_CALC_CURVE_CHINABOND($C$8,$C$6,D29),IF($C$7&lt;71,[1]!b_calc_curve_csi($C$8,$C$6,D29),[1]!B_CALC_CURVE($C$8,$C$6,D29)))</f>
        <v>2.044</v>
      </c>
      <c r="E30" s="40">
        <f ca="1">IF($C$7&lt;46,[1]!B_CALC_CURVE_CHINABOND($C$8,$C$6,E29),IF($C$7&lt;71,[1]!b_calc_curve_csi($C$8,$C$6,E29),[1]!B_CALC_CURVE($C$8,$C$6,E29)))</f>
        <v>2.1318000000000001</v>
      </c>
      <c r="F30" s="40">
        <f ca="1">IF($C$7&lt;46,[1]!B_CALC_CURVE_CHINABOND($C$8,$C$6,F29),IF($C$7&lt;71,[1]!b_calc_curve_csi($C$8,$C$6,F29),[1]!B_CALC_CURVE($C$8,$C$6,F29)))</f>
        <v>2.2305000000000001</v>
      </c>
      <c r="G30" s="40">
        <f ca="1">IF($C$7&lt;46,[1]!B_CALC_CURVE_CHINABOND($C$8,$C$6,G29),IF($C$7&lt;71,[1]!b_calc_curve_csi($C$8,$C$6,G29),[1]!B_CALC_CURVE($C$8,$C$6,G29)))</f>
        <v>2.3306</v>
      </c>
      <c r="H30" s="40">
        <f ca="1">IF($C$7&lt;46,[1]!B_CALC_CURVE_CHINABOND($C$8,$C$6,H29),IF($C$7&lt;71,[1]!b_calc_curve_csi($C$8,$C$6,H29),[1]!B_CALC_CURVE($C$8,$C$6,H29)))</f>
        <v>2.3605</v>
      </c>
      <c r="I30" s="40">
        <f ca="1">IF($C$7&lt;46,[1]!B_CALC_CURVE_CHINABOND($C$8,$C$6,I29),IF($C$7&lt;71,[1]!b_calc_curve_csi($C$8,$C$6,I29),[1]!B_CALC_CURVE($C$8,$C$6,I29)))</f>
        <v>2.3929999999999998</v>
      </c>
      <c r="J30" s="40">
        <f ca="1">IF($C$7&lt;46,[1]!B_CALC_CURVE_CHINABOND($C$8,$C$6,J29),IF($C$7&lt;71,[1]!b_calc_curve_csi($C$8,$C$6,J29),[1]!B_CALC_CURVE($C$8,$C$6,J29)))</f>
        <v>2.4975999999999998</v>
      </c>
      <c r="K30" s="40">
        <f ca="1">IF($C$7&lt;46,[1]!B_CALC_CURVE_CHINABOND($C$8,$C$6,K29),IF($C$7&lt;71,[1]!b_calc_curve_csi($C$8,$C$6,K29),[1]!B_CALC_CURVE($C$8,$C$6,K29)))</f>
        <v>2.5367000000000002</v>
      </c>
      <c r="L30" s="40">
        <f ca="1">IF($C$7&lt;46,[1]!B_CALC_CURVE_CHINABOND($C$8,$C$6,L29),IF($C$7&lt;71,[1]!b_calc_curve_csi($C$8,$C$6,L29),[1]!B_CALC_CURVE($C$8,$C$6,L29)))</f>
        <v>2.6185999999999998</v>
      </c>
      <c r="M30" s="40">
        <f ca="1">IF($C$7&lt;46,[1]!B_CALC_CURVE_CHINABOND($C$8,$C$6,M29),IF($C$7&lt;71,[1]!b_calc_curve_csi($C$8,$C$6,M29),[1]!B_CALC_CURVE($C$8,$C$6,M29)))</f>
        <v>2.6537999999999999</v>
      </c>
    </row>
    <row r="31" spans="2:13" ht="15.75" customHeight="1">
      <c r="B31" s="27">
        <v>-30</v>
      </c>
      <c r="C31" s="25">
        <f ca="1">[1]!B_CALC_PRICE("999999",$C$6,(C$30+$B31/100),2,C$27,$E$8,C$28,100,$C$6)</f>
        <v>100.44887191400558</v>
      </c>
      <c r="D31" s="25">
        <f ca="1">[1]!B_CALC_PRICE("999999",$C$6,(D$30+$B31/100),2,D$27,$E$8,D$28,100,$C$6)</f>
        <v>100.75577203271442</v>
      </c>
      <c r="E31" s="25">
        <f ca="1">[1]!B_CALC_PRICE("999999",$C$6,(E$30+$B31/100),2,E$27,$E$8,E$28,100,$C$6)</f>
        <v>101.15358167529735</v>
      </c>
      <c r="F31" s="25">
        <f ca="1">[1]!B_CALC_PRICE("999999",$C$6,(F$30+$B31/100),2,F$27,$E$8,F$28,100,$C$6)</f>
        <v>101.5260451786225</v>
      </c>
      <c r="G31" s="25">
        <f ca="1">[1]!B_CALC_PRICE("999999",$C$6,(G$30+$B31/100),2,G$27,$E$8,G$28,100,$C$6)</f>
        <v>101.55359025065256</v>
      </c>
      <c r="H31" s="25">
        <f ca="1">[1]!B_CALC_PRICE("999999",$C$6,(H$30+$B31/100),2,H$27,$E$8,H$28,100,$C$6)</f>
        <v>101.85867905438302</v>
      </c>
      <c r="I31" s="25">
        <f ca="1">[1]!B_CALC_PRICE("999999",$C$6,(I$30+$B31/100),2,I$27,$E$8,I$28,100,$C$6)</f>
        <v>102.25905566400401</v>
      </c>
      <c r="J31" s="25">
        <f ca="1">[1]!B_CALC_PRICE("999999",$C$6,(J$30+$B31/100),2,J$27,$E$8,J$28,100,$C$6)</f>
        <v>102.78536917835237</v>
      </c>
      <c r="K31" s="25">
        <f ca="1">[1]!B_CALC_PRICE("999999",$C$6,(K$30+$B31/100),2,K$27,$E$8,K$28,100,$C$6)</f>
        <v>103.85177107072224</v>
      </c>
      <c r="L31" s="25">
        <f ca="1">[1]!B_CALC_PRICE("999999",$C$6,(L$30+$B31/100),2,L$27,$E$8,L$28,100,$C$6)</f>
        <v>104.95931178462614</v>
      </c>
      <c r="M31" s="25">
        <f ca="1">[1]!B_CALC_PRICE("999999",$C$6,(M$30+$B31/100),2,M$27,$E$8,M$28,100,$C$6)</f>
        <v>106.41819644808679</v>
      </c>
    </row>
    <row r="32" spans="2:13" ht="15.75" customHeight="1">
      <c r="B32" s="27">
        <v>-20</v>
      </c>
      <c r="C32" s="25">
        <f ca="1">[1]!B_CALC_PRICE("999999",$C$6,(C$30+$B32/100),2,C$27,$E$8,C$28,100,$C$6)</f>
        <v>100.35009047281881</v>
      </c>
      <c r="D32" s="25">
        <f ca="1">[1]!B_CALC_PRICE("999999",$C$6,(D$30+$B32/100),2,D$27,$E$8,D$28,100,$C$6)</f>
        <v>100.56006152328527</v>
      </c>
      <c r="E32" s="25">
        <f ca="1">[1]!B_CALC_PRICE("999999",$C$6,(E$30+$B32/100),2,E$27,$E$8,E$28,100,$C$6)</f>
        <v>100.86256153521413</v>
      </c>
      <c r="F32" s="25">
        <f ca="1">[1]!B_CALC_PRICE("999999",$C$6,(F$30+$B32/100),2,F$27,$E$8,F$28,100,$C$6)</f>
        <v>101.14185411868776</v>
      </c>
      <c r="G32" s="25">
        <f ca="1">[1]!B_CALC_PRICE("999999",$C$6,(G$30+$B32/100),2,G$27,$E$8,G$28,100,$C$6)</f>
        <v>101.0795290489591</v>
      </c>
      <c r="H32" s="25">
        <f ca="1">[1]!B_CALC_PRICE("999999",$C$6,(H$30+$B32/100),2,H$27,$E$8,H$28,100,$C$6)</f>
        <v>101.29530785821353</v>
      </c>
      <c r="I32" s="25">
        <f ca="1">[1]!B_CALC_PRICE("999999",$C$6,(I$30+$B32/100),2,I$27,$E$8,I$28,100,$C$6)</f>
        <v>101.60798858374598</v>
      </c>
      <c r="J32" s="25">
        <f ca="1">[1]!B_CALC_PRICE("999999",$C$6,(J$30+$B32/100),2,J$27,$E$8,J$28,100,$C$6)</f>
        <v>101.88649185868196</v>
      </c>
      <c r="K32" s="25">
        <f ca="1">[1]!B_CALC_PRICE("999999",$C$6,(K$30+$B32/100),2,K$27,$E$8,K$28,100,$C$6)</f>
        <v>102.57019505637444</v>
      </c>
      <c r="L32" s="25">
        <f ca="1">[1]!B_CALC_PRICE("999999",$C$6,(L$30+$B32/100),2,L$27,$E$8,L$28,100,$C$6)</f>
        <v>103.34145377784822</v>
      </c>
      <c r="M32" s="25">
        <f ca="1">[1]!B_CALC_PRICE("999999",$C$6,(M$30+$B32/100),2,M$27,$E$8,M$28,100,$C$6)</f>
        <v>104.22670346603709</v>
      </c>
    </row>
    <row r="33" spans="2:13" ht="15.75" customHeight="1">
      <c r="B33" s="27">
        <v>-10</v>
      </c>
      <c r="C33" s="25">
        <f ca="1">[1]!B_CALC_PRICE("999999",$C$6,(C$30+$B33/100),2,C$27,$E$8,C$28,100,$C$6)</f>
        <v>100.25150312414036</v>
      </c>
      <c r="D33" s="25">
        <f ca="1">[1]!B_CALC_PRICE("999999",$C$6,(D$30+$B33/100),2,D$27,$E$8,D$28,100,$C$6)</f>
        <v>100.36492465155862</v>
      </c>
      <c r="E33" s="25">
        <f ca="1">[1]!B_CALC_PRICE("999999",$C$6,(E$30+$B33/100),2,E$27,$E$8,E$28,100,$C$6)</f>
        <v>100.57267284877776</v>
      </c>
      <c r="F33" s="25">
        <f ca="1">[1]!B_CALC_PRICE("999999",$C$6,(F$30+$B33/100),2,F$27,$E$8,F$28,100,$C$6)</f>
        <v>100.75951972530126</v>
      </c>
      <c r="G33" s="25">
        <f ca="1">[1]!B_CALC_PRICE("999999",$C$6,(G$30+$B33/100),2,G$27,$E$8,G$28,100,$C$6)</f>
        <v>100.60820189238676</v>
      </c>
      <c r="H33" s="25">
        <f ca="1">[1]!B_CALC_PRICE("999999",$C$6,(H$30+$B33/100),2,H$27,$E$8,H$28,100,$C$6)</f>
        <v>100.73570863309423</v>
      </c>
      <c r="I33" s="25">
        <f ca="1">[1]!B_CALC_PRICE("999999",$C$6,(I$30+$B33/100),2,I$27,$E$8,I$28,100,$C$6)</f>
        <v>100.96187734815422</v>
      </c>
      <c r="J33" s="25">
        <f ca="1">[1]!B_CALC_PRICE("999999",$C$6,(J$30+$B33/100),2,J$27,$E$8,J$28,100,$C$6)</f>
        <v>100.99687640903674</v>
      </c>
      <c r="K33" s="25">
        <f ca="1">[1]!B_CALC_PRICE("999999",$C$6,(K$30+$B33/100),2,K$27,$E$8,K$28,100,$C$6)</f>
        <v>101.30736284188184</v>
      </c>
      <c r="L33" s="25">
        <f ca="1">[1]!B_CALC_PRICE("999999",$C$6,(L$30+$B33/100),2,L$27,$E$8,L$28,100,$C$6)</f>
        <v>101.75381568719111</v>
      </c>
      <c r="M33" s="25">
        <f ca="1">[1]!B_CALC_PRICE("999999",$C$6,(M$30+$B33/100),2,M$27,$E$8,M$28,100,$C$6)</f>
        <v>102.09264022041607</v>
      </c>
    </row>
    <row r="34" spans="2:13" ht="15.75" customHeight="1">
      <c r="B34" s="29">
        <v>0</v>
      </c>
      <c r="C34" s="25">
        <f ca="1">[1]!B_CALC_PRICE("999999",$C$6,(C$30+$B34/100),2,C$27,$E$8,C$28,100,$C$6)</f>
        <v>100.1531092964824</v>
      </c>
      <c r="D34" s="25">
        <f ca="1">[1]!B_CALC_PRICE("999999",$C$6,(D$30+$B34/100),2,D$27,$E$8,D$28,100,$C$6)</f>
        <v>100.1703591739945</v>
      </c>
      <c r="E34" s="25">
        <f ca="1">[1]!B_CALC_PRICE("999999",$C$6,(E$30+$B34/100),2,E$27,$E$8,E$28,100,$C$6)</f>
        <v>100.28391010255879</v>
      </c>
      <c r="F34" s="25">
        <f ca="1">[1]!B_CALC_PRICE("999999",$C$6,(F$30+$B34/100),2,F$27,$E$8,F$28,100,$C$6)</f>
        <v>100.37903118014515</v>
      </c>
      <c r="G34" s="25">
        <f ca="1">[1]!B_CALC_PRICE("999999",$C$6,(G$30+$B34/100),2,G$27,$E$8,G$28,100,$C$6)</f>
        <v>100.13959026036494</v>
      </c>
      <c r="H34" s="25">
        <f ca="1">[1]!B_CALC_PRICE("999999",$C$6,(H$30+$B34/100),2,H$27,$E$8,H$28,100,$C$6)</f>
        <v>100.17985226129608</v>
      </c>
      <c r="I34" s="25">
        <f ca="1">[1]!B_CALC_PRICE("999999",$C$6,(I$30+$B34/100),2,I$27,$E$8,I$28,100,$C$6)</f>
        <v>100.32067904959025</v>
      </c>
      <c r="J34" s="25">
        <f ca="1">[1]!B_CALC_PRICE("999999",$C$6,(J$30+$B34/100),2,J$27,$E$8,J$28,100,$C$6)</f>
        <v>100.11641688731497</v>
      </c>
      <c r="K34" s="25">
        <f ca="1">[1]!B_CALC_PRICE("999999",$C$6,(K$30+$B34/100),2,K$27,$E$8,K$28,100,$C$6)</f>
        <v>100.06297488683366</v>
      </c>
      <c r="L34" s="25">
        <f ca="1">[1]!B_CALC_PRICE("999999",$C$6,(L$30+$B34/100),2,L$27,$E$8,L$28,100,$C$6)</f>
        <v>100.19578228398757</v>
      </c>
      <c r="M34" s="25">
        <f ca="1">[1]!B_CALC_PRICE("999999",$C$6,(M$30+$B34/100),2,M$27,$E$8,M$28,100,$C$6)</f>
        <v>100.01435520915336</v>
      </c>
    </row>
    <row r="35" spans="2:13" ht="15.75" customHeight="1">
      <c r="B35" s="27">
        <v>10</v>
      </c>
      <c r="C35" s="25">
        <f ca="1">[1]!B_CALC_PRICE("999999",$C$6,(C$30+$B35/100),2,C$27,$E$8,C$28,100,$C$6)</f>
        <v>100.05490842059851</v>
      </c>
      <c r="D35" s="25">
        <f ca="1">[1]!B_CALC_PRICE("999999",$C$6,(D$30+$B35/100),2,D$27,$E$8,D$28,100,$C$6)</f>
        <v>99.976362858018334</v>
      </c>
      <c r="E35" s="25">
        <f ca="1">[1]!B_CALC_PRICE("999999",$C$6,(E$30+$B35/100),2,E$27,$E$8,E$28,100,$C$6)</f>
        <v>99.996267815382879</v>
      </c>
      <c r="F35" s="25">
        <f ca="1">[1]!B_CALC_PRICE("999999",$C$6,(F$30+$B35/100),2,F$27,$E$8,F$28,100,$C$6)</f>
        <v>100.00037773854092</v>
      </c>
      <c r="G35" s="25">
        <f ca="1">[1]!B_CALC_PRICE("999999",$C$6,(G$30+$B35/100),2,G$27,$E$8,G$28,100,$C$6)</f>
        <v>99.673675776012715</v>
      </c>
      <c r="H35" s="25">
        <f ca="1">[1]!B_CALC_PRICE("999999",$C$6,(H$30+$B35/100),2,H$27,$E$8,H$28,100,$C$6)</f>
        <v>99.627709878715351</v>
      </c>
      <c r="I35" s="25">
        <f ca="1">[1]!B_CALC_PRICE("999999",$C$6,(I$30+$B35/100),2,I$27,$E$8,I$28,100,$C$6)</f>
        <v>99.684351194787141</v>
      </c>
      <c r="J35" s="25">
        <f ca="1">[1]!B_CALC_PRICE("999999",$C$6,(J$30+$B35/100),2,J$27,$E$8,J$28,100,$C$6)</f>
        <v>99.245008672820035</v>
      </c>
      <c r="K35" s="25">
        <f ca="1">[1]!B_CALC_PRICE("999999",$C$6,(K$30+$B35/100),2,K$27,$E$8,K$28,100,$C$6)</f>
        <v>98.836736774912112</v>
      </c>
      <c r="L35" s="25">
        <f ca="1">[1]!B_CALC_PRICE("999999",$C$6,(L$30+$B35/100),2,L$27,$E$8,L$28,100,$C$6)</f>
        <v>98.666751642923742</v>
      </c>
      <c r="M35" s="25">
        <f ca="1">[1]!B_CALC_PRICE("999999",$C$6,(M$30+$B35/100),2,M$27,$E$8,M$28,100,$C$6)</f>
        <v>97.990247158781642</v>
      </c>
    </row>
    <row r="36" spans="2:13" ht="15.75" customHeight="1">
      <c r="B36" s="27">
        <v>15</v>
      </c>
      <c r="C36" s="25">
        <f ca="1">[1]!B_CALC_PRICE("999999",$C$6,(C$30+$B36/100),2,C$27,$E$8,C$28,100,$C$6)</f>
        <v>100.00588016229248</v>
      </c>
      <c r="D36" s="25">
        <f ca="1">[1]!B_CALC_PRICE("999999",$C$6,(D$30+$B36/100),2,D$27,$E$8,D$28,100,$C$6)</f>
        <v>99.879577440928585</v>
      </c>
      <c r="E36" s="25">
        <f ca="1">[1]!B_CALC_PRICE("999999",$C$6,(E$30+$B36/100),2,E$27,$E$8,E$28,100,$C$6)</f>
        <v>99.852865139834819</v>
      </c>
      <c r="F36" s="25">
        <f ca="1">[1]!B_CALC_PRICE("999999",$C$6,(F$30+$B36/100),2,F$27,$E$8,F$28,100,$C$6)</f>
        <v>99.811735843853143</v>
      </c>
      <c r="G36" s="25">
        <f ca="1">[1]!B_CALC_PRICE("999999",$C$6,(G$30+$B36/100),2,G$27,$E$8,G$28,100,$C$6)</f>
        <v>99.441724260418155</v>
      </c>
      <c r="H36" s="25">
        <f ca="1">[1]!B_CALC_PRICE("999999",$C$6,(H$30+$B36/100),2,H$27,$E$8,H$28,100,$C$6)</f>
        <v>99.35302248209436</v>
      </c>
      <c r="I36" s="25">
        <f ca="1">[1]!B_CALC_PRICE("999999",$C$6,(I$30+$B36/100),2,I$27,$E$8,I$28,100,$C$6)</f>
        <v>99.368000516868364</v>
      </c>
      <c r="J36" s="25">
        <f ca="1">[1]!B_CALC_PRICE("999999",$C$6,(J$30+$B36/100),2,J$27,$E$8,J$28,100,$C$6)</f>
        <v>98.812666468750649</v>
      </c>
      <c r="K36" s="25">
        <f ca="1">[1]!B_CALC_PRICE("999999",$C$6,(K$30+$B36/100),2,K$27,$E$8,K$28,100,$C$6)</f>
        <v>98.230333283222933</v>
      </c>
      <c r="L36" s="25">
        <f ca="1">[1]!B_CALC_PRICE("999999",$C$6,(L$30+$B36/100),2,L$27,$E$8,L$28,100,$C$6)</f>
        <v>97.912927819589953</v>
      </c>
      <c r="M36" s="25">
        <f ca="1">[1]!B_CALC_PRICE("999999",$C$6,(M$30+$B36/100),2,M$27,$E$8,M$28,100,$C$6)</f>
        <v>96.998022437096736</v>
      </c>
    </row>
    <row r="37" spans="2:13" ht="15.75" customHeight="1">
      <c r="B37" s="27">
        <v>20</v>
      </c>
      <c r="C37" s="25">
        <f ca="1">[1]!B_CALC_PRICE("999999",$C$6,(C$30+$B37/100),2,C$27,$E$8,C$28,100,$C$6)</f>
        <v>99.956899929472613</v>
      </c>
      <c r="D37" s="25">
        <f ca="1">[1]!B_CALC_PRICE("999999",$C$6,(D$30+$B37/100),2,D$27,$E$8,D$28,100,$C$6)</f>
        <v>99.782933481956391</v>
      </c>
      <c r="E37" s="25">
        <f ca="1">[1]!B_CALC_PRICE("999999",$C$6,(E$30+$B37/100),2,E$27,$E$8,E$28,100,$C$6)</f>
        <v>99.709740538111163</v>
      </c>
      <c r="F37" s="25">
        <f ca="1">[1]!B_CALC_PRICE("999999",$C$6,(F$30+$B37/100),2,F$27,$E$8,F$28,100,$C$6)</f>
        <v>99.623548728875804</v>
      </c>
      <c r="G37" s="25">
        <f ca="1">[1]!B_CALC_PRICE("999999",$C$6,(G$30+$B37/100),2,G$27,$E$8,G$28,100,$C$6)</f>
        <v>99.210440204883156</v>
      </c>
      <c r="H37" s="25">
        <f ca="1">[1]!B_CALC_PRICE("999999",$C$6,(H$30+$B37/100),2,H$27,$E$8,H$28,100,$C$6)</f>
        <v>99.079252872415694</v>
      </c>
      <c r="I37" s="25">
        <f ca="1">[1]!B_CALC_PRICE("999999",$C$6,(I$30+$B37/100),2,I$27,$E$8,I$28,100,$C$6)</f>
        <v>99.052851700440016</v>
      </c>
      <c r="J37" s="25">
        <f ca="1">[1]!B_CALC_PRICE("999999",$C$6,(J$30+$B37/100),2,J$27,$E$8,J$28,100,$C$6)</f>
        <v>98.382548448459687</v>
      </c>
      <c r="K37" s="25">
        <f ca="1">[1]!B_CALC_PRICE("999999",$C$6,(K$30+$B37/100),2,K$27,$E$8,K$28,100,$C$6)</f>
        <v>97.628359120902402</v>
      </c>
      <c r="L37" s="25">
        <f ca="1">[1]!B_CALC_PRICE("999999",$C$6,(L$30+$B37/100),2,L$27,$E$8,L$28,100,$C$6)</f>
        <v>97.16613483959037</v>
      </c>
      <c r="M37" s="25">
        <f ca="1">[1]!B_CALC_PRICE("999999",$C$6,(M$30+$B37/100),2,M$27,$E$8,M$28,100,$C$6)</f>
        <v>96.018763430832436</v>
      </c>
    </row>
    <row r="38" spans="2:13" ht="15.75" customHeight="1">
      <c r="B38" s="27">
        <v>25</v>
      </c>
      <c r="C38" s="25">
        <f ca="1">[1]!B_CALC_PRICE("999999",$C$6,(C$30+$B38/100),2,C$27,$E$8,C$28,100,$C$6)</f>
        <v>99.907967651608601</v>
      </c>
      <c r="D38" s="25">
        <f ca="1">[1]!B_CALC_PRICE("999999",$C$6,(D$30+$B38/100),2,D$27,$E$8,D$28,100,$C$6)</f>
        <v>99.6864307050853</v>
      </c>
      <c r="E38" s="25">
        <f ca="1">[1]!B_CALC_PRICE("999999",$C$6,(E$30+$B38/100),2,E$27,$E$8,E$28,100,$C$6)</f>
        <v>99.56689333403925</v>
      </c>
      <c r="F38" s="25">
        <f ca="1">[1]!B_CALC_PRICE("999999",$C$6,(F$30+$B38/100),2,F$27,$E$8,F$28,100,$C$6)</f>
        <v>99.435815070980681</v>
      </c>
      <c r="G38" s="25">
        <f ca="1">[1]!B_CALC_PRICE("999999",$C$6,(G$30+$B38/100),2,G$27,$E$8,G$28,100,$C$6)</f>
        <v>98.979821352153209</v>
      </c>
      <c r="H38" s="25">
        <f ca="1">[1]!B_CALC_PRICE("999999",$C$6,(H$30+$B38/100),2,H$27,$E$8,H$28,100,$C$6)</f>
        <v>98.806397511908742</v>
      </c>
      <c r="I38" s="25">
        <f ca="1">[1]!B_CALC_PRICE("999999",$C$6,(I$30+$B38/100),2,I$27,$E$8,I$28,100,$C$6)</f>
        <v>98.738899548430737</v>
      </c>
      <c r="J38" s="25">
        <f ca="1">[1]!B_CALC_PRICE("999999",$C$6,(J$30+$B38/100),2,J$27,$E$8,J$28,100,$C$6)</f>
        <v>97.954641898120798</v>
      </c>
      <c r="K38" s="25">
        <f ca="1">[1]!B_CALC_PRICE("999999",$C$6,(K$30+$B38/100),2,K$27,$E$8,K$28,100,$C$6)</f>
        <v>97.030778885943775</v>
      </c>
      <c r="L38" s="25">
        <f ca="1">[1]!B_CALC_PRICE("999999",$C$6,(L$30+$B38/100),2,L$27,$E$8,L$28,100,$C$6)</f>
        <v>96.426301070325309</v>
      </c>
      <c r="M38" s="25">
        <f ca="1">[1]!B_CALC_PRICE("999999",$C$6,(M$30+$B38/100),2,M$27,$E$8,M$28,100,$C$6)</f>
        <v>95.05228340654898</v>
      </c>
    </row>
    <row r="39" spans="2:13" ht="15.75" customHeight="1">
      <c r="B39" s="27">
        <v>30</v>
      </c>
      <c r="C39" s="25">
        <f ca="1">[1]!B_CALC_PRICE("999999",$C$6,(C$30+$B39/100),2,C$27,$E$8,C$28,100,$C$6)</f>
        <v>99.859083258308218</v>
      </c>
      <c r="D39" s="25">
        <f ca="1">[1]!B_CALC_PRICE("999999",$C$6,(D$30+$B39/100),2,D$27,$E$8,D$28,100,$C$6)</f>
        <v>99.590068834972271</v>
      </c>
      <c r="E39" s="25">
        <f ca="1">[1]!B_CALC_PRICE("999999",$C$6,(E$30+$B39/100),2,E$27,$E$8,E$28,100,$C$6)</f>
        <v>99.424322853421288</v>
      </c>
      <c r="F39" s="25">
        <f ca="1">[1]!B_CALC_PRICE("999999",$C$6,(F$30+$B39/100),2,F$27,$E$8,F$28,100,$C$6)</f>
        <v>99.24853355203544</v>
      </c>
      <c r="G39" s="25">
        <f ca="1">[1]!B_CALC_PRICE("999999",$C$6,(G$30+$B39/100),2,G$27,$E$8,G$28,100,$C$6)</f>
        <v>98.749865453721497</v>
      </c>
      <c r="H39" s="25">
        <f ca="1">[1]!B_CALC_PRICE("999999",$C$6,(H$30+$B39/100),2,H$27,$E$8,H$28,100,$C$6)</f>
        <v>98.534452878198053</v>
      </c>
      <c r="I39" s="25">
        <f ca="1">[1]!B_CALC_PRICE("999999",$C$6,(I$30+$B39/100),2,I$27,$E$8,I$28,100,$C$6)</f>
        <v>98.426138888850005</v>
      </c>
      <c r="J39" s="25">
        <f ca="1">[1]!B_CALC_PRICE("999999",$C$6,(J$30+$B39/100),2,J$27,$E$8,J$28,100,$C$6)</f>
        <v>97.528934183204427</v>
      </c>
      <c r="K39" s="25">
        <f ca="1">[1]!B_CALC_PRICE("999999",$C$6,(K$30+$B39/100),2,K$27,$E$8,K$28,100,$C$6)</f>
        <v>96.437557479479267</v>
      </c>
      <c r="L39" s="25">
        <f ca="1">[1]!B_CALC_PRICE("999999",$C$6,(L$30+$B39/100),2,L$27,$E$8,L$28,100,$C$6)</f>
        <v>95.693355655229993</v>
      </c>
      <c r="M39" s="25">
        <f ca="1">[1]!B_CALC_PRICE("999999",$C$6,(M$30+$B39/100),2,M$27,$E$8,M$28,100,$C$6)</f>
        <v>94.098398480624411</v>
      </c>
    </row>
    <row r="40" spans="2:13" ht="15.75" customHeight="1">
      <c r="B40" s="27">
        <v>40</v>
      </c>
      <c r="C40" s="25">
        <f ca="1">[1]!B_CALC_PRICE("999999",$C$6,(C$30+$B40/100),2,C$27,$E$8,C$28,100,$C$6)</f>
        <v>99.761457844517437</v>
      </c>
      <c r="D40" s="25">
        <f ca="1">[1]!B_CALC_PRICE("999999",$C$6,(D$30+$B40/100),2,D$27,$E$8,D$28,100,$C$6)</f>
        <v>99.397766717003194</v>
      </c>
      <c r="E40" s="25">
        <f ca="1">[1]!B_CALC_PRICE("999999",$C$6,(E$30+$B40/100),2,E$27,$E$8,E$28,100,$C$6)</f>
        <v>99.140009375591319</v>
      </c>
      <c r="F40" s="25">
        <f ca="1">[1]!B_CALC_PRICE("999999",$C$6,(F$30+$B40/100),2,F$27,$E$8,F$28,100,$C$6)</f>
        <v>98.875321680840244</v>
      </c>
      <c r="G40" s="25">
        <f ca="1">[1]!B_CALC_PRICE("999999",$C$6,(G$30+$B40/100),2,G$27,$E$8,G$28,100,$C$6)</f>
        <v>98.291933569233635</v>
      </c>
      <c r="H40" s="25">
        <f ca="1">[1]!B_CALC_PRICE("999999",$C$6,(H$30+$B40/100),2,H$27,$E$8,H$28,100,$C$6)</f>
        <v>97.993281778194785</v>
      </c>
      <c r="I40" s="25">
        <f ca="1">[1]!B_CALC_PRICE("999999",$C$6,(I$30+$B40/100),2,I$27,$E$8,I$28,100,$C$6)</f>
        <v>97.804171483616699</v>
      </c>
      <c r="J40" s="25">
        <f ca="1">[1]!B_CALC_PRICE("999999",$C$6,(J$30+$B40/100),2,J$27,$E$8,J$28,100,$C$6)</f>
        <v>96.684065114798784</v>
      </c>
      <c r="K40" s="25">
        <f ca="1">[1]!B_CALC_PRICE("999999",$C$6,(K$30+$B40/100),2,K$27,$E$8,K$28,100,$C$6)</f>
        <v>95.264052255742953</v>
      </c>
      <c r="L40" s="25">
        <f ca="1">[1]!B_CALC_PRICE("999999",$C$6,(L$30+$B40/100),2,L$27,$E$8,L$28,100,$C$6)</f>
        <v>94.247850288491506</v>
      </c>
      <c r="M40" s="25">
        <f ca="1">[1]!B_CALC_PRICE("999999",$C$6,(M$30+$B40/100),2,M$27,$E$8,M$28,100,$C$6)</f>
        <v>92.227692366680103</v>
      </c>
    </row>
    <row r="41" spans="2:13" ht="15.75" customHeight="1">
      <c r="B41" s="27">
        <v>50</v>
      </c>
      <c r="C41" s="25">
        <f ca="1">[1]!B_CALC_PRICE("999999",$C$6,(C$30+$B41/100),2,C$27,$E$8,C$28,100,$C$6)</f>
        <v>99.664023127710266</v>
      </c>
      <c r="D41" s="25">
        <f ca="1">[1]!B_CALC_PRICE("999999",$C$6,(D$30+$B41/100),2,D$27,$E$8,D$28,100,$C$6)</f>
        <v>99.206024938697325</v>
      </c>
      <c r="E41" s="25">
        <f ca="1">[1]!B_CALC_PRICE("999999",$C$6,(E$30+$B41/100),2,E$27,$E$8,E$28,100,$C$6)</f>
        <v>98.856794750284195</v>
      </c>
      <c r="F41" s="25">
        <f ca="1">[1]!B_CALC_PRICE("999999",$C$6,(F$30+$B41/100),2,F$27,$E$8,F$28,100,$C$6)</f>
        <v>98.503902659487977</v>
      </c>
      <c r="G41" s="25">
        <f ca="1">[1]!B_CALC_PRICE("999999",$C$6,(G$30+$B41/100),2,G$27,$E$8,G$28,100,$C$6)</f>
        <v>97.836626736868126</v>
      </c>
      <c r="H41" s="25">
        <f ca="1">[1]!B_CALC_PRICE("999999",$C$6,(H$30+$B41/100),2,H$27,$E$8,H$28,100,$C$6)</f>
        <v>97.455711698491072</v>
      </c>
      <c r="I41" s="25">
        <f ca="1">[1]!B_CALC_PRICE("999999",$C$6,(I$30+$B41/100),2,I$27,$E$8,I$28,100,$C$6)</f>
        <v>97.186908605382385</v>
      </c>
      <c r="J41" s="25">
        <f ca="1">[1]!B_CALC_PRICE("999999",$C$6,(J$30+$B41/100),2,J$27,$E$8,J$28,100,$C$6)</f>
        <v>95.847841732721392</v>
      </c>
      <c r="K41" s="25">
        <f ca="1">[1]!B_CALC_PRICE("999999",$C$6,(K$30+$B41/100),2,K$27,$E$8,K$28,100,$C$6)</f>
        <v>94.107568617460743</v>
      </c>
      <c r="L41" s="25">
        <f ca="1">[1]!B_CALC_PRICE("999999",$C$6,(L$30+$B41/100),2,L$27,$E$8,L$28,100,$C$6)</f>
        <v>92.829067074028757</v>
      </c>
      <c r="M41" s="25">
        <f ca="1">[1]!B_CALC_PRICE("999999",$C$6,(M$30+$B41/100),2,M$27,$E$8,M$28,100,$C$6)</f>
        <v>90.405229309039683</v>
      </c>
    </row>
  </sheetData>
  <phoneticPr fontId="8" type="noConversion"/>
  <conditionalFormatting sqref="C23:M23">
    <cfRule type="colorScale" priority="11">
      <colorScale>
        <cfvo type="min"/>
        <cfvo type="percentile" val="50"/>
        <cfvo type="max"/>
        <color rgb="FFF8696B"/>
        <color rgb="FFFFEB84"/>
        <color rgb="FF63BE7B"/>
      </colorScale>
    </cfRule>
  </conditionalFormatting>
  <conditionalFormatting sqref="C22:M22">
    <cfRule type="colorScale" priority="10">
      <colorScale>
        <cfvo type="min"/>
        <cfvo type="percentile" val="50"/>
        <cfvo type="max"/>
        <color rgb="FFF8696B"/>
        <color rgb="FFFFEB84"/>
        <color rgb="FF63BE7B"/>
      </colorScale>
    </cfRule>
  </conditionalFormatting>
  <conditionalFormatting sqref="C21:M21">
    <cfRule type="colorScale" priority="9">
      <colorScale>
        <cfvo type="min"/>
        <cfvo type="percentile" val="50"/>
        <cfvo type="max"/>
        <color rgb="FFF8696B"/>
        <color rgb="FFFFEB84"/>
        <color rgb="FF63BE7B"/>
      </colorScale>
    </cfRule>
  </conditionalFormatting>
  <conditionalFormatting sqref="C20:M20">
    <cfRule type="colorScale" priority="8">
      <colorScale>
        <cfvo type="min"/>
        <cfvo type="percentile" val="50"/>
        <cfvo type="max"/>
        <color rgb="FFF8696B"/>
        <color rgb="FFFFEB84"/>
        <color rgb="FF63BE7B"/>
      </colorScale>
    </cfRule>
  </conditionalFormatting>
  <conditionalFormatting sqref="C19:M19">
    <cfRule type="colorScale" priority="7">
      <colorScale>
        <cfvo type="min"/>
        <cfvo type="percentile" val="50"/>
        <cfvo type="max"/>
        <color rgb="FFF8696B"/>
        <color rgb="FFFFEB84"/>
        <color rgb="FF63BE7B"/>
      </colorScale>
    </cfRule>
  </conditionalFormatting>
  <conditionalFormatting sqref="C18:M18">
    <cfRule type="colorScale" priority="6">
      <colorScale>
        <cfvo type="min"/>
        <cfvo type="percentile" val="50"/>
        <cfvo type="max"/>
        <color rgb="FFF8696B"/>
        <color rgb="FFFFEB84"/>
        <color rgb="FF63BE7B"/>
      </colorScale>
    </cfRule>
  </conditionalFormatting>
  <conditionalFormatting sqref="C17:M17">
    <cfRule type="colorScale" priority="5">
      <colorScale>
        <cfvo type="min"/>
        <cfvo type="percentile" val="50"/>
        <cfvo type="max"/>
        <color rgb="FFF8696B"/>
        <color rgb="FFFFEB84"/>
        <color rgb="FF63BE7B"/>
      </colorScale>
    </cfRule>
  </conditionalFormatting>
  <conditionalFormatting sqref="C16:M16">
    <cfRule type="colorScale" priority="4">
      <colorScale>
        <cfvo type="min"/>
        <cfvo type="percentile" val="50"/>
        <cfvo type="max"/>
        <color rgb="FFF8696B"/>
        <color rgb="FFFFEB84"/>
        <color rgb="FF63BE7B"/>
      </colorScale>
    </cfRule>
  </conditionalFormatting>
  <conditionalFormatting sqref="C15:M15">
    <cfRule type="colorScale" priority="3">
      <colorScale>
        <cfvo type="min"/>
        <cfvo type="percentile" val="50"/>
        <cfvo type="max"/>
        <color rgb="FFF8696B"/>
        <color rgb="FFFFEB84"/>
        <color rgb="FF63BE7B"/>
      </colorScale>
    </cfRule>
  </conditionalFormatting>
  <conditionalFormatting sqref="C14:M14">
    <cfRule type="colorScale" priority="2">
      <colorScale>
        <cfvo type="min"/>
        <cfvo type="percentile" val="50"/>
        <cfvo type="max"/>
        <color rgb="FFF8696B"/>
        <color rgb="FFFFEB84"/>
        <color rgb="FF63BE7B"/>
      </colorScale>
    </cfRule>
  </conditionalFormatting>
  <conditionalFormatting sqref="C13:M13">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E8">
      <formula1>"1,2"</formula1>
    </dataValidation>
  </dataValidations>
  <pageMargins left="0.75" right="0.75" top="1" bottom="1" header="0.5" footer="0.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609" r:id="rId4" name="Drop Down 585">
              <controlPr defaultSize="0" autoLine="0" autoPict="0">
                <anchor moveWithCells="1">
                  <from>
                    <xdr:col>1</xdr:col>
                    <xdr:colOff>1276350</xdr:colOff>
                    <xdr:row>4</xdr:row>
                    <xdr:rowOff>0</xdr:rowOff>
                  </from>
                  <to>
                    <xdr:col>3</xdr:col>
                    <xdr:colOff>28575</xdr:colOff>
                    <xdr:row>5</xdr:row>
                    <xdr:rowOff>0</xdr:rowOff>
                  </to>
                </anchor>
              </controlPr>
            </control>
          </mc:Choice>
        </mc:AlternateContent>
        <mc:AlternateContent xmlns:mc="http://schemas.openxmlformats.org/markup-compatibility/2006">
          <mc:Choice Requires="x14">
            <control shapeId="1633" r:id="rId5" name="Drop Down 609">
              <controlPr defaultSize="0" autoLine="0" autoPict="0">
                <anchor moveWithCells="1">
                  <from>
                    <xdr:col>1</xdr:col>
                    <xdr:colOff>1285875</xdr:colOff>
                    <xdr:row>6</xdr:row>
                    <xdr:rowOff>0</xdr:rowOff>
                  </from>
                  <to>
                    <xdr:col>4</xdr:col>
                    <xdr:colOff>790575</xdr:colOff>
                    <xdr:row>6</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showGridLines="0" showWhiteSpace="0" workbookViewId="0">
      <selection activeCell="F37" sqref="F37"/>
    </sheetView>
  </sheetViews>
  <sheetFormatPr defaultRowHeight="14.25"/>
  <sheetData/>
  <phoneticPr fontId="2" type="noConversion"/>
  <pageMargins left="0.75" right="0.75" top="1" bottom="1" header="0.5" footer="0.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277"/>
  <sheetViews>
    <sheetView topLeftCell="A241" workbookViewId="0">
      <selection activeCell="A256" sqref="A256"/>
    </sheetView>
  </sheetViews>
  <sheetFormatPr defaultRowHeight="15"/>
  <cols>
    <col min="1" max="1" width="60.25" style="35" customWidth="1"/>
    <col min="2" max="2" width="9.125" style="36" customWidth="1"/>
    <col min="3" max="3" width="12.125" customWidth="1"/>
    <col min="5" max="5" width="16.875" customWidth="1"/>
    <col min="6" max="6" width="7.25" customWidth="1"/>
    <col min="7" max="9" width="10.5" customWidth="1"/>
  </cols>
  <sheetData>
    <row r="1" spans="1:2" ht="15.75" thickBot="1">
      <c r="A1" s="32" t="s">
        <v>73</v>
      </c>
      <c r="B1" s="33"/>
    </row>
    <row r="2" spans="1:2" ht="14.25">
      <c r="A2" s="5" t="s">
        <v>76</v>
      </c>
      <c r="B2" s="43">
        <v>1232</v>
      </c>
    </row>
    <row r="3" spans="1:2" ht="14.25">
      <c r="A3" s="5" t="s">
        <v>77</v>
      </c>
      <c r="B3" s="43">
        <v>4202</v>
      </c>
    </row>
    <row r="4" spans="1:2" ht="14.25">
      <c r="A4" s="5" t="s">
        <v>78</v>
      </c>
      <c r="B4" s="43">
        <v>2142</v>
      </c>
    </row>
    <row r="5" spans="1:2" ht="14.25">
      <c r="A5" s="5" t="s">
        <v>79</v>
      </c>
      <c r="B5" s="43">
        <v>1322</v>
      </c>
    </row>
    <row r="6" spans="1:2" ht="14.25">
      <c r="A6" s="5" t="s">
        <v>80</v>
      </c>
      <c r="B6" s="43">
        <v>2352</v>
      </c>
    </row>
    <row r="7" spans="1:2" ht="14.25">
      <c r="A7" s="5" t="s">
        <v>81</v>
      </c>
      <c r="B7" s="43">
        <v>1882</v>
      </c>
    </row>
    <row r="8" spans="1:2" ht="14.25">
      <c r="A8" s="5" t="s">
        <v>82</v>
      </c>
      <c r="B8" s="43">
        <v>2122</v>
      </c>
    </row>
    <row r="9" spans="1:2" ht="14.25">
      <c r="A9" s="5" t="s">
        <v>83</v>
      </c>
      <c r="B9" s="43" t="s">
        <v>133</v>
      </c>
    </row>
    <row r="10" spans="1:2" ht="14.25">
      <c r="A10" s="5" t="s">
        <v>84</v>
      </c>
      <c r="B10" s="43" t="s">
        <v>46</v>
      </c>
    </row>
    <row r="11" spans="1:2" ht="14.25">
      <c r="A11" s="5" t="s">
        <v>85</v>
      </c>
      <c r="B11" s="43" t="s">
        <v>47</v>
      </c>
    </row>
    <row r="12" spans="1:2" ht="14.25">
      <c r="A12" s="5" t="s">
        <v>86</v>
      </c>
      <c r="B12" s="43" t="s">
        <v>48</v>
      </c>
    </row>
    <row r="13" spans="1:2" ht="14.25">
      <c r="A13" s="5" t="s">
        <v>87</v>
      </c>
      <c r="B13" s="43" t="s">
        <v>49</v>
      </c>
    </row>
    <row r="14" spans="1:2" ht="14.25">
      <c r="A14" s="5" t="s">
        <v>88</v>
      </c>
      <c r="B14" s="43" t="s">
        <v>50</v>
      </c>
    </row>
    <row r="15" spans="1:2" ht="14.25">
      <c r="A15" s="5" t="s">
        <v>89</v>
      </c>
      <c r="B15" s="43" t="s">
        <v>51</v>
      </c>
    </row>
    <row r="16" spans="1:2" ht="14.25">
      <c r="A16" s="5" t="s">
        <v>90</v>
      </c>
      <c r="B16" s="43" t="s">
        <v>52</v>
      </c>
    </row>
    <row r="17" spans="1:2" ht="14.25">
      <c r="A17" s="5" t="s">
        <v>91</v>
      </c>
      <c r="B17" s="43" t="s">
        <v>53</v>
      </c>
    </row>
    <row r="18" spans="1:2" ht="14.25">
      <c r="A18" s="5" t="s">
        <v>92</v>
      </c>
      <c r="B18" s="43" t="s">
        <v>54</v>
      </c>
    </row>
    <row r="19" spans="1:2" ht="14.25">
      <c r="A19" s="5" t="s">
        <v>93</v>
      </c>
      <c r="B19" s="43" t="s">
        <v>55</v>
      </c>
    </row>
    <row r="20" spans="1:2" ht="14.25">
      <c r="A20" s="5" t="s">
        <v>94</v>
      </c>
      <c r="B20" s="43">
        <v>2242</v>
      </c>
    </row>
    <row r="21" spans="1:2" ht="14.25">
      <c r="A21" s="5" t="s">
        <v>95</v>
      </c>
      <c r="B21" s="43" t="s">
        <v>56</v>
      </c>
    </row>
    <row r="22" spans="1:2" ht="14.25">
      <c r="A22" s="5" t="s">
        <v>96</v>
      </c>
      <c r="B22" s="43" t="s">
        <v>57</v>
      </c>
    </row>
    <row r="23" spans="1:2" ht="14.25">
      <c r="A23" s="5" t="s">
        <v>97</v>
      </c>
      <c r="B23" s="43">
        <v>2252</v>
      </c>
    </row>
    <row r="24" spans="1:2" ht="14.25">
      <c r="A24" s="5" t="s">
        <v>98</v>
      </c>
      <c r="B24" s="43" t="s">
        <v>58</v>
      </c>
    </row>
    <row r="25" spans="1:2" ht="14.25">
      <c r="A25" s="5" t="s">
        <v>99</v>
      </c>
      <c r="B25" s="43" t="s">
        <v>59</v>
      </c>
    </row>
    <row r="26" spans="1:2" ht="14.25">
      <c r="A26" s="5" t="s">
        <v>134</v>
      </c>
      <c r="B26" s="43">
        <v>2172</v>
      </c>
    </row>
    <row r="27" spans="1:2" ht="14.25">
      <c r="A27" s="5" t="s">
        <v>100</v>
      </c>
      <c r="B27" s="43" t="s">
        <v>60</v>
      </c>
    </row>
    <row r="28" spans="1:2" ht="14.25">
      <c r="A28" s="5" t="s">
        <v>101</v>
      </c>
      <c r="B28" s="43">
        <v>2202</v>
      </c>
    </row>
    <row r="29" spans="1:2" ht="14.25">
      <c r="A29" s="5" t="s">
        <v>102</v>
      </c>
      <c r="B29" s="43">
        <v>2212</v>
      </c>
    </row>
    <row r="30" spans="1:2" ht="14.25">
      <c r="A30" s="5" t="s">
        <v>103</v>
      </c>
      <c r="B30" s="43">
        <v>2222</v>
      </c>
    </row>
    <row r="31" spans="1:2" ht="14.25">
      <c r="A31" s="5" t="s">
        <v>104</v>
      </c>
      <c r="B31" s="43">
        <v>2232</v>
      </c>
    </row>
    <row r="32" spans="1:2" ht="14.25">
      <c r="A32" s="5" t="s">
        <v>105</v>
      </c>
      <c r="B32" s="43">
        <v>2192</v>
      </c>
    </row>
    <row r="33" spans="1:2" ht="14.25">
      <c r="A33" s="5" t="s">
        <v>106</v>
      </c>
      <c r="B33" s="43">
        <v>1842</v>
      </c>
    </row>
    <row r="34" spans="1:2" ht="14.25">
      <c r="A34" s="5" t="s">
        <v>107</v>
      </c>
      <c r="B34" s="43">
        <v>1832</v>
      </c>
    </row>
    <row r="35" spans="1:2" ht="14.25">
      <c r="A35" s="5" t="s">
        <v>108</v>
      </c>
      <c r="B35" s="43">
        <v>1872</v>
      </c>
    </row>
    <row r="36" spans="1:2" ht="14.25">
      <c r="A36" s="5" t="s">
        <v>109</v>
      </c>
      <c r="B36" s="43">
        <v>1482</v>
      </c>
    </row>
    <row r="37" spans="1:2" ht="14.25">
      <c r="A37" s="5" t="s">
        <v>110</v>
      </c>
      <c r="B37" s="43">
        <v>1822</v>
      </c>
    </row>
    <row r="38" spans="1:2" ht="14.25">
      <c r="A38" s="5" t="s">
        <v>111</v>
      </c>
      <c r="B38" s="43" t="s">
        <v>61</v>
      </c>
    </row>
    <row r="39" spans="1:2" ht="14.25">
      <c r="A39" s="5" t="s">
        <v>112</v>
      </c>
      <c r="B39" s="43">
        <v>2262</v>
      </c>
    </row>
    <row r="40" spans="1:2" ht="14.25">
      <c r="A40" s="5" t="s">
        <v>113</v>
      </c>
      <c r="B40" s="43" t="s">
        <v>62</v>
      </c>
    </row>
    <row r="41" spans="1:2" ht="14.25">
      <c r="A41" s="5" t="s">
        <v>114</v>
      </c>
      <c r="B41" s="43" t="s">
        <v>63</v>
      </c>
    </row>
    <row r="42" spans="1:2" ht="14.25">
      <c r="A42" s="5" t="s">
        <v>115</v>
      </c>
      <c r="B42" s="43" t="s">
        <v>64</v>
      </c>
    </row>
    <row r="43" spans="1:2" ht="14.25">
      <c r="A43" s="5" t="s">
        <v>116</v>
      </c>
      <c r="B43" s="43">
        <v>2182</v>
      </c>
    </row>
    <row r="44" spans="1:2" ht="14.25">
      <c r="A44" s="5" t="s">
        <v>117</v>
      </c>
      <c r="B44" s="43">
        <v>2362</v>
      </c>
    </row>
    <row r="45" spans="1:2" ht="14.25">
      <c r="A45" s="5" t="s">
        <v>118</v>
      </c>
      <c r="B45" s="43">
        <v>2372</v>
      </c>
    </row>
    <row r="46" spans="1:2" ht="14.25">
      <c r="A46" s="5" t="s">
        <v>119</v>
      </c>
      <c r="B46" s="43">
        <v>2392</v>
      </c>
    </row>
    <row r="47" spans="1:2" ht="14.25">
      <c r="A47" s="5" t="s">
        <v>120</v>
      </c>
      <c r="B47" s="43">
        <v>2402</v>
      </c>
    </row>
    <row r="48" spans="1:2" ht="14.25">
      <c r="A48" s="5" t="s">
        <v>121</v>
      </c>
      <c r="B48" s="43">
        <v>2412</v>
      </c>
    </row>
    <row r="49" spans="1:2" ht="14.25">
      <c r="A49" s="5" t="s">
        <v>122</v>
      </c>
      <c r="B49" s="43">
        <v>2422</v>
      </c>
    </row>
    <row r="50" spans="1:2" ht="14.25">
      <c r="A50" s="5" t="s">
        <v>123</v>
      </c>
      <c r="B50" s="43">
        <v>2432</v>
      </c>
    </row>
    <row r="51" spans="1:2" ht="14.25">
      <c r="A51" s="5" t="s">
        <v>124</v>
      </c>
      <c r="B51" s="43">
        <v>2442</v>
      </c>
    </row>
    <row r="52" spans="1:2" ht="14.25">
      <c r="A52" s="5" t="s">
        <v>125</v>
      </c>
      <c r="B52" s="43">
        <v>2452</v>
      </c>
    </row>
    <row r="53" spans="1:2" ht="14.25">
      <c r="A53" s="5" t="s">
        <v>126</v>
      </c>
      <c r="B53" s="43">
        <v>2462</v>
      </c>
    </row>
    <row r="54" spans="1:2" ht="14.25">
      <c r="A54" s="5" t="s">
        <v>127</v>
      </c>
      <c r="B54" s="43">
        <v>2472</v>
      </c>
    </row>
    <row r="55" spans="1:2" ht="14.25">
      <c r="A55" s="5" t="s">
        <v>128</v>
      </c>
      <c r="B55" s="43">
        <v>2482</v>
      </c>
    </row>
    <row r="56" spans="1:2" ht="14.25">
      <c r="A56" s="5" t="s">
        <v>129</v>
      </c>
      <c r="B56" s="43">
        <v>2492</v>
      </c>
    </row>
    <row r="57" spans="1:2" ht="14.25">
      <c r="A57" s="5" t="s">
        <v>130</v>
      </c>
      <c r="B57" s="43">
        <v>2502</v>
      </c>
    </row>
    <row r="58" spans="1:2" ht="14.25">
      <c r="A58" s="5" t="s">
        <v>131</v>
      </c>
      <c r="B58" s="43">
        <v>2512</v>
      </c>
    </row>
    <row r="59" spans="1:2" ht="14.25">
      <c r="A59" s="5" t="s">
        <v>132</v>
      </c>
      <c r="B59" s="43">
        <v>2522</v>
      </c>
    </row>
    <row r="60" spans="1:2" ht="14.25">
      <c r="A60" s="5" t="s">
        <v>135</v>
      </c>
      <c r="B60" s="43">
        <v>4042</v>
      </c>
    </row>
    <row r="61" spans="1:2" ht="14.25">
      <c r="A61" s="5" t="s">
        <v>136</v>
      </c>
      <c r="B61" s="43">
        <v>4052</v>
      </c>
    </row>
    <row r="62" spans="1:2" ht="14.25">
      <c r="A62" s="5" t="s">
        <v>137</v>
      </c>
      <c r="B62" s="43">
        <v>4062</v>
      </c>
    </row>
    <row r="63" spans="1:2" ht="14.25">
      <c r="A63" s="5" t="s">
        <v>138</v>
      </c>
      <c r="B63" s="43">
        <v>4072</v>
      </c>
    </row>
    <row r="64" spans="1:2" ht="14.25">
      <c r="A64" s="5" t="s">
        <v>139</v>
      </c>
      <c r="B64" s="43">
        <v>4082</v>
      </c>
    </row>
    <row r="65" spans="1:2" ht="14.25">
      <c r="A65" s="5" t="s">
        <v>140</v>
      </c>
      <c r="B65" s="43">
        <v>4122</v>
      </c>
    </row>
    <row r="66" spans="1:2" ht="14.25">
      <c r="A66" s="5" t="s">
        <v>141</v>
      </c>
      <c r="B66" s="43">
        <v>4132</v>
      </c>
    </row>
    <row r="67" spans="1:2" ht="14.25">
      <c r="A67" s="5" t="s">
        <v>142</v>
      </c>
      <c r="B67" s="43">
        <v>4142</v>
      </c>
    </row>
    <row r="68" spans="1:2" ht="14.25">
      <c r="A68" s="5" t="s">
        <v>143</v>
      </c>
      <c r="B68" s="43">
        <v>4152</v>
      </c>
    </row>
    <row r="69" spans="1:2" ht="14.25">
      <c r="A69" s="5" t="s">
        <v>144</v>
      </c>
      <c r="B69" s="43">
        <v>4162</v>
      </c>
    </row>
    <row r="70" spans="1:2" ht="14.25">
      <c r="A70" s="5" t="s">
        <v>145</v>
      </c>
      <c r="B70" s="43">
        <v>1332</v>
      </c>
    </row>
    <row r="71" spans="1:2" ht="14.25">
      <c r="A71" s="5" t="s">
        <v>146</v>
      </c>
      <c r="B71" s="43">
        <v>2302</v>
      </c>
    </row>
    <row r="72" spans="1:2" ht="14.25">
      <c r="A72" s="5" t="s">
        <v>147</v>
      </c>
      <c r="B72" s="43">
        <v>2162</v>
      </c>
    </row>
    <row r="73" spans="1:2" ht="14.25">
      <c r="A73" s="5" t="s">
        <v>148</v>
      </c>
      <c r="B73" s="43">
        <v>2312</v>
      </c>
    </row>
    <row r="74" spans="1:2" ht="14.25">
      <c r="A74" s="5" t="s">
        <v>149</v>
      </c>
      <c r="B74" s="43">
        <v>2322</v>
      </c>
    </row>
    <row r="75" spans="1:2" ht="14.25">
      <c r="A75" s="5" t="s">
        <v>150</v>
      </c>
      <c r="B75" s="43">
        <v>2332</v>
      </c>
    </row>
    <row r="76" spans="1:2" ht="14.25">
      <c r="A76" s="5" t="s">
        <v>151</v>
      </c>
      <c r="B76" s="43">
        <v>2532</v>
      </c>
    </row>
    <row r="77" spans="1:2" ht="14.25">
      <c r="A77" s="5" t="s">
        <v>152</v>
      </c>
      <c r="B77" s="43">
        <v>2612</v>
      </c>
    </row>
    <row r="78" spans="1:2" ht="14.25">
      <c r="A78" s="5" t="s">
        <v>153</v>
      </c>
      <c r="B78" s="43">
        <v>2622</v>
      </c>
    </row>
    <row r="79" spans="1:2" ht="14.25">
      <c r="A79" s="5" t="s">
        <v>154</v>
      </c>
      <c r="B79" s="43">
        <v>2632</v>
      </c>
    </row>
    <row r="80" spans="1:2" ht="14.25">
      <c r="A80" s="5" t="s">
        <v>155</v>
      </c>
      <c r="B80" s="43">
        <v>2642</v>
      </c>
    </row>
    <row r="81" spans="1:2" ht="14.25">
      <c r="A81" s="5" t="s">
        <v>156</v>
      </c>
      <c r="B81" s="43">
        <v>2682</v>
      </c>
    </row>
    <row r="82" spans="1:2" ht="14.25">
      <c r="A82" s="5" t="s">
        <v>157</v>
      </c>
      <c r="B82" s="43">
        <v>2692</v>
      </c>
    </row>
    <row r="83" spans="1:2" ht="14.25">
      <c r="A83" s="5" t="s">
        <v>158</v>
      </c>
      <c r="B83" s="43">
        <v>2702</v>
      </c>
    </row>
    <row r="84" spans="1:2" ht="14.25">
      <c r="A84" s="5" t="s">
        <v>159</v>
      </c>
      <c r="B84" s="43">
        <v>2712</v>
      </c>
    </row>
    <row r="85" spans="1:2" ht="14.25">
      <c r="A85" s="5" t="s">
        <v>160</v>
      </c>
      <c r="B85" s="43">
        <v>2772</v>
      </c>
    </row>
    <row r="86" spans="1:2" ht="14.25">
      <c r="A86" s="5" t="s">
        <v>161</v>
      </c>
      <c r="B86" s="43">
        <v>2782</v>
      </c>
    </row>
    <row r="87" spans="1:2" ht="14.25">
      <c r="A87" s="5" t="s">
        <v>162</v>
      </c>
      <c r="B87" s="43">
        <v>2792</v>
      </c>
    </row>
    <row r="88" spans="1:2" ht="14.25">
      <c r="A88" s="5" t="s">
        <v>163</v>
      </c>
      <c r="B88" s="43">
        <v>2802</v>
      </c>
    </row>
    <row r="89" spans="1:2" ht="14.25">
      <c r="A89" s="5" t="s">
        <v>164</v>
      </c>
      <c r="B89" s="43">
        <v>2812</v>
      </c>
    </row>
    <row r="90" spans="1:2" ht="14.25">
      <c r="A90" s="5" t="s">
        <v>165</v>
      </c>
      <c r="B90" s="43">
        <v>2822</v>
      </c>
    </row>
    <row r="91" spans="1:2" ht="14.25">
      <c r="A91" s="5" t="s">
        <v>166</v>
      </c>
      <c r="B91" s="43">
        <v>3682</v>
      </c>
    </row>
    <row r="92" spans="1:2" ht="14.25">
      <c r="A92" s="5" t="s">
        <v>167</v>
      </c>
      <c r="B92" s="43">
        <v>3692</v>
      </c>
    </row>
    <row r="93" spans="1:2" ht="14.25">
      <c r="A93" s="5" t="s">
        <v>167</v>
      </c>
      <c r="B93" s="43">
        <v>3702</v>
      </c>
    </row>
    <row r="94" spans="1:2" ht="14.25">
      <c r="A94" s="5" t="s">
        <v>168</v>
      </c>
      <c r="B94" s="43">
        <v>3712</v>
      </c>
    </row>
    <row r="95" spans="1:2" ht="14.25">
      <c r="A95" s="5" t="s">
        <v>169</v>
      </c>
      <c r="B95" s="43">
        <v>3722</v>
      </c>
    </row>
    <row r="96" spans="1:2" ht="14.25">
      <c r="A96" s="5" t="s">
        <v>170</v>
      </c>
      <c r="B96" s="43">
        <v>3732</v>
      </c>
    </row>
    <row r="97" spans="1:2" ht="14.25">
      <c r="A97" s="5" t="s">
        <v>171</v>
      </c>
      <c r="B97" s="43">
        <v>3742</v>
      </c>
    </row>
    <row r="98" spans="1:2" ht="14.25">
      <c r="A98" s="5" t="s">
        <v>172</v>
      </c>
      <c r="B98" s="43">
        <v>2552</v>
      </c>
    </row>
    <row r="99" spans="1:2" ht="14.25">
      <c r="A99" s="5" t="s">
        <v>173</v>
      </c>
      <c r="B99" s="43">
        <v>2562</v>
      </c>
    </row>
    <row r="100" spans="1:2" ht="14.25">
      <c r="A100" s="5" t="s">
        <v>174</v>
      </c>
      <c r="B100" s="43">
        <v>2572</v>
      </c>
    </row>
    <row r="101" spans="1:2" ht="14.25">
      <c r="A101" s="5" t="s">
        <v>175</v>
      </c>
      <c r="B101" s="43">
        <v>2582</v>
      </c>
    </row>
    <row r="102" spans="1:2" ht="14.25">
      <c r="A102" s="5" t="s">
        <v>176</v>
      </c>
      <c r="B102" s="43">
        <v>2592</v>
      </c>
    </row>
    <row r="103" spans="1:2" ht="14.25">
      <c r="A103" s="5" t="s">
        <v>177</v>
      </c>
      <c r="B103" s="43">
        <v>2602</v>
      </c>
    </row>
    <row r="104" spans="1:2" ht="14.25">
      <c r="A104" s="5" t="s">
        <v>178</v>
      </c>
      <c r="B104" s="43">
        <v>3532</v>
      </c>
    </row>
    <row r="105" spans="1:2" ht="14.25">
      <c r="A105" s="5" t="s">
        <v>179</v>
      </c>
      <c r="B105" s="43">
        <v>3542</v>
      </c>
    </row>
    <row r="106" spans="1:2" ht="14.25">
      <c r="A106" s="5" t="s">
        <v>180</v>
      </c>
      <c r="B106" s="43">
        <v>3552</v>
      </c>
    </row>
    <row r="107" spans="1:2" ht="14.25">
      <c r="A107" s="5" t="s">
        <v>181</v>
      </c>
      <c r="B107" s="43">
        <v>3562</v>
      </c>
    </row>
    <row r="108" spans="1:2" ht="14.25">
      <c r="A108" s="5" t="s">
        <v>182</v>
      </c>
      <c r="B108" s="43">
        <v>3572</v>
      </c>
    </row>
    <row r="109" spans="1:2" ht="14.25">
      <c r="A109" s="5" t="s">
        <v>183</v>
      </c>
      <c r="B109" s="43">
        <v>3582</v>
      </c>
    </row>
    <row r="110" spans="1:2" ht="14.25">
      <c r="A110" s="5" t="s">
        <v>184</v>
      </c>
      <c r="B110" s="43">
        <v>3592</v>
      </c>
    </row>
    <row r="111" spans="1:2" ht="14.25">
      <c r="A111" s="5" t="s">
        <v>185</v>
      </c>
      <c r="B111" s="43">
        <v>3212</v>
      </c>
    </row>
    <row r="112" spans="1:2" ht="14.25">
      <c r="A112" s="5" t="s">
        <v>186</v>
      </c>
      <c r="B112" s="43">
        <v>3222</v>
      </c>
    </row>
    <row r="113" spans="1:2" ht="14.25">
      <c r="A113" s="5" t="s">
        <v>187</v>
      </c>
      <c r="B113" s="43">
        <v>3232</v>
      </c>
    </row>
    <row r="114" spans="1:2" ht="14.25">
      <c r="A114" s="5" t="s">
        <v>188</v>
      </c>
      <c r="B114" s="43">
        <v>3242</v>
      </c>
    </row>
    <row r="115" spans="1:2" ht="14.25">
      <c r="A115" s="5" t="s">
        <v>189</v>
      </c>
      <c r="B115" s="43">
        <v>3252</v>
      </c>
    </row>
    <row r="116" spans="1:2" ht="14.25">
      <c r="A116" s="5" t="s">
        <v>190</v>
      </c>
      <c r="B116" s="43">
        <v>3262</v>
      </c>
    </row>
    <row r="117" spans="1:2" ht="14.25">
      <c r="A117" s="5" t="s">
        <v>191</v>
      </c>
      <c r="B117" s="43">
        <v>3272</v>
      </c>
    </row>
    <row r="118" spans="1:2" ht="14.25">
      <c r="A118" s="5" t="s">
        <v>192</v>
      </c>
      <c r="B118" s="43">
        <v>3282</v>
      </c>
    </row>
    <row r="119" spans="1:2" ht="14.25">
      <c r="A119" s="5" t="s">
        <v>193</v>
      </c>
      <c r="B119" s="43">
        <v>3642</v>
      </c>
    </row>
    <row r="120" spans="1:2" ht="14.25">
      <c r="A120" s="5" t="s">
        <v>194</v>
      </c>
      <c r="B120" s="43">
        <v>3652</v>
      </c>
    </row>
    <row r="121" spans="1:2" ht="14.25">
      <c r="A121" s="5" t="s">
        <v>195</v>
      </c>
      <c r="B121" s="43">
        <v>3662</v>
      </c>
    </row>
    <row r="122" spans="1:2" ht="14.25">
      <c r="A122" s="5" t="s">
        <v>196</v>
      </c>
      <c r="B122" s="43">
        <v>3672</v>
      </c>
    </row>
    <row r="123" spans="1:2" ht="14.25">
      <c r="A123" s="5" t="s">
        <v>197</v>
      </c>
      <c r="B123" s="43">
        <v>3602</v>
      </c>
    </row>
    <row r="124" spans="1:2" ht="14.25">
      <c r="A124" s="5" t="s">
        <v>198</v>
      </c>
      <c r="B124" s="43">
        <v>3612</v>
      </c>
    </row>
    <row r="125" spans="1:2" ht="14.25">
      <c r="A125" s="5" t="s">
        <v>199</v>
      </c>
      <c r="B125" s="43">
        <v>3622</v>
      </c>
    </row>
    <row r="126" spans="1:2" ht="14.25">
      <c r="A126" s="5" t="s">
        <v>200</v>
      </c>
      <c r="B126" s="43">
        <v>3632</v>
      </c>
    </row>
    <row r="127" spans="1:2" ht="14.25">
      <c r="A127" s="5" t="s">
        <v>201</v>
      </c>
      <c r="B127" s="43">
        <v>4092</v>
      </c>
    </row>
    <row r="128" spans="1:2" ht="14.25">
      <c r="A128" s="5" t="s">
        <v>202</v>
      </c>
      <c r="B128" s="43">
        <v>4102</v>
      </c>
    </row>
    <row r="129" spans="1:2" ht="14.25">
      <c r="A129" s="5" t="s">
        <v>203</v>
      </c>
      <c r="B129" s="43">
        <v>4112</v>
      </c>
    </row>
    <row r="130" spans="1:2" ht="14.25">
      <c r="A130" s="5" t="s">
        <v>204</v>
      </c>
      <c r="B130" s="43">
        <v>3112</v>
      </c>
    </row>
    <row r="131" spans="1:2" ht="14.25">
      <c r="A131" s="5" t="s">
        <v>205</v>
      </c>
      <c r="B131" s="43">
        <v>3122</v>
      </c>
    </row>
    <row r="132" spans="1:2" ht="14.25">
      <c r="A132" s="5" t="s">
        <v>206</v>
      </c>
      <c r="B132" s="43">
        <v>3132</v>
      </c>
    </row>
    <row r="133" spans="1:2" ht="14.25">
      <c r="A133" s="5" t="s">
        <v>207</v>
      </c>
      <c r="B133" s="43">
        <v>3142</v>
      </c>
    </row>
    <row r="134" spans="1:2" ht="14.25">
      <c r="A134" s="5" t="s">
        <v>208</v>
      </c>
      <c r="B134" s="43">
        <v>3152</v>
      </c>
    </row>
    <row r="135" spans="1:2" ht="14.25">
      <c r="A135" s="5" t="s">
        <v>209</v>
      </c>
      <c r="B135" s="43">
        <v>3162</v>
      </c>
    </row>
    <row r="136" spans="1:2" ht="14.25">
      <c r="A136" s="5" t="s">
        <v>210</v>
      </c>
      <c r="B136" s="43">
        <v>3172</v>
      </c>
    </row>
    <row r="137" spans="1:2" ht="14.25">
      <c r="A137" s="5" t="s">
        <v>211</v>
      </c>
      <c r="B137" s="43">
        <v>3182</v>
      </c>
    </row>
    <row r="138" spans="1:2" ht="14.25">
      <c r="A138" s="5" t="s">
        <v>212</v>
      </c>
      <c r="B138" s="43">
        <v>3192</v>
      </c>
    </row>
    <row r="139" spans="1:2" ht="14.25">
      <c r="A139" s="5" t="s">
        <v>213</v>
      </c>
      <c r="B139" s="43">
        <v>3202</v>
      </c>
    </row>
    <row r="140" spans="1:2" ht="14.25">
      <c r="A140" s="5" t="s">
        <v>214</v>
      </c>
      <c r="B140" s="43">
        <v>2752</v>
      </c>
    </row>
    <row r="141" spans="1:2" ht="14.25">
      <c r="A141" s="5" t="s">
        <v>215</v>
      </c>
      <c r="B141" s="43">
        <v>2762</v>
      </c>
    </row>
    <row r="142" spans="1:2" ht="14.25">
      <c r="A142" s="5" t="s">
        <v>216</v>
      </c>
      <c r="B142" s="43">
        <v>3012</v>
      </c>
    </row>
    <row r="143" spans="1:2" ht="14.25">
      <c r="A143" s="5" t="s">
        <v>217</v>
      </c>
      <c r="B143" s="43">
        <v>3022</v>
      </c>
    </row>
    <row r="144" spans="1:2" ht="14.25">
      <c r="A144" s="5" t="s">
        <v>218</v>
      </c>
      <c r="B144" s="43">
        <v>3032</v>
      </c>
    </row>
    <row r="145" spans="1:2" ht="14.25">
      <c r="A145" s="5" t="s">
        <v>219</v>
      </c>
      <c r="B145" s="43">
        <v>3042</v>
      </c>
    </row>
    <row r="146" spans="1:2" ht="14.25">
      <c r="A146" s="5" t="s">
        <v>220</v>
      </c>
      <c r="B146" s="43">
        <v>3052</v>
      </c>
    </row>
    <row r="147" spans="1:2" ht="14.25">
      <c r="A147" s="5" t="s">
        <v>221</v>
      </c>
      <c r="B147" s="43">
        <v>3062</v>
      </c>
    </row>
    <row r="148" spans="1:2" ht="14.25">
      <c r="A148" s="5" t="s">
        <v>222</v>
      </c>
      <c r="B148" s="43">
        <v>3072</v>
      </c>
    </row>
    <row r="149" spans="1:2" ht="14.25">
      <c r="A149" s="5" t="s">
        <v>223</v>
      </c>
      <c r="B149" s="43">
        <v>3082</v>
      </c>
    </row>
    <row r="150" spans="1:2" ht="14.25">
      <c r="A150" s="5" t="s">
        <v>224</v>
      </c>
      <c r="B150" s="43">
        <v>3092</v>
      </c>
    </row>
    <row r="151" spans="1:2" ht="14.25">
      <c r="A151" s="5" t="s">
        <v>225</v>
      </c>
      <c r="B151" s="43">
        <v>3102</v>
      </c>
    </row>
    <row r="152" spans="1:2" ht="14.25">
      <c r="A152" s="5" t="s">
        <v>226</v>
      </c>
      <c r="B152" s="43">
        <v>2932</v>
      </c>
    </row>
    <row r="153" spans="1:2" ht="14.25">
      <c r="A153" s="5" t="s">
        <v>227</v>
      </c>
      <c r="B153" s="43">
        <v>2942</v>
      </c>
    </row>
    <row r="154" spans="1:2" ht="14.25">
      <c r="A154" s="5" t="s">
        <v>228</v>
      </c>
      <c r="B154" s="43">
        <v>2952</v>
      </c>
    </row>
    <row r="155" spans="1:2" ht="14.25">
      <c r="A155" s="5" t="s">
        <v>229</v>
      </c>
      <c r="B155" s="43">
        <v>2962</v>
      </c>
    </row>
    <row r="156" spans="1:2" ht="14.25">
      <c r="A156" s="5" t="s">
        <v>230</v>
      </c>
      <c r="B156" s="43">
        <v>2972</v>
      </c>
    </row>
    <row r="157" spans="1:2" ht="14.25">
      <c r="A157" s="5" t="s">
        <v>231</v>
      </c>
      <c r="B157" s="43">
        <v>2982</v>
      </c>
    </row>
    <row r="158" spans="1:2" ht="14.25">
      <c r="A158" s="5" t="s">
        <v>232</v>
      </c>
      <c r="B158" s="43">
        <v>2992</v>
      </c>
    </row>
    <row r="159" spans="1:2" ht="14.25">
      <c r="A159" s="5" t="s">
        <v>233</v>
      </c>
      <c r="B159" s="43">
        <v>3002</v>
      </c>
    </row>
    <row r="160" spans="1:2" ht="14.25">
      <c r="A160" s="5" t="s">
        <v>234</v>
      </c>
      <c r="B160" s="43">
        <v>2832</v>
      </c>
    </row>
    <row r="161" spans="1:2" ht="14.25">
      <c r="A161" s="5" t="s">
        <v>235</v>
      </c>
      <c r="B161" s="43">
        <v>2842</v>
      </c>
    </row>
    <row r="162" spans="1:2" ht="14.25">
      <c r="A162" s="5" t="s">
        <v>236</v>
      </c>
      <c r="B162" s="43">
        <v>2852</v>
      </c>
    </row>
    <row r="163" spans="1:2" ht="14.25">
      <c r="A163" s="5" t="s">
        <v>237</v>
      </c>
      <c r="B163" s="43">
        <v>2862</v>
      </c>
    </row>
    <row r="164" spans="1:2" ht="14.25">
      <c r="A164" s="5" t="s">
        <v>238</v>
      </c>
      <c r="B164" s="43">
        <v>2872</v>
      </c>
    </row>
    <row r="165" spans="1:2" ht="14.25">
      <c r="A165" s="5" t="s">
        <v>239</v>
      </c>
      <c r="B165" s="43">
        <v>2882</v>
      </c>
    </row>
    <row r="166" spans="1:2" ht="14.25">
      <c r="A166" s="5" t="s">
        <v>240</v>
      </c>
      <c r="B166" s="43">
        <v>2892</v>
      </c>
    </row>
    <row r="167" spans="1:2" ht="14.25">
      <c r="A167" s="5" t="s">
        <v>241</v>
      </c>
      <c r="B167" s="43">
        <v>2902</v>
      </c>
    </row>
    <row r="168" spans="1:2" ht="14.25">
      <c r="A168" s="5" t="s">
        <v>242</v>
      </c>
      <c r="B168" s="43">
        <v>2912</v>
      </c>
    </row>
    <row r="169" spans="1:2" ht="14.25">
      <c r="A169" s="5" t="s">
        <v>243</v>
      </c>
      <c r="B169" s="43">
        <v>2922</v>
      </c>
    </row>
    <row r="170" spans="1:2" ht="14.25">
      <c r="A170" s="5" t="s">
        <v>244</v>
      </c>
      <c r="B170" s="43">
        <v>3292</v>
      </c>
    </row>
    <row r="171" spans="1:2" ht="14.25">
      <c r="A171" s="5" t="s">
        <v>245</v>
      </c>
      <c r="B171" s="43">
        <v>3302</v>
      </c>
    </row>
    <row r="172" spans="1:2" ht="14.25">
      <c r="A172" s="5" t="s">
        <v>246</v>
      </c>
      <c r="B172" s="43">
        <v>3312</v>
      </c>
    </row>
    <row r="173" spans="1:2" ht="14.25">
      <c r="A173" s="5" t="s">
        <v>247</v>
      </c>
      <c r="B173" s="43">
        <v>3322</v>
      </c>
    </row>
    <row r="174" spans="1:2" ht="14.25">
      <c r="A174" s="5" t="s">
        <v>248</v>
      </c>
      <c r="B174" s="43">
        <v>3332</v>
      </c>
    </row>
    <row r="175" spans="1:2" ht="14.25">
      <c r="A175" s="5" t="s">
        <v>249</v>
      </c>
      <c r="B175" s="43">
        <v>3342</v>
      </c>
    </row>
    <row r="176" spans="1:2" ht="14.25">
      <c r="A176" s="5" t="s">
        <v>250</v>
      </c>
      <c r="B176" s="43">
        <v>3352</v>
      </c>
    </row>
    <row r="177" spans="1:2" ht="14.25">
      <c r="A177" s="5" t="s">
        <v>251</v>
      </c>
      <c r="B177" s="43">
        <v>3362</v>
      </c>
    </row>
    <row r="178" spans="1:2" ht="14.25">
      <c r="A178" s="5" t="s">
        <v>252</v>
      </c>
      <c r="B178" s="43">
        <v>3372</v>
      </c>
    </row>
    <row r="179" spans="1:2" ht="14.25">
      <c r="A179" s="5" t="s">
        <v>253</v>
      </c>
      <c r="B179" s="43">
        <v>3382</v>
      </c>
    </row>
    <row r="180" spans="1:2" ht="14.25">
      <c r="A180" s="5" t="s">
        <v>254</v>
      </c>
      <c r="B180" s="43">
        <v>3392</v>
      </c>
    </row>
    <row r="181" spans="1:2" ht="14.25">
      <c r="A181" s="5" t="s">
        <v>255</v>
      </c>
      <c r="B181" s="43">
        <v>3402</v>
      </c>
    </row>
    <row r="182" spans="1:2" ht="14.25">
      <c r="A182" s="5" t="s">
        <v>256</v>
      </c>
      <c r="B182" s="43">
        <v>3412</v>
      </c>
    </row>
    <row r="183" spans="1:2" ht="14.25">
      <c r="A183" s="5" t="s">
        <v>257</v>
      </c>
      <c r="B183" s="43">
        <v>3422</v>
      </c>
    </row>
    <row r="184" spans="1:2" ht="14.25">
      <c r="A184" s="5" t="s">
        <v>258</v>
      </c>
      <c r="B184" s="43">
        <v>3432</v>
      </c>
    </row>
    <row r="185" spans="1:2" ht="14.25">
      <c r="A185" s="5" t="s">
        <v>259</v>
      </c>
      <c r="B185" s="43">
        <v>3442</v>
      </c>
    </row>
    <row r="186" spans="1:2" ht="14.25">
      <c r="A186" s="5" t="s">
        <v>260</v>
      </c>
      <c r="B186" s="43">
        <v>3452</v>
      </c>
    </row>
    <row r="187" spans="1:2" ht="14.25">
      <c r="A187" s="5" t="s">
        <v>261</v>
      </c>
      <c r="B187" s="43">
        <v>3462</v>
      </c>
    </row>
    <row r="188" spans="1:2" ht="14.25">
      <c r="A188" s="5" t="s">
        <v>262</v>
      </c>
      <c r="B188" s="43">
        <v>3472</v>
      </c>
    </row>
    <row r="189" spans="1:2" ht="14.25">
      <c r="A189" s="5" t="s">
        <v>263</v>
      </c>
      <c r="B189" s="43">
        <v>3482</v>
      </c>
    </row>
    <row r="190" spans="1:2" ht="14.25">
      <c r="A190" s="5" t="s">
        <v>264</v>
      </c>
      <c r="B190" s="43">
        <v>3492</v>
      </c>
    </row>
    <row r="191" spans="1:2" ht="14.25">
      <c r="A191" s="5" t="s">
        <v>265</v>
      </c>
      <c r="B191" s="43">
        <v>3502</v>
      </c>
    </row>
    <row r="192" spans="1:2" ht="14.25">
      <c r="A192" s="5" t="s">
        <v>266</v>
      </c>
      <c r="B192" s="43">
        <v>3512</v>
      </c>
    </row>
    <row r="193" spans="1:2" ht="14.25">
      <c r="A193" s="5" t="s">
        <v>267</v>
      </c>
      <c r="B193" s="43">
        <v>3522</v>
      </c>
    </row>
    <row r="194" spans="1:2" ht="14.25">
      <c r="A194" s="5" t="s">
        <v>268</v>
      </c>
      <c r="B194" s="43">
        <v>3752</v>
      </c>
    </row>
    <row r="195" spans="1:2" ht="14.25">
      <c r="A195" s="5" t="s">
        <v>269</v>
      </c>
      <c r="B195" s="43">
        <v>3762</v>
      </c>
    </row>
    <row r="196" spans="1:2" ht="14.25">
      <c r="A196" s="5" t="s">
        <v>270</v>
      </c>
      <c r="B196" s="43">
        <v>3772</v>
      </c>
    </row>
    <row r="197" spans="1:2" ht="14.25">
      <c r="A197" s="5" t="s">
        <v>271</v>
      </c>
      <c r="B197" s="43">
        <v>3782</v>
      </c>
    </row>
    <row r="198" spans="1:2" ht="14.25">
      <c r="A198" s="5" t="s">
        <v>272</v>
      </c>
      <c r="B198" s="43">
        <v>3792</v>
      </c>
    </row>
    <row r="199" spans="1:2" ht="14.25">
      <c r="A199" s="5" t="s">
        <v>273</v>
      </c>
      <c r="B199" s="43">
        <v>3802</v>
      </c>
    </row>
    <row r="200" spans="1:2" ht="14.25">
      <c r="A200" s="5" t="s">
        <v>274</v>
      </c>
      <c r="B200" s="43">
        <v>3812</v>
      </c>
    </row>
    <row r="201" spans="1:2" ht="14.25">
      <c r="A201" s="5" t="s">
        <v>275</v>
      </c>
      <c r="B201" s="43">
        <v>3822</v>
      </c>
    </row>
    <row r="202" spans="1:2" ht="14.25">
      <c r="A202" s="5" t="s">
        <v>276</v>
      </c>
      <c r="B202" s="43">
        <v>3832</v>
      </c>
    </row>
    <row r="203" spans="1:2" ht="14.25">
      <c r="A203" s="5" t="s">
        <v>277</v>
      </c>
      <c r="B203" s="43">
        <v>3842</v>
      </c>
    </row>
    <row r="204" spans="1:2" ht="14.25">
      <c r="A204" s="5" t="s">
        <v>278</v>
      </c>
      <c r="B204" s="43">
        <v>4002</v>
      </c>
    </row>
    <row r="205" spans="1:2" ht="14.25">
      <c r="A205" s="5" t="s">
        <v>279</v>
      </c>
      <c r="B205" s="43">
        <v>4012</v>
      </c>
    </row>
    <row r="206" spans="1:2" ht="14.25">
      <c r="A206" s="5" t="s">
        <v>280</v>
      </c>
      <c r="B206" s="43">
        <v>4022</v>
      </c>
    </row>
    <row r="207" spans="1:2" ht="14.25">
      <c r="A207" s="5" t="s">
        <v>281</v>
      </c>
      <c r="B207" s="43">
        <v>4032</v>
      </c>
    </row>
    <row r="208" spans="1:2" ht="14.25">
      <c r="A208" s="5" t="s">
        <v>282</v>
      </c>
      <c r="B208" s="43">
        <v>4212</v>
      </c>
    </row>
    <row r="209" spans="1:5" ht="14.25">
      <c r="A209" s="5" t="s">
        <v>283</v>
      </c>
      <c r="B209" s="43">
        <v>4222</v>
      </c>
    </row>
    <row r="210" spans="1:5" ht="15.75" thickBot="1">
      <c r="A210" s="32" t="s">
        <v>0</v>
      </c>
      <c r="B210" s="33"/>
    </row>
    <row r="211" spans="1:5" ht="14.25">
      <c r="A211" s="5" t="s">
        <v>65</v>
      </c>
      <c r="B211" s="44" t="s">
        <v>340</v>
      </c>
      <c r="E211" s="1"/>
    </row>
    <row r="212" spans="1:5" ht="14.25">
      <c r="A212" s="5" t="s">
        <v>284</v>
      </c>
      <c r="B212" s="44" t="s">
        <v>341</v>
      </c>
    </row>
    <row r="213" spans="1:5" ht="14.25">
      <c r="A213" s="5" t="s">
        <v>45</v>
      </c>
      <c r="B213" s="44" t="s">
        <v>364</v>
      </c>
    </row>
    <row r="214" spans="1:5" ht="14.25">
      <c r="A214" s="5" t="s">
        <v>66</v>
      </c>
      <c r="B214" s="43" t="s">
        <v>67</v>
      </c>
    </row>
    <row r="215" spans="1:5" ht="14.25">
      <c r="A215" s="5" t="s">
        <v>285</v>
      </c>
      <c r="B215" s="44" t="s">
        <v>365</v>
      </c>
    </row>
    <row r="216" spans="1:5" ht="14.25">
      <c r="A216" s="5" t="s">
        <v>286</v>
      </c>
      <c r="B216" s="44" t="s">
        <v>366</v>
      </c>
    </row>
    <row r="217" spans="1:5" ht="14.25">
      <c r="A217" s="5" t="s">
        <v>287</v>
      </c>
      <c r="B217" s="44" t="s">
        <v>342</v>
      </c>
    </row>
    <row r="218" spans="1:5" ht="14.25">
      <c r="A218" s="5" t="s">
        <v>288</v>
      </c>
      <c r="B218" s="44" t="s">
        <v>343</v>
      </c>
    </row>
    <row r="219" spans="1:5" ht="14.25">
      <c r="A219" s="5" t="s">
        <v>289</v>
      </c>
      <c r="B219" s="44" t="s">
        <v>344</v>
      </c>
    </row>
    <row r="220" spans="1:5" ht="14.25">
      <c r="A220" s="5" t="s">
        <v>290</v>
      </c>
      <c r="B220" s="44" t="s">
        <v>345</v>
      </c>
    </row>
    <row r="221" spans="1:5" ht="14.25">
      <c r="A221" s="5" t="s">
        <v>291</v>
      </c>
      <c r="B221" s="44" t="s">
        <v>346</v>
      </c>
    </row>
    <row r="222" spans="1:5" ht="14.25">
      <c r="A222" s="5" t="s">
        <v>292</v>
      </c>
      <c r="B222" s="44" t="s">
        <v>367</v>
      </c>
    </row>
    <row r="223" spans="1:5" ht="14.25">
      <c r="A223" s="5" t="s">
        <v>293</v>
      </c>
      <c r="B223" s="44" t="s">
        <v>368</v>
      </c>
    </row>
    <row r="224" spans="1:5" ht="14.25">
      <c r="A224" s="5" t="s">
        <v>294</v>
      </c>
      <c r="B224" s="44" t="s">
        <v>369</v>
      </c>
    </row>
    <row r="225" spans="1:2" ht="14.25">
      <c r="A225" s="5" t="s">
        <v>295</v>
      </c>
      <c r="B225" s="44" t="s">
        <v>370</v>
      </c>
    </row>
    <row r="226" spans="1:2" ht="14.25">
      <c r="A226" s="5" t="s">
        <v>296</v>
      </c>
      <c r="B226" s="44" t="s">
        <v>371</v>
      </c>
    </row>
    <row r="227" spans="1:2" ht="14.25">
      <c r="A227" s="5" t="s">
        <v>297</v>
      </c>
      <c r="B227" s="44" t="s">
        <v>372</v>
      </c>
    </row>
    <row r="228" spans="1:2" ht="14.25">
      <c r="A228" s="5" t="s">
        <v>298</v>
      </c>
      <c r="B228" s="44" t="s">
        <v>373</v>
      </c>
    </row>
    <row r="229" spans="1:2" ht="14.25">
      <c r="A229" s="5" t="s">
        <v>299</v>
      </c>
      <c r="B229" s="44" t="s">
        <v>347</v>
      </c>
    </row>
    <row r="230" spans="1:2" ht="14.25">
      <c r="A230" s="5" t="s">
        <v>300</v>
      </c>
      <c r="B230" s="44" t="s">
        <v>348</v>
      </c>
    </row>
    <row r="231" spans="1:2" ht="14.25">
      <c r="A231" s="5" t="s">
        <v>301</v>
      </c>
      <c r="B231" s="44" t="s">
        <v>349</v>
      </c>
    </row>
    <row r="232" spans="1:2" ht="14.25">
      <c r="A232" s="5" t="s">
        <v>302</v>
      </c>
      <c r="B232" s="44" t="s">
        <v>350</v>
      </c>
    </row>
    <row r="233" spans="1:2" ht="14.25">
      <c r="A233" s="5" t="s">
        <v>303</v>
      </c>
      <c r="B233" s="44" t="s">
        <v>351</v>
      </c>
    </row>
    <row r="234" spans="1:2" ht="14.25">
      <c r="A234" s="5" t="s">
        <v>304</v>
      </c>
      <c r="B234" s="44" t="s">
        <v>352</v>
      </c>
    </row>
    <row r="235" spans="1:2" ht="14.25">
      <c r="A235" s="5" t="s">
        <v>305</v>
      </c>
      <c r="B235" s="44" t="s">
        <v>353</v>
      </c>
    </row>
    <row r="236" spans="1:2" ht="14.25">
      <c r="A236" s="5" t="s">
        <v>306</v>
      </c>
      <c r="B236" s="44" t="s">
        <v>354</v>
      </c>
    </row>
    <row r="237" spans="1:2" ht="14.25">
      <c r="A237" s="5" t="s">
        <v>307</v>
      </c>
      <c r="B237" s="44" t="s">
        <v>355</v>
      </c>
    </row>
    <row r="238" spans="1:2" ht="14.25">
      <c r="A238" s="5" t="s">
        <v>308</v>
      </c>
      <c r="B238" s="44" t="s">
        <v>374</v>
      </c>
    </row>
    <row r="239" spans="1:2" ht="14.25">
      <c r="A239" s="5" t="s">
        <v>309</v>
      </c>
      <c r="B239" s="44" t="s">
        <v>375</v>
      </c>
    </row>
    <row r="240" spans="1:2" ht="14.25">
      <c r="A240" s="5" t="s">
        <v>310</v>
      </c>
      <c r="B240" s="44" t="s">
        <v>376</v>
      </c>
    </row>
    <row r="241" spans="1:5" ht="14.25">
      <c r="A241" s="5" t="s">
        <v>311</v>
      </c>
      <c r="B241" s="44" t="s">
        <v>377</v>
      </c>
    </row>
    <row r="242" spans="1:5" ht="14.25">
      <c r="A242" s="5" t="s">
        <v>312</v>
      </c>
      <c r="B242" s="44" t="s">
        <v>378</v>
      </c>
    </row>
    <row r="243" spans="1:5" ht="14.25">
      <c r="A243" s="5" t="s">
        <v>313</v>
      </c>
      <c r="B243" s="44" t="s">
        <v>356</v>
      </c>
    </row>
    <row r="244" spans="1:5" ht="14.25">
      <c r="A244" s="5" t="s">
        <v>314</v>
      </c>
      <c r="B244" s="44" t="s">
        <v>357</v>
      </c>
    </row>
    <row r="245" spans="1:5" ht="14.25">
      <c r="A245" s="5" t="s">
        <v>315</v>
      </c>
      <c r="B245" s="44" t="s">
        <v>379</v>
      </c>
    </row>
    <row r="246" spans="1:5" ht="14.25">
      <c r="A246" s="5" t="s">
        <v>316</v>
      </c>
      <c r="B246" s="44" t="s">
        <v>358</v>
      </c>
    </row>
    <row r="247" spans="1:5" ht="14.25">
      <c r="A247" s="5" t="s">
        <v>317</v>
      </c>
      <c r="B247" s="44" t="s">
        <v>380</v>
      </c>
    </row>
    <row r="248" spans="1:5" ht="14.25">
      <c r="A248" s="5" t="s">
        <v>318</v>
      </c>
      <c r="B248" s="44" t="s">
        <v>381</v>
      </c>
    </row>
    <row r="249" spans="1:5" ht="14.25">
      <c r="A249" s="5" t="s">
        <v>319</v>
      </c>
      <c r="B249" s="44" t="s">
        <v>359</v>
      </c>
    </row>
    <row r="250" spans="1:5" ht="14.25">
      <c r="A250" s="5" t="s">
        <v>320</v>
      </c>
      <c r="B250" s="44" t="s">
        <v>382</v>
      </c>
    </row>
    <row r="251" spans="1:5" ht="14.25">
      <c r="A251" s="5" t="s">
        <v>328</v>
      </c>
      <c r="B251" s="44" t="s">
        <v>383</v>
      </c>
    </row>
    <row r="252" spans="1:5" ht="14.25">
      <c r="A252" s="5" t="s">
        <v>321</v>
      </c>
      <c r="B252" s="44" t="s">
        <v>384</v>
      </c>
    </row>
    <row r="253" spans="1:5" ht="14.25">
      <c r="A253" s="5" t="s">
        <v>322</v>
      </c>
      <c r="B253" s="44" t="s">
        <v>385</v>
      </c>
    </row>
    <row r="254" spans="1:5" ht="14.25">
      <c r="A254" s="5" t="s">
        <v>323</v>
      </c>
      <c r="B254" s="44" t="s">
        <v>386</v>
      </c>
    </row>
    <row r="255" spans="1:5" ht="14.25">
      <c r="A255" s="5" t="s">
        <v>324</v>
      </c>
      <c r="B255" s="44" t="s">
        <v>360</v>
      </c>
      <c r="E255" s="46"/>
    </row>
    <row r="256" spans="1:5" ht="14.25">
      <c r="A256" s="5" t="s">
        <v>325</v>
      </c>
      <c r="B256" s="44" t="s">
        <v>361</v>
      </c>
      <c r="E256" s="46"/>
    </row>
    <row r="257" spans="1:7" ht="14.25">
      <c r="A257" s="5" t="s">
        <v>326</v>
      </c>
      <c r="B257" s="44" t="s">
        <v>362</v>
      </c>
    </row>
    <row r="258" spans="1:7" ht="14.25">
      <c r="A258" s="5" t="s">
        <v>327</v>
      </c>
      <c r="B258" s="44" t="s">
        <v>363</v>
      </c>
    </row>
    <row r="259" spans="1:7" ht="14.25">
      <c r="A259" s="5" t="s">
        <v>329</v>
      </c>
      <c r="B259" s="44" t="s">
        <v>387</v>
      </c>
    </row>
    <row r="260" spans="1:7" ht="14.25">
      <c r="A260" s="5" t="s">
        <v>330</v>
      </c>
      <c r="B260" s="44" t="s">
        <v>388</v>
      </c>
    </row>
    <row r="261" spans="1:7" ht="14.25">
      <c r="A261" s="5" t="s">
        <v>331</v>
      </c>
      <c r="B261" s="44" t="s">
        <v>389</v>
      </c>
    </row>
    <row r="262" spans="1:7" ht="14.25">
      <c r="A262" s="5" t="s">
        <v>332</v>
      </c>
      <c r="B262" s="44" t="s">
        <v>390</v>
      </c>
    </row>
    <row r="263" spans="1:7" ht="14.25">
      <c r="A263" s="5" t="s">
        <v>333</v>
      </c>
      <c r="B263" s="44" t="s">
        <v>391</v>
      </c>
    </row>
    <row r="264" spans="1:7" ht="14.25">
      <c r="A264" s="5" t="s">
        <v>334</v>
      </c>
      <c r="B264" s="44" t="s">
        <v>392</v>
      </c>
    </row>
    <row r="265" spans="1:7" ht="14.25">
      <c r="A265" s="5" t="s">
        <v>335</v>
      </c>
      <c r="B265" s="44" t="s">
        <v>393</v>
      </c>
    </row>
    <row r="266" spans="1:7" ht="14.25">
      <c r="A266" s="5" t="s">
        <v>336</v>
      </c>
      <c r="B266" s="44" t="s">
        <v>394</v>
      </c>
    </row>
    <row r="267" spans="1:7" ht="14.25">
      <c r="A267" s="42" t="s">
        <v>337</v>
      </c>
      <c r="B267" s="44" t="s">
        <v>395</v>
      </c>
    </row>
    <row r="268" spans="1:7" ht="14.25">
      <c r="A268" s="42" t="s">
        <v>338</v>
      </c>
      <c r="B268" s="44" t="s">
        <v>396</v>
      </c>
    </row>
    <row r="269" spans="1:7" ht="14.25">
      <c r="A269" s="5" t="s">
        <v>339</v>
      </c>
      <c r="B269" s="44" t="s">
        <v>397</v>
      </c>
    </row>
    <row r="270" spans="1:7" ht="15.75" thickBot="1">
      <c r="A270" s="32" t="s">
        <v>74</v>
      </c>
      <c r="B270" s="33"/>
      <c r="D270" s="2"/>
      <c r="E270" s="2" t="s">
        <v>40</v>
      </c>
      <c r="F270" s="2" t="s">
        <v>39</v>
      </c>
      <c r="G270" s="2" t="s">
        <v>38</v>
      </c>
    </row>
    <row r="271" spans="1:7" ht="15.75" thickBot="1">
      <c r="A271" s="34" t="s">
        <v>68</v>
      </c>
      <c r="B271" s="33" t="s">
        <v>398</v>
      </c>
      <c r="D271" s="2" t="s">
        <v>33</v>
      </c>
      <c r="E271" s="3">
        <f ca="1">DATE(YEAR(计算!C6),MONTH(计算!C6)+1,DAY(计算!C6))</f>
        <v>45428</v>
      </c>
      <c r="F271" s="2">
        <f ca="1">E271-计算!$C$6</f>
        <v>30</v>
      </c>
      <c r="G271" s="2">
        <v>0</v>
      </c>
    </row>
    <row r="272" spans="1:7" ht="15.75" thickBot="1">
      <c r="A272" s="34" t="s">
        <v>69</v>
      </c>
      <c r="B272" s="33" t="s">
        <v>399</v>
      </c>
      <c r="D272" s="2" t="s">
        <v>34</v>
      </c>
      <c r="E272" s="4">
        <f ca="1">DATE(YEAR(计算!C6),MONTH(计算!C6)+3,DAY(计算!C6))</f>
        <v>45489</v>
      </c>
      <c r="F272" s="2">
        <f ca="1">E272-计算!$C$6</f>
        <v>91</v>
      </c>
      <c r="G272" s="2">
        <v>0</v>
      </c>
    </row>
    <row r="273" spans="1:7" ht="15.75" thickBot="1">
      <c r="A273" s="34" t="s">
        <v>70</v>
      </c>
      <c r="B273" s="33" t="s">
        <v>400</v>
      </c>
      <c r="D273" s="2" t="s">
        <v>32</v>
      </c>
      <c r="E273" s="4">
        <f ca="1">DATE(YEAR(计算!C6),MONTH(计算!C6)+6,DAY(计算!C6))</f>
        <v>45581</v>
      </c>
      <c r="F273" s="2">
        <f ca="1">E273-计算!$C$6</f>
        <v>183</v>
      </c>
      <c r="G273" s="2">
        <f>IF(计算!E8=2,1,0)</f>
        <v>0</v>
      </c>
    </row>
    <row r="274" spans="1:7" ht="15.75" thickBot="1">
      <c r="A274" s="34" t="s">
        <v>71</v>
      </c>
      <c r="B274" s="33" t="s">
        <v>401</v>
      </c>
      <c r="D274" s="2" t="s">
        <v>35</v>
      </c>
      <c r="E274" s="4">
        <f ca="1">DATE(YEAR(计算!C6),MONTH(计算!C6)+9,DAY(计算!C6))</f>
        <v>45673</v>
      </c>
      <c r="F274" s="2">
        <f ca="1">E274-计算!$C$6</f>
        <v>275</v>
      </c>
      <c r="G274" s="2">
        <f>IF(计算!E8=2,1,0)</f>
        <v>0</v>
      </c>
    </row>
    <row r="275" spans="1:7">
      <c r="D275" s="2" t="s">
        <v>36</v>
      </c>
      <c r="E275" s="4">
        <f ca="1">DATE(YEAR(计算!C6)+1,MONTH(计算!C6),DAY(计算!C6))</f>
        <v>45763</v>
      </c>
      <c r="F275" s="2">
        <f ca="1">E275-计算!$C$6</f>
        <v>365</v>
      </c>
      <c r="G275" s="2">
        <f>IF(计算!E8=2,2,1)</f>
        <v>1</v>
      </c>
    </row>
    <row r="276" spans="1:7">
      <c r="D276" s="2" t="s">
        <v>37</v>
      </c>
      <c r="E276" s="4">
        <f ca="1">DATE(YEAR(计算!C6)+1,MONTH(计算!C6)+6,DAY(计算!C6))</f>
        <v>45946</v>
      </c>
      <c r="F276" s="2">
        <f ca="1">E276-计算!$C$6</f>
        <v>548</v>
      </c>
      <c r="G276" s="2">
        <f>IF(计算!E8=2,3,1)</f>
        <v>1</v>
      </c>
    </row>
    <row r="277" spans="1:7">
      <c r="D277" s="2" t="s">
        <v>44</v>
      </c>
      <c r="E277" s="4">
        <f ca="1">DATE(YEAR(计算!C6)+2,MONTH(计算!C6),DAY(计算!C6))</f>
        <v>46128</v>
      </c>
      <c r="F277" s="2">
        <f ca="1">E277-计算!$C$6</f>
        <v>730</v>
      </c>
      <c r="G277" s="2">
        <f>IF(计算!E8=2,4,2)</f>
        <v>2</v>
      </c>
    </row>
  </sheetData>
  <phoneticPr fontId="15"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6:C31"/>
  <sheetViews>
    <sheetView workbookViewId="0">
      <selection activeCell="E32" sqref="E32"/>
    </sheetView>
  </sheetViews>
  <sheetFormatPr defaultRowHeight="14.25"/>
  <sheetData>
    <row r="26" spans="2:3">
      <c r="B26" s="45"/>
    </row>
    <row r="31" spans="2:3">
      <c r="C31" s="46"/>
    </row>
  </sheetData>
  <phoneticPr fontId="2"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4.25"/>
  <sheetData>
    <row r="1" spans="1:1" ht="17.25">
      <c r="A1" s="47" t="s">
        <v>402</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计算</vt:lpstr>
      <vt:lpstr>使用说明</vt:lpstr>
      <vt:lpstr>数据</vt:lpstr>
      <vt:lpstr>算法说明</vt:lpstr>
      <vt:lpstr>zzz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ZhiKe</dc:creator>
  <cp:lastModifiedBy>Cui YongQiang</cp:lastModifiedBy>
  <dcterms:created xsi:type="dcterms:W3CDTF">1996-12-17T01:32:42Z</dcterms:created>
  <dcterms:modified xsi:type="dcterms:W3CDTF">2024-04-17T08:17:10Z</dcterms:modified>
</cp:coreProperties>
</file>