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【0#】DeepReview深度复盘\warrenluccie.github.io\docs\deepreview\"/>
    </mc:Choice>
  </mc:AlternateContent>
  <xr:revisionPtr revIDLastSave="0" documentId="13_ncr:1_{6663FA14-D370-493F-ACB2-B64BDB693F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基本资料" sheetId="1" r:id="rId1"/>
    <sheet name="估值分析" sheetId="26" r:id="rId2"/>
    <sheet name="Wind模板" sheetId="31" state="very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AC1" i="1"/>
  <c r="Q19" i="1"/>
  <c r="R9" i="1"/>
  <c r="R19" i="1"/>
  <c r="Q14" i="1"/>
  <c r="P13" i="1"/>
  <c r="O14" i="1"/>
  <c r="O16" i="1"/>
  <c r="P19" i="1"/>
  <c r="E16" i="26"/>
  <c r="P18" i="1"/>
  <c r="Q20" i="1"/>
  <c r="E14" i="26"/>
  <c r="L14" i="26" s="1"/>
  <c r="D18" i="26"/>
  <c r="N20" i="1"/>
  <c r="R10" i="1"/>
  <c r="Q9" i="1"/>
  <c r="H14" i="26"/>
  <c r="N8" i="1"/>
  <c r="O10" i="1"/>
  <c r="Q12" i="1"/>
  <c r="Q13" i="1"/>
  <c r="P17" i="1"/>
  <c r="E18" i="26"/>
  <c r="O20" i="1"/>
  <c r="N9" i="1"/>
  <c r="E13" i="26"/>
  <c r="Q11" i="1"/>
  <c r="E11" i="26"/>
  <c r="E9" i="26"/>
  <c r="R11" i="26"/>
  <c r="P12" i="1"/>
  <c r="R16" i="1"/>
  <c r="S8" i="1"/>
  <c r="O13" i="1"/>
  <c r="E12" i="26"/>
  <c r="R12" i="26" s="1"/>
  <c r="R18" i="26"/>
  <c r="P20" i="1"/>
  <c r="P8" i="1"/>
  <c r="R13" i="26"/>
  <c r="O18" i="1"/>
  <c r="AB8" i="1"/>
  <c r="P14" i="1"/>
  <c r="D20" i="26"/>
  <c r="S20" i="1"/>
  <c r="R13" i="1"/>
  <c r="O15" i="1"/>
  <c r="Q18" i="1"/>
  <c r="V8" i="1"/>
  <c r="Q17" i="1"/>
  <c r="H11" i="26"/>
  <c r="Q15" i="1"/>
  <c r="R11" i="1"/>
  <c r="S9" i="1"/>
  <c r="W8" i="1"/>
  <c r="S13" i="1"/>
  <c r="X13" i="1" s="1"/>
  <c r="E17" i="26"/>
  <c r="E20" i="26"/>
  <c r="V20" i="26" s="1"/>
  <c r="U20" i="1"/>
  <c r="E10" i="26"/>
  <c r="P9" i="1"/>
  <c r="Z8" i="1"/>
  <c r="V13" i="1"/>
  <c r="Q8" i="1"/>
  <c r="Z13" i="1"/>
  <c r="Q10" i="1"/>
  <c r="R18" i="1"/>
  <c r="R20" i="26"/>
  <c r="W20" i="1"/>
  <c r="R15" i="1"/>
  <c r="R8" i="1"/>
  <c r="P11" i="1"/>
  <c r="P16" i="1"/>
  <c r="R12" i="1"/>
  <c r="L11" i="26"/>
  <c r="E15" i="26"/>
  <c r="O19" i="1"/>
  <c r="P10" i="1"/>
  <c r="Q16" i="1"/>
  <c r="AB9" i="1"/>
  <c r="H12" i="26"/>
  <c r="H18" i="26"/>
  <c r="X20" i="1"/>
  <c r="E8" i="26"/>
  <c r="R17" i="1"/>
  <c r="O12" i="1"/>
  <c r="R17" i="26"/>
  <c r="L9" i="26"/>
  <c r="R9" i="26"/>
  <c r="O17" i="1"/>
  <c r="W13" i="1"/>
  <c r="O8" i="1"/>
  <c r="E19" i="26"/>
  <c r="V18" i="26"/>
  <c r="R20" i="1"/>
  <c r="O11" i="1"/>
  <c r="P15" i="1"/>
  <c r="O9" i="1"/>
  <c r="D19" i="26"/>
  <c r="R16" i="26"/>
  <c r="R14" i="1"/>
  <c r="H20" i="26"/>
  <c r="L20" i="26"/>
  <c r="L16" i="26"/>
  <c r="L18" i="26"/>
  <c r="T8" i="1"/>
  <c r="T20" i="1"/>
  <c r="T9" i="1"/>
  <c r="L13" i="26"/>
  <c r="H13" i="26"/>
  <c r="X8" i="1"/>
  <c r="U8" i="1"/>
  <c r="V20" i="1"/>
  <c r="Z20" i="1"/>
  <c r="AB20" i="1"/>
  <c r="V9" i="1"/>
  <c r="W9" i="1"/>
  <c r="X9" i="1"/>
  <c r="Z9" i="1"/>
  <c r="V17" i="26"/>
  <c r="H17" i="26"/>
  <c r="H10" i="26"/>
  <c r="L10" i="26"/>
  <c r="H15" i="26"/>
  <c r="L8" i="26"/>
  <c r="R8" i="26"/>
  <c r="V19" i="26"/>
  <c r="L19" i="26"/>
  <c r="H19" i="26"/>
  <c r="R19" i="26"/>
  <c r="E7" i="1" l="1"/>
  <c r="F7" i="1" s="1"/>
  <c r="D11" i="1"/>
  <c r="H7" i="1"/>
  <c r="I7" i="1"/>
  <c r="D8" i="1"/>
  <c r="G7" i="1"/>
  <c r="L15" i="26"/>
  <c r="D11" i="26"/>
  <c r="D12" i="26"/>
  <c r="S11" i="1"/>
  <c r="S11" i="26"/>
  <c r="S18" i="1"/>
  <c r="D14" i="26"/>
  <c r="M11" i="26"/>
  <c r="W18" i="1"/>
  <c r="M17" i="26"/>
  <c r="R15" i="26"/>
  <c r="U9" i="1"/>
  <c r="S12" i="26"/>
  <c r="L12" i="26"/>
  <c r="D16" i="26"/>
  <c r="V15" i="26"/>
  <c r="AB13" i="1"/>
  <c r="S14" i="1"/>
  <c r="U14" i="1" s="1"/>
  <c r="D9" i="26"/>
  <c r="D8" i="26"/>
  <c r="V18" i="1"/>
  <c r="Z18" i="1"/>
  <c r="U18" i="1"/>
  <c r="X18" i="1"/>
  <c r="X14" i="1"/>
  <c r="N16" i="1"/>
  <c r="N15" i="1"/>
  <c r="S16" i="1"/>
  <c r="S10" i="1"/>
  <c r="M12" i="26"/>
  <c r="S8" i="26"/>
  <c r="W10" i="1"/>
  <c r="D10" i="26"/>
  <c r="V16" i="26"/>
  <c r="S17" i="1"/>
  <c r="D15" i="26"/>
  <c r="S14" i="26"/>
  <c r="D13" i="26"/>
  <c r="W16" i="1"/>
  <c r="S13" i="26"/>
  <c r="H8" i="26"/>
  <c r="V10" i="26"/>
  <c r="U13" i="1"/>
  <c r="M9" i="26"/>
  <c r="V11" i="1"/>
  <c r="Z17" i="1"/>
  <c r="D17" i="26"/>
  <c r="R14" i="26"/>
  <c r="N12" i="1"/>
  <c r="V8" i="26"/>
  <c r="X10" i="1"/>
  <c r="U17" i="1"/>
  <c r="N10" i="1"/>
  <c r="Z11" i="1"/>
  <c r="M8" i="26"/>
  <c r="S17" i="26"/>
  <c r="N17" i="1"/>
  <c r="U10" i="1"/>
  <c r="W17" i="1"/>
  <c r="M14" i="26"/>
  <c r="V16" i="1"/>
  <c r="M15" i="26"/>
  <c r="S10" i="26"/>
  <c r="Z10" i="1"/>
  <c r="N11" i="1"/>
  <c r="V17" i="1"/>
  <c r="V14" i="1"/>
  <c r="V13" i="26"/>
  <c r="X11" i="1"/>
  <c r="N14" i="1"/>
  <c r="V11" i="26"/>
  <c r="M19" i="26"/>
  <c r="S12" i="1"/>
  <c r="V9" i="26"/>
  <c r="M16" i="26"/>
  <c r="N19" i="1"/>
  <c r="S9" i="26"/>
  <c r="S19" i="26"/>
  <c r="H9" i="26"/>
  <c r="N18" i="1"/>
  <c r="M13" i="26"/>
  <c r="R10" i="26"/>
  <c r="U11" i="1"/>
  <c r="X17" i="1"/>
  <c r="V14" i="26"/>
  <c r="M20" i="26"/>
  <c r="L17" i="26"/>
  <c r="S16" i="26"/>
  <c r="W14" i="1"/>
  <c r="W11" i="1"/>
  <c r="N13" i="1"/>
  <c r="M18" i="26"/>
  <c r="S15" i="1"/>
  <c r="U12" i="1"/>
  <c r="M10" i="26"/>
  <c r="Z14" i="1"/>
  <c r="S15" i="26"/>
  <c r="S20" i="26"/>
  <c r="S19" i="1"/>
  <c r="S18" i="26"/>
  <c r="H16" i="26"/>
  <c r="V12" i="26"/>
  <c r="T14" i="1"/>
  <c r="T16" i="1"/>
  <c r="T13" i="1"/>
  <c r="T12" i="1"/>
  <c r="T17" i="1"/>
  <c r="T10" i="1"/>
  <c r="T18" i="1"/>
  <c r="T11" i="1"/>
  <c r="T19" i="1"/>
  <c r="X16" i="1"/>
  <c r="Z16" i="1"/>
  <c r="U16" i="1"/>
  <c r="V12" i="1"/>
  <c r="W12" i="1"/>
  <c r="X12" i="1"/>
  <c r="U15" i="1"/>
  <c r="X15" i="1"/>
  <c r="Z15" i="1"/>
  <c r="W15" i="1"/>
  <c r="V15" i="1"/>
  <c r="U19" i="1"/>
  <c r="Z19" i="1"/>
  <c r="X19" i="1"/>
  <c r="W19" i="1"/>
  <c r="E11" i="1" l="1"/>
  <c r="F11" i="1" s="1"/>
  <c r="G11" i="1"/>
  <c r="H11" i="1"/>
  <c r="I11" i="1"/>
  <c r="D12" i="1"/>
  <c r="H8" i="1"/>
  <c r="I8" i="1"/>
  <c r="D9" i="1"/>
  <c r="E8" i="1"/>
  <c r="F8" i="1" s="1"/>
  <c r="G8" i="1"/>
  <c r="Z12" i="1"/>
  <c r="T18" i="26"/>
  <c r="U20" i="26"/>
  <c r="AB16" i="1"/>
  <c r="G12" i="26"/>
  <c r="W12" i="26"/>
  <c r="AA11" i="1"/>
  <c r="AB19" i="1"/>
  <c r="AA10" i="1"/>
  <c r="Y17" i="1"/>
  <c r="K15" i="26"/>
  <c r="Y8" i="1"/>
  <c r="N13" i="26"/>
  <c r="U16" i="26"/>
  <c r="AB15" i="1"/>
  <c r="AC14" i="1"/>
  <c r="T13" i="26"/>
  <c r="N8" i="26"/>
  <c r="K20" i="26"/>
  <c r="W18" i="26"/>
  <c r="U13" i="26"/>
  <c r="G15" i="26"/>
  <c r="Q17" i="26"/>
  <c r="Y19" i="1"/>
  <c r="G10" i="26"/>
  <c r="AC10" i="1"/>
  <c r="Q19" i="26"/>
  <c r="U18" i="26"/>
  <c r="AC18" i="1"/>
  <c r="Y18" i="1"/>
  <c r="V10" i="1"/>
  <c r="U10" i="26"/>
  <c r="Q9" i="26"/>
  <c r="U17" i="26"/>
  <c r="O9" i="26"/>
  <c r="W13" i="26"/>
  <c r="N15" i="26"/>
  <c r="U12" i="26"/>
  <c r="Y14" i="1"/>
  <c r="T10" i="26"/>
  <c r="O12" i="26"/>
  <c r="N12" i="26"/>
  <c r="K18" i="26"/>
  <c r="AA20" i="1"/>
  <c r="Y9" i="1"/>
  <c r="AC8" i="1"/>
  <c r="T9" i="26"/>
  <c r="AB17" i="1"/>
  <c r="Q16" i="26"/>
  <c r="AA13" i="1"/>
  <c r="O14" i="26"/>
  <c r="K8" i="26"/>
  <c r="T15" i="26"/>
  <c r="N17" i="26"/>
  <c r="N11" i="26"/>
  <c r="AA9" i="1"/>
  <c r="G13" i="26"/>
  <c r="O15" i="26"/>
  <c r="AB12" i="1"/>
  <c r="G20" i="26"/>
  <c r="AC20" i="1"/>
  <c r="AA14" i="1"/>
  <c r="AC15" i="1"/>
  <c r="W8" i="26"/>
  <c r="K12" i="26"/>
  <c r="AA15" i="1"/>
  <c r="Y15" i="1"/>
  <c r="AB18" i="1"/>
  <c r="N9" i="26"/>
  <c r="Y10" i="1"/>
  <c r="O18" i="26"/>
  <c r="G18" i="26"/>
  <c r="Y20" i="1"/>
  <c r="AA8" i="1"/>
  <c r="W10" i="26"/>
  <c r="AC17" i="1"/>
  <c r="AB14" i="1"/>
  <c r="U11" i="26"/>
  <c r="Q20" i="26"/>
  <c r="AC9" i="1"/>
  <c r="O10" i="26"/>
  <c r="W11" i="26"/>
  <c r="AA18" i="1"/>
  <c r="AC16" i="1"/>
  <c r="AC13" i="1"/>
  <c r="T16" i="26"/>
  <c r="Y11" i="1"/>
  <c r="AA16" i="1"/>
  <c r="G19" i="26"/>
  <c r="T14" i="26"/>
  <c r="W16" i="26"/>
  <c r="W14" i="26"/>
  <c r="O8" i="26"/>
  <c r="W17" i="26"/>
  <c r="Y16" i="1"/>
  <c r="Q13" i="26"/>
  <c r="N16" i="26"/>
  <c r="AC11" i="1"/>
  <c r="AB10" i="1"/>
  <c r="T17" i="26"/>
  <c r="K17" i="26"/>
  <c r="Q11" i="26"/>
  <c r="G11" i="26"/>
  <c r="K19" i="26"/>
  <c r="G17" i="26"/>
  <c r="AC12" i="1"/>
  <c r="Q8" i="26"/>
  <c r="G14" i="26"/>
  <c r="Q12" i="26"/>
  <c r="AA12" i="1"/>
  <c r="Q18" i="26"/>
  <c r="W9" i="26"/>
  <c r="N14" i="26"/>
  <c r="AA17" i="1"/>
  <c r="K11" i="26"/>
  <c r="U8" i="26"/>
  <c r="T12" i="26"/>
  <c r="Y12" i="1"/>
  <c r="K13" i="26"/>
  <c r="W19" i="26"/>
  <c r="AB11" i="1"/>
  <c r="W15" i="26"/>
  <c r="Q15" i="26"/>
  <c r="O11" i="26"/>
  <c r="K10" i="26"/>
  <c r="N19" i="26"/>
  <c r="U19" i="26"/>
  <c r="G9" i="26"/>
  <c r="AC19" i="1"/>
  <c r="T11" i="26"/>
  <c r="G16" i="26"/>
  <c r="Y13" i="1"/>
  <c r="T8" i="26"/>
  <c r="O16" i="26"/>
  <c r="AA19" i="1"/>
  <c r="O17" i="26"/>
  <c r="Q14" i="26"/>
  <c r="N18" i="26"/>
  <c r="O19" i="26"/>
  <c r="O13" i="26"/>
  <c r="U9" i="26"/>
  <c r="K9" i="26"/>
  <c r="V19" i="1"/>
  <c r="T20" i="26"/>
  <c r="T19" i="26"/>
  <c r="O20" i="26"/>
  <c r="Q10" i="26"/>
  <c r="U14" i="26"/>
  <c r="N10" i="26"/>
  <c r="N20" i="26"/>
  <c r="W20" i="26"/>
  <c r="K16" i="26"/>
  <c r="U15" i="26"/>
  <c r="G8" i="26"/>
  <c r="K14" i="26"/>
  <c r="T15" i="1"/>
  <c r="D10" i="1" l="1"/>
  <c r="Q7" i="26"/>
  <c r="K7" i="26"/>
  <c r="G7" i="26"/>
  <c r="G12" i="1"/>
  <c r="H12" i="1"/>
  <c r="I12" i="1"/>
  <c r="E12" i="1"/>
  <c r="F12" i="1" s="1"/>
  <c r="H9" i="1"/>
  <c r="I9" i="1"/>
  <c r="G9" i="1"/>
  <c r="E9" i="1"/>
  <c r="F9" i="1" s="1"/>
  <c r="J18" i="26"/>
  <c r="P10" i="26"/>
  <c r="F13" i="26"/>
  <c r="P15" i="26"/>
  <c r="P19" i="26"/>
  <c r="F20" i="26"/>
  <c r="J10" i="26"/>
  <c r="J8" i="26"/>
  <c r="P17" i="26"/>
  <c r="P8" i="26"/>
  <c r="J14" i="26"/>
  <c r="P13" i="26"/>
  <c r="F18" i="26"/>
  <c r="F12" i="26"/>
  <c r="F10" i="26"/>
  <c r="P9" i="26"/>
  <c r="F16" i="26"/>
  <c r="F11" i="26"/>
  <c r="P14" i="26"/>
  <c r="J16" i="26"/>
  <c r="J17" i="26"/>
  <c r="F17" i="26"/>
  <c r="J12" i="26"/>
  <c r="P20" i="26"/>
  <c r="F14" i="26"/>
  <c r="F8" i="26"/>
  <c r="P12" i="26"/>
  <c r="P18" i="26"/>
  <c r="J19" i="26"/>
  <c r="J11" i="26"/>
  <c r="J20" i="26"/>
  <c r="P11" i="26"/>
  <c r="P16" i="26"/>
  <c r="F9" i="26"/>
  <c r="J9" i="26"/>
  <c r="F19" i="26"/>
  <c r="J15" i="26"/>
  <c r="F15" i="26"/>
  <c r="J13" i="26"/>
  <c r="E10" i="1" l="1"/>
  <c r="F10" i="1" s="1"/>
  <c r="I10" i="1"/>
  <c r="H10" i="1"/>
  <c r="G10" i="1"/>
  <c r="P7" i="26"/>
  <c r="J7" i="26"/>
  <c r="F7" i="26"/>
</calcChain>
</file>

<file path=xl/sharedStrings.xml><?xml version="1.0" encoding="utf-8"?>
<sst xmlns="http://schemas.openxmlformats.org/spreadsheetml/2006/main" count="87" uniqueCount="67">
  <si>
    <t>Wind代码</t>
    <phoneticPr fontId="3" type="noConversion"/>
  </si>
  <si>
    <t>证券简称</t>
    <phoneticPr fontId="3" type="noConversion"/>
  </si>
  <si>
    <t>行情速览</t>
    <phoneticPr fontId="3" type="noConversion"/>
  </si>
  <si>
    <t>最新收盘价</t>
    <phoneticPr fontId="3" type="noConversion"/>
  </si>
  <si>
    <t>最近交易日</t>
    <phoneticPr fontId="3" type="noConversion"/>
  </si>
  <si>
    <t>最新涨跌幅(%)</t>
    <phoneticPr fontId="3" type="noConversion"/>
  </si>
  <si>
    <t>最近更新：</t>
    <phoneticPr fontId="3" type="noConversion"/>
  </si>
  <si>
    <t>基础信息</t>
    <phoneticPr fontId="3" type="noConversion"/>
  </si>
  <si>
    <t>日期</t>
    <phoneticPr fontId="3" type="noConversion"/>
  </si>
  <si>
    <t>1年前</t>
    <phoneticPr fontId="3" type="noConversion"/>
  </si>
  <si>
    <t>2年前</t>
    <phoneticPr fontId="3" type="noConversion"/>
  </si>
  <si>
    <t>今日</t>
    <phoneticPr fontId="3" type="noConversion"/>
  </si>
  <si>
    <t>月份</t>
    <phoneticPr fontId="3" type="noConversion"/>
  </si>
  <si>
    <t>季度</t>
    <phoneticPr fontId="3" type="noConversion"/>
  </si>
  <si>
    <t>年份</t>
    <phoneticPr fontId="3" type="noConversion"/>
  </si>
  <si>
    <t>时间</t>
    <phoneticPr fontId="3" type="noConversion"/>
  </si>
  <si>
    <t>年初</t>
    <phoneticPr fontId="3" type="noConversion"/>
  </si>
  <si>
    <t>年底</t>
    <phoneticPr fontId="3" type="noConversion"/>
  </si>
  <si>
    <t>1年后</t>
    <phoneticPr fontId="3" type="noConversion"/>
  </si>
  <si>
    <t>2年后</t>
    <phoneticPr fontId="3" type="noConversion"/>
  </si>
  <si>
    <t>P/E(TTM)</t>
    <phoneticPr fontId="3" type="noConversion"/>
  </si>
  <si>
    <t>P/B(MRQ)</t>
    <phoneticPr fontId="3" type="noConversion"/>
  </si>
  <si>
    <t>EPS</t>
    <phoneticPr fontId="3" type="noConversion"/>
  </si>
  <si>
    <t>估值分析</t>
    <phoneticPr fontId="3" type="noConversion"/>
  </si>
  <si>
    <t>最新收盘日总市值</t>
    <phoneticPr fontId="2" type="noConversion"/>
  </si>
  <si>
    <t>趋势图</t>
    <phoneticPr fontId="2" type="noConversion"/>
  </si>
  <si>
    <t>最新收盘日</t>
    <phoneticPr fontId="3" type="noConversion"/>
  </si>
  <si>
    <t>市盈率PE</t>
    <phoneticPr fontId="2" type="noConversion"/>
  </si>
  <si>
    <t>PE(FY1)</t>
    <phoneticPr fontId="2" type="noConversion"/>
  </si>
  <si>
    <t>PE(FY2)</t>
    <phoneticPr fontId="2" type="noConversion"/>
  </si>
  <si>
    <t>市净率PB</t>
    <phoneticPr fontId="2" type="noConversion"/>
  </si>
  <si>
    <t>最新收盘日PE(TTM)</t>
    <phoneticPr fontId="2" type="noConversion"/>
  </si>
  <si>
    <t>PB(FY1)</t>
    <phoneticPr fontId="2" type="noConversion"/>
  </si>
  <si>
    <t>PB(FY2)</t>
    <phoneticPr fontId="2" type="noConversion"/>
  </si>
  <si>
    <t>最新收盘日PB(MRQ)</t>
    <phoneticPr fontId="2" type="noConversion"/>
  </si>
  <si>
    <t>*注：此excel中所有财务相关数据均采用了GSD标准</t>
    <phoneticPr fontId="3" type="noConversion"/>
  </si>
  <si>
    <t>881001.WI</t>
    <phoneticPr fontId="3" type="noConversion"/>
  </si>
  <si>
    <t>000001.SH</t>
    <phoneticPr fontId="3" type="noConversion"/>
  </si>
  <si>
    <t>399001.SZ</t>
    <phoneticPr fontId="3" type="noConversion"/>
  </si>
  <si>
    <t>399006.SZ</t>
    <phoneticPr fontId="3" type="noConversion"/>
  </si>
  <si>
    <t>000688.SH</t>
    <phoneticPr fontId="3" type="noConversion"/>
  </si>
  <si>
    <t>899050.BJ</t>
    <phoneticPr fontId="3" type="noConversion"/>
  </si>
  <si>
    <t>000016.SH</t>
    <phoneticPr fontId="3" type="noConversion"/>
  </si>
  <si>
    <t>000300.SH</t>
    <phoneticPr fontId="3" type="noConversion"/>
  </si>
  <si>
    <t>000905.SH</t>
    <phoneticPr fontId="3" type="noConversion"/>
  </si>
  <si>
    <t>000852.SH</t>
    <phoneticPr fontId="3" type="noConversion"/>
  </si>
  <si>
    <t>成分个数</t>
    <phoneticPr fontId="3" type="noConversion"/>
  </si>
  <si>
    <t>基日</t>
    <phoneticPr fontId="3" type="noConversion"/>
  </si>
  <si>
    <t>发布日期</t>
    <phoneticPr fontId="3" type="noConversion"/>
  </si>
  <si>
    <t>发布机构</t>
    <phoneticPr fontId="3" type="noConversion"/>
  </si>
  <si>
    <t>总市值</t>
    <phoneticPr fontId="3" type="noConversion"/>
  </si>
  <si>
    <t>股息率(近12个月）</t>
    <phoneticPr fontId="3" type="noConversion"/>
  </si>
  <si>
    <t>可比指数</t>
    <phoneticPr fontId="2" type="noConversion"/>
  </si>
  <si>
    <t>总市值(亿元)</t>
    <phoneticPr fontId="2" type="noConversion"/>
  </si>
  <si>
    <t>10年前</t>
    <phoneticPr fontId="3" type="noConversion"/>
  </si>
  <si>
    <t>股息率(近12个月）</t>
    <phoneticPr fontId="2" type="noConversion"/>
  </si>
  <si>
    <t>分位数</t>
    <phoneticPr fontId="2" type="noConversion"/>
  </si>
  <si>
    <t>分位数</t>
    <phoneticPr fontId="2" type="noConversion"/>
  </si>
  <si>
    <t>可比指数-估值分析</t>
    <phoneticPr fontId="3" type="noConversion"/>
  </si>
  <si>
    <t>最新PE(TTM)</t>
    <phoneticPr fontId="2" type="noConversion"/>
  </si>
  <si>
    <t>最新PB(MRQ)</t>
    <phoneticPr fontId="2" type="noConversion"/>
  </si>
  <si>
    <t>股息率(近12个月）</t>
    <phoneticPr fontId="2" type="noConversion"/>
  </si>
  <si>
    <t>可比指数-基本资料</t>
  </si>
  <si>
    <t>基本资料</t>
    <phoneticPr fontId="3" type="noConversion"/>
  </si>
  <si>
    <t>000015.SH</t>
    <phoneticPr fontId="3" type="noConversion"/>
  </si>
  <si>
    <t>000032.SH</t>
    <phoneticPr fontId="3" type="noConversion"/>
  </si>
  <si>
    <t>000888.SH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</si>
</sst>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###,###,##0.0000"/>
    <numFmt numFmtId="177" formatCode="###,###,##0.000"/>
    <numFmt numFmtId="178" formatCode="###,###,##0.00"/>
    <numFmt numFmtId="179" formatCode="_ * #,##0_ ;_ * \-#,##0_ ;_ * &quot;-&quot;??_ ;_ @_ "/>
  </numFmts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sz val="11"/>
      <color theme="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/>
      <top/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2" borderId="0" xfId="0" applyFont="1" applyFill="1" applyAlignment="1"/>
    <xf numFmtId="0" fontId="4" fillId="2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1" xfId="0" applyFont="1" applyFill="1" applyBorder="1" applyAlignment="1">
      <alignment vertical="top"/>
    </xf>
    <xf numFmtId="0" fontId="1" fillId="4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4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5" fillId="4" borderId="1" xfId="0" applyFont="1" applyFill="1" applyBorder="1" applyAlignment="1">
      <alignment horizontal="right" vertical="top"/>
    </xf>
    <xf numFmtId="178" fontId="1" fillId="0" borderId="0" xfId="0" applyNumberFormat="1" applyFont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6" fillId="5" borderId="7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right"/>
    </xf>
    <xf numFmtId="178" fontId="1" fillId="0" borderId="2" xfId="0" applyNumberFormat="1" applyFont="1" applyBorder="1" applyAlignment="1">
      <alignment horizontal="right" vertical="center"/>
    </xf>
    <xf numFmtId="178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3" xfId="0" applyNumberFormat="1" applyFont="1" applyBorder="1">
      <alignment vertical="center"/>
    </xf>
    <xf numFmtId="176" fontId="1" fillId="0" borderId="3" xfId="0" applyNumberFormat="1" applyFont="1" applyBorder="1" applyAlignment="1">
      <alignment horizontal="right" vertical="center"/>
    </xf>
    <xf numFmtId="176" fontId="1" fillId="0" borderId="3" xfId="0" applyNumberFormat="1" applyFont="1" applyBorder="1">
      <alignment vertical="center"/>
    </xf>
    <xf numFmtId="178" fontId="1" fillId="0" borderId="2" xfId="0" applyNumberFormat="1" applyFont="1" applyBorder="1">
      <alignment vertical="center"/>
    </xf>
    <xf numFmtId="0" fontId="6" fillId="5" borderId="7" xfId="0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right" vertical="center"/>
    </xf>
    <xf numFmtId="178" fontId="1" fillId="0" borderId="8" xfId="0" applyNumberFormat="1" applyFont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1" fillId="0" borderId="11" xfId="0" applyFont="1" applyBorder="1">
      <alignment vertical="center"/>
    </xf>
    <xf numFmtId="176" fontId="1" fillId="0" borderId="2" xfId="0" applyNumberFormat="1" applyFont="1" applyBorder="1" applyAlignment="1">
      <alignment horizontal="right" vertical="center"/>
    </xf>
    <xf numFmtId="178" fontId="1" fillId="0" borderId="5" xfId="0" applyNumberFormat="1" applyFont="1" applyBorder="1" applyAlignment="1">
      <alignment horizontal="right" vertical="center"/>
    </xf>
    <xf numFmtId="178" fontId="1" fillId="0" borderId="6" xfId="0" applyNumberFormat="1" applyFont="1" applyBorder="1" applyAlignment="1">
      <alignment horizontal="right" vertical="center"/>
    </xf>
    <xf numFmtId="0" fontId="6" fillId="5" borderId="18" xfId="0" applyFont="1" applyFill="1" applyBorder="1" applyAlignment="1">
      <alignment horizontal="right"/>
    </xf>
    <xf numFmtId="0" fontId="6" fillId="5" borderId="19" xfId="0" applyFont="1" applyFill="1" applyBorder="1" applyAlignment="1">
      <alignment horizontal="right"/>
    </xf>
    <xf numFmtId="0" fontId="7" fillId="4" borderId="0" xfId="0" applyFont="1" applyFill="1">
      <alignment vertical="center"/>
    </xf>
    <xf numFmtId="0" fontId="6" fillId="5" borderId="12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4" fontId="1" fillId="0" borderId="15" xfId="0" applyNumberFormat="1" applyFont="1" applyBorder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right" vertical="center"/>
    </xf>
    <xf numFmtId="14" fontId="10" fillId="2" borderId="0" xfId="0" applyNumberFormat="1" applyFont="1" applyFill="1" applyAlignment="1">
      <alignment horizontal="center" vertical="center"/>
    </xf>
    <xf numFmtId="0" fontId="5" fillId="0" borderId="0" xfId="0" applyFont="1" applyAlignment="1"/>
    <xf numFmtId="176" fontId="1" fillId="0" borderId="8" xfId="0" applyNumberFormat="1" applyFont="1" applyBorder="1" applyAlignment="1">
      <alignment horizontal="right" vertical="center"/>
    </xf>
    <xf numFmtId="176" fontId="1" fillId="0" borderId="5" xfId="0" applyNumberFormat="1" applyFont="1" applyBorder="1" applyAlignment="1">
      <alignment horizontal="right" vertical="center"/>
    </xf>
    <xf numFmtId="0" fontId="6" fillId="5" borderId="20" xfId="0" applyFont="1" applyFill="1" applyBorder="1" applyAlignment="1">
      <alignment horizontal="right"/>
    </xf>
    <xf numFmtId="0" fontId="1" fillId="0" borderId="3" xfId="0" applyFont="1" applyBorder="1" applyAlignment="1">
      <alignment horizontal="right" vertical="center"/>
    </xf>
    <xf numFmtId="179" fontId="1" fillId="0" borderId="3" xfId="1" applyNumberFormat="1" applyFont="1" applyFill="1" applyBorder="1">
      <alignment vertical="center"/>
    </xf>
    <xf numFmtId="0" fontId="6" fillId="5" borderId="9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1" fillId="0" borderId="8" xfId="0" applyFont="1" applyBorder="1" applyAlignment="1">
      <alignment horizontal="right" vertical="center"/>
    </xf>
    <xf numFmtId="0" fontId="6" fillId="5" borderId="20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###,###,##0.0000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###,###,##0.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/>
        <right style="dash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0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9" formatCode="_ * #,##0_ ;_ * \-#,##0_ ;_ * &quot;-&quot;??_ ;_ @_ 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ill>
        <patternFill>
          <bgColor rgb="FFF4F4F4"/>
        </patternFill>
      </fill>
    </dxf>
    <dxf>
      <fill>
        <patternFill>
          <bgColor theme="0"/>
        </patternFill>
      </fill>
    </dxf>
  </dxfs>
  <tableStyles count="1" defaultTableStyle="表样式 1" defaultPivotStyle="PivotStyleLight16">
    <tableStyle name="表样式 1" pivot="0" count="2" xr9:uid="{00000000-0011-0000-FFFF-FFFF00000000}">
      <tableStyleElement type="firstRowStripe" dxfId="97"/>
      <tableStyleElement type="secondRowStripe" dxfId="96"/>
    </tableStyle>
  </tableStyles>
  <colors>
    <mruColors>
      <color rgb="FF63636D"/>
      <color rgb="FFE9E9E9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76200</xdr:rowOff>
    </xdr:from>
    <xdr:to>
      <xdr:col>12</xdr:col>
      <xdr:colOff>521971</xdr:colOff>
      <xdr:row>0</xdr:row>
      <xdr:rowOff>295800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6200"/>
          <a:ext cx="636271" cy="2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2</xdr:col>
      <xdr:colOff>521971</xdr:colOff>
      <xdr:row>0</xdr:row>
      <xdr:rowOff>295800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crm_issuer"/>
      <definedName name="hks_fa_eps_basic"/>
      <definedName name="hks_info_name"/>
      <definedName name="hks_val_mv_ard"/>
      <definedName name="hks_val_pb"/>
      <definedName name="hks_val_pe"/>
      <definedName name="hks_val_pe_ttm"/>
      <definedName name="i_info_basedate"/>
      <definedName name="i_info_launchdate"/>
      <definedName name="i_info_numberofconstituents"/>
      <definedName name="i_val_dividend_percentile"/>
      <definedName name="i_val_pb_mrqwgt"/>
      <definedName name="i_val_pb_percentile"/>
      <definedName name="i_val_pe_percentile"/>
      <definedName name="lastradeday_s"/>
      <definedName name="pb_mrq"/>
      <definedName name="s_dq_close"/>
      <definedName name="s_dq_pctchange"/>
      <definedName name="s_fa_eps_ttm2"/>
      <definedName name="s_fa_latelyrd_bt"/>
      <definedName name="s_info_exchmarket"/>
      <definedName name="s_info_mkt"/>
      <definedName name="s_ipo_listeddate"/>
      <definedName name="s_stm_rpt_e"/>
      <definedName name="s_val_dividendyield2"/>
      <definedName name="s_val_estpb"/>
      <definedName name="s_val_estpe"/>
      <definedName name="s_val_evtoebitda2"/>
      <definedName name="s_val_mv_ard"/>
      <definedName name="s_val_pb_lf"/>
      <definedName name="s_val_pe_ttm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M8:AC100" headerRowCount="0" totalsRowShown="0" headerRowDxfId="95" dataDxfId="94">
  <sortState xmlns:xlrd2="http://schemas.microsoft.com/office/spreadsheetml/2017/richdata2" ref="M8:AC100">
    <sortCondition descending="1" ref="AB8"/>
  </sortState>
  <tableColumns count="17">
    <tableColumn id="1" xr3:uid="{00000000-0010-0000-0000-000001000000}" name="列1" headerRowDxfId="93" dataDxfId="92"/>
    <tableColumn id="2" xr3:uid="{00000000-0010-0000-0000-000002000000}" name="列2" headerRowDxfId="91" dataDxfId="90"/>
    <tableColumn id="3" xr3:uid="{00000000-0010-0000-0000-000003000000}" name="列3" headerRowDxfId="89" dataDxfId="88">
      <calculatedColumnFormula>[1]!s_ipo_listeddate(M8)</calculatedColumnFormula>
    </tableColumn>
    <tableColumn id="4" xr3:uid="{00000000-0010-0000-0000-000004000000}" name="列4" headerRowDxfId="87" dataDxfId="86">
      <calculatedColumnFormula>[1]!s_info_exchmarket(M8)</calculatedColumnFormula>
    </tableColumn>
    <tableColumn id="5" xr3:uid="{00000000-0010-0000-0000-000005000000}" name="列5" headerRowDxfId="85" dataDxfId="84" dataCellStyle="千位分隔">
      <calculatedColumnFormula>[1]!s_info_mkt(M8)</calculatedColumnFormula>
    </tableColumn>
    <tableColumn id="7" xr3:uid="{00000000-0010-0000-0000-000007000000}" name="列7" headerRowDxfId="83" dataDxfId="82"/>
    <tableColumn id="10" xr3:uid="{00000000-0010-0000-0000-00000A000000}" name="列10" headerRowDxfId="81" dataDxfId="80">
      <calculatedColumnFormula>[1]!lastradeday_s(M8,"")</calculatedColumnFormula>
    </tableColumn>
    <tableColumn id="11" xr3:uid="{00000000-0010-0000-0000-00000B000000}" name="列11" headerRowDxfId="79" dataDxfId="78">
      <calculatedColumnFormula>[1]!s_dq_close(M8,"",3)</calculatedColumnFormula>
    </tableColumn>
    <tableColumn id="12" xr3:uid="{00000000-0010-0000-0000-00000C000000}" name="列12" headerRowDxfId="77" dataDxfId="76">
      <calculatedColumnFormula>[1]!s_dq_pctchange(M8,"")</calculatedColumnFormula>
    </tableColumn>
    <tableColumn id="14" xr3:uid="{00000000-0010-0000-0000-00000E000000}" name="列14" headerRowDxfId="75" dataDxfId="74">
      <calculatedColumnFormula>[1]!hks_val_mv_ard(M8,"","",100000000)</calculatedColumnFormula>
    </tableColumn>
    <tableColumn id="102" xr3:uid="{00000000-0010-0000-0000-000066000000}" name="列102" headerRowDxfId="73" dataDxfId="72">
      <calculatedColumnFormula>[1]!hks_fa_eps_basic(M8,[1]!s_fa_latelyrd_bt(M8,S8),"")</calculatedColumnFormula>
    </tableColumn>
    <tableColumn id="15" xr3:uid="{00000000-0010-0000-0000-00000F000000}" name="列15" headerRowDxfId="71" dataDxfId="70">
      <calculatedColumnFormula>[1]!hks_val_pe_ttm(M8,S8)</calculatedColumnFormula>
    </tableColumn>
    <tableColumn id="6" xr3:uid="{00000000-0010-0000-0000-000006000000}" name="列6" headerRowDxfId="69" dataDxfId="68">
      <calculatedColumnFormula>[1]!i_val_pe_percentile(M8,S8,$D$9,S8)</calculatedColumnFormula>
    </tableColumn>
    <tableColumn id="16" xr3:uid="{00000000-0010-0000-0000-000010000000}" name="列16" headerRowDxfId="67" dataDxfId="66">
      <calculatedColumnFormula>[1]!pb_mrq(M8,S8)</calculatedColumnFormula>
    </tableColumn>
    <tableColumn id="8" xr3:uid="{00000000-0010-0000-0000-000008000000}" name="列8" headerRowDxfId="65" dataDxfId="64">
      <calculatedColumnFormula>[1]!i_val_pb_percentile(M8,S8,$D$9,S8)</calculatedColumnFormula>
    </tableColumn>
    <tableColumn id="17" xr3:uid="{00000000-0010-0000-0000-000011000000}" name="列17" headerRowDxfId="63" dataDxfId="62">
      <calculatedColumnFormula>[1]!s_val_evtoebitda2(M8,S8)</calculatedColumnFormula>
    </tableColumn>
    <tableColumn id="9" xr3:uid="{00000000-0010-0000-0000-000009000000}" name="列9" headerRowDxfId="61" dataDxfId="60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表4" displayName="表4" ref="C7:I12" headerRowCount="0" totalsRowShown="0" headerRowDxfId="59" dataDxfId="58">
  <tableColumns count="7">
    <tableColumn id="1" xr3:uid="{00000000-0010-0000-0100-000001000000}" name="列1" headerRowDxfId="57" dataDxfId="56"/>
    <tableColumn id="2" xr3:uid="{00000000-0010-0000-0100-000002000000}" name="列2" headerRowDxfId="55" dataDxfId="54"/>
    <tableColumn id="3" xr3:uid="{00000000-0010-0000-0100-000003000000}" name="列3" headerRowDxfId="53" dataDxfId="52">
      <calculatedColumnFormula>MONTH(D8)</calculatedColumnFormula>
    </tableColumn>
    <tableColumn id="4" xr3:uid="{00000000-0010-0000-0100-000004000000}" name="列4" headerRowDxfId="51" dataDxfId="50">
      <calculatedColumnFormula>LEN(2^E8)</calculatedColumnFormula>
    </tableColumn>
    <tableColumn id="5" xr3:uid="{00000000-0010-0000-0100-000005000000}" name="列5" headerRowDxfId="49" dataDxfId="48">
      <calculatedColumnFormula>YEAR(D8)</calculatedColumnFormula>
    </tableColumn>
    <tableColumn id="6" xr3:uid="{00000000-0010-0000-0100-000006000000}" name="列6" headerRowDxfId="47" dataDxfId="46">
      <calculatedColumnFormula>DATE(YEAR(D8),1,1)</calculatedColumnFormula>
    </tableColumn>
    <tableColumn id="7" xr3:uid="{00000000-0010-0000-0100-000007000000}" name="列7" headerRowDxfId="45" dataDxfId="44">
      <calculatedColumnFormula>DATE(YEAR(D8),12,31)</calculatedColumnFormula>
    </tableColumn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表1_3121314" displayName="表1_3121314" ref="C8:W100" headerRowCount="0" totalsRowShown="0" headerRowDxfId="43" dataDxfId="42">
  <tableColumns count="21">
    <tableColumn id="1" xr3:uid="{00000000-0010-0000-0200-000001000000}" name="列1" headerRowDxfId="41" dataDxfId="40"/>
    <tableColumn id="2" xr3:uid="{00000000-0010-0000-0200-000002000000}" name="列2" headerRowDxfId="39" dataDxfId="38">
      <calculatedColumnFormula>[1]!hks_info_name(C8)</calculatedColumnFormula>
    </tableColumn>
    <tableColumn id="20" xr3:uid="{00000000-0010-0000-0200-000014000000}" name="列105" headerRowDxfId="37" dataDxfId="36">
      <calculatedColumnFormula>[1]!lastradeday_s(C8,TODAY())</calculatedColumnFormula>
    </tableColumn>
    <tableColumn id="7" xr3:uid="{00000000-0010-0000-0200-000007000000}" name="列7" headerRowDxfId="35" dataDxfId="34"/>
    <tableColumn id="8" xr3:uid="{00000000-0010-0000-0200-000008000000}" name="列8" headerRowDxfId="33" dataDxfId="32"/>
    <tableColumn id="9" xr3:uid="{00000000-0010-0000-0200-000009000000}" name="列9" headerRowDxfId="31" dataDxfId="30"/>
    <tableColumn id="10" xr3:uid="{00000000-0010-0000-0200-00000A000000}" name="列10" headerRowDxfId="29" dataDxfId="28"/>
    <tableColumn id="180" xr3:uid="{00000000-0010-0000-0200-0000B4000000}" name="列97" headerRowDxfId="27" dataDxfId="26">
      <calculatedColumnFormula>[1]!hks_val_pe(C8,基本资料!$I$9,基本资料!$G$9)</calculatedColumnFormula>
    </tableColumn>
    <tableColumn id="181" xr3:uid="{00000000-0010-0000-0200-0000B5000000}" name="列98" headerRowDxfId="25" dataDxfId="24">
      <calculatedColumnFormula>[1]!hks_val_pe(C8,基本资料!$I$8,基本资料!$G$8)</calculatedColumnFormula>
    </tableColumn>
    <tableColumn id="182" xr3:uid="{00000000-0010-0000-0200-0000B6000000}" name="列99" headerRowDxfId="23" dataDxfId="22">
      <calculatedColumnFormula>[1]!hks_val_pe_ttm(C8,E8)</calculatedColumnFormula>
    </tableColumn>
    <tableColumn id="183" xr3:uid="{00000000-0010-0000-0200-0000B7000000}" name="列100" headerRowDxfId="21" dataDxfId="20">
      <calculatedColumnFormula>[1]!s_val_estpe(C8,E8,YEAR([1]!s_stm_rpt_e(C8,基本资料!$I$8,0))+1)</calculatedColumnFormula>
    </tableColumn>
    <tableColumn id="184" xr3:uid="{00000000-0010-0000-0200-0000B8000000}" name="列101" headerRowDxfId="19" dataDxfId="18">
      <calculatedColumnFormula>[1]!s_val_estpe(C8,E8,YEAR([1]!s_stm_rpt_e(C8,基本资料!$I$8,0))+2)</calculatedColumnFormula>
    </tableColumn>
    <tableColumn id="3" xr3:uid="{00000000-0010-0000-0200-000003000000}" name="列3" headerRowDxfId="17" dataDxfId="16">
      <calculatedColumnFormula>[1]!i_val_pe_percentile("","","","")</calculatedColumnFormula>
    </tableColumn>
    <tableColumn id="185" xr3:uid="{00000000-0010-0000-0200-0000B9000000}" name="列103" headerRowDxfId="15" dataDxfId="14">
      <calculatedColumnFormula>[1]!hks_val_pb(C8,基本资料!$I$9,基本资料!$G$9)</calculatedColumnFormula>
    </tableColumn>
    <tableColumn id="186" xr3:uid="{00000000-0010-0000-0200-0000BA000000}" name="列104" headerRowDxfId="13" dataDxfId="12">
      <calculatedColumnFormula>[1]!hks_val_pb(C8,基本资料!$I$8,基本资料!$G$8)</calculatedColumnFormula>
    </tableColumn>
    <tableColumn id="173" xr3:uid="{00000000-0010-0000-0200-0000AD000000}" name="列90" headerRowDxfId="11" dataDxfId="10">
      <calculatedColumnFormula>[1]!pb_mrq(C8,E8)</calculatedColumnFormula>
    </tableColumn>
    <tableColumn id="174" xr3:uid="{00000000-0010-0000-0200-0000AE000000}" name="列91" headerRowDxfId="9" dataDxfId="8">
      <calculatedColumnFormula>[1]!s_val_estpb(C8,E8,YEAR([1]!s_stm_rpt_e(C8,基本资料!$I$8,0))+1)</calculatedColumnFormula>
    </tableColumn>
    <tableColumn id="175" xr3:uid="{00000000-0010-0000-0200-0000AF000000}" name="列92" headerRowDxfId="7" dataDxfId="6">
      <calculatedColumnFormula>[1]!s_val_estpb(C8,E8,YEAR([1]!s_stm_rpt_e(C8,基本资料!$I$8,0))+2)</calculatedColumnFormula>
    </tableColumn>
    <tableColumn id="4" xr3:uid="{00000000-0010-0000-0200-000004000000}" name="列4" headerRowDxfId="5" dataDxfId="4">
      <calculatedColumnFormula>[1]!i_val_pb_percentile(C8,E8,基本资料!$D$9,E8)</calculatedColumnFormula>
    </tableColumn>
    <tableColumn id="168" xr3:uid="{00000000-0010-0000-0200-0000A8000000}" name="列85" headerRowDxfId="3" dataDxfId="2">
      <calculatedColumnFormula>[1]!s_val_evtoebitda2(C8,E8)</calculatedColumnFormula>
    </tableColumn>
    <tableColumn id="5" xr3:uid="{00000000-0010-0000-0200-000005000000}" name="列5" headerRowDxfId="1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  <pageSetUpPr autoPageBreaks="0"/>
  </sheetPr>
  <dimension ref="A1:BT102"/>
  <sheetViews>
    <sheetView showGridLines="0" tabSelected="1" workbookViewId="0">
      <selection activeCell="AB30" sqref="AB30"/>
    </sheetView>
  </sheetViews>
  <sheetFormatPr defaultRowHeight="16.5" x14ac:dyDescent="0.2"/>
  <cols>
    <col min="1" max="1" width="2.125" customWidth="1"/>
    <col min="2" max="2" width="1.5" customWidth="1"/>
    <col min="3" max="3" width="9.375" style="7" customWidth="1"/>
    <col min="4" max="4" width="11.125" style="7" bestFit="1" customWidth="1"/>
    <col min="5" max="6" width="5.375" style="7" customWidth="1"/>
    <col min="7" max="7" width="6.375" style="7" customWidth="1"/>
    <col min="8" max="8" width="9.25" style="7" customWidth="1"/>
    <col min="9" max="9" width="10.75" style="7" customWidth="1"/>
    <col min="10" max="10" width="1.5" customWidth="1"/>
    <col min="11" max="11" width="1.625" customWidth="1"/>
    <col min="12" max="12" width="1.5" customWidth="1"/>
    <col min="13" max="13" width="10.625" style="7" customWidth="1"/>
    <col min="14" max="14" width="9.625" style="7" customWidth="1"/>
    <col min="15" max="15" width="11.625" style="12" customWidth="1"/>
    <col min="16" max="16" width="11.625" style="7" customWidth="1"/>
    <col min="17" max="17" width="8.625" customWidth="1"/>
    <col min="18" max="18" width="22.625" style="7" customWidth="1"/>
    <col min="19" max="19" width="12.625" customWidth="1"/>
    <col min="20" max="21" width="12.625" style="7" customWidth="1"/>
    <col min="22" max="22" width="13.625" style="8" customWidth="1"/>
    <col min="23" max="23" width="8.625" style="8" customWidth="1"/>
    <col min="24" max="27" width="12.625" style="8" customWidth="1"/>
    <col min="28" max="28" width="14.5" style="7" customWidth="1"/>
    <col min="29" max="29" width="12.625" style="7" customWidth="1"/>
    <col min="30" max="30" width="1.25" style="7" customWidth="1"/>
    <col min="31" max="31" width="12.875" style="7" customWidth="1"/>
    <col min="32" max="32" width="1.5" customWidth="1"/>
  </cols>
  <sheetData>
    <row r="1" spans="1:72" s="3" customFormat="1" ht="27.75" x14ac:dyDescent="0.3">
      <c r="A1" s="2"/>
      <c r="B1" s="2"/>
      <c r="C1" s="2"/>
      <c r="M1" s="54"/>
      <c r="N1" s="70" t="s">
        <v>62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B1" s="55" t="s">
        <v>6</v>
      </c>
      <c r="AC1" s="56">
        <f ca="1">TODAY()</f>
        <v>46104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s="1" customFormat="1" ht="9" customHeight="1" x14ac:dyDescent="0.2">
      <c r="O2" s="9"/>
      <c r="T2" s="13"/>
      <c r="U2" s="13"/>
      <c r="V2" s="13"/>
      <c r="W2" s="13"/>
    </row>
    <row r="3" spans="1:72" s="1" customFormat="1" ht="9" customHeight="1" x14ac:dyDescent="0.2">
      <c r="B3" s="4"/>
      <c r="C3" s="4"/>
      <c r="D3" s="4"/>
      <c r="E3" s="4"/>
      <c r="F3" s="4"/>
      <c r="G3" s="4"/>
      <c r="H3" s="4"/>
      <c r="I3" s="4"/>
      <c r="J3" s="4"/>
      <c r="L3" s="4"/>
      <c r="M3" s="4"/>
      <c r="N3" s="4"/>
      <c r="O3" s="10"/>
      <c r="P3" s="4"/>
      <c r="Q3" s="4"/>
      <c r="R3" s="4"/>
      <c r="S3" s="4"/>
      <c r="T3" s="14"/>
      <c r="U3" s="14"/>
      <c r="V3" s="14"/>
      <c r="W3" s="14"/>
      <c r="X3" s="4"/>
      <c r="Y3" s="4"/>
      <c r="Z3" s="4"/>
      <c r="AA3" s="4"/>
      <c r="AB3" s="4"/>
      <c r="AC3" s="4"/>
      <c r="AD3" s="4"/>
    </row>
    <row r="4" spans="1:72" s="1" customFormat="1" ht="17.25" x14ac:dyDescent="0.2">
      <c r="B4" s="4"/>
      <c r="C4" s="5" t="s">
        <v>7</v>
      </c>
      <c r="D4" s="5"/>
      <c r="E4" s="5"/>
      <c r="F4" s="5"/>
      <c r="G4" s="5"/>
      <c r="H4" s="5"/>
      <c r="I4" s="5"/>
      <c r="J4" s="4"/>
      <c r="L4" s="4"/>
      <c r="M4" s="5" t="s">
        <v>63</v>
      </c>
      <c r="N4" s="5"/>
      <c r="O4" s="11"/>
      <c r="P4" s="5"/>
      <c r="Q4" s="5"/>
      <c r="R4" s="5"/>
      <c r="S4" s="5"/>
      <c r="T4" s="15"/>
      <c r="U4" s="15"/>
      <c r="V4" s="15"/>
      <c r="W4" s="15"/>
      <c r="X4" s="5"/>
      <c r="Y4" s="5"/>
      <c r="Z4" s="5"/>
      <c r="AA4" s="5"/>
      <c r="AB4" s="5"/>
      <c r="AC4" s="5"/>
      <c r="AD4" s="4"/>
    </row>
    <row r="5" spans="1:72" s="1" customFormat="1" ht="9" customHeight="1" x14ac:dyDescent="0.2">
      <c r="B5" s="4"/>
      <c r="C5" s="4"/>
      <c r="D5" s="4"/>
      <c r="E5" s="4"/>
      <c r="F5" s="4"/>
      <c r="G5" s="4"/>
      <c r="H5" s="4"/>
      <c r="I5" s="4"/>
      <c r="J5" s="4"/>
      <c r="L5" s="4"/>
      <c r="M5" s="4"/>
      <c r="N5" s="4"/>
      <c r="O5" s="10"/>
      <c r="P5" s="4"/>
      <c r="Q5" s="4"/>
      <c r="R5" s="4"/>
      <c r="S5" s="4"/>
      <c r="T5" s="14"/>
      <c r="U5" s="14"/>
      <c r="V5" s="14"/>
      <c r="W5" s="14"/>
      <c r="X5" s="4"/>
      <c r="Y5" s="4"/>
      <c r="Z5" s="4"/>
      <c r="AA5" s="4"/>
      <c r="AB5" s="4"/>
      <c r="AC5" s="4"/>
      <c r="AD5" s="4"/>
    </row>
    <row r="6" spans="1:72" s="1" customFormat="1" x14ac:dyDescent="0.35">
      <c r="B6" s="4"/>
      <c r="C6" s="47" t="s">
        <v>15</v>
      </c>
      <c r="D6" s="48" t="s">
        <v>8</v>
      </c>
      <c r="E6" s="48" t="s">
        <v>12</v>
      </c>
      <c r="F6" s="48" t="s">
        <v>13</v>
      </c>
      <c r="G6" s="48" t="s">
        <v>14</v>
      </c>
      <c r="H6" s="48" t="s">
        <v>16</v>
      </c>
      <c r="I6" s="49" t="s">
        <v>17</v>
      </c>
      <c r="J6" s="4"/>
      <c r="L6" s="4"/>
      <c r="M6" s="76" t="s">
        <v>0</v>
      </c>
      <c r="N6" s="71" t="s">
        <v>1</v>
      </c>
      <c r="O6" s="71" t="s">
        <v>47</v>
      </c>
      <c r="P6" s="71" t="s">
        <v>48</v>
      </c>
      <c r="Q6" s="71" t="s">
        <v>46</v>
      </c>
      <c r="R6" s="71" t="s">
        <v>49</v>
      </c>
      <c r="S6" s="73" t="s">
        <v>2</v>
      </c>
      <c r="T6" s="74"/>
      <c r="U6" s="75"/>
      <c r="V6" s="71" t="s">
        <v>50</v>
      </c>
      <c r="W6" s="71" t="s">
        <v>22</v>
      </c>
      <c r="X6" s="68" t="s">
        <v>20</v>
      </c>
      <c r="Y6" s="69"/>
      <c r="Z6" s="68" t="s">
        <v>21</v>
      </c>
      <c r="AA6" s="69"/>
      <c r="AB6" s="68" t="s">
        <v>51</v>
      </c>
      <c r="AC6" s="69"/>
      <c r="AD6" s="4"/>
    </row>
    <row r="7" spans="1:72" s="1" customFormat="1" x14ac:dyDescent="0.35">
      <c r="B7" s="4"/>
      <c r="C7" s="50" t="s">
        <v>11</v>
      </c>
      <c r="D7" s="51">
        <f ca="1">TODAY()</f>
        <v>46104</v>
      </c>
      <c r="E7" s="52">
        <f ca="1">MONTH(D7)</f>
        <v>3</v>
      </c>
      <c r="F7" s="52">
        <f ca="1">LEN(2^E7)</f>
        <v>1</v>
      </c>
      <c r="G7" s="52">
        <f ca="1">YEAR(D7)</f>
        <v>2026</v>
      </c>
      <c r="H7" s="51">
        <f ca="1">DATE(YEAR(D7),1,1)</f>
        <v>46023</v>
      </c>
      <c r="I7" s="53">
        <f ca="1">DATE(YEAR(D7),12,31)</f>
        <v>46387</v>
      </c>
      <c r="J7" s="4"/>
      <c r="L7" s="4"/>
      <c r="M7" s="77"/>
      <c r="N7" s="72"/>
      <c r="O7" s="72"/>
      <c r="P7" s="72"/>
      <c r="Q7" s="72"/>
      <c r="R7" s="72"/>
      <c r="S7" s="19" t="s">
        <v>4</v>
      </c>
      <c r="T7" s="63" t="s">
        <v>3</v>
      </c>
      <c r="U7" s="64" t="s">
        <v>5</v>
      </c>
      <c r="V7" s="72"/>
      <c r="W7" s="72"/>
      <c r="X7" s="63" t="s">
        <v>59</v>
      </c>
      <c r="Y7" s="66" t="s">
        <v>56</v>
      </c>
      <c r="Z7" s="63" t="s">
        <v>60</v>
      </c>
      <c r="AA7" s="66" t="s">
        <v>57</v>
      </c>
      <c r="AB7" s="63" t="s">
        <v>61</v>
      </c>
      <c r="AC7" s="67" t="s">
        <v>57</v>
      </c>
      <c r="AD7" s="4"/>
    </row>
    <row r="8" spans="1:72" s="1" customFormat="1" x14ac:dyDescent="0.2">
      <c r="B8" s="4"/>
      <c r="C8" s="50" t="s">
        <v>9</v>
      </c>
      <c r="D8" s="51">
        <f ca="1">DATE(YEAR(D7)-1,MONTH(D7),DAY(D7))</f>
        <v>45739</v>
      </c>
      <c r="E8" s="52">
        <f t="shared" ref="E8:E9" ca="1" si="0">MONTH(D8)</f>
        <v>3</v>
      </c>
      <c r="F8" s="52">
        <f t="shared" ref="F8:F9" ca="1" si="1">LEN(2^E8)</f>
        <v>1</v>
      </c>
      <c r="G8" s="52">
        <f t="shared" ref="G8:G9" ca="1" si="2">YEAR(D8)</f>
        <v>2025</v>
      </c>
      <c r="H8" s="51">
        <f t="shared" ref="H8:H9" ca="1" si="3">DATE(YEAR(D8),1,1)</f>
        <v>45658</v>
      </c>
      <c r="I8" s="53">
        <f t="shared" ref="I8:I9" ca="1" si="4">DATE(YEAR(D8),12,31)</f>
        <v>46022</v>
      </c>
      <c r="J8" s="4"/>
      <c r="L8" s="4"/>
      <c r="M8" s="25" t="s">
        <v>64</v>
      </c>
      <c r="N8" s="18" t="str">
        <f>[1]!hks_info_name(M8)</f>
        <v>红利指数</v>
      </c>
      <c r="O8" s="61" t="str">
        <f>[1]!i_info_basedate(M8)</f>
        <v>2004-12-31</v>
      </c>
      <c r="P8" s="61" t="str">
        <f>[1]!i_info_launchdate(M8)</f>
        <v>2005-01-04</v>
      </c>
      <c r="Q8" s="62">
        <f>[1]!i_info_numberofconstituents(M8)</f>
        <v>50</v>
      </c>
      <c r="R8" s="18" t="str">
        <f>[1]!b_crm_issuer(M8)</f>
        <v>中证指数有限公司</v>
      </c>
      <c r="S8" s="65" t="str">
        <f ca="1">[1]!lastradeday_s(M8,$D$7)</f>
        <v>2026-03-20</v>
      </c>
      <c r="T8" s="21">
        <f ca="1">[1]!s_dq_close(M8,S8,3)</f>
        <v>3294.3298</v>
      </c>
      <c r="U8" s="22">
        <f ca="1">[1]!s_dq_pctchange(M8,S8)</f>
        <v>-0.15893263999999999</v>
      </c>
      <c r="V8" s="16">
        <f ca="1">[1]!s_val_mv_ard(M8,S8,100000000)</f>
        <v>196321.38318539999</v>
      </c>
      <c r="W8" s="33">
        <f ca="1">[1]!s_fa_eps_ttm2(M8,S8)</f>
        <v>0.87202589869507818</v>
      </c>
      <c r="X8" s="32">
        <f ca="1">[1]!s_val_pe_ttm(M8,S8)</f>
        <v>8.9703998565673828</v>
      </c>
      <c r="Y8" s="32">
        <f ca="1">[1]!i_val_pe_percentile(M8,S8,$D$9,S8)</f>
        <v>99.791666666666671</v>
      </c>
      <c r="Z8" s="34">
        <f ca="1">[1]!i_val_pb_mrqwgt(M8,S8)</f>
        <v>1.393</v>
      </c>
      <c r="AA8" s="32">
        <f ca="1">[1]!i_val_pb_percentile(M8,S8,$D$9,S8)</f>
        <v>99.6875</v>
      </c>
      <c r="AB8" s="34">
        <f ca="1">[1]!s_val_dividendyield2(M8,S8)</f>
        <v>4.4170999999999996</v>
      </c>
      <c r="AC8" s="32">
        <f ca="1">[1]!i_val_dividend_percentile(M8,S8,$D$9,S8)</f>
        <v>16.25</v>
      </c>
      <c r="AD8" s="4"/>
    </row>
    <row r="9" spans="1:72" s="1" customFormat="1" x14ac:dyDescent="0.2">
      <c r="B9" s="4"/>
      <c r="C9" s="50" t="s">
        <v>10</v>
      </c>
      <c r="D9" s="51">
        <f ca="1">DATE(YEAR(D8)-1,MONTH(D8),DAY(D8))</f>
        <v>45374</v>
      </c>
      <c r="E9" s="52">
        <f t="shared" ca="1" si="0"/>
        <v>3</v>
      </c>
      <c r="F9" s="52">
        <f t="shared" ca="1" si="1"/>
        <v>1</v>
      </c>
      <c r="G9" s="52">
        <f t="shared" ca="1" si="2"/>
        <v>2024</v>
      </c>
      <c r="H9" s="51">
        <f t="shared" ca="1" si="3"/>
        <v>45292</v>
      </c>
      <c r="I9" s="53">
        <f t="shared" ca="1" si="4"/>
        <v>45657</v>
      </c>
      <c r="J9" s="4"/>
      <c r="L9" s="4"/>
      <c r="M9" s="26" t="s">
        <v>65</v>
      </c>
      <c r="N9" s="18" t="str">
        <f>[1]!hks_info_name(M9)</f>
        <v>上证能源</v>
      </c>
      <c r="O9" s="61" t="str">
        <f>[1]!i_info_basedate(M9)</f>
        <v>2003-12-31</v>
      </c>
      <c r="P9" s="61" t="str">
        <f>[1]!i_info_launchdate(M9)</f>
        <v>2009-01-09</v>
      </c>
      <c r="Q9" s="62">
        <f>[1]!i_info_numberofconstituents(M9)</f>
        <v>30</v>
      </c>
      <c r="R9" s="18" t="str">
        <f>[1]!b_crm_issuer(M9)</f>
        <v>中证指数有限公司</v>
      </c>
      <c r="S9" s="65" t="str">
        <f ca="1">[1]!lastradeday_s(M9,$D$7)</f>
        <v>2026-03-20</v>
      </c>
      <c r="T9" s="21">
        <f ca="1">[1]!s_dq_close(M9,S9,3)</f>
        <v>2460.0504999999998</v>
      </c>
      <c r="U9" s="22">
        <f ca="1">[1]!s_dq_pctchange(M9,S9)</f>
        <v>-0.82264716000000004</v>
      </c>
      <c r="V9" s="16">
        <f ca="1">[1]!s_val_mv_ard(M9,S9,100000000)</f>
        <v>74190.677877299997</v>
      </c>
      <c r="W9" s="33">
        <f ca="1">[1]!s_fa_eps_ttm2(M9,S9)</f>
        <v>0.87546196371277529</v>
      </c>
      <c r="X9" s="32">
        <f ca="1">[1]!s_val_pe_ttm(M9,S9)</f>
        <v>16.938100814819336</v>
      </c>
      <c r="Y9" s="32">
        <f ca="1">[1]!i_val_pe_percentile(M9,S9,$D$9,S9)</f>
        <v>98.958333333333343</v>
      </c>
      <c r="Z9" s="34">
        <f ca="1">[1]!i_val_pb_mrqwgt(M9,S9)</f>
        <v>2.0958999999999999</v>
      </c>
      <c r="AA9" s="32">
        <f ca="1">[1]!i_val_pb_percentile(M9,S9,$D$9,S9)</f>
        <v>98.541666666666671</v>
      </c>
      <c r="AB9" s="34">
        <f ca="1">[1]!s_val_dividendyield2(M9,S9)</f>
        <v>4.0548000000000002</v>
      </c>
      <c r="AC9" s="32">
        <f ca="1">[1]!i_val_dividend_percentile(M9,S9,$D$9,S9)</f>
        <v>1.25</v>
      </c>
      <c r="AD9" s="4"/>
    </row>
    <row r="10" spans="1:72" s="1" customFormat="1" x14ac:dyDescent="0.2">
      <c r="B10" s="4"/>
      <c r="C10" s="50" t="s">
        <v>54</v>
      </c>
      <c r="D10" s="51">
        <f ca="1">DATE(YEAR(D9)-8,MONTH(D9),DAY(D9))</f>
        <v>42452</v>
      </c>
      <c r="E10" s="52">
        <f t="shared" ref="E10" ca="1" si="5">MONTH(D10)</f>
        <v>3</v>
      </c>
      <c r="F10" s="52">
        <f t="shared" ref="F10" ca="1" si="6">LEN(2^E10)</f>
        <v>1</v>
      </c>
      <c r="G10" s="52">
        <f t="shared" ref="G10" ca="1" si="7">YEAR(D10)</f>
        <v>2016</v>
      </c>
      <c r="H10" s="51">
        <f t="shared" ref="H10" ca="1" si="8">DATE(YEAR(D10),1,1)</f>
        <v>42370</v>
      </c>
      <c r="I10" s="53">
        <f t="shared" ref="I10" ca="1" si="9">DATE(YEAR(D10),12,31)</f>
        <v>42735</v>
      </c>
      <c r="J10" s="4"/>
      <c r="L10" s="4"/>
      <c r="M10" s="25" t="s">
        <v>42</v>
      </c>
      <c r="N10" s="18" t="str">
        <f>[1]!hks_info_name(M10)</f>
        <v>上证50</v>
      </c>
      <c r="O10" s="61" t="str">
        <f>[1]!i_info_basedate(M10)</f>
        <v>2003-12-31</v>
      </c>
      <c r="P10" s="61" t="str">
        <f>[1]!i_info_launchdate(M10)</f>
        <v>2004-01-02</v>
      </c>
      <c r="Q10" s="62">
        <f>[1]!i_info_numberofconstituents(M10)</f>
        <v>50</v>
      </c>
      <c r="R10" s="18" t="str">
        <f>[1]!b_crm_issuer(M10)</f>
        <v>中证指数有限公司</v>
      </c>
      <c r="S10" s="65" t="str">
        <f ca="1">[1]!lastradeday_s(M10,$D$7)</f>
        <v>2026-03-20</v>
      </c>
      <c r="T10" s="21">
        <f ca="1">[1]!s_dq_close(M10,S10,3)</f>
        <v>2883.8643999999999</v>
      </c>
      <c r="U10" s="22">
        <f ca="1">[1]!s_dq_pctchange(M10,S10)</f>
        <v>-1.1100066399999999</v>
      </c>
      <c r="V10" s="16">
        <f ca="1">[1]!s_val_mv_ard(M10,S10,100000000)</f>
        <v>281314.79436339001</v>
      </c>
      <c r="W10" s="33">
        <f ca="1">[1]!s_fa_eps_ttm2(M10,S10)</f>
        <v>1.2034893360497669</v>
      </c>
      <c r="X10" s="32">
        <f ca="1">[1]!s_val_pe_ttm(M10,S10)</f>
        <v>11.440299987792969</v>
      </c>
      <c r="Y10" s="32">
        <f ca="1">[1]!i_val_pe_percentile(M10,S10,$D$9,S10)</f>
        <v>68.125</v>
      </c>
      <c r="Z10" s="34">
        <f ca="1">[1]!i_val_pb_mrqwgt(M10,S10)</f>
        <v>4.5918000000000001</v>
      </c>
      <c r="AA10" s="32">
        <f ca="1">[1]!i_val_pb_percentile(M10,S10,$D$9,S10)</f>
        <v>65.208333333333329</v>
      </c>
      <c r="AB10" s="34">
        <f ca="1">[1]!s_val_dividendyield2(M10,S10)</f>
        <v>3.3845999999999998</v>
      </c>
      <c r="AC10" s="32">
        <f ca="1">[1]!i_val_dividend_percentile(M10,S10,$D$9,S10)</f>
        <v>24.583333333333332</v>
      </c>
      <c r="AD10" s="4"/>
    </row>
    <row r="11" spans="1:72" s="1" customFormat="1" x14ac:dyDescent="0.2">
      <c r="B11" s="4"/>
      <c r="C11" s="50" t="s">
        <v>18</v>
      </c>
      <c r="D11" s="51">
        <f ca="1">DATE(YEAR(D7)+1,MONTH(D7),DAY(D7))</f>
        <v>46469</v>
      </c>
      <c r="E11" s="52">
        <f ca="1">MONTH(D11)</f>
        <v>3</v>
      </c>
      <c r="F11" s="52">
        <f ca="1">LEN(2^E11)</f>
        <v>1</v>
      </c>
      <c r="G11" s="52">
        <f t="shared" ref="G11:G12" ca="1" si="10">YEAR(D11)</f>
        <v>2027</v>
      </c>
      <c r="H11" s="51">
        <f t="shared" ref="H11:H12" ca="1" si="11">DATE(YEAR(D11),1,1)</f>
        <v>46388</v>
      </c>
      <c r="I11" s="53">
        <f t="shared" ref="I11:I12" ca="1" si="12">DATE(YEAR(D11),12,31)</f>
        <v>46752</v>
      </c>
      <c r="J11" s="4"/>
      <c r="L11" s="4"/>
      <c r="M11" s="25" t="s">
        <v>43</v>
      </c>
      <c r="N11" s="18" t="str">
        <f>[1]!hks_info_name(M11)</f>
        <v>沪深300</v>
      </c>
      <c r="O11" s="61" t="str">
        <f>[1]!i_info_basedate(M11)</f>
        <v>2004-12-31</v>
      </c>
      <c r="P11" s="61" t="str">
        <f>[1]!i_info_launchdate(M11)</f>
        <v>2005-04-08</v>
      </c>
      <c r="Q11" s="62">
        <f>[1]!i_info_numberofconstituents(M11)</f>
        <v>300</v>
      </c>
      <c r="R11" s="18" t="str">
        <f>[1]!b_crm_issuer(M11)</f>
        <v>中证指数有限公司</v>
      </c>
      <c r="S11" s="65" t="str">
        <f ca="1">[1]!lastradeday_s(M11,$D$7)</f>
        <v>2026-03-20</v>
      </c>
      <c r="T11" s="21">
        <f ca="1">[1]!s_dq_close(M11,S11,3)</f>
        <v>4567.0178999999998</v>
      </c>
      <c r="U11" s="22">
        <f ca="1">[1]!s_dq_pctchange(M11,S11)</f>
        <v>-0.35418526</v>
      </c>
      <c r="V11" s="16">
        <f ca="1">[1]!s_val_mv_ard(M11,S11,100000000)</f>
        <v>671087.89068002999</v>
      </c>
      <c r="W11" s="33">
        <f ca="1">[1]!s_fa_eps_ttm2(M11,S11)</f>
        <v>1.0819990190852593</v>
      </c>
      <c r="X11" s="32">
        <f ca="1">[1]!s_val_pe_ttm(M11,S11)</f>
        <v>14.02400016784668</v>
      </c>
      <c r="Y11" s="32">
        <f ca="1">[1]!i_val_pe_percentile(M11,S11,$D$9,S11)</f>
        <v>78.541666666666671</v>
      </c>
      <c r="Z11" s="34">
        <f ca="1">[1]!i_val_pb_mrqwgt(M11,S11)</f>
        <v>5.4287000000000001</v>
      </c>
      <c r="AA11" s="32">
        <f ca="1">[1]!i_val_pb_percentile(M11,S11,$D$9,S11)</f>
        <v>83.333333333333343</v>
      </c>
      <c r="AB11" s="34">
        <f ca="1">[1]!s_val_dividendyield2(M11,S11)</f>
        <v>2.6724999999999999</v>
      </c>
      <c r="AC11" s="32">
        <f ca="1">[1]!i_val_dividend_percentile(M11,S11,$D$9,S11)</f>
        <v>24.375</v>
      </c>
      <c r="AD11" s="4"/>
    </row>
    <row r="12" spans="1:72" s="1" customFormat="1" x14ac:dyDescent="0.2">
      <c r="B12" s="4"/>
      <c r="C12" s="50" t="s">
        <v>19</v>
      </c>
      <c r="D12" s="51">
        <f ca="1">DATE(YEAR(D11)+1,MONTH(D8),DAY(D8))</f>
        <v>46835</v>
      </c>
      <c r="E12" s="52">
        <f ca="1">MONTH(D12)</f>
        <v>3</v>
      </c>
      <c r="F12" s="52">
        <f ca="1">LEN(2^E12)</f>
        <v>1</v>
      </c>
      <c r="G12" s="52">
        <f t="shared" ca="1" si="10"/>
        <v>2028</v>
      </c>
      <c r="H12" s="51">
        <f t="shared" ca="1" si="11"/>
        <v>46753</v>
      </c>
      <c r="I12" s="53">
        <f t="shared" ca="1" si="12"/>
        <v>47118</v>
      </c>
      <c r="J12" s="4"/>
      <c r="L12" s="4"/>
      <c r="M12" s="25" t="s">
        <v>37</v>
      </c>
      <c r="N12" s="18" t="str">
        <f>[1]!hks_info_name(M12)</f>
        <v>上证指数</v>
      </c>
      <c r="O12" s="61" t="str">
        <f>[1]!i_info_basedate(M12)</f>
        <v>1990-12-19</v>
      </c>
      <c r="P12" s="61" t="str">
        <f>[1]!i_info_launchdate(M12)</f>
        <v>1991-07-15</v>
      </c>
      <c r="Q12" s="62">
        <f>[1]!i_info_numberofconstituents(M12)</f>
        <v>2247</v>
      </c>
      <c r="R12" s="18" t="str">
        <f>[1]!b_crm_issuer(M12)</f>
        <v>中证指数有限公司</v>
      </c>
      <c r="S12" s="65" t="str">
        <f ca="1">[1]!lastradeday_s(M12,$D$7)</f>
        <v>2026-03-20</v>
      </c>
      <c r="T12" s="21">
        <f ca="1">[1]!s_dq_close(M12,S12,3)</f>
        <v>3957.0527000000002</v>
      </c>
      <c r="U12" s="22">
        <f ca="1">[1]!s_dq_pctchange(M12,S12)</f>
        <v>-1.23546621</v>
      </c>
      <c r="V12" s="16">
        <f ca="1">[1]!s_val_mv_ard(M12,S12,100000000)</f>
        <v>762775.84563022002</v>
      </c>
      <c r="W12" s="33">
        <f ca="1">[1]!s_fa_eps_ttm2(M12,S12)</f>
        <v>0.7818204564682707</v>
      </c>
      <c r="X12" s="32">
        <f ca="1">[1]!s_val_pe_ttm(M12,S12)</f>
        <v>16.590299606323242</v>
      </c>
      <c r="Y12" s="32">
        <f ca="1">[1]!i_val_pe_percentile(M12,S12,$D$9,S12)</f>
        <v>84.375</v>
      </c>
      <c r="Z12" s="34">
        <f ca="1">[1]!i_val_pb_mrqwgt(M12,S12)</f>
        <v>4.1108000000000002</v>
      </c>
      <c r="AA12" s="32">
        <f ca="1">[1]!i_val_pb_percentile(M12,S12,$D$9,S12)</f>
        <v>86.25</v>
      </c>
      <c r="AB12" s="34">
        <f ca="1">[1]!s_val_dividendyield2(M12,S12)</f>
        <v>2.3096999999999999</v>
      </c>
      <c r="AC12" s="32">
        <f ca="1">[1]!i_val_dividend_percentile(M12,S12,$D$9,S12)</f>
        <v>24.583333333333332</v>
      </c>
      <c r="AD12" s="4"/>
    </row>
    <row r="13" spans="1:72" s="1" customFormat="1" x14ac:dyDescent="0.2">
      <c r="B13" s="4"/>
      <c r="C13" s="6"/>
      <c r="D13" s="6"/>
      <c r="E13" s="6"/>
      <c r="F13" s="6"/>
      <c r="G13" s="6"/>
      <c r="H13" s="6"/>
      <c r="I13" s="6"/>
      <c r="J13" s="4"/>
      <c r="L13" s="4"/>
      <c r="M13" s="25" t="s">
        <v>36</v>
      </c>
      <c r="N13" s="18" t="str">
        <f>[1]!hks_info_name(M13)</f>
        <v>万得全A</v>
      </c>
      <c r="O13" s="61" t="str">
        <f>[1]!i_info_basedate(M13)</f>
        <v>1999-12-30</v>
      </c>
      <c r="P13" s="61" t="str">
        <f>[1]!i_info_launchdate(M13)</f>
        <v>2004-12-13</v>
      </c>
      <c r="Q13" s="62">
        <f>[1]!i_info_numberofconstituents(M13)</f>
        <v>5489</v>
      </c>
      <c r="R13" s="18" t="str">
        <f>[1]!b_crm_issuer(M13)</f>
        <v>万得信息技术股份有限公司</v>
      </c>
      <c r="S13" s="65" t="str">
        <f ca="1">[1]!lastradeday_s(M13,$D$7)</f>
        <v>2026-03-20</v>
      </c>
      <c r="T13" s="21">
        <f ca="1">[1]!s_dq_close(M13,S13,3)</f>
        <v>6471.9206000000004</v>
      </c>
      <c r="U13" s="22">
        <f ca="1">[1]!s_dq_pctchange(M13,S13)</f>
        <v>-1.2306081600000001</v>
      </c>
      <c r="V13" s="16">
        <f ca="1">[1]!s_val_mv_ard(M13,S13,100000000)</f>
        <v>1249341.4312115901</v>
      </c>
      <c r="W13" s="33">
        <f ca="1">[1]!s_fa_eps_ttm2(M13,S13)</f>
        <v>0.62645333413791759</v>
      </c>
      <c r="X13" s="32">
        <f ca="1">[1]!s_val_pe_ttm(M13,S13)</f>
        <v>22.594999313354492</v>
      </c>
      <c r="Y13" s="32">
        <f ca="1">[1]!i_val_pe_percentile(M13,S13,$D$9,S13)</f>
        <v>89.166666666666671</v>
      </c>
      <c r="Z13" s="34">
        <f ca="1">[1]!i_val_pb_mrqwgt(M13,S13)</f>
        <v>5.8470000000000004</v>
      </c>
      <c r="AA13" s="32">
        <f ca="1">[1]!i_val_pb_percentile(M13,S13,$D$9,S13)</f>
        <v>89.583333333333343</v>
      </c>
      <c r="AB13" s="34">
        <f ca="1">[1]!s_val_dividendyield2(M13,S13)</f>
        <v>1.8134999999999999</v>
      </c>
      <c r="AC13" s="32">
        <f ca="1">[1]!i_val_dividend_percentile(M13,S13,$D$9,S13)</f>
        <v>14.374999999999998</v>
      </c>
      <c r="AD13" s="4"/>
    </row>
    <row r="14" spans="1:72" s="1" customFormat="1" x14ac:dyDescent="0.2">
      <c r="B14" s="4"/>
      <c r="C14" s="46" t="s">
        <v>35</v>
      </c>
      <c r="D14" s="6"/>
      <c r="E14" s="6"/>
      <c r="F14" s="6"/>
      <c r="G14" s="6"/>
      <c r="H14" s="6"/>
      <c r="I14" s="6"/>
      <c r="J14" s="4"/>
      <c r="L14" s="4"/>
      <c r="M14" s="25" t="s">
        <v>44</v>
      </c>
      <c r="N14" s="18" t="str">
        <f>[1]!hks_info_name(M14)</f>
        <v>中证500</v>
      </c>
      <c r="O14" s="61" t="str">
        <f>[1]!i_info_basedate(M14)</f>
        <v>2004-12-31</v>
      </c>
      <c r="P14" s="61" t="str">
        <f>[1]!i_info_launchdate(M14)</f>
        <v>2007-01-15</v>
      </c>
      <c r="Q14" s="62">
        <f>[1]!i_info_numberofconstituents(M14)</f>
        <v>500</v>
      </c>
      <c r="R14" s="18" t="str">
        <f>[1]!b_crm_issuer(M14)</f>
        <v>中证指数有限公司</v>
      </c>
      <c r="S14" s="65" t="str">
        <f ca="1">[1]!lastradeday_s(M14,$D$7)</f>
        <v>2026-03-20</v>
      </c>
      <c r="T14" s="21">
        <f ca="1">[1]!s_dq_close(M14,S14,3)</f>
        <v>7760.0365000000002</v>
      </c>
      <c r="U14" s="22">
        <f ca="1">[1]!s_dq_pctchange(M14,S14)</f>
        <v>-1.48599927</v>
      </c>
      <c r="V14" s="16">
        <f ca="1">[1]!s_val_mv_ard(M14,S14,100000000)</f>
        <v>182749.01520025</v>
      </c>
      <c r="W14" s="33">
        <f ca="1">[1]!s_fa_eps_ttm2(M14,S14)</f>
        <v>0.41069504376620231</v>
      </c>
      <c r="X14" s="32">
        <f ca="1">[1]!s_val_pe_ttm(M14,S14)</f>
        <v>35.075698852539063</v>
      </c>
      <c r="Y14" s="32">
        <f ca="1">[1]!i_val_pe_percentile(M14,S14,$D$9,S14)</f>
        <v>89.583333333333343</v>
      </c>
      <c r="Z14" s="34">
        <f ca="1">[1]!i_val_pb_mrqwgt(M14,S14)</f>
        <v>5.0835999999999997</v>
      </c>
      <c r="AA14" s="32">
        <f ca="1">[1]!i_val_pb_percentile(M14,S14,$D$9,S14)</f>
        <v>90.208333333333329</v>
      </c>
      <c r="AB14" s="34">
        <f ca="1">[1]!s_val_dividendyield2(M14,S14)</f>
        <v>1.3789</v>
      </c>
      <c r="AC14" s="32">
        <f ca="1">[1]!i_val_dividend_percentile(M14,S14,$D$9,S14)</f>
        <v>16.458333333333332</v>
      </c>
      <c r="AD14" s="4"/>
    </row>
    <row r="15" spans="1:72" s="1" customFormat="1" x14ac:dyDescent="0.2">
      <c r="B15" s="4"/>
      <c r="C15" s="6"/>
      <c r="D15" s="6"/>
      <c r="E15" s="6"/>
      <c r="F15" s="6"/>
      <c r="G15" s="6"/>
      <c r="H15" s="6"/>
      <c r="I15" s="6"/>
      <c r="J15" s="4"/>
      <c r="L15" s="4"/>
      <c r="M15" s="25" t="s">
        <v>38</v>
      </c>
      <c r="N15" s="18" t="str">
        <f>[1]!hks_info_name(M15)</f>
        <v>深证成指</v>
      </c>
      <c r="O15" s="61" t="str">
        <f>[1]!i_info_basedate(M15)</f>
        <v>1994-07-20</v>
      </c>
      <c r="P15" s="61" t="str">
        <f>[1]!i_info_launchdate(M15)</f>
        <v>1995-01-23</v>
      </c>
      <c r="Q15" s="62">
        <f>[1]!i_info_numberofconstituents(M15)</f>
        <v>500</v>
      </c>
      <c r="R15" s="18" t="str">
        <f>[1]!b_crm_issuer(M15)</f>
        <v>深圳证券交易所</v>
      </c>
      <c r="S15" s="65" t="str">
        <f ca="1">[1]!lastradeday_s(M15,$D$7)</f>
        <v>2026-03-20</v>
      </c>
      <c r="T15" s="21">
        <f ca="1">[1]!s_dq_close(M15,S15,3)</f>
        <v>13866.2022</v>
      </c>
      <c r="U15" s="22">
        <f ca="1">[1]!s_dq_pctchange(M15,S15)</f>
        <v>-0.25440007999999997</v>
      </c>
      <c r="V15" s="16">
        <f ca="1">[1]!s_val_mv_ard(M15,S15,100000000)</f>
        <v>290460.90083076002</v>
      </c>
      <c r="W15" s="33">
        <f ca="1">[1]!s_fa_eps_ttm2(M15,S15)</f>
        <v>0.67569250738627151</v>
      </c>
      <c r="X15" s="32">
        <f ca="1">[1]!s_val_pe_ttm(M15,S15)</f>
        <v>31.802000045776367</v>
      </c>
      <c r="Y15" s="32">
        <f ca="1">[1]!i_val_pe_percentile(M15,S15,$D$9,S15)</f>
        <v>89.791666666666671</v>
      </c>
      <c r="Z15" s="34">
        <f ca="1">[1]!i_val_pb_mrqwgt(M15,S15)</f>
        <v>6.6551</v>
      </c>
      <c r="AA15" s="32">
        <f ca="1">[1]!i_val_pb_percentile(M15,S15,$D$9,S15)</f>
        <v>89.791666666666671</v>
      </c>
      <c r="AB15" s="34">
        <f ca="1">[1]!s_val_dividendyield2(M15,S15)</f>
        <v>1.5076000000000001</v>
      </c>
      <c r="AC15" s="32">
        <f ca="1">[1]!i_val_dividend_percentile(M15,S15,$D$9,S15)</f>
        <v>8.75</v>
      </c>
      <c r="AD15" s="4"/>
    </row>
    <row r="16" spans="1:72" s="1" customFormat="1" x14ac:dyDescent="0.2">
      <c r="C16" s="27"/>
      <c r="D16" s="27"/>
      <c r="E16" s="27"/>
      <c r="F16" s="27"/>
      <c r="G16" s="27"/>
      <c r="H16" s="27"/>
      <c r="I16" s="27"/>
      <c r="L16" s="4"/>
      <c r="M16" s="25" t="s">
        <v>45</v>
      </c>
      <c r="N16" s="18" t="str">
        <f>[1]!hks_info_name(M16)</f>
        <v>中证1000</v>
      </c>
      <c r="O16" s="61" t="str">
        <f>[1]!i_info_basedate(M16)</f>
        <v>2004-12-31</v>
      </c>
      <c r="P16" s="61" t="str">
        <f>[1]!i_info_launchdate(M16)</f>
        <v>2014-10-17</v>
      </c>
      <c r="Q16" s="62">
        <f>[1]!i_info_numberofconstituents(M16)</f>
        <v>1000</v>
      </c>
      <c r="R16" s="18" t="str">
        <f>[1]!b_crm_issuer(M16)</f>
        <v>中证指数有限公司</v>
      </c>
      <c r="S16" s="65" t="str">
        <f ca="1">[1]!lastradeday_s(M16,$D$7)</f>
        <v>2026-03-20</v>
      </c>
      <c r="T16" s="21">
        <f ca="1">[1]!s_dq_close(M16,S16,3)</f>
        <v>7783.4345000000003</v>
      </c>
      <c r="U16" s="22">
        <f ca="1">[1]!s_dq_pctchange(M16,S16)</f>
        <v>-1.5905433499999999</v>
      </c>
      <c r="V16" s="16">
        <f ca="1">[1]!s_val_mv_ard(M16,S16,100000000)</f>
        <v>153934.98355683999</v>
      </c>
      <c r="W16" s="33">
        <f ca="1">[1]!s_fa_eps_ttm2(M16,S16)</f>
        <v>0.2833505149014186</v>
      </c>
      <c r="X16" s="32">
        <f ca="1">[1]!s_val_pe_ttm(M16,S16)</f>
        <v>47.18170166015625</v>
      </c>
      <c r="Y16" s="32">
        <f ca="1">[1]!i_val_pe_percentile(M16,S16,$D$9,S16)</f>
        <v>84.583333333333329</v>
      </c>
      <c r="Z16" s="34">
        <f ca="1">[1]!i_val_pb_mrqwgt(M16,S16)</f>
        <v>5.5419</v>
      </c>
      <c r="AA16" s="32">
        <f ca="1">[1]!i_val_pb_percentile(M16,S16,$D$9,S16)</f>
        <v>89.791666666666671</v>
      </c>
      <c r="AB16" s="34">
        <f ca="1">[1]!s_val_dividendyield2(M16,S16)</f>
        <v>1.0443</v>
      </c>
      <c r="AC16" s="32">
        <f ca="1">[1]!i_val_dividend_percentile(M16,S16,$D$9,S16)</f>
        <v>9.375</v>
      </c>
      <c r="AD16" s="4"/>
    </row>
    <row r="17" spans="3:30" s="1" customFormat="1" x14ac:dyDescent="0.2">
      <c r="C17" s="27"/>
      <c r="D17" s="27"/>
      <c r="E17" s="27"/>
      <c r="F17" s="27"/>
      <c r="G17" s="27"/>
      <c r="H17" s="27"/>
      <c r="I17" s="27"/>
      <c r="L17" s="4"/>
      <c r="M17" s="25" t="s">
        <v>41</v>
      </c>
      <c r="N17" s="18" t="str">
        <f>[1]!hks_info_name(M17)</f>
        <v>北证50</v>
      </c>
      <c r="O17" s="61" t="str">
        <f>[1]!i_info_basedate(M17)</f>
        <v>2022-04-29</v>
      </c>
      <c r="P17" s="61" t="str">
        <f>[1]!i_info_launchdate(M17)</f>
        <v>2022-11-21</v>
      </c>
      <c r="Q17" s="62">
        <f>[1]!i_info_numberofconstituents(M17)</f>
        <v>50</v>
      </c>
      <c r="R17" s="18" t="str">
        <f>[1]!b_crm_issuer(M17)</f>
        <v>北京证券交易所</v>
      </c>
      <c r="S17" s="65" t="str">
        <f ca="1">[1]!lastradeday_s(M17,$D$7)</f>
        <v>2026-03-20</v>
      </c>
      <c r="T17" s="21">
        <f ca="1">[1]!s_dq_close(M17,S17,3)</f>
        <v>1316.1369</v>
      </c>
      <c r="U17" s="22">
        <f ca="1">[1]!s_dq_pctchange(M17,S17)</f>
        <v>-1.00966409</v>
      </c>
      <c r="V17" s="16">
        <f ca="1">[1]!s_val_mv_ard(M17,S17,100000000)</f>
        <v>3344.6523329000001</v>
      </c>
      <c r="W17" s="33">
        <f ca="1">[1]!s_fa_eps_ttm2(M17,S17)</f>
        <v>0.37221389892136186</v>
      </c>
      <c r="X17" s="32">
        <f ca="1">[1]!s_val_pe_ttm(M17,S17)</f>
        <v>53.3135986328125</v>
      </c>
      <c r="Y17" s="32">
        <f ca="1">[1]!i_val_pe_percentile(M17,S17,$D$9,S17)</f>
        <v>38.541666666666671</v>
      </c>
      <c r="Z17" s="34">
        <f ca="1">[1]!i_val_pb_mrqwgt(M17,S17)</f>
        <v>8.1158000000000001</v>
      </c>
      <c r="AA17" s="32">
        <f ca="1">[1]!i_val_pb_percentile(M17,S17,$D$9,S17)</f>
        <v>52.708333333333336</v>
      </c>
      <c r="AB17" s="34">
        <f ca="1">[1]!s_val_dividendyield2(M17,S17)</f>
        <v>0.81979999999999997</v>
      </c>
      <c r="AC17" s="32">
        <f ca="1">[1]!i_val_dividend_percentile(M17,S17,$D$9,S17)</f>
        <v>44.166666666666664</v>
      </c>
      <c r="AD17" s="4"/>
    </row>
    <row r="18" spans="3:30" s="1" customFormat="1" x14ac:dyDescent="0.2">
      <c r="C18" s="27"/>
      <c r="D18" s="27"/>
      <c r="E18" s="27"/>
      <c r="F18" s="27"/>
      <c r="G18" s="27"/>
      <c r="H18" s="27"/>
      <c r="I18" s="27"/>
      <c r="L18" s="4"/>
      <c r="M18" s="25" t="s">
        <v>40</v>
      </c>
      <c r="N18" s="18" t="str">
        <f>[1]!hks_info_name(M18)</f>
        <v>科创50</v>
      </c>
      <c r="O18" s="61" t="str">
        <f>[1]!i_info_basedate(M18)</f>
        <v>2019-12-31</v>
      </c>
      <c r="P18" s="61" t="str">
        <f>[1]!i_info_launchdate(M18)</f>
        <v>2020-07-23</v>
      </c>
      <c r="Q18" s="62">
        <f>[1]!i_info_numberofconstituents(M18)</f>
        <v>50</v>
      </c>
      <c r="R18" s="18" t="str">
        <f>[1]!b_crm_issuer(M18)</f>
        <v>中证指数有限公司</v>
      </c>
      <c r="S18" s="65" t="str">
        <f ca="1">[1]!lastradeday_s(M18,$D$7)</f>
        <v>2026-03-20</v>
      </c>
      <c r="T18" s="21">
        <f ca="1">[1]!s_dq_close(M18,S18,3)</f>
        <v>1318.3073999999999</v>
      </c>
      <c r="U18" s="22">
        <f ca="1">[1]!s_dq_pctchange(M18,S18)</f>
        <v>-1.5478696999999999</v>
      </c>
      <c r="V18" s="16">
        <f ca="1">[1]!s_val_mv_ard(M18,S18,100000000)</f>
        <v>46484.215159170002</v>
      </c>
      <c r="W18" s="33">
        <f ca="1">[1]!s_fa_eps_ttm2(M18,S18)</f>
        <v>0.29104728981193884</v>
      </c>
      <c r="X18" s="32">
        <f ca="1">[1]!s_val_pe_ttm(M18,S18)</f>
        <v>164.30070495605469</v>
      </c>
      <c r="Y18" s="32">
        <f ca="1">[1]!i_val_pe_percentile(M18,S18,$D$9,S18)</f>
        <v>82.916666666666671</v>
      </c>
      <c r="Z18" s="34">
        <f ca="1">[1]!i_val_pb_mrqwgt(M18,S18)</f>
        <v>12.9848</v>
      </c>
      <c r="AA18" s="32">
        <f ca="1">[1]!i_val_pb_percentile(M18,S18,$D$9,S18)</f>
        <v>77.083333333333343</v>
      </c>
      <c r="AB18" s="34">
        <f ca="1">[1]!s_val_dividendyield2(M18,S18)</f>
        <v>0.35930000000000001</v>
      </c>
      <c r="AC18" s="32">
        <f ca="1">[1]!i_val_dividend_percentile(M18,S18,$D$9,S18)</f>
        <v>8.5416666666666661</v>
      </c>
      <c r="AD18" s="4"/>
    </row>
    <row r="19" spans="3:30" s="1" customFormat="1" x14ac:dyDescent="0.2">
      <c r="C19" s="27"/>
      <c r="D19" s="27"/>
      <c r="E19" s="27"/>
      <c r="F19" s="27"/>
      <c r="G19" s="27"/>
      <c r="H19" s="27"/>
      <c r="I19" s="27"/>
      <c r="L19" s="4"/>
      <c r="M19" s="25" t="s">
        <v>39</v>
      </c>
      <c r="N19" s="18" t="str">
        <f>[1]!hks_info_name(M19)</f>
        <v>创业板指</v>
      </c>
      <c r="O19" s="61" t="str">
        <f>[1]!i_info_basedate(M19)</f>
        <v>2010-05-31</v>
      </c>
      <c r="P19" s="61" t="str">
        <f>[1]!i_info_launchdate(M19)</f>
        <v>2010-06-01</v>
      </c>
      <c r="Q19" s="62">
        <f>[1]!i_info_numberofconstituents(M19)</f>
        <v>100</v>
      </c>
      <c r="R19" s="18" t="str">
        <f>[1]!b_crm_issuer(M19)</f>
        <v>深圳证券交易所</v>
      </c>
      <c r="S19" s="65" t="str">
        <f ca="1">[1]!lastradeday_s(M19,$D$7)</f>
        <v>2026-03-20</v>
      </c>
      <c r="T19" s="21">
        <f ca="1">[1]!s_dq_close(M19,S19,3)</f>
        <v>3352.1026000000002</v>
      </c>
      <c r="U19" s="22">
        <f ca="1">[1]!s_dq_pctchange(M19,S19)</f>
        <v>1.29942453</v>
      </c>
      <c r="V19" s="16">
        <f ca="1">[1]!s_val_mv_ard(M19,S19,100000000)</f>
        <v>91880.456598050005</v>
      </c>
      <c r="W19" s="33">
        <f ca="1">[1]!s_fa_eps_ttm2(M19,S19)</f>
        <v>1.4323203085413689</v>
      </c>
      <c r="X19" s="32">
        <f ca="1">[1]!s_val_pe_ttm(M19,S19)</f>
        <v>41.181098937988281</v>
      </c>
      <c r="Y19" s="32">
        <f ca="1">[1]!i_val_pe_percentile(M19,S19,$D$9,S19)</f>
        <v>82.916666666666671</v>
      </c>
      <c r="Z19" s="34">
        <f ca="1">[1]!i_val_pb_mrqwgt(M19,S19)</f>
        <v>11.1325</v>
      </c>
      <c r="AA19" s="32">
        <f ca="1">[1]!i_val_pb_percentile(M19,S19,$D$9,S19)</f>
        <v>91.041666666666671</v>
      </c>
      <c r="AB19" s="34">
        <f ca="1">[1]!s_val_dividendyield2(M19,S19)</f>
        <v>0.86499999999999999</v>
      </c>
      <c r="AC19" s="32">
        <f ca="1">[1]!i_val_dividend_percentile(M19,S19,$D$9,S19)</f>
        <v>2.5</v>
      </c>
      <c r="AD19" s="4"/>
    </row>
    <row r="20" spans="3:30" s="1" customFormat="1" x14ac:dyDescent="0.2">
      <c r="C20" s="27"/>
      <c r="D20" s="27"/>
      <c r="E20" s="27"/>
      <c r="F20" s="27"/>
      <c r="G20" s="27"/>
      <c r="H20" s="27"/>
      <c r="I20" s="27"/>
      <c r="L20" s="4"/>
      <c r="M20" s="26" t="s">
        <v>66</v>
      </c>
      <c r="N20" s="18" t="str">
        <f>[1]!hks_info_name(M20)</f>
        <v>上证收益</v>
      </c>
      <c r="O20" s="61" t="str">
        <f>[1]!i_info_basedate(M20)</f>
        <v>2020-07-21</v>
      </c>
      <c r="P20" s="61" t="str">
        <f>[1]!i_info_launchdate(M20)</f>
        <v>2020-10-09</v>
      </c>
      <c r="Q20" s="62">
        <f>[1]!i_info_numberofconstituents(M20)</f>
        <v>2247</v>
      </c>
      <c r="R20" s="18" t="str">
        <f>[1]!b_crm_issuer(M20)</f>
        <v>中证指数有限公司</v>
      </c>
      <c r="S20" s="65" t="str">
        <f ca="1">[1]!lastradeday_s(M20,$D$7)</f>
        <v>2026-03-20</v>
      </c>
      <c r="T20" s="21">
        <f ca="1">[1]!s_dq_close(M20,S20,3)</f>
        <v>4538.4695000000002</v>
      </c>
      <c r="U20" s="22">
        <f ca="1">[1]!s_dq_pctchange(M20,S20)</f>
        <v>-1.23546698</v>
      </c>
      <c r="V20" s="16">
        <f ca="1">[1]!s_val_mv_ard(M20,S20,100000000)</f>
        <v>762775.84563022002</v>
      </c>
      <c r="W20" s="33">
        <f ca="1">[1]!s_fa_eps_ttm2(M20,S20)</f>
        <v>0.7818204564682707</v>
      </c>
      <c r="X20" s="32">
        <f ca="1">[1]!s_val_pe_ttm(M20,S20)</f>
        <v>16.590299606323242</v>
      </c>
      <c r="Y20" s="32">
        <f ca="1">[1]!i_val_pe_percentile(M20,S20,$D$9,S20)</f>
        <v>84.375</v>
      </c>
      <c r="Z20" s="34">
        <f ca="1">[1]!i_val_pb_mrqwgt(M20,S20)</f>
        <v>4.1108000000000002</v>
      </c>
      <c r="AA20" s="32">
        <f ca="1">[1]!i_val_pb_percentile(M20,S20,$D$9,S20)</f>
        <v>86.25</v>
      </c>
      <c r="AB20" s="34">
        <f ca="1">[1]!s_val_dividendyield2(M20,S20)</f>
        <v>2.3096999999999999</v>
      </c>
      <c r="AC20" s="32">
        <f ca="1">[1]!i_val_dividend_percentile(M20,S20,$D$9,S20)</f>
        <v>24.583333333333332</v>
      </c>
      <c r="AD20" s="4"/>
    </row>
    <row r="21" spans="3:30" s="1" customFormat="1" x14ac:dyDescent="0.2">
      <c r="C21" s="27"/>
      <c r="D21" s="27"/>
      <c r="E21" s="27"/>
      <c r="F21" s="27"/>
      <c r="G21" s="27"/>
      <c r="H21" s="27"/>
      <c r="I21" s="27"/>
      <c r="L21" s="4"/>
      <c r="M21" s="26"/>
      <c r="N21" s="18"/>
      <c r="O21" s="17"/>
      <c r="P21" s="18"/>
      <c r="Q21" s="62"/>
      <c r="R21" s="18"/>
      <c r="S21" s="65"/>
      <c r="T21" s="24"/>
      <c r="U21" s="23"/>
      <c r="V21" s="16"/>
      <c r="W21" s="33"/>
      <c r="X21" s="32"/>
      <c r="Y21" s="32"/>
      <c r="Z21" s="34"/>
      <c r="AA21" s="32"/>
      <c r="AB21" s="18"/>
      <c r="AC21" s="32"/>
      <c r="AD21" s="4"/>
    </row>
    <row r="22" spans="3:30" s="1" customFormat="1" x14ac:dyDescent="0.2">
      <c r="C22" s="27"/>
      <c r="D22" s="27"/>
      <c r="E22" s="27"/>
      <c r="F22" s="27"/>
      <c r="G22" s="27"/>
      <c r="H22" s="27"/>
      <c r="I22" s="27"/>
      <c r="L22" s="4"/>
      <c r="M22" s="26"/>
      <c r="N22" s="18"/>
      <c r="O22" s="17"/>
      <c r="P22" s="18"/>
      <c r="Q22" s="62"/>
      <c r="R22" s="18"/>
      <c r="S22" s="65"/>
      <c r="T22" s="24"/>
      <c r="U22" s="23"/>
      <c r="V22" s="16"/>
      <c r="W22" s="33"/>
      <c r="X22" s="32"/>
      <c r="Y22" s="32"/>
      <c r="Z22" s="34"/>
      <c r="AA22" s="32"/>
      <c r="AB22" s="18"/>
      <c r="AC22" s="32"/>
      <c r="AD22" s="4"/>
    </row>
    <row r="23" spans="3:30" s="1" customFormat="1" x14ac:dyDescent="0.2">
      <c r="C23" s="27"/>
      <c r="D23" s="27"/>
      <c r="E23" s="27"/>
      <c r="F23" s="27"/>
      <c r="G23" s="27"/>
      <c r="H23" s="27"/>
      <c r="I23" s="27"/>
      <c r="L23" s="4"/>
      <c r="M23" s="26"/>
      <c r="N23" s="18"/>
      <c r="O23" s="17"/>
      <c r="P23" s="18"/>
      <c r="Q23" s="62"/>
      <c r="R23" s="18"/>
      <c r="S23" s="65"/>
      <c r="T23" s="24"/>
      <c r="U23" s="23"/>
      <c r="V23" s="16"/>
      <c r="W23" s="33"/>
      <c r="X23" s="32"/>
      <c r="Y23" s="32"/>
      <c r="Z23" s="34"/>
      <c r="AA23" s="32"/>
      <c r="AB23" s="18"/>
      <c r="AC23" s="32"/>
      <c r="AD23" s="4"/>
    </row>
    <row r="24" spans="3:30" s="1" customFormat="1" x14ac:dyDescent="0.2">
      <c r="C24" s="27"/>
      <c r="D24" s="27"/>
      <c r="E24" s="27"/>
      <c r="F24" s="27"/>
      <c r="G24" s="27"/>
      <c r="H24" s="27"/>
      <c r="I24" s="27"/>
      <c r="L24" s="4"/>
      <c r="M24" s="26"/>
      <c r="N24" s="18"/>
      <c r="O24" s="17"/>
      <c r="P24" s="18"/>
      <c r="Q24" s="62"/>
      <c r="R24" s="18"/>
      <c r="S24" s="65"/>
      <c r="T24" s="24"/>
      <c r="U24" s="23"/>
      <c r="V24" s="16"/>
      <c r="W24" s="33"/>
      <c r="X24" s="32"/>
      <c r="Y24" s="32"/>
      <c r="Z24" s="34"/>
      <c r="AA24" s="32"/>
      <c r="AB24" s="18"/>
      <c r="AC24" s="32"/>
      <c r="AD24" s="4"/>
    </row>
    <row r="25" spans="3:30" s="1" customFormat="1" x14ac:dyDescent="0.2">
      <c r="C25" s="27"/>
      <c r="D25" s="27"/>
      <c r="E25" s="27"/>
      <c r="F25" s="27"/>
      <c r="G25" s="27"/>
      <c r="H25" s="27"/>
      <c r="I25" s="27"/>
      <c r="L25" s="4"/>
      <c r="M25" s="26"/>
      <c r="N25" s="18"/>
      <c r="O25" s="17"/>
      <c r="P25" s="18"/>
      <c r="Q25" s="62"/>
      <c r="R25" s="18"/>
      <c r="S25" s="65"/>
      <c r="T25" s="24"/>
      <c r="U25" s="23"/>
      <c r="V25" s="16"/>
      <c r="W25" s="33"/>
      <c r="X25" s="32"/>
      <c r="Y25" s="32"/>
      <c r="Z25" s="34"/>
      <c r="AA25" s="32"/>
      <c r="AB25" s="18"/>
      <c r="AC25" s="32"/>
      <c r="AD25" s="4"/>
    </row>
    <row r="26" spans="3:30" s="1" customFormat="1" x14ac:dyDescent="0.2">
      <c r="C26" s="27"/>
      <c r="D26" s="27"/>
      <c r="E26" s="27"/>
      <c r="F26" s="27"/>
      <c r="G26" s="27"/>
      <c r="H26" s="27"/>
      <c r="I26" s="27"/>
      <c r="L26" s="4"/>
      <c r="M26" s="26"/>
      <c r="N26" s="18"/>
      <c r="O26" s="17"/>
      <c r="P26" s="18"/>
      <c r="Q26" s="62"/>
      <c r="R26" s="18"/>
      <c r="S26" s="65"/>
      <c r="T26" s="24"/>
      <c r="U26" s="23"/>
      <c r="V26" s="16"/>
      <c r="W26" s="33"/>
      <c r="X26" s="32"/>
      <c r="Y26" s="32"/>
      <c r="Z26" s="34"/>
      <c r="AA26" s="32"/>
      <c r="AB26" s="18"/>
      <c r="AC26" s="32"/>
      <c r="AD26" s="4"/>
    </row>
    <row r="27" spans="3:30" s="1" customFormat="1" x14ac:dyDescent="0.2">
      <c r="C27" s="27"/>
      <c r="D27" s="27"/>
      <c r="E27" s="27"/>
      <c r="F27" s="27"/>
      <c r="G27" s="27"/>
      <c r="H27" s="27"/>
      <c r="I27" s="27"/>
      <c r="L27" s="4"/>
      <c r="M27" s="26"/>
      <c r="N27" s="18"/>
      <c r="O27" s="17"/>
      <c r="P27" s="18"/>
      <c r="Q27" s="62"/>
      <c r="R27" s="18"/>
      <c r="S27" s="65"/>
      <c r="T27" s="24"/>
      <c r="U27" s="23"/>
      <c r="V27" s="16"/>
      <c r="W27" s="33"/>
      <c r="X27" s="32"/>
      <c r="Y27" s="32"/>
      <c r="Z27" s="34"/>
      <c r="AA27" s="32"/>
      <c r="AB27" s="18"/>
      <c r="AC27" s="32"/>
      <c r="AD27" s="4"/>
    </row>
    <row r="28" spans="3:30" s="1" customFormat="1" x14ac:dyDescent="0.2">
      <c r="C28" s="27"/>
      <c r="D28" s="27"/>
      <c r="E28" s="27"/>
      <c r="F28" s="27"/>
      <c r="G28" s="27"/>
      <c r="H28" s="27"/>
      <c r="I28" s="27"/>
      <c r="L28" s="4"/>
      <c r="M28" s="26"/>
      <c r="N28" s="18"/>
      <c r="O28" s="17"/>
      <c r="P28" s="18"/>
      <c r="Q28" s="62"/>
      <c r="R28" s="18"/>
      <c r="S28" s="65"/>
      <c r="T28" s="24"/>
      <c r="U28" s="23"/>
      <c r="V28" s="16"/>
      <c r="W28" s="33"/>
      <c r="X28" s="32"/>
      <c r="Y28" s="32"/>
      <c r="Z28" s="34"/>
      <c r="AA28" s="32"/>
      <c r="AB28" s="18"/>
      <c r="AC28" s="32"/>
      <c r="AD28" s="4"/>
    </row>
    <row r="29" spans="3:30" s="1" customFormat="1" x14ac:dyDescent="0.2">
      <c r="C29" s="27"/>
      <c r="D29" s="27"/>
      <c r="E29" s="27"/>
      <c r="F29" s="27"/>
      <c r="G29" s="27"/>
      <c r="H29" s="27"/>
      <c r="I29" s="27"/>
      <c r="L29" s="4"/>
      <c r="M29" s="26"/>
      <c r="N29" s="18"/>
      <c r="O29" s="17"/>
      <c r="P29" s="18"/>
      <c r="Q29" s="62"/>
      <c r="R29" s="18"/>
      <c r="S29" s="65"/>
      <c r="T29" s="24"/>
      <c r="U29" s="23"/>
      <c r="V29" s="16"/>
      <c r="W29" s="33"/>
      <c r="X29" s="32"/>
      <c r="Y29" s="32"/>
      <c r="Z29" s="34"/>
      <c r="AA29" s="32"/>
      <c r="AB29" s="18"/>
      <c r="AC29" s="32"/>
      <c r="AD29" s="4"/>
    </row>
    <row r="30" spans="3:30" s="1" customFormat="1" x14ac:dyDescent="0.2">
      <c r="C30" s="27"/>
      <c r="D30" s="27"/>
      <c r="E30" s="27"/>
      <c r="F30" s="27"/>
      <c r="G30" s="27"/>
      <c r="H30" s="27"/>
      <c r="I30" s="27"/>
      <c r="L30" s="4"/>
      <c r="M30" s="26"/>
      <c r="N30" s="18"/>
      <c r="O30" s="17"/>
      <c r="P30" s="18"/>
      <c r="Q30" s="62"/>
      <c r="R30" s="18"/>
      <c r="S30" s="65"/>
      <c r="T30" s="24"/>
      <c r="U30" s="23"/>
      <c r="V30" s="16"/>
      <c r="W30" s="33"/>
      <c r="X30" s="32"/>
      <c r="Y30" s="32"/>
      <c r="Z30" s="34"/>
      <c r="AA30" s="32"/>
      <c r="AB30" s="18"/>
      <c r="AC30" s="32"/>
      <c r="AD30" s="4"/>
    </row>
    <row r="31" spans="3:30" s="1" customFormat="1" x14ac:dyDescent="0.2">
      <c r="C31" s="27"/>
      <c r="D31" s="27"/>
      <c r="E31" s="27"/>
      <c r="F31" s="27"/>
      <c r="G31" s="27"/>
      <c r="H31" s="27"/>
      <c r="I31" s="27"/>
      <c r="L31" s="4"/>
      <c r="M31" s="26"/>
      <c r="N31" s="18"/>
      <c r="O31" s="17"/>
      <c r="P31" s="18"/>
      <c r="Q31" s="62"/>
      <c r="R31" s="18"/>
      <c r="S31" s="65"/>
      <c r="T31" s="24"/>
      <c r="U31" s="23"/>
      <c r="V31" s="16"/>
      <c r="W31" s="33"/>
      <c r="X31" s="32"/>
      <c r="Y31" s="32"/>
      <c r="Z31" s="34"/>
      <c r="AA31" s="32"/>
      <c r="AB31" s="18"/>
      <c r="AC31" s="32"/>
      <c r="AD31" s="4"/>
    </row>
    <row r="32" spans="3:30" s="1" customFormat="1" x14ac:dyDescent="0.2">
      <c r="C32" s="27"/>
      <c r="D32" s="27"/>
      <c r="E32" s="27"/>
      <c r="F32" s="27"/>
      <c r="G32" s="27"/>
      <c r="H32" s="27"/>
      <c r="I32" s="27"/>
      <c r="L32" s="4"/>
      <c r="M32" s="26"/>
      <c r="N32" s="18"/>
      <c r="O32" s="17"/>
      <c r="P32" s="18"/>
      <c r="Q32" s="62"/>
      <c r="R32" s="18"/>
      <c r="S32" s="65"/>
      <c r="T32" s="24"/>
      <c r="U32" s="23"/>
      <c r="V32" s="16"/>
      <c r="W32" s="33"/>
      <c r="X32" s="32"/>
      <c r="Y32" s="32"/>
      <c r="Z32" s="34"/>
      <c r="AA32" s="32"/>
      <c r="AB32" s="18"/>
      <c r="AC32" s="32"/>
      <c r="AD32" s="4"/>
    </row>
    <row r="33" spans="3:30" s="1" customFormat="1" x14ac:dyDescent="0.2">
      <c r="C33" s="27"/>
      <c r="D33" s="27"/>
      <c r="E33" s="27"/>
      <c r="F33" s="27"/>
      <c r="G33" s="27"/>
      <c r="H33" s="27"/>
      <c r="I33" s="27"/>
      <c r="L33" s="4"/>
      <c r="M33" s="26"/>
      <c r="N33" s="18"/>
      <c r="O33" s="17"/>
      <c r="P33" s="18"/>
      <c r="Q33" s="62"/>
      <c r="R33" s="18"/>
      <c r="S33" s="65"/>
      <c r="T33" s="24"/>
      <c r="U33" s="23"/>
      <c r="V33" s="16"/>
      <c r="W33" s="33"/>
      <c r="X33" s="32"/>
      <c r="Y33" s="32"/>
      <c r="Z33" s="34"/>
      <c r="AA33" s="32"/>
      <c r="AB33" s="18"/>
      <c r="AC33" s="32"/>
      <c r="AD33" s="4"/>
    </row>
    <row r="34" spans="3:30" s="1" customFormat="1" x14ac:dyDescent="0.2">
      <c r="C34" s="27"/>
      <c r="D34" s="27"/>
      <c r="E34" s="27"/>
      <c r="F34" s="27"/>
      <c r="G34" s="27"/>
      <c r="H34" s="27"/>
      <c r="I34" s="27"/>
      <c r="L34" s="4"/>
      <c r="M34" s="26"/>
      <c r="N34" s="18"/>
      <c r="O34" s="17"/>
      <c r="P34" s="18"/>
      <c r="Q34" s="62"/>
      <c r="R34" s="18"/>
      <c r="S34" s="65"/>
      <c r="T34" s="24"/>
      <c r="U34" s="23"/>
      <c r="V34" s="16"/>
      <c r="W34" s="33"/>
      <c r="X34" s="32"/>
      <c r="Y34" s="32"/>
      <c r="Z34" s="34"/>
      <c r="AA34" s="32"/>
      <c r="AB34" s="18"/>
      <c r="AC34" s="32"/>
      <c r="AD34" s="4"/>
    </row>
    <row r="35" spans="3:30" s="1" customFormat="1" x14ac:dyDescent="0.2">
      <c r="C35" s="27"/>
      <c r="D35" s="27"/>
      <c r="E35" s="27"/>
      <c r="F35" s="27"/>
      <c r="G35" s="27"/>
      <c r="H35" s="27"/>
      <c r="I35" s="27"/>
      <c r="L35" s="4"/>
      <c r="M35" s="26"/>
      <c r="N35" s="18"/>
      <c r="O35" s="17"/>
      <c r="P35" s="18"/>
      <c r="Q35" s="62"/>
      <c r="R35" s="18"/>
      <c r="S35" s="65"/>
      <c r="T35" s="24"/>
      <c r="U35" s="23"/>
      <c r="V35" s="16"/>
      <c r="W35" s="33"/>
      <c r="X35" s="32"/>
      <c r="Y35" s="32"/>
      <c r="Z35" s="34"/>
      <c r="AA35" s="32"/>
      <c r="AB35" s="18"/>
      <c r="AC35" s="32"/>
      <c r="AD35" s="4"/>
    </row>
    <row r="36" spans="3:30" s="1" customFormat="1" x14ac:dyDescent="0.2">
      <c r="C36" s="27"/>
      <c r="D36" s="27"/>
      <c r="E36" s="27"/>
      <c r="F36" s="27"/>
      <c r="G36" s="27"/>
      <c r="H36" s="27"/>
      <c r="I36" s="27"/>
      <c r="L36" s="4"/>
      <c r="M36" s="26"/>
      <c r="N36" s="18"/>
      <c r="O36" s="17"/>
      <c r="P36" s="18"/>
      <c r="Q36" s="62"/>
      <c r="R36" s="18"/>
      <c r="S36" s="65"/>
      <c r="T36" s="24"/>
      <c r="U36" s="23"/>
      <c r="V36" s="16"/>
      <c r="W36" s="33"/>
      <c r="X36" s="32"/>
      <c r="Y36" s="32"/>
      <c r="Z36" s="34"/>
      <c r="AA36" s="32"/>
      <c r="AB36" s="18"/>
      <c r="AC36" s="32"/>
      <c r="AD36" s="4"/>
    </row>
    <row r="37" spans="3:30" s="1" customFormat="1" x14ac:dyDescent="0.2">
      <c r="C37" s="27"/>
      <c r="D37" s="27"/>
      <c r="E37" s="27"/>
      <c r="F37" s="27"/>
      <c r="G37" s="27"/>
      <c r="H37" s="27"/>
      <c r="I37" s="27"/>
      <c r="L37" s="4"/>
      <c r="M37" s="26"/>
      <c r="N37" s="18"/>
      <c r="O37" s="17"/>
      <c r="P37" s="18"/>
      <c r="Q37" s="62"/>
      <c r="R37" s="18"/>
      <c r="S37" s="65"/>
      <c r="T37" s="24"/>
      <c r="U37" s="23"/>
      <c r="V37" s="16"/>
      <c r="W37" s="33"/>
      <c r="X37" s="32"/>
      <c r="Y37" s="32"/>
      <c r="Z37" s="34"/>
      <c r="AA37" s="32"/>
      <c r="AB37" s="18"/>
      <c r="AC37" s="32"/>
      <c r="AD37" s="4"/>
    </row>
    <row r="38" spans="3:30" s="1" customFormat="1" x14ac:dyDescent="0.2">
      <c r="C38" s="27"/>
      <c r="D38" s="27"/>
      <c r="E38" s="27"/>
      <c r="F38" s="27"/>
      <c r="G38" s="27"/>
      <c r="H38" s="27"/>
      <c r="I38" s="27"/>
      <c r="L38" s="4"/>
      <c r="M38" s="26"/>
      <c r="N38" s="18"/>
      <c r="O38" s="17"/>
      <c r="P38" s="18"/>
      <c r="Q38" s="62"/>
      <c r="R38" s="18"/>
      <c r="S38" s="65"/>
      <c r="T38" s="24"/>
      <c r="U38" s="23"/>
      <c r="V38" s="16"/>
      <c r="W38" s="33"/>
      <c r="X38" s="32"/>
      <c r="Y38" s="32"/>
      <c r="Z38" s="34"/>
      <c r="AA38" s="32"/>
      <c r="AB38" s="18"/>
      <c r="AC38" s="32"/>
      <c r="AD38" s="4"/>
    </row>
    <row r="39" spans="3:30" s="1" customFormat="1" x14ac:dyDescent="0.2">
      <c r="C39" s="27"/>
      <c r="D39" s="27"/>
      <c r="E39" s="27"/>
      <c r="F39" s="27"/>
      <c r="G39" s="27"/>
      <c r="H39" s="27"/>
      <c r="I39" s="27"/>
      <c r="L39" s="4"/>
      <c r="M39" s="26"/>
      <c r="N39" s="18"/>
      <c r="O39" s="17"/>
      <c r="P39" s="18"/>
      <c r="Q39" s="62"/>
      <c r="R39" s="18"/>
      <c r="S39" s="65"/>
      <c r="T39" s="24"/>
      <c r="U39" s="23"/>
      <c r="V39" s="16"/>
      <c r="W39" s="33"/>
      <c r="X39" s="32"/>
      <c r="Y39" s="32"/>
      <c r="Z39" s="34"/>
      <c r="AA39" s="32"/>
      <c r="AB39" s="18"/>
      <c r="AC39" s="32"/>
      <c r="AD39" s="4"/>
    </row>
    <row r="40" spans="3:30" s="1" customFormat="1" x14ac:dyDescent="0.2">
      <c r="C40" s="27"/>
      <c r="D40" s="27"/>
      <c r="E40" s="27"/>
      <c r="F40" s="27"/>
      <c r="G40" s="27"/>
      <c r="H40" s="27"/>
      <c r="I40" s="27"/>
      <c r="L40" s="4"/>
      <c r="M40" s="26"/>
      <c r="N40" s="18"/>
      <c r="O40" s="17"/>
      <c r="P40" s="18"/>
      <c r="Q40" s="62"/>
      <c r="R40" s="18"/>
      <c r="S40" s="65"/>
      <c r="T40" s="24"/>
      <c r="U40" s="23"/>
      <c r="V40" s="16"/>
      <c r="W40" s="33"/>
      <c r="X40" s="32"/>
      <c r="Y40" s="32"/>
      <c r="Z40" s="34"/>
      <c r="AA40" s="32"/>
      <c r="AB40" s="18"/>
      <c r="AC40" s="32"/>
      <c r="AD40" s="4"/>
    </row>
    <row r="41" spans="3:30" s="1" customFormat="1" x14ac:dyDescent="0.2">
      <c r="C41" s="27"/>
      <c r="D41" s="27"/>
      <c r="E41" s="27"/>
      <c r="F41" s="27"/>
      <c r="G41" s="27"/>
      <c r="H41" s="27"/>
      <c r="I41" s="27"/>
      <c r="L41" s="4"/>
      <c r="M41" s="26"/>
      <c r="N41" s="18"/>
      <c r="O41" s="17"/>
      <c r="P41" s="18"/>
      <c r="Q41" s="62"/>
      <c r="R41" s="18"/>
      <c r="S41" s="65"/>
      <c r="T41" s="24"/>
      <c r="U41" s="23"/>
      <c r="V41" s="16"/>
      <c r="W41" s="33"/>
      <c r="X41" s="32"/>
      <c r="Y41" s="32"/>
      <c r="Z41" s="34"/>
      <c r="AA41" s="32"/>
      <c r="AB41" s="18"/>
      <c r="AC41" s="32"/>
      <c r="AD41" s="4"/>
    </row>
    <row r="42" spans="3:30" s="1" customFormat="1" x14ac:dyDescent="0.2">
      <c r="C42" s="27"/>
      <c r="D42" s="27"/>
      <c r="E42" s="27"/>
      <c r="F42" s="27"/>
      <c r="G42" s="27"/>
      <c r="H42" s="27"/>
      <c r="I42" s="27"/>
      <c r="L42" s="4"/>
      <c r="M42" s="26"/>
      <c r="N42" s="18"/>
      <c r="O42" s="17"/>
      <c r="P42" s="18"/>
      <c r="Q42" s="62"/>
      <c r="R42" s="18"/>
      <c r="S42" s="65"/>
      <c r="T42" s="24"/>
      <c r="U42" s="23"/>
      <c r="V42" s="16"/>
      <c r="W42" s="33"/>
      <c r="X42" s="32"/>
      <c r="Y42" s="32"/>
      <c r="Z42" s="34"/>
      <c r="AA42" s="32"/>
      <c r="AB42" s="18"/>
      <c r="AC42" s="32"/>
      <c r="AD42" s="4"/>
    </row>
    <row r="43" spans="3:30" s="1" customFormat="1" x14ac:dyDescent="0.2">
      <c r="C43" s="27"/>
      <c r="D43" s="27"/>
      <c r="E43" s="27"/>
      <c r="F43" s="27"/>
      <c r="G43" s="27"/>
      <c r="H43" s="27"/>
      <c r="I43" s="27"/>
      <c r="L43" s="4"/>
      <c r="M43" s="26"/>
      <c r="N43" s="18"/>
      <c r="O43" s="17"/>
      <c r="P43" s="18"/>
      <c r="Q43" s="62"/>
      <c r="R43" s="18"/>
      <c r="S43" s="65"/>
      <c r="T43" s="24"/>
      <c r="U43" s="23"/>
      <c r="V43" s="16"/>
      <c r="W43" s="33"/>
      <c r="X43" s="32"/>
      <c r="Y43" s="32"/>
      <c r="Z43" s="34"/>
      <c r="AA43" s="32"/>
      <c r="AB43" s="18"/>
      <c r="AC43" s="32"/>
      <c r="AD43" s="4"/>
    </row>
    <row r="44" spans="3:30" s="1" customFormat="1" x14ac:dyDescent="0.2">
      <c r="C44" s="27"/>
      <c r="D44" s="27"/>
      <c r="E44" s="27"/>
      <c r="F44" s="27"/>
      <c r="G44" s="27"/>
      <c r="H44" s="27"/>
      <c r="I44" s="27"/>
      <c r="L44" s="4"/>
      <c r="M44" s="26"/>
      <c r="N44" s="18"/>
      <c r="O44" s="17"/>
      <c r="P44" s="18"/>
      <c r="Q44" s="62"/>
      <c r="R44" s="18"/>
      <c r="S44" s="65"/>
      <c r="T44" s="24"/>
      <c r="U44" s="23"/>
      <c r="V44" s="16"/>
      <c r="W44" s="33"/>
      <c r="X44" s="32"/>
      <c r="Y44" s="32"/>
      <c r="Z44" s="34"/>
      <c r="AA44" s="32"/>
      <c r="AB44" s="18"/>
      <c r="AC44" s="32"/>
      <c r="AD44" s="4"/>
    </row>
    <row r="45" spans="3:30" s="1" customFormat="1" x14ac:dyDescent="0.2">
      <c r="C45" s="27"/>
      <c r="D45" s="27"/>
      <c r="E45" s="27"/>
      <c r="F45" s="27"/>
      <c r="G45" s="27"/>
      <c r="H45" s="27"/>
      <c r="I45" s="27"/>
      <c r="L45" s="4"/>
      <c r="M45" s="26"/>
      <c r="N45" s="18"/>
      <c r="O45" s="17"/>
      <c r="P45" s="18"/>
      <c r="Q45" s="62"/>
      <c r="R45" s="18"/>
      <c r="S45" s="65"/>
      <c r="T45" s="24"/>
      <c r="U45" s="23"/>
      <c r="V45" s="16"/>
      <c r="W45" s="33"/>
      <c r="X45" s="32"/>
      <c r="Y45" s="32"/>
      <c r="Z45" s="34"/>
      <c r="AA45" s="32"/>
      <c r="AB45" s="18"/>
      <c r="AC45" s="32"/>
      <c r="AD45" s="4"/>
    </row>
    <row r="46" spans="3:30" s="1" customFormat="1" x14ac:dyDescent="0.2">
      <c r="C46" s="27"/>
      <c r="D46" s="27"/>
      <c r="E46" s="27"/>
      <c r="F46" s="27"/>
      <c r="G46" s="27"/>
      <c r="H46" s="27"/>
      <c r="I46" s="27"/>
      <c r="L46" s="4"/>
      <c r="M46" s="26"/>
      <c r="N46" s="18"/>
      <c r="O46" s="17"/>
      <c r="P46" s="18"/>
      <c r="Q46" s="62"/>
      <c r="R46" s="18"/>
      <c r="S46" s="65"/>
      <c r="T46" s="24"/>
      <c r="U46" s="23"/>
      <c r="V46" s="16"/>
      <c r="W46" s="33"/>
      <c r="X46" s="32"/>
      <c r="Y46" s="32"/>
      <c r="Z46" s="34"/>
      <c r="AA46" s="32"/>
      <c r="AB46" s="18"/>
      <c r="AC46" s="32"/>
      <c r="AD46" s="4"/>
    </row>
    <row r="47" spans="3:30" s="1" customFormat="1" x14ac:dyDescent="0.2">
      <c r="C47" s="27"/>
      <c r="D47" s="27"/>
      <c r="E47" s="27"/>
      <c r="F47" s="27"/>
      <c r="G47" s="27"/>
      <c r="H47" s="27"/>
      <c r="I47" s="27"/>
      <c r="L47" s="4"/>
      <c r="M47" s="26"/>
      <c r="N47" s="18"/>
      <c r="O47" s="17"/>
      <c r="P47" s="18"/>
      <c r="Q47" s="62"/>
      <c r="R47" s="18"/>
      <c r="S47" s="65"/>
      <c r="T47" s="24"/>
      <c r="U47" s="23"/>
      <c r="V47" s="16"/>
      <c r="W47" s="33"/>
      <c r="X47" s="32"/>
      <c r="Y47" s="32"/>
      <c r="Z47" s="34"/>
      <c r="AA47" s="32"/>
      <c r="AB47" s="18"/>
      <c r="AC47" s="32"/>
      <c r="AD47" s="4"/>
    </row>
    <row r="48" spans="3:30" s="1" customFormat="1" x14ac:dyDescent="0.2">
      <c r="C48" s="27"/>
      <c r="D48" s="27"/>
      <c r="E48" s="27"/>
      <c r="F48" s="27"/>
      <c r="G48" s="27"/>
      <c r="H48" s="27"/>
      <c r="I48" s="27"/>
      <c r="L48" s="4"/>
      <c r="M48" s="26"/>
      <c r="N48" s="18"/>
      <c r="O48" s="17"/>
      <c r="P48" s="18"/>
      <c r="Q48" s="62"/>
      <c r="R48" s="18"/>
      <c r="S48" s="65"/>
      <c r="T48" s="24"/>
      <c r="U48" s="23"/>
      <c r="V48" s="16"/>
      <c r="W48" s="33"/>
      <c r="X48" s="32"/>
      <c r="Y48" s="32"/>
      <c r="Z48" s="34"/>
      <c r="AA48" s="32"/>
      <c r="AB48" s="18"/>
      <c r="AC48" s="32"/>
      <c r="AD48" s="4"/>
    </row>
    <row r="49" spans="3:30" s="1" customFormat="1" x14ac:dyDescent="0.2">
      <c r="C49" s="27"/>
      <c r="D49" s="27"/>
      <c r="E49" s="27"/>
      <c r="F49" s="27"/>
      <c r="G49" s="27"/>
      <c r="H49" s="27"/>
      <c r="I49" s="27"/>
      <c r="L49" s="4"/>
      <c r="M49" s="26"/>
      <c r="N49" s="18"/>
      <c r="O49" s="17"/>
      <c r="P49" s="18"/>
      <c r="Q49" s="62"/>
      <c r="R49" s="18"/>
      <c r="S49" s="65"/>
      <c r="T49" s="24"/>
      <c r="U49" s="23"/>
      <c r="V49" s="16"/>
      <c r="W49" s="33"/>
      <c r="X49" s="32"/>
      <c r="Y49" s="32"/>
      <c r="Z49" s="34"/>
      <c r="AA49" s="32"/>
      <c r="AB49" s="18"/>
      <c r="AC49" s="32"/>
      <c r="AD49" s="4"/>
    </row>
    <row r="50" spans="3:30" s="1" customFormat="1" x14ac:dyDescent="0.2">
      <c r="C50" s="27"/>
      <c r="D50" s="27"/>
      <c r="E50" s="27"/>
      <c r="F50" s="27"/>
      <c r="G50" s="27"/>
      <c r="H50" s="27"/>
      <c r="I50" s="27"/>
      <c r="L50" s="4"/>
      <c r="M50" s="26"/>
      <c r="N50" s="18"/>
      <c r="O50" s="17"/>
      <c r="P50" s="18"/>
      <c r="Q50" s="62"/>
      <c r="R50" s="18"/>
      <c r="S50" s="65"/>
      <c r="T50" s="24"/>
      <c r="U50" s="23"/>
      <c r="V50" s="16"/>
      <c r="W50" s="33"/>
      <c r="X50" s="32"/>
      <c r="Y50" s="32"/>
      <c r="Z50" s="34"/>
      <c r="AA50" s="32"/>
      <c r="AB50" s="18"/>
      <c r="AC50" s="32"/>
      <c r="AD50" s="4"/>
    </row>
    <row r="51" spans="3:30" s="1" customFormat="1" x14ac:dyDescent="0.2">
      <c r="C51" s="27"/>
      <c r="D51" s="27"/>
      <c r="E51" s="27"/>
      <c r="F51" s="27"/>
      <c r="G51" s="27"/>
      <c r="H51" s="27"/>
      <c r="I51" s="27"/>
      <c r="L51" s="4"/>
      <c r="M51" s="26"/>
      <c r="N51" s="18"/>
      <c r="O51" s="17"/>
      <c r="P51" s="18"/>
      <c r="Q51" s="62"/>
      <c r="R51" s="18"/>
      <c r="S51" s="65"/>
      <c r="T51" s="24"/>
      <c r="U51" s="23"/>
      <c r="V51" s="16"/>
      <c r="W51" s="33"/>
      <c r="X51" s="32"/>
      <c r="Y51" s="32"/>
      <c r="Z51" s="34"/>
      <c r="AA51" s="32"/>
      <c r="AB51" s="18"/>
      <c r="AC51" s="32"/>
      <c r="AD51" s="4"/>
    </row>
    <row r="52" spans="3:30" s="1" customFormat="1" x14ac:dyDescent="0.2">
      <c r="C52" s="27"/>
      <c r="D52" s="27"/>
      <c r="E52" s="27"/>
      <c r="F52" s="27"/>
      <c r="G52" s="27"/>
      <c r="H52" s="27"/>
      <c r="I52" s="27"/>
      <c r="L52" s="4"/>
      <c r="M52" s="26"/>
      <c r="N52" s="18"/>
      <c r="O52" s="17"/>
      <c r="P52" s="18"/>
      <c r="Q52" s="62"/>
      <c r="R52" s="18"/>
      <c r="S52" s="65"/>
      <c r="T52" s="24"/>
      <c r="U52" s="23"/>
      <c r="V52" s="16"/>
      <c r="W52" s="33"/>
      <c r="X52" s="32"/>
      <c r="Y52" s="32"/>
      <c r="Z52" s="34"/>
      <c r="AA52" s="32"/>
      <c r="AB52" s="18"/>
      <c r="AC52" s="32"/>
      <c r="AD52" s="4"/>
    </row>
    <row r="53" spans="3:30" s="1" customFormat="1" x14ac:dyDescent="0.2">
      <c r="C53" s="27"/>
      <c r="D53" s="27"/>
      <c r="E53" s="27"/>
      <c r="F53" s="27"/>
      <c r="G53" s="27"/>
      <c r="H53" s="27"/>
      <c r="I53" s="27"/>
      <c r="L53" s="4"/>
      <c r="M53" s="26"/>
      <c r="N53" s="18"/>
      <c r="O53" s="17"/>
      <c r="P53" s="18"/>
      <c r="Q53" s="62"/>
      <c r="R53" s="18"/>
      <c r="S53" s="65"/>
      <c r="T53" s="24"/>
      <c r="U53" s="23"/>
      <c r="V53" s="16"/>
      <c r="W53" s="33"/>
      <c r="X53" s="32"/>
      <c r="Y53" s="32"/>
      <c r="Z53" s="34"/>
      <c r="AA53" s="32"/>
      <c r="AB53" s="18"/>
      <c r="AC53" s="32"/>
      <c r="AD53" s="4"/>
    </row>
    <row r="54" spans="3:30" s="1" customFormat="1" x14ac:dyDescent="0.2">
      <c r="C54" s="27"/>
      <c r="D54" s="27"/>
      <c r="E54" s="27"/>
      <c r="F54" s="27"/>
      <c r="G54" s="27"/>
      <c r="H54" s="27"/>
      <c r="I54" s="27"/>
      <c r="L54" s="4"/>
      <c r="M54" s="26"/>
      <c r="N54" s="18"/>
      <c r="O54" s="17"/>
      <c r="P54" s="18"/>
      <c r="Q54" s="62"/>
      <c r="R54" s="18"/>
      <c r="S54" s="65"/>
      <c r="T54" s="24"/>
      <c r="U54" s="23"/>
      <c r="V54" s="16"/>
      <c r="W54" s="33"/>
      <c r="X54" s="32"/>
      <c r="Y54" s="32"/>
      <c r="Z54" s="34"/>
      <c r="AA54" s="32"/>
      <c r="AB54" s="18"/>
      <c r="AC54" s="32"/>
      <c r="AD54" s="4"/>
    </row>
    <row r="55" spans="3:30" s="1" customFormat="1" x14ac:dyDescent="0.2">
      <c r="C55" s="27"/>
      <c r="D55" s="27"/>
      <c r="E55" s="27"/>
      <c r="F55" s="27"/>
      <c r="G55" s="27"/>
      <c r="H55" s="27"/>
      <c r="I55" s="27"/>
      <c r="L55" s="4"/>
      <c r="M55" s="26"/>
      <c r="N55" s="18"/>
      <c r="O55" s="17"/>
      <c r="P55" s="18"/>
      <c r="Q55" s="62"/>
      <c r="R55" s="18"/>
      <c r="S55" s="65"/>
      <c r="T55" s="24"/>
      <c r="U55" s="23"/>
      <c r="V55" s="16"/>
      <c r="W55" s="33"/>
      <c r="X55" s="32"/>
      <c r="Y55" s="32"/>
      <c r="Z55" s="34"/>
      <c r="AA55" s="32"/>
      <c r="AB55" s="18"/>
      <c r="AC55" s="32"/>
      <c r="AD55" s="4"/>
    </row>
    <row r="56" spans="3:30" s="1" customFormat="1" x14ac:dyDescent="0.2">
      <c r="C56" s="27"/>
      <c r="D56" s="27"/>
      <c r="E56" s="27"/>
      <c r="F56" s="27"/>
      <c r="G56" s="27"/>
      <c r="H56" s="27"/>
      <c r="I56" s="27"/>
      <c r="L56" s="4"/>
      <c r="M56" s="26"/>
      <c r="N56" s="18"/>
      <c r="O56" s="17"/>
      <c r="P56" s="18"/>
      <c r="Q56" s="62"/>
      <c r="R56" s="18"/>
      <c r="S56" s="65"/>
      <c r="T56" s="24"/>
      <c r="U56" s="23"/>
      <c r="V56" s="16"/>
      <c r="W56" s="33"/>
      <c r="X56" s="32"/>
      <c r="Y56" s="32"/>
      <c r="Z56" s="34"/>
      <c r="AA56" s="32"/>
      <c r="AB56" s="18"/>
      <c r="AC56" s="32"/>
      <c r="AD56" s="4"/>
    </row>
    <row r="57" spans="3:30" s="1" customFormat="1" x14ac:dyDescent="0.2">
      <c r="C57" s="27"/>
      <c r="D57" s="27"/>
      <c r="E57" s="27"/>
      <c r="F57" s="27"/>
      <c r="G57" s="27"/>
      <c r="H57" s="27"/>
      <c r="I57" s="27"/>
      <c r="L57" s="4"/>
      <c r="M57" s="26"/>
      <c r="N57" s="18"/>
      <c r="O57" s="17"/>
      <c r="P57" s="18"/>
      <c r="Q57" s="62"/>
      <c r="R57" s="18"/>
      <c r="S57" s="65"/>
      <c r="T57" s="24"/>
      <c r="U57" s="23"/>
      <c r="V57" s="16"/>
      <c r="W57" s="33"/>
      <c r="X57" s="32"/>
      <c r="Y57" s="32"/>
      <c r="Z57" s="34"/>
      <c r="AA57" s="32"/>
      <c r="AB57" s="18"/>
      <c r="AC57" s="32"/>
      <c r="AD57" s="4"/>
    </row>
    <row r="58" spans="3:30" s="1" customFormat="1" x14ac:dyDescent="0.2">
      <c r="C58" s="27"/>
      <c r="D58" s="27"/>
      <c r="E58" s="27"/>
      <c r="F58" s="27"/>
      <c r="G58" s="27"/>
      <c r="H58" s="27"/>
      <c r="I58" s="27"/>
      <c r="L58" s="4"/>
      <c r="M58" s="26"/>
      <c r="N58" s="18"/>
      <c r="O58" s="17"/>
      <c r="P58" s="18"/>
      <c r="Q58" s="62"/>
      <c r="R58" s="18"/>
      <c r="S58" s="65"/>
      <c r="T58" s="24"/>
      <c r="U58" s="23"/>
      <c r="V58" s="16"/>
      <c r="W58" s="33"/>
      <c r="X58" s="32"/>
      <c r="Y58" s="32"/>
      <c r="Z58" s="34"/>
      <c r="AA58" s="32"/>
      <c r="AB58" s="18"/>
      <c r="AC58" s="32"/>
      <c r="AD58" s="4"/>
    </row>
    <row r="59" spans="3:30" s="1" customFormat="1" x14ac:dyDescent="0.2">
      <c r="C59" s="27"/>
      <c r="D59" s="27"/>
      <c r="E59" s="27"/>
      <c r="F59" s="27"/>
      <c r="G59" s="27"/>
      <c r="H59" s="27"/>
      <c r="I59" s="27"/>
      <c r="L59" s="4"/>
      <c r="M59" s="26"/>
      <c r="N59" s="18"/>
      <c r="O59" s="17"/>
      <c r="P59" s="18"/>
      <c r="Q59" s="62"/>
      <c r="R59" s="18"/>
      <c r="S59" s="65"/>
      <c r="T59" s="24"/>
      <c r="U59" s="23"/>
      <c r="V59" s="16"/>
      <c r="W59" s="33"/>
      <c r="X59" s="32"/>
      <c r="Y59" s="32"/>
      <c r="Z59" s="34"/>
      <c r="AA59" s="32"/>
      <c r="AB59" s="18"/>
      <c r="AC59" s="32"/>
      <c r="AD59" s="4"/>
    </row>
    <row r="60" spans="3:30" s="1" customFormat="1" x14ac:dyDescent="0.2">
      <c r="C60" s="27"/>
      <c r="D60" s="27"/>
      <c r="E60" s="27"/>
      <c r="F60" s="27"/>
      <c r="G60" s="27"/>
      <c r="H60" s="27"/>
      <c r="I60" s="27"/>
      <c r="L60" s="4"/>
      <c r="M60" s="26"/>
      <c r="N60" s="18"/>
      <c r="O60" s="17"/>
      <c r="P60" s="18"/>
      <c r="Q60" s="62"/>
      <c r="R60" s="18"/>
      <c r="S60" s="65"/>
      <c r="T60" s="24"/>
      <c r="U60" s="23"/>
      <c r="V60" s="16"/>
      <c r="W60" s="33"/>
      <c r="X60" s="32"/>
      <c r="Y60" s="32"/>
      <c r="Z60" s="34"/>
      <c r="AA60" s="32"/>
      <c r="AB60" s="18"/>
      <c r="AC60" s="32"/>
      <c r="AD60" s="4"/>
    </row>
    <row r="61" spans="3:30" s="1" customFormat="1" x14ac:dyDescent="0.2">
      <c r="C61" s="27"/>
      <c r="D61" s="27"/>
      <c r="E61" s="27"/>
      <c r="F61" s="27"/>
      <c r="G61" s="27"/>
      <c r="H61" s="27"/>
      <c r="I61" s="27"/>
      <c r="L61" s="4"/>
      <c r="M61" s="26"/>
      <c r="N61" s="18"/>
      <c r="O61" s="17"/>
      <c r="P61" s="18"/>
      <c r="Q61" s="62"/>
      <c r="R61" s="18"/>
      <c r="S61" s="65"/>
      <c r="T61" s="24"/>
      <c r="U61" s="23"/>
      <c r="V61" s="16"/>
      <c r="W61" s="33"/>
      <c r="X61" s="32"/>
      <c r="Y61" s="32"/>
      <c r="Z61" s="34"/>
      <c r="AA61" s="32"/>
      <c r="AB61" s="18"/>
      <c r="AC61" s="32"/>
      <c r="AD61" s="4"/>
    </row>
    <row r="62" spans="3:30" s="1" customFormat="1" x14ac:dyDescent="0.2">
      <c r="C62" s="27"/>
      <c r="D62" s="27"/>
      <c r="E62" s="27"/>
      <c r="F62" s="27"/>
      <c r="G62" s="27"/>
      <c r="H62" s="27"/>
      <c r="I62" s="27"/>
      <c r="L62" s="4"/>
      <c r="M62" s="26"/>
      <c r="N62" s="18"/>
      <c r="O62" s="17"/>
      <c r="P62" s="18"/>
      <c r="Q62" s="62"/>
      <c r="R62" s="18"/>
      <c r="S62" s="65"/>
      <c r="T62" s="24"/>
      <c r="U62" s="23"/>
      <c r="V62" s="16"/>
      <c r="W62" s="33"/>
      <c r="X62" s="32"/>
      <c r="Y62" s="32"/>
      <c r="Z62" s="34"/>
      <c r="AA62" s="32"/>
      <c r="AB62" s="18"/>
      <c r="AC62" s="32"/>
      <c r="AD62" s="4"/>
    </row>
    <row r="63" spans="3:30" s="1" customFormat="1" x14ac:dyDescent="0.2">
      <c r="C63" s="27"/>
      <c r="D63" s="27"/>
      <c r="E63" s="27"/>
      <c r="F63" s="27"/>
      <c r="G63" s="27"/>
      <c r="H63" s="27"/>
      <c r="I63" s="27"/>
      <c r="L63" s="4"/>
      <c r="M63" s="26"/>
      <c r="N63" s="18"/>
      <c r="O63" s="17"/>
      <c r="P63" s="18"/>
      <c r="Q63" s="62"/>
      <c r="R63" s="18"/>
      <c r="S63" s="65"/>
      <c r="T63" s="24"/>
      <c r="U63" s="23"/>
      <c r="V63" s="16"/>
      <c r="W63" s="33"/>
      <c r="X63" s="32"/>
      <c r="Y63" s="32"/>
      <c r="Z63" s="34"/>
      <c r="AA63" s="32"/>
      <c r="AB63" s="18"/>
      <c r="AC63" s="32"/>
      <c r="AD63" s="4"/>
    </row>
    <row r="64" spans="3:30" s="1" customFormat="1" x14ac:dyDescent="0.2">
      <c r="C64" s="27"/>
      <c r="D64" s="27"/>
      <c r="E64" s="27"/>
      <c r="F64" s="27"/>
      <c r="G64" s="27"/>
      <c r="H64" s="27"/>
      <c r="I64" s="27"/>
      <c r="L64" s="4"/>
      <c r="M64" s="26"/>
      <c r="N64" s="18"/>
      <c r="O64" s="17"/>
      <c r="P64" s="18"/>
      <c r="Q64" s="62"/>
      <c r="R64" s="18"/>
      <c r="S64" s="65"/>
      <c r="T64" s="24"/>
      <c r="U64" s="23"/>
      <c r="V64" s="16"/>
      <c r="W64" s="33"/>
      <c r="X64" s="32"/>
      <c r="Y64" s="32"/>
      <c r="Z64" s="34"/>
      <c r="AA64" s="32"/>
      <c r="AB64" s="18"/>
      <c r="AC64" s="32"/>
      <c r="AD64" s="4"/>
    </row>
    <row r="65" spans="3:30" s="1" customFormat="1" x14ac:dyDescent="0.2">
      <c r="C65" s="27"/>
      <c r="D65" s="27"/>
      <c r="E65" s="27"/>
      <c r="F65" s="27"/>
      <c r="G65" s="27"/>
      <c r="H65" s="27"/>
      <c r="I65" s="27"/>
      <c r="L65" s="4"/>
      <c r="M65" s="26"/>
      <c r="N65" s="18"/>
      <c r="O65" s="17"/>
      <c r="P65" s="18"/>
      <c r="Q65" s="62"/>
      <c r="R65" s="18"/>
      <c r="S65" s="65"/>
      <c r="T65" s="24"/>
      <c r="U65" s="23"/>
      <c r="V65" s="16"/>
      <c r="W65" s="33"/>
      <c r="X65" s="32"/>
      <c r="Y65" s="32"/>
      <c r="Z65" s="34"/>
      <c r="AA65" s="32"/>
      <c r="AB65" s="18"/>
      <c r="AC65" s="32"/>
      <c r="AD65" s="4"/>
    </row>
    <row r="66" spans="3:30" s="1" customFormat="1" x14ac:dyDescent="0.2">
      <c r="C66" s="27"/>
      <c r="D66" s="27"/>
      <c r="E66" s="27"/>
      <c r="F66" s="27"/>
      <c r="G66" s="27"/>
      <c r="H66" s="27"/>
      <c r="I66" s="27"/>
      <c r="L66" s="4"/>
      <c r="M66" s="26"/>
      <c r="N66" s="18"/>
      <c r="O66" s="17"/>
      <c r="P66" s="18"/>
      <c r="Q66" s="62"/>
      <c r="R66" s="18"/>
      <c r="S66" s="65"/>
      <c r="T66" s="24"/>
      <c r="U66" s="23"/>
      <c r="V66" s="16"/>
      <c r="W66" s="33"/>
      <c r="X66" s="32"/>
      <c r="Y66" s="32"/>
      <c r="Z66" s="34"/>
      <c r="AA66" s="32"/>
      <c r="AB66" s="18"/>
      <c r="AC66" s="32"/>
      <c r="AD66" s="4"/>
    </row>
    <row r="67" spans="3:30" s="1" customFormat="1" x14ac:dyDescent="0.2">
      <c r="C67" s="27"/>
      <c r="D67" s="27"/>
      <c r="E67" s="27"/>
      <c r="F67" s="27"/>
      <c r="G67" s="27"/>
      <c r="H67" s="27"/>
      <c r="I67" s="27"/>
      <c r="L67" s="4"/>
      <c r="M67" s="26"/>
      <c r="N67" s="18"/>
      <c r="O67" s="17"/>
      <c r="P67" s="18"/>
      <c r="Q67" s="62"/>
      <c r="R67" s="18"/>
      <c r="S67" s="65"/>
      <c r="T67" s="24"/>
      <c r="U67" s="23"/>
      <c r="V67" s="16"/>
      <c r="W67" s="33"/>
      <c r="X67" s="32"/>
      <c r="Y67" s="32"/>
      <c r="Z67" s="34"/>
      <c r="AA67" s="32"/>
      <c r="AB67" s="18"/>
      <c r="AC67" s="32"/>
      <c r="AD67" s="4"/>
    </row>
    <row r="68" spans="3:30" s="1" customFormat="1" x14ac:dyDescent="0.2">
      <c r="C68" s="27"/>
      <c r="D68" s="27"/>
      <c r="E68" s="27"/>
      <c r="F68" s="27"/>
      <c r="G68" s="27"/>
      <c r="H68" s="27"/>
      <c r="I68" s="27"/>
      <c r="L68" s="4"/>
      <c r="M68" s="26"/>
      <c r="N68" s="18"/>
      <c r="O68" s="17"/>
      <c r="P68" s="18"/>
      <c r="Q68" s="62"/>
      <c r="R68" s="18"/>
      <c r="S68" s="65"/>
      <c r="T68" s="24"/>
      <c r="U68" s="23"/>
      <c r="V68" s="16"/>
      <c r="W68" s="33"/>
      <c r="X68" s="32"/>
      <c r="Y68" s="32"/>
      <c r="Z68" s="34"/>
      <c r="AA68" s="32"/>
      <c r="AB68" s="18"/>
      <c r="AC68" s="32"/>
      <c r="AD68" s="4"/>
    </row>
    <row r="69" spans="3:30" s="1" customFormat="1" x14ac:dyDescent="0.2">
      <c r="C69" s="27"/>
      <c r="D69" s="27"/>
      <c r="E69" s="27"/>
      <c r="F69" s="27"/>
      <c r="G69" s="27"/>
      <c r="H69" s="27"/>
      <c r="I69" s="27"/>
      <c r="L69" s="4"/>
      <c r="M69" s="26"/>
      <c r="N69" s="18"/>
      <c r="O69" s="17"/>
      <c r="P69" s="18"/>
      <c r="Q69" s="62"/>
      <c r="R69" s="18"/>
      <c r="S69" s="65"/>
      <c r="T69" s="24"/>
      <c r="U69" s="23"/>
      <c r="V69" s="16"/>
      <c r="W69" s="33"/>
      <c r="X69" s="32"/>
      <c r="Y69" s="32"/>
      <c r="Z69" s="34"/>
      <c r="AA69" s="32"/>
      <c r="AB69" s="18"/>
      <c r="AC69" s="32"/>
      <c r="AD69" s="4"/>
    </row>
    <row r="70" spans="3:30" s="1" customFormat="1" x14ac:dyDescent="0.2">
      <c r="C70" s="27"/>
      <c r="D70" s="27"/>
      <c r="E70" s="27"/>
      <c r="F70" s="27"/>
      <c r="G70" s="27"/>
      <c r="H70" s="27"/>
      <c r="I70" s="27"/>
      <c r="L70" s="4"/>
      <c r="M70" s="26"/>
      <c r="N70" s="18"/>
      <c r="O70" s="17"/>
      <c r="P70" s="18"/>
      <c r="Q70" s="62"/>
      <c r="R70" s="18"/>
      <c r="S70" s="65"/>
      <c r="T70" s="24"/>
      <c r="U70" s="23"/>
      <c r="V70" s="16"/>
      <c r="W70" s="33"/>
      <c r="X70" s="32"/>
      <c r="Y70" s="32"/>
      <c r="Z70" s="34"/>
      <c r="AA70" s="32"/>
      <c r="AB70" s="18"/>
      <c r="AC70" s="32"/>
      <c r="AD70" s="4"/>
    </row>
    <row r="71" spans="3:30" s="1" customFormat="1" x14ac:dyDescent="0.2">
      <c r="C71" s="27"/>
      <c r="D71" s="27"/>
      <c r="E71" s="27"/>
      <c r="F71" s="27"/>
      <c r="G71" s="27"/>
      <c r="H71" s="27"/>
      <c r="I71" s="27"/>
      <c r="L71" s="4"/>
      <c r="M71" s="26"/>
      <c r="N71" s="18"/>
      <c r="O71" s="17"/>
      <c r="P71" s="18"/>
      <c r="Q71" s="62"/>
      <c r="R71" s="18"/>
      <c r="S71" s="65"/>
      <c r="T71" s="24"/>
      <c r="U71" s="23"/>
      <c r="V71" s="16"/>
      <c r="W71" s="33"/>
      <c r="X71" s="32"/>
      <c r="Y71" s="32"/>
      <c r="Z71" s="34"/>
      <c r="AA71" s="32"/>
      <c r="AB71" s="18"/>
      <c r="AC71" s="32"/>
      <c r="AD71" s="4"/>
    </row>
    <row r="72" spans="3:30" s="1" customFormat="1" x14ac:dyDescent="0.2">
      <c r="C72" s="27"/>
      <c r="D72" s="27"/>
      <c r="E72" s="27"/>
      <c r="F72" s="27"/>
      <c r="G72" s="27"/>
      <c r="H72" s="27"/>
      <c r="I72" s="27"/>
      <c r="L72" s="4"/>
      <c r="M72" s="26"/>
      <c r="N72" s="18"/>
      <c r="O72" s="17"/>
      <c r="P72" s="18"/>
      <c r="Q72" s="62"/>
      <c r="R72" s="18"/>
      <c r="S72" s="65"/>
      <c r="T72" s="24"/>
      <c r="U72" s="23"/>
      <c r="V72" s="16"/>
      <c r="W72" s="33"/>
      <c r="X72" s="32"/>
      <c r="Y72" s="32"/>
      <c r="Z72" s="34"/>
      <c r="AA72" s="32"/>
      <c r="AB72" s="18"/>
      <c r="AC72" s="32"/>
      <c r="AD72" s="4"/>
    </row>
    <row r="73" spans="3:30" s="1" customFormat="1" x14ac:dyDescent="0.2">
      <c r="C73" s="27"/>
      <c r="D73" s="27"/>
      <c r="E73" s="27"/>
      <c r="F73" s="27"/>
      <c r="G73" s="27"/>
      <c r="H73" s="27"/>
      <c r="I73" s="27"/>
      <c r="L73" s="4"/>
      <c r="M73" s="26"/>
      <c r="N73" s="18"/>
      <c r="O73" s="17"/>
      <c r="P73" s="18"/>
      <c r="Q73" s="62"/>
      <c r="R73" s="18"/>
      <c r="S73" s="65"/>
      <c r="T73" s="24"/>
      <c r="U73" s="23"/>
      <c r="V73" s="16"/>
      <c r="W73" s="33"/>
      <c r="X73" s="32"/>
      <c r="Y73" s="32"/>
      <c r="Z73" s="34"/>
      <c r="AA73" s="32"/>
      <c r="AB73" s="18"/>
      <c r="AC73" s="32"/>
      <c r="AD73" s="4"/>
    </row>
    <row r="74" spans="3:30" s="1" customFormat="1" x14ac:dyDescent="0.2">
      <c r="C74" s="27"/>
      <c r="D74" s="27"/>
      <c r="E74" s="27"/>
      <c r="F74" s="27"/>
      <c r="G74" s="27"/>
      <c r="H74" s="27"/>
      <c r="I74" s="27"/>
      <c r="L74" s="4"/>
      <c r="M74" s="26"/>
      <c r="N74" s="18"/>
      <c r="O74" s="17"/>
      <c r="P74" s="18"/>
      <c r="Q74" s="62"/>
      <c r="R74" s="18"/>
      <c r="S74" s="65"/>
      <c r="T74" s="24"/>
      <c r="U74" s="23"/>
      <c r="V74" s="16"/>
      <c r="W74" s="33"/>
      <c r="X74" s="32"/>
      <c r="Y74" s="32"/>
      <c r="Z74" s="34"/>
      <c r="AA74" s="32"/>
      <c r="AB74" s="18"/>
      <c r="AC74" s="32"/>
      <c r="AD74" s="4"/>
    </row>
    <row r="75" spans="3:30" s="1" customFormat="1" x14ac:dyDescent="0.2">
      <c r="C75" s="27"/>
      <c r="D75" s="27"/>
      <c r="E75" s="27"/>
      <c r="F75" s="27"/>
      <c r="G75" s="27"/>
      <c r="H75" s="27"/>
      <c r="I75" s="27"/>
      <c r="L75" s="4"/>
      <c r="M75" s="26"/>
      <c r="N75" s="18"/>
      <c r="O75" s="17"/>
      <c r="P75" s="18"/>
      <c r="Q75" s="62"/>
      <c r="R75" s="18"/>
      <c r="S75" s="65"/>
      <c r="T75" s="24"/>
      <c r="U75" s="23"/>
      <c r="V75" s="16"/>
      <c r="W75" s="33"/>
      <c r="X75" s="32"/>
      <c r="Y75" s="32"/>
      <c r="Z75" s="34"/>
      <c r="AA75" s="32"/>
      <c r="AB75" s="18"/>
      <c r="AC75" s="32"/>
      <c r="AD75" s="4"/>
    </row>
    <row r="76" spans="3:30" s="1" customFormat="1" x14ac:dyDescent="0.2">
      <c r="C76" s="27"/>
      <c r="D76" s="27"/>
      <c r="E76" s="27"/>
      <c r="F76" s="27"/>
      <c r="G76" s="27"/>
      <c r="H76" s="27"/>
      <c r="I76" s="27"/>
      <c r="L76" s="4"/>
      <c r="M76" s="26"/>
      <c r="N76" s="18"/>
      <c r="O76" s="17"/>
      <c r="P76" s="18"/>
      <c r="Q76" s="62"/>
      <c r="R76" s="18"/>
      <c r="S76" s="65"/>
      <c r="T76" s="24"/>
      <c r="U76" s="23"/>
      <c r="V76" s="16"/>
      <c r="W76" s="33"/>
      <c r="X76" s="32"/>
      <c r="Y76" s="32"/>
      <c r="Z76" s="34"/>
      <c r="AA76" s="32"/>
      <c r="AB76" s="18"/>
      <c r="AC76" s="32"/>
      <c r="AD76" s="4"/>
    </row>
    <row r="77" spans="3:30" s="1" customFormat="1" x14ac:dyDescent="0.2">
      <c r="C77" s="27"/>
      <c r="D77" s="27"/>
      <c r="E77" s="27"/>
      <c r="F77" s="27"/>
      <c r="G77" s="27"/>
      <c r="H77" s="27"/>
      <c r="I77" s="27"/>
      <c r="L77" s="4"/>
      <c r="M77" s="26"/>
      <c r="N77" s="18"/>
      <c r="O77" s="17"/>
      <c r="P77" s="18"/>
      <c r="Q77" s="62"/>
      <c r="R77" s="18"/>
      <c r="S77" s="65"/>
      <c r="T77" s="24"/>
      <c r="U77" s="23"/>
      <c r="V77" s="16"/>
      <c r="W77" s="33"/>
      <c r="X77" s="32"/>
      <c r="Y77" s="32"/>
      <c r="Z77" s="34"/>
      <c r="AA77" s="32"/>
      <c r="AB77" s="18"/>
      <c r="AC77" s="32"/>
      <c r="AD77" s="4"/>
    </row>
    <row r="78" spans="3:30" s="1" customFormat="1" x14ac:dyDescent="0.2">
      <c r="C78" s="27"/>
      <c r="D78" s="27"/>
      <c r="E78" s="27"/>
      <c r="F78" s="27"/>
      <c r="G78" s="27"/>
      <c r="H78" s="27"/>
      <c r="I78" s="27"/>
      <c r="L78" s="4"/>
      <c r="M78" s="26"/>
      <c r="N78" s="18"/>
      <c r="O78" s="17"/>
      <c r="P78" s="18"/>
      <c r="Q78" s="62"/>
      <c r="R78" s="18"/>
      <c r="S78" s="65"/>
      <c r="T78" s="24"/>
      <c r="U78" s="23"/>
      <c r="V78" s="16"/>
      <c r="W78" s="33"/>
      <c r="X78" s="32"/>
      <c r="Y78" s="32"/>
      <c r="Z78" s="34"/>
      <c r="AA78" s="32"/>
      <c r="AB78" s="18"/>
      <c r="AC78" s="32"/>
      <c r="AD78" s="4"/>
    </row>
    <row r="79" spans="3:30" s="1" customFormat="1" x14ac:dyDescent="0.2">
      <c r="C79" s="27"/>
      <c r="D79" s="27"/>
      <c r="E79" s="27"/>
      <c r="F79" s="27"/>
      <c r="G79" s="27"/>
      <c r="H79" s="27"/>
      <c r="I79" s="27"/>
      <c r="L79" s="4"/>
      <c r="M79" s="26"/>
      <c r="N79" s="18"/>
      <c r="O79" s="17"/>
      <c r="P79" s="18"/>
      <c r="Q79" s="62"/>
      <c r="R79" s="18"/>
      <c r="S79" s="65"/>
      <c r="T79" s="24"/>
      <c r="U79" s="23"/>
      <c r="V79" s="16"/>
      <c r="W79" s="33"/>
      <c r="X79" s="32"/>
      <c r="Y79" s="32"/>
      <c r="Z79" s="34"/>
      <c r="AA79" s="32"/>
      <c r="AB79" s="18"/>
      <c r="AC79" s="32"/>
      <c r="AD79" s="4"/>
    </row>
    <row r="80" spans="3:30" s="1" customFormat="1" x14ac:dyDescent="0.2">
      <c r="C80" s="27"/>
      <c r="D80" s="27"/>
      <c r="E80" s="27"/>
      <c r="F80" s="27"/>
      <c r="G80" s="27"/>
      <c r="H80" s="27"/>
      <c r="I80" s="27"/>
      <c r="L80" s="4"/>
      <c r="M80" s="26"/>
      <c r="N80" s="18"/>
      <c r="O80" s="17"/>
      <c r="P80" s="18"/>
      <c r="Q80" s="62"/>
      <c r="R80" s="18"/>
      <c r="S80" s="65"/>
      <c r="T80" s="24"/>
      <c r="U80" s="23"/>
      <c r="V80" s="16"/>
      <c r="W80" s="33"/>
      <c r="X80" s="32"/>
      <c r="Y80" s="32"/>
      <c r="Z80" s="34"/>
      <c r="AA80" s="32"/>
      <c r="AB80" s="18"/>
      <c r="AC80" s="32"/>
      <c r="AD80" s="4"/>
    </row>
    <row r="81" spans="3:30" s="1" customFormat="1" x14ac:dyDescent="0.2">
      <c r="C81" s="27"/>
      <c r="D81" s="27"/>
      <c r="E81" s="27"/>
      <c r="F81" s="27"/>
      <c r="G81" s="27"/>
      <c r="H81" s="27"/>
      <c r="I81" s="27"/>
      <c r="L81" s="4"/>
      <c r="M81" s="26"/>
      <c r="N81" s="18"/>
      <c r="O81" s="17"/>
      <c r="P81" s="18"/>
      <c r="Q81" s="62"/>
      <c r="R81" s="18"/>
      <c r="S81" s="65"/>
      <c r="T81" s="24"/>
      <c r="U81" s="23"/>
      <c r="V81" s="16"/>
      <c r="W81" s="33"/>
      <c r="X81" s="32"/>
      <c r="Y81" s="32"/>
      <c r="Z81" s="34"/>
      <c r="AA81" s="32"/>
      <c r="AB81" s="18"/>
      <c r="AC81" s="32"/>
      <c r="AD81" s="4"/>
    </row>
    <row r="82" spans="3:30" s="1" customFormat="1" x14ac:dyDescent="0.2">
      <c r="C82" s="27"/>
      <c r="D82" s="27"/>
      <c r="E82" s="27"/>
      <c r="F82" s="27"/>
      <c r="G82" s="27"/>
      <c r="H82" s="27"/>
      <c r="I82" s="27"/>
      <c r="L82" s="4"/>
      <c r="M82" s="26"/>
      <c r="N82" s="18"/>
      <c r="O82" s="17"/>
      <c r="P82" s="18"/>
      <c r="Q82" s="62"/>
      <c r="R82" s="18"/>
      <c r="S82" s="65"/>
      <c r="T82" s="24"/>
      <c r="U82" s="23"/>
      <c r="V82" s="16"/>
      <c r="W82" s="33"/>
      <c r="X82" s="32"/>
      <c r="Y82" s="32"/>
      <c r="Z82" s="34"/>
      <c r="AA82" s="32"/>
      <c r="AB82" s="18"/>
      <c r="AC82" s="32"/>
      <c r="AD82" s="4"/>
    </row>
    <row r="83" spans="3:30" s="1" customFormat="1" x14ac:dyDescent="0.2">
      <c r="C83" s="27"/>
      <c r="D83" s="27"/>
      <c r="E83" s="27"/>
      <c r="F83" s="27"/>
      <c r="G83" s="27"/>
      <c r="H83" s="27"/>
      <c r="I83" s="27"/>
      <c r="L83" s="4"/>
      <c r="M83" s="26"/>
      <c r="N83" s="18"/>
      <c r="O83" s="17"/>
      <c r="P83" s="18"/>
      <c r="Q83" s="62"/>
      <c r="R83" s="18"/>
      <c r="S83" s="65"/>
      <c r="T83" s="24"/>
      <c r="U83" s="23"/>
      <c r="V83" s="16"/>
      <c r="W83" s="33"/>
      <c r="X83" s="32"/>
      <c r="Y83" s="32"/>
      <c r="Z83" s="34"/>
      <c r="AA83" s="32"/>
      <c r="AB83" s="18"/>
      <c r="AC83" s="32"/>
      <c r="AD83" s="4"/>
    </row>
    <row r="84" spans="3:30" s="1" customFormat="1" x14ac:dyDescent="0.2">
      <c r="C84" s="27"/>
      <c r="D84" s="27"/>
      <c r="E84" s="27"/>
      <c r="F84" s="27"/>
      <c r="G84" s="27"/>
      <c r="H84" s="27"/>
      <c r="I84" s="27"/>
      <c r="L84" s="4"/>
      <c r="M84" s="26"/>
      <c r="N84" s="18"/>
      <c r="O84" s="17"/>
      <c r="P84" s="18"/>
      <c r="Q84" s="62"/>
      <c r="R84" s="18"/>
      <c r="S84" s="65"/>
      <c r="T84" s="24"/>
      <c r="U84" s="23"/>
      <c r="V84" s="16"/>
      <c r="W84" s="33"/>
      <c r="X84" s="32"/>
      <c r="Y84" s="32"/>
      <c r="Z84" s="34"/>
      <c r="AA84" s="32"/>
      <c r="AB84" s="18"/>
      <c r="AC84" s="32"/>
      <c r="AD84" s="4"/>
    </row>
    <row r="85" spans="3:30" s="1" customFormat="1" x14ac:dyDescent="0.2">
      <c r="C85" s="27"/>
      <c r="D85" s="27"/>
      <c r="E85" s="27"/>
      <c r="F85" s="27"/>
      <c r="G85" s="27"/>
      <c r="H85" s="27"/>
      <c r="I85" s="27"/>
      <c r="L85" s="4"/>
      <c r="M85" s="26"/>
      <c r="N85" s="18"/>
      <c r="O85" s="17"/>
      <c r="P85" s="18"/>
      <c r="Q85" s="62"/>
      <c r="R85" s="18"/>
      <c r="S85" s="65"/>
      <c r="T85" s="24"/>
      <c r="U85" s="23"/>
      <c r="V85" s="16"/>
      <c r="W85" s="33"/>
      <c r="X85" s="32"/>
      <c r="Y85" s="32"/>
      <c r="Z85" s="34"/>
      <c r="AA85" s="32"/>
      <c r="AB85" s="18"/>
      <c r="AC85" s="32"/>
      <c r="AD85" s="4"/>
    </row>
    <row r="86" spans="3:30" s="1" customFormat="1" x14ac:dyDescent="0.2">
      <c r="C86" s="27"/>
      <c r="D86" s="27"/>
      <c r="E86" s="27"/>
      <c r="F86" s="27"/>
      <c r="G86" s="27"/>
      <c r="H86" s="27"/>
      <c r="I86" s="27"/>
      <c r="L86" s="4"/>
      <c r="M86" s="26"/>
      <c r="N86" s="18"/>
      <c r="O86" s="17"/>
      <c r="P86" s="18"/>
      <c r="Q86" s="62"/>
      <c r="R86" s="18"/>
      <c r="S86" s="65"/>
      <c r="T86" s="24"/>
      <c r="U86" s="23"/>
      <c r="V86" s="16"/>
      <c r="W86" s="33"/>
      <c r="X86" s="32"/>
      <c r="Y86" s="32"/>
      <c r="Z86" s="34"/>
      <c r="AA86" s="32"/>
      <c r="AB86" s="18"/>
      <c r="AC86" s="32"/>
      <c r="AD86" s="4"/>
    </row>
    <row r="87" spans="3:30" s="1" customFormat="1" x14ac:dyDescent="0.2">
      <c r="C87" s="27"/>
      <c r="D87" s="27"/>
      <c r="E87" s="27"/>
      <c r="F87" s="27"/>
      <c r="G87" s="27"/>
      <c r="H87" s="27"/>
      <c r="I87" s="27"/>
      <c r="L87" s="4"/>
      <c r="M87" s="26"/>
      <c r="N87" s="18"/>
      <c r="O87" s="17"/>
      <c r="P87" s="18"/>
      <c r="Q87" s="62"/>
      <c r="R87" s="18"/>
      <c r="S87" s="65"/>
      <c r="T87" s="24"/>
      <c r="U87" s="23"/>
      <c r="V87" s="16"/>
      <c r="W87" s="33"/>
      <c r="X87" s="32"/>
      <c r="Y87" s="32"/>
      <c r="Z87" s="34"/>
      <c r="AA87" s="32"/>
      <c r="AB87" s="18"/>
      <c r="AC87" s="32"/>
      <c r="AD87" s="4"/>
    </row>
    <row r="88" spans="3:30" s="1" customFormat="1" x14ac:dyDescent="0.2">
      <c r="C88" s="27"/>
      <c r="D88" s="27"/>
      <c r="E88" s="27"/>
      <c r="F88" s="27"/>
      <c r="G88" s="27"/>
      <c r="H88" s="27"/>
      <c r="I88" s="27"/>
      <c r="L88" s="4"/>
      <c r="M88" s="26"/>
      <c r="N88" s="18"/>
      <c r="O88" s="17"/>
      <c r="P88" s="18"/>
      <c r="Q88" s="62"/>
      <c r="R88" s="18"/>
      <c r="S88" s="65"/>
      <c r="T88" s="24"/>
      <c r="U88" s="23"/>
      <c r="V88" s="16"/>
      <c r="W88" s="33"/>
      <c r="X88" s="32"/>
      <c r="Y88" s="32"/>
      <c r="Z88" s="34"/>
      <c r="AA88" s="32"/>
      <c r="AB88" s="18"/>
      <c r="AC88" s="32"/>
      <c r="AD88" s="4"/>
    </row>
    <row r="89" spans="3:30" s="1" customFormat="1" x14ac:dyDescent="0.2">
      <c r="C89" s="27"/>
      <c r="D89" s="27"/>
      <c r="E89" s="27"/>
      <c r="F89" s="27"/>
      <c r="G89" s="27"/>
      <c r="H89" s="27"/>
      <c r="I89" s="27"/>
      <c r="L89" s="4"/>
      <c r="M89" s="26"/>
      <c r="N89" s="18"/>
      <c r="O89" s="17"/>
      <c r="P89" s="18"/>
      <c r="Q89" s="62"/>
      <c r="R89" s="18"/>
      <c r="S89" s="65"/>
      <c r="T89" s="24"/>
      <c r="U89" s="23"/>
      <c r="V89" s="16"/>
      <c r="W89" s="33"/>
      <c r="X89" s="32"/>
      <c r="Y89" s="32"/>
      <c r="Z89" s="34"/>
      <c r="AA89" s="32"/>
      <c r="AB89" s="18"/>
      <c r="AC89" s="32"/>
      <c r="AD89" s="4"/>
    </row>
    <row r="90" spans="3:30" s="1" customFormat="1" x14ac:dyDescent="0.2">
      <c r="C90" s="27"/>
      <c r="D90" s="27"/>
      <c r="E90" s="27"/>
      <c r="F90" s="27"/>
      <c r="G90" s="27"/>
      <c r="H90" s="27"/>
      <c r="I90" s="27"/>
      <c r="L90" s="4"/>
      <c r="M90" s="26"/>
      <c r="N90" s="18"/>
      <c r="O90" s="17"/>
      <c r="P90" s="18"/>
      <c r="Q90" s="62"/>
      <c r="R90" s="18"/>
      <c r="S90" s="65"/>
      <c r="T90" s="24"/>
      <c r="U90" s="23"/>
      <c r="V90" s="16"/>
      <c r="W90" s="33"/>
      <c r="X90" s="32"/>
      <c r="Y90" s="32"/>
      <c r="Z90" s="34"/>
      <c r="AA90" s="32"/>
      <c r="AB90" s="18"/>
      <c r="AC90" s="32"/>
      <c r="AD90" s="4"/>
    </row>
    <row r="91" spans="3:30" s="1" customFormat="1" x14ac:dyDescent="0.2">
      <c r="C91" s="27"/>
      <c r="D91" s="27"/>
      <c r="E91" s="27"/>
      <c r="F91" s="27"/>
      <c r="G91" s="27"/>
      <c r="H91" s="27"/>
      <c r="I91" s="27"/>
      <c r="L91" s="4"/>
      <c r="M91" s="26"/>
      <c r="N91" s="18"/>
      <c r="O91" s="17"/>
      <c r="P91" s="18"/>
      <c r="Q91" s="62"/>
      <c r="R91" s="18"/>
      <c r="S91" s="65"/>
      <c r="T91" s="24"/>
      <c r="U91" s="23"/>
      <c r="V91" s="16"/>
      <c r="W91" s="33"/>
      <c r="X91" s="32"/>
      <c r="Y91" s="32"/>
      <c r="Z91" s="34"/>
      <c r="AA91" s="32"/>
      <c r="AB91" s="18"/>
      <c r="AC91" s="32"/>
      <c r="AD91" s="4"/>
    </row>
    <row r="92" spans="3:30" s="1" customFormat="1" x14ac:dyDescent="0.2">
      <c r="C92" s="27"/>
      <c r="D92" s="27"/>
      <c r="E92" s="27"/>
      <c r="F92" s="27"/>
      <c r="G92" s="27"/>
      <c r="H92" s="27"/>
      <c r="I92" s="27"/>
      <c r="L92" s="4"/>
      <c r="M92" s="26"/>
      <c r="N92" s="18"/>
      <c r="O92" s="17"/>
      <c r="P92" s="18"/>
      <c r="Q92" s="62"/>
      <c r="R92" s="18"/>
      <c r="S92" s="65"/>
      <c r="T92" s="24"/>
      <c r="U92" s="23"/>
      <c r="V92" s="16"/>
      <c r="W92" s="33"/>
      <c r="X92" s="32"/>
      <c r="Y92" s="32"/>
      <c r="Z92" s="34"/>
      <c r="AA92" s="32"/>
      <c r="AB92" s="18"/>
      <c r="AC92" s="32"/>
      <c r="AD92" s="4"/>
    </row>
    <row r="93" spans="3:30" s="1" customFormat="1" x14ac:dyDescent="0.2">
      <c r="C93" s="27"/>
      <c r="D93" s="27"/>
      <c r="E93" s="27"/>
      <c r="F93" s="27"/>
      <c r="G93" s="27"/>
      <c r="H93" s="27"/>
      <c r="I93" s="27"/>
      <c r="L93" s="4"/>
      <c r="M93" s="26"/>
      <c r="N93" s="18"/>
      <c r="O93" s="17"/>
      <c r="P93" s="18"/>
      <c r="Q93" s="62"/>
      <c r="R93" s="18"/>
      <c r="S93" s="65"/>
      <c r="T93" s="24"/>
      <c r="U93" s="23"/>
      <c r="V93" s="16"/>
      <c r="W93" s="33"/>
      <c r="X93" s="32"/>
      <c r="Y93" s="32"/>
      <c r="Z93" s="34"/>
      <c r="AA93" s="32"/>
      <c r="AB93" s="18"/>
      <c r="AC93" s="32"/>
      <c r="AD93" s="4"/>
    </row>
    <row r="94" spans="3:30" s="1" customFormat="1" x14ac:dyDescent="0.2">
      <c r="C94" s="27"/>
      <c r="D94" s="27"/>
      <c r="E94" s="27"/>
      <c r="F94" s="27"/>
      <c r="G94" s="27"/>
      <c r="H94" s="27"/>
      <c r="I94" s="27"/>
      <c r="L94" s="4"/>
      <c r="M94" s="26"/>
      <c r="N94" s="18"/>
      <c r="O94" s="17"/>
      <c r="P94" s="18"/>
      <c r="Q94" s="62"/>
      <c r="R94" s="18"/>
      <c r="S94" s="65"/>
      <c r="T94" s="24"/>
      <c r="U94" s="23"/>
      <c r="V94" s="16"/>
      <c r="W94" s="33"/>
      <c r="X94" s="32"/>
      <c r="Y94" s="32"/>
      <c r="Z94" s="34"/>
      <c r="AA94" s="32"/>
      <c r="AB94" s="18"/>
      <c r="AC94" s="32"/>
      <c r="AD94" s="4"/>
    </row>
    <row r="95" spans="3:30" s="1" customFormat="1" x14ac:dyDescent="0.2">
      <c r="C95" s="27"/>
      <c r="D95" s="27"/>
      <c r="E95" s="27"/>
      <c r="F95" s="27"/>
      <c r="G95" s="27"/>
      <c r="H95" s="27"/>
      <c r="I95" s="27"/>
      <c r="L95" s="4"/>
      <c r="M95" s="26"/>
      <c r="N95" s="18"/>
      <c r="O95" s="17"/>
      <c r="P95" s="18"/>
      <c r="Q95" s="62"/>
      <c r="R95" s="18"/>
      <c r="S95" s="65"/>
      <c r="T95" s="24"/>
      <c r="U95" s="23"/>
      <c r="V95" s="16"/>
      <c r="W95" s="33"/>
      <c r="X95" s="32"/>
      <c r="Y95" s="32"/>
      <c r="Z95" s="34"/>
      <c r="AA95" s="32"/>
      <c r="AB95" s="18"/>
      <c r="AC95" s="32"/>
      <c r="AD95" s="4"/>
    </row>
    <row r="96" spans="3:30" s="1" customFormat="1" x14ac:dyDescent="0.2">
      <c r="C96" s="27"/>
      <c r="D96" s="27"/>
      <c r="E96" s="27"/>
      <c r="F96" s="27"/>
      <c r="G96" s="27"/>
      <c r="H96" s="27"/>
      <c r="I96" s="27"/>
      <c r="L96" s="4"/>
      <c r="M96" s="26"/>
      <c r="N96" s="18"/>
      <c r="O96" s="17"/>
      <c r="P96" s="18"/>
      <c r="Q96" s="62"/>
      <c r="R96" s="18"/>
      <c r="S96" s="65"/>
      <c r="T96" s="24"/>
      <c r="U96" s="23"/>
      <c r="V96" s="16"/>
      <c r="W96" s="33"/>
      <c r="X96" s="32"/>
      <c r="Y96" s="32"/>
      <c r="Z96" s="34"/>
      <c r="AA96" s="32"/>
      <c r="AB96" s="18"/>
      <c r="AC96" s="32"/>
      <c r="AD96" s="4"/>
    </row>
    <row r="97" spans="3:31" s="1" customFormat="1" x14ac:dyDescent="0.2">
      <c r="C97" s="27"/>
      <c r="D97" s="27"/>
      <c r="E97" s="27"/>
      <c r="F97" s="27"/>
      <c r="G97" s="27"/>
      <c r="H97" s="27"/>
      <c r="I97" s="27"/>
      <c r="L97" s="4"/>
      <c r="M97" s="26"/>
      <c r="N97" s="18"/>
      <c r="O97" s="17"/>
      <c r="P97" s="18"/>
      <c r="Q97" s="62"/>
      <c r="R97" s="18"/>
      <c r="S97" s="65"/>
      <c r="T97" s="24"/>
      <c r="U97" s="23"/>
      <c r="V97" s="16"/>
      <c r="W97" s="33"/>
      <c r="X97" s="32"/>
      <c r="Y97" s="32"/>
      <c r="Z97" s="34"/>
      <c r="AA97" s="32"/>
      <c r="AB97" s="18"/>
      <c r="AC97" s="32"/>
      <c r="AD97" s="4"/>
    </row>
    <row r="98" spans="3:31" s="1" customFormat="1" x14ac:dyDescent="0.2">
      <c r="C98" s="27"/>
      <c r="D98" s="27"/>
      <c r="E98" s="27"/>
      <c r="F98" s="27"/>
      <c r="G98" s="27"/>
      <c r="H98" s="27"/>
      <c r="I98" s="27"/>
      <c r="L98" s="4"/>
      <c r="M98" s="26"/>
      <c r="N98" s="18"/>
      <c r="O98" s="17"/>
      <c r="P98" s="18"/>
      <c r="Q98" s="62"/>
      <c r="R98" s="18"/>
      <c r="S98" s="65"/>
      <c r="T98" s="24"/>
      <c r="U98" s="23"/>
      <c r="V98" s="16"/>
      <c r="W98" s="33"/>
      <c r="X98" s="32"/>
      <c r="Y98" s="32"/>
      <c r="Z98" s="34"/>
      <c r="AA98" s="32"/>
      <c r="AB98" s="18"/>
      <c r="AC98" s="32"/>
      <c r="AD98" s="4"/>
    </row>
    <row r="99" spans="3:31" s="1" customFormat="1" x14ac:dyDescent="0.2">
      <c r="C99" s="27"/>
      <c r="D99" s="27"/>
      <c r="E99" s="27"/>
      <c r="F99" s="27"/>
      <c r="G99" s="27"/>
      <c r="H99" s="27"/>
      <c r="I99" s="27"/>
      <c r="L99" s="4"/>
      <c r="M99" s="26"/>
      <c r="N99" s="18"/>
      <c r="O99" s="17"/>
      <c r="P99" s="18"/>
      <c r="Q99" s="62"/>
      <c r="R99" s="18"/>
      <c r="S99" s="65"/>
      <c r="T99" s="24"/>
      <c r="U99" s="23"/>
      <c r="V99" s="16"/>
      <c r="W99" s="33"/>
      <c r="X99" s="32"/>
      <c r="Y99" s="32"/>
      <c r="Z99" s="34"/>
      <c r="AA99" s="32"/>
      <c r="AB99" s="18"/>
      <c r="AC99" s="32"/>
      <c r="AD99" s="4"/>
    </row>
    <row r="100" spans="3:31" s="1" customFormat="1" x14ac:dyDescent="0.2">
      <c r="C100" s="27"/>
      <c r="D100" s="27"/>
      <c r="E100" s="27"/>
      <c r="F100" s="27"/>
      <c r="G100" s="27"/>
      <c r="H100" s="27"/>
      <c r="I100" s="27"/>
      <c r="L100" s="4"/>
      <c r="M100" s="26"/>
      <c r="N100" s="18"/>
      <c r="O100" s="17"/>
      <c r="P100" s="18"/>
      <c r="Q100" s="62"/>
      <c r="R100" s="18"/>
      <c r="S100" s="65"/>
      <c r="T100" s="24"/>
      <c r="U100" s="23"/>
      <c r="V100" s="16"/>
      <c r="W100" s="33"/>
      <c r="X100" s="32"/>
      <c r="Y100" s="32"/>
      <c r="Z100" s="34"/>
      <c r="AA100" s="32"/>
      <c r="AB100" s="18"/>
      <c r="AC100" s="32"/>
      <c r="AD100" s="4"/>
    </row>
    <row r="101" spans="3:31" s="1" customFormat="1" ht="9" customHeight="1" x14ac:dyDescent="0.2">
      <c r="C101" s="27"/>
      <c r="D101" s="27"/>
      <c r="E101" s="27"/>
      <c r="F101" s="27"/>
      <c r="G101" s="27"/>
      <c r="H101" s="27"/>
      <c r="I101" s="27"/>
      <c r="L101" s="4"/>
      <c r="M101" s="6"/>
      <c r="N101" s="6"/>
      <c r="O101" s="30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3:31" s="1" customFormat="1" x14ac:dyDescent="0.2">
      <c r="C102" s="27"/>
      <c r="D102" s="27"/>
      <c r="E102" s="27"/>
      <c r="F102" s="27"/>
      <c r="G102" s="27"/>
      <c r="H102" s="27"/>
      <c r="I102" s="27"/>
      <c r="M102" s="27"/>
      <c r="N102" s="27"/>
      <c r="O102" s="28"/>
      <c r="P102" s="27"/>
      <c r="R102" s="27"/>
      <c r="T102" s="27"/>
      <c r="U102" s="27"/>
      <c r="V102" s="29"/>
      <c r="W102" s="29"/>
      <c r="X102" s="29"/>
      <c r="Y102" s="29"/>
      <c r="Z102" s="29"/>
      <c r="AA102" s="29"/>
      <c r="AB102" s="27"/>
      <c r="AC102" s="27"/>
      <c r="AD102" s="27"/>
      <c r="AE102" s="27"/>
    </row>
  </sheetData>
  <mergeCells count="13">
    <mergeCell ref="M6:M7"/>
    <mergeCell ref="N6:N7"/>
    <mergeCell ref="O6:O7"/>
    <mergeCell ref="P6:P7"/>
    <mergeCell ref="Q6:Q7"/>
    <mergeCell ref="AB6:AC6"/>
    <mergeCell ref="N1:Z1"/>
    <mergeCell ref="R6:R7"/>
    <mergeCell ref="V6:V7"/>
    <mergeCell ref="W6:W7"/>
    <mergeCell ref="S6:U6"/>
    <mergeCell ref="X6:Y6"/>
    <mergeCell ref="Z6:AA6"/>
  </mergeCells>
  <phoneticPr fontId="3" type="noConversion"/>
  <conditionalFormatting sqref="Y8:Y10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{36EBFA13-223C-40B4-83CD-38554DFE1A9B}</x14:id>
        </ext>
      </extLst>
    </cfRule>
  </conditionalFormatting>
  <conditionalFormatting sqref="AA8:AA1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{DFCBA6C0-FD99-4277-957D-8E71A8224665}</x14:id>
        </ext>
      </extLst>
    </cfRule>
  </conditionalFormatting>
  <conditionalFormatting sqref="AC8:AC1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{98EA7AC7-9170-4FB6-B7BB-4F65D1371B21}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EBFA13-223C-40B4-83CD-38554DFE1A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Y8:Y100</xm:sqref>
        </x14:conditionalFormatting>
        <x14:conditionalFormatting xmlns:xm="http://schemas.microsoft.com/office/excel/2006/main">
          <x14:cfRule type="dataBar" id="{DFCBA6C0-FD99-4277-957D-8E71A8224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AA8:AA100</xm:sqref>
        </x14:conditionalFormatting>
        <x14:conditionalFormatting xmlns:xm="http://schemas.microsoft.com/office/excel/2006/main">
          <x14:cfRule type="dataBar" id="{98EA7AC7-9170-4FB6-B7BB-4F65D1371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AC8:AC100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63636D"/>
    <pageSetUpPr autoPageBreaks="0"/>
  </sheetPr>
  <dimension ref="A1:BD102"/>
  <sheetViews>
    <sheetView showGridLines="0" workbookViewId="0">
      <selection activeCell="I28" sqref="I28"/>
    </sheetView>
  </sheetViews>
  <sheetFormatPr defaultRowHeight="14.25" x14ac:dyDescent="0.2"/>
  <cols>
    <col min="1" max="1" width="1.625" customWidth="1"/>
    <col min="2" max="2" width="1.5" customWidth="1"/>
    <col min="3" max="3" width="10.625" customWidth="1"/>
    <col min="4" max="4" width="9.625" customWidth="1"/>
    <col min="5" max="5" width="11.625" customWidth="1"/>
    <col min="6" max="8" width="15.875" customWidth="1"/>
    <col min="9" max="9" width="13.5" customWidth="1"/>
    <col min="10" max="11" width="11.125" customWidth="1"/>
    <col min="12" max="12" width="18.125" customWidth="1"/>
    <col min="13" max="15" width="10.375" customWidth="1"/>
    <col min="16" max="17" width="12.25" customWidth="1"/>
    <col min="18" max="18" width="18" bestFit="1" customWidth="1"/>
    <col min="19" max="21" width="12.375" customWidth="1"/>
    <col min="22" max="23" width="16.25" customWidth="1"/>
    <col min="24" max="24" width="1.5" customWidth="1"/>
  </cols>
  <sheetData>
    <row r="1" spans="1:56" s="3" customFormat="1" ht="27.75" x14ac:dyDescent="0.3">
      <c r="A1" s="2"/>
      <c r="B1" s="2"/>
      <c r="D1" s="70" t="s">
        <v>58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s="1" customFormat="1" ht="9" customHeight="1" x14ac:dyDescent="0.2"/>
    <row r="3" spans="1:56" s="1" customFormat="1" ht="9" customHeight="1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56" s="1" customFormat="1" ht="17.25" x14ac:dyDescent="0.2">
      <c r="B4" s="4"/>
      <c r="C4" s="5" t="s">
        <v>23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/>
    </row>
    <row r="5" spans="1:56" s="1" customFormat="1" ht="9" customHeight="1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56" s="1" customFormat="1" ht="16.5" x14ac:dyDescent="0.35">
      <c r="B6" s="4"/>
      <c r="C6" s="76" t="s">
        <v>0</v>
      </c>
      <c r="D6" s="71" t="s">
        <v>1</v>
      </c>
      <c r="E6" s="71" t="s">
        <v>26</v>
      </c>
      <c r="F6" s="68" t="s">
        <v>53</v>
      </c>
      <c r="G6" s="83"/>
      <c r="H6" s="83"/>
      <c r="I6" s="69"/>
      <c r="J6" s="78" t="s">
        <v>27</v>
      </c>
      <c r="K6" s="79"/>
      <c r="L6" s="79"/>
      <c r="M6" s="79"/>
      <c r="N6" s="79"/>
      <c r="O6" s="80"/>
      <c r="P6" s="78" t="s">
        <v>30</v>
      </c>
      <c r="Q6" s="79"/>
      <c r="R6" s="79"/>
      <c r="S6" s="79"/>
      <c r="T6" s="79"/>
      <c r="U6" s="80"/>
      <c r="V6" s="81" t="s">
        <v>51</v>
      </c>
      <c r="W6" s="82"/>
      <c r="X6" s="4"/>
    </row>
    <row r="7" spans="1:56" s="1" customFormat="1" ht="16.5" x14ac:dyDescent="0.35">
      <c r="B7" s="4"/>
      <c r="C7" s="77"/>
      <c r="D7" s="72"/>
      <c r="E7" s="72"/>
      <c r="F7" s="36" t="str">
        <f ca="1">基本资料!$G$9&amp;"年总市值"</f>
        <v>2024年总市值</v>
      </c>
      <c r="G7" s="37" t="str">
        <f ca="1">基本资料!$G$8&amp;"年总市值"</f>
        <v>2025年总市值</v>
      </c>
      <c r="H7" s="37" t="s">
        <v>24</v>
      </c>
      <c r="I7" s="39" t="s">
        <v>25</v>
      </c>
      <c r="J7" s="44" t="str">
        <f ca="1">基本资料!$G$9&amp;"年PE"</f>
        <v>2024年PE</v>
      </c>
      <c r="K7" s="20" t="str">
        <f ca="1">基本资料!$G$8&amp;"年PE"</f>
        <v>2025年PE</v>
      </c>
      <c r="L7" s="20" t="s">
        <v>31</v>
      </c>
      <c r="M7" s="20" t="s">
        <v>28</v>
      </c>
      <c r="N7" s="45" t="s">
        <v>29</v>
      </c>
      <c r="O7" s="60" t="s">
        <v>56</v>
      </c>
      <c r="P7" s="44" t="str">
        <f ca="1">基本资料!$G$9&amp;"年PB"</f>
        <v>2024年PB</v>
      </c>
      <c r="Q7" s="20" t="str">
        <f ca="1">基本资料!$G$8&amp;"年PB"</f>
        <v>2025年PB</v>
      </c>
      <c r="R7" s="20" t="s">
        <v>34</v>
      </c>
      <c r="S7" s="20" t="s">
        <v>32</v>
      </c>
      <c r="T7" s="45" t="s">
        <v>33</v>
      </c>
      <c r="U7" s="60" t="s">
        <v>57</v>
      </c>
      <c r="V7" s="20" t="s">
        <v>55</v>
      </c>
      <c r="W7" s="45" t="s">
        <v>57</v>
      </c>
      <c r="X7" s="4"/>
    </row>
    <row r="8" spans="1:56" s="1" customFormat="1" ht="16.5" x14ac:dyDescent="0.2">
      <c r="B8" s="4"/>
      <c r="C8" s="25" t="s">
        <v>64</v>
      </c>
      <c r="D8" s="18" t="str">
        <f>[1]!hks_info_name(C8)</f>
        <v>红利指数</v>
      </c>
      <c r="E8" s="61" t="str">
        <f ca="1">[1]!lastradeday_s(C8,TODAY())</f>
        <v>2026-03-20</v>
      </c>
      <c r="F8" s="58">
        <f ca="1">[1]!s_val_mv_ard(C8,基本资料!$I$9,100000000)</f>
        <v>138125.87725647999</v>
      </c>
      <c r="G8" s="21">
        <f ca="1">[1]!s_val_mv_ard(C8,基本资料!$I$8,100000000)</f>
        <v>188801.30313777999</v>
      </c>
      <c r="H8" s="41">
        <f ca="1">[1]!s_val_mv_ard(C8,E8,100000000)</f>
        <v>196321.38318539999</v>
      </c>
      <c r="I8" s="40"/>
      <c r="J8" s="59">
        <f ca="1">[1]!s_val_pe_ttm(C8,基本资料!$I$9)</f>
        <v>7.2975001335144043</v>
      </c>
      <c r="K8" s="41">
        <f ca="1">[1]!s_val_pe_ttm(C8,基本资料!$I$8)</f>
        <v>8.5931997299194336</v>
      </c>
      <c r="L8" s="21">
        <f ca="1">[1]!s_val_pe_ttm(C8,E8)</f>
        <v>8.9703998565673828</v>
      </c>
      <c r="M8" s="21">
        <f ca="1">[1]!s_val_estpe(C8,E8,基本资料!$G$7)</f>
        <v>8.7013999999999996</v>
      </c>
      <c r="N8" s="43">
        <f ca="1">[1]!s_val_estpe(C8,E8,基本资料!$G$11)</f>
        <v>8.3485999999999994</v>
      </c>
      <c r="O8" s="16">
        <f ca="1">[1]!i_val_pe_percentile(C8,E8,基本资料!$D$9,E8)</f>
        <v>99.791666666666671</v>
      </c>
      <c r="P8" s="42">
        <f ca="1">[1]!s_val_pb_lf(C8,基本资料!$I$9)</f>
        <v>0.75120002031326294</v>
      </c>
      <c r="Q8" s="21">
        <f ca="1">[1]!s_val_pb_lf(C8,基本资料!$I$8)</f>
        <v>0.85449999570846558</v>
      </c>
      <c r="R8" s="21">
        <f ca="1" xml:space="preserve">  [1]!i_val_pb_mrqwgt(C8,E8)</f>
        <v>1.393</v>
      </c>
      <c r="S8" s="21">
        <f ca="1">[1]!s_val_estpb(C8,E8,基本资料!$G$7)</f>
        <v>0.80969999999999998</v>
      </c>
      <c r="T8" s="43">
        <f ca="1">[1]!s_val_estpb(C8,E8,基本资料!$G$11)</f>
        <v>0.75770000000000004</v>
      </c>
      <c r="U8" s="16">
        <f ca="1">[1]!i_val_pb_percentile(C8,E8,基本资料!$D$9,E8)</f>
        <v>99.6875</v>
      </c>
      <c r="V8" s="31">
        <f ca="1">[1]!s_val_dividendyield2(C8,E8)</f>
        <v>4.4170999999999996</v>
      </c>
      <c r="W8" s="31">
        <f ca="1">[1]!i_val_dividend_percentile(C8,E8,基本资料!$D$9,E8)</f>
        <v>16.25</v>
      </c>
      <c r="X8" s="4"/>
    </row>
    <row r="9" spans="1:56" s="1" customFormat="1" ht="16.5" x14ac:dyDescent="0.2">
      <c r="B9" s="4"/>
      <c r="C9" s="26" t="s">
        <v>65</v>
      </c>
      <c r="D9" s="18" t="str">
        <f>[1]!hks_info_name(C9)</f>
        <v>上证能源</v>
      </c>
      <c r="E9" s="61" t="str">
        <f ca="1">[1]!lastradeday_s(C9,TODAY())</f>
        <v>2026-03-20</v>
      </c>
      <c r="F9" s="58">
        <f ca="1">[1]!s_val_mv_ard(C9,基本资料!$I$9,100000000)</f>
        <v>58766.288866039999</v>
      </c>
      <c r="G9" s="21">
        <f ca="1">[1]!s_val_mv_ard(C9,基本资料!$I$8,100000000)</f>
        <v>59184.089586620001</v>
      </c>
      <c r="H9" s="41">
        <f ca="1">[1]!s_val_mv_ard(C9,E9,100000000)</f>
        <v>74190.677877299997</v>
      </c>
      <c r="I9" s="40"/>
      <c r="J9" s="59">
        <f ca="1">[1]!s_val_pe_ttm(C9,基本资料!$I$9)</f>
        <v>11.472900390625</v>
      </c>
      <c r="K9" s="41">
        <f ca="1">[1]!s_val_pe_ttm(C9,基本资料!$I$8)</f>
        <v>13.395500183105469</v>
      </c>
      <c r="L9" s="21">
        <f ca="1">[1]!s_val_pe_ttm(C9,E9)</f>
        <v>16.938100814819336</v>
      </c>
      <c r="M9" s="21">
        <f ca="1">[1]!s_val_estpe(C9,E9,基本资料!$G$7)</f>
        <v>15.2622</v>
      </c>
      <c r="N9" s="43">
        <f ca="1">[1]!s_val_estpe(C9,E9,基本资料!$G$11)</f>
        <v>14.327500000000001</v>
      </c>
      <c r="O9" s="16">
        <f ca="1">[1]!i_val_pe_percentile(C9,E9,基本资料!$D$9,E9)</f>
        <v>98.958333333333343</v>
      </c>
      <c r="P9" s="42">
        <f ca="1">[1]!s_val_pb_lf(C9,基本资料!$I$9)</f>
        <v>1.3917000293731689</v>
      </c>
      <c r="Q9" s="21">
        <f ca="1">[1]!s_val_pb_lf(C9,基本资料!$I$8)</f>
        <v>1.3741999864578247</v>
      </c>
      <c r="R9" s="21">
        <f ca="1" xml:space="preserve">  [1]!i_val_pb_mrqwgt(C9,E9)</f>
        <v>2.0958999999999999</v>
      </c>
      <c r="S9" s="21">
        <f ca="1">[1]!s_val_estpb(C9,E9,基本资料!$G$7)</f>
        <v>1.5750999999999999</v>
      </c>
      <c r="T9" s="43">
        <f ca="1">[1]!s_val_estpb(C9,E9,基本资料!$G$11)</f>
        <v>1.4977</v>
      </c>
      <c r="U9" s="16">
        <f ca="1">[1]!i_val_pb_percentile(C9,E9,基本资料!$D$9,E9)</f>
        <v>98.541666666666671</v>
      </c>
      <c r="V9" s="31">
        <f ca="1">[1]!s_val_dividendyield2(C9,E9)</f>
        <v>4.0548000000000002</v>
      </c>
      <c r="W9" s="31">
        <f ca="1">[1]!i_val_dividend_percentile(C9,E9,基本资料!$D$9,E9)</f>
        <v>1.25</v>
      </c>
      <c r="X9" s="4"/>
    </row>
    <row r="10" spans="1:56" s="1" customFormat="1" ht="16.5" x14ac:dyDescent="0.2">
      <c r="B10" s="4"/>
      <c r="C10" s="25" t="s">
        <v>42</v>
      </c>
      <c r="D10" s="18" t="str">
        <f>[1]!hks_info_name(C10)</f>
        <v>上证50</v>
      </c>
      <c r="E10" s="61" t="str">
        <f ca="1">[1]!lastradeday_s(C10,TODAY())</f>
        <v>2026-03-20</v>
      </c>
      <c r="F10" s="58">
        <f ca="1">[1]!s_val_mv_ard(C10,基本资料!$I$9,100000000)</f>
        <v>276381.37730805</v>
      </c>
      <c r="G10" s="21">
        <f ca="1">[1]!s_val_mv_ard(C10,基本资料!$I$8,100000000)</f>
        <v>291652.16444526002</v>
      </c>
      <c r="H10" s="41">
        <f ca="1">[1]!s_val_mv_ard(C10,E10,100000000)</f>
        <v>281314.79436339001</v>
      </c>
      <c r="I10" s="40"/>
      <c r="J10" s="59">
        <f ca="1">[1]!s_val_pe_ttm(C10,基本资料!$I$9)</f>
        <v>11.202300071716309</v>
      </c>
      <c r="K10" s="41">
        <f ca="1">[1]!s_val_pe_ttm(C10,基本资料!$I$8)</f>
        <v>11.847299575805664</v>
      </c>
      <c r="L10" s="21">
        <f ca="1">[1]!s_val_pe_ttm(C10,E10)</f>
        <v>11.440299987792969</v>
      </c>
      <c r="M10" s="21">
        <f ca="1">[1]!s_val_estpe(C10,E10,基本资料!$G$7)</f>
        <v>10.7037</v>
      </c>
      <c r="N10" s="43">
        <f ca="1">[1]!s_val_estpe(C10,E10,基本资料!$G$11)</f>
        <v>10.002000000000001</v>
      </c>
      <c r="O10" s="16">
        <f ca="1">[1]!i_val_pe_percentile(C10,E10,基本资料!$D$9,E10)</f>
        <v>68.125</v>
      </c>
      <c r="P10" s="42">
        <f ca="1">[1]!s_val_pb_lf(C10,基本资料!$I$9)</f>
        <v>1.2542999982833862</v>
      </c>
      <c r="Q10" s="21">
        <f ca="1">[1]!s_val_pb_lf(C10,基本资料!$I$8)</f>
        <v>1.2998000383377075</v>
      </c>
      <c r="R10" s="21">
        <f ca="1" xml:space="preserve">  [1]!i_val_pb_mrqwgt(C10,E10)</f>
        <v>4.5918000000000001</v>
      </c>
      <c r="S10" s="21">
        <f ca="1">[1]!s_val_estpb(C10,E10,基本资料!$G$7)</f>
        <v>1.1363000000000001</v>
      </c>
      <c r="T10" s="43">
        <f ca="1">[1]!s_val_estpb(C10,E10,基本资料!$G$11)</f>
        <v>1.0557000000000001</v>
      </c>
      <c r="U10" s="16">
        <f ca="1">[1]!i_val_pb_percentile(C10,E10,基本资料!$D$9,E10)</f>
        <v>65.208333333333329</v>
      </c>
      <c r="V10" s="31">
        <f ca="1">[1]!s_val_dividendyield2(C10,E10)</f>
        <v>3.3845999999999998</v>
      </c>
      <c r="W10" s="31">
        <f ca="1">[1]!i_val_dividend_percentile(C10,E10,基本资料!$D$9,E10)</f>
        <v>24.583333333333332</v>
      </c>
      <c r="X10" s="4"/>
    </row>
    <row r="11" spans="1:56" s="1" customFormat="1" ht="16.5" x14ac:dyDescent="0.2">
      <c r="B11" s="4"/>
      <c r="C11" s="25" t="s">
        <v>43</v>
      </c>
      <c r="D11" s="18" t="str">
        <f>[1]!hks_info_name(C11)</f>
        <v>沪深300</v>
      </c>
      <c r="E11" s="61" t="str">
        <f ca="1">[1]!lastradeday_s(C11,TODAY())</f>
        <v>2026-03-20</v>
      </c>
      <c r="F11" s="58">
        <f ca="1">[1]!s_val_mv_ard(C11,基本资料!$I$9,100000000)</f>
        <v>578297.44942686008</v>
      </c>
      <c r="G11" s="21">
        <f ca="1">[1]!s_val_mv_ard(C11,基本资料!$I$8,100000000)</f>
        <v>676462.82066524995</v>
      </c>
      <c r="H11" s="41">
        <f ca="1">[1]!s_val_mv_ard(C11,E11,100000000)</f>
        <v>671087.89068002999</v>
      </c>
      <c r="I11" s="40"/>
      <c r="J11" s="59">
        <f ca="1">[1]!s_val_pe_ttm(C11,基本资料!$I$9)</f>
        <v>12.929400444030762</v>
      </c>
      <c r="K11" s="41">
        <f ca="1">[1]!s_val_pe_ttm(C11,基本资料!$I$8)</f>
        <v>14.17240047454834</v>
      </c>
      <c r="L11" s="21">
        <f ca="1">[1]!s_val_pe_ttm(C11,E11)</f>
        <v>14.02400016784668</v>
      </c>
      <c r="M11" s="21">
        <f ca="1">[1]!s_val_estpe(C11,E11,基本资料!$G$7)</f>
        <v>12.3908</v>
      </c>
      <c r="N11" s="43">
        <f ca="1">[1]!s_val_estpe(C11,E11,基本资料!$G$11)</f>
        <v>11.2784</v>
      </c>
      <c r="O11" s="16">
        <f ca="1">[1]!i_val_pe_percentile(C11,E11,基本资料!$D$9,E11)</f>
        <v>78.541666666666671</v>
      </c>
      <c r="P11" s="42">
        <f ca="1">[1]!s_val_pb_lf(C11,基本资料!$I$9)</f>
        <v>1.3803999423980713</v>
      </c>
      <c r="Q11" s="21">
        <f ca="1">[1]!s_val_pb_lf(C11,基本资料!$I$8)</f>
        <v>1.4910999536514282</v>
      </c>
      <c r="R11" s="21">
        <f ca="1" xml:space="preserve">  [1]!i_val_pb_mrqwgt(C11,E11)</f>
        <v>5.4287000000000001</v>
      </c>
      <c r="S11" s="21">
        <f ca="1">[1]!s_val_estpb(C11,E11,基本资料!$G$7)</f>
        <v>1.3507</v>
      </c>
      <c r="T11" s="43">
        <f ca="1">[1]!s_val_estpb(C11,E11,基本资料!$G$11)</f>
        <v>1.2505999999999999</v>
      </c>
      <c r="U11" s="16">
        <f ca="1">[1]!i_val_pb_percentile(C11,E11,基本资料!$D$9,E11)</f>
        <v>83.333333333333343</v>
      </c>
      <c r="V11" s="31">
        <f ca="1">[1]!s_val_dividendyield2(C11,E11)</f>
        <v>2.6724999999999999</v>
      </c>
      <c r="W11" s="31">
        <f ca="1">[1]!i_val_dividend_percentile(C11,E11,基本资料!$D$9,E11)</f>
        <v>24.375</v>
      </c>
      <c r="X11" s="4"/>
    </row>
    <row r="12" spans="1:56" s="1" customFormat="1" ht="16.5" x14ac:dyDescent="0.2">
      <c r="B12" s="4"/>
      <c r="C12" s="25" t="s">
        <v>37</v>
      </c>
      <c r="D12" s="18" t="str">
        <f>[1]!hks_info_name(C12)</f>
        <v>上证指数</v>
      </c>
      <c r="E12" s="61" t="str">
        <f ca="1">[1]!lastradeday_s(C12,TODAY())</f>
        <v>2026-03-20</v>
      </c>
      <c r="F12" s="58">
        <f ca="1">[1]!s_val_mv_ard(C12,基本资料!$I$9,100000000)</f>
        <v>640535.14749057998</v>
      </c>
      <c r="G12" s="21">
        <f ca="1">[1]!s_val_mv_ard(C12,基本资料!$I$8,100000000)</f>
        <v>760911.95538429997</v>
      </c>
      <c r="H12" s="41">
        <f ca="1">[1]!s_val_mv_ard(C12,E12,100000000)</f>
        <v>762775.84563022002</v>
      </c>
      <c r="I12" s="40"/>
      <c r="J12" s="59">
        <f ca="1">[1]!s_val_pe_ttm(C12,基本资料!$I$9)</f>
        <v>14.554300308227539</v>
      </c>
      <c r="K12" s="41">
        <f ca="1">[1]!s_val_pe_ttm(C12,基本资料!$I$8)</f>
        <v>16.590400695800781</v>
      </c>
      <c r="L12" s="21">
        <f ca="1">[1]!s_val_pe_ttm(C12,E12)</f>
        <v>16.590299606323242</v>
      </c>
      <c r="M12" s="21">
        <f ca="1">[1]!s_val_estpe(C12,E12,基本资料!$G$7)</f>
        <v>14.3452</v>
      </c>
      <c r="N12" s="43">
        <f ca="1">[1]!s_val_estpe(C12,E12,基本资料!$G$11)</f>
        <v>13.0442</v>
      </c>
      <c r="O12" s="16">
        <f ca="1">[1]!i_val_pe_percentile(C12,E12,基本资料!$D$9,E12)</f>
        <v>84.375</v>
      </c>
      <c r="P12" s="42">
        <f ca="1">[1]!s_val_pb_lf(C12,基本资料!$I$9)</f>
        <v>1.3521000146865845</v>
      </c>
      <c r="Q12" s="21">
        <f ca="1">[1]!s_val_pb_lf(C12,基本资料!$I$8)</f>
        <v>1.50409996509552</v>
      </c>
      <c r="R12" s="21">
        <f ca="1" xml:space="preserve">  [1]!i_val_pb_mrqwgt(C12,E12)</f>
        <v>4.1108000000000002</v>
      </c>
      <c r="S12" s="21">
        <f ca="1">[1]!s_val_estpb(C12,E12,基本资料!$G$7)</f>
        <v>1.4927999999999999</v>
      </c>
      <c r="T12" s="43">
        <f ca="1">[1]!s_val_estpb(C12,E12,基本资料!$G$11)</f>
        <v>1.3885000000000001</v>
      </c>
      <c r="U12" s="16">
        <f ca="1">[1]!i_val_pb_percentile(C12,E12,基本资料!$D$9,E12)</f>
        <v>86.25</v>
      </c>
      <c r="V12" s="31">
        <f ca="1">[1]!s_val_dividendyield2(C12,E12)</f>
        <v>2.3096999999999999</v>
      </c>
      <c r="W12" s="31">
        <f ca="1">[1]!i_val_dividend_percentile(C12,E12,基本资料!$D$9,E12)</f>
        <v>24.583333333333332</v>
      </c>
      <c r="X12" s="4"/>
    </row>
    <row r="13" spans="1:56" s="1" customFormat="1" ht="16.5" x14ac:dyDescent="0.2">
      <c r="B13" s="4"/>
      <c r="C13" s="25" t="s">
        <v>36</v>
      </c>
      <c r="D13" s="18" t="str">
        <f>[1]!hks_info_name(C13)</f>
        <v>万得全A</v>
      </c>
      <c r="E13" s="61" t="str">
        <f ca="1">[1]!lastradeday_s(C13,TODAY())</f>
        <v>2026-03-20</v>
      </c>
      <c r="F13" s="58">
        <f ca="1">[1]!s_val_mv_ard(C13,基本资料!$I$9,100000000)</f>
        <v>986952.20380619995</v>
      </c>
      <c r="G13" s="21">
        <f ca="1">[1]!s_val_mv_ard(C13,基本资料!$I$8,100000000)</f>
        <v>1228550.3679784401</v>
      </c>
      <c r="H13" s="41">
        <f ca="1">[1]!s_val_mv_ard(C13,E13,100000000)</f>
        <v>1249341.4312115901</v>
      </c>
      <c r="I13" s="40"/>
      <c r="J13" s="59">
        <f ca="1">[1]!s_val_pe_ttm(C13,基本资料!$I$9)</f>
        <v>18.532899856567383</v>
      </c>
      <c r="K13" s="41">
        <f ca="1">[1]!s_val_pe_ttm(C13,基本资料!$I$8)</f>
        <v>22.321800231933594</v>
      </c>
      <c r="L13" s="21">
        <f ca="1">[1]!s_val_pe_ttm(C13,E13)</f>
        <v>22.594999313354492</v>
      </c>
      <c r="M13" s="21">
        <f ca="1">[1]!s_val_estpe(C13,E13,基本资料!$G$7)</f>
        <v>17.9329</v>
      </c>
      <c r="N13" s="43">
        <f ca="1">[1]!s_val_estpe(C13,E13,基本资料!$G$11)</f>
        <v>15.8855</v>
      </c>
      <c r="O13" s="16">
        <f ca="1">[1]!i_val_pe_percentile(C13,E13,基本资料!$D$9,E13)</f>
        <v>89.166666666666671</v>
      </c>
      <c r="P13" s="42">
        <f ca="1">[1]!s_val_pb_lf(C13,基本资料!$I$9)</f>
        <v>1.5750000476837158</v>
      </c>
      <c r="Q13" s="21">
        <f ca="1">[1]!s_val_pb_lf(C13,基本资料!$I$8)</f>
        <v>1.8389999866485596</v>
      </c>
      <c r="R13" s="21">
        <f ca="1" xml:space="preserve">  [1]!i_val_pb_mrqwgt(C13,E13)</f>
        <v>5.8470000000000004</v>
      </c>
      <c r="S13" s="21">
        <f ca="1">[1]!s_val_estpb(C13,E13,基本资料!$G$7)</f>
        <v>1.9446000000000001</v>
      </c>
      <c r="T13" s="43">
        <f ca="1">[1]!s_val_estpb(C13,E13,基本资料!$G$11)</f>
        <v>1.802</v>
      </c>
      <c r="U13" s="16">
        <f ca="1">[1]!i_val_pb_percentile(C13,E13,基本资料!$D$9,E13)</f>
        <v>89.583333333333343</v>
      </c>
      <c r="V13" s="31">
        <f ca="1">[1]!s_val_dividendyield2(C13,E13)</f>
        <v>1.8134999999999999</v>
      </c>
      <c r="W13" s="31">
        <f ca="1">[1]!i_val_dividend_percentile(C13,E13,基本资料!$D$9,E13)</f>
        <v>14.374999999999998</v>
      </c>
      <c r="X13" s="4"/>
    </row>
    <row r="14" spans="1:56" s="1" customFormat="1" ht="16.5" x14ac:dyDescent="0.2">
      <c r="B14" s="4"/>
      <c r="C14" s="25" t="s">
        <v>44</v>
      </c>
      <c r="D14" s="18" t="str">
        <f>[1]!hks_info_name(C14)</f>
        <v>中证500</v>
      </c>
      <c r="E14" s="61" t="str">
        <f ca="1">[1]!lastradeday_s(C14,TODAY())</f>
        <v>2026-03-20</v>
      </c>
      <c r="F14" s="58">
        <f ca="1">[1]!s_val_mv_ard(C14,基本资料!$I$9,100000000)</f>
        <v>130482.19839850999</v>
      </c>
      <c r="G14" s="21">
        <f ca="1">[1]!s_val_mv_ard(C14,基本资料!$I$8,100000000)</f>
        <v>174624.13714163</v>
      </c>
      <c r="H14" s="41">
        <f ca="1">[1]!s_val_mv_ard(C14,E14,100000000)</f>
        <v>182749.01520025</v>
      </c>
      <c r="I14" s="40"/>
      <c r="J14" s="59">
        <f ca="1">[1]!s_val_pe_ttm(C14,基本资料!$I$9)</f>
        <v>27.564199447631836</v>
      </c>
      <c r="K14" s="41">
        <f ca="1">[1]!s_val_pe_ttm(C14,基本资料!$I$8)</f>
        <v>33.801998138427734</v>
      </c>
      <c r="L14" s="21">
        <f ca="1">[1]!s_val_pe_ttm(C14,E14)</f>
        <v>35.075698852539063</v>
      </c>
      <c r="M14" s="21">
        <f ca="1">[1]!s_val_estpe(C14,E14,基本资料!$G$7)</f>
        <v>25.8828</v>
      </c>
      <c r="N14" s="43">
        <f ca="1">[1]!s_val_estpe(C14,E14,基本资料!$G$11)</f>
        <v>21.7608</v>
      </c>
      <c r="O14" s="16">
        <f ca="1">[1]!i_val_pe_percentile(C14,E14,基本资料!$D$9,E14)</f>
        <v>89.583333333333343</v>
      </c>
      <c r="P14" s="42">
        <f ca="1">[1]!s_val_pb_lf(C14,基本资料!$I$9)</f>
        <v>1.8095999956130981</v>
      </c>
      <c r="Q14" s="21">
        <f ca="1">[1]!s_val_pb_lf(C14,基本资料!$I$8)</f>
        <v>2.3243000507354736</v>
      </c>
      <c r="R14" s="21">
        <f ca="1" xml:space="preserve">  [1]!i_val_pb_mrqwgt(C14,E14)</f>
        <v>5.0835999999999997</v>
      </c>
      <c r="S14" s="21">
        <f ca="1">[1]!s_val_estpb(C14,E14,基本资料!$G$7)</f>
        <v>2.7785000000000002</v>
      </c>
      <c r="T14" s="43">
        <f ca="1">[1]!s_val_estpb(C14,E14,基本资料!$G$11)</f>
        <v>2.5924999999999998</v>
      </c>
      <c r="U14" s="16">
        <f ca="1">[1]!i_val_pb_percentile(C14,E14,基本资料!$D$9,E14)</f>
        <v>90.208333333333329</v>
      </c>
      <c r="V14" s="31">
        <f ca="1">[1]!s_val_dividendyield2(C14,E14)</f>
        <v>1.3789</v>
      </c>
      <c r="W14" s="31">
        <f ca="1">[1]!i_val_dividend_percentile(C14,E14,基本资料!$D$9,E14)</f>
        <v>16.458333333333332</v>
      </c>
      <c r="X14" s="4"/>
    </row>
    <row r="15" spans="1:56" s="1" customFormat="1" ht="16.5" x14ac:dyDescent="0.2">
      <c r="B15" s="4"/>
      <c r="C15" s="25" t="s">
        <v>38</v>
      </c>
      <c r="D15" s="18" t="str">
        <f>[1]!hks_info_name(C15)</f>
        <v>深证成指</v>
      </c>
      <c r="E15" s="61" t="str">
        <f ca="1">[1]!lastradeday_s(C15,TODAY())</f>
        <v>2026-03-20</v>
      </c>
      <c r="F15" s="58">
        <f ca="1">[1]!s_val_mv_ard(C15,基本资料!$I$9,100000000)</f>
        <v>217485.04532316999</v>
      </c>
      <c r="G15" s="21">
        <f ca="1">[1]!s_val_mv_ard(C15,基本资料!$I$8,100000000)</f>
        <v>281881.50543967</v>
      </c>
      <c r="H15" s="41">
        <f ca="1">[1]!s_val_mv_ard(C15,E15,100000000)</f>
        <v>290460.90083076002</v>
      </c>
      <c r="I15" s="40"/>
      <c r="J15" s="59">
        <f ca="1">[1]!s_val_pe_ttm(C15,基本资料!$I$9)</f>
        <v>24.870899200439453</v>
      </c>
      <c r="K15" s="41">
        <f ca="1">[1]!s_val_pe_ttm(C15,基本资料!$I$8)</f>
        <v>31.240999221801758</v>
      </c>
      <c r="L15" s="21">
        <f ca="1">[1]!s_val_pe_ttm(C15,E15)</f>
        <v>31.802000045776367</v>
      </c>
      <c r="M15" s="21">
        <f ca="1">[1]!s_val_estpe(C15,E15,基本资料!$G$7)</f>
        <v>22.3809</v>
      </c>
      <c r="N15" s="43">
        <f ca="1">[1]!s_val_estpe(C15,E15,基本资料!$G$11)</f>
        <v>18.5139</v>
      </c>
      <c r="O15" s="16">
        <f ca="1">[1]!i_val_pe_percentile(C15,E15,基本资料!$D$9,E15)</f>
        <v>89.791666666666671</v>
      </c>
      <c r="P15" s="42">
        <f ca="1">[1]!s_val_pb_lf(C15,基本资料!$I$9)</f>
        <v>2.2258999347686768</v>
      </c>
      <c r="Q15" s="21">
        <f ca="1">[1]!s_val_pb_lf(C15,基本资料!$I$8)</f>
        <v>2.7483000755310059</v>
      </c>
      <c r="R15" s="21">
        <f ca="1" xml:space="preserve">  [1]!i_val_pb_mrqwgt(C15,E15)</f>
        <v>6.6551</v>
      </c>
      <c r="S15" s="21">
        <f ca="1">[1]!s_val_estpb(C15,E15,基本资料!$G$7)</f>
        <v>2.8477999999999999</v>
      </c>
      <c r="T15" s="43">
        <f ca="1">[1]!s_val_estpb(C15,E15,基本资料!$G$11)</f>
        <v>2.5983999999999998</v>
      </c>
      <c r="U15" s="16">
        <f ca="1">[1]!i_val_pb_percentile(C15,E15,基本资料!$D$9,E15)</f>
        <v>89.791666666666671</v>
      </c>
      <c r="V15" s="31">
        <f ca="1">[1]!s_val_dividendyield2(C15,E15)</f>
        <v>1.5076000000000001</v>
      </c>
      <c r="W15" s="31">
        <f ca="1">[1]!i_val_dividend_percentile(C15,E15,基本资料!$D$9,E15)</f>
        <v>8.75</v>
      </c>
      <c r="X15" s="4"/>
    </row>
    <row r="16" spans="1:56" s="1" customFormat="1" ht="16.5" x14ac:dyDescent="0.2">
      <c r="B16" s="4"/>
      <c r="C16" s="25" t="s">
        <v>45</v>
      </c>
      <c r="D16" s="18" t="str">
        <f>[1]!hks_info_name(C16)</f>
        <v>中证1000</v>
      </c>
      <c r="E16" s="61" t="str">
        <f ca="1">[1]!lastradeday_s(C16,TODAY())</f>
        <v>2026-03-20</v>
      </c>
      <c r="F16" s="58">
        <f ca="1">[1]!s_val_mv_ard(C16,基本资料!$I$9,100000000)</f>
        <v>119706.47402631</v>
      </c>
      <c r="G16" s="21">
        <f ca="1">[1]!s_val_mv_ard(C16,基本资料!$I$8,100000000)</f>
        <v>149040.91716327</v>
      </c>
      <c r="H16" s="41">
        <f ca="1">[1]!s_val_mv_ard(C16,E16,100000000)</f>
        <v>153934.98355683999</v>
      </c>
      <c r="I16" s="40"/>
      <c r="J16" s="59">
        <f ca="1">[1]!s_val_pe_ttm(C16,基本资料!$I$9)</f>
        <v>36.508598327636719</v>
      </c>
      <c r="K16" s="41">
        <f ca="1">[1]!s_val_pe_ttm(C16,基本资料!$I$8)</f>
        <v>46.304298400878906</v>
      </c>
      <c r="L16" s="21">
        <f ca="1">[1]!s_val_pe_ttm(C16,E16)</f>
        <v>47.18170166015625</v>
      </c>
      <c r="M16" s="21">
        <f ca="1">[1]!s_val_estpe(C16,E16,基本资料!$G$7)</f>
        <v>32.892600000000002</v>
      </c>
      <c r="N16" s="43">
        <f ca="1">[1]!s_val_estpe(C16,E16,基本资料!$G$11)</f>
        <v>27.067499999999999</v>
      </c>
      <c r="O16" s="16">
        <f ca="1">[1]!i_val_pe_percentile(C16,E16,基本资料!$D$9,E16)</f>
        <v>84.583333333333329</v>
      </c>
      <c r="P16" s="42">
        <f ca="1">[1]!s_val_pb_lf(C16,基本资料!$I$9)</f>
        <v>2.026400089263916</v>
      </c>
      <c r="Q16" s="21">
        <f ca="1">[1]!s_val_pb_lf(C16,基本资料!$I$8)</f>
        <v>2.4704999923706055</v>
      </c>
      <c r="R16" s="21">
        <f ca="1" xml:space="preserve">  [1]!i_val_pb_mrqwgt(C16,E16)</f>
        <v>5.5419</v>
      </c>
      <c r="S16" s="21">
        <f ca="1">[1]!s_val_estpb(C16,E16,基本资料!$G$7)</f>
        <v>3.5185</v>
      </c>
      <c r="T16" s="43">
        <f ca="1">[1]!s_val_estpb(C16,E16,基本资料!$G$11)</f>
        <v>3.2818000000000001</v>
      </c>
      <c r="U16" s="16">
        <f ca="1">[1]!i_val_pb_percentile(C16,E16,基本资料!$D$9,E16)</f>
        <v>89.791666666666671</v>
      </c>
      <c r="V16" s="31">
        <f ca="1">[1]!s_val_dividendyield2(C16,E16)</f>
        <v>1.0443</v>
      </c>
      <c r="W16" s="31">
        <f ca="1">[1]!i_val_dividend_percentile(C16,E16,基本资料!$D$9,E16)</f>
        <v>9.375</v>
      </c>
      <c r="X16" s="4"/>
    </row>
    <row r="17" spans="2:24" s="1" customFormat="1" ht="16.5" x14ac:dyDescent="0.2">
      <c r="B17" s="4"/>
      <c r="C17" s="25" t="s">
        <v>41</v>
      </c>
      <c r="D17" s="18" t="str">
        <f>[1]!hks_info_name(C17)</f>
        <v>北证50</v>
      </c>
      <c r="E17" s="61" t="str">
        <f ca="1">[1]!lastradeday_s(C17,TODAY())</f>
        <v>2026-03-20</v>
      </c>
      <c r="F17" s="58">
        <f ca="1">[1]!s_val_mv_ard(C17,基本资料!$I$9,100000000)</f>
        <v>2130.6631792500002</v>
      </c>
      <c r="G17" s="21">
        <f ca="1">[1]!s_val_mv_ard(C17,基本资料!$I$8,100000000)</f>
        <v>3407.7688156000008</v>
      </c>
      <c r="H17" s="41">
        <f ca="1">[1]!s_val_mv_ard(C17,E17,100000000)</f>
        <v>3344.6523329000001</v>
      </c>
      <c r="I17" s="40"/>
      <c r="J17" s="59">
        <f ca="1">[1]!s_val_pe_ttm(C17,基本资料!$I$9)</f>
        <v>47.508998870849609</v>
      </c>
      <c r="K17" s="41">
        <f ca="1">[1]!s_val_pe_ttm(C17,基本资料!$I$8)</f>
        <v>60.287399291992188</v>
      </c>
      <c r="L17" s="21">
        <f ca="1">[1]!s_val_pe_ttm(C17,E17)</f>
        <v>53.3135986328125</v>
      </c>
      <c r="M17" s="21">
        <f ca="1">[1]!s_val_estpe(C17,E17,基本资料!$G$7)</f>
        <v>32.2502</v>
      </c>
      <c r="N17" s="43">
        <f ca="1">[1]!s_val_estpe(C17,E17,基本资料!$G$11)</f>
        <v>25.238800000000001</v>
      </c>
      <c r="O17" s="16">
        <f ca="1">[1]!i_val_pe_percentile(C17,E17,基本资料!$D$9,E17)</f>
        <v>38.541666666666671</v>
      </c>
      <c r="P17" s="42">
        <f ca="1">[1]!s_val_pb_lf(C17,基本资料!$I$9)</f>
        <v>3.4637000560760498</v>
      </c>
      <c r="Q17" s="21">
        <f ca="1">[1]!s_val_pb_lf(C17,基本资料!$I$8)</f>
        <v>5.0648999214172363</v>
      </c>
      <c r="R17" s="21">
        <f ca="1" xml:space="preserve">  [1]!i_val_pb_mrqwgt(C17,E17)</f>
        <v>8.1158000000000001</v>
      </c>
      <c r="S17" s="21">
        <f ca="1">[1]!s_val_estpb(C17,E17,基本资料!$G$7)</f>
        <v>4.4497999999999998</v>
      </c>
      <c r="T17" s="43">
        <f ca="1">[1]!s_val_estpb(C17,E17,基本资料!$G$11)</f>
        <v>3.9133</v>
      </c>
      <c r="U17" s="16">
        <f ca="1">[1]!i_val_pb_percentile(C17,E17,基本资料!$D$9,E17)</f>
        <v>52.708333333333336</v>
      </c>
      <c r="V17" s="31">
        <f ca="1">[1]!s_val_dividendyield2(C17,E17)</f>
        <v>0.81979999999999997</v>
      </c>
      <c r="W17" s="31">
        <f ca="1">[1]!i_val_dividend_percentile(C17,E17,基本资料!$D$9,E17)</f>
        <v>44.166666666666664</v>
      </c>
      <c r="X17" s="4"/>
    </row>
    <row r="18" spans="2:24" s="1" customFormat="1" ht="16.5" x14ac:dyDescent="0.2">
      <c r="B18" s="4"/>
      <c r="C18" s="25" t="s">
        <v>40</v>
      </c>
      <c r="D18" s="18" t="str">
        <f>[1]!hks_info_name(C18)</f>
        <v>科创50</v>
      </c>
      <c r="E18" s="61" t="str">
        <f ca="1">[1]!lastradeday_s(C18,TODAY())</f>
        <v>2026-03-20</v>
      </c>
      <c r="F18" s="58">
        <f ca="1">[1]!s_val_mv_ard(C18,基本资料!$I$9,100000000)</f>
        <v>34715.128508150003</v>
      </c>
      <c r="G18" s="21">
        <f ca="1">[1]!s_val_mv_ard(C18,基本资料!$I$8,100000000)</f>
        <v>48416.770991090001</v>
      </c>
      <c r="H18" s="41">
        <f ca="1">[1]!s_val_mv_ard(C18,E18,100000000)</f>
        <v>46484.215159170002</v>
      </c>
      <c r="I18" s="40"/>
      <c r="J18" s="59">
        <f ca="1">[1]!s_val_pe_ttm(C18,基本资料!$I$9)</f>
        <v>85.197196960449219</v>
      </c>
      <c r="K18" s="41">
        <f ca="1">[1]!s_val_pe_ttm(C18,基本资料!$I$8)</f>
        <v>161.14199829101563</v>
      </c>
      <c r="L18" s="21">
        <f ca="1">[1]!s_val_pe_ttm(C18,E18)</f>
        <v>164.30070495605469</v>
      </c>
      <c r="M18" s="21">
        <f ca="1">[1]!s_val_estpe(C18,E18,基本资料!$G$7)</f>
        <v>56.565600000000003</v>
      </c>
      <c r="N18" s="43">
        <f ca="1">[1]!s_val_estpe(C18,E18,基本资料!$G$11)</f>
        <v>41.519300000000001</v>
      </c>
      <c r="O18" s="16">
        <f ca="1">[1]!i_val_pe_percentile(C18,E18,基本资料!$D$9,E18)</f>
        <v>82.916666666666671</v>
      </c>
      <c r="P18" s="42">
        <f ca="1">[1]!s_val_pb_lf(C18,基本资料!$I$9)</f>
        <v>4.6540999412536621</v>
      </c>
      <c r="Q18" s="21">
        <f ca="1">[1]!s_val_pb_lf(C18,基本资料!$I$8)</f>
        <v>6.1420998573303223</v>
      </c>
      <c r="R18" s="21">
        <f ca="1" xml:space="preserve">  [1]!i_val_pb_mrqwgt(C18,E18)</f>
        <v>12.9848</v>
      </c>
      <c r="S18" s="21">
        <f ca="1">[1]!s_val_estpb(C18,E18,基本资料!$G$7)</f>
        <v>5.5765000000000002</v>
      </c>
      <c r="T18" s="43">
        <f ca="1">[1]!s_val_estpb(C18,E18,基本资料!$G$11)</f>
        <v>5.0110999999999999</v>
      </c>
      <c r="U18" s="16">
        <f ca="1">[1]!i_val_pb_percentile(C18,E18,基本资料!$D$9,E18)</f>
        <v>77.083333333333343</v>
      </c>
      <c r="V18" s="31">
        <f ca="1">[1]!s_val_dividendyield2(C18,E18)</f>
        <v>0.35930000000000001</v>
      </c>
      <c r="W18" s="31">
        <f ca="1">[1]!i_val_dividend_percentile(C18,E18,基本资料!$D$9,E18)</f>
        <v>8.5416666666666661</v>
      </c>
      <c r="X18" s="4"/>
    </row>
    <row r="19" spans="2:24" s="1" customFormat="1" ht="16.5" x14ac:dyDescent="0.2">
      <c r="B19" s="4"/>
      <c r="C19" s="25" t="s">
        <v>39</v>
      </c>
      <c r="D19" s="18" t="str">
        <f>[1]!hks_info_name(C19)</f>
        <v>创业板指</v>
      </c>
      <c r="E19" s="61" t="str">
        <f ca="1">[1]!lastradeday_s(C19,TODAY())</f>
        <v>2026-03-20</v>
      </c>
      <c r="F19" s="58">
        <f ca="1">[1]!s_val_mv_ard(C19,基本资料!$I$9,100000000)</f>
        <v>58438.800537179988</v>
      </c>
      <c r="G19" s="21">
        <f ca="1">[1]!s_val_mv_ard(C19,基本资料!$I$8,100000000)</f>
        <v>87756.732391679994</v>
      </c>
      <c r="H19" s="41">
        <f ca="1">[1]!s_val_mv_ard(C19,E19,100000000)</f>
        <v>91880.456598050005</v>
      </c>
      <c r="I19" s="40"/>
      <c r="J19" s="59">
        <f ca="1">[1]!s_val_pe_ttm(C19,基本资料!$I$9)</f>
        <v>33.257900238037109</v>
      </c>
      <c r="K19" s="41">
        <f ca="1">[1]!s_val_pe_ttm(C19,基本资料!$I$8)</f>
        <v>40.774200439453125</v>
      </c>
      <c r="L19" s="21">
        <f ca="1">[1]!s_val_pe_ttm(C19,E19)</f>
        <v>41.181098937988281</v>
      </c>
      <c r="M19" s="21">
        <f ca="1">[1]!s_val_estpe(C19,E19,基本资料!$G$7)</f>
        <v>27.7807</v>
      </c>
      <c r="N19" s="43">
        <f ca="1">[1]!s_val_estpe(C19,E19,基本资料!$G$11)</f>
        <v>22.153700000000001</v>
      </c>
      <c r="O19" s="16">
        <f ca="1">[1]!i_val_pe_percentile(C19,E19,基本资料!$D$9,E19)</f>
        <v>82.916666666666671</v>
      </c>
      <c r="P19" s="42">
        <f ca="1">[1]!s_val_pb_lf(C19,基本资料!$I$9)</f>
        <v>4.0524997711181641</v>
      </c>
      <c r="Q19" s="21">
        <f ca="1">[1]!s_val_pb_lf(C19,基本资料!$I$8)</f>
        <v>5.4889998435974121</v>
      </c>
      <c r="R19" s="21">
        <f ca="1" xml:space="preserve">  [1]!i_val_pb_mrqwgt(C19,E19)</f>
        <v>11.1325</v>
      </c>
      <c r="S19" s="21">
        <f ca="1">[1]!s_val_estpb(C19,E19,基本资料!$G$7)</f>
        <v>4.8788</v>
      </c>
      <c r="T19" s="43">
        <f ca="1">[1]!s_val_estpb(C19,E19,基本资料!$G$11)</f>
        <v>4.1711999999999998</v>
      </c>
      <c r="U19" s="16">
        <f ca="1">[1]!i_val_pb_percentile(C19,E19,基本资料!$D$9,E19)</f>
        <v>91.041666666666671</v>
      </c>
      <c r="V19" s="31">
        <f ca="1">[1]!s_val_dividendyield2(C19,E19)</f>
        <v>0.86499999999999999</v>
      </c>
      <c r="W19" s="31">
        <f ca="1">[1]!i_val_dividend_percentile(C19,E19,基本资料!$D$9,E19)</f>
        <v>2.5</v>
      </c>
      <c r="X19" s="4"/>
    </row>
    <row r="20" spans="2:24" s="1" customFormat="1" ht="16.5" x14ac:dyDescent="0.2">
      <c r="B20" s="4"/>
      <c r="C20" s="26" t="s">
        <v>66</v>
      </c>
      <c r="D20" s="18" t="str">
        <f>[1]!hks_info_name(C20)</f>
        <v>上证收益</v>
      </c>
      <c r="E20" s="61" t="str">
        <f ca="1">[1]!lastradeday_s(C20,TODAY())</f>
        <v>2026-03-20</v>
      </c>
      <c r="F20" s="58">
        <f ca="1">[1]!s_val_mv_ard(C20,基本资料!$I$9,100000000)</f>
        <v>640535.14749057998</v>
      </c>
      <c r="G20" s="21">
        <f ca="1">[1]!s_val_mv_ard(C20,基本资料!$I$8,100000000)</f>
        <v>760911.95538429997</v>
      </c>
      <c r="H20" s="41">
        <f ca="1">[1]!s_val_mv_ard(C20,E20,100000000)</f>
        <v>762775.84563022002</v>
      </c>
      <c r="I20" s="40"/>
      <c r="J20" s="59">
        <f ca="1">[1]!s_val_pe_ttm(C20,基本资料!$I$9)</f>
        <v>14.554300308227539</v>
      </c>
      <c r="K20" s="41">
        <f ca="1">[1]!s_val_pe_ttm(C20,基本资料!$I$8)</f>
        <v>16.590400695800781</v>
      </c>
      <c r="L20" s="21">
        <f ca="1">[1]!s_val_pe_ttm(C20,E20)</f>
        <v>16.590299606323242</v>
      </c>
      <c r="M20" s="21">
        <f ca="1">[1]!s_val_estpe(C20,E20,基本资料!$G$7)</f>
        <v>14.3452</v>
      </c>
      <c r="N20" s="43">
        <f ca="1">[1]!s_val_estpe(C20,E20,基本资料!$G$11)</f>
        <v>13.0442</v>
      </c>
      <c r="O20" s="16">
        <f ca="1">[1]!i_val_pe_percentile(C20,E20,基本资料!$D$9,E20)</f>
        <v>84.375</v>
      </c>
      <c r="P20" s="42">
        <f ca="1">[1]!s_val_pb_lf(C20,基本资料!$I$9)</f>
        <v>1.3521000146865845</v>
      </c>
      <c r="Q20" s="21">
        <f ca="1">[1]!s_val_pb_lf(C20,基本资料!$I$8)</f>
        <v>1.50409996509552</v>
      </c>
      <c r="R20" s="21">
        <f ca="1" xml:space="preserve">  [1]!i_val_pb_mrqwgt(C20,E20)</f>
        <v>4.1108000000000002</v>
      </c>
      <c r="S20" s="21">
        <f ca="1">[1]!s_val_estpb(C20,E20,基本资料!$G$7)</f>
        <v>1.4927999999999999</v>
      </c>
      <c r="T20" s="43">
        <f ca="1">[1]!s_val_estpb(C20,E20,基本资料!$G$11)</f>
        <v>1.3885000000000001</v>
      </c>
      <c r="U20" s="16">
        <f ca="1">[1]!i_val_pb_percentile(C20,E20,基本资料!$D$9,E20)</f>
        <v>86.25</v>
      </c>
      <c r="V20" s="31">
        <f ca="1">[1]!s_val_dividendyield2(C20,E20)</f>
        <v>2.3096999999999999</v>
      </c>
      <c r="W20" s="31">
        <f ca="1">[1]!i_val_dividend_percentile(C20,E20,基本资料!$D$9,E20)</f>
        <v>24.583333333333332</v>
      </c>
      <c r="X20" s="4"/>
    </row>
    <row r="21" spans="2:24" s="1" customFormat="1" ht="16.5" x14ac:dyDescent="0.2">
      <c r="B21" s="4"/>
      <c r="C21" s="26"/>
      <c r="D21" s="18"/>
      <c r="E21" s="61"/>
      <c r="F21" s="58"/>
      <c r="G21" s="21"/>
      <c r="H21" s="41"/>
      <c r="I21" s="40"/>
      <c r="J21" s="59"/>
      <c r="K21" s="41"/>
      <c r="L21" s="21"/>
      <c r="M21" s="21"/>
      <c r="N21" s="43"/>
      <c r="O21" s="16"/>
      <c r="P21" s="42"/>
      <c r="Q21" s="21"/>
      <c r="R21" s="21"/>
      <c r="S21" s="21"/>
      <c r="T21" s="43"/>
      <c r="U21" s="16"/>
      <c r="V21" s="31"/>
      <c r="W21" s="31"/>
      <c r="X21" s="4"/>
    </row>
    <row r="22" spans="2:24" s="1" customFormat="1" ht="16.5" x14ac:dyDescent="0.2">
      <c r="B22" s="4"/>
      <c r="C22" s="26"/>
      <c r="D22" s="18"/>
      <c r="E22" s="61"/>
      <c r="F22" s="38"/>
      <c r="G22" s="35"/>
      <c r="H22" s="35"/>
      <c r="I22" s="40"/>
      <c r="J22" s="42"/>
      <c r="K22" s="21"/>
      <c r="L22" s="21"/>
      <c r="M22" s="21"/>
      <c r="N22" s="43"/>
      <c r="O22" s="16"/>
      <c r="P22" s="42"/>
      <c r="Q22" s="21"/>
      <c r="R22" s="21"/>
      <c r="S22" s="21"/>
      <c r="T22" s="43"/>
      <c r="U22" s="16"/>
      <c r="V22" s="31"/>
      <c r="W22" s="31"/>
      <c r="X22" s="4"/>
    </row>
    <row r="23" spans="2:24" s="1" customFormat="1" ht="16.5" x14ac:dyDescent="0.2">
      <c r="B23" s="4"/>
      <c r="C23" s="26"/>
      <c r="D23" s="18"/>
      <c r="E23" s="61"/>
      <c r="F23" s="38"/>
      <c r="G23" s="35"/>
      <c r="H23" s="35"/>
      <c r="I23" s="40"/>
      <c r="J23" s="42"/>
      <c r="K23" s="21"/>
      <c r="L23" s="21"/>
      <c r="M23" s="21"/>
      <c r="N23" s="43"/>
      <c r="O23" s="16"/>
      <c r="P23" s="42"/>
      <c r="Q23" s="21"/>
      <c r="R23" s="21"/>
      <c r="S23" s="21"/>
      <c r="T23" s="43"/>
      <c r="U23" s="16"/>
      <c r="V23" s="31"/>
      <c r="W23" s="31"/>
      <c r="X23" s="4"/>
    </row>
    <row r="24" spans="2:24" s="1" customFormat="1" ht="16.5" x14ac:dyDescent="0.2">
      <c r="B24" s="4"/>
      <c r="C24" s="26"/>
      <c r="D24" s="18"/>
      <c r="E24" s="61"/>
      <c r="F24" s="38"/>
      <c r="G24" s="35"/>
      <c r="H24" s="35"/>
      <c r="I24" s="40"/>
      <c r="J24" s="42"/>
      <c r="K24" s="21"/>
      <c r="L24" s="21"/>
      <c r="M24" s="21"/>
      <c r="N24" s="43"/>
      <c r="O24" s="16"/>
      <c r="P24" s="42"/>
      <c r="Q24" s="21"/>
      <c r="R24" s="21"/>
      <c r="S24" s="21"/>
      <c r="T24" s="43"/>
      <c r="U24" s="16"/>
      <c r="V24" s="31"/>
      <c r="W24" s="31"/>
      <c r="X24" s="4"/>
    </row>
    <row r="25" spans="2:24" s="1" customFormat="1" ht="16.5" x14ac:dyDescent="0.2">
      <c r="B25" s="4"/>
      <c r="C25" s="26"/>
      <c r="D25" s="18"/>
      <c r="E25" s="61"/>
      <c r="F25" s="38"/>
      <c r="G25" s="35"/>
      <c r="H25" s="35"/>
      <c r="I25" s="40"/>
      <c r="J25" s="42"/>
      <c r="K25" s="21"/>
      <c r="L25" s="21"/>
      <c r="M25" s="21"/>
      <c r="N25" s="43"/>
      <c r="O25" s="16"/>
      <c r="P25" s="42"/>
      <c r="Q25" s="21"/>
      <c r="R25" s="21"/>
      <c r="S25" s="21"/>
      <c r="T25" s="43"/>
      <c r="U25" s="16"/>
      <c r="V25" s="31"/>
      <c r="W25" s="31"/>
      <c r="X25" s="4"/>
    </row>
    <row r="26" spans="2:24" s="1" customFormat="1" ht="16.5" x14ac:dyDescent="0.2">
      <c r="B26" s="4"/>
      <c r="C26" s="26"/>
      <c r="D26" s="18"/>
      <c r="E26" s="61"/>
      <c r="F26" s="38"/>
      <c r="G26" s="35"/>
      <c r="H26" s="35"/>
      <c r="I26" s="40"/>
      <c r="J26" s="42"/>
      <c r="K26" s="21"/>
      <c r="L26" s="21"/>
      <c r="M26" s="21"/>
      <c r="N26" s="43"/>
      <c r="O26" s="16"/>
      <c r="P26" s="42"/>
      <c r="Q26" s="21"/>
      <c r="R26" s="21"/>
      <c r="S26" s="21"/>
      <c r="T26" s="43"/>
      <c r="U26" s="16"/>
      <c r="V26" s="31"/>
      <c r="W26" s="31"/>
      <c r="X26" s="4"/>
    </row>
    <row r="27" spans="2:24" s="1" customFormat="1" ht="16.5" x14ac:dyDescent="0.2">
      <c r="B27" s="4"/>
      <c r="C27" s="26"/>
      <c r="D27" s="18"/>
      <c r="E27" s="61"/>
      <c r="F27" s="38"/>
      <c r="G27" s="35"/>
      <c r="H27" s="35"/>
      <c r="I27" s="40"/>
      <c r="J27" s="42"/>
      <c r="K27" s="21"/>
      <c r="L27" s="21"/>
      <c r="M27" s="21"/>
      <c r="N27" s="43"/>
      <c r="O27" s="16"/>
      <c r="P27" s="42"/>
      <c r="Q27" s="21"/>
      <c r="R27" s="21"/>
      <c r="S27" s="21"/>
      <c r="T27" s="43"/>
      <c r="U27" s="16"/>
      <c r="V27" s="31"/>
      <c r="W27" s="31"/>
      <c r="X27" s="4"/>
    </row>
    <row r="28" spans="2:24" s="1" customFormat="1" ht="16.5" x14ac:dyDescent="0.2">
      <c r="B28" s="4"/>
      <c r="C28" s="26"/>
      <c r="D28" s="18"/>
      <c r="E28" s="61"/>
      <c r="F28" s="38"/>
      <c r="G28" s="35"/>
      <c r="H28" s="35"/>
      <c r="I28" s="40"/>
      <c r="J28" s="42"/>
      <c r="K28" s="21"/>
      <c r="L28" s="21"/>
      <c r="M28" s="21"/>
      <c r="N28" s="43"/>
      <c r="O28" s="16"/>
      <c r="P28" s="42"/>
      <c r="Q28" s="21"/>
      <c r="R28" s="21"/>
      <c r="S28" s="21"/>
      <c r="T28" s="43"/>
      <c r="U28" s="16"/>
      <c r="V28" s="31"/>
      <c r="W28" s="31"/>
      <c r="X28" s="4"/>
    </row>
    <row r="29" spans="2:24" s="1" customFormat="1" ht="16.5" x14ac:dyDescent="0.2">
      <c r="B29" s="4"/>
      <c r="C29" s="26"/>
      <c r="D29" s="18"/>
      <c r="E29" s="61"/>
      <c r="F29" s="38"/>
      <c r="G29" s="35"/>
      <c r="H29" s="35"/>
      <c r="I29" s="40"/>
      <c r="J29" s="42"/>
      <c r="K29" s="21"/>
      <c r="L29" s="21"/>
      <c r="M29" s="21"/>
      <c r="N29" s="43"/>
      <c r="O29" s="16"/>
      <c r="P29" s="42"/>
      <c r="Q29" s="21"/>
      <c r="R29" s="21"/>
      <c r="S29" s="21"/>
      <c r="T29" s="43"/>
      <c r="U29" s="16"/>
      <c r="V29" s="31"/>
      <c r="W29" s="31"/>
      <c r="X29" s="4"/>
    </row>
    <row r="30" spans="2:24" s="1" customFormat="1" ht="16.5" x14ac:dyDescent="0.2">
      <c r="B30" s="4"/>
      <c r="C30" s="26"/>
      <c r="D30" s="18"/>
      <c r="E30" s="61"/>
      <c r="F30" s="38"/>
      <c r="G30" s="35"/>
      <c r="H30" s="35"/>
      <c r="I30" s="40"/>
      <c r="J30" s="42"/>
      <c r="K30" s="21"/>
      <c r="L30" s="21"/>
      <c r="M30" s="21"/>
      <c r="N30" s="43"/>
      <c r="O30" s="16"/>
      <c r="P30" s="42"/>
      <c r="Q30" s="21"/>
      <c r="R30" s="21"/>
      <c r="S30" s="21"/>
      <c r="T30" s="43"/>
      <c r="U30" s="16"/>
      <c r="V30" s="31"/>
      <c r="W30" s="31"/>
      <c r="X30" s="4"/>
    </row>
    <row r="31" spans="2:24" s="1" customFormat="1" ht="16.5" x14ac:dyDescent="0.2">
      <c r="B31" s="4"/>
      <c r="C31" s="26"/>
      <c r="D31" s="18"/>
      <c r="E31" s="61"/>
      <c r="F31" s="38"/>
      <c r="G31" s="35"/>
      <c r="H31" s="35"/>
      <c r="I31" s="40"/>
      <c r="J31" s="42"/>
      <c r="K31" s="21"/>
      <c r="L31" s="21"/>
      <c r="M31" s="21"/>
      <c r="N31" s="43"/>
      <c r="O31" s="16"/>
      <c r="P31" s="42"/>
      <c r="Q31" s="21"/>
      <c r="R31" s="21"/>
      <c r="S31" s="21"/>
      <c r="T31" s="43"/>
      <c r="U31" s="16"/>
      <c r="V31" s="31"/>
      <c r="W31" s="31"/>
      <c r="X31" s="4"/>
    </row>
    <row r="32" spans="2:24" s="1" customFormat="1" ht="16.5" x14ac:dyDescent="0.2">
      <c r="B32" s="4"/>
      <c r="C32" s="26"/>
      <c r="D32" s="18"/>
      <c r="E32" s="61"/>
      <c r="F32" s="38"/>
      <c r="G32" s="35"/>
      <c r="H32" s="35"/>
      <c r="I32" s="40"/>
      <c r="J32" s="42"/>
      <c r="K32" s="21"/>
      <c r="L32" s="21"/>
      <c r="M32" s="21"/>
      <c r="N32" s="43"/>
      <c r="O32" s="16"/>
      <c r="P32" s="42"/>
      <c r="Q32" s="21"/>
      <c r="R32" s="21"/>
      <c r="S32" s="21"/>
      <c r="T32" s="43"/>
      <c r="U32" s="16"/>
      <c r="V32" s="31"/>
      <c r="W32" s="31"/>
      <c r="X32" s="4"/>
    </row>
    <row r="33" spans="2:24" s="1" customFormat="1" ht="16.5" x14ac:dyDescent="0.2">
      <c r="B33" s="4"/>
      <c r="C33" s="26"/>
      <c r="D33" s="18"/>
      <c r="E33" s="61"/>
      <c r="F33" s="38"/>
      <c r="G33" s="35"/>
      <c r="H33" s="35"/>
      <c r="I33" s="40"/>
      <c r="J33" s="42"/>
      <c r="K33" s="21"/>
      <c r="L33" s="21"/>
      <c r="M33" s="21"/>
      <c r="N33" s="43"/>
      <c r="O33" s="16"/>
      <c r="P33" s="42"/>
      <c r="Q33" s="21"/>
      <c r="R33" s="21"/>
      <c r="S33" s="21"/>
      <c r="T33" s="43"/>
      <c r="U33" s="16"/>
      <c r="V33" s="31"/>
      <c r="W33" s="31"/>
      <c r="X33" s="4"/>
    </row>
    <row r="34" spans="2:24" s="1" customFormat="1" ht="16.5" x14ac:dyDescent="0.2">
      <c r="B34" s="4"/>
      <c r="C34" s="26"/>
      <c r="D34" s="18"/>
      <c r="E34" s="61"/>
      <c r="F34" s="38"/>
      <c r="G34" s="35"/>
      <c r="H34" s="35"/>
      <c r="I34" s="40"/>
      <c r="J34" s="42"/>
      <c r="K34" s="21"/>
      <c r="L34" s="21"/>
      <c r="M34" s="21"/>
      <c r="N34" s="43"/>
      <c r="O34" s="16"/>
      <c r="P34" s="42"/>
      <c r="Q34" s="21"/>
      <c r="R34" s="21"/>
      <c r="S34" s="21"/>
      <c r="T34" s="43"/>
      <c r="U34" s="16"/>
      <c r="V34" s="31"/>
      <c r="W34" s="31"/>
      <c r="X34" s="4"/>
    </row>
    <row r="35" spans="2:24" s="1" customFormat="1" ht="16.5" x14ac:dyDescent="0.2">
      <c r="B35" s="4"/>
      <c r="C35" s="26"/>
      <c r="D35" s="18"/>
      <c r="E35" s="61"/>
      <c r="F35" s="38"/>
      <c r="G35" s="35"/>
      <c r="H35" s="35"/>
      <c r="I35" s="40"/>
      <c r="J35" s="42"/>
      <c r="K35" s="21"/>
      <c r="L35" s="21"/>
      <c r="M35" s="21"/>
      <c r="N35" s="43"/>
      <c r="O35" s="16"/>
      <c r="P35" s="42"/>
      <c r="Q35" s="21"/>
      <c r="R35" s="21"/>
      <c r="S35" s="21"/>
      <c r="T35" s="43"/>
      <c r="U35" s="16"/>
      <c r="V35" s="31"/>
      <c r="W35" s="31"/>
      <c r="X35" s="4"/>
    </row>
    <row r="36" spans="2:24" s="1" customFormat="1" ht="16.5" x14ac:dyDescent="0.2">
      <c r="B36" s="4"/>
      <c r="C36" s="26"/>
      <c r="D36" s="18"/>
      <c r="E36" s="61"/>
      <c r="F36" s="38"/>
      <c r="G36" s="35"/>
      <c r="H36" s="35"/>
      <c r="I36" s="40"/>
      <c r="J36" s="42"/>
      <c r="K36" s="21"/>
      <c r="L36" s="21"/>
      <c r="M36" s="21"/>
      <c r="N36" s="43"/>
      <c r="O36" s="16"/>
      <c r="P36" s="42"/>
      <c r="Q36" s="21"/>
      <c r="R36" s="21"/>
      <c r="S36" s="21"/>
      <c r="T36" s="43"/>
      <c r="U36" s="16"/>
      <c r="V36" s="31"/>
      <c r="W36" s="31"/>
      <c r="X36" s="4"/>
    </row>
    <row r="37" spans="2:24" s="1" customFormat="1" ht="16.5" x14ac:dyDescent="0.2">
      <c r="B37" s="4"/>
      <c r="C37" s="26"/>
      <c r="D37" s="18"/>
      <c r="E37" s="61"/>
      <c r="F37" s="38"/>
      <c r="G37" s="35"/>
      <c r="H37" s="35"/>
      <c r="I37" s="40"/>
      <c r="J37" s="42"/>
      <c r="K37" s="21"/>
      <c r="L37" s="21"/>
      <c r="M37" s="21"/>
      <c r="N37" s="43"/>
      <c r="O37" s="16"/>
      <c r="P37" s="42"/>
      <c r="Q37" s="21"/>
      <c r="R37" s="21"/>
      <c r="S37" s="21"/>
      <c r="T37" s="43"/>
      <c r="U37" s="16"/>
      <c r="V37" s="31"/>
      <c r="W37" s="31"/>
      <c r="X37" s="4"/>
    </row>
    <row r="38" spans="2:24" s="1" customFormat="1" ht="16.5" x14ac:dyDescent="0.2">
      <c r="B38" s="4"/>
      <c r="C38" s="26"/>
      <c r="D38" s="18"/>
      <c r="E38" s="61"/>
      <c r="F38" s="38"/>
      <c r="G38" s="35"/>
      <c r="H38" s="35"/>
      <c r="I38" s="40"/>
      <c r="J38" s="42"/>
      <c r="K38" s="21"/>
      <c r="L38" s="21"/>
      <c r="M38" s="21"/>
      <c r="N38" s="43"/>
      <c r="O38" s="16"/>
      <c r="P38" s="42"/>
      <c r="Q38" s="21"/>
      <c r="R38" s="21"/>
      <c r="S38" s="21"/>
      <c r="T38" s="43"/>
      <c r="U38" s="16"/>
      <c r="V38" s="31"/>
      <c r="W38" s="31"/>
      <c r="X38" s="4"/>
    </row>
    <row r="39" spans="2:24" s="1" customFormat="1" ht="16.5" x14ac:dyDescent="0.2">
      <c r="B39" s="4"/>
      <c r="C39" s="26"/>
      <c r="D39" s="18"/>
      <c r="E39" s="61"/>
      <c r="F39" s="38"/>
      <c r="G39" s="35"/>
      <c r="H39" s="35"/>
      <c r="I39" s="40"/>
      <c r="J39" s="42"/>
      <c r="K39" s="21"/>
      <c r="L39" s="21"/>
      <c r="M39" s="21"/>
      <c r="N39" s="43"/>
      <c r="O39" s="16"/>
      <c r="P39" s="42"/>
      <c r="Q39" s="21"/>
      <c r="R39" s="21"/>
      <c r="S39" s="21"/>
      <c r="T39" s="43"/>
      <c r="U39" s="16"/>
      <c r="V39" s="31"/>
      <c r="W39" s="31"/>
      <c r="X39" s="4"/>
    </row>
    <row r="40" spans="2:24" s="1" customFormat="1" ht="16.5" x14ac:dyDescent="0.2">
      <c r="B40" s="4"/>
      <c r="C40" s="26"/>
      <c r="D40" s="18"/>
      <c r="E40" s="61"/>
      <c r="F40" s="38"/>
      <c r="G40" s="35"/>
      <c r="H40" s="35"/>
      <c r="I40" s="40"/>
      <c r="J40" s="42"/>
      <c r="K40" s="21"/>
      <c r="L40" s="21"/>
      <c r="M40" s="21"/>
      <c r="N40" s="43"/>
      <c r="O40" s="16"/>
      <c r="P40" s="42"/>
      <c r="Q40" s="21"/>
      <c r="R40" s="21"/>
      <c r="S40" s="21"/>
      <c r="T40" s="43"/>
      <c r="U40" s="16"/>
      <c r="V40" s="31"/>
      <c r="W40" s="31"/>
      <c r="X40" s="4"/>
    </row>
    <row r="41" spans="2:24" s="1" customFormat="1" ht="16.5" x14ac:dyDescent="0.2">
      <c r="B41" s="4"/>
      <c r="C41" s="26"/>
      <c r="D41" s="18"/>
      <c r="E41" s="61"/>
      <c r="F41" s="38"/>
      <c r="G41" s="35"/>
      <c r="H41" s="35"/>
      <c r="I41" s="40"/>
      <c r="J41" s="42"/>
      <c r="K41" s="21"/>
      <c r="L41" s="21"/>
      <c r="M41" s="21"/>
      <c r="N41" s="43"/>
      <c r="O41" s="16"/>
      <c r="P41" s="42"/>
      <c r="Q41" s="21"/>
      <c r="R41" s="21"/>
      <c r="S41" s="21"/>
      <c r="T41" s="43"/>
      <c r="U41" s="16"/>
      <c r="V41" s="31"/>
      <c r="W41" s="31"/>
      <c r="X41" s="4"/>
    </row>
    <row r="42" spans="2:24" s="1" customFormat="1" ht="16.5" x14ac:dyDescent="0.2">
      <c r="B42" s="4"/>
      <c r="C42" s="26"/>
      <c r="D42" s="18"/>
      <c r="E42" s="61"/>
      <c r="F42" s="38"/>
      <c r="G42" s="35"/>
      <c r="H42" s="35"/>
      <c r="I42" s="40"/>
      <c r="J42" s="42"/>
      <c r="K42" s="21"/>
      <c r="L42" s="21"/>
      <c r="M42" s="21"/>
      <c r="N42" s="43"/>
      <c r="O42" s="16"/>
      <c r="P42" s="42"/>
      <c r="Q42" s="21"/>
      <c r="R42" s="21"/>
      <c r="S42" s="21"/>
      <c r="T42" s="43"/>
      <c r="U42" s="16"/>
      <c r="V42" s="31"/>
      <c r="W42" s="31"/>
      <c r="X42" s="4"/>
    </row>
    <row r="43" spans="2:24" s="1" customFormat="1" ht="16.5" x14ac:dyDescent="0.2">
      <c r="B43" s="4"/>
      <c r="C43" s="26"/>
      <c r="D43" s="18"/>
      <c r="E43" s="61"/>
      <c r="F43" s="38"/>
      <c r="G43" s="35"/>
      <c r="H43" s="35"/>
      <c r="I43" s="40"/>
      <c r="J43" s="42"/>
      <c r="K43" s="21"/>
      <c r="L43" s="21"/>
      <c r="M43" s="21"/>
      <c r="N43" s="43"/>
      <c r="O43" s="16"/>
      <c r="P43" s="42"/>
      <c r="Q43" s="21"/>
      <c r="R43" s="21"/>
      <c r="S43" s="21"/>
      <c r="T43" s="43"/>
      <c r="U43" s="16"/>
      <c r="V43" s="31"/>
      <c r="W43" s="31"/>
      <c r="X43" s="4"/>
    </row>
    <row r="44" spans="2:24" s="1" customFormat="1" ht="16.5" x14ac:dyDescent="0.2">
      <c r="B44" s="4"/>
      <c r="C44" s="26"/>
      <c r="D44" s="18"/>
      <c r="E44" s="61"/>
      <c r="F44" s="38"/>
      <c r="G44" s="35"/>
      <c r="H44" s="35"/>
      <c r="I44" s="40"/>
      <c r="J44" s="42"/>
      <c r="K44" s="21"/>
      <c r="L44" s="21"/>
      <c r="M44" s="21"/>
      <c r="N44" s="43"/>
      <c r="O44" s="16"/>
      <c r="P44" s="42"/>
      <c r="Q44" s="21"/>
      <c r="R44" s="21"/>
      <c r="S44" s="21"/>
      <c r="T44" s="43"/>
      <c r="U44" s="16"/>
      <c r="V44" s="31"/>
      <c r="W44" s="31"/>
      <c r="X44" s="4"/>
    </row>
    <row r="45" spans="2:24" s="1" customFormat="1" ht="16.5" x14ac:dyDescent="0.2">
      <c r="B45" s="4"/>
      <c r="C45" s="26"/>
      <c r="D45" s="18"/>
      <c r="E45" s="61"/>
      <c r="F45" s="38"/>
      <c r="G45" s="35"/>
      <c r="H45" s="35"/>
      <c r="I45" s="40"/>
      <c r="J45" s="42"/>
      <c r="K45" s="21"/>
      <c r="L45" s="21"/>
      <c r="M45" s="21"/>
      <c r="N45" s="43"/>
      <c r="O45" s="16"/>
      <c r="P45" s="42"/>
      <c r="Q45" s="21"/>
      <c r="R45" s="21"/>
      <c r="S45" s="21"/>
      <c r="T45" s="43"/>
      <c r="U45" s="16"/>
      <c r="V45" s="31"/>
      <c r="W45" s="31"/>
      <c r="X45" s="4"/>
    </row>
    <row r="46" spans="2:24" s="1" customFormat="1" ht="16.5" x14ac:dyDescent="0.2">
      <c r="B46" s="4"/>
      <c r="C46" s="26"/>
      <c r="D46" s="18"/>
      <c r="E46" s="61"/>
      <c r="F46" s="38"/>
      <c r="G46" s="35"/>
      <c r="H46" s="35"/>
      <c r="I46" s="40"/>
      <c r="J46" s="42"/>
      <c r="K46" s="21"/>
      <c r="L46" s="21"/>
      <c r="M46" s="21"/>
      <c r="N46" s="43"/>
      <c r="O46" s="16"/>
      <c r="P46" s="42"/>
      <c r="Q46" s="21"/>
      <c r="R46" s="21"/>
      <c r="S46" s="21"/>
      <c r="T46" s="43"/>
      <c r="U46" s="16"/>
      <c r="V46" s="31"/>
      <c r="W46" s="31"/>
      <c r="X46" s="4"/>
    </row>
    <row r="47" spans="2:24" s="1" customFormat="1" ht="16.5" x14ac:dyDescent="0.2">
      <c r="B47" s="4"/>
      <c r="C47" s="26"/>
      <c r="D47" s="18"/>
      <c r="E47" s="61"/>
      <c r="F47" s="38"/>
      <c r="G47" s="35"/>
      <c r="H47" s="35"/>
      <c r="I47" s="40"/>
      <c r="J47" s="42"/>
      <c r="K47" s="21"/>
      <c r="L47" s="21"/>
      <c r="M47" s="21"/>
      <c r="N47" s="43"/>
      <c r="O47" s="16"/>
      <c r="P47" s="42"/>
      <c r="Q47" s="21"/>
      <c r="R47" s="21"/>
      <c r="S47" s="21"/>
      <c r="T47" s="43"/>
      <c r="U47" s="16"/>
      <c r="V47" s="31"/>
      <c r="W47" s="31"/>
      <c r="X47" s="4"/>
    </row>
    <row r="48" spans="2:24" s="1" customFormat="1" ht="16.5" x14ac:dyDescent="0.2">
      <c r="B48" s="4"/>
      <c r="C48" s="26"/>
      <c r="D48" s="18"/>
      <c r="E48" s="61"/>
      <c r="F48" s="38"/>
      <c r="G48" s="35"/>
      <c r="H48" s="35"/>
      <c r="I48" s="40"/>
      <c r="J48" s="42"/>
      <c r="K48" s="21"/>
      <c r="L48" s="21"/>
      <c r="M48" s="21"/>
      <c r="N48" s="43"/>
      <c r="O48" s="16"/>
      <c r="P48" s="42"/>
      <c r="Q48" s="21"/>
      <c r="R48" s="21"/>
      <c r="S48" s="21"/>
      <c r="T48" s="43"/>
      <c r="U48" s="16"/>
      <c r="V48" s="31"/>
      <c r="W48" s="31"/>
      <c r="X48" s="4"/>
    </row>
    <row r="49" spans="2:24" s="1" customFormat="1" ht="16.5" x14ac:dyDescent="0.2">
      <c r="B49" s="4"/>
      <c r="C49" s="26"/>
      <c r="D49" s="18"/>
      <c r="E49" s="61"/>
      <c r="F49" s="38"/>
      <c r="G49" s="35"/>
      <c r="H49" s="35"/>
      <c r="I49" s="40"/>
      <c r="J49" s="42"/>
      <c r="K49" s="21"/>
      <c r="L49" s="21"/>
      <c r="M49" s="21"/>
      <c r="N49" s="43"/>
      <c r="O49" s="16"/>
      <c r="P49" s="42"/>
      <c r="Q49" s="21"/>
      <c r="R49" s="21"/>
      <c r="S49" s="21"/>
      <c r="T49" s="43"/>
      <c r="U49" s="16"/>
      <c r="V49" s="31"/>
      <c r="W49" s="31"/>
      <c r="X49" s="4"/>
    </row>
    <row r="50" spans="2:24" s="1" customFormat="1" ht="16.5" x14ac:dyDescent="0.2">
      <c r="B50" s="4"/>
      <c r="C50" s="26"/>
      <c r="D50" s="18"/>
      <c r="E50" s="61"/>
      <c r="F50" s="38"/>
      <c r="G50" s="35"/>
      <c r="H50" s="35"/>
      <c r="I50" s="40"/>
      <c r="J50" s="42"/>
      <c r="K50" s="21"/>
      <c r="L50" s="21"/>
      <c r="M50" s="21"/>
      <c r="N50" s="43"/>
      <c r="O50" s="16"/>
      <c r="P50" s="42"/>
      <c r="Q50" s="21"/>
      <c r="R50" s="21"/>
      <c r="S50" s="21"/>
      <c r="T50" s="43"/>
      <c r="U50" s="16"/>
      <c r="V50" s="31"/>
      <c r="W50" s="31"/>
      <c r="X50" s="4"/>
    </row>
    <row r="51" spans="2:24" s="1" customFormat="1" ht="16.5" x14ac:dyDescent="0.2">
      <c r="B51" s="4"/>
      <c r="C51" s="26"/>
      <c r="D51" s="18"/>
      <c r="E51" s="61"/>
      <c r="F51" s="38"/>
      <c r="G51" s="35"/>
      <c r="H51" s="35"/>
      <c r="I51" s="40"/>
      <c r="J51" s="42"/>
      <c r="K51" s="21"/>
      <c r="L51" s="21"/>
      <c r="M51" s="21"/>
      <c r="N51" s="43"/>
      <c r="O51" s="16"/>
      <c r="P51" s="42"/>
      <c r="Q51" s="21"/>
      <c r="R51" s="21"/>
      <c r="S51" s="21"/>
      <c r="T51" s="43"/>
      <c r="U51" s="16"/>
      <c r="V51" s="31"/>
      <c r="W51" s="31"/>
      <c r="X51" s="4"/>
    </row>
    <row r="52" spans="2:24" s="1" customFormat="1" ht="16.5" x14ac:dyDescent="0.2">
      <c r="B52" s="4"/>
      <c r="C52" s="26"/>
      <c r="D52" s="18"/>
      <c r="E52" s="61"/>
      <c r="F52" s="38"/>
      <c r="G52" s="35"/>
      <c r="H52" s="35"/>
      <c r="I52" s="40"/>
      <c r="J52" s="42"/>
      <c r="K52" s="21"/>
      <c r="L52" s="21"/>
      <c r="M52" s="21"/>
      <c r="N52" s="43"/>
      <c r="O52" s="16"/>
      <c r="P52" s="42"/>
      <c r="Q52" s="21"/>
      <c r="R52" s="21"/>
      <c r="S52" s="21"/>
      <c r="T52" s="43"/>
      <c r="U52" s="16"/>
      <c r="V52" s="31"/>
      <c r="W52" s="31"/>
      <c r="X52" s="4"/>
    </row>
    <row r="53" spans="2:24" s="1" customFormat="1" ht="16.5" x14ac:dyDescent="0.2">
      <c r="B53" s="4"/>
      <c r="C53" s="26"/>
      <c r="D53" s="18"/>
      <c r="E53" s="61"/>
      <c r="F53" s="38"/>
      <c r="G53" s="35"/>
      <c r="H53" s="35"/>
      <c r="I53" s="40"/>
      <c r="J53" s="42"/>
      <c r="K53" s="21"/>
      <c r="L53" s="21"/>
      <c r="M53" s="21"/>
      <c r="N53" s="43"/>
      <c r="O53" s="16"/>
      <c r="P53" s="42"/>
      <c r="Q53" s="21"/>
      <c r="R53" s="21"/>
      <c r="S53" s="21"/>
      <c r="T53" s="43"/>
      <c r="U53" s="16"/>
      <c r="V53" s="31"/>
      <c r="W53" s="31"/>
      <c r="X53" s="4"/>
    </row>
    <row r="54" spans="2:24" s="1" customFormat="1" ht="16.5" x14ac:dyDescent="0.2">
      <c r="B54" s="4"/>
      <c r="C54" s="26"/>
      <c r="D54" s="18"/>
      <c r="E54" s="61"/>
      <c r="F54" s="38"/>
      <c r="G54" s="35"/>
      <c r="H54" s="35"/>
      <c r="I54" s="40"/>
      <c r="J54" s="42"/>
      <c r="K54" s="21"/>
      <c r="L54" s="21"/>
      <c r="M54" s="21"/>
      <c r="N54" s="43"/>
      <c r="O54" s="16"/>
      <c r="P54" s="42"/>
      <c r="Q54" s="21"/>
      <c r="R54" s="21"/>
      <c r="S54" s="21"/>
      <c r="T54" s="43"/>
      <c r="U54" s="16"/>
      <c r="V54" s="31"/>
      <c r="W54" s="31"/>
      <c r="X54" s="4"/>
    </row>
    <row r="55" spans="2:24" s="1" customFormat="1" ht="16.5" x14ac:dyDescent="0.2">
      <c r="B55" s="4"/>
      <c r="C55" s="26"/>
      <c r="D55" s="18"/>
      <c r="E55" s="61"/>
      <c r="F55" s="38"/>
      <c r="G55" s="35"/>
      <c r="H55" s="35"/>
      <c r="I55" s="40"/>
      <c r="J55" s="42"/>
      <c r="K55" s="21"/>
      <c r="L55" s="21"/>
      <c r="M55" s="21"/>
      <c r="N55" s="43"/>
      <c r="O55" s="16"/>
      <c r="P55" s="42"/>
      <c r="Q55" s="21"/>
      <c r="R55" s="21"/>
      <c r="S55" s="21"/>
      <c r="T55" s="43"/>
      <c r="U55" s="16"/>
      <c r="V55" s="31"/>
      <c r="W55" s="31"/>
      <c r="X55" s="4"/>
    </row>
    <row r="56" spans="2:24" s="1" customFormat="1" ht="16.5" x14ac:dyDescent="0.2">
      <c r="B56" s="4"/>
      <c r="C56" s="26"/>
      <c r="D56" s="18"/>
      <c r="E56" s="61"/>
      <c r="F56" s="38"/>
      <c r="G56" s="35"/>
      <c r="H56" s="35"/>
      <c r="I56" s="40"/>
      <c r="J56" s="42"/>
      <c r="K56" s="21"/>
      <c r="L56" s="21"/>
      <c r="M56" s="21"/>
      <c r="N56" s="43"/>
      <c r="O56" s="16"/>
      <c r="P56" s="42"/>
      <c r="Q56" s="21"/>
      <c r="R56" s="21"/>
      <c r="S56" s="21"/>
      <c r="T56" s="43"/>
      <c r="U56" s="16"/>
      <c r="V56" s="31"/>
      <c r="W56" s="31"/>
      <c r="X56" s="4"/>
    </row>
    <row r="57" spans="2:24" s="1" customFormat="1" ht="16.5" x14ac:dyDescent="0.2">
      <c r="B57" s="4"/>
      <c r="C57" s="26"/>
      <c r="D57" s="18"/>
      <c r="E57" s="61"/>
      <c r="F57" s="38"/>
      <c r="G57" s="35"/>
      <c r="H57" s="35"/>
      <c r="I57" s="40"/>
      <c r="J57" s="42"/>
      <c r="K57" s="21"/>
      <c r="L57" s="21"/>
      <c r="M57" s="21"/>
      <c r="N57" s="43"/>
      <c r="O57" s="16"/>
      <c r="P57" s="42"/>
      <c r="Q57" s="21"/>
      <c r="R57" s="21"/>
      <c r="S57" s="21"/>
      <c r="T57" s="43"/>
      <c r="U57" s="16"/>
      <c r="V57" s="31"/>
      <c r="W57" s="31"/>
      <c r="X57" s="4"/>
    </row>
    <row r="58" spans="2:24" s="1" customFormat="1" ht="16.5" x14ac:dyDescent="0.2">
      <c r="B58" s="4"/>
      <c r="C58" s="26"/>
      <c r="D58" s="18"/>
      <c r="E58" s="61"/>
      <c r="F58" s="38"/>
      <c r="G58" s="35"/>
      <c r="H58" s="35"/>
      <c r="I58" s="40"/>
      <c r="J58" s="42"/>
      <c r="K58" s="21"/>
      <c r="L58" s="21"/>
      <c r="M58" s="21"/>
      <c r="N58" s="43"/>
      <c r="O58" s="16"/>
      <c r="P58" s="42"/>
      <c r="Q58" s="21"/>
      <c r="R58" s="21"/>
      <c r="S58" s="21"/>
      <c r="T58" s="43"/>
      <c r="U58" s="16"/>
      <c r="V58" s="31"/>
      <c r="W58" s="31"/>
      <c r="X58" s="4"/>
    </row>
    <row r="59" spans="2:24" s="1" customFormat="1" ht="16.5" x14ac:dyDescent="0.2">
      <c r="B59" s="4"/>
      <c r="C59" s="26"/>
      <c r="D59" s="18"/>
      <c r="E59" s="61"/>
      <c r="F59" s="38"/>
      <c r="G59" s="35"/>
      <c r="H59" s="35"/>
      <c r="I59" s="40"/>
      <c r="J59" s="42"/>
      <c r="K59" s="21"/>
      <c r="L59" s="21"/>
      <c r="M59" s="21"/>
      <c r="N59" s="43"/>
      <c r="O59" s="16"/>
      <c r="P59" s="42"/>
      <c r="Q59" s="21"/>
      <c r="R59" s="21"/>
      <c r="S59" s="21"/>
      <c r="T59" s="43"/>
      <c r="U59" s="16"/>
      <c r="V59" s="31"/>
      <c r="W59" s="31"/>
      <c r="X59" s="4"/>
    </row>
    <row r="60" spans="2:24" s="1" customFormat="1" ht="16.5" x14ac:dyDescent="0.2">
      <c r="B60" s="4"/>
      <c r="C60" s="26"/>
      <c r="D60" s="18"/>
      <c r="E60" s="61"/>
      <c r="F60" s="38"/>
      <c r="G60" s="35"/>
      <c r="H60" s="35"/>
      <c r="I60" s="40"/>
      <c r="J60" s="42"/>
      <c r="K60" s="21"/>
      <c r="L60" s="21"/>
      <c r="M60" s="21"/>
      <c r="N60" s="43"/>
      <c r="O60" s="16"/>
      <c r="P60" s="42"/>
      <c r="Q60" s="21"/>
      <c r="R60" s="21"/>
      <c r="S60" s="21"/>
      <c r="T60" s="43"/>
      <c r="U60" s="16"/>
      <c r="V60" s="31"/>
      <c r="W60" s="31"/>
      <c r="X60" s="4"/>
    </row>
    <row r="61" spans="2:24" s="1" customFormat="1" ht="16.5" x14ac:dyDescent="0.2">
      <c r="B61" s="4"/>
      <c r="C61" s="26"/>
      <c r="D61" s="18"/>
      <c r="E61" s="61"/>
      <c r="F61" s="38"/>
      <c r="G61" s="35"/>
      <c r="H61" s="35"/>
      <c r="I61" s="40"/>
      <c r="J61" s="42"/>
      <c r="K61" s="21"/>
      <c r="L61" s="21"/>
      <c r="M61" s="21"/>
      <c r="N61" s="43"/>
      <c r="O61" s="16"/>
      <c r="P61" s="42"/>
      <c r="Q61" s="21"/>
      <c r="R61" s="21"/>
      <c r="S61" s="21"/>
      <c r="T61" s="43"/>
      <c r="U61" s="16"/>
      <c r="V61" s="31"/>
      <c r="W61" s="31"/>
      <c r="X61" s="4"/>
    </row>
    <row r="62" spans="2:24" s="1" customFormat="1" ht="16.5" x14ac:dyDescent="0.2">
      <c r="B62" s="4"/>
      <c r="C62" s="26"/>
      <c r="D62" s="18"/>
      <c r="E62" s="61"/>
      <c r="F62" s="38"/>
      <c r="G62" s="35"/>
      <c r="H62" s="35"/>
      <c r="I62" s="40"/>
      <c r="J62" s="42"/>
      <c r="K62" s="21"/>
      <c r="L62" s="21"/>
      <c r="M62" s="21"/>
      <c r="N62" s="43"/>
      <c r="O62" s="16"/>
      <c r="P62" s="42"/>
      <c r="Q62" s="21"/>
      <c r="R62" s="21"/>
      <c r="S62" s="21"/>
      <c r="T62" s="43"/>
      <c r="U62" s="16"/>
      <c r="V62" s="31"/>
      <c r="W62" s="31"/>
      <c r="X62" s="4"/>
    </row>
    <row r="63" spans="2:24" s="1" customFormat="1" ht="16.5" x14ac:dyDescent="0.2">
      <c r="B63" s="4"/>
      <c r="C63" s="26"/>
      <c r="D63" s="18"/>
      <c r="E63" s="61"/>
      <c r="F63" s="38"/>
      <c r="G63" s="35"/>
      <c r="H63" s="35"/>
      <c r="I63" s="40"/>
      <c r="J63" s="42"/>
      <c r="K63" s="21"/>
      <c r="L63" s="21"/>
      <c r="M63" s="21"/>
      <c r="N63" s="43"/>
      <c r="O63" s="16"/>
      <c r="P63" s="42"/>
      <c r="Q63" s="21"/>
      <c r="R63" s="21"/>
      <c r="S63" s="21"/>
      <c r="T63" s="43"/>
      <c r="U63" s="16"/>
      <c r="V63" s="31"/>
      <c r="W63" s="31"/>
      <c r="X63" s="4"/>
    </row>
    <row r="64" spans="2:24" s="1" customFormat="1" ht="16.5" x14ac:dyDescent="0.2">
      <c r="B64" s="4"/>
      <c r="C64" s="26"/>
      <c r="D64" s="18"/>
      <c r="E64" s="61"/>
      <c r="F64" s="38"/>
      <c r="G64" s="35"/>
      <c r="H64" s="35"/>
      <c r="I64" s="40"/>
      <c r="J64" s="42"/>
      <c r="K64" s="21"/>
      <c r="L64" s="21"/>
      <c r="M64" s="21"/>
      <c r="N64" s="43"/>
      <c r="O64" s="16"/>
      <c r="P64" s="42"/>
      <c r="Q64" s="21"/>
      <c r="R64" s="21"/>
      <c r="S64" s="21"/>
      <c r="T64" s="43"/>
      <c r="U64" s="16"/>
      <c r="V64" s="31"/>
      <c r="W64" s="31"/>
      <c r="X64" s="4"/>
    </row>
    <row r="65" spans="2:24" s="1" customFormat="1" ht="16.5" x14ac:dyDescent="0.2">
      <c r="B65" s="4"/>
      <c r="C65" s="26"/>
      <c r="D65" s="18"/>
      <c r="E65" s="61"/>
      <c r="F65" s="38"/>
      <c r="G65" s="35"/>
      <c r="H65" s="35"/>
      <c r="I65" s="40"/>
      <c r="J65" s="42"/>
      <c r="K65" s="21"/>
      <c r="L65" s="21"/>
      <c r="M65" s="21"/>
      <c r="N65" s="43"/>
      <c r="O65" s="16"/>
      <c r="P65" s="42"/>
      <c r="Q65" s="21"/>
      <c r="R65" s="21"/>
      <c r="S65" s="21"/>
      <c r="T65" s="43"/>
      <c r="U65" s="16"/>
      <c r="V65" s="31"/>
      <c r="W65" s="31"/>
      <c r="X65" s="4"/>
    </row>
    <row r="66" spans="2:24" s="1" customFormat="1" ht="16.5" x14ac:dyDescent="0.2">
      <c r="B66" s="4"/>
      <c r="C66" s="26"/>
      <c r="D66" s="18"/>
      <c r="E66" s="61"/>
      <c r="F66" s="38"/>
      <c r="G66" s="35"/>
      <c r="H66" s="35"/>
      <c r="I66" s="40"/>
      <c r="J66" s="42"/>
      <c r="K66" s="21"/>
      <c r="L66" s="21"/>
      <c r="M66" s="21"/>
      <c r="N66" s="43"/>
      <c r="O66" s="16"/>
      <c r="P66" s="42"/>
      <c r="Q66" s="21"/>
      <c r="R66" s="21"/>
      <c r="S66" s="21"/>
      <c r="T66" s="43"/>
      <c r="U66" s="16"/>
      <c r="V66" s="31"/>
      <c r="W66" s="31"/>
      <c r="X66" s="4"/>
    </row>
    <row r="67" spans="2:24" s="1" customFormat="1" ht="16.5" x14ac:dyDescent="0.2">
      <c r="B67" s="4"/>
      <c r="C67" s="26"/>
      <c r="D67" s="18"/>
      <c r="E67" s="61"/>
      <c r="F67" s="38"/>
      <c r="G67" s="35"/>
      <c r="H67" s="35"/>
      <c r="I67" s="40"/>
      <c r="J67" s="42"/>
      <c r="K67" s="21"/>
      <c r="L67" s="21"/>
      <c r="M67" s="21"/>
      <c r="N67" s="43"/>
      <c r="O67" s="16"/>
      <c r="P67" s="42"/>
      <c r="Q67" s="21"/>
      <c r="R67" s="21"/>
      <c r="S67" s="21"/>
      <c r="T67" s="43"/>
      <c r="U67" s="16"/>
      <c r="V67" s="31"/>
      <c r="W67" s="31"/>
      <c r="X67" s="4"/>
    </row>
    <row r="68" spans="2:24" s="1" customFormat="1" ht="16.5" x14ac:dyDescent="0.2">
      <c r="B68" s="4"/>
      <c r="C68" s="26"/>
      <c r="D68" s="18"/>
      <c r="E68" s="61"/>
      <c r="F68" s="38"/>
      <c r="G68" s="35"/>
      <c r="H68" s="35"/>
      <c r="I68" s="40"/>
      <c r="J68" s="42"/>
      <c r="K68" s="21"/>
      <c r="L68" s="21"/>
      <c r="M68" s="21"/>
      <c r="N68" s="43"/>
      <c r="O68" s="16"/>
      <c r="P68" s="42"/>
      <c r="Q68" s="21"/>
      <c r="R68" s="21"/>
      <c r="S68" s="21"/>
      <c r="T68" s="43"/>
      <c r="U68" s="16"/>
      <c r="V68" s="31"/>
      <c r="W68" s="31"/>
      <c r="X68" s="4"/>
    </row>
    <row r="69" spans="2:24" s="1" customFormat="1" ht="16.5" x14ac:dyDescent="0.2">
      <c r="B69" s="4"/>
      <c r="C69" s="26"/>
      <c r="D69" s="18"/>
      <c r="E69" s="61"/>
      <c r="F69" s="38"/>
      <c r="G69" s="35"/>
      <c r="H69" s="35"/>
      <c r="I69" s="40"/>
      <c r="J69" s="42"/>
      <c r="K69" s="21"/>
      <c r="L69" s="21"/>
      <c r="M69" s="21"/>
      <c r="N69" s="43"/>
      <c r="O69" s="16"/>
      <c r="P69" s="42"/>
      <c r="Q69" s="21"/>
      <c r="R69" s="21"/>
      <c r="S69" s="21"/>
      <c r="T69" s="43"/>
      <c r="U69" s="16"/>
      <c r="V69" s="31"/>
      <c r="W69" s="31"/>
      <c r="X69" s="4"/>
    </row>
    <row r="70" spans="2:24" s="1" customFormat="1" ht="16.5" x14ac:dyDescent="0.2">
      <c r="B70" s="4"/>
      <c r="C70" s="26"/>
      <c r="D70" s="18"/>
      <c r="E70" s="61"/>
      <c r="F70" s="38"/>
      <c r="G70" s="35"/>
      <c r="H70" s="35"/>
      <c r="I70" s="40"/>
      <c r="J70" s="42"/>
      <c r="K70" s="21"/>
      <c r="L70" s="21"/>
      <c r="M70" s="21"/>
      <c r="N70" s="43"/>
      <c r="O70" s="16"/>
      <c r="P70" s="42"/>
      <c r="Q70" s="21"/>
      <c r="R70" s="21"/>
      <c r="S70" s="21"/>
      <c r="T70" s="43"/>
      <c r="U70" s="16"/>
      <c r="V70" s="31"/>
      <c r="W70" s="31"/>
      <c r="X70" s="4"/>
    </row>
    <row r="71" spans="2:24" s="1" customFormat="1" ht="16.5" x14ac:dyDescent="0.2">
      <c r="B71" s="4"/>
      <c r="C71" s="26"/>
      <c r="D71" s="18"/>
      <c r="E71" s="61"/>
      <c r="F71" s="38"/>
      <c r="G71" s="35"/>
      <c r="H71" s="35"/>
      <c r="I71" s="40"/>
      <c r="J71" s="42"/>
      <c r="K71" s="21"/>
      <c r="L71" s="21"/>
      <c r="M71" s="21"/>
      <c r="N71" s="43"/>
      <c r="O71" s="16"/>
      <c r="P71" s="42"/>
      <c r="Q71" s="21"/>
      <c r="R71" s="21"/>
      <c r="S71" s="21"/>
      <c r="T71" s="43"/>
      <c r="U71" s="16"/>
      <c r="V71" s="31"/>
      <c r="W71" s="31"/>
      <c r="X71" s="4"/>
    </row>
    <row r="72" spans="2:24" s="1" customFormat="1" ht="16.5" x14ac:dyDescent="0.2">
      <c r="B72" s="4"/>
      <c r="C72" s="26"/>
      <c r="D72" s="18"/>
      <c r="E72" s="61"/>
      <c r="F72" s="38"/>
      <c r="G72" s="35"/>
      <c r="H72" s="35"/>
      <c r="I72" s="40"/>
      <c r="J72" s="42"/>
      <c r="K72" s="21"/>
      <c r="L72" s="21"/>
      <c r="M72" s="21"/>
      <c r="N72" s="43"/>
      <c r="O72" s="16"/>
      <c r="P72" s="42"/>
      <c r="Q72" s="21"/>
      <c r="R72" s="21"/>
      <c r="S72" s="21"/>
      <c r="T72" s="43"/>
      <c r="U72" s="16"/>
      <c r="V72" s="31"/>
      <c r="W72" s="31"/>
      <c r="X72" s="4"/>
    </row>
    <row r="73" spans="2:24" s="1" customFormat="1" ht="16.5" x14ac:dyDescent="0.2">
      <c r="B73" s="4"/>
      <c r="C73" s="26"/>
      <c r="D73" s="18"/>
      <c r="E73" s="61"/>
      <c r="F73" s="38"/>
      <c r="G73" s="35"/>
      <c r="H73" s="35"/>
      <c r="I73" s="40"/>
      <c r="J73" s="42"/>
      <c r="K73" s="21"/>
      <c r="L73" s="21"/>
      <c r="M73" s="21"/>
      <c r="N73" s="43"/>
      <c r="O73" s="16"/>
      <c r="P73" s="42"/>
      <c r="Q73" s="21"/>
      <c r="R73" s="21"/>
      <c r="S73" s="21"/>
      <c r="T73" s="43"/>
      <c r="U73" s="16"/>
      <c r="V73" s="31"/>
      <c r="W73" s="31"/>
      <c r="X73" s="4"/>
    </row>
    <row r="74" spans="2:24" s="1" customFormat="1" ht="16.5" x14ac:dyDescent="0.2">
      <c r="B74" s="4"/>
      <c r="C74" s="26"/>
      <c r="D74" s="18"/>
      <c r="E74" s="61"/>
      <c r="F74" s="38"/>
      <c r="G74" s="35"/>
      <c r="H74" s="35"/>
      <c r="I74" s="40"/>
      <c r="J74" s="42"/>
      <c r="K74" s="21"/>
      <c r="L74" s="21"/>
      <c r="M74" s="21"/>
      <c r="N74" s="43"/>
      <c r="O74" s="16"/>
      <c r="P74" s="42"/>
      <c r="Q74" s="21"/>
      <c r="R74" s="21"/>
      <c r="S74" s="21"/>
      <c r="T74" s="43"/>
      <c r="U74" s="16"/>
      <c r="V74" s="31"/>
      <c r="W74" s="31"/>
      <c r="X74" s="4"/>
    </row>
    <row r="75" spans="2:24" s="1" customFormat="1" ht="16.5" x14ac:dyDescent="0.2">
      <c r="B75" s="4"/>
      <c r="C75" s="26"/>
      <c r="D75" s="18"/>
      <c r="E75" s="61"/>
      <c r="F75" s="38"/>
      <c r="G75" s="35"/>
      <c r="H75" s="35"/>
      <c r="I75" s="40"/>
      <c r="J75" s="42"/>
      <c r="K75" s="21"/>
      <c r="L75" s="21"/>
      <c r="M75" s="21"/>
      <c r="N75" s="43"/>
      <c r="O75" s="16"/>
      <c r="P75" s="42"/>
      <c r="Q75" s="21"/>
      <c r="R75" s="21"/>
      <c r="S75" s="21"/>
      <c r="T75" s="43"/>
      <c r="U75" s="16"/>
      <c r="V75" s="31"/>
      <c r="W75" s="31"/>
      <c r="X75" s="4"/>
    </row>
    <row r="76" spans="2:24" s="1" customFormat="1" ht="16.5" x14ac:dyDescent="0.2">
      <c r="B76" s="4"/>
      <c r="C76" s="26"/>
      <c r="D76" s="18"/>
      <c r="E76" s="61"/>
      <c r="F76" s="38"/>
      <c r="G76" s="35"/>
      <c r="H76" s="35"/>
      <c r="I76" s="40"/>
      <c r="J76" s="42"/>
      <c r="K76" s="21"/>
      <c r="L76" s="21"/>
      <c r="M76" s="21"/>
      <c r="N76" s="43"/>
      <c r="O76" s="16"/>
      <c r="P76" s="42"/>
      <c r="Q76" s="21"/>
      <c r="R76" s="21"/>
      <c r="S76" s="21"/>
      <c r="T76" s="43"/>
      <c r="U76" s="16"/>
      <c r="V76" s="31"/>
      <c r="W76" s="31"/>
      <c r="X76" s="4"/>
    </row>
    <row r="77" spans="2:24" s="1" customFormat="1" ht="16.5" x14ac:dyDescent="0.2">
      <c r="B77" s="4"/>
      <c r="C77" s="26"/>
      <c r="D77" s="18"/>
      <c r="E77" s="61"/>
      <c r="F77" s="38"/>
      <c r="G77" s="35"/>
      <c r="H77" s="35"/>
      <c r="I77" s="40"/>
      <c r="J77" s="42"/>
      <c r="K77" s="21"/>
      <c r="L77" s="21"/>
      <c r="M77" s="21"/>
      <c r="N77" s="43"/>
      <c r="O77" s="16"/>
      <c r="P77" s="42"/>
      <c r="Q77" s="21"/>
      <c r="R77" s="21"/>
      <c r="S77" s="21"/>
      <c r="T77" s="43"/>
      <c r="U77" s="16"/>
      <c r="V77" s="31"/>
      <c r="W77" s="31"/>
      <c r="X77" s="4"/>
    </row>
    <row r="78" spans="2:24" s="1" customFormat="1" ht="16.5" x14ac:dyDescent="0.2">
      <c r="B78" s="4"/>
      <c r="C78" s="26"/>
      <c r="D78" s="18"/>
      <c r="E78" s="61"/>
      <c r="F78" s="38"/>
      <c r="G78" s="35"/>
      <c r="H78" s="35"/>
      <c r="I78" s="40"/>
      <c r="J78" s="42"/>
      <c r="K78" s="21"/>
      <c r="L78" s="21"/>
      <c r="M78" s="21"/>
      <c r="N78" s="43"/>
      <c r="O78" s="16"/>
      <c r="P78" s="42"/>
      <c r="Q78" s="21"/>
      <c r="R78" s="21"/>
      <c r="S78" s="21"/>
      <c r="T78" s="43"/>
      <c r="U78" s="16"/>
      <c r="V78" s="31"/>
      <c r="W78" s="31"/>
      <c r="X78" s="4"/>
    </row>
    <row r="79" spans="2:24" s="1" customFormat="1" ht="16.5" x14ac:dyDescent="0.2">
      <c r="B79" s="4"/>
      <c r="C79" s="26"/>
      <c r="D79" s="18"/>
      <c r="E79" s="61"/>
      <c r="F79" s="38"/>
      <c r="G79" s="35"/>
      <c r="H79" s="35"/>
      <c r="I79" s="40"/>
      <c r="J79" s="42"/>
      <c r="K79" s="21"/>
      <c r="L79" s="21"/>
      <c r="M79" s="21"/>
      <c r="N79" s="43"/>
      <c r="O79" s="16"/>
      <c r="P79" s="42"/>
      <c r="Q79" s="21"/>
      <c r="R79" s="21"/>
      <c r="S79" s="21"/>
      <c r="T79" s="43"/>
      <c r="U79" s="16"/>
      <c r="V79" s="31"/>
      <c r="W79" s="31"/>
      <c r="X79" s="4"/>
    </row>
    <row r="80" spans="2:24" s="1" customFormat="1" ht="16.5" x14ac:dyDescent="0.2">
      <c r="B80" s="4"/>
      <c r="C80" s="26"/>
      <c r="D80" s="18"/>
      <c r="E80" s="61"/>
      <c r="F80" s="38"/>
      <c r="G80" s="35"/>
      <c r="H80" s="35"/>
      <c r="I80" s="40"/>
      <c r="J80" s="42"/>
      <c r="K80" s="21"/>
      <c r="L80" s="21"/>
      <c r="M80" s="21"/>
      <c r="N80" s="43"/>
      <c r="O80" s="16"/>
      <c r="P80" s="42"/>
      <c r="Q80" s="21"/>
      <c r="R80" s="21"/>
      <c r="S80" s="21"/>
      <c r="T80" s="43"/>
      <c r="U80" s="16"/>
      <c r="V80" s="31"/>
      <c r="W80" s="31"/>
      <c r="X80" s="4"/>
    </row>
    <row r="81" spans="2:24" s="1" customFormat="1" ht="16.5" x14ac:dyDescent="0.2">
      <c r="B81" s="4"/>
      <c r="C81" s="26"/>
      <c r="D81" s="18"/>
      <c r="E81" s="61"/>
      <c r="F81" s="38"/>
      <c r="G81" s="35"/>
      <c r="H81" s="35"/>
      <c r="I81" s="40"/>
      <c r="J81" s="42"/>
      <c r="K81" s="21"/>
      <c r="L81" s="21"/>
      <c r="M81" s="21"/>
      <c r="N81" s="43"/>
      <c r="O81" s="16"/>
      <c r="P81" s="42"/>
      <c r="Q81" s="21"/>
      <c r="R81" s="21"/>
      <c r="S81" s="21"/>
      <c r="T81" s="43"/>
      <c r="U81" s="16"/>
      <c r="V81" s="31"/>
      <c r="W81" s="31"/>
      <c r="X81" s="4"/>
    </row>
    <row r="82" spans="2:24" s="1" customFormat="1" ht="16.5" x14ac:dyDescent="0.2">
      <c r="B82" s="4"/>
      <c r="C82" s="26"/>
      <c r="D82" s="18"/>
      <c r="E82" s="61"/>
      <c r="F82" s="38"/>
      <c r="G82" s="35"/>
      <c r="H82" s="35"/>
      <c r="I82" s="40"/>
      <c r="J82" s="42"/>
      <c r="K82" s="21"/>
      <c r="L82" s="21"/>
      <c r="M82" s="21"/>
      <c r="N82" s="43"/>
      <c r="O82" s="16"/>
      <c r="P82" s="42"/>
      <c r="Q82" s="21"/>
      <c r="R82" s="21"/>
      <c r="S82" s="21"/>
      <c r="T82" s="43"/>
      <c r="U82" s="16"/>
      <c r="V82" s="31"/>
      <c r="W82" s="31"/>
      <c r="X82" s="4"/>
    </row>
    <row r="83" spans="2:24" s="1" customFormat="1" ht="16.5" x14ac:dyDescent="0.2">
      <c r="B83" s="4"/>
      <c r="C83" s="26"/>
      <c r="D83" s="18"/>
      <c r="E83" s="61"/>
      <c r="F83" s="38"/>
      <c r="G83" s="35"/>
      <c r="H83" s="35"/>
      <c r="I83" s="40"/>
      <c r="J83" s="42"/>
      <c r="K83" s="21"/>
      <c r="L83" s="21"/>
      <c r="M83" s="21"/>
      <c r="N83" s="43"/>
      <c r="O83" s="16"/>
      <c r="P83" s="42"/>
      <c r="Q83" s="21"/>
      <c r="R83" s="21"/>
      <c r="S83" s="21"/>
      <c r="T83" s="43"/>
      <c r="U83" s="16"/>
      <c r="V83" s="31"/>
      <c r="W83" s="31"/>
      <c r="X83" s="4"/>
    </row>
    <row r="84" spans="2:24" s="1" customFormat="1" ht="16.5" x14ac:dyDescent="0.2">
      <c r="B84" s="4"/>
      <c r="C84" s="26"/>
      <c r="D84" s="18"/>
      <c r="E84" s="61"/>
      <c r="F84" s="38"/>
      <c r="G84" s="35"/>
      <c r="H84" s="35"/>
      <c r="I84" s="40"/>
      <c r="J84" s="42"/>
      <c r="K84" s="21"/>
      <c r="L84" s="21"/>
      <c r="M84" s="21"/>
      <c r="N84" s="43"/>
      <c r="O84" s="16"/>
      <c r="P84" s="42"/>
      <c r="Q84" s="21"/>
      <c r="R84" s="21"/>
      <c r="S84" s="21"/>
      <c r="T84" s="43"/>
      <c r="U84" s="16"/>
      <c r="V84" s="31"/>
      <c r="W84" s="31"/>
      <c r="X84" s="4"/>
    </row>
    <row r="85" spans="2:24" s="1" customFormat="1" ht="16.5" x14ac:dyDescent="0.2">
      <c r="B85" s="4"/>
      <c r="C85" s="26"/>
      <c r="D85" s="18"/>
      <c r="E85" s="61"/>
      <c r="F85" s="38"/>
      <c r="G85" s="35"/>
      <c r="H85" s="35"/>
      <c r="I85" s="40"/>
      <c r="J85" s="42"/>
      <c r="K85" s="21"/>
      <c r="L85" s="21"/>
      <c r="M85" s="21"/>
      <c r="N85" s="43"/>
      <c r="O85" s="16"/>
      <c r="P85" s="42"/>
      <c r="Q85" s="21"/>
      <c r="R85" s="21"/>
      <c r="S85" s="21"/>
      <c r="T85" s="43"/>
      <c r="U85" s="16"/>
      <c r="V85" s="31"/>
      <c r="W85" s="31"/>
      <c r="X85" s="4"/>
    </row>
    <row r="86" spans="2:24" s="1" customFormat="1" ht="16.5" x14ac:dyDescent="0.2">
      <c r="B86" s="4"/>
      <c r="C86" s="26"/>
      <c r="D86" s="18"/>
      <c r="E86" s="61"/>
      <c r="F86" s="38"/>
      <c r="G86" s="35"/>
      <c r="H86" s="35"/>
      <c r="I86" s="40"/>
      <c r="J86" s="42"/>
      <c r="K86" s="21"/>
      <c r="L86" s="21"/>
      <c r="M86" s="21"/>
      <c r="N86" s="43"/>
      <c r="O86" s="16"/>
      <c r="P86" s="42"/>
      <c r="Q86" s="21"/>
      <c r="R86" s="21"/>
      <c r="S86" s="21"/>
      <c r="T86" s="43"/>
      <c r="U86" s="16"/>
      <c r="V86" s="31"/>
      <c r="W86" s="31"/>
      <c r="X86" s="4"/>
    </row>
    <row r="87" spans="2:24" s="1" customFormat="1" ht="16.5" x14ac:dyDescent="0.2">
      <c r="B87" s="4"/>
      <c r="C87" s="26"/>
      <c r="D87" s="18"/>
      <c r="E87" s="61"/>
      <c r="F87" s="38"/>
      <c r="G87" s="35"/>
      <c r="H87" s="35"/>
      <c r="I87" s="40"/>
      <c r="J87" s="42"/>
      <c r="K87" s="21"/>
      <c r="L87" s="21"/>
      <c r="M87" s="21"/>
      <c r="N87" s="43"/>
      <c r="O87" s="16"/>
      <c r="P87" s="42"/>
      <c r="Q87" s="21"/>
      <c r="R87" s="21"/>
      <c r="S87" s="21"/>
      <c r="T87" s="43"/>
      <c r="U87" s="16"/>
      <c r="V87" s="31"/>
      <c r="W87" s="31"/>
      <c r="X87" s="4"/>
    </row>
    <row r="88" spans="2:24" s="1" customFormat="1" ht="16.5" x14ac:dyDescent="0.2">
      <c r="B88" s="4"/>
      <c r="C88" s="26"/>
      <c r="D88" s="18"/>
      <c r="E88" s="61"/>
      <c r="F88" s="38"/>
      <c r="G88" s="35"/>
      <c r="H88" s="35"/>
      <c r="I88" s="40"/>
      <c r="J88" s="42"/>
      <c r="K88" s="21"/>
      <c r="L88" s="21"/>
      <c r="M88" s="21"/>
      <c r="N88" s="43"/>
      <c r="O88" s="16"/>
      <c r="P88" s="42"/>
      <c r="Q88" s="21"/>
      <c r="R88" s="21"/>
      <c r="S88" s="21"/>
      <c r="T88" s="43"/>
      <c r="U88" s="16"/>
      <c r="V88" s="31"/>
      <c r="W88" s="31"/>
      <c r="X88" s="4"/>
    </row>
    <row r="89" spans="2:24" s="1" customFormat="1" ht="16.5" x14ac:dyDescent="0.2">
      <c r="B89" s="4"/>
      <c r="C89" s="26"/>
      <c r="D89" s="18"/>
      <c r="E89" s="61"/>
      <c r="F89" s="38"/>
      <c r="G89" s="35"/>
      <c r="H89" s="35"/>
      <c r="I89" s="40"/>
      <c r="J89" s="42"/>
      <c r="K89" s="21"/>
      <c r="L89" s="21"/>
      <c r="M89" s="21"/>
      <c r="N89" s="43"/>
      <c r="O89" s="16"/>
      <c r="P89" s="42"/>
      <c r="Q89" s="21"/>
      <c r="R89" s="21"/>
      <c r="S89" s="21"/>
      <c r="T89" s="43"/>
      <c r="U89" s="16"/>
      <c r="V89" s="31"/>
      <c r="W89" s="31"/>
      <c r="X89" s="4"/>
    </row>
    <row r="90" spans="2:24" s="1" customFormat="1" ht="16.5" x14ac:dyDescent="0.2">
      <c r="B90" s="4"/>
      <c r="C90" s="26"/>
      <c r="D90" s="18"/>
      <c r="E90" s="61"/>
      <c r="F90" s="38"/>
      <c r="G90" s="35"/>
      <c r="H90" s="35"/>
      <c r="I90" s="40"/>
      <c r="J90" s="42"/>
      <c r="K90" s="21"/>
      <c r="L90" s="21"/>
      <c r="M90" s="21"/>
      <c r="N90" s="43"/>
      <c r="O90" s="16"/>
      <c r="P90" s="42"/>
      <c r="Q90" s="21"/>
      <c r="R90" s="21"/>
      <c r="S90" s="21"/>
      <c r="T90" s="43"/>
      <c r="U90" s="16"/>
      <c r="V90" s="31"/>
      <c r="W90" s="31"/>
      <c r="X90" s="4"/>
    </row>
    <row r="91" spans="2:24" s="1" customFormat="1" ht="16.5" x14ac:dyDescent="0.2">
      <c r="B91" s="4"/>
      <c r="C91" s="26"/>
      <c r="D91" s="18"/>
      <c r="E91" s="61"/>
      <c r="F91" s="38"/>
      <c r="G91" s="35"/>
      <c r="H91" s="35"/>
      <c r="I91" s="40"/>
      <c r="J91" s="42"/>
      <c r="K91" s="21"/>
      <c r="L91" s="21"/>
      <c r="M91" s="21"/>
      <c r="N91" s="43"/>
      <c r="O91" s="16"/>
      <c r="P91" s="42"/>
      <c r="Q91" s="21"/>
      <c r="R91" s="21"/>
      <c r="S91" s="21"/>
      <c r="T91" s="43"/>
      <c r="U91" s="16"/>
      <c r="V91" s="31"/>
      <c r="W91" s="31"/>
      <c r="X91" s="4"/>
    </row>
    <row r="92" spans="2:24" s="1" customFormat="1" ht="16.5" x14ac:dyDescent="0.2">
      <c r="B92" s="4"/>
      <c r="C92" s="26"/>
      <c r="D92" s="18"/>
      <c r="E92" s="61"/>
      <c r="F92" s="38"/>
      <c r="G92" s="35"/>
      <c r="H92" s="35"/>
      <c r="I92" s="40"/>
      <c r="J92" s="42"/>
      <c r="K92" s="21"/>
      <c r="L92" s="21"/>
      <c r="M92" s="21"/>
      <c r="N92" s="43"/>
      <c r="O92" s="16"/>
      <c r="P92" s="42"/>
      <c r="Q92" s="21"/>
      <c r="R92" s="21"/>
      <c r="S92" s="21"/>
      <c r="T92" s="43"/>
      <c r="U92" s="16"/>
      <c r="V92" s="31"/>
      <c r="W92" s="31"/>
      <c r="X92" s="4"/>
    </row>
    <row r="93" spans="2:24" s="1" customFormat="1" ht="16.5" x14ac:dyDescent="0.2">
      <c r="B93" s="4"/>
      <c r="C93" s="26"/>
      <c r="D93" s="18"/>
      <c r="E93" s="61"/>
      <c r="F93" s="38"/>
      <c r="G93" s="35"/>
      <c r="H93" s="35"/>
      <c r="I93" s="40"/>
      <c r="J93" s="42"/>
      <c r="K93" s="21"/>
      <c r="L93" s="21"/>
      <c r="M93" s="21"/>
      <c r="N93" s="43"/>
      <c r="O93" s="16"/>
      <c r="P93" s="42"/>
      <c r="Q93" s="21"/>
      <c r="R93" s="21"/>
      <c r="S93" s="21"/>
      <c r="T93" s="43"/>
      <c r="U93" s="16"/>
      <c r="V93" s="31"/>
      <c r="W93" s="31"/>
      <c r="X93" s="4"/>
    </row>
    <row r="94" spans="2:24" s="1" customFormat="1" ht="16.5" x14ac:dyDescent="0.2">
      <c r="B94" s="4"/>
      <c r="C94" s="26"/>
      <c r="D94" s="18"/>
      <c r="E94" s="61"/>
      <c r="F94" s="38"/>
      <c r="G94" s="35"/>
      <c r="H94" s="35"/>
      <c r="I94" s="40"/>
      <c r="J94" s="42"/>
      <c r="K94" s="21"/>
      <c r="L94" s="21"/>
      <c r="M94" s="21"/>
      <c r="N94" s="43"/>
      <c r="O94" s="16"/>
      <c r="P94" s="42"/>
      <c r="Q94" s="21"/>
      <c r="R94" s="21"/>
      <c r="S94" s="21"/>
      <c r="T94" s="43"/>
      <c r="U94" s="16"/>
      <c r="V94" s="31"/>
      <c r="W94" s="31"/>
      <c r="X94" s="4"/>
    </row>
    <row r="95" spans="2:24" s="1" customFormat="1" ht="16.5" x14ac:dyDescent="0.2">
      <c r="B95" s="4"/>
      <c r="C95" s="26"/>
      <c r="D95" s="18"/>
      <c r="E95" s="61"/>
      <c r="F95" s="38"/>
      <c r="G95" s="35"/>
      <c r="H95" s="35"/>
      <c r="I95" s="40"/>
      <c r="J95" s="42"/>
      <c r="K95" s="21"/>
      <c r="L95" s="21"/>
      <c r="M95" s="21"/>
      <c r="N95" s="43"/>
      <c r="O95" s="16"/>
      <c r="P95" s="42"/>
      <c r="Q95" s="21"/>
      <c r="R95" s="21"/>
      <c r="S95" s="21"/>
      <c r="T95" s="43"/>
      <c r="U95" s="16"/>
      <c r="V95" s="31"/>
      <c r="W95" s="31"/>
      <c r="X95" s="4"/>
    </row>
    <row r="96" spans="2:24" s="1" customFormat="1" ht="16.5" x14ac:dyDescent="0.2">
      <c r="B96" s="4"/>
      <c r="C96" s="26"/>
      <c r="D96" s="18"/>
      <c r="E96" s="61"/>
      <c r="F96" s="38"/>
      <c r="G96" s="35"/>
      <c r="H96" s="35"/>
      <c r="I96" s="40"/>
      <c r="J96" s="42"/>
      <c r="K96" s="21"/>
      <c r="L96" s="21"/>
      <c r="M96" s="21"/>
      <c r="N96" s="43"/>
      <c r="O96" s="16"/>
      <c r="P96" s="42"/>
      <c r="Q96" s="21"/>
      <c r="R96" s="21"/>
      <c r="S96" s="21"/>
      <c r="T96" s="43"/>
      <c r="U96" s="16"/>
      <c r="V96" s="31"/>
      <c r="W96" s="31"/>
      <c r="X96" s="4"/>
    </row>
    <row r="97" spans="2:24" s="1" customFormat="1" ht="16.5" x14ac:dyDescent="0.2">
      <c r="B97" s="4"/>
      <c r="C97" s="26"/>
      <c r="D97" s="18"/>
      <c r="E97" s="61"/>
      <c r="F97" s="38"/>
      <c r="G97" s="35"/>
      <c r="H97" s="35"/>
      <c r="I97" s="40"/>
      <c r="J97" s="42"/>
      <c r="K97" s="21"/>
      <c r="L97" s="21"/>
      <c r="M97" s="21"/>
      <c r="N97" s="43"/>
      <c r="O97" s="16"/>
      <c r="P97" s="42"/>
      <c r="Q97" s="21"/>
      <c r="R97" s="21"/>
      <c r="S97" s="21"/>
      <c r="T97" s="43"/>
      <c r="U97" s="16"/>
      <c r="V97" s="31"/>
      <c r="W97" s="31"/>
      <c r="X97" s="4"/>
    </row>
    <row r="98" spans="2:24" s="1" customFormat="1" ht="16.5" x14ac:dyDescent="0.2">
      <c r="B98" s="4"/>
      <c r="C98" s="26"/>
      <c r="D98" s="18"/>
      <c r="E98" s="61"/>
      <c r="F98" s="38"/>
      <c r="G98" s="35"/>
      <c r="H98" s="35"/>
      <c r="I98" s="40"/>
      <c r="J98" s="42"/>
      <c r="K98" s="21"/>
      <c r="L98" s="21"/>
      <c r="M98" s="21"/>
      <c r="N98" s="43"/>
      <c r="O98" s="16"/>
      <c r="P98" s="42"/>
      <c r="Q98" s="21"/>
      <c r="R98" s="21"/>
      <c r="S98" s="21"/>
      <c r="T98" s="43"/>
      <c r="U98" s="16"/>
      <c r="V98" s="31"/>
      <c r="W98" s="31"/>
      <c r="X98" s="4"/>
    </row>
    <row r="99" spans="2:24" s="1" customFormat="1" ht="16.5" x14ac:dyDescent="0.2">
      <c r="B99" s="4"/>
      <c r="C99" s="26"/>
      <c r="D99" s="18"/>
      <c r="E99" s="61"/>
      <c r="F99" s="38"/>
      <c r="G99" s="35"/>
      <c r="H99" s="35"/>
      <c r="I99" s="40"/>
      <c r="J99" s="42"/>
      <c r="K99" s="21"/>
      <c r="L99" s="21"/>
      <c r="M99" s="21"/>
      <c r="N99" s="43"/>
      <c r="O99" s="16"/>
      <c r="P99" s="42"/>
      <c r="Q99" s="21"/>
      <c r="R99" s="21"/>
      <c r="S99" s="21"/>
      <c r="T99" s="43"/>
      <c r="U99" s="16"/>
      <c r="V99" s="31"/>
      <c r="W99" s="31"/>
      <c r="X99" s="4"/>
    </row>
    <row r="100" spans="2:24" s="1" customFormat="1" ht="16.5" x14ac:dyDescent="0.2">
      <c r="B100" s="4"/>
      <c r="C100" s="26"/>
      <c r="D100" s="18"/>
      <c r="E100" s="61"/>
      <c r="F100" s="38"/>
      <c r="G100" s="35"/>
      <c r="H100" s="35"/>
      <c r="I100" s="40"/>
      <c r="J100" s="42"/>
      <c r="K100" s="21"/>
      <c r="L100" s="21"/>
      <c r="M100" s="21"/>
      <c r="N100" s="43"/>
      <c r="O100" s="16"/>
      <c r="P100" s="42"/>
      <c r="Q100" s="21"/>
      <c r="R100" s="21"/>
      <c r="S100" s="21"/>
      <c r="T100" s="43"/>
      <c r="U100" s="16"/>
      <c r="V100" s="31"/>
      <c r="W100" s="31"/>
      <c r="X100" s="4"/>
    </row>
    <row r="101" spans="2:24" s="1" customFormat="1" ht="9" customHeight="1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2:24" s="1" customFormat="1" ht="9" customHeight="1" x14ac:dyDescent="0.2"/>
  </sheetData>
  <mergeCells count="8">
    <mergeCell ref="P6:U6"/>
    <mergeCell ref="V6:W6"/>
    <mergeCell ref="D1:O1"/>
    <mergeCell ref="J6:O6"/>
    <mergeCell ref="C6:C7"/>
    <mergeCell ref="D6:D7"/>
    <mergeCell ref="E6:E7"/>
    <mergeCell ref="F6:I6"/>
  </mergeCells>
  <phoneticPr fontId="2" type="noConversion"/>
  <conditionalFormatting sqref="O8:O10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{0684CBD2-2ABA-44AD-A6FA-0A6C3E874335}</x14:id>
        </ext>
      </extLst>
    </cfRule>
  </conditionalFormatting>
  <conditionalFormatting sqref="U8:U10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{CD4D59CD-5F3F-4C66-9D58-65188F5C61AB}</x14:id>
        </ext>
      </extLst>
    </cfRule>
  </conditionalFormatting>
  <conditionalFormatting sqref="W8:W1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{17EF7B8B-73A4-411A-84DE-5E699FA9F848}</x14:id>
        </ext>
      </extLst>
    </cfRule>
  </conditionalFormatting>
  <pageMargins left="0.7" right="0.7" top="0.75" bottom="0.75" header="0.3" footer="0.3"/>
  <ignoredErrors>
    <ignoredError sqref="J9:V17 J8:N8 P8:T8 V8" calculatedColumn="1"/>
  </ignoredErrors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84CBD2-2ABA-44AD-A6FA-0A6C3E874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O8:O100</xm:sqref>
        </x14:conditionalFormatting>
        <x14:conditionalFormatting xmlns:xm="http://schemas.microsoft.com/office/excel/2006/main">
          <x14:cfRule type="dataBar" id="{CD4D59CD-5F3F-4C66-9D58-65188F5C6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U8:U100</xm:sqref>
        </x14:conditionalFormatting>
        <x14:conditionalFormatting xmlns:xm="http://schemas.microsoft.com/office/excel/2006/main">
          <x14:cfRule type="dataBar" id="{17EF7B8B-73A4-411A-84DE-5E699FA9F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W8:W100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估值分析!F8:H8</xm:f>
              <xm:sqref>I8</xm:sqref>
            </x14:sparkline>
            <x14:sparkline>
              <xm:f>估值分析!F9:H9</xm:f>
              <xm:sqref>I9</xm:sqref>
            </x14:sparkline>
            <x14:sparkline>
              <xm:f>估值分析!F10:H10</xm:f>
              <xm:sqref>I10</xm:sqref>
            </x14:sparkline>
            <x14:sparkline>
              <xm:f>估值分析!F11:H11</xm:f>
              <xm:sqref>I11</xm:sqref>
            </x14:sparkline>
            <x14:sparkline>
              <xm:f>估值分析!F12:H12</xm:f>
              <xm:sqref>I12</xm:sqref>
            </x14:sparkline>
            <x14:sparkline>
              <xm:f>估值分析!F13:H13</xm:f>
              <xm:sqref>I13</xm:sqref>
            </x14:sparkline>
            <x14:sparkline>
              <xm:f>估值分析!F14:H14</xm:f>
              <xm:sqref>I14</xm:sqref>
            </x14:sparkline>
            <x14:sparkline>
              <xm:f>估值分析!F15:H15</xm:f>
              <xm:sqref>I15</xm:sqref>
            </x14:sparkline>
            <x14:sparkline>
              <xm:f>估值分析!F16:H16</xm:f>
              <xm:sqref>I16</xm:sqref>
            </x14:sparkline>
            <x14:sparkline>
              <xm:f>估值分析!F17:H17</xm:f>
              <xm:sqref>I17</xm:sqref>
            </x14:sparkline>
            <x14:sparkline>
              <xm:f>估值分析!F18:H18</xm:f>
              <xm:sqref>I18</xm:sqref>
            </x14:sparkline>
            <x14:sparkline>
              <xm:f>估值分析!F19:H19</xm:f>
              <xm:sqref>I19</xm:sqref>
            </x14:sparkline>
            <x14:sparkline>
              <xm:f>估值分析!F20:H20</xm:f>
              <xm:sqref>I20</xm:sqref>
            </x14:sparkline>
            <x14:sparkline>
              <xm:f>估值分析!F21:H21</xm:f>
              <xm:sqref>I21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63636D"/>
  </sheetPr>
  <dimension ref="A1"/>
  <sheetViews>
    <sheetView workbookViewId="0"/>
  </sheetViews>
  <sheetFormatPr defaultRowHeight="14.25" x14ac:dyDescent="0.2"/>
  <sheetData>
    <row r="1" spans="1:1" ht="17.25" x14ac:dyDescent="0.3">
      <c r="A1" s="57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基本资料</vt:lpstr>
      <vt:lpstr>估值分析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SiYu</dc:creator>
  <cp:lastModifiedBy>hong lu</cp:lastModifiedBy>
  <dcterms:created xsi:type="dcterms:W3CDTF">2022-06-16T07:25:53Z</dcterms:created>
  <dcterms:modified xsi:type="dcterms:W3CDTF">2026-03-23T06:35:01Z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385712986</vt:i4>
  </property>
  <property fmtid="{D5CDD505-2E9C-101B-9397-08002B2CF9AE}" pid="3" name="_NewReviewCycle">
    <vt:lpwstr/>
  </property>
  <property fmtid="{D5CDD505-2E9C-101B-9397-08002B2CF9AE}" pid="4" name="_EmailSubject">
    <vt:lpwstr>可比公司和报价excel模板</vt:lpwstr>
  </property>
  <property fmtid="{D5CDD505-2E9C-101B-9397-08002B2CF9AE}" pid="5" name="_AuthorEmail">
    <vt:lpwstr>jywang.jesslyn@wind.com.cn</vt:lpwstr>
  </property>
  <property fmtid="{D5CDD505-2E9C-101B-9397-08002B2CF9AE}" pid="6" name="_AuthorEmailDisplayName">
    <vt:lpwstr>Wang JiaYi</vt:lpwstr>
  </property>
  <property fmtid="{D5CDD505-2E9C-101B-9397-08002B2CF9AE}" pid="7" name="_PreviousAdHocReviewCycleID">
    <vt:i4>1246074349</vt:i4>
  </property>
  <property fmtid="{D5CDD505-2E9C-101B-9397-08002B2CF9AE}" pid="8" name="_ReviewingToolsShownOnce">
    <vt:lpwstr/>
  </property>
</Properties>
</file>