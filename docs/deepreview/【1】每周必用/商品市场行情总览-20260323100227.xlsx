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filterPrivacy="1" codeName="ThisWorkbook"/>
  <xr:revisionPtr revIDLastSave="0" documentId="13_ncr:1_{112CDCEB-9B85-424A-A725-2660EDA20F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商品市场行情总览" sheetId="3" r:id="rId1"/>
    <sheet name="Wind模板" sheetId="4" state="veryHidden" r:id="rId2"/>
    <sheet name="指数列表" sheetId="2" state="hidden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3" l="1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9" i="3"/>
  <c r="B3" i="2"/>
  <c r="A6" i="2"/>
  <c r="F199" i="3" l="1"/>
  <c r="G199" i="3"/>
  <c r="F181" i="3"/>
  <c r="G181" i="3"/>
  <c r="F163" i="3"/>
  <c r="G163" i="3"/>
  <c r="F151" i="3"/>
  <c r="G151" i="3"/>
  <c r="F139" i="3"/>
  <c r="G139" i="3"/>
  <c r="F121" i="3"/>
  <c r="G121" i="3"/>
  <c r="F186" i="3"/>
  <c r="G186" i="3"/>
  <c r="F168" i="3"/>
  <c r="G168" i="3"/>
  <c r="F150" i="3"/>
  <c r="G150" i="3"/>
  <c r="F132" i="3"/>
  <c r="G132" i="3"/>
  <c r="F197" i="3"/>
  <c r="G197" i="3"/>
  <c r="F191" i="3"/>
  <c r="G191" i="3"/>
  <c r="F185" i="3"/>
  <c r="G185" i="3"/>
  <c r="F179" i="3"/>
  <c r="G179" i="3"/>
  <c r="F173" i="3"/>
  <c r="G173" i="3"/>
  <c r="F167" i="3"/>
  <c r="G167" i="3"/>
  <c r="F161" i="3"/>
  <c r="G161" i="3"/>
  <c r="F155" i="3"/>
  <c r="G155" i="3"/>
  <c r="F149" i="3"/>
  <c r="G149" i="3"/>
  <c r="F143" i="3"/>
  <c r="G143" i="3"/>
  <c r="F137" i="3"/>
  <c r="G137" i="3"/>
  <c r="F131" i="3"/>
  <c r="G131" i="3"/>
  <c r="F125" i="3"/>
  <c r="G125" i="3"/>
  <c r="F195" i="3"/>
  <c r="G195" i="3"/>
  <c r="F189" i="3"/>
  <c r="G189" i="3"/>
  <c r="F183" i="3"/>
  <c r="G183" i="3"/>
  <c r="F177" i="3"/>
  <c r="G177" i="3"/>
  <c r="F171" i="3"/>
  <c r="G171" i="3"/>
  <c r="F165" i="3"/>
  <c r="G165" i="3"/>
  <c r="F159" i="3"/>
  <c r="G159" i="3"/>
  <c r="F153" i="3"/>
  <c r="G153" i="3"/>
  <c r="F147" i="3"/>
  <c r="G147" i="3"/>
  <c r="F141" i="3"/>
  <c r="G141" i="3"/>
  <c r="F135" i="3"/>
  <c r="G135" i="3"/>
  <c r="F129" i="3"/>
  <c r="G129" i="3"/>
  <c r="F123" i="3"/>
  <c r="G123" i="3"/>
  <c r="F117" i="3"/>
  <c r="G117" i="3"/>
  <c r="F200" i="3"/>
  <c r="G200" i="3"/>
  <c r="F194" i="3"/>
  <c r="G194" i="3"/>
  <c r="F188" i="3"/>
  <c r="G188" i="3"/>
  <c r="F182" i="3"/>
  <c r="G182" i="3"/>
  <c r="F176" i="3"/>
  <c r="G176" i="3"/>
  <c r="F170" i="3"/>
  <c r="G170" i="3"/>
  <c r="F164" i="3"/>
  <c r="G164" i="3"/>
  <c r="F158" i="3"/>
  <c r="G158" i="3"/>
  <c r="F152" i="3"/>
  <c r="G152" i="3"/>
  <c r="F146" i="3"/>
  <c r="G146" i="3"/>
  <c r="F140" i="3"/>
  <c r="G140" i="3"/>
  <c r="F134" i="3"/>
  <c r="G134" i="3"/>
  <c r="F128" i="3"/>
  <c r="G128" i="3"/>
  <c r="F122" i="3"/>
  <c r="G122" i="3"/>
  <c r="F193" i="3"/>
  <c r="G193" i="3"/>
  <c r="F175" i="3"/>
  <c r="G175" i="3"/>
  <c r="F157" i="3"/>
  <c r="G157" i="3"/>
  <c r="F133" i="3"/>
  <c r="G133" i="3"/>
  <c r="F198" i="3"/>
  <c r="G198" i="3"/>
  <c r="F180" i="3"/>
  <c r="G180" i="3"/>
  <c r="F162" i="3"/>
  <c r="G162" i="3"/>
  <c r="F144" i="3"/>
  <c r="G144" i="3"/>
  <c r="F126" i="3"/>
  <c r="G126" i="3"/>
  <c r="F119" i="3"/>
  <c r="G119" i="3"/>
  <c r="F187" i="3"/>
  <c r="G187" i="3"/>
  <c r="F169" i="3"/>
  <c r="G169" i="3"/>
  <c r="F145" i="3"/>
  <c r="G145" i="3"/>
  <c r="F127" i="3"/>
  <c r="G127" i="3"/>
  <c r="F192" i="3"/>
  <c r="G192" i="3"/>
  <c r="F174" i="3"/>
  <c r="G174" i="3"/>
  <c r="F156" i="3"/>
  <c r="G156" i="3"/>
  <c r="F138" i="3"/>
  <c r="G138" i="3"/>
  <c r="F120" i="3"/>
  <c r="G120" i="3"/>
  <c r="F196" i="3"/>
  <c r="G196" i="3"/>
  <c r="F190" i="3"/>
  <c r="G190" i="3"/>
  <c r="F184" i="3"/>
  <c r="G184" i="3"/>
  <c r="F178" i="3"/>
  <c r="G178" i="3"/>
  <c r="F172" i="3"/>
  <c r="G172" i="3"/>
  <c r="F166" i="3"/>
  <c r="G166" i="3"/>
  <c r="F160" i="3"/>
  <c r="G160" i="3"/>
  <c r="F154" i="3"/>
  <c r="G154" i="3"/>
  <c r="F148" i="3"/>
  <c r="G148" i="3"/>
  <c r="F142" i="3"/>
  <c r="G142" i="3"/>
  <c r="F136" i="3"/>
  <c r="G136" i="3"/>
  <c r="F130" i="3"/>
  <c r="G130" i="3"/>
  <c r="F124" i="3"/>
  <c r="G124" i="3"/>
  <c r="F118" i="3"/>
  <c r="G118" i="3"/>
  <c r="K199" i="3"/>
  <c r="K197" i="3"/>
  <c r="J195" i="3"/>
  <c r="J192" i="3"/>
  <c r="K190" i="3"/>
  <c r="N189" i="3"/>
  <c r="D188" i="3"/>
  <c r="K187" i="3"/>
  <c r="K185" i="3"/>
  <c r="J183" i="3"/>
  <c r="K181" i="3"/>
  <c r="I180" i="3"/>
  <c r="K179" i="3"/>
  <c r="K178" i="3"/>
  <c r="O177" i="3"/>
  <c r="O176" i="3"/>
  <c r="K175" i="3"/>
  <c r="O174" i="3"/>
  <c r="K173" i="3"/>
  <c r="K172" i="3"/>
  <c r="N171" i="3"/>
  <c r="O170" i="3"/>
  <c r="J168" i="3"/>
  <c r="K167" i="3"/>
  <c r="K166" i="3"/>
  <c r="O165" i="3"/>
  <c r="D164" i="3"/>
  <c r="K163" i="3"/>
  <c r="I162" i="3"/>
  <c r="N161" i="3"/>
  <c r="K161" i="3"/>
  <c r="K160" i="3"/>
  <c r="O158" i="3"/>
  <c r="K157" i="3"/>
  <c r="I156" i="3"/>
  <c r="K155" i="3"/>
  <c r="N154" i="3"/>
  <c r="K154" i="3"/>
  <c r="O153" i="3"/>
  <c r="K151" i="3"/>
  <c r="J150" i="3"/>
  <c r="K149" i="3"/>
  <c r="K148" i="3"/>
  <c r="J147" i="3"/>
  <c r="O146" i="3"/>
  <c r="D146" i="3"/>
  <c r="K145" i="3"/>
  <c r="I144" i="3"/>
  <c r="N143" i="3"/>
  <c r="O142" i="3"/>
  <c r="N141" i="3"/>
  <c r="I140" i="3"/>
  <c r="J139" i="3"/>
  <c r="K139" i="3"/>
  <c r="J138" i="3"/>
  <c r="J137" i="3"/>
  <c r="D137" i="3"/>
  <c r="I136" i="3"/>
  <c r="O1" i="3"/>
  <c r="O135" i="3"/>
  <c r="O134" i="3"/>
  <c r="O133" i="3"/>
  <c r="O132" i="3"/>
  <c r="O130" i="3"/>
  <c r="O128" i="3"/>
  <c r="O127" i="3"/>
  <c r="O126" i="3"/>
  <c r="O125" i="3"/>
  <c r="O124" i="3"/>
  <c r="O123" i="3"/>
  <c r="O122" i="3"/>
  <c r="O131" i="3"/>
  <c r="O129" i="3"/>
  <c r="O121" i="3"/>
  <c r="O120" i="3"/>
  <c r="O119" i="3"/>
  <c r="O118" i="3"/>
  <c r="O117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D133" i="3"/>
  <c r="D131" i="3"/>
  <c r="D129" i="3"/>
  <c r="D127" i="3"/>
  <c r="D123" i="3"/>
  <c r="D121" i="3"/>
  <c r="D117" i="3"/>
  <c r="D135" i="3"/>
  <c r="D125" i="3"/>
  <c r="D119" i="3"/>
  <c r="D134" i="3"/>
  <c r="D132" i="3"/>
  <c r="D130" i="3"/>
  <c r="D128" i="3"/>
  <c r="D126" i="3"/>
  <c r="D124" i="3"/>
  <c r="D122" i="3"/>
  <c r="D120" i="3"/>
  <c r="D118" i="3"/>
  <c r="O115" i="3"/>
  <c r="N113" i="3"/>
  <c r="D115" i="3"/>
  <c r="G95" i="3"/>
  <c r="D96" i="3"/>
  <c r="G97" i="3"/>
  <c r="G100" i="3"/>
  <c r="N94" i="3"/>
  <c r="F97" i="3"/>
  <c r="O114" i="3"/>
  <c r="N112" i="3"/>
  <c r="D111" i="3"/>
  <c r="F95" i="3"/>
  <c r="O103" i="3"/>
  <c r="D95" i="3"/>
  <c r="G94" i="3"/>
  <c r="O113" i="3"/>
  <c r="N111" i="3"/>
  <c r="D107" i="3"/>
  <c r="D116" i="3"/>
  <c r="D99" i="3"/>
  <c r="D94" i="3"/>
  <c r="D103" i="3"/>
  <c r="O97" i="3"/>
  <c r="O104" i="3"/>
  <c r="O112" i="3"/>
  <c r="N110" i="3"/>
  <c r="D105" i="3"/>
  <c r="D114" i="3"/>
  <c r="N104" i="3"/>
  <c r="O94" i="3"/>
  <c r="G101" i="3"/>
  <c r="N96" i="3"/>
  <c r="G116" i="3"/>
  <c r="G106" i="3"/>
  <c r="F114" i="3"/>
  <c r="F108" i="3"/>
  <c r="F109" i="3"/>
  <c r="O111" i="3"/>
  <c r="N109" i="3"/>
  <c r="D112" i="3"/>
  <c r="O99" i="3"/>
  <c r="O100" i="3"/>
  <c r="O95" i="3"/>
  <c r="N95" i="3"/>
  <c r="F96" i="3"/>
  <c r="D101" i="3"/>
  <c r="G114" i="3"/>
  <c r="G108" i="3"/>
  <c r="G109" i="3"/>
  <c r="O110" i="3"/>
  <c r="N108" i="3"/>
  <c r="D110" i="3"/>
  <c r="D93" i="3"/>
  <c r="F104" i="3"/>
  <c r="G104" i="3"/>
  <c r="O98" i="3"/>
  <c r="G102" i="3"/>
  <c r="F93" i="3"/>
  <c r="O109" i="3"/>
  <c r="N107" i="3"/>
  <c r="D108" i="3"/>
  <c r="F103" i="3"/>
  <c r="F98" i="3"/>
  <c r="G105" i="3"/>
  <c r="O105" i="3"/>
  <c r="O108" i="3"/>
  <c r="N106" i="3"/>
  <c r="D113" i="3"/>
  <c r="D106" i="3"/>
  <c r="D104" i="3"/>
  <c r="D98" i="3"/>
  <c r="F101" i="3"/>
  <c r="N114" i="3"/>
  <c r="F115" i="3"/>
  <c r="F113" i="3"/>
  <c r="O107" i="3"/>
  <c r="N105" i="3"/>
  <c r="D109" i="3"/>
  <c r="O93" i="3"/>
  <c r="N102" i="3"/>
  <c r="N97" i="3"/>
  <c r="F99" i="3"/>
  <c r="G96" i="3"/>
  <c r="O116" i="3"/>
  <c r="G115" i="3"/>
  <c r="G113" i="3"/>
  <c r="O106" i="3"/>
  <c r="F92" i="3"/>
  <c r="N92" i="3"/>
  <c r="F102" i="3"/>
  <c r="N103" i="3"/>
  <c r="G111" i="3"/>
  <c r="F107" i="3"/>
  <c r="D100" i="3"/>
  <c r="G99" i="3"/>
  <c r="O92" i="3"/>
  <c r="N93" i="3"/>
  <c r="F94" i="3"/>
  <c r="G107" i="3"/>
  <c r="N98" i="3"/>
  <c r="N100" i="3"/>
  <c r="F100" i="3"/>
  <c r="O101" i="3"/>
  <c r="G112" i="3"/>
  <c r="G92" i="3"/>
  <c r="D92" i="3"/>
  <c r="F111" i="3"/>
  <c r="F116" i="3"/>
  <c r="F112" i="3"/>
  <c r="G98" i="3"/>
  <c r="O102" i="3"/>
  <c r="D102" i="3"/>
  <c r="G103" i="3"/>
  <c r="N116" i="3"/>
  <c r="N99" i="3"/>
  <c r="F105" i="3"/>
  <c r="F110" i="3"/>
  <c r="F106" i="3"/>
  <c r="N115" i="3"/>
  <c r="G93" i="3"/>
  <c r="O96" i="3"/>
  <c r="D97" i="3"/>
  <c r="N101" i="3"/>
  <c r="G110" i="3"/>
  <c r="O84" i="3"/>
  <c r="G89" i="3"/>
  <c r="N87" i="3"/>
  <c r="F84" i="3"/>
  <c r="N82" i="3"/>
  <c r="D84" i="3"/>
  <c r="F82" i="3"/>
  <c r="D87" i="3"/>
  <c r="G91" i="3"/>
  <c r="D90" i="3"/>
  <c r="N89" i="3"/>
  <c r="F90" i="3"/>
  <c r="F86" i="3"/>
  <c r="G83" i="3"/>
  <c r="D88" i="3"/>
  <c r="G85" i="3"/>
  <c r="N90" i="3"/>
  <c r="O86" i="3"/>
  <c r="O89" i="3"/>
  <c r="G84" i="3"/>
  <c r="G90" i="3"/>
  <c r="O83" i="3"/>
  <c r="G82" i="3"/>
  <c r="D81" i="3"/>
  <c r="N86" i="3"/>
  <c r="F83" i="3"/>
  <c r="D85" i="3"/>
  <c r="D82" i="3"/>
  <c r="F85" i="3"/>
  <c r="O87" i="3"/>
  <c r="N88" i="3"/>
  <c r="O82" i="3"/>
  <c r="F87" i="3"/>
  <c r="O90" i="3"/>
  <c r="D86" i="3"/>
  <c r="N81" i="3"/>
  <c r="G86" i="3"/>
  <c r="N85" i="3"/>
  <c r="G81" i="3"/>
  <c r="N91" i="3"/>
  <c r="O91" i="3"/>
  <c r="G87" i="3"/>
  <c r="F81" i="3"/>
  <c r="N84" i="3"/>
  <c r="F88" i="3"/>
  <c r="F91" i="3"/>
  <c r="N83" i="3"/>
  <c r="O88" i="3"/>
  <c r="D83" i="3"/>
  <c r="O81" i="3"/>
  <c r="F89" i="3"/>
  <c r="O85" i="3"/>
  <c r="G88" i="3"/>
  <c r="D89" i="3"/>
  <c r="D91" i="3"/>
  <c r="F69" i="3"/>
  <c r="F51" i="3"/>
  <c r="O55" i="3"/>
  <c r="F45" i="3"/>
  <c r="O30" i="3"/>
  <c r="D64" i="3"/>
  <c r="G36" i="3"/>
  <c r="O75" i="3"/>
  <c r="M10" i="3"/>
  <c r="G77" i="3"/>
  <c r="D22" i="3"/>
  <c r="G25" i="3"/>
  <c r="N49" i="3"/>
  <c r="N16" i="3"/>
  <c r="G74" i="3"/>
  <c r="N41" i="3"/>
  <c r="F41" i="3"/>
  <c r="O65" i="3"/>
  <c r="O77" i="3"/>
  <c r="F14" i="3"/>
  <c r="F77" i="3"/>
  <c r="G32" i="3"/>
  <c r="D14" i="3"/>
  <c r="O58" i="3"/>
  <c r="G44" i="3"/>
  <c r="G78" i="3"/>
  <c r="N70" i="3"/>
  <c r="D31" i="3"/>
  <c r="G20" i="3"/>
  <c r="F62" i="3"/>
  <c r="O34" i="3"/>
  <c r="O38" i="3"/>
  <c r="N74" i="3"/>
  <c r="G47" i="3"/>
  <c r="D75" i="3"/>
  <c r="N71" i="3"/>
  <c r="N54" i="3"/>
  <c r="D33" i="3"/>
  <c r="N44" i="3"/>
  <c r="F48" i="3"/>
  <c r="G69" i="3"/>
  <c r="O76" i="3"/>
  <c r="N79" i="3"/>
  <c r="G24" i="3"/>
  <c r="D23" i="3"/>
  <c r="D34" i="3"/>
  <c r="D43" i="3"/>
  <c r="N35" i="3"/>
  <c r="F31" i="3"/>
  <c r="F78" i="3"/>
  <c r="F25" i="3"/>
  <c r="D18" i="3"/>
  <c r="O79" i="3"/>
  <c r="O71" i="3"/>
  <c r="G60" i="3"/>
  <c r="N15" i="3"/>
  <c r="F59" i="3"/>
  <c r="G67" i="3"/>
  <c r="G26" i="3"/>
  <c r="N17" i="3"/>
  <c r="N40" i="3"/>
  <c r="N29" i="3"/>
  <c r="O69" i="3"/>
  <c r="G22" i="3"/>
  <c r="O35" i="3"/>
  <c r="D73" i="3"/>
  <c r="G68" i="3"/>
  <c r="F32" i="3"/>
  <c r="F10" i="3"/>
  <c r="D11" i="3"/>
  <c r="G58" i="3"/>
  <c r="D32" i="3"/>
  <c r="O67" i="3"/>
  <c r="G64" i="3"/>
  <c r="D27" i="3"/>
  <c r="O53" i="3"/>
  <c r="N32" i="3"/>
  <c r="G39" i="3"/>
  <c r="D50" i="3"/>
  <c r="F47" i="3"/>
  <c r="O45" i="3"/>
  <c r="N63" i="3"/>
  <c r="D41" i="3"/>
  <c r="D76" i="3"/>
  <c r="D39" i="3"/>
  <c r="G54" i="3"/>
  <c r="D77" i="3"/>
  <c r="N73" i="3"/>
  <c r="G21" i="3"/>
  <c r="G48" i="3"/>
  <c r="D20" i="3"/>
  <c r="F30" i="3"/>
  <c r="O60" i="3"/>
  <c r="M12" i="3"/>
  <c r="D48" i="3"/>
  <c r="F38" i="3"/>
  <c r="N38" i="3"/>
  <c r="F52" i="3"/>
  <c r="N42" i="3"/>
  <c r="G70" i="3"/>
  <c r="G29" i="3"/>
  <c r="O14" i="3"/>
  <c r="D60" i="3"/>
  <c r="N58" i="3"/>
  <c r="O43" i="3"/>
  <c r="D45" i="3"/>
  <c r="G80" i="3"/>
  <c r="G45" i="3"/>
  <c r="G71" i="3"/>
  <c r="F50" i="3"/>
  <c r="G41" i="3"/>
  <c r="D47" i="3"/>
  <c r="O47" i="3"/>
  <c r="G61" i="3"/>
  <c r="D59" i="3"/>
  <c r="O31" i="3"/>
  <c r="O36" i="3"/>
  <c r="F57" i="3"/>
  <c r="F24" i="3"/>
  <c r="N25" i="3"/>
  <c r="D24" i="3"/>
  <c r="N37" i="3"/>
  <c r="O59" i="3"/>
  <c r="D79" i="3"/>
  <c r="D40" i="3"/>
  <c r="F42" i="3"/>
  <c r="O56" i="3"/>
  <c r="G50" i="3"/>
  <c r="F54" i="3"/>
  <c r="O21" i="3"/>
  <c r="D15" i="3"/>
  <c r="N56" i="3"/>
  <c r="M13" i="3"/>
  <c r="O16" i="3"/>
  <c r="O15" i="3"/>
  <c r="F34" i="3"/>
  <c r="O72" i="3"/>
  <c r="N60" i="3"/>
  <c r="G11" i="3"/>
  <c r="F68" i="3"/>
  <c r="D62" i="3"/>
  <c r="N78" i="3"/>
  <c r="O42" i="3"/>
  <c r="O50" i="3"/>
  <c r="N27" i="3"/>
  <c r="N39" i="3"/>
  <c r="N50" i="3"/>
  <c r="F13" i="3"/>
  <c r="O51" i="3"/>
  <c r="G62" i="3"/>
  <c r="F39" i="3"/>
  <c r="D67" i="3"/>
  <c r="F27" i="3"/>
  <c r="F17" i="3"/>
  <c r="F76" i="3"/>
  <c r="N33" i="3"/>
  <c r="G9" i="3"/>
  <c r="F46" i="3"/>
  <c r="O46" i="3"/>
  <c r="D35" i="3"/>
  <c r="O29" i="3"/>
  <c r="O17" i="3"/>
  <c r="F71" i="3"/>
  <c r="O49" i="3"/>
  <c r="F21" i="3"/>
  <c r="D80" i="3"/>
  <c r="F26" i="3"/>
  <c r="F49" i="3"/>
  <c r="N64" i="3"/>
  <c r="N52" i="3"/>
  <c r="O73" i="3"/>
  <c r="N12" i="3"/>
  <c r="F73" i="3"/>
  <c r="O19" i="3"/>
  <c r="G17" i="3"/>
  <c r="G49" i="3"/>
  <c r="F11" i="3"/>
  <c r="F70" i="3"/>
  <c r="G63" i="3"/>
  <c r="D42" i="3"/>
  <c r="G34" i="3"/>
  <c r="G40" i="3"/>
  <c r="G72" i="3"/>
  <c r="G37" i="3"/>
  <c r="O54" i="3"/>
  <c r="O33" i="3"/>
  <c r="G14" i="3"/>
  <c r="G57" i="3"/>
  <c r="D29" i="3"/>
  <c r="F40" i="3"/>
  <c r="N20" i="3"/>
  <c r="D46" i="3"/>
  <c r="G10" i="3"/>
  <c r="O61" i="3"/>
  <c r="N76" i="3"/>
  <c r="F60" i="3"/>
  <c r="F66" i="3"/>
  <c r="F19" i="3"/>
  <c r="F16" i="3"/>
  <c r="N24" i="3"/>
  <c r="N14" i="3"/>
  <c r="N66" i="3"/>
  <c r="O64" i="3"/>
  <c r="O24" i="3"/>
  <c r="N62" i="3"/>
  <c r="O74" i="3"/>
  <c r="O44" i="3"/>
  <c r="D69" i="3"/>
  <c r="F67" i="3"/>
  <c r="G16" i="3"/>
  <c r="N43" i="3"/>
  <c r="N72" i="3"/>
  <c r="N31" i="3"/>
  <c r="D61" i="3"/>
  <c r="F53" i="3"/>
  <c r="N22" i="3"/>
  <c r="G79" i="3"/>
  <c r="O39" i="3"/>
  <c r="G33" i="3"/>
  <c r="G55" i="3"/>
  <c r="D10" i="3"/>
  <c r="D52" i="3"/>
  <c r="O48" i="3"/>
  <c r="N75" i="3"/>
  <c r="G56" i="3"/>
  <c r="G66" i="3"/>
  <c r="N53" i="3"/>
  <c r="G28" i="3"/>
  <c r="F58" i="3"/>
  <c r="F35" i="3"/>
  <c r="N11" i="3"/>
  <c r="N55" i="3"/>
  <c r="D57" i="3"/>
  <c r="F61" i="3"/>
  <c r="F33" i="3"/>
  <c r="D37" i="3"/>
  <c r="F44" i="3"/>
  <c r="O80" i="3"/>
  <c r="D36" i="3"/>
  <c r="O62" i="3"/>
  <c r="F18" i="3"/>
  <c r="F9" i="3"/>
  <c r="D56" i="3"/>
  <c r="N34" i="3"/>
  <c r="O68" i="3"/>
  <c r="G75" i="3"/>
  <c r="G31" i="3"/>
  <c r="G27" i="3"/>
  <c r="D51" i="3"/>
  <c r="N68" i="3"/>
  <c r="D16" i="3"/>
  <c r="N28" i="3"/>
  <c r="O63" i="3"/>
  <c r="N65" i="3"/>
  <c r="N36" i="3"/>
  <c r="F65" i="3"/>
  <c r="F15" i="3"/>
  <c r="F79" i="3"/>
  <c r="G46" i="3"/>
  <c r="G35" i="3"/>
  <c r="O26" i="3"/>
  <c r="D28" i="3"/>
  <c r="O23" i="3"/>
  <c r="F12" i="3"/>
  <c r="N67" i="3"/>
  <c r="F43" i="3"/>
  <c r="O78" i="3"/>
  <c r="N59" i="3"/>
  <c r="O12" i="3"/>
  <c r="G30" i="3"/>
  <c r="D26" i="3"/>
  <c r="D54" i="3"/>
  <c r="O20" i="3"/>
  <c r="F36" i="3"/>
  <c r="F56" i="3"/>
  <c r="D66" i="3"/>
  <c r="G73" i="3"/>
  <c r="F55" i="3"/>
  <c r="G38" i="3"/>
  <c r="G65" i="3"/>
  <c r="D49" i="3"/>
  <c r="O41" i="3"/>
  <c r="D58" i="3"/>
  <c r="N30" i="3"/>
  <c r="N48" i="3"/>
  <c r="G23" i="3"/>
  <c r="O18" i="3"/>
  <c r="G59" i="3"/>
  <c r="F63" i="3"/>
  <c r="D19" i="3"/>
  <c r="D38" i="3"/>
  <c r="F37" i="3"/>
  <c r="F28" i="3"/>
  <c r="O25" i="3"/>
  <c r="D44" i="3"/>
  <c r="N77" i="3"/>
  <c r="D53" i="3"/>
  <c r="N23" i="3"/>
  <c r="E12" i="3"/>
  <c r="N61" i="3"/>
  <c r="G19" i="3"/>
  <c r="F29" i="3"/>
  <c r="F72" i="3"/>
  <c r="G52" i="3"/>
  <c r="G42" i="3"/>
  <c r="F80" i="3"/>
  <c r="N45" i="3"/>
  <c r="O32" i="3"/>
  <c r="G43" i="3"/>
  <c r="D25" i="3"/>
  <c r="N21" i="3"/>
  <c r="F64" i="3"/>
  <c r="N69" i="3"/>
  <c r="O11" i="3"/>
  <c r="F23" i="3"/>
  <c r="N51" i="3"/>
  <c r="D21" i="3"/>
  <c r="D17" i="3"/>
  <c r="D63" i="3"/>
  <c r="N57" i="3"/>
  <c r="D70" i="3"/>
  <c r="D55" i="3"/>
  <c r="O27" i="3"/>
  <c r="N46" i="3"/>
  <c r="G12" i="3"/>
  <c r="O40" i="3"/>
  <c r="G13" i="3"/>
  <c r="N18" i="3"/>
  <c r="G76" i="3"/>
  <c r="G51" i="3"/>
  <c r="O66" i="3"/>
  <c r="O70" i="3"/>
  <c r="G15" i="3"/>
  <c r="O37" i="3"/>
  <c r="G18" i="3"/>
  <c r="D74" i="3"/>
  <c r="F22" i="3"/>
  <c r="F74" i="3"/>
  <c r="D68" i="3"/>
  <c r="N19" i="3"/>
  <c r="N47" i="3"/>
  <c r="O52" i="3"/>
  <c r="D65" i="3"/>
  <c r="N80" i="3"/>
  <c r="D72" i="3"/>
  <c r="O22" i="3"/>
  <c r="O57" i="3"/>
  <c r="D71" i="3"/>
  <c r="D78" i="3"/>
  <c r="D30" i="3"/>
  <c r="N26" i="3"/>
  <c r="F20" i="3"/>
  <c r="F75" i="3"/>
  <c r="O28" i="3"/>
  <c r="G53" i="3"/>
  <c r="N197" i="3" l="1"/>
  <c r="D161" i="3"/>
  <c r="I173" i="3"/>
  <c r="K193" i="3"/>
  <c r="I193" i="3"/>
  <c r="K143" i="3"/>
  <c r="J143" i="3"/>
  <c r="D193" i="3"/>
  <c r="K137" i="3"/>
  <c r="I137" i="3"/>
  <c r="K169" i="3"/>
  <c r="J169" i="3"/>
  <c r="J145" i="3"/>
  <c r="I169" i="3"/>
  <c r="D143" i="3"/>
  <c r="N160" i="3"/>
  <c r="D163" i="3"/>
  <c r="O180" i="3"/>
  <c r="N163" i="3"/>
  <c r="I172" i="3"/>
  <c r="D176" i="3"/>
  <c r="I148" i="3"/>
  <c r="J153" i="3"/>
  <c r="N181" i="3"/>
  <c r="O200" i="3"/>
  <c r="K6" i="3"/>
  <c r="I138" i="3"/>
  <c r="N139" i="3"/>
  <c r="D145" i="3"/>
  <c r="N149" i="3"/>
  <c r="I154" i="3"/>
  <c r="N157" i="3"/>
  <c r="N177" i="3"/>
  <c r="I145" i="3"/>
  <c r="N167" i="3"/>
  <c r="D173" i="3"/>
  <c r="J180" i="3"/>
  <c r="K184" i="3"/>
  <c r="N184" i="3"/>
  <c r="D151" i="3"/>
  <c r="N153" i="3"/>
  <c r="J161" i="3"/>
  <c r="I163" i="3"/>
  <c r="I166" i="3"/>
  <c r="J171" i="3"/>
  <c r="J173" i="3"/>
  <c r="I179" i="3"/>
  <c r="K191" i="3"/>
  <c r="N191" i="3"/>
  <c r="D191" i="3"/>
  <c r="N137" i="3"/>
  <c r="D139" i="3"/>
  <c r="N148" i="3"/>
  <c r="I151" i="3"/>
  <c r="I160" i="3"/>
  <c r="J163" i="3"/>
  <c r="D169" i="3"/>
  <c r="N173" i="3"/>
  <c r="J179" i="3"/>
  <c r="K196" i="3"/>
  <c r="I196" i="3"/>
  <c r="J151" i="3"/>
  <c r="N166" i="3"/>
  <c r="J193" i="3"/>
  <c r="D187" i="3"/>
  <c r="I190" i="3"/>
  <c r="D197" i="3"/>
  <c r="J187" i="3"/>
  <c r="I192" i="3"/>
  <c r="I197" i="3"/>
  <c r="D200" i="3"/>
  <c r="N187" i="3"/>
  <c r="N190" i="3"/>
  <c r="J197" i="3"/>
  <c r="D149" i="3"/>
  <c r="J149" i="3"/>
  <c r="O150" i="3"/>
  <c r="I157" i="3"/>
  <c r="J167" i="3"/>
  <c r="O168" i="3"/>
  <c r="N172" i="3"/>
  <c r="N175" i="3"/>
  <c r="I181" i="3"/>
  <c r="I185" i="3"/>
  <c r="J191" i="3"/>
  <c r="O192" i="3"/>
  <c r="N196" i="3"/>
  <c r="N199" i="3"/>
  <c r="I168" i="3"/>
  <c r="O189" i="3"/>
  <c r="I139" i="3"/>
  <c r="O140" i="3"/>
  <c r="I143" i="3"/>
  <c r="N155" i="3"/>
  <c r="J157" i="3"/>
  <c r="O164" i="3"/>
  <c r="D179" i="3"/>
  <c r="J181" i="3"/>
  <c r="I184" i="3"/>
  <c r="J185" i="3"/>
  <c r="I187" i="3"/>
  <c r="O188" i="3"/>
  <c r="O141" i="3"/>
  <c r="N165" i="3"/>
  <c r="D175" i="3"/>
  <c r="I178" i="3"/>
  <c r="N185" i="3"/>
  <c r="D199" i="3"/>
  <c r="I150" i="3"/>
  <c r="D155" i="3"/>
  <c r="I175" i="3"/>
  <c r="I199" i="3"/>
  <c r="D167" i="3"/>
  <c r="N145" i="3"/>
  <c r="I149" i="3"/>
  <c r="N151" i="3"/>
  <c r="J155" i="3"/>
  <c r="D157" i="3"/>
  <c r="I167" i="3"/>
  <c r="N169" i="3"/>
  <c r="J175" i="3"/>
  <c r="N178" i="3"/>
  <c r="N179" i="3"/>
  <c r="D181" i="3"/>
  <c r="D185" i="3"/>
  <c r="I191" i="3"/>
  <c r="N193" i="3"/>
  <c r="J199" i="3"/>
  <c r="K159" i="3"/>
  <c r="I159" i="3"/>
  <c r="D159" i="3"/>
  <c r="K182" i="3"/>
  <c r="J182" i="3"/>
  <c r="I182" i="3"/>
  <c r="N182" i="3"/>
  <c r="K186" i="3"/>
  <c r="N186" i="3"/>
  <c r="D186" i="3"/>
  <c r="K194" i="3"/>
  <c r="J194" i="3"/>
  <c r="I194" i="3"/>
  <c r="N194" i="3"/>
  <c r="K198" i="3"/>
  <c r="N198" i="3"/>
  <c r="D198" i="3"/>
  <c r="K138" i="3"/>
  <c r="N138" i="3"/>
  <c r="D138" i="3"/>
  <c r="O147" i="3"/>
  <c r="K153" i="3"/>
  <c r="I153" i="3"/>
  <c r="D153" i="3"/>
  <c r="O162" i="3"/>
  <c r="K164" i="3"/>
  <c r="J164" i="3"/>
  <c r="I164" i="3"/>
  <c r="N164" i="3"/>
  <c r="K168" i="3"/>
  <c r="N168" i="3"/>
  <c r="D168" i="3"/>
  <c r="K176" i="3"/>
  <c r="J176" i="3"/>
  <c r="I176" i="3"/>
  <c r="N176" i="3"/>
  <c r="K180" i="3"/>
  <c r="N180" i="3"/>
  <c r="D180" i="3"/>
  <c r="O182" i="3"/>
  <c r="O186" i="3"/>
  <c r="K188" i="3"/>
  <c r="J188" i="3"/>
  <c r="I188" i="3"/>
  <c r="N188" i="3"/>
  <c r="K192" i="3"/>
  <c r="N192" i="3"/>
  <c r="D192" i="3"/>
  <c r="O194" i="3"/>
  <c r="O198" i="3"/>
  <c r="K200" i="3"/>
  <c r="J200" i="3"/>
  <c r="I200" i="3"/>
  <c r="N200" i="3"/>
  <c r="K136" i="3"/>
  <c r="D136" i="3"/>
  <c r="J136" i="3"/>
  <c r="K144" i="3"/>
  <c r="N144" i="3"/>
  <c r="D144" i="3"/>
  <c r="K156" i="3"/>
  <c r="N156" i="3"/>
  <c r="D156" i="3"/>
  <c r="K171" i="3"/>
  <c r="I171" i="3"/>
  <c r="D171" i="3"/>
  <c r="K183" i="3"/>
  <c r="I183" i="3"/>
  <c r="D183" i="3"/>
  <c r="K195" i="3"/>
  <c r="I195" i="3"/>
  <c r="D195" i="3"/>
  <c r="K141" i="3"/>
  <c r="I141" i="3"/>
  <c r="D152" i="3"/>
  <c r="K170" i="3"/>
  <c r="J170" i="3"/>
  <c r="I170" i="3"/>
  <c r="N170" i="3"/>
  <c r="K174" i="3"/>
  <c r="N174" i="3"/>
  <c r="D174" i="3"/>
  <c r="N183" i="3"/>
  <c r="N195" i="3"/>
  <c r="K142" i="3"/>
  <c r="D142" i="3"/>
  <c r="J142" i="3"/>
  <c r="J144" i="3"/>
  <c r="J156" i="3"/>
  <c r="J159" i="3"/>
  <c r="N136" i="3"/>
  <c r="O138" i="3"/>
  <c r="K140" i="3"/>
  <c r="J140" i="3"/>
  <c r="N140" i="3"/>
  <c r="D141" i="3"/>
  <c r="O156" i="3"/>
  <c r="K158" i="3"/>
  <c r="J158" i="3"/>
  <c r="I158" i="3"/>
  <c r="N158" i="3"/>
  <c r="N159" i="3"/>
  <c r="K165" i="3"/>
  <c r="I165" i="3"/>
  <c r="D165" i="3"/>
  <c r="D170" i="3"/>
  <c r="O171" i="3"/>
  <c r="I174" i="3"/>
  <c r="K177" i="3"/>
  <c r="I177" i="3"/>
  <c r="D177" i="3"/>
  <c r="D182" i="3"/>
  <c r="O183" i="3"/>
  <c r="I186" i="3"/>
  <c r="K189" i="3"/>
  <c r="I189" i="3"/>
  <c r="D189" i="3"/>
  <c r="D194" i="3"/>
  <c r="O195" i="3"/>
  <c r="I198" i="3"/>
  <c r="K152" i="3"/>
  <c r="J152" i="3"/>
  <c r="I152" i="3"/>
  <c r="N152" i="3"/>
  <c r="I142" i="3"/>
  <c r="K147" i="3"/>
  <c r="I147" i="3"/>
  <c r="D147" i="3"/>
  <c r="K162" i="3"/>
  <c r="N162" i="3"/>
  <c r="D162" i="3"/>
  <c r="O136" i="3"/>
  <c r="D140" i="3"/>
  <c r="J141" i="3"/>
  <c r="N142" i="3"/>
  <c r="O144" i="3"/>
  <c r="K146" i="3"/>
  <c r="J146" i="3"/>
  <c r="I146" i="3"/>
  <c r="N146" i="3"/>
  <c r="N147" i="3"/>
  <c r="K150" i="3"/>
  <c r="N150" i="3"/>
  <c r="D150" i="3"/>
  <c r="O152" i="3"/>
  <c r="D158" i="3"/>
  <c r="O159" i="3"/>
  <c r="J162" i="3"/>
  <c r="J165" i="3"/>
  <c r="J174" i="3"/>
  <c r="J177" i="3"/>
  <c r="J186" i="3"/>
  <c r="J189" i="3"/>
  <c r="J198" i="3"/>
  <c r="O139" i="3"/>
  <c r="O145" i="3"/>
  <c r="J148" i="3"/>
  <c r="O151" i="3"/>
  <c r="J154" i="3"/>
  <c r="I155" i="3"/>
  <c r="O157" i="3"/>
  <c r="J160" i="3"/>
  <c r="I161" i="3"/>
  <c r="O163" i="3"/>
  <c r="J166" i="3"/>
  <c r="O169" i="3"/>
  <c r="J172" i="3"/>
  <c r="O175" i="3"/>
  <c r="J178" i="3"/>
  <c r="O181" i="3"/>
  <c r="J184" i="3"/>
  <c r="O187" i="3"/>
  <c r="J190" i="3"/>
  <c r="O193" i="3"/>
  <c r="J196" i="3"/>
  <c r="O199" i="3"/>
  <c r="O184" i="3"/>
  <c r="O190" i="3"/>
  <c r="O196" i="3"/>
  <c r="O148" i="3"/>
  <c r="O154" i="3"/>
  <c r="O160" i="3"/>
  <c r="O166" i="3"/>
  <c r="O172" i="3"/>
  <c r="O178" i="3"/>
  <c r="O137" i="3"/>
  <c r="O143" i="3"/>
  <c r="D148" i="3"/>
  <c r="O149" i="3"/>
  <c r="D154" i="3"/>
  <c r="O155" i="3"/>
  <c r="D160" i="3"/>
  <c r="O161" i="3"/>
  <c r="D166" i="3"/>
  <c r="O167" i="3"/>
  <c r="D172" i="3"/>
  <c r="O173" i="3"/>
  <c r="D178" i="3"/>
  <c r="O179" i="3"/>
  <c r="D184" i="3"/>
  <c r="O185" i="3"/>
  <c r="D190" i="3"/>
  <c r="O191" i="3"/>
  <c r="D196" i="3"/>
  <c r="O197" i="3"/>
  <c r="J6" i="3"/>
  <c r="I6" i="3"/>
  <c r="H6" i="3"/>
  <c r="L6" i="3"/>
  <c r="E136" i="3"/>
  <c r="L136" i="3"/>
  <c r="E137" i="3"/>
  <c r="L137" i="3"/>
  <c r="E138" i="3"/>
  <c r="L138" i="3"/>
  <c r="E139" i="3"/>
  <c r="L139" i="3"/>
  <c r="E140" i="3"/>
  <c r="L140" i="3"/>
  <c r="E141" i="3"/>
  <c r="L141" i="3"/>
  <c r="E142" i="3"/>
  <c r="L142" i="3"/>
  <c r="E143" i="3"/>
  <c r="L143" i="3"/>
  <c r="E144" i="3"/>
  <c r="L144" i="3"/>
  <c r="E145" i="3"/>
  <c r="L145" i="3"/>
  <c r="E146" i="3"/>
  <c r="L146" i="3"/>
  <c r="E147" i="3"/>
  <c r="L147" i="3"/>
  <c r="E148" i="3"/>
  <c r="L148" i="3"/>
  <c r="E149" i="3"/>
  <c r="L149" i="3"/>
  <c r="E150" i="3"/>
  <c r="L150" i="3"/>
  <c r="E151" i="3"/>
  <c r="L151" i="3"/>
  <c r="E152" i="3"/>
  <c r="L152" i="3"/>
  <c r="E153" i="3"/>
  <c r="L153" i="3"/>
  <c r="E154" i="3"/>
  <c r="L154" i="3"/>
  <c r="E155" i="3"/>
  <c r="L155" i="3"/>
  <c r="E156" i="3"/>
  <c r="L156" i="3"/>
  <c r="E157" i="3"/>
  <c r="L157" i="3"/>
  <c r="E158" i="3"/>
  <c r="L158" i="3"/>
  <c r="E159" i="3"/>
  <c r="L159" i="3"/>
  <c r="E160" i="3"/>
  <c r="L160" i="3"/>
  <c r="E161" i="3"/>
  <c r="L161" i="3"/>
  <c r="E162" i="3"/>
  <c r="L162" i="3"/>
  <c r="E163" i="3"/>
  <c r="L163" i="3"/>
  <c r="E164" i="3"/>
  <c r="L164" i="3"/>
  <c r="E165" i="3"/>
  <c r="L165" i="3"/>
  <c r="E166" i="3"/>
  <c r="L166" i="3"/>
  <c r="E167" i="3"/>
  <c r="L167" i="3"/>
  <c r="E168" i="3"/>
  <c r="L168" i="3"/>
  <c r="E169" i="3"/>
  <c r="L169" i="3"/>
  <c r="E170" i="3"/>
  <c r="L170" i="3"/>
  <c r="E171" i="3"/>
  <c r="L171" i="3"/>
  <c r="E172" i="3"/>
  <c r="L172" i="3"/>
  <c r="E173" i="3"/>
  <c r="L173" i="3"/>
  <c r="E174" i="3"/>
  <c r="L174" i="3"/>
  <c r="E175" i="3"/>
  <c r="L175" i="3"/>
  <c r="E176" i="3"/>
  <c r="L176" i="3"/>
  <c r="E177" i="3"/>
  <c r="L177" i="3"/>
  <c r="E178" i="3"/>
  <c r="L178" i="3"/>
  <c r="E179" i="3"/>
  <c r="L179" i="3"/>
  <c r="E180" i="3"/>
  <c r="L180" i="3"/>
  <c r="E181" i="3"/>
  <c r="L181" i="3"/>
  <c r="E182" i="3"/>
  <c r="L182" i="3"/>
  <c r="E183" i="3"/>
  <c r="L183" i="3"/>
  <c r="E184" i="3"/>
  <c r="L184" i="3"/>
  <c r="E185" i="3"/>
  <c r="L185" i="3"/>
  <c r="E186" i="3"/>
  <c r="L186" i="3"/>
  <c r="E187" i="3"/>
  <c r="L187" i="3"/>
  <c r="E188" i="3"/>
  <c r="L188" i="3"/>
  <c r="E189" i="3"/>
  <c r="L189" i="3"/>
  <c r="E190" i="3"/>
  <c r="L190" i="3"/>
  <c r="E191" i="3"/>
  <c r="L191" i="3"/>
  <c r="E192" i="3"/>
  <c r="L192" i="3"/>
  <c r="E193" i="3"/>
  <c r="L193" i="3"/>
  <c r="E194" i="3"/>
  <c r="L194" i="3"/>
  <c r="E195" i="3"/>
  <c r="L195" i="3"/>
  <c r="E196" i="3"/>
  <c r="L196" i="3"/>
  <c r="E197" i="3"/>
  <c r="L197" i="3"/>
  <c r="E198" i="3"/>
  <c r="L198" i="3"/>
  <c r="E199" i="3"/>
  <c r="L199" i="3"/>
  <c r="E200" i="3"/>
  <c r="L200" i="3"/>
  <c r="H136" i="3"/>
  <c r="M136" i="3"/>
  <c r="H137" i="3"/>
  <c r="M137" i="3"/>
  <c r="H138" i="3"/>
  <c r="M138" i="3"/>
  <c r="H139" i="3"/>
  <c r="M139" i="3"/>
  <c r="H140" i="3"/>
  <c r="M140" i="3"/>
  <c r="H141" i="3"/>
  <c r="M141" i="3"/>
  <c r="H142" i="3"/>
  <c r="M142" i="3"/>
  <c r="H143" i="3"/>
  <c r="M143" i="3"/>
  <c r="H144" i="3"/>
  <c r="M144" i="3"/>
  <c r="H145" i="3"/>
  <c r="M145" i="3"/>
  <c r="H146" i="3"/>
  <c r="M146" i="3"/>
  <c r="H147" i="3"/>
  <c r="M147" i="3"/>
  <c r="H148" i="3"/>
  <c r="M148" i="3"/>
  <c r="H149" i="3"/>
  <c r="M149" i="3"/>
  <c r="H150" i="3"/>
  <c r="M150" i="3"/>
  <c r="H151" i="3"/>
  <c r="M151" i="3"/>
  <c r="H152" i="3"/>
  <c r="M152" i="3"/>
  <c r="H153" i="3"/>
  <c r="M153" i="3"/>
  <c r="H154" i="3"/>
  <c r="M154" i="3"/>
  <c r="H155" i="3"/>
  <c r="M155" i="3"/>
  <c r="H156" i="3"/>
  <c r="M156" i="3"/>
  <c r="H157" i="3"/>
  <c r="M157" i="3"/>
  <c r="H158" i="3"/>
  <c r="M158" i="3"/>
  <c r="H159" i="3"/>
  <c r="M159" i="3"/>
  <c r="H160" i="3"/>
  <c r="M160" i="3"/>
  <c r="H161" i="3"/>
  <c r="M161" i="3"/>
  <c r="H162" i="3"/>
  <c r="M162" i="3"/>
  <c r="H163" i="3"/>
  <c r="M163" i="3"/>
  <c r="H164" i="3"/>
  <c r="M164" i="3"/>
  <c r="H165" i="3"/>
  <c r="M165" i="3"/>
  <c r="H166" i="3"/>
  <c r="M166" i="3"/>
  <c r="H167" i="3"/>
  <c r="M167" i="3"/>
  <c r="H168" i="3"/>
  <c r="M168" i="3"/>
  <c r="H169" i="3"/>
  <c r="M169" i="3"/>
  <c r="H170" i="3"/>
  <c r="M170" i="3"/>
  <c r="H171" i="3"/>
  <c r="M171" i="3"/>
  <c r="H172" i="3"/>
  <c r="M172" i="3"/>
  <c r="H173" i="3"/>
  <c r="M173" i="3"/>
  <c r="H174" i="3"/>
  <c r="M174" i="3"/>
  <c r="H175" i="3"/>
  <c r="M175" i="3"/>
  <c r="H176" i="3"/>
  <c r="M176" i="3"/>
  <c r="H177" i="3"/>
  <c r="M177" i="3"/>
  <c r="H178" i="3"/>
  <c r="M178" i="3"/>
  <c r="H179" i="3"/>
  <c r="M179" i="3"/>
  <c r="H180" i="3"/>
  <c r="M180" i="3"/>
  <c r="H181" i="3"/>
  <c r="M181" i="3"/>
  <c r="H182" i="3"/>
  <c r="M182" i="3"/>
  <c r="H183" i="3"/>
  <c r="M183" i="3"/>
  <c r="H184" i="3"/>
  <c r="M184" i="3"/>
  <c r="H185" i="3"/>
  <c r="M185" i="3"/>
  <c r="H186" i="3"/>
  <c r="M186" i="3"/>
  <c r="H187" i="3"/>
  <c r="M187" i="3"/>
  <c r="H188" i="3"/>
  <c r="M188" i="3"/>
  <c r="H189" i="3"/>
  <c r="M189" i="3"/>
  <c r="H190" i="3"/>
  <c r="M190" i="3"/>
  <c r="H191" i="3"/>
  <c r="M191" i="3"/>
  <c r="H192" i="3"/>
  <c r="M192" i="3"/>
  <c r="H193" i="3"/>
  <c r="M193" i="3"/>
  <c r="H194" i="3"/>
  <c r="M194" i="3"/>
  <c r="H195" i="3"/>
  <c r="M195" i="3"/>
  <c r="H196" i="3"/>
  <c r="M196" i="3"/>
  <c r="H197" i="3"/>
  <c r="M197" i="3"/>
  <c r="H198" i="3"/>
  <c r="M198" i="3"/>
  <c r="H199" i="3"/>
  <c r="M199" i="3"/>
  <c r="H200" i="3"/>
  <c r="M200" i="3"/>
  <c r="K118" i="3"/>
  <c r="K128" i="3"/>
  <c r="K122" i="3"/>
  <c r="K132" i="3"/>
  <c r="K124" i="3"/>
  <c r="K134" i="3"/>
  <c r="K117" i="3"/>
  <c r="K119" i="3"/>
  <c r="K121" i="3"/>
  <c r="K123" i="3"/>
  <c r="K125" i="3"/>
  <c r="K127" i="3"/>
  <c r="K129" i="3"/>
  <c r="K131" i="3"/>
  <c r="K133" i="3"/>
  <c r="K135" i="3"/>
  <c r="K120" i="3"/>
  <c r="K130" i="3"/>
  <c r="K126" i="3"/>
  <c r="E119" i="3"/>
  <c r="E122" i="3"/>
  <c r="E125" i="3"/>
  <c r="E128" i="3"/>
  <c r="E131" i="3"/>
  <c r="E134" i="3"/>
  <c r="M119" i="3"/>
  <c r="M122" i="3"/>
  <c r="M125" i="3"/>
  <c r="M128" i="3"/>
  <c r="M131" i="3"/>
  <c r="M134" i="3"/>
  <c r="L119" i="3"/>
  <c r="L122" i="3"/>
  <c r="L125" i="3"/>
  <c r="L128" i="3"/>
  <c r="L131" i="3"/>
  <c r="L134" i="3"/>
  <c r="H117" i="3"/>
  <c r="H120" i="3"/>
  <c r="H123" i="3"/>
  <c r="H126" i="3"/>
  <c r="H129" i="3"/>
  <c r="H132" i="3"/>
  <c r="H135" i="3"/>
  <c r="J123" i="3"/>
  <c r="J124" i="3"/>
  <c r="J125" i="3"/>
  <c r="J126" i="3"/>
  <c r="J127" i="3"/>
  <c r="J128" i="3"/>
  <c r="J135" i="3"/>
  <c r="J117" i="3"/>
  <c r="J118" i="3"/>
  <c r="J119" i="3"/>
  <c r="J120" i="3"/>
  <c r="J121" i="3"/>
  <c r="J122" i="3"/>
  <c r="J129" i="3"/>
  <c r="J130" i="3"/>
  <c r="J131" i="3"/>
  <c r="J132" i="3"/>
  <c r="J133" i="3"/>
  <c r="J134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E117" i="3"/>
  <c r="E120" i="3"/>
  <c r="E123" i="3"/>
  <c r="E126" i="3"/>
  <c r="E129" i="3"/>
  <c r="E132" i="3"/>
  <c r="E135" i="3"/>
  <c r="M117" i="3"/>
  <c r="M120" i="3"/>
  <c r="M123" i="3"/>
  <c r="M126" i="3"/>
  <c r="M129" i="3"/>
  <c r="M132" i="3"/>
  <c r="M135" i="3"/>
  <c r="L117" i="3"/>
  <c r="L120" i="3"/>
  <c r="L123" i="3"/>
  <c r="L126" i="3"/>
  <c r="L129" i="3"/>
  <c r="L132" i="3"/>
  <c r="L135" i="3"/>
  <c r="H118" i="3"/>
  <c r="H121" i="3"/>
  <c r="H124" i="3"/>
  <c r="H127" i="3"/>
  <c r="H130" i="3"/>
  <c r="H133" i="3"/>
  <c r="E118" i="3"/>
  <c r="E121" i="3"/>
  <c r="E124" i="3"/>
  <c r="E127" i="3"/>
  <c r="E130" i="3"/>
  <c r="E133" i="3"/>
  <c r="M118" i="3"/>
  <c r="M121" i="3"/>
  <c r="M124" i="3"/>
  <c r="M127" i="3"/>
  <c r="M130" i="3"/>
  <c r="M133" i="3"/>
  <c r="L118" i="3"/>
  <c r="L121" i="3"/>
  <c r="L124" i="3"/>
  <c r="L127" i="3"/>
  <c r="L130" i="3"/>
  <c r="L133" i="3"/>
  <c r="H119" i="3"/>
  <c r="H122" i="3"/>
  <c r="H125" i="3"/>
  <c r="H128" i="3"/>
  <c r="H131" i="3"/>
  <c r="H134" i="3"/>
  <c r="K107" i="3"/>
  <c r="M113" i="3"/>
  <c r="I109" i="3"/>
  <c r="M106" i="3"/>
  <c r="J98" i="3"/>
  <c r="M101" i="3"/>
  <c r="K98" i="3"/>
  <c r="L96" i="3"/>
  <c r="J97" i="3"/>
  <c r="H93" i="3"/>
  <c r="J105" i="3"/>
  <c r="I101" i="3"/>
  <c r="K94" i="3"/>
  <c r="K109" i="3"/>
  <c r="M116" i="3"/>
  <c r="I110" i="3"/>
  <c r="L105" i="3"/>
  <c r="M109" i="3"/>
  <c r="H102" i="3"/>
  <c r="J92" i="3"/>
  <c r="I97" i="3"/>
  <c r="I98" i="3"/>
  <c r="L100" i="3"/>
  <c r="E98" i="3"/>
  <c r="J114" i="3"/>
  <c r="J116" i="3"/>
  <c r="K111" i="3"/>
  <c r="K112" i="3"/>
  <c r="H105" i="3"/>
  <c r="I111" i="3"/>
  <c r="L108" i="3"/>
  <c r="M112" i="3"/>
  <c r="M97" i="3"/>
  <c r="M95" i="3"/>
  <c r="E104" i="3"/>
  <c r="H100" i="3"/>
  <c r="K95" i="3"/>
  <c r="M98" i="3"/>
  <c r="J96" i="3"/>
  <c r="K96" i="3"/>
  <c r="K113" i="3"/>
  <c r="H108" i="3"/>
  <c r="I112" i="3"/>
  <c r="L111" i="3"/>
  <c r="M115" i="3"/>
  <c r="L97" i="3"/>
  <c r="M92" i="3"/>
  <c r="E95" i="3"/>
  <c r="J94" i="3"/>
  <c r="M104" i="3"/>
  <c r="H101" i="3"/>
  <c r="E111" i="3"/>
  <c r="K115" i="3"/>
  <c r="E107" i="3"/>
  <c r="H111" i="3"/>
  <c r="I113" i="3"/>
  <c r="L114" i="3"/>
  <c r="H107" i="3"/>
  <c r="J103" i="3"/>
  <c r="H94" i="3"/>
  <c r="E94" i="3"/>
  <c r="K102" i="3"/>
  <c r="E103" i="3"/>
  <c r="H99" i="3"/>
  <c r="M103" i="3"/>
  <c r="H115" i="3"/>
  <c r="K108" i="3"/>
  <c r="E110" i="3"/>
  <c r="H114" i="3"/>
  <c r="J106" i="3"/>
  <c r="I114" i="3"/>
  <c r="H110" i="3"/>
  <c r="H103" i="3"/>
  <c r="J93" i="3"/>
  <c r="L102" i="3"/>
  <c r="I102" i="3"/>
  <c r="H104" i="3"/>
  <c r="H95" i="3"/>
  <c r="I108" i="3"/>
  <c r="E113" i="3"/>
  <c r="J107" i="3"/>
  <c r="I115" i="3"/>
  <c r="M105" i="3"/>
  <c r="E106" i="3"/>
  <c r="H113" i="3"/>
  <c r="M96" i="3"/>
  <c r="H98" i="3"/>
  <c r="J99" i="3"/>
  <c r="M102" i="3"/>
  <c r="H92" i="3"/>
  <c r="L103" i="3"/>
  <c r="I96" i="3"/>
  <c r="E116" i="3"/>
  <c r="J108" i="3"/>
  <c r="I116" i="3"/>
  <c r="M108" i="3"/>
  <c r="E109" i="3"/>
  <c r="H116" i="3"/>
  <c r="E92" i="3"/>
  <c r="E102" i="3"/>
  <c r="I100" i="3"/>
  <c r="K100" i="3"/>
  <c r="K101" i="3"/>
  <c r="J102" i="3"/>
  <c r="L95" i="3"/>
  <c r="I95" i="3"/>
  <c r="K114" i="3"/>
  <c r="L107" i="3"/>
  <c r="J109" i="3"/>
  <c r="M111" i="3"/>
  <c r="E112" i="3"/>
  <c r="K104" i="3"/>
  <c r="K97" i="3"/>
  <c r="M93" i="3"/>
  <c r="H96" i="3"/>
  <c r="L92" i="3"/>
  <c r="J100" i="3"/>
  <c r="I106" i="3"/>
  <c r="L110" i="3"/>
  <c r="J110" i="3"/>
  <c r="M114" i="3"/>
  <c r="E115" i="3"/>
  <c r="I104" i="3"/>
  <c r="L101" i="3"/>
  <c r="K93" i="3"/>
  <c r="M94" i="3"/>
  <c r="L93" i="3"/>
  <c r="L113" i="3"/>
  <c r="J111" i="3"/>
  <c r="L106" i="3"/>
  <c r="L98" i="3"/>
  <c r="M100" i="3"/>
  <c r="E96" i="3"/>
  <c r="I93" i="3"/>
  <c r="E100" i="3"/>
  <c r="L99" i="3"/>
  <c r="K106" i="3"/>
  <c r="L116" i="3"/>
  <c r="J112" i="3"/>
  <c r="E105" i="3"/>
  <c r="L109" i="3"/>
  <c r="E97" i="3"/>
  <c r="K92" i="3"/>
  <c r="J101" i="3"/>
  <c r="E93" i="3"/>
  <c r="M99" i="3"/>
  <c r="H109" i="3"/>
  <c r="H97" i="3"/>
  <c r="K116" i="3"/>
  <c r="J113" i="3"/>
  <c r="I105" i="3"/>
  <c r="E108" i="3"/>
  <c r="H106" i="3"/>
  <c r="L112" i="3"/>
  <c r="E101" i="3"/>
  <c r="L104" i="3"/>
  <c r="I99" i="3"/>
  <c r="L94" i="3"/>
  <c r="K103" i="3"/>
  <c r="L115" i="3"/>
  <c r="M110" i="3"/>
  <c r="M107" i="3"/>
  <c r="J115" i="3"/>
  <c r="I107" i="3"/>
  <c r="E114" i="3"/>
  <c r="H112" i="3"/>
  <c r="E99" i="3"/>
  <c r="J95" i="3"/>
  <c r="I103" i="3"/>
  <c r="I94" i="3"/>
  <c r="K99" i="3"/>
  <c r="J104" i="3"/>
  <c r="K105" i="3"/>
  <c r="K110" i="3"/>
  <c r="I92" i="3"/>
  <c r="M89" i="3"/>
  <c r="I87" i="3"/>
  <c r="K82" i="3"/>
  <c r="H84" i="3"/>
  <c r="K87" i="3"/>
  <c r="J89" i="3"/>
  <c r="K81" i="3"/>
  <c r="I84" i="3"/>
  <c r="L87" i="3"/>
  <c r="J85" i="3"/>
  <c r="M82" i="3"/>
  <c r="E87" i="3"/>
  <c r="M85" i="3"/>
  <c r="E81" i="3"/>
  <c r="L90" i="3"/>
  <c r="E82" i="3"/>
  <c r="E89" i="3"/>
  <c r="M84" i="3"/>
  <c r="H81" i="3"/>
  <c r="H86" i="3"/>
  <c r="I85" i="3"/>
  <c r="M87" i="3"/>
  <c r="H89" i="3"/>
  <c r="J81" i="3"/>
  <c r="I81" i="3"/>
  <c r="M90" i="3"/>
  <c r="J83" i="3"/>
  <c r="E84" i="3"/>
  <c r="K85" i="3"/>
  <c r="J84" i="3"/>
  <c r="M83" i="3"/>
  <c r="E83" i="3"/>
  <c r="M86" i="3"/>
  <c r="L84" i="3"/>
  <c r="J87" i="3"/>
  <c r="M81" i="3"/>
  <c r="J88" i="3"/>
  <c r="L81" i="3"/>
  <c r="K88" i="3"/>
  <c r="J91" i="3"/>
  <c r="K86" i="3"/>
  <c r="L82" i="3"/>
  <c r="H90" i="3"/>
  <c r="H83" i="3"/>
  <c r="E91" i="3"/>
  <c r="J82" i="3"/>
  <c r="I91" i="3"/>
  <c r="L91" i="3"/>
  <c r="H88" i="3"/>
  <c r="L86" i="3"/>
  <c r="J86" i="3"/>
  <c r="E85" i="3"/>
  <c r="I82" i="3"/>
  <c r="H91" i="3"/>
  <c r="M88" i="3"/>
  <c r="K84" i="3"/>
  <c r="I86" i="3"/>
  <c r="E88" i="3"/>
  <c r="J90" i="3"/>
  <c r="E86" i="3"/>
  <c r="M91" i="3"/>
  <c r="K89" i="3"/>
  <c r="L85" i="3"/>
  <c r="E90" i="3"/>
  <c r="I90" i="3"/>
  <c r="H87" i="3"/>
  <c r="K90" i="3"/>
  <c r="K91" i="3"/>
  <c r="I88" i="3"/>
  <c r="I89" i="3"/>
  <c r="L83" i="3"/>
  <c r="L88" i="3"/>
  <c r="H85" i="3"/>
  <c r="L89" i="3"/>
  <c r="H82" i="3"/>
  <c r="K83" i="3"/>
  <c r="I83" i="3"/>
  <c r="M70" i="3"/>
  <c r="E45" i="3"/>
  <c r="K59" i="3"/>
  <c r="H18" i="3"/>
  <c r="E28" i="3"/>
  <c r="H41" i="3"/>
  <c r="J12" i="3"/>
  <c r="E56" i="3"/>
  <c r="M41" i="3"/>
  <c r="J56" i="3"/>
  <c r="H72" i="3"/>
  <c r="E80" i="3"/>
  <c r="E51" i="3"/>
  <c r="K9" i="3"/>
  <c r="L20" i="3"/>
  <c r="E54" i="3"/>
  <c r="J16" i="3"/>
  <c r="E72" i="3"/>
  <c r="M52" i="3"/>
  <c r="K31" i="3"/>
  <c r="K77" i="3"/>
  <c r="H37" i="3"/>
  <c r="J57" i="3"/>
  <c r="I64" i="3"/>
  <c r="E24" i="3"/>
  <c r="H68" i="3"/>
  <c r="K36" i="3"/>
  <c r="L41" i="3"/>
  <c r="K44" i="3"/>
  <c r="E33" i="3"/>
  <c r="J67" i="3"/>
  <c r="M77" i="3"/>
  <c r="H39" i="3"/>
  <c r="M49" i="3"/>
  <c r="J50" i="3"/>
  <c r="I74" i="3"/>
  <c r="L40" i="3"/>
  <c r="M47" i="3"/>
  <c r="I62" i="3"/>
  <c r="L21" i="3"/>
  <c r="I27" i="3"/>
  <c r="K55" i="3"/>
  <c r="M63" i="3"/>
  <c r="H64" i="3"/>
  <c r="J19" i="3"/>
  <c r="J42" i="3"/>
  <c r="K67" i="3"/>
  <c r="J62" i="3"/>
  <c r="E18" i="3"/>
  <c r="E70" i="3"/>
  <c r="M61" i="3"/>
  <c r="H19" i="3"/>
  <c r="E35" i="3"/>
  <c r="M72" i="3"/>
  <c r="H43" i="3"/>
  <c r="E19" i="3"/>
  <c r="I39" i="3"/>
  <c r="M64" i="3"/>
  <c r="I36" i="3"/>
  <c r="H60" i="3"/>
  <c r="M35" i="3"/>
  <c r="H48" i="3"/>
  <c r="I47" i="3"/>
  <c r="M16" i="3"/>
  <c r="J59" i="3"/>
  <c r="M45" i="3"/>
  <c r="I10" i="3"/>
  <c r="J78" i="3"/>
  <c r="M14" i="3"/>
  <c r="L45" i="3"/>
  <c r="I69" i="3"/>
  <c r="H54" i="3"/>
  <c r="H15" i="3"/>
  <c r="J51" i="3"/>
  <c r="I57" i="3"/>
  <c r="K43" i="3"/>
  <c r="J73" i="3"/>
  <c r="K62" i="3"/>
  <c r="J17" i="3"/>
  <c r="I46" i="3"/>
  <c r="H36" i="3"/>
  <c r="K21" i="3"/>
  <c r="L57" i="3"/>
  <c r="H63" i="3"/>
  <c r="E61" i="3"/>
  <c r="L73" i="3"/>
  <c r="L19" i="3"/>
  <c r="K75" i="3"/>
  <c r="K57" i="3"/>
  <c r="K73" i="3"/>
  <c r="M67" i="3"/>
  <c r="E77" i="3"/>
  <c r="I21" i="3"/>
  <c r="L61" i="3"/>
  <c r="H40" i="3"/>
  <c r="J13" i="3"/>
  <c r="I25" i="3"/>
  <c r="J26" i="3"/>
  <c r="E79" i="3"/>
  <c r="I63" i="3"/>
  <c r="L74" i="3"/>
  <c r="E48" i="3"/>
  <c r="I55" i="3"/>
  <c r="L58" i="3"/>
  <c r="K78" i="3"/>
  <c r="L59" i="3"/>
  <c r="L42" i="3"/>
  <c r="H52" i="3"/>
  <c r="E29" i="3"/>
  <c r="J55" i="3"/>
  <c r="H45" i="3"/>
  <c r="L12" i="3"/>
  <c r="J41" i="3"/>
  <c r="H78" i="3"/>
  <c r="M73" i="3"/>
  <c r="I18" i="3"/>
  <c r="M23" i="3"/>
  <c r="L18" i="3"/>
  <c r="L60" i="3"/>
  <c r="J25" i="3"/>
  <c r="L37" i="3"/>
  <c r="H65" i="3"/>
  <c r="H25" i="3"/>
  <c r="L63" i="3"/>
  <c r="L77" i="3"/>
  <c r="J21" i="3"/>
  <c r="K20" i="3"/>
  <c r="E49" i="3"/>
  <c r="J36" i="3"/>
  <c r="J23" i="3"/>
  <c r="I44" i="3"/>
  <c r="E78" i="3"/>
  <c r="E65" i="3"/>
  <c r="H47" i="3"/>
  <c r="H16" i="3"/>
  <c r="J20" i="3"/>
  <c r="K63" i="3"/>
  <c r="E47" i="3"/>
  <c r="M17" i="3"/>
  <c r="M37" i="3"/>
  <c r="K35" i="3"/>
  <c r="I33" i="3"/>
  <c r="K51" i="3"/>
  <c r="M21" i="3"/>
  <c r="M33" i="3"/>
  <c r="J38" i="3"/>
  <c r="E25" i="3"/>
  <c r="K53" i="3"/>
  <c r="M62" i="3"/>
  <c r="L16" i="3"/>
  <c r="J30" i="3"/>
  <c r="I28" i="3"/>
  <c r="M53" i="3"/>
  <c r="J64" i="3"/>
  <c r="M60" i="3"/>
  <c r="E71" i="3"/>
  <c r="O9" i="3"/>
  <c r="M59" i="3"/>
  <c r="E68" i="3"/>
  <c r="J54" i="3"/>
  <c r="L70" i="3"/>
  <c r="J28" i="3"/>
  <c r="L34" i="3"/>
  <c r="I54" i="3"/>
  <c r="M66" i="3"/>
  <c r="E9" i="3"/>
  <c r="M34" i="3"/>
  <c r="E60" i="3"/>
  <c r="H80" i="3"/>
  <c r="L9" i="3"/>
  <c r="H11" i="3"/>
  <c r="H32" i="3"/>
  <c r="H10" i="3"/>
  <c r="H26" i="3"/>
  <c r="I9" i="3"/>
  <c r="K34" i="3"/>
  <c r="L10" i="3"/>
  <c r="I58" i="3"/>
  <c r="I37" i="3"/>
  <c r="M71" i="3"/>
  <c r="K19" i="3"/>
  <c r="N9" i="3"/>
  <c r="D12" i="3"/>
  <c r="M57" i="3"/>
  <c r="K72" i="3"/>
  <c r="J70" i="3"/>
  <c r="I20" i="3"/>
  <c r="I73" i="3"/>
  <c r="L11" i="3"/>
  <c r="H9" i="3"/>
  <c r="E42" i="3"/>
  <c r="E13" i="3"/>
  <c r="L54" i="3"/>
  <c r="K61" i="3"/>
  <c r="I16" i="3"/>
  <c r="K10" i="3"/>
  <c r="L32" i="3"/>
  <c r="K22" i="3"/>
  <c r="J77" i="3"/>
  <c r="H12" i="3"/>
  <c r="M28" i="3"/>
  <c r="H62" i="3"/>
  <c r="L23" i="3"/>
  <c r="J61" i="3"/>
  <c r="H75" i="3"/>
  <c r="K79" i="3"/>
  <c r="M25" i="3"/>
  <c r="M40" i="3"/>
  <c r="H31" i="3"/>
  <c r="I50" i="3"/>
  <c r="I79" i="3"/>
  <c r="L35" i="3"/>
  <c r="I40" i="3"/>
  <c r="E15" i="3"/>
  <c r="J11" i="3"/>
  <c r="I76" i="3"/>
  <c r="K26" i="3"/>
  <c r="J10" i="3"/>
  <c r="I15" i="3"/>
  <c r="J35" i="3"/>
  <c r="L71" i="3"/>
  <c r="K60" i="3"/>
  <c r="J27" i="3"/>
  <c r="J74" i="3"/>
  <c r="H70" i="3"/>
  <c r="J18" i="3"/>
  <c r="L27" i="3"/>
  <c r="K40" i="3"/>
  <c r="M44" i="3"/>
  <c r="M65" i="3"/>
  <c r="H14" i="3"/>
  <c r="H67" i="3"/>
  <c r="M9" i="3"/>
  <c r="I45" i="3"/>
  <c r="J65" i="3"/>
  <c r="J69" i="3"/>
  <c r="H50" i="3"/>
  <c r="M38" i="3"/>
  <c r="M54" i="3"/>
  <c r="H79" i="3"/>
  <c r="J32" i="3"/>
  <c r="L17" i="3"/>
  <c r="E39" i="3"/>
  <c r="L33" i="3"/>
  <c r="E74" i="3"/>
  <c r="I49" i="3"/>
  <c r="H74" i="3"/>
  <c r="K37" i="3"/>
  <c r="L76" i="3"/>
  <c r="L79" i="3"/>
  <c r="H34" i="3"/>
  <c r="I70" i="3"/>
  <c r="K17" i="3"/>
  <c r="J24" i="3"/>
  <c r="J29" i="3"/>
  <c r="I68" i="3"/>
  <c r="L24" i="3"/>
  <c r="L66" i="3"/>
  <c r="K65" i="3"/>
  <c r="J15" i="3"/>
  <c r="M31" i="3"/>
  <c r="K64" i="3"/>
  <c r="L29" i="3"/>
  <c r="L56" i="3"/>
  <c r="K47" i="3"/>
  <c r="I52" i="3"/>
  <c r="H66" i="3"/>
  <c r="H61" i="3"/>
  <c r="L52" i="3"/>
  <c r="J58" i="3"/>
  <c r="I48" i="3"/>
  <c r="I41" i="3"/>
  <c r="H59" i="3"/>
  <c r="K69" i="3"/>
  <c r="E46" i="3"/>
  <c r="E41" i="3"/>
  <c r="L50" i="3"/>
  <c r="K15" i="3"/>
  <c r="J34" i="3"/>
  <c r="M74" i="3"/>
  <c r="J22" i="3"/>
  <c r="M58" i="3"/>
  <c r="J14" i="3"/>
  <c r="E37" i="3"/>
  <c r="L69" i="3"/>
  <c r="E59" i="3"/>
  <c r="K54" i="3"/>
  <c r="I59" i="3"/>
  <c r="H13" i="3"/>
  <c r="H57" i="3"/>
  <c r="I22" i="3"/>
  <c r="E14" i="3"/>
  <c r="M80" i="3"/>
  <c r="L39" i="3"/>
  <c r="I30" i="3"/>
  <c r="J76" i="3"/>
  <c r="K33" i="3"/>
  <c r="L13" i="3"/>
  <c r="K58" i="3"/>
  <c r="N13" i="3"/>
  <c r="H29" i="3"/>
  <c r="K41" i="3"/>
  <c r="M36" i="3"/>
  <c r="E21" i="3"/>
  <c r="I35" i="3"/>
  <c r="M76" i="3"/>
  <c r="J47" i="3"/>
  <c r="K74" i="3"/>
  <c r="E23" i="3"/>
  <c r="M51" i="3"/>
  <c r="L38" i="3"/>
  <c r="I72" i="3"/>
  <c r="N10" i="3"/>
  <c r="E31" i="3"/>
  <c r="E58" i="3"/>
  <c r="K39" i="3"/>
  <c r="I26" i="3"/>
  <c r="K24" i="3"/>
  <c r="E66" i="3"/>
  <c r="K71" i="3"/>
  <c r="K42" i="3"/>
  <c r="E50" i="3"/>
  <c r="I80" i="3"/>
  <c r="M43" i="3"/>
  <c r="I24" i="3"/>
  <c r="E69" i="3"/>
  <c r="M18" i="3"/>
  <c r="H20" i="3"/>
  <c r="J60" i="3"/>
  <c r="H71" i="3"/>
  <c r="L64" i="3"/>
  <c r="L48" i="3"/>
  <c r="L51" i="3"/>
  <c r="M32" i="3"/>
  <c r="J37" i="3"/>
  <c r="K49" i="3"/>
  <c r="J46" i="3"/>
  <c r="L14" i="3"/>
  <c r="I11" i="3"/>
  <c r="J9" i="3"/>
  <c r="H28" i="3"/>
  <c r="K12" i="3"/>
  <c r="K16" i="3"/>
  <c r="D9" i="3"/>
  <c r="E38" i="3"/>
  <c r="E76" i="3"/>
  <c r="K23" i="3"/>
  <c r="E16" i="3"/>
  <c r="E52" i="3"/>
  <c r="H55" i="3"/>
  <c r="I38" i="3"/>
  <c r="H23" i="3"/>
  <c r="E64" i="3"/>
  <c r="L31" i="3"/>
  <c r="I12" i="3"/>
  <c r="J39" i="3"/>
  <c r="H49" i="3"/>
  <c r="K66" i="3"/>
  <c r="J43" i="3"/>
  <c r="L80" i="3"/>
  <c r="L22" i="3"/>
  <c r="L26" i="3"/>
  <c r="K56" i="3"/>
  <c r="I67" i="3"/>
  <c r="E57" i="3"/>
  <c r="M19" i="3"/>
  <c r="H38" i="3"/>
  <c r="E22" i="3"/>
  <c r="I14" i="3"/>
  <c r="L43" i="3"/>
  <c r="O13" i="3"/>
  <c r="I29" i="3"/>
  <c r="H30" i="3"/>
  <c r="J63" i="3"/>
  <c r="I42" i="3"/>
  <c r="J66" i="3"/>
  <c r="K76" i="3"/>
  <c r="O10" i="3"/>
  <c r="I61" i="3"/>
  <c r="H56" i="3"/>
  <c r="I71" i="3"/>
  <c r="M11" i="3"/>
  <c r="K70" i="3"/>
  <c r="M27" i="3"/>
  <c r="L75" i="3"/>
  <c r="I75" i="3"/>
  <c r="H24" i="3"/>
  <c r="K52" i="3"/>
  <c r="J53" i="3"/>
  <c r="E63" i="3"/>
  <c r="M22" i="3"/>
  <c r="I78" i="3"/>
  <c r="M39" i="3"/>
  <c r="K46" i="3"/>
  <c r="I43" i="3"/>
  <c r="L30" i="3"/>
  <c r="J75" i="3"/>
  <c r="H53" i="3"/>
  <c r="H33" i="3"/>
  <c r="I17" i="3"/>
  <c r="E17" i="3"/>
  <c r="M69" i="3"/>
  <c r="I51" i="3"/>
  <c r="L67" i="3"/>
  <c r="E34" i="3"/>
  <c r="L68" i="3"/>
  <c r="E73" i="3"/>
  <c r="E26" i="3"/>
  <c r="I77" i="3"/>
  <c r="L15" i="3"/>
  <c r="H58" i="3"/>
  <c r="H69" i="3"/>
  <c r="L49" i="3"/>
  <c r="I34" i="3"/>
  <c r="M55" i="3"/>
  <c r="J45" i="3"/>
  <c r="E36" i="3"/>
  <c r="D13" i="3"/>
  <c r="E32" i="3"/>
  <c r="H51" i="3"/>
  <c r="J68" i="3"/>
  <c r="K27" i="3"/>
  <c r="E67" i="3"/>
  <c r="L25" i="3"/>
  <c r="H77" i="3"/>
  <c r="M20" i="3"/>
  <c r="M78" i="3"/>
  <c r="K48" i="3"/>
  <c r="H27" i="3"/>
  <c r="K25" i="3"/>
  <c r="M42" i="3"/>
  <c r="L78" i="3"/>
  <c r="I13" i="3"/>
  <c r="M75" i="3"/>
  <c r="I31" i="3"/>
  <c r="H22" i="3"/>
  <c r="E20" i="3"/>
  <c r="E11" i="3"/>
  <c r="L62" i="3"/>
  <c r="M68" i="3"/>
  <c r="H35" i="3"/>
  <c r="L55" i="3"/>
  <c r="I23" i="3"/>
  <c r="J72" i="3"/>
  <c r="I60" i="3"/>
  <c r="J52" i="3"/>
  <c r="M29" i="3"/>
  <c r="I66" i="3"/>
  <c r="K29" i="3"/>
  <c r="J48" i="3"/>
  <c r="K50" i="3"/>
  <c r="E55" i="3"/>
  <c r="M30" i="3"/>
  <c r="L36" i="3"/>
  <c r="J40" i="3"/>
  <c r="I53" i="3"/>
  <c r="J31" i="3"/>
  <c r="E53" i="3"/>
  <c r="H21" i="3"/>
  <c r="E62" i="3"/>
  <c r="J80" i="3"/>
  <c r="K68" i="3"/>
  <c r="H76" i="3"/>
  <c r="K18" i="3"/>
  <c r="E10" i="3"/>
  <c r="M46" i="3"/>
  <c r="E43" i="3"/>
  <c r="E27" i="3"/>
  <c r="H17" i="3"/>
  <c r="L44" i="3"/>
  <c r="M26" i="3"/>
  <c r="L28" i="3"/>
  <c r="J33" i="3"/>
  <c r="K32" i="3"/>
  <c r="K11" i="3"/>
  <c r="L46" i="3"/>
  <c r="K13" i="3"/>
  <c r="M48" i="3"/>
  <c r="I32" i="3"/>
  <c r="M50" i="3"/>
  <c r="K28" i="3"/>
  <c r="M79" i="3"/>
  <c r="K38" i="3"/>
  <c r="H42" i="3"/>
  <c r="L47" i="3"/>
  <c r="I19" i="3"/>
  <c r="J79" i="3"/>
  <c r="H46" i="3"/>
  <c r="I56" i="3"/>
  <c r="M24" i="3"/>
  <c r="E30" i="3"/>
  <c r="L53" i="3"/>
  <c r="L65" i="3"/>
  <c r="J71" i="3"/>
  <c r="K30" i="3"/>
  <c r="K45" i="3"/>
  <c r="M56" i="3"/>
  <c r="E40" i="3"/>
  <c r="J44" i="3"/>
  <c r="I65" i="3"/>
  <c r="E44" i="3"/>
  <c r="H44" i="3"/>
  <c r="H73" i="3"/>
  <c r="K80" i="3"/>
  <c r="L72" i="3"/>
  <c r="M15" i="3"/>
  <c r="K14" i="3"/>
  <c r="J49" i="3"/>
  <c r="E75" i="3"/>
  <c r="S11" i="3" l="1"/>
  <c r="S13" i="3"/>
  <c r="T13" i="3" s="1"/>
  <c r="S12" i="3"/>
  <c r="S10" i="3"/>
  <c r="S9" i="3"/>
  <c r="T12" i="3" l="1"/>
  <c r="T10" i="3"/>
  <c r="T9" i="3"/>
  <c r="T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6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<sst xmlns="http://schemas.openxmlformats.org/spreadsheetml/2006/main" count="100" uniqueCount="99">
  <si>
    <t>date</t>
  </si>
  <si>
    <t>最新调整日期</t>
  </si>
  <si>
    <t>Wind代码</t>
  </si>
  <si>
    <t>sec_name</t>
  </si>
  <si>
    <t>证券名称</t>
  </si>
  <si>
    <t>数据集名称</t>
  </si>
  <si>
    <t>板块成分</t>
  </si>
  <si>
    <t>日期</t>
  </si>
  <si>
    <t>20240911</t>
  </si>
  <si>
    <t>板块ID</t>
  </si>
  <si>
    <t>Wind商品大类指数</t>
    <phoneticPr fontId="3" type="noConversion"/>
  </si>
  <si>
    <t>Wind商品品种指数</t>
    <phoneticPr fontId="3" type="noConversion"/>
  </si>
  <si>
    <t>路透CRB商品指数</t>
    <phoneticPr fontId="3" type="noConversion"/>
  </si>
  <si>
    <t>a399010403000000</t>
  </si>
  <si>
    <t>南华期货商品指数</t>
    <phoneticPr fontId="3" type="noConversion"/>
  </si>
  <si>
    <t>a599020100000000</t>
  </si>
  <si>
    <t>最新更新：</t>
    <phoneticPr fontId="3" type="noConversion"/>
  </si>
  <si>
    <t>指数分类：</t>
    <phoneticPr fontId="8" type="noConversion"/>
  </si>
  <si>
    <t xml:space="preserve"> </t>
    <phoneticPr fontId="8" type="noConversion"/>
  </si>
  <si>
    <t>指数代码</t>
    <phoneticPr fontId="8" type="noConversion"/>
  </si>
  <si>
    <t>指数名称</t>
    <phoneticPr fontId="8" type="noConversion"/>
  </si>
  <si>
    <t>最新价</t>
    <phoneticPr fontId="8" type="noConversion"/>
  </si>
  <si>
    <t>近1周</t>
    <phoneticPr fontId="8" type="noConversion"/>
  </si>
  <si>
    <t>近1月</t>
    <phoneticPr fontId="8" type="noConversion"/>
  </si>
  <si>
    <t>近3月</t>
    <phoneticPr fontId="8" type="noConversion"/>
  </si>
  <si>
    <t>近6月</t>
    <phoneticPr fontId="8" type="noConversion"/>
  </si>
  <si>
    <t>近1年</t>
    <phoneticPr fontId="8" type="noConversion"/>
  </si>
  <si>
    <t>本周至今</t>
    <phoneticPr fontId="8" type="noConversion"/>
  </si>
  <si>
    <t>本月至今</t>
    <phoneticPr fontId="8" type="noConversion"/>
  </si>
  <si>
    <t>本年至今</t>
    <phoneticPr fontId="8" type="noConversion"/>
  </si>
  <si>
    <t>百分比(%)</t>
    <phoneticPr fontId="8" type="noConversion"/>
  </si>
  <si>
    <t>颜色区间定义</t>
    <phoneticPr fontId="8" type="noConversion"/>
  </si>
  <si>
    <t>wind_code</t>
    <phoneticPr fontId="3" type="noConversion"/>
  </si>
  <si>
    <t>基本金属(CN)</t>
    <phoneticPr fontId="3" type="noConversion"/>
  </si>
  <si>
    <t>贵金属(CN)</t>
    <phoneticPr fontId="3" type="noConversion"/>
  </si>
  <si>
    <t>全部中国商品(CN)</t>
    <phoneticPr fontId="3" type="noConversion"/>
  </si>
  <si>
    <t>能源化工(CN)</t>
    <phoneticPr fontId="3" type="noConversion"/>
  </si>
  <si>
    <t>农产品(CN)</t>
    <phoneticPr fontId="3" type="noConversion"/>
  </si>
  <si>
    <t>全球主要商品(GJ)</t>
    <phoneticPr fontId="3" type="noConversion"/>
  </si>
  <si>
    <t>（请下拉选择）</t>
    <phoneticPr fontId="8" type="noConversion"/>
  </si>
  <si>
    <t>成交量</t>
    <phoneticPr fontId="3" type="noConversion"/>
  </si>
  <si>
    <t>持仓量</t>
    <phoneticPr fontId="3" type="noConversion"/>
  </si>
  <si>
    <t>商品市场行情总览</t>
    <phoneticPr fontId="3" type="noConversion"/>
  </si>
  <si>
    <t>注：0为无成交或无数据</t>
    <phoneticPr fontId="3" type="noConversion"/>
  </si>
  <si>
    <t>农产品(CN)</t>
  </si>
  <si>
    <t>A.DCE</t>
    <phoneticPr fontId="3" type="noConversion"/>
  </si>
  <si>
    <t>DCE豆一</t>
    <phoneticPr fontId="3" type="noConversion"/>
  </si>
  <si>
    <t>AP.CZC</t>
  </si>
  <si>
    <t>CZCE苹果</t>
  </si>
  <si>
    <t>B.DCE</t>
  </si>
  <si>
    <t>DCE豆二</t>
  </si>
  <si>
    <t>BB.DCE</t>
  </si>
  <si>
    <t>DCE胶合板</t>
  </si>
  <si>
    <t>C.DCE</t>
  </si>
  <si>
    <t>DCE玉米</t>
  </si>
  <si>
    <t>CF.CZC</t>
  </si>
  <si>
    <t>CZCE棉花</t>
  </si>
  <si>
    <t>CJ.CZC</t>
  </si>
  <si>
    <t>CZCE红枣</t>
  </si>
  <si>
    <t>CS.DCE</t>
  </si>
  <si>
    <t>DCE玉米淀粉</t>
  </si>
  <si>
    <t>CY.CZC</t>
  </si>
  <si>
    <t>CZCE棉纱</t>
  </si>
  <si>
    <t>FB.DCE</t>
  </si>
  <si>
    <t>DCE纤维板</t>
  </si>
  <si>
    <t>JD.DCE</t>
  </si>
  <si>
    <t>DCE鸡蛋</t>
  </si>
  <si>
    <t>JR.CZC</t>
  </si>
  <si>
    <t>CZCE粳稻</t>
  </si>
  <si>
    <t>LG.DCE</t>
  </si>
  <si>
    <t>DCE 原木</t>
  </si>
  <si>
    <t>LH.DCE</t>
  </si>
  <si>
    <t>DCE 生猪</t>
  </si>
  <si>
    <t>LR.CZC</t>
  </si>
  <si>
    <t>CZCE晚籼稻</t>
  </si>
  <si>
    <t>M.DCE</t>
  </si>
  <si>
    <t>DCE豆粕</t>
  </si>
  <si>
    <t>OI.CZC</t>
  </si>
  <si>
    <t>CZCE菜油</t>
  </si>
  <si>
    <t>P.DCE</t>
  </si>
  <si>
    <t>DCE棕榈油</t>
  </si>
  <si>
    <t>PK.CZC</t>
  </si>
  <si>
    <t>CZCE花生</t>
  </si>
  <si>
    <t>PM.CZC</t>
  </si>
  <si>
    <t>CZCE普麦</t>
  </si>
  <si>
    <t>RI.CZC</t>
  </si>
  <si>
    <t>CZCE早籼稻</t>
  </si>
  <si>
    <t>RM.CZC</t>
  </si>
  <si>
    <t>CZCE菜粕</t>
  </si>
  <si>
    <t>RR.DCE</t>
  </si>
  <si>
    <t>DCE粳米</t>
  </si>
  <si>
    <t>RS.CZC</t>
  </si>
  <si>
    <t>CZCE菜籽</t>
  </si>
  <si>
    <t>SR.CZC</t>
  </si>
  <si>
    <t>CZCE白糖</t>
  </si>
  <si>
    <t>WH.CZC</t>
  </si>
  <si>
    <t>CZCE强麦</t>
  </si>
  <si>
    <t>Y.DCE</t>
  </si>
  <si>
    <t>DCE豆油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</si>
</sst>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yyyy\-mm\-dd"/>
    <numFmt numFmtId="177" formatCode="0_);[Red]\(0\)"/>
    <numFmt numFmtId="178" formatCode="###,###,##0.0000"/>
  </numFmts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9"/>
      <color indexed="81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theme="0"/>
      <name val="Arial"/>
      <family val="2"/>
    </font>
    <font>
      <sz val="20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rgb="FF212121"/>
      <name val="微软雅黑"/>
      <family val="2"/>
      <charset val="134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2"/>
      <color rgb="FF555555"/>
      <name val="Arial"/>
      <family val="2"/>
    </font>
    <font>
      <sz val="11"/>
      <color theme="0"/>
      <name val="等线"/>
      <family val="2"/>
      <scheme val="minor"/>
    </font>
    <font>
      <sz val="11"/>
      <color theme="0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15159"/>
        <bgColor indexed="64"/>
      </patternFill>
    </fill>
    <fill>
      <patternFill patternType="solid">
        <fgColor rgb="FF4F4F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63A074"/>
        <bgColor indexed="64"/>
      </patternFill>
    </fill>
    <fill>
      <patternFill patternType="solid">
        <fgColor rgb="FFF2F3F3"/>
        <bgColor indexed="64"/>
      </patternFill>
    </fill>
    <fill>
      <patternFill patternType="solid">
        <fgColor rgb="FF5FBEBF"/>
        <bgColor indexed="64"/>
      </patternFill>
    </fill>
    <fill>
      <patternFill patternType="solid">
        <fgColor rgb="FFE4C557"/>
        <bgColor indexed="64"/>
      </patternFill>
    </fill>
    <fill>
      <patternFill patternType="solid">
        <fgColor rgb="FFF68717"/>
        <bgColor indexed="64"/>
      </patternFill>
    </fill>
    <fill>
      <patternFill patternType="solid">
        <fgColor rgb="FFE05D5D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0" fontId="15" fillId="0" borderId="0"/>
  </cellStyleXfs>
  <cellXfs count="44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14" fontId="4" fillId="2" borderId="0" xfId="0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6" fillId="3" borderId="1" xfId="0" applyFont="1" applyFill="1" applyBorder="1" applyAlignment="1">
      <alignment vertical="center"/>
    </xf>
    <xf numFmtId="14" fontId="4" fillId="4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5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7" fillId="5" borderId="0" xfId="0" applyFont="1" applyFill="1" applyAlignment="1">
      <alignment horizontal="left" vertical="center"/>
    </xf>
    <xf numFmtId="14" fontId="10" fillId="5" borderId="0" xfId="0" applyNumberFormat="1" applyFont="1" applyFill="1" applyAlignment="1">
      <alignment vertical="center"/>
    </xf>
    <xf numFmtId="0" fontId="11" fillId="8" borderId="0" xfId="0" applyFont="1" applyFill="1" applyAlignment="1">
      <alignment horizontal="left" vertical="center"/>
    </xf>
    <xf numFmtId="0" fontId="11" fillId="4" borderId="2" xfId="0" applyFont="1" applyFill="1" applyBorder="1" applyAlignment="1">
      <alignment vertical="center"/>
    </xf>
    <xf numFmtId="0" fontId="11" fillId="4" borderId="3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2" fontId="12" fillId="0" borderId="0" xfId="1" applyNumberFormat="1" applyFont="1" applyAlignment="1">
      <alignment horizontal="right" vertical="center"/>
    </xf>
    <xf numFmtId="2" fontId="13" fillId="4" borderId="4" xfId="1" applyNumberFormat="1" applyFont="1" applyFill="1" applyBorder="1" applyAlignment="1">
      <alignment horizontal="right"/>
    </xf>
    <xf numFmtId="0" fontId="14" fillId="9" borderId="5" xfId="0" applyFont="1" applyFill="1" applyBorder="1" applyAlignment="1">
      <alignment horizontal="right"/>
    </xf>
    <xf numFmtId="0" fontId="12" fillId="10" borderId="0" xfId="0" applyFont="1" applyFill="1" applyAlignment="1">
      <alignment horizontal="left" vertical="center"/>
    </xf>
    <xf numFmtId="0" fontId="14" fillId="11" borderId="5" xfId="0" applyFont="1" applyFill="1" applyBorder="1" applyAlignment="1">
      <alignment horizontal="right"/>
    </xf>
    <xf numFmtId="0" fontId="14" fillId="12" borderId="5" xfId="0" applyFont="1" applyFill="1" applyBorder="1" applyAlignment="1">
      <alignment horizontal="right"/>
    </xf>
    <xf numFmtId="2" fontId="16" fillId="4" borderId="0" xfId="2" quotePrefix="1" applyNumberFormat="1" applyFont="1" applyFill="1" applyAlignment="1">
      <alignment vertical="center"/>
    </xf>
    <xf numFmtId="0" fontId="14" fillId="13" borderId="5" xfId="0" applyFont="1" applyFill="1" applyBorder="1" applyAlignment="1">
      <alignment horizontal="right"/>
    </xf>
    <xf numFmtId="2" fontId="13" fillId="4" borderId="6" xfId="1" applyNumberFormat="1" applyFont="1" applyFill="1" applyBorder="1" applyAlignment="1">
      <alignment horizontal="right"/>
    </xf>
    <xf numFmtId="0" fontId="14" fillId="14" borderId="7" xfId="0" applyFont="1" applyFill="1" applyBorder="1" applyAlignment="1">
      <alignment horizontal="right"/>
    </xf>
    <xf numFmtId="177" fontId="0" fillId="0" borderId="0" xfId="0" applyNumberFormat="1" applyAlignment="1">
      <alignment horizontal="right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0" fontId="12" fillId="10" borderId="0" xfId="0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1" fillId="8" borderId="0" xfId="0" applyFont="1" applyFill="1" applyAlignment="1">
      <alignment horizontal="right" vertical="center" wrapText="1"/>
    </xf>
    <xf numFmtId="0" fontId="11" fillId="8" borderId="0" xfId="0" applyFont="1" applyFill="1" applyAlignment="1">
      <alignment horizontal="right" vertical="center"/>
    </xf>
    <xf numFmtId="178" fontId="11" fillId="8" borderId="0" xfId="0" applyNumberFormat="1" applyFont="1" applyFill="1" applyAlignment="1">
      <alignment horizontal="right" vertical="center" wrapText="1"/>
    </xf>
    <xf numFmtId="0" fontId="17" fillId="0" borderId="0" xfId="0" applyFont="1"/>
    <xf numFmtId="177" fontId="18" fillId="0" borderId="0" xfId="0" applyNumberFormat="1" applyFont="1" applyAlignment="1">
      <alignment horizontal="right"/>
    </xf>
    <xf numFmtId="0" fontId="7" fillId="5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</cellXfs>
  <cellStyles count="3">
    <cellStyle name="Normal 2" xfId="2" xr:uid="{00000000-0005-0000-0000-000000000000}"/>
    <cellStyle name="常规" xfId="0" builtinId="0"/>
    <cellStyle name="千位分隔" xfId="1" builtinId="3"/>
  </cellStyles>
  <dxfs count="6">
    <dxf>
      <fill>
        <patternFill>
          <bgColor rgb="FF63A074"/>
        </patternFill>
      </fill>
      <border>
        <left/>
        <right/>
        <top style="thin">
          <color rgb="FFC2C2C2"/>
        </top>
        <bottom style="thin">
          <color rgb="FFC2C2C2"/>
        </bottom>
      </border>
    </dxf>
    <dxf>
      <fill>
        <patternFill>
          <bgColor rgb="FF5FBEBF"/>
        </patternFill>
      </fill>
      <border>
        <left/>
        <right/>
        <top style="thin">
          <color rgb="FFC2C2C2"/>
        </top>
        <bottom style="thin">
          <color rgb="FFC2C2C2"/>
        </bottom>
      </border>
    </dxf>
    <dxf>
      <fill>
        <patternFill>
          <bgColor rgb="FFE4C557"/>
        </patternFill>
      </fill>
      <border>
        <left/>
        <right/>
        <top style="thin">
          <color rgb="FFC2C2C2"/>
        </top>
        <bottom style="thin">
          <color rgb="FFC2C2C2"/>
        </bottom>
      </border>
    </dxf>
    <dxf>
      <fill>
        <patternFill>
          <bgColor rgb="FFF68717"/>
        </patternFill>
      </fill>
      <border>
        <left/>
        <right/>
        <top style="thin">
          <color rgb="FFC2C2C2"/>
        </top>
        <bottom style="thin">
          <color rgb="FFC2C2C2"/>
        </bottom>
        <vertical/>
        <horizontal/>
      </border>
    </dxf>
    <dxf>
      <fill>
        <patternFill>
          <bgColor rgb="FFE05D5D"/>
        </patternFill>
      </fill>
      <border>
        <left/>
        <right/>
        <top style="thin">
          <color rgb="FFC2C2C2"/>
        </top>
        <bottom style="thin">
          <color rgb="FFC2C2C2"/>
        </bottom>
        <vertical/>
        <horizontal/>
      </border>
    </dxf>
    <dxf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63636D"/>
      <color rgb="FFF2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99060</xdr:rowOff>
    </xdr:from>
    <xdr:to>
      <xdr:col>2</xdr:col>
      <xdr:colOff>628651</xdr:colOff>
      <xdr:row>0</xdr:row>
      <xdr:rowOff>318660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40" y="99060"/>
          <a:ext cx="628651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i_pq_pctchange"/>
      <definedName name="s_dq_close"/>
      <definedName name="s_dq_oi"/>
      <definedName name="s_dq_volume"/>
      <definedName name="s_info_name"/>
      <definedName name="s_mq_pctchange"/>
      <definedName name="s_wq_pctchange"/>
      <definedName name="s_yq_pctchange"/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63636D"/>
  </sheetPr>
  <dimension ref="A1:T200"/>
  <sheetViews>
    <sheetView showGridLines="0" tabSelected="1" workbookViewId="0">
      <selection activeCell="D15" sqref="D15"/>
    </sheetView>
  </sheetViews>
  <sheetFormatPr defaultColWidth="8.875" defaultRowHeight="14.25" x14ac:dyDescent="0.2"/>
  <cols>
    <col min="1" max="1" width="5.25" style="10" customWidth="1"/>
    <col min="2" max="2" width="2.25" style="8" customWidth="1"/>
    <col min="3" max="3" width="14.5" style="8" bestFit="1" customWidth="1"/>
    <col min="4" max="4" width="24.25" style="32" customWidth="1"/>
    <col min="5" max="5" width="10.125" style="8" customWidth="1"/>
    <col min="6" max="6" width="11.75" style="8" customWidth="1"/>
    <col min="7" max="7" width="10.875" style="8" customWidth="1"/>
    <col min="8" max="9" width="12.75" style="8" bestFit="1" customWidth="1"/>
    <col min="10" max="10" width="13" style="8" bestFit="1" customWidth="1"/>
    <col min="11" max="11" width="14.25" style="8" bestFit="1" customWidth="1"/>
    <col min="12" max="12" width="13" style="8" bestFit="1" customWidth="1"/>
    <col min="13" max="14" width="12.75" style="8" bestFit="1" customWidth="1"/>
    <col min="15" max="15" width="13" style="8" bestFit="1" customWidth="1"/>
    <col min="16" max="16" width="2.25" style="8" customWidth="1"/>
    <col min="17" max="17" width="5.25" style="10" customWidth="1"/>
    <col min="18" max="18" width="8.875" style="10"/>
    <col min="19" max="19" width="11.25" style="8" bestFit="1" customWidth="1"/>
    <col min="20" max="20" width="19.75" style="8" bestFit="1" customWidth="1"/>
    <col min="21" max="16384" width="8.875" style="8"/>
  </cols>
  <sheetData>
    <row r="1" spans="1:20" ht="27.75" x14ac:dyDescent="0.2">
      <c r="A1" s="4"/>
      <c r="B1" s="5"/>
      <c r="C1" s="5"/>
      <c r="D1" s="43" t="s">
        <v>42</v>
      </c>
      <c r="E1" s="43"/>
      <c r="F1" s="43"/>
      <c r="G1" s="43"/>
      <c r="H1" s="43"/>
      <c r="I1" s="43"/>
      <c r="J1" s="43"/>
      <c r="K1" s="43"/>
      <c r="L1" s="43"/>
      <c r="M1" s="43"/>
      <c r="N1" s="6" t="s">
        <v>16</v>
      </c>
      <c r="O1" s="4">
        <f ca="1">TODAY()-1</f>
        <v>46103</v>
      </c>
      <c r="P1" s="6"/>
      <c r="Q1" s="6"/>
      <c r="R1" s="7"/>
    </row>
    <row r="2" spans="1:20" x14ac:dyDescent="0.2">
      <c r="A2" s="9"/>
      <c r="B2" s="9"/>
      <c r="C2" s="9"/>
      <c r="D2" s="2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20" ht="9.9499999999999993" customHeight="1" x14ac:dyDescent="0.2">
      <c r="A3" s="9"/>
      <c r="B3" s="11"/>
      <c r="C3" s="11"/>
      <c r="D3" s="30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9"/>
    </row>
    <row r="4" spans="1:20" ht="17.25" x14ac:dyDescent="0.2">
      <c r="A4" s="9"/>
      <c r="B4" s="11"/>
      <c r="C4" s="12" t="s">
        <v>17</v>
      </c>
      <c r="D4" s="31" t="s">
        <v>44</v>
      </c>
      <c r="E4" s="12" t="s">
        <v>39</v>
      </c>
      <c r="F4" s="12"/>
      <c r="G4" s="12"/>
      <c r="H4" s="9"/>
      <c r="I4" s="9"/>
      <c r="J4" s="9"/>
      <c r="K4" s="9"/>
      <c r="L4" s="9"/>
      <c r="M4" s="9"/>
      <c r="N4" s="42" t="s">
        <v>43</v>
      </c>
      <c r="O4" s="9"/>
      <c r="P4" s="11"/>
      <c r="Q4" s="9"/>
    </row>
    <row r="5" spans="1:20" ht="9.9499999999999993" customHeight="1" x14ac:dyDescent="0.2">
      <c r="A5" s="9"/>
      <c r="B5" s="11"/>
      <c r="C5" s="11"/>
      <c r="D5" s="3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9"/>
    </row>
    <row r="6" spans="1:20" ht="17.25" x14ac:dyDescent="0.2">
      <c r="A6" s="9"/>
      <c r="B6" s="9"/>
      <c r="C6" s="9"/>
      <c r="D6" s="29"/>
      <c r="E6" s="9"/>
      <c r="F6" s="9"/>
      <c r="G6" s="9"/>
      <c r="H6" s="13">
        <f ca="1">O1-7</f>
        <v>46096</v>
      </c>
      <c r="I6" s="13">
        <f ca="1">DATE(YEAR($O$1),MONTH($O$1)-1,DAY($O$1))</f>
        <v>46075</v>
      </c>
      <c r="J6" s="13">
        <f ca="1">DATE(YEAR($O$1),MONTH($O$1)-3,DAY($O$1))</f>
        <v>46013</v>
      </c>
      <c r="K6" s="13">
        <f ca="1">DATE(YEAR($O$1),MONTH($O$1)-6,DAY($O$1))</f>
        <v>45922</v>
      </c>
      <c r="L6" s="13">
        <f ca="1">DATE(YEAR($O$1),MONTH($O$1)-12,DAY($O$1))</f>
        <v>45738</v>
      </c>
      <c r="M6" s="9"/>
      <c r="N6" s="9"/>
      <c r="O6" s="9"/>
      <c r="P6" s="9"/>
      <c r="Q6" s="9"/>
    </row>
    <row r="7" spans="1:20" ht="9.9499999999999993" customHeight="1" thickBot="1" x14ac:dyDescent="0.25">
      <c r="A7" s="9"/>
      <c r="B7" s="8" t="s">
        <v>18</v>
      </c>
      <c r="Q7" s="9"/>
    </row>
    <row r="8" spans="1:20" ht="18" x14ac:dyDescent="0.2">
      <c r="A8" s="9"/>
      <c r="C8" s="14" t="s">
        <v>19</v>
      </c>
      <c r="D8" s="14" t="s">
        <v>20</v>
      </c>
      <c r="E8" s="37" t="s">
        <v>21</v>
      </c>
      <c r="F8" s="37" t="s">
        <v>40</v>
      </c>
      <c r="G8" s="39" t="s">
        <v>41</v>
      </c>
      <c r="H8" s="38" t="s">
        <v>22</v>
      </c>
      <c r="I8" s="37" t="s">
        <v>23</v>
      </c>
      <c r="J8" s="37" t="s">
        <v>24</v>
      </c>
      <c r="K8" s="37" t="s">
        <v>25</v>
      </c>
      <c r="L8" s="38" t="s">
        <v>26</v>
      </c>
      <c r="M8" s="38" t="s">
        <v>27</v>
      </c>
      <c r="N8" s="37" t="s">
        <v>28</v>
      </c>
      <c r="O8" s="38" t="s">
        <v>29</v>
      </c>
      <c r="Q8" s="9"/>
      <c r="S8" s="15" t="s">
        <v>30</v>
      </c>
      <c r="T8" s="16" t="s">
        <v>31</v>
      </c>
    </row>
    <row r="9" spans="1:20" ht="17.25" x14ac:dyDescent="0.2">
      <c r="A9" s="9"/>
      <c r="C9" s="17" t="str">
        <f>IF(指数列表!B6="","",指数列表!B6)</f>
        <v>A.DCE</v>
      </c>
      <c r="D9" s="33" t="str">
        <f>IF(C9="","",[1]!s_info_name(C9))</f>
        <v>DCE豆一</v>
      </c>
      <c r="E9" s="36">
        <f ca="1">IF(C9="","",[1]!s_dq_close(C9,$O$1))</f>
        <v>4810</v>
      </c>
      <c r="F9" s="36">
        <f ca="1">IF(C9="","",[1]!s_dq_volume($C9,$O$1))</f>
        <v>0</v>
      </c>
      <c r="G9" s="36">
        <f ca="1">IF(C9="","",[1]!s_dq_oi($C9,$O$1))</f>
        <v>206817</v>
      </c>
      <c r="H9" s="18">
        <f ca="1">IF($C9=""," ",[1]!i_pq_pctchange($C9,H$6,$O$1))</f>
        <v>-2.4736415247364252</v>
      </c>
      <c r="I9" s="18">
        <f ca="1">IF($C9=""," ",[1]!i_pq_pctchange($C9,I$6,$O$1))</f>
        <v>3.2853768520506588</v>
      </c>
      <c r="J9" s="18">
        <f ca="1">IF($C9=""," ",[1]!i_pq_pctchange($C9,J$6,$O$1))</f>
        <v>17.89306964806261</v>
      </c>
      <c r="K9" s="18">
        <f ca="1">IF($C9=""," ",[1]!i_pq_pctchange($C9,K$6,$O$1))</f>
        <v>21.747809069559352</v>
      </c>
      <c r="L9" s="18">
        <f ca="1">IF($C9=""," ",[1]!i_pq_pctchange($C9,L$6,$O$1))</f>
        <v>23.129672979340942</v>
      </c>
      <c r="M9" s="18">
        <f ca="1">IF(C9=""," ",[1]!s_wq_pctchange($C9,$O$1))</f>
        <v>-2.4736415247364252</v>
      </c>
      <c r="N9" s="18">
        <f ca="1">IF(C9=""," ",[1]!s_mq_pctchange($C9,$O$1))</f>
        <v>2.0581370676851138</v>
      </c>
      <c r="O9" s="18">
        <f ca="1">IF(C9=""," ",[1]!s_yq_pctchange($C9,$O$1))</f>
        <v>13.630994566501276</v>
      </c>
      <c r="Q9" s="9"/>
      <c r="S9" s="19">
        <f ca="1">QUARTILE(H9:O200,0)</f>
        <v>-33.693919494396539</v>
      </c>
      <c r="T9" s="20" t="str">
        <f ca="1">ROUND(S9,2)&amp;" 至 "&amp;ROUND(S10,2)&amp;""</f>
        <v>-33.69 至 -0.59</v>
      </c>
    </row>
    <row r="10" spans="1:20" ht="17.25" x14ac:dyDescent="0.2">
      <c r="A10" s="9"/>
      <c r="C10" s="21" t="str">
        <f>IF(指数列表!B7="","",指数列表!B7)</f>
        <v>AP.CZC</v>
      </c>
      <c r="D10" s="34" t="str">
        <f>IF(C10="","",[1]!s_info_name(C10))</f>
        <v>CZCE苹果</v>
      </c>
      <c r="E10" s="35">
        <f ca="1">IF(C10="","",[1]!s_dq_close(C10,$O$1))</f>
        <v>10721</v>
      </c>
      <c r="F10" s="35">
        <f ca="1">IF(C10="","",[1]!s_dq_volume($C10,$O$1))</f>
        <v>0</v>
      </c>
      <c r="G10" s="35">
        <f ca="1">IF(C10="","",[1]!s_dq_oi($C10,$O$1))</f>
        <v>94132</v>
      </c>
      <c r="H10" s="18">
        <f ca="1">IF($C10=""," ",[1]!i_pq_pctchange($C10,H$6,$O$1))</f>
        <v>6.7616012746464893</v>
      </c>
      <c r="I10" s="18">
        <f ca="1">IF($C10=""," ",[1]!i_pq_pctchange($C10,I$6,$O$1))</f>
        <v>9.275303231067177</v>
      </c>
      <c r="J10" s="18">
        <f ca="1">IF($C10=""," ",[1]!i_pq_pctchange($C10,J$6,$O$1))</f>
        <v>17.490410958904135</v>
      </c>
      <c r="K10" s="18">
        <f ca="1">IF($C10=""," ",[1]!i_pq_pctchange($C10,K$6,$O$1))</f>
        <v>26.107989296271718</v>
      </c>
      <c r="L10" s="18">
        <f ca="1">IF($C10=""," ",[1]!i_pq_pctchange($C10,L$6,$O$1))</f>
        <v>46.670165154767275</v>
      </c>
      <c r="M10" s="18">
        <f ca="1">IF(C10=""," ",[1]!s_wq_pctchange($C10,$O$1))</f>
        <v>6.7616012746464893</v>
      </c>
      <c r="N10" s="18">
        <f ca="1">IF(C10=""," ",[1]!s_mq_pctchange($C10,$O$1))</f>
        <v>9.5320800980792928</v>
      </c>
      <c r="O10" s="18">
        <f ca="1">IF(C10=""," ",[1]!s_yq_pctchange($C10,$O$1))</f>
        <v>17.028708656260228</v>
      </c>
      <c r="Q10" s="9"/>
      <c r="S10" s="19">
        <f ca="1">PERCENTILE(H9:O200,0.2)</f>
        <v>-0.59328968903437085</v>
      </c>
      <c r="T10" s="22" t="str">
        <f ca="1">ROUND(S10,2)&amp;" 至 "&amp;ROUND(S11,2)&amp;""</f>
        <v>-0.59 至 0</v>
      </c>
    </row>
    <row r="11" spans="1:20" ht="17.25" x14ac:dyDescent="0.2">
      <c r="A11" s="9"/>
      <c r="C11" s="17" t="str">
        <f>IF(指数列表!B8="","",指数列表!B8)</f>
        <v>B.DCE</v>
      </c>
      <c r="D11" s="33" t="str">
        <f>IF(C11="","",[1]!s_info_name(C11))</f>
        <v>DCE豆二</v>
      </c>
      <c r="E11" s="36">
        <f ca="1">IF(C11="","",[1]!s_dq_close(C11,$O$1))</f>
        <v>3813</v>
      </c>
      <c r="F11" s="36">
        <f ca="1">IF(C11="","",[1]!s_dq_volume($C11,$O$1))</f>
        <v>0</v>
      </c>
      <c r="G11" s="36">
        <f ca="1">IF(C11="","",[1]!s_dq_oi($C11,$O$1))</f>
        <v>228877</v>
      </c>
      <c r="H11" s="18">
        <f ca="1">IF($C11=""," ",[1]!i_pq_pctchange($C11,H$6,$O$1))</f>
        <v>-2.828746177370034</v>
      </c>
      <c r="I11" s="18">
        <f ca="1">IF($C11=""," ",[1]!i_pq_pctchange($C11,I$6,$O$1))</f>
        <v>7.9558323895809746</v>
      </c>
      <c r="J11" s="18">
        <f ca="1">IF($C11=""," ",[1]!i_pq_pctchange($C11,J$6,$O$1))</f>
        <v>12.593890846640864</v>
      </c>
      <c r="K11" s="18">
        <f ca="1">IF($C11=""," ",[1]!i_pq_pctchange($C11,K$6,$O$1))</f>
        <v>11.27743117983977</v>
      </c>
      <c r="L11" s="18">
        <f ca="1">IF($C11=""," ",[1]!i_pq_pctchange($C11,L$6,$O$1))</f>
        <v>9.3237406809082444</v>
      </c>
      <c r="M11" s="18">
        <f ca="1">IF(C11=""," ",[1]!s_wq_pctchange($C11,$O$1))</f>
        <v>-2.828746177370034</v>
      </c>
      <c r="N11" s="18">
        <f ca="1">IF(C11=""," ",[1]!s_mq_pctchange($C11,$O$1))</f>
        <v>6.5083798882681609</v>
      </c>
      <c r="O11" s="18">
        <f ca="1">IF(C11=""," ",[1]!s_yq_pctchange($C11,$O$1))</f>
        <v>9.7266187050359711</v>
      </c>
      <c r="Q11" s="9"/>
      <c r="S11" s="19">
        <f ca="1">PERCENTILE(H9:O200,0.4)</f>
        <v>0</v>
      </c>
      <c r="T11" s="23" t="str">
        <f ca="1">ROUND(S11,2)&amp;" 至 "&amp;ROUND(S12,2)&amp;""</f>
        <v>0 至 3.33</v>
      </c>
    </row>
    <row r="12" spans="1:20" ht="17.25" x14ac:dyDescent="0.2">
      <c r="A12" s="9"/>
      <c r="C12" s="21" t="str">
        <f>IF(指数列表!B9="","",指数列表!B9)</f>
        <v>BB.DCE</v>
      </c>
      <c r="D12" s="34" t="str">
        <f>IF(C12="","",[1]!s_info_name(C12))</f>
        <v>DCE胶合板</v>
      </c>
      <c r="E12" s="35">
        <f ca="1">IF(C12="","",[1]!s_dq_close(C12,$O$1))</f>
        <v>151.80000000000001</v>
      </c>
      <c r="F12" s="35">
        <f ca="1">IF(C12="","",[1]!s_dq_volume($C12,$O$1))</f>
        <v>0</v>
      </c>
      <c r="G12" s="35">
        <f ca="1">IF(C12="","",[1]!s_dq_oi($C12,$O$1))</f>
        <v>40</v>
      </c>
      <c r="H12" s="18">
        <f ca="1">IF($C12=""," ",[1]!i_pq_pctchange($C12,H$6,$O$1))</f>
        <v>0.59563073121811083</v>
      </c>
      <c r="I12" s="18">
        <f ca="1">IF($C12=""," ",[1]!i_pq_pctchange($C12,I$6,$O$1))</f>
        <v>1.4203425446407181</v>
      </c>
      <c r="J12" s="18">
        <f ca="1">IF($C12=""," ",[1]!i_pq_pctchange($C12,J$6,$O$1))</f>
        <v>2.7692240083085684</v>
      </c>
      <c r="K12" s="18">
        <f ca="1">IF($C12=""," ",[1]!i_pq_pctchange($C12,K$6,$O$1))</f>
        <v>3.9329110913928655</v>
      </c>
      <c r="L12" s="18">
        <f ca="1">IF($C12=""," ",[1]!i_pq_pctchange($C12,L$6,$O$1))</f>
        <v>-9.560985929642829</v>
      </c>
      <c r="M12" s="18">
        <f ca="1">IF(C12=""," ",[1]!s_wq_pctchange($C12,$O$1))</f>
        <v>0.59563073121811083</v>
      </c>
      <c r="N12" s="18">
        <f ca="1">IF(C12=""," ",[1]!s_mq_pctchange($C12,$O$1))</f>
        <v>1.1100831690792896</v>
      </c>
      <c r="O12" s="18">
        <f ca="1">IF(C12=""," ",[1]!s_yq_pctchange($C12,$O$1))</f>
        <v>1.8333828453323875</v>
      </c>
      <c r="P12" s="24"/>
      <c r="Q12" s="9"/>
      <c r="S12" s="19">
        <f ca="1">PERCENTILE(H9:O200,0.6)</f>
        <v>3.3276740237691005</v>
      </c>
      <c r="T12" s="25" t="str">
        <f ca="1">ROUND(S12,2)&amp;" 至 "&amp;ROUND(S13,2)&amp;""</f>
        <v>3.33 至 7.02</v>
      </c>
    </row>
    <row r="13" spans="1:20" ht="18" thickBot="1" x14ac:dyDescent="0.25">
      <c r="A13" s="9"/>
      <c r="C13" s="17" t="str">
        <f>IF(指数列表!B10="","",指数列表!B10)</f>
        <v>C.DCE</v>
      </c>
      <c r="D13" s="33" t="str">
        <f>IF(C13="","",[1]!s_info_name(C13))</f>
        <v>DCE玉米</v>
      </c>
      <c r="E13" s="36">
        <f ca="1">IF(C13="","",[1]!s_dq_close(C13,$O$1))</f>
        <v>2387</v>
      </c>
      <c r="F13" s="36">
        <f ca="1">IF(C13="","",[1]!s_dq_volume($C13,$O$1))</f>
        <v>0</v>
      </c>
      <c r="G13" s="36">
        <f ca="1">IF(C13="","",[1]!s_dq_oi($C13,$O$1))</f>
        <v>1316707</v>
      </c>
      <c r="H13" s="18">
        <f ca="1">IF($C13=""," ",[1]!i_pq_pctchange($C13,H$6,$O$1))</f>
        <v>-8.3717036416908197E-2</v>
      </c>
      <c r="I13" s="18">
        <f ca="1">IF($C13=""," ",[1]!i_pq_pctchange($C13,I$6,$O$1))</f>
        <v>2.7993109388458226</v>
      </c>
      <c r="J13" s="18">
        <f ca="1">IF($C13=""," ",[1]!i_pq_pctchange($C13,J$6,$O$1))</f>
        <v>8.5640534429319395</v>
      </c>
      <c r="K13" s="18">
        <f ca="1">IF($C13=""," ",[1]!i_pq_pctchange($C13,K$6,$O$1))</f>
        <v>9.1171429903161183</v>
      </c>
      <c r="L13" s="18">
        <f ca="1">IF($C13=""," ",[1]!i_pq_pctchange($C13,L$6,$O$1))</f>
        <v>3.9441156736317984</v>
      </c>
      <c r="M13" s="18">
        <f ca="1">IF(C13=""," ",[1]!s_wq_pctchange($C13,$O$1))</f>
        <v>-8.3717036416908197E-2</v>
      </c>
      <c r="N13" s="18">
        <f ca="1">IF(C13=""," ",[1]!s_mq_pctchange($C13,$O$1))</f>
        <v>1.7043033659991424</v>
      </c>
      <c r="O13" s="18">
        <f ca="1">IF(C13=""," ",[1]!s_yq_pctchange($C13,$O$1))</f>
        <v>6.6645477972278933</v>
      </c>
      <c r="P13" s="24"/>
      <c r="Q13" s="9"/>
      <c r="S13" s="26">
        <f ca="1">PERCENTILE(H9:O200,0.8)</f>
        <v>7.0205904242123474</v>
      </c>
      <c r="T13" s="27" t="str">
        <f ca="1">ROUND(S13,2)&amp;" 以上"</f>
        <v>7.02 以上</v>
      </c>
    </row>
    <row r="14" spans="1:20" ht="17.25" x14ac:dyDescent="0.2">
      <c r="A14" s="9"/>
      <c r="C14" s="21" t="str">
        <f>IF(指数列表!B11="","",指数列表!B11)</f>
        <v>CF.CZC</v>
      </c>
      <c r="D14" s="34" t="str">
        <f>IF(C14="","",[1]!s_info_name(C14))</f>
        <v>CZCE棉花</v>
      </c>
      <c r="E14" s="35">
        <f ca="1">IF(C14="","",[1]!s_dq_close(C14,$O$1))</f>
        <v>15215</v>
      </c>
      <c r="F14" s="35">
        <f ca="1">IF(C14="","",[1]!s_dq_volume($C14,$O$1))</f>
        <v>0</v>
      </c>
      <c r="G14" s="35">
        <f ca="1">IF(C14="","",[1]!s_dq_oi($C14,$O$1))</f>
        <v>592451</v>
      </c>
      <c r="H14" s="18">
        <f ca="1">IF($C14=""," ",[1]!i_pq_pctchange($C14,H$6,$O$1))</f>
        <v>-2.2800256904303207</v>
      </c>
      <c r="I14" s="18">
        <f ca="1">IF($C14=""," ",[1]!i_pq_pctchange($C14,I$6,$O$1))</f>
        <v>3.3276740237691005</v>
      </c>
      <c r="J14" s="18">
        <f ca="1">IF($C14=""," ",[1]!i_pq_pctchange($C14,J$6,$O$1))</f>
        <v>8.7951376474794341</v>
      </c>
      <c r="K14" s="18">
        <f ca="1">IF($C14=""," ",[1]!i_pq_pctchange($C14,K$6,$O$1))</f>
        <v>10.773922342476027</v>
      </c>
      <c r="L14" s="18">
        <f ca="1">IF($C14=""," ",[1]!i_pq_pctchange($C14,L$6,$O$1))</f>
        <v>8.3348505189616784</v>
      </c>
      <c r="M14" s="18">
        <f ca="1">IF(C14=""," ",[1]!s_wq_pctchange($C14,$O$1))</f>
        <v>-2.2800256904303207</v>
      </c>
      <c r="N14" s="18">
        <f ca="1">IF(C14=""," ",[1]!s_mq_pctchange($C14,$O$1))</f>
        <v>-0.75016307893019907</v>
      </c>
      <c r="O14" s="18">
        <f ca="1">IF(C14=""," ",[1]!s_yq_pctchange($C14,$O$1))</f>
        <v>4.5704467353951728</v>
      </c>
      <c r="P14" s="24"/>
      <c r="Q14" s="9"/>
    </row>
    <row r="15" spans="1:20" ht="17.25" x14ac:dyDescent="0.2">
      <c r="A15" s="9"/>
      <c r="C15" s="17" t="str">
        <f>IF(指数列表!B12="","",指数列表!B12)</f>
        <v>CJ.CZC</v>
      </c>
      <c r="D15" s="33" t="str">
        <f>IF(C15="","",[1]!s_info_name(C15))</f>
        <v>CZCE红枣</v>
      </c>
      <c r="E15" s="36">
        <f ca="1">IF(C15="","",[1]!s_dq_close(C15,$O$1))</f>
        <v>8840</v>
      </c>
      <c r="F15" s="36">
        <f ca="1">IF(C15="","",[1]!s_dq_volume($C15,$O$1))</f>
        <v>0</v>
      </c>
      <c r="G15" s="36">
        <f ca="1">IF(C15="","",[1]!s_dq_oi($C15,$O$1))</f>
        <v>110023</v>
      </c>
      <c r="H15" s="18">
        <f ca="1">IF($C15=""," ",[1]!i_pq_pctchange($C15,H$6,$O$1))</f>
        <v>-3.335155822854019</v>
      </c>
      <c r="I15" s="18">
        <f ca="1">IF($C15=""," ",[1]!i_pq_pctchange($C15,I$6,$O$1))</f>
        <v>0.16997167138810276</v>
      </c>
      <c r="J15" s="18">
        <f ca="1">IF($C15=""," ",[1]!i_pq_pctchange($C15,J$6,$O$1))</f>
        <v>-0.45045045045045695</v>
      </c>
      <c r="K15" s="18">
        <f ca="1">IF($C15=""," ",[1]!i_pq_pctchange($C15,K$6,$O$1))</f>
        <v>-18.027331782628377</v>
      </c>
      <c r="L15" s="18">
        <f ca="1">IF($C15=""," ",[1]!i_pq_pctchange($C15,L$6,$O$1))</f>
        <v>-17.725149926491689</v>
      </c>
      <c r="M15" s="18">
        <f ca="1">IF(C15=""," ",[1]!s_wq_pctchange($C15,$O$1))</f>
        <v>-3.335155822854019</v>
      </c>
      <c r="N15" s="18">
        <f ca="1">IF(C15=""," ",[1]!s_mq_pctchange($C15,$O$1))</f>
        <v>5.6593095642334557E-2</v>
      </c>
      <c r="O15" s="18">
        <f ca="1">IF(C15=""," ",[1]!s_yq_pctchange($C15,$O$1))</f>
        <v>-1.8323153803442627</v>
      </c>
      <c r="P15" s="24"/>
      <c r="Q15" s="9"/>
    </row>
    <row r="16" spans="1:20" ht="17.25" x14ac:dyDescent="0.2">
      <c r="A16" s="9"/>
      <c r="C16" s="21" t="str">
        <f>IF(指数列表!B13="","",指数列表!B13)</f>
        <v>CS.DCE</v>
      </c>
      <c r="D16" s="34" t="str">
        <f>IF(C16="","",[1]!s_info_name(C16))</f>
        <v>DCE玉米淀粉</v>
      </c>
      <c r="E16" s="35">
        <f ca="1">IF(C16="","",[1]!s_dq_close(C16,$O$1))</f>
        <v>2798</v>
      </c>
      <c r="F16" s="35">
        <f ca="1">IF(C16="","",[1]!s_dq_volume($C16,$O$1))</f>
        <v>0</v>
      </c>
      <c r="G16" s="35">
        <f ca="1">IF(C16="","",[1]!s_dq_oi($C16,$O$1))</f>
        <v>284736</v>
      </c>
      <c r="H16" s="18">
        <f ca="1">IF($C16=""," ",[1]!i_pq_pctchange($C16,H$6,$O$1))</f>
        <v>2.7543150936467198</v>
      </c>
      <c r="I16" s="18">
        <f ca="1">IF($C16=""," ",[1]!i_pq_pctchange($C16,I$6,$O$1))</f>
        <v>5.6247640619101702</v>
      </c>
      <c r="J16" s="18">
        <f ca="1">IF($C16=""," ",[1]!i_pq_pctchange($C16,J$6,$O$1))</f>
        <v>9.7443731063939545</v>
      </c>
      <c r="K16" s="18">
        <f ca="1">IF($C16=""," ",[1]!i_pq_pctchange($C16,K$6,$O$1))</f>
        <v>9.5639222600211617</v>
      </c>
      <c r="L16" s="18">
        <f ca="1">IF($C16=""," ",[1]!i_pq_pctchange($C16,L$6,$O$1))</f>
        <v>1.0049524750703975</v>
      </c>
      <c r="M16" s="18">
        <f ca="1">IF(C16=""," ",[1]!s_wq_pctchange($C16,$O$1))</f>
        <v>2.7543150936467198</v>
      </c>
      <c r="N16" s="18">
        <f ca="1">IF(C16=""," ",[1]!s_mq_pctchange($C16,$O$1))</f>
        <v>5.2275291462956028</v>
      </c>
      <c r="O16" s="18">
        <f ca="1">IF(C16=""," ",[1]!s_yq_pctchange($C16,$O$1))</f>
        <v>8.0899510909756103</v>
      </c>
      <c r="P16" s="24"/>
      <c r="Q16" s="9"/>
    </row>
    <row r="17" spans="1:17" ht="17.25" x14ac:dyDescent="0.2">
      <c r="A17" s="9"/>
      <c r="C17" s="17" t="str">
        <f>IF(指数列表!B14="","",指数列表!B14)</f>
        <v>CY.CZC</v>
      </c>
      <c r="D17" s="33" t="str">
        <f>IF(C17="","",[1]!s_info_name(C17))</f>
        <v>CZCE棉纱</v>
      </c>
      <c r="E17" s="36">
        <f ca="1">IF(C17="","",[1]!s_dq_close(C17,$O$1))</f>
        <v>21475</v>
      </c>
      <c r="F17" s="36">
        <f ca="1">IF(C17="","",[1]!s_dq_volume($C17,$O$1))</f>
        <v>0</v>
      </c>
      <c r="G17" s="36">
        <f ca="1">IF(C17="","",[1]!s_dq_oi($C17,$O$1))</f>
        <v>14799</v>
      </c>
      <c r="H17" s="18">
        <f ca="1">IF($C17=""," ",[1]!i_pq_pctchange($C17,H$6,$O$1))</f>
        <v>-0.64769835762200634</v>
      </c>
      <c r="I17" s="18">
        <f ca="1">IF($C17=""," ",[1]!i_pq_pctchange($C17,I$6,$O$1))</f>
        <v>4.2475728155339842</v>
      </c>
      <c r="J17" s="18">
        <f ca="1">IF($C17=""," ",[1]!i_pq_pctchange($C17,J$6,$O$1))</f>
        <v>6.902422176575862</v>
      </c>
      <c r="K17" s="18">
        <f ca="1">IF($C17=""," ",[1]!i_pq_pctchange($C17,K$6,$O$1))</f>
        <v>8.7671230747313089</v>
      </c>
      <c r="L17" s="18">
        <f ca="1">IF($C17=""," ",[1]!i_pq_pctchange($C17,L$6,$O$1))</f>
        <v>9.2759555665882445</v>
      </c>
      <c r="M17" s="18">
        <f ca="1">IF(C17=""," ",[1]!s_wq_pctchange($C17,$O$1))</f>
        <v>-0.64769835762200634</v>
      </c>
      <c r="N17" s="18">
        <f ca="1">IF(C17=""," ",[1]!s_mq_pctchange($C17,$O$1))</f>
        <v>1.1778563015312189</v>
      </c>
      <c r="O17" s="18">
        <f ca="1">IF(C17=""," ",[1]!s_yq_pctchange($C17,$O$1))</f>
        <v>4.0173823366536743</v>
      </c>
      <c r="P17" s="24"/>
      <c r="Q17" s="9"/>
    </row>
    <row r="18" spans="1:17" ht="17.25" x14ac:dyDescent="0.2">
      <c r="A18" s="9"/>
      <c r="C18" s="21" t="str">
        <f>IF(指数列表!B15="","",指数列表!B15)</f>
        <v>FB.DCE</v>
      </c>
      <c r="D18" s="34" t="str">
        <f>IF(C18="","",[1]!s_info_name(C18))</f>
        <v>DCE纤维板</v>
      </c>
      <c r="E18" s="35">
        <f ca="1">IF(C18="","",[1]!s_dq_close(C18,$O$1))</f>
        <v>1317.5</v>
      </c>
      <c r="F18" s="35">
        <f ca="1">IF(C18="","",[1]!s_dq_volume($C18,$O$1))</f>
        <v>0</v>
      </c>
      <c r="G18" s="35">
        <f ca="1">IF(C18="","",[1]!s_dq_oi($C18,$O$1))</f>
        <v>1686</v>
      </c>
      <c r="H18" s="18">
        <f ca="1">IF($C18=""," ",[1]!i_pq_pctchange($C18,H$6,$O$1))</f>
        <v>3.2816962220568291</v>
      </c>
      <c r="I18" s="18">
        <f ca="1">IF($C18=""," ",[1]!i_pq_pctchange($C18,I$6,$O$1))</f>
        <v>5.9465093380285827</v>
      </c>
      <c r="J18" s="18">
        <f ca="1">IF($C18=""," ",[1]!i_pq_pctchange($C18,J$6,$O$1))</f>
        <v>6.5709006466585063</v>
      </c>
      <c r="K18" s="18">
        <f ca="1">IF($C18=""," ",[1]!i_pq_pctchange($C18,K$6,$O$1))</f>
        <v>6.9423273157452892</v>
      </c>
      <c r="L18" s="18">
        <f ca="1">IF($C18=""," ",[1]!i_pq_pctchange($C18,L$6,$O$1))</f>
        <v>5.8550549456894085</v>
      </c>
      <c r="M18" s="18">
        <f ca="1">IF(C18=""," ",[1]!s_wq_pctchange($C18,$O$1))</f>
        <v>3.2816962220568291</v>
      </c>
      <c r="N18" s="18">
        <f ca="1">IF(C18=""," ",[1]!s_mq_pctchange($C18,$O$1))</f>
        <v>5.5339450493290983</v>
      </c>
      <c r="O18" s="18">
        <f ca="1">IF(C18=""," ",[1]!s_yq_pctchange($C18,$O$1))</f>
        <v>6.2800638807611886</v>
      </c>
      <c r="P18" s="24"/>
      <c r="Q18" s="9"/>
    </row>
    <row r="19" spans="1:17" ht="17.25" x14ac:dyDescent="0.2">
      <c r="A19" s="9"/>
      <c r="C19" s="17" t="str">
        <f>IF(指数列表!B16="","",指数列表!B16)</f>
        <v>JD.DCE</v>
      </c>
      <c r="D19" s="33" t="str">
        <f>IF(C19="","",[1]!s_info_name(C19))</f>
        <v>DCE鸡蛋</v>
      </c>
      <c r="E19" s="36">
        <f ca="1">IF(C19="","",[1]!s_dq_close(C19,$O$1))</f>
        <v>3409</v>
      </c>
      <c r="F19" s="36">
        <f ca="1">IF(C19="","",[1]!s_dq_volume($C19,$O$1))</f>
        <v>0</v>
      </c>
      <c r="G19" s="36">
        <f ca="1">IF(C19="","",[1]!s_dq_oi($C19,$O$1))</f>
        <v>165133</v>
      </c>
      <c r="H19" s="18">
        <f ca="1">IF($C19=""," ",[1]!i_pq_pctchange($C19,H$6,$O$1))</f>
        <v>-1.359953703703709</v>
      </c>
      <c r="I19" s="18">
        <f ca="1">IF($C19=""," ",[1]!i_pq_pctchange($C19,I$6,$O$1))</f>
        <v>0.52443346112998057</v>
      </c>
      <c r="J19" s="18">
        <f ca="1">IF($C19=""," ",[1]!i_pq_pctchange($C19,J$6,$O$1))</f>
        <v>3.1214274184476531</v>
      </c>
      <c r="K19" s="18">
        <f ca="1">IF($C19=""," ",[1]!i_pq_pctchange($C19,K$6,$O$1))</f>
        <v>-9.9413917838746748</v>
      </c>
      <c r="L19" s="18">
        <f ca="1">IF($C19=""," ",[1]!i_pq_pctchange($C19,L$6,$O$1))</f>
        <v>-24.883342597840475</v>
      </c>
      <c r="M19" s="18">
        <f ca="1">IF(C19=""," ",[1]!s_wq_pctchange($C19,$O$1))</f>
        <v>-1.359953703703709</v>
      </c>
      <c r="N19" s="18">
        <f ca="1">IF(C19=""," ",[1]!s_mq_pctchange($C19,$O$1))</f>
        <v>-0.21607801924666917</v>
      </c>
      <c r="O19" s="18">
        <f ca="1">IF(C19=""," ",[1]!s_yq_pctchange($C19,$O$1))</f>
        <v>2.1011198909628881</v>
      </c>
      <c r="P19" s="24"/>
      <c r="Q19" s="9"/>
    </row>
    <row r="20" spans="1:17" ht="17.25" x14ac:dyDescent="0.2">
      <c r="A20" s="9"/>
      <c r="C20" s="21" t="str">
        <f>IF(指数列表!B17="","",指数列表!B17)</f>
        <v>JR.CZC</v>
      </c>
      <c r="D20" s="34" t="str">
        <f>IF(C20="","",[1]!s_info_name(C20))</f>
        <v>CZCE粳稻</v>
      </c>
      <c r="E20" s="35">
        <f ca="1">IF(C20="","",[1]!s_dq_close(C20,$O$1))</f>
        <v>2662</v>
      </c>
      <c r="F20" s="35">
        <f ca="1">IF(C20="","",[1]!s_dq_volume($C20,$O$1))</f>
        <v>0</v>
      </c>
      <c r="G20" s="35">
        <f ca="1">IF(C20="","",[1]!s_dq_oi($C20,$O$1))</f>
        <v>0</v>
      </c>
      <c r="H20" s="18">
        <f ca="1">IF($C20=""," ",[1]!i_pq_pctchange($C20,H$6,$O$1))</f>
        <v>0</v>
      </c>
      <c r="I20" s="18">
        <f ca="1">IF($C20=""," ",[1]!i_pq_pctchange($C20,I$6,$O$1))</f>
        <v>0</v>
      </c>
      <c r="J20" s="18">
        <f ca="1">IF($C20=""," ",[1]!i_pq_pctchange($C20,J$6,$O$1))</f>
        <v>0</v>
      </c>
      <c r="K20" s="18">
        <f ca="1">IF($C20=""," ",[1]!i_pq_pctchange($C20,K$6,$O$1))</f>
        <v>0</v>
      </c>
      <c r="L20" s="18">
        <f ca="1">IF($C20=""," ",[1]!i_pq_pctchange($C20,L$6,$O$1))</f>
        <v>0</v>
      </c>
      <c r="M20" s="18">
        <f ca="1">IF(C20=""," ",[1]!s_wq_pctchange($C20,$O$1))</f>
        <v>0</v>
      </c>
      <c r="N20" s="18">
        <f ca="1">IF(C20=""," ",[1]!s_mq_pctchange($C20,$O$1))</f>
        <v>0</v>
      </c>
      <c r="O20" s="18">
        <f ca="1">IF(C20=""," ",[1]!s_yq_pctchange($C20,$O$1))</f>
        <v>0</v>
      </c>
      <c r="P20" s="24"/>
      <c r="Q20" s="9"/>
    </row>
    <row r="21" spans="1:17" ht="17.25" x14ac:dyDescent="0.2">
      <c r="A21" s="9"/>
      <c r="C21" s="17" t="str">
        <f>IF(指数列表!B18="","",指数列表!B18)</f>
        <v>LG.DCE</v>
      </c>
      <c r="D21" s="33" t="str">
        <f>IF(C21="","",[1]!s_info_name(C21))</f>
        <v>DCE 原木</v>
      </c>
      <c r="E21" s="36">
        <f ca="1">IF(C21="","",[1]!s_dq_close(C21,$O$1))</f>
        <v>823.5</v>
      </c>
      <c r="F21" s="36">
        <f ca="1">IF(C21="","",[1]!s_dq_volume($C21,$O$1))</f>
        <v>0</v>
      </c>
      <c r="G21" s="36">
        <f ca="1">IF(C21="","",[1]!s_dq_oi($C21,$O$1))</f>
        <v>12485</v>
      </c>
      <c r="H21" s="18">
        <f ca="1">IF($C21=""," ",[1]!i_pq_pctchange($C21,H$6,$O$1))</f>
        <v>3.7153652392947212</v>
      </c>
      <c r="I21" s="18">
        <f ca="1">IF($C21=""," ",[1]!i_pq_pctchange($C21,I$6,$O$1))</f>
        <v>5.1057646108440657</v>
      </c>
      <c r="J21" s="18">
        <f ca="1">IF($C21=""," ",[1]!i_pq_pctchange($C21,J$6,$O$1))</f>
        <v>5.3724747637509562</v>
      </c>
      <c r="K21" s="18">
        <f ca="1">IF($C21=""," ",[1]!i_pq_pctchange($C21,K$6,$O$1))</f>
        <v>-1.9427400789701066</v>
      </c>
      <c r="L21" s="18">
        <f ca="1">IF($C21=""," ",[1]!i_pq_pctchange($C21,L$6,$O$1))</f>
        <v>-5.2856910099999936</v>
      </c>
      <c r="M21" s="18">
        <f ca="1">IF(C21=""," ",[1]!s_wq_pctchange($C21,$O$1))</f>
        <v>3.7153652392947212</v>
      </c>
      <c r="N21" s="18">
        <f ca="1">IF(C21=""," ",[1]!s_mq_pctchange($C21,$O$1))</f>
        <v>3.5849056603773612</v>
      </c>
      <c r="O21" s="18">
        <f ca="1">IF(C21=""," ",[1]!s_yq_pctchange($C21,$O$1))</f>
        <v>6.4654769602728424</v>
      </c>
      <c r="P21" s="24"/>
      <c r="Q21" s="9"/>
    </row>
    <row r="22" spans="1:17" ht="17.25" x14ac:dyDescent="0.2">
      <c r="A22" s="9"/>
      <c r="C22" s="21" t="str">
        <f>IF(指数列表!B19="","",指数列表!B19)</f>
        <v>LH.DCE</v>
      </c>
      <c r="D22" s="34" t="str">
        <f>IF(C22="","",[1]!s_info_name(C22))</f>
        <v>DCE 生猪</v>
      </c>
      <c r="E22" s="35">
        <f ca="1">IF(C22="","",[1]!s_dq_close(C22,$O$1))</f>
        <v>10220</v>
      </c>
      <c r="F22" s="35">
        <f ca="1">IF(C22="","",[1]!s_dq_volume($C22,$O$1))</f>
        <v>0</v>
      </c>
      <c r="G22" s="35">
        <f ca="1">IF(C22="","",[1]!s_dq_oi($C22,$O$1))</f>
        <v>203669</v>
      </c>
      <c r="H22" s="18">
        <f ca="1">IF($C22=""," ",[1]!i_pq_pctchange($C22,H$6,$O$1))</f>
        <v>-8.4229390681003657</v>
      </c>
      <c r="I22" s="18">
        <f ca="1">IF($C22=""," ",[1]!i_pq_pctchange($C22,I$6,$O$1))</f>
        <v>-11.284722222222221</v>
      </c>
      <c r="J22" s="18">
        <f ca="1">IF($C22=""," ",[1]!i_pq_pctchange($C22,J$6,$O$1))</f>
        <v>-12.911028994013884</v>
      </c>
      <c r="K22" s="18">
        <f ca="1">IF($C22=""," ",[1]!i_pq_pctchange($C22,K$6,$O$1))</f>
        <v>-26.450180320522556</v>
      </c>
      <c r="L22" s="18">
        <f ca="1">IF($C22=""," ",[1]!i_pq_pctchange($C22,L$6,$O$1))</f>
        <v>-33.693919494396539</v>
      </c>
      <c r="M22" s="18">
        <f ca="1">IF(C22=""," ",[1]!s_wq_pctchange($C22,$O$1))</f>
        <v>-8.4229390681003657</v>
      </c>
      <c r="N22" s="18">
        <f ca="1">IF(C22=""," ",[1]!s_mq_pctchange($C22,$O$1))</f>
        <v>-10.664335664335663</v>
      </c>
      <c r="O22" s="18">
        <f ca="1">IF(C22=""," ",[1]!s_yq_pctchange($C22,$O$1))</f>
        <v>-16.498133107636235</v>
      </c>
      <c r="P22" s="24"/>
      <c r="Q22" s="9"/>
    </row>
    <row r="23" spans="1:17" ht="17.25" x14ac:dyDescent="0.2">
      <c r="A23" s="9"/>
      <c r="C23" s="17" t="str">
        <f>IF(指数列表!B20="","",指数列表!B20)</f>
        <v>LR.CZC</v>
      </c>
      <c r="D23" s="33" t="str">
        <f>IF(C23="","",[1]!s_info_name(C23))</f>
        <v>CZCE晚籼稻</v>
      </c>
      <c r="E23" s="36">
        <f ca="1">IF(C23="","",[1]!s_dq_close(C23,$O$1))</f>
        <v>2360</v>
      </c>
      <c r="F23" s="36">
        <f ca="1">IF(C23="","",[1]!s_dq_volume($C23,$O$1))</f>
        <v>0</v>
      </c>
      <c r="G23" s="36">
        <f ca="1">IF(C23="","",[1]!s_dq_oi($C23,$O$1))</f>
        <v>0</v>
      </c>
      <c r="H23" s="18">
        <f ca="1">IF($C23=""," ",[1]!i_pq_pctchange($C23,H$6,$O$1))</f>
        <v>0</v>
      </c>
      <c r="I23" s="18">
        <f ca="1">IF($C23=""," ",[1]!i_pq_pctchange($C23,I$6,$O$1))</f>
        <v>0</v>
      </c>
      <c r="J23" s="18">
        <f ca="1">IF($C23=""," ",[1]!i_pq_pctchange($C23,J$6,$O$1))</f>
        <v>0</v>
      </c>
      <c r="K23" s="18">
        <f ca="1">IF($C23=""," ",[1]!i_pq_pctchange($C23,K$6,$O$1))</f>
        <v>0</v>
      </c>
      <c r="L23" s="18">
        <f ca="1">IF($C23=""," ",[1]!i_pq_pctchange($C23,L$6,$O$1))</f>
        <v>0</v>
      </c>
      <c r="M23" s="18">
        <f ca="1">IF(C23=""," ",[1]!s_wq_pctchange($C23,$O$1))</f>
        <v>0</v>
      </c>
      <c r="N23" s="18">
        <f ca="1">IF(C23=""," ",[1]!s_mq_pctchange($C23,$O$1))</f>
        <v>0</v>
      </c>
      <c r="O23" s="18">
        <f ca="1">IF(C23=""," ",[1]!s_yq_pctchange($C23,$O$1))</f>
        <v>0</v>
      </c>
      <c r="P23" s="24"/>
      <c r="Q23" s="9"/>
    </row>
    <row r="24" spans="1:17" ht="17.25" x14ac:dyDescent="0.2">
      <c r="A24" s="9"/>
      <c r="C24" s="21" t="str">
        <f>IF(指数列表!B21="","",指数列表!B21)</f>
        <v>M.DCE</v>
      </c>
      <c r="D24" s="34" t="str">
        <f>IF(C24="","",[1]!s_info_name(C24))</f>
        <v>DCE豆粕</v>
      </c>
      <c r="E24" s="35">
        <f ca="1">IF(C24="","",[1]!s_dq_close(C24,$O$1))</f>
        <v>3029</v>
      </c>
      <c r="F24" s="35">
        <f ca="1">IF(C24="","",[1]!s_dq_volume($C24,$O$1))</f>
        <v>0</v>
      </c>
      <c r="G24" s="35">
        <f ca="1">IF(C24="","",[1]!s_dq_oi($C24,$O$1))</f>
        <v>1849898</v>
      </c>
      <c r="H24" s="18">
        <f ca="1">IF($C24=""," ",[1]!i_pq_pctchange($C24,H$6,$O$1))</f>
        <v>-3.2886334610472634</v>
      </c>
      <c r="I24" s="18">
        <f ca="1">IF($C24=""," ",[1]!i_pq_pctchange($C24,I$6,$O$1))</f>
        <v>8.1785714285714342</v>
      </c>
      <c r="J24" s="18">
        <f ca="1">IF($C24=""," ",[1]!i_pq_pctchange($C24,J$6,$O$1))</f>
        <v>10.709064327485374</v>
      </c>
      <c r="K24" s="18">
        <f ca="1">IF($C24=""," ",[1]!i_pq_pctchange($C24,K$6,$O$1))</f>
        <v>7.8802084271507589</v>
      </c>
      <c r="L24" s="18">
        <f ca="1">IF($C24=""," ",[1]!i_pq_pctchange($C24,L$6,$O$1))</f>
        <v>4.9855687613612032</v>
      </c>
      <c r="M24" s="18">
        <f ca="1">IF(C24=""," ",[1]!s_wq_pctchange($C24,$O$1))</f>
        <v>-3.2886334610472634</v>
      </c>
      <c r="N24" s="18">
        <f ca="1">IF(C24=""," ",[1]!s_mq_pctchange($C24,$O$1))</f>
        <v>7.1074964639320966</v>
      </c>
      <c r="O24" s="18">
        <f ca="1">IF(C24=""," ",[1]!s_yq_pctchange($C24,$O$1))</f>
        <v>9.786154403769487</v>
      </c>
      <c r="P24" s="24"/>
      <c r="Q24" s="9"/>
    </row>
    <row r="25" spans="1:17" ht="17.25" x14ac:dyDescent="0.2">
      <c r="A25" s="9"/>
      <c r="C25" s="17" t="str">
        <f>IF(指数列表!B22="","",指数列表!B22)</f>
        <v>OI.CZC</v>
      </c>
      <c r="D25" s="33" t="str">
        <f>IF(C25="","",[1]!s_info_name(C25))</f>
        <v>CZCE菜油</v>
      </c>
      <c r="E25" s="36">
        <f ca="1">IF(C25="","",[1]!s_dq_close(C25,$O$1))</f>
        <v>9876</v>
      </c>
      <c r="F25" s="36">
        <f ca="1">IF(C25="","",[1]!s_dq_volume($C25,$O$1))</f>
        <v>0</v>
      </c>
      <c r="G25" s="36">
        <f ca="1">IF(C25="","",[1]!s_dq_oi($C25,$O$1))</f>
        <v>237433</v>
      </c>
      <c r="H25" s="18">
        <f ca="1">IF($C25=""," ",[1]!i_pq_pctchange($C25,H$6,$O$1))</f>
        <v>0.11150532184491802</v>
      </c>
      <c r="I25" s="18">
        <f ca="1">IF($C25=""," ",[1]!i_pq_pctchange($C25,I$6,$O$1))</f>
        <v>9.1270718232044246</v>
      </c>
      <c r="J25" s="18">
        <f ca="1">IF($C25=""," ",[1]!i_pq_pctchange($C25,J$6,$O$1))</f>
        <v>11.934716082964991</v>
      </c>
      <c r="K25" s="18">
        <f ca="1">IF($C25=""," ",[1]!i_pq_pctchange($C25,K$6,$O$1))</f>
        <v>1.4030110140930807</v>
      </c>
      <c r="L25" s="18">
        <f ca="1">IF($C25=""," ",[1]!i_pq_pctchange($C25,L$6,$O$1))</f>
        <v>11.040489700353607</v>
      </c>
      <c r="M25" s="18">
        <f ca="1">IF(C25=""," ",[1]!s_wq_pctchange($C25,$O$1))</f>
        <v>0.11150532184491802</v>
      </c>
      <c r="N25" s="18">
        <f ca="1">IF(C25=""," ",[1]!s_mq_pctchange($C25,$O$1))</f>
        <v>7.2545612510860185</v>
      </c>
      <c r="O25" s="18">
        <f ca="1">IF(C25=""," ",[1]!s_yq_pctchange($C25,$O$1))</f>
        <v>8.6349136508634849</v>
      </c>
      <c r="P25" s="24"/>
      <c r="Q25" s="9"/>
    </row>
    <row r="26" spans="1:17" ht="17.25" x14ac:dyDescent="0.2">
      <c r="A26" s="9"/>
      <c r="C26" s="21" t="str">
        <f>IF(指数列表!B23="","",指数列表!B23)</f>
        <v>P.DCE</v>
      </c>
      <c r="D26" s="34" t="str">
        <f>IF(C26="","",[1]!s_info_name(C26))</f>
        <v>DCE棕榈油</v>
      </c>
      <c r="E26" s="35">
        <f ca="1">IF(C26="","",[1]!s_dq_close(C26,$O$1))</f>
        <v>9718</v>
      </c>
      <c r="F26" s="35">
        <f ca="1">IF(C26="","",[1]!s_dq_volume($C26,$O$1))</f>
        <v>0</v>
      </c>
      <c r="G26" s="35">
        <f ca="1">IF(C26="","",[1]!s_dq_oi($C26,$O$1))</f>
        <v>319450</v>
      </c>
      <c r="H26" s="18">
        <f ca="1">IF($C26=""," ",[1]!i_pq_pctchange($C26,H$6,$O$1))</f>
        <v>-0.59328968903437085</v>
      </c>
      <c r="I26" s="18">
        <f ca="1">IF($C26=""," ",[1]!i_pq_pctchange($C26,I$6,$O$1))</f>
        <v>11.062857142857151</v>
      </c>
      <c r="J26" s="18">
        <f ca="1">IF($C26=""," ",[1]!i_pq_pctchange($C26,J$6,$O$1))</f>
        <v>16.578694817658345</v>
      </c>
      <c r="K26" s="18">
        <f ca="1">IF($C26=""," ",[1]!i_pq_pctchange($C26,K$6,$O$1))</f>
        <v>4.2179182510391877</v>
      </c>
      <c r="L26" s="18">
        <f ca="1">IF($C26=""," ",[1]!i_pq_pctchange($C26,L$6,$O$1))</f>
        <v>14.025591463772891</v>
      </c>
      <c r="M26" s="18">
        <f ca="1">IF(C26=""," ",[1]!s_wq_pctchange($C26,$O$1))</f>
        <v>-0.59328968903437085</v>
      </c>
      <c r="N26" s="18">
        <f ca="1">IF(C26=""," ",[1]!s_mq_pctchange($C26,$O$1))</f>
        <v>10.986751941525805</v>
      </c>
      <c r="O26" s="18">
        <f ca="1">IF(C26=""," ",[1]!s_yq_pctchange($C26,$O$1))</f>
        <v>12.842545285647923</v>
      </c>
      <c r="P26" s="24"/>
      <c r="Q26" s="9"/>
    </row>
    <row r="27" spans="1:17" ht="17.25" x14ac:dyDescent="0.2">
      <c r="A27" s="9"/>
      <c r="C27" s="17" t="str">
        <f>IF(指数列表!B24="","",指数列表!B24)</f>
        <v>PK.CZC</v>
      </c>
      <c r="D27" s="33" t="str">
        <f>IF(C27="","",[1]!s_info_name(C27))</f>
        <v>CZCE花生</v>
      </c>
      <c r="E27" s="36">
        <f ca="1">IF(C27="","",[1]!s_dq_close(C27,$O$1))</f>
        <v>8188</v>
      </c>
      <c r="F27" s="36">
        <f ca="1">IF(C27="","",[1]!s_dq_volume($C27,$O$1))</f>
        <v>0</v>
      </c>
      <c r="G27" s="36">
        <f ca="1">IF(C27="","",[1]!s_dq_oi($C27,$O$1))</f>
        <v>188551</v>
      </c>
      <c r="H27" s="18">
        <f ca="1">IF($C27=""," ",[1]!i_pq_pctchange($C27,H$6,$O$1))</f>
        <v>0.36773719048786013</v>
      </c>
      <c r="I27" s="18">
        <f ca="1">IF($C27=""," ",[1]!i_pq_pctchange($C27,I$6,$O$1))</f>
        <v>3.3316506814740077</v>
      </c>
      <c r="J27" s="18">
        <f ca="1">IF($C27=""," ",[1]!i_pq_pctchange($C27,J$6,$O$1))</f>
        <v>4.0023167678348015</v>
      </c>
      <c r="K27" s="18">
        <f ca="1">IF($C27=""," ",[1]!i_pq_pctchange($C27,K$6,$O$1))</f>
        <v>3.6064085711490224</v>
      </c>
      <c r="L27" s="18">
        <f ca="1">IF($C27=""," ",[1]!i_pq_pctchange($C27,L$6,$O$1))</f>
        <v>1.9025384390317202</v>
      </c>
      <c r="M27" s="18">
        <f ca="1">IF(C27=""," ",[1]!s_wq_pctchange($C27,$O$1))</f>
        <v>0.36773719048786013</v>
      </c>
      <c r="N27" s="18">
        <f ca="1">IF(C27=""," ",[1]!s_mq_pctchange($C27,$O$1))</f>
        <v>3.8559107052257726</v>
      </c>
      <c r="O27" s="18">
        <f ca="1">IF(C27=""," ",[1]!s_yq_pctchange($C27,$O$1))</f>
        <v>3.7419855619077902</v>
      </c>
      <c r="P27" s="24"/>
      <c r="Q27" s="9"/>
    </row>
    <row r="28" spans="1:17" ht="17.25" x14ac:dyDescent="0.2">
      <c r="A28" s="9"/>
      <c r="C28" s="21" t="str">
        <f>IF(指数列表!B25="","",指数列表!B25)</f>
        <v>PM.CZC</v>
      </c>
      <c r="D28" s="34" t="str">
        <f>IF(C28="","",[1]!s_info_name(C28))</f>
        <v>CZCE普麦</v>
      </c>
      <c r="E28" s="35">
        <f ca="1">IF(C28="","",[1]!s_dq_close(C28,$O$1))</f>
        <v>3122</v>
      </c>
      <c r="F28" s="35">
        <f ca="1">IF(C28="","",[1]!s_dq_volume($C28,$O$1))</f>
        <v>0</v>
      </c>
      <c r="G28" s="35">
        <f ca="1">IF(C28="","",[1]!s_dq_oi($C28,$O$1))</f>
        <v>0</v>
      </c>
      <c r="H28" s="18">
        <f ca="1">IF($C28=""," ",[1]!i_pq_pctchange($C28,H$6,$O$1))</f>
        <v>0</v>
      </c>
      <c r="I28" s="18">
        <f ca="1">IF($C28=""," ",[1]!i_pq_pctchange($C28,I$6,$O$1))</f>
        <v>0</v>
      </c>
      <c r="J28" s="18">
        <f ca="1">IF($C28=""," ",[1]!i_pq_pctchange($C28,J$6,$O$1))</f>
        <v>0</v>
      </c>
      <c r="K28" s="18">
        <f ca="1">IF($C28=""," ",[1]!i_pq_pctchange($C28,K$6,$O$1))</f>
        <v>0</v>
      </c>
      <c r="L28" s="18">
        <f ca="1">IF($C28=""," ",[1]!i_pq_pctchange($C28,L$6,$O$1))</f>
        <v>0</v>
      </c>
      <c r="M28" s="18">
        <f ca="1">IF(C28=""," ",[1]!s_wq_pctchange($C28,$O$1))</f>
        <v>0</v>
      </c>
      <c r="N28" s="18">
        <f ca="1">IF(C28=""," ",[1]!s_mq_pctchange($C28,$O$1))</f>
        <v>0</v>
      </c>
      <c r="O28" s="18">
        <f ca="1">IF(C28=""," ",[1]!s_yq_pctchange($C28,$O$1))</f>
        <v>0</v>
      </c>
      <c r="P28" s="24"/>
      <c r="Q28" s="9"/>
    </row>
    <row r="29" spans="1:17" ht="17.25" x14ac:dyDescent="0.2">
      <c r="A29" s="9"/>
      <c r="C29" s="17" t="str">
        <f>IF(指数列表!B26="","",指数列表!B26)</f>
        <v>RI.CZC</v>
      </c>
      <c r="D29" s="33" t="str">
        <f>IF(C29="","",[1]!s_info_name(C29))</f>
        <v>CZCE早籼稻</v>
      </c>
      <c r="E29" s="36">
        <f ca="1">IF(C29="","",[1]!s_dq_close(C29,$O$1))</f>
        <v>2479</v>
      </c>
      <c r="F29" s="36">
        <f ca="1">IF(C29="","",[1]!s_dq_volume($C29,$O$1))</f>
        <v>0</v>
      </c>
      <c r="G29" s="36">
        <f ca="1">IF(C29="","",[1]!s_dq_oi($C29,$O$1))</f>
        <v>0</v>
      </c>
      <c r="H29" s="18">
        <f ca="1">IF($C29=""," ",[1]!i_pq_pctchange($C29,H$6,$O$1))</f>
        <v>0</v>
      </c>
      <c r="I29" s="18">
        <f ca="1">IF($C29=""," ",[1]!i_pq_pctchange($C29,I$6,$O$1))</f>
        <v>0</v>
      </c>
      <c r="J29" s="18">
        <f ca="1">IF($C29=""," ",[1]!i_pq_pctchange($C29,J$6,$O$1))</f>
        <v>0</v>
      </c>
      <c r="K29" s="18">
        <f ca="1">IF($C29=""," ",[1]!i_pq_pctchange($C29,K$6,$O$1))</f>
        <v>0</v>
      </c>
      <c r="L29" s="18">
        <f ca="1">IF($C29=""," ",[1]!i_pq_pctchange($C29,L$6,$O$1))</f>
        <v>0</v>
      </c>
      <c r="M29" s="18">
        <f ca="1">IF(C29=""," ",[1]!s_wq_pctchange($C29,$O$1))</f>
        <v>0</v>
      </c>
      <c r="N29" s="18">
        <f ca="1">IF(C29=""," ",[1]!s_mq_pctchange($C29,$O$1))</f>
        <v>0</v>
      </c>
      <c r="O29" s="18">
        <f ca="1">IF(C29=""," ",[1]!s_yq_pctchange($C29,$O$1))</f>
        <v>0</v>
      </c>
      <c r="P29" s="24"/>
      <c r="Q29" s="9"/>
    </row>
    <row r="30" spans="1:17" ht="17.25" x14ac:dyDescent="0.2">
      <c r="A30" s="9"/>
      <c r="C30" s="21" t="str">
        <f>IF(指数列表!B27="","",指数列表!B27)</f>
        <v>RM.CZC</v>
      </c>
      <c r="D30" s="34" t="str">
        <f>IF(C30="","",[1]!s_info_name(C30))</f>
        <v>CZCE菜粕</v>
      </c>
      <c r="E30" s="35">
        <f ca="1">IF(C30="","",[1]!s_dq_close(C30,$O$1))</f>
        <v>2423</v>
      </c>
      <c r="F30" s="35">
        <f ca="1">IF(C30="","",[1]!s_dq_volume($C30,$O$1))</f>
        <v>0</v>
      </c>
      <c r="G30" s="35">
        <f ca="1">IF(C30="","",[1]!s_dq_oi($C30,$O$1))</f>
        <v>578378</v>
      </c>
      <c r="H30" s="18">
        <f ca="1">IF($C30=""," ",[1]!i_pq_pctchange($C30,H$6,$O$1))</f>
        <v>-5.7565149747179962</v>
      </c>
      <c r="I30" s="18">
        <f ca="1">IF($C30=""," ",[1]!i_pq_pctchange($C30,I$6,$O$1))</f>
        <v>4.982668977469662</v>
      </c>
      <c r="J30" s="18">
        <f ca="1">IF($C30=""," ",[1]!i_pq_pctchange($C30,J$6,$O$1))</f>
        <v>4.2598967297762469</v>
      </c>
      <c r="K30" s="18">
        <f ca="1">IF($C30=""," ",[1]!i_pq_pctchange($C30,K$6,$O$1))</f>
        <v>-1.908900814607839</v>
      </c>
      <c r="L30" s="18">
        <f ca="1">IF($C30=""," ",[1]!i_pq_pctchange($C30,L$6,$O$1))</f>
        <v>-6.1355094422530172</v>
      </c>
      <c r="M30" s="18">
        <f ca="1">IF(C30=""," ",[1]!s_wq_pctchange($C30,$O$1))</f>
        <v>-5.7565149747179962</v>
      </c>
      <c r="N30" s="18">
        <f ca="1">IF(C30=""," ",[1]!s_mq_pctchange($C30,$O$1))</f>
        <v>6.0393873085339118</v>
      </c>
      <c r="O30" s="18">
        <f ca="1">IF(C30=""," ",[1]!s_yq_pctchange($C30,$O$1))</f>
        <v>1.8067226890756238</v>
      </c>
      <c r="P30" s="24"/>
      <c r="Q30" s="9"/>
    </row>
    <row r="31" spans="1:17" ht="17.25" x14ac:dyDescent="0.2">
      <c r="A31" s="9"/>
      <c r="C31" s="17" t="str">
        <f>IF(指数列表!B28="","",指数列表!B28)</f>
        <v>RR.DCE</v>
      </c>
      <c r="D31" s="33" t="str">
        <f>IF(C31="","",[1]!s_info_name(C31))</f>
        <v>DCE粳米</v>
      </c>
      <c r="E31" s="36">
        <f ca="1">IF(C31="","",[1]!s_dq_close(C31,$O$1))</f>
        <v>3576</v>
      </c>
      <c r="F31" s="36">
        <f ca="1">IF(C31="","",[1]!s_dq_volume($C31,$O$1))</f>
        <v>0</v>
      </c>
      <c r="G31" s="36">
        <f ca="1">IF(C31="","",[1]!s_dq_oi($C31,$O$1))</f>
        <v>12881</v>
      </c>
      <c r="H31" s="18">
        <f ca="1">IF($C31=""," ",[1]!i_pq_pctchange($C31,H$6,$O$1))</f>
        <v>-2.7956388034666713E-2</v>
      </c>
      <c r="I31" s="18">
        <f ca="1">IF($C31=""," ",[1]!i_pq_pctchange($C31,I$6,$O$1))</f>
        <v>0.5798092508677799</v>
      </c>
      <c r="J31" s="18">
        <f ca="1">IF($C31=""," ",[1]!i_pq_pctchange($C31,J$6,$O$1))</f>
        <v>1.7675430629495281</v>
      </c>
      <c r="K31" s="18">
        <f ca="1">IF($C31=""," ",[1]!i_pq_pctchange($C31,K$6,$O$1))</f>
        <v>1.1639752008394177</v>
      </c>
      <c r="L31" s="18">
        <f ca="1">IF($C31=""," ",[1]!i_pq_pctchange($C31,L$6,$O$1))</f>
        <v>1.2324571370487813</v>
      </c>
      <c r="M31" s="18">
        <f ca="1">IF(C31=""," ",[1]!s_wq_pctchange($C31,$O$1))</f>
        <v>-2.7956388034666713E-2</v>
      </c>
      <c r="N31" s="18">
        <f ca="1">IF(C31=""," ",[1]!s_mq_pctchange($C31,$O$1))</f>
        <v>0.24713071971827436</v>
      </c>
      <c r="O31" s="18">
        <f ca="1">IF(C31=""," ",[1]!s_yq_pctchange($C31,$O$1))</f>
        <v>1.5138992281207964</v>
      </c>
      <c r="P31" s="24"/>
      <c r="Q31" s="9"/>
    </row>
    <row r="32" spans="1:17" ht="17.25" x14ac:dyDescent="0.2">
      <c r="A32" s="9"/>
      <c r="C32" s="21" t="str">
        <f>IF(指数列表!B29="","",指数列表!B29)</f>
        <v>RS.CZC</v>
      </c>
      <c r="D32" s="34" t="str">
        <f>IF(C32="","",[1]!s_info_name(C32))</f>
        <v>CZCE菜籽</v>
      </c>
      <c r="E32" s="35">
        <f ca="1">IF(C32="","",[1]!s_dq_close(C32,$O$1))</f>
        <v>5819</v>
      </c>
      <c r="F32" s="35">
        <f ca="1">IF(C32="","",[1]!s_dq_volume($C32,$O$1))</f>
        <v>0</v>
      </c>
      <c r="G32" s="35">
        <f ca="1">IF(C32="","",[1]!s_dq_oi($C32,$O$1))</f>
        <v>69</v>
      </c>
      <c r="H32" s="18">
        <f ca="1">IF($C32=""," ",[1]!i_pq_pctchange($C32,H$6,$O$1))</f>
        <v>-5.6888168557536423</v>
      </c>
      <c r="I32" s="18">
        <f ca="1">IF($C32=""," ",[1]!i_pq_pctchange($C32,I$6,$O$1))</f>
        <v>5.7231104651162878</v>
      </c>
      <c r="J32" s="18">
        <f ca="1">IF($C32=""," ",[1]!i_pq_pctchange($C32,J$6,$O$1))</f>
        <v>4.5563060994783688</v>
      </c>
      <c r="K32" s="18">
        <f ca="1">IF($C32=""," ",[1]!i_pq_pctchange($C32,K$6,$O$1))</f>
        <v>-0.45293110144982718</v>
      </c>
      <c r="L32" s="18">
        <f ca="1">IF($C32=""," ",[1]!i_pq_pctchange($C32,L$6,$O$1))</f>
        <v>-16.525039448953262</v>
      </c>
      <c r="M32" s="18">
        <f ca="1">IF(C32=""," ",[1]!s_wq_pctchange($C32,$O$1))</f>
        <v>-5.6888168557536423</v>
      </c>
      <c r="N32" s="18">
        <f ca="1">IF(C32=""," ",[1]!s_mq_pctchange($C32,$O$1))</f>
        <v>-1.2557271338876597</v>
      </c>
      <c r="O32" s="18">
        <f ca="1">IF(C32=""," ",[1]!s_yq_pctchange($C32,$O$1))</f>
        <v>3.9428477564372288</v>
      </c>
      <c r="P32" s="24"/>
      <c r="Q32" s="9"/>
    </row>
    <row r="33" spans="1:17" ht="17.25" x14ac:dyDescent="0.2">
      <c r="A33" s="9"/>
      <c r="C33" s="17" t="str">
        <f>IF(指数列表!B30="","",指数列表!B30)</f>
        <v>SR.CZC</v>
      </c>
      <c r="D33" s="33" t="str">
        <f>IF(C33="","",[1]!s_info_name(C33))</f>
        <v>CZCE白糖</v>
      </c>
      <c r="E33" s="36">
        <f ca="1">IF(C33="","",[1]!s_dq_close(C33,$O$1))</f>
        <v>5439</v>
      </c>
      <c r="F33" s="36">
        <f ca="1">IF(C33="","",[1]!s_dq_volume($C33,$O$1))</f>
        <v>0</v>
      </c>
      <c r="G33" s="36">
        <f ca="1">IF(C33="","",[1]!s_dq_oi($C33,$O$1))</f>
        <v>354040</v>
      </c>
      <c r="H33" s="18">
        <f ca="1">IF($C33=""," ",[1]!i_pq_pctchange($C33,H$6,$O$1))</f>
        <v>-0.23844460748350116</v>
      </c>
      <c r="I33" s="18">
        <f ca="1">IF($C33=""," ",[1]!i_pq_pctchange($C33,I$6,$O$1))</f>
        <v>3.9961759082217885</v>
      </c>
      <c r="J33" s="18">
        <f ca="1">IF($C33=""," ",[1]!i_pq_pctchange($C33,J$6,$O$1))</f>
        <v>6.9195989777865119</v>
      </c>
      <c r="K33" s="18">
        <f ca="1">IF($C33=""," ",[1]!i_pq_pctchange($C33,K$6,$O$1))</f>
        <v>1.5790945963659153</v>
      </c>
      <c r="L33" s="18">
        <f ca="1">IF($C33=""," ",[1]!i_pq_pctchange($C33,L$6,$O$1))</f>
        <v>-5.8852987664775753</v>
      </c>
      <c r="M33" s="18">
        <f ca="1">IF(C33=""," ",[1]!s_wq_pctchange($C33,$O$1))</f>
        <v>-0.23844460748350116</v>
      </c>
      <c r="N33" s="18">
        <f ca="1">IF(C33=""," ",[1]!s_mq_pctchange($C33,$O$1))</f>
        <v>2.352277004139999</v>
      </c>
      <c r="O33" s="18">
        <f ca="1">IF(C33=""," ",[1]!s_yq_pctchange($C33,$O$1))</f>
        <v>3.7383177570093462</v>
      </c>
      <c r="P33" s="24"/>
      <c r="Q33" s="9"/>
    </row>
    <row r="34" spans="1:17" ht="17.25" x14ac:dyDescent="0.2">
      <c r="A34" s="9"/>
      <c r="C34" s="21" t="str">
        <f>IF(指数列表!B31="","",指数列表!B31)</f>
        <v>WH.CZC</v>
      </c>
      <c r="D34" s="34" t="str">
        <f>IF(C34="","",[1]!s_info_name(C34))</f>
        <v>CZCE强麦</v>
      </c>
      <c r="E34" s="35">
        <f ca="1">IF(C34="","",[1]!s_dq_close(C34,$O$1))</f>
        <v>3198</v>
      </c>
      <c r="F34" s="35">
        <f ca="1">IF(C34="","",[1]!s_dq_volume($C34,$O$1))</f>
        <v>0</v>
      </c>
      <c r="G34" s="35">
        <f ca="1">IF(C34="","",[1]!s_dq_oi($C34,$O$1))</f>
        <v>0</v>
      </c>
      <c r="H34" s="18">
        <f ca="1">IF($C34=""," ",[1]!i_pq_pctchange($C34,H$6,$O$1))</f>
        <v>0</v>
      </c>
      <c r="I34" s="18">
        <f ca="1">IF($C34=""," ",[1]!i_pq_pctchange($C34,I$6,$O$1))</f>
        <v>0</v>
      </c>
      <c r="J34" s="18">
        <f ca="1">IF($C34=""," ",[1]!i_pq_pctchange($C34,J$6,$O$1))</f>
        <v>0</v>
      </c>
      <c r="K34" s="18">
        <f ca="1">IF($C34=""," ",[1]!i_pq_pctchange($C34,K$6,$O$1))</f>
        <v>0</v>
      </c>
      <c r="L34" s="18">
        <f ca="1">IF($C34=""," ",[1]!i_pq_pctchange($C34,L$6,$O$1))</f>
        <v>0</v>
      </c>
      <c r="M34" s="18">
        <f ca="1">IF(C34=""," ",[1]!s_wq_pctchange($C34,$O$1))</f>
        <v>0</v>
      </c>
      <c r="N34" s="18">
        <f ca="1">IF(C34=""," ",[1]!s_mq_pctchange($C34,$O$1))</f>
        <v>0</v>
      </c>
      <c r="O34" s="18">
        <f ca="1">IF(C34=""," ",[1]!s_yq_pctchange($C34,$O$1))</f>
        <v>0</v>
      </c>
      <c r="P34" s="24"/>
      <c r="Q34" s="9"/>
    </row>
    <row r="35" spans="1:17" ht="17.25" x14ac:dyDescent="0.2">
      <c r="A35" s="9"/>
      <c r="C35" s="17" t="str">
        <f>IF(指数列表!B32="","",指数列表!B32)</f>
        <v>Y.DCE</v>
      </c>
      <c r="D35" s="33" t="str">
        <f>IF(C35="","",[1]!s_info_name(C35))</f>
        <v>DCE豆油</v>
      </c>
      <c r="E35" s="36">
        <f ca="1">IF(C35="","",[1]!s_dq_close(C35,$O$1))</f>
        <v>8628</v>
      </c>
      <c r="F35" s="36">
        <f ca="1">IF(C35="","",[1]!s_dq_volume($C35,$O$1))</f>
        <v>0</v>
      </c>
      <c r="G35" s="36">
        <f ca="1">IF(C35="","",[1]!s_dq_oi($C35,$O$1))</f>
        <v>594096</v>
      </c>
      <c r="H35" s="18">
        <f ca="1">IF($C35=""," ",[1]!i_pq_pctchange($C35,H$6,$O$1))</f>
        <v>-0.9186954524575186</v>
      </c>
      <c r="I35" s="18">
        <f ca="1">IF($C35=""," ",[1]!i_pq_pctchange($C35,I$6,$O$1))</f>
        <v>7.0205904242123474</v>
      </c>
      <c r="J35" s="18">
        <f ca="1">IF($C35=""," ",[1]!i_pq_pctchange($C35,J$6,$O$1))</f>
        <v>11.645962732919246</v>
      </c>
      <c r="K35" s="18">
        <f ca="1">IF($C35=""," ",[1]!i_pq_pctchange($C35,K$6,$O$1))</f>
        <v>6.0543693702384216</v>
      </c>
      <c r="L35" s="18">
        <f ca="1">IF($C35=""," ",[1]!i_pq_pctchange($C35,L$6,$O$1))</f>
        <v>11.009234451721529</v>
      </c>
      <c r="M35" s="18">
        <f ca="1">IF(C35=""," ",[1]!s_wq_pctchange($C35,$O$1))</f>
        <v>-0.9186954524575186</v>
      </c>
      <c r="N35" s="18">
        <f ca="1">IF(C35=""," ",[1]!s_mq_pctchange($C35,$O$1))</f>
        <v>4.8869438366156173</v>
      </c>
      <c r="O35" s="18">
        <f ca="1">IF(C35=""," ",[1]!s_yq_pctchange($C35,$O$1))</f>
        <v>9.6872616323417038</v>
      </c>
      <c r="P35" s="24"/>
      <c r="Q35" s="9"/>
    </row>
    <row r="36" spans="1:17" ht="17.25" x14ac:dyDescent="0.2">
      <c r="A36" s="9"/>
      <c r="C36" s="21" t="str">
        <f>IF(指数列表!B33="","",指数列表!B33)</f>
        <v/>
      </c>
      <c r="D36" s="34" t="str">
        <f>IF(C36="","",[1]!s_info_name(C36))</f>
        <v/>
      </c>
      <c r="E36" s="35" t="str">
        <f>IF(C36="","",[1]!s_dq_close(C36,$O$1))</f>
        <v/>
      </c>
      <c r="F36" s="35" t="str">
        <f>IF(C36="","",[1]!s_dq_volume($C36,$O$1))</f>
        <v/>
      </c>
      <c r="G36" s="35" t="str">
        <f>IF(C36="","",[1]!s_dq_oi($C36,$O$1))</f>
        <v/>
      </c>
      <c r="H36" s="18" t="str">
        <f>IF($C36=""," ",[1]!i_pq_pctchange($C36,H$6,$O$1))</f>
        <v xml:space="preserve"> </v>
      </c>
      <c r="I36" s="18" t="str">
        <f>IF($C36=""," ",[1]!i_pq_pctchange($C36,I$6,$O$1))</f>
        <v xml:space="preserve"> </v>
      </c>
      <c r="J36" s="18" t="str">
        <f>IF($C36=""," ",[1]!i_pq_pctchange($C36,J$6,$O$1))</f>
        <v xml:space="preserve"> </v>
      </c>
      <c r="K36" s="18" t="str">
        <f>IF($C36=""," ",[1]!i_pq_pctchange($C36,K$6,$O$1))</f>
        <v xml:space="preserve"> </v>
      </c>
      <c r="L36" s="18" t="str">
        <f>IF($C36=""," ",[1]!i_pq_pctchange($C36,L$6,$O$1))</f>
        <v xml:space="preserve"> </v>
      </c>
      <c r="M36" s="18" t="str">
        <f>IF(C36=""," ",[1]!s_wq_pctchange($C36,$O$1))</f>
        <v xml:space="preserve"> </v>
      </c>
      <c r="N36" s="18" t="str">
        <f>IF(C36=""," ",[1]!s_mq_pctchange($C36,$O$1))</f>
        <v xml:space="preserve"> </v>
      </c>
      <c r="O36" s="18" t="str">
        <f>IF(C36=""," ",[1]!s_yq_pctchange($C36,$O$1))</f>
        <v xml:space="preserve"> </v>
      </c>
      <c r="P36" s="24"/>
      <c r="Q36" s="9"/>
    </row>
    <row r="37" spans="1:17" ht="17.25" x14ac:dyDescent="0.2">
      <c r="A37" s="9"/>
      <c r="C37" s="17" t="str">
        <f>IF(指数列表!B34="","",指数列表!B34)</f>
        <v/>
      </c>
      <c r="D37" s="33" t="str">
        <f>IF(C37="","",[1]!s_info_name(C37))</f>
        <v/>
      </c>
      <c r="E37" s="36" t="str">
        <f>IF(C37="","",[1]!s_dq_close(C37,$O$1))</f>
        <v/>
      </c>
      <c r="F37" s="36" t="str">
        <f>IF(C37="","",[1]!s_dq_volume($C37,$O$1))</f>
        <v/>
      </c>
      <c r="G37" s="36" t="str">
        <f>IF(C37="","",[1]!s_dq_oi($C37,$O$1))</f>
        <v/>
      </c>
      <c r="H37" s="18" t="str">
        <f>IF($C37=""," ",[1]!i_pq_pctchange($C37,H$6,$O$1))</f>
        <v xml:space="preserve"> </v>
      </c>
      <c r="I37" s="18" t="str">
        <f>IF($C37=""," ",[1]!i_pq_pctchange($C37,I$6,$O$1))</f>
        <v xml:space="preserve"> </v>
      </c>
      <c r="J37" s="18" t="str">
        <f>IF($C37=""," ",[1]!i_pq_pctchange($C37,J$6,$O$1))</f>
        <v xml:space="preserve"> </v>
      </c>
      <c r="K37" s="18" t="str">
        <f>IF($C37=""," ",[1]!i_pq_pctchange($C37,K$6,$O$1))</f>
        <v xml:space="preserve"> </v>
      </c>
      <c r="L37" s="18" t="str">
        <f>IF($C37=""," ",[1]!i_pq_pctchange($C37,L$6,$O$1))</f>
        <v xml:space="preserve"> </v>
      </c>
      <c r="M37" s="18" t="str">
        <f>IF(C37=""," ",[1]!s_wq_pctchange($C37,$O$1))</f>
        <v xml:space="preserve"> </v>
      </c>
      <c r="N37" s="18" t="str">
        <f>IF(C37=""," ",[1]!s_mq_pctchange($C37,$O$1))</f>
        <v xml:space="preserve"> </v>
      </c>
      <c r="O37" s="18" t="str">
        <f>IF(C37=""," ",[1]!s_yq_pctchange($C37,$O$1))</f>
        <v xml:space="preserve"> </v>
      </c>
      <c r="P37" s="24"/>
      <c r="Q37" s="9"/>
    </row>
    <row r="38" spans="1:17" ht="17.25" x14ac:dyDescent="0.2">
      <c r="A38" s="9"/>
      <c r="C38" s="21" t="str">
        <f>IF(指数列表!B35="","",指数列表!B35)</f>
        <v/>
      </c>
      <c r="D38" s="34" t="str">
        <f>IF(C38="","",[1]!s_info_name(C38))</f>
        <v/>
      </c>
      <c r="E38" s="35" t="str">
        <f>IF(C38="","",[1]!s_dq_close(C38,$O$1))</f>
        <v/>
      </c>
      <c r="F38" s="35" t="str">
        <f>IF(C38="","",[1]!s_dq_volume($C38,$O$1))</f>
        <v/>
      </c>
      <c r="G38" s="35" t="str">
        <f>IF(C38="","",[1]!s_dq_oi($C38,$O$1))</f>
        <v/>
      </c>
      <c r="H38" s="18" t="str">
        <f>IF($C38=""," ",[1]!i_pq_pctchange($C38,H$6,$O$1))</f>
        <v xml:space="preserve"> </v>
      </c>
      <c r="I38" s="18" t="str">
        <f>IF($C38=""," ",[1]!i_pq_pctchange($C38,I$6,$O$1))</f>
        <v xml:space="preserve"> </v>
      </c>
      <c r="J38" s="18" t="str">
        <f>IF($C38=""," ",[1]!i_pq_pctchange($C38,J$6,$O$1))</f>
        <v xml:space="preserve"> </v>
      </c>
      <c r="K38" s="18" t="str">
        <f>IF($C38=""," ",[1]!i_pq_pctchange($C38,K$6,$O$1))</f>
        <v xml:space="preserve"> </v>
      </c>
      <c r="L38" s="18" t="str">
        <f>IF($C38=""," ",[1]!i_pq_pctchange($C38,L$6,$O$1))</f>
        <v xml:space="preserve"> </v>
      </c>
      <c r="M38" s="18" t="str">
        <f>IF(C38=""," ",[1]!s_wq_pctchange($C38,$O$1))</f>
        <v xml:space="preserve"> </v>
      </c>
      <c r="N38" s="18" t="str">
        <f>IF(C38=""," ",[1]!s_mq_pctchange($C38,$O$1))</f>
        <v xml:space="preserve"> </v>
      </c>
      <c r="O38" s="18" t="str">
        <f>IF(C38=""," ",[1]!s_yq_pctchange($C38,$O$1))</f>
        <v xml:space="preserve"> </v>
      </c>
      <c r="P38" s="24"/>
      <c r="Q38" s="9"/>
    </row>
    <row r="39" spans="1:17" ht="17.25" x14ac:dyDescent="0.2">
      <c r="A39" s="9"/>
      <c r="C39" s="17" t="str">
        <f>IF(指数列表!B36="","",指数列表!B36)</f>
        <v/>
      </c>
      <c r="D39" s="33" t="str">
        <f>IF(C39="","",[1]!s_info_name(C39))</f>
        <v/>
      </c>
      <c r="E39" s="36" t="str">
        <f>IF(C39="","",[1]!s_dq_close(C39,$O$1))</f>
        <v/>
      </c>
      <c r="F39" s="36" t="str">
        <f>IF(C39="","",[1]!s_dq_volume($C39,$O$1))</f>
        <v/>
      </c>
      <c r="G39" s="36" t="str">
        <f>IF(C39="","",[1]!s_dq_oi($C39,$O$1))</f>
        <v/>
      </c>
      <c r="H39" s="18" t="str">
        <f>IF($C39=""," ",[1]!i_pq_pctchange($C39,H$6,$O$1))</f>
        <v xml:space="preserve"> </v>
      </c>
      <c r="I39" s="18" t="str">
        <f>IF($C39=""," ",[1]!i_pq_pctchange($C39,I$6,$O$1))</f>
        <v xml:space="preserve"> </v>
      </c>
      <c r="J39" s="18" t="str">
        <f>IF($C39=""," ",[1]!i_pq_pctchange($C39,J$6,$O$1))</f>
        <v xml:space="preserve"> </v>
      </c>
      <c r="K39" s="18" t="str">
        <f>IF($C39=""," ",[1]!i_pq_pctchange($C39,K$6,$O$1))</f>
        <v xml:space="preserve"> </v>
      </c>
      <c r="L39" s="18" t="str">
        <f>IF($C39=""," ",[1]!i_pq_pctchange($C39,L$6,$O$1))</f>
        <v xml:space="preserve"> </v>
      </c>
      <c r="M39" s="18" t="str">
        <f>IF(C39=""," ",[1]!s_wq_pctchange($C39,$O$1))</f>
        <v xml:space="preserve"> </v>
      </c>
      <c r="N39" s="18" t="str">
        <f>IF(C39=""," ",[1]!s_mq_pctchange($C39,$O$1))</f>
        <v xml:space="preserve"> </v>
      </c>
      <c r="O39" s="18" t="str">
        <f>IF(C39=""," ",[1]!s_yq_pctchange($C39,$O$1))</f>
        <v xml:space="preserve"> </v>
      </c>
      <c r="P39" s="24"/>
      <c r="Q39" s="9"/>
    </row>
    <row r="40" spans="1:17" ht="17.25" x14ac:dyDescent="0.2">
      <c r="A40" s="9"/>
      <c r="C40" s="21" t="str">
        <f>IF(指数列表!B37="","",指数列表!B37)</f>
        <v/>
      </c>
      <c r="D40" s="34" t="str">
        <f>IF(C40="","",[1]!s_info_name(C40))</f>
        <v/>
      </c>
      <c r="E40" s="35" t="str">
        <f>IF(C40="","",[1]!s_dq_close(C40,$O$1))</f>
        <v/>
      </c>
      <c r="F40" s="35" t="str">
        <f>IF(C40="","",[1]!s_dq_volume($C40,$O$1))</f>
        <v/>
      </c>
      <c r="G40" s="35" t="str">
        <f>IF(C40="","",[1]!s_dq_oi($C40,$O$1))</f>
        <v/>
      </c>
      <c r="H40" s="18" t="str">
        <f>IF($C40=""," ",[1]!i_pq_pctchange($C40,H$6,$O$1))</f>
        <v xml:space="preserve"> </v>
      </c>
      <c r="I40" s="18" t="str">
        <f>IF($C40=""," ",[1]!i_pq_pctchange($C40,I$6,$O$1))</f>
        <v xml:space="preserve"> </v>
      </c>
      <c r="J40" s="18" t="str">
        <f>IF($C40=""," ",[1]!i_pq_pctchange($C40,J$6,$O$1))</f>
        <v xml:space="preserve"> </v>
      </c>
      <c r="K40" s="18" t="str">
        <f>IF($C40=""," ",[1]!i_pq_pctchange($C40,K$6,$O$1))</f>
        <v xml:space="preserve"> </v>
      </c>
      <c r="L40" s="18" t="str">
        <f>IF($C40=""," ",[1]!i_pq_pctchange($C40,L$6,$O$1))</f>
        <v xml:space="preserve"> </v>
      </c>
      <c r="M40" s="18" t="str">
        <f>IF(C40=""," ",[1]!s_wq_pctchange($C40,$O$1))</f>
        <v xml:space="preserve"> </v>
      </c>
      <c r="N40" s="18" t="str">
        <f>IF(C40=""," ",[1]!s_mq_pctchange($C40,$O$1))</f>
        <v xml:space="preserve"> </v>
      </c>
      <c r="O40" s="18" t="str">
        <f>IF(C40=""," ",[1]!s_yq_pctchange($C40,$O$1))</f>
        <v xml:space="preserve"> </v>
      </c>
      <c r="P40" s="24"/>
      <c r="Q40" s="9"/>
    </row>
    <row r="41" spans="1:17" ht="17.25" x14ac:dyDescent="0.2">
      <c r="A41" s="9"/>
      <c r="C41" s="17" t="str">
        <f>IF(指数列表!B38="","",指数列表!B38)</f>
        <v/>
      </c>
      <c r="D41" s="33" t="str">
        <f>IF(C41="","",[1]!s_info_name(C41))</f>
        <v/>
      </c>
      <c r="E41" s="36" t="str">
        <f>IF(C41="","",[1]!s_dq_close(C41,$O$1))</f>
        <v/>
      </c>
      <c r="F41" s="36" t="str">
        <f>IF(C41="","",[1]!s_dq_volume($C41,$O$1))</f>
        <v/>
      </c>
      <c r="G41" s="36" t="str">
        <f>IF(C41="","",[1]!s_dq_oi($C41,$O$1))</f>
        <v/>
      </c>
      <c r="H41" s="18" t="str">
        <f>IF($C41=""," ",[1]!i_pq_pctchange($C41,H$6,$O$1))</f>
        <v xml:space="preserve"> </v>
      </c>
      <c r="I41" s="18" t="str">
        <f>IF($C41=""," ",[1]!i_pq_pctchange($C41,I$6,$O$1))</f>
        <v xml:space="preserve"> </v>
      </c>
      <c r="J41" s="18" t="str">
        <f>IF($C41=""," ",[1]!i_pq_pctchange($C41,J$6,$O$1))</f>
        <v xml:space="preserve"> </v>
      </c>
      <c r="K41" s="18" t="str">
        <f>IF($C41=""," ",[1]!i_pq_pctchange($C41,K$6,$O$1))</f>
        <v xml:space="preserve"> </v>
      </c>
      <c r="L41" s="18" t="str">
        <f>IF($C41=""," ",[1]!i_pq_pctchange($C41,L$6,$O$1))</f>
        <v xml:space="preserve"> </v>
      </c>
      <c r="M41" s="18" t="str">
        <f>IF(C41=""," ",[1]!s_wq_pctchange($C41,$O$1))</f>
        <v xml:space="preserve"> </v>
      </c>
      <c r="N41" s="18" t="str">
        <f>IF(C41=""," ",[1]!s_mq_pctchange($C41,$O$1))</f>
        <v xml:space="preserve"> </v>
      </c>
      <c r="O41" s="18" t="str">
        <f>IF(C41=""," ",[1]!s_yq_pctchange($C41,$O$1))</f>
        <v xml:space="preserve"> </v>
      </c>
      <c r="P41" s="24"/>
      <c r="Q41" s="9"/>
    </row>
    <row r="42" spans="1:17" ht="17.25" x14ac:dyDescent="0.2">
      <c r="A42" s="9"/>
      <c r="C42" s="21" t="str">
        <f>IF(指数列表!B39="","",指数列表!B39)</f>
        <v/>
      </c>
      <c r="D42" s="34" t="str">
        <f>IF(C42="","",[1]!s_info_name(C42))</f>
        <v/>
      </c>
      <c r="E42" s="35" t="str">
        <f>IF(C42="","",[1]!s_dq_close(C42,$O$1))</f>
        <v/>
      </c>
      <c r="F42" s="35" t="str">
        <f>IF(C42="","",[1]!s_dq_volume($C42,$O$1))</f>
        <v/>
      </c>
      <c r="G42" s="35" t="str">
        <f>IF(C42="","",[1]!s_dq_oi($C42,$O$1))</f>
        <v/>
      </c>
      <c r="H42" s="18" t="str">
        <f>IF($C42=""," ",[1]!i_pq_pctchange($C42,H$6,$O$1))</f>
        <v xml:space="preserve"> </v>
      </c>
      <c r="I42" s="18" t="str">
        <f>IF($C42=""," ",[1]!i_pq_pctchange($C42,I$6,$O$1))</f>
        <v xml:space="preserve"> </v>
      </c>
      <c r="J42" s="18" t="str">
        <f>IF($C42=""," ",[1]!i_pq_pctchange($C42,J$6,$O$1))</f>
        <v xml:space="preserve"> </v>
      </c>
      <c r="K42" s="18" t="str">
        <f>IF($C42=""," ",[1]!i_pq_pctchange($C42,K$6,$O$1))</f>
        <v xml:space="preserve"> </v>
      </c>
      <c r="L42" s="18" t="str">
        <f>IF($C42=""," ",[1]!i_pq_pctchange($C42,L$6,$O$1))</f>
        <v xml:space="preserve"> </v>
      </c>
      <c r="M42" s="18" t="str">
        <f>IF(C42=""," ",[1]!s_wq_pctchange($C42,$O$1))</f>
        <v xml:space="preserve"> </v>
      </c>
      <c r="N42" s="18" t="str">
        <f>IF(C42=""," ",[1]!s_mq_pctchange($C42,$O$1))</f>
        <v xml:space="preserve"> </v>
      </c>
      <c r="O42" s="18" t="str">
        <f>IF(C42=""," ",[1]!s_yq_pctchange($C42,$O$1))</f>
        <v xml:space="preserve"> </v>
      </c>
      <c r="P42" s="24"/>
      <c r="Q42" s="9"/>
    </row>
    <row r="43" spans="1:17" ht="17.25" x14ac:dyDescent="0.2">
      <c r="A43" s="9"/>
      <c r="C43" s="17" t="str">
        <f>IF(指数列表!B40="","",指数列表!B40)</f>
        <v/>
      </c>
      <c r="D43" s="33" t="str">
        <f>IF(C43="","",[1]!s_info_name(C43))</f>
        <v/>
      </c>
      <c r="E43" s="36" t="str">
        <f>IF(C43="","",[1]!s_dq_close(C43,$O$1))</f>
        <v/>
      </c>
      <c r="F43" s="36" t="str">
        <f>IF(C43="","",[1]!s_dq_volume($C43,$O$1))</f>
        <v/>
      </c>
      <c r="G43" s="36" t="str">
        <f>IF(C43="","",[1]!s_dq_oi($C43,$O$1))</f>
        <v/>
      </c>
      <c r="H43" s="18" t="str">
        <f>IF($C43=""," ",[1]!i_pq_pctchange($C43,H$6,$O$1))</f>
        <v xml:space="preserve"> </v>
      </c>
      <c r="I43" s="18" t="str">
        <f>IF($C43=""," ",[1]!i_pq_pctchange($C43,I$6,$O$1))</f>
        <v xml:space="preserve"> </v>
      </c>
      <c r="J43" s="18" t="str">
        <f>IF($C43=""," ",[1]!i_pq_pctchange($C43,J$6,$O$1))</f>
        <v xml:space="preserve"> </v>
      </c>
      <c r="K43" s="18" t="str">
        <f>IF($C43=""," ",[1]!i_pq_pctchange($C43,K$6,$O$1))</f>
        <v xml:space="preserve"> </v>
      </c>
      <c r="L43" s="18" t="str">
        <f>IF($C43=""," ",[1]!i_pq_pctchange($C43,L$6,$O$1))</f>
        <v xml:space="preserve"> </v>
      </c>
      <c r="M43" s="18" t="str">
        <f>IF(C43=""," ",[1]!s_wq_pctchange($C43,$O$1))</f>
        <v xml:space="preserve"> </v>
      </c>
      <c r="N43" s="18" t="str">
        <f>IF(C43=""," ",[1]!s_mq_pctchange($C43,$O$1))</f>
        <v xml:space="preserve"> </v>
      </c>
      <c r="O43" s="18" t="str">
        <f>IF(C43=""," ",[1]!s_yq_pctchange($C43,$O$1))</f>
        <v xml:space="preserve"> </v>
      </c>
      <c r="P43" s="24"/>
      <c r="Q43" s="9"/>
    </row>
    <row r="44" spans="1:17" ht="17.25" x14ac:dyDescent="0.2">
      <c r="A44" s="9"/>
      <c r="C44" s="21" t="str">
        <f>IF(指数列表!B41="","",指数列表!B41)</f>
        <v/>
      </c>
      <c r="D44" s="34" t="str">
        <f>IF(C44="","",[1]!s_info_name(C44))</f>
        <v/>
      </c>
      <c r="E44" s="35" t="str">
        <f>IF(C44="","",[1]!s_dq_close(C44,$O$1))</f>
        <v/>
      </c>
      <c r="F44" s="35" t="str">
        <f>IF(C44="","",[1]!s_dq_volume($C44,$O$1))</f>
        <v/>
      </c>
      <c r="G44" s="35" t="str">
        <f>IF(C44="","",[1]!s_dq_oi($C44,$O$1))</f>
        <v/>
      </c>
      <c r="H44" s="18" t="str">
        <f>IF($C44=""," ",[1]!i_pq_pctchange($C44,H$6,$O$1))</f>
        <v xml:space="preserve"> </v>
      </c>
      <c r="I44" s="18" t="str">
        <f>IF($C44=""," ",[1]!i_pq_pctchange($C44,I$6,$O$1))</f>
        <v xml:space="preserve"> </v>
      </c>
      <c r="J44" s="18" t="str">
        <f>IF($C44=""," ",[1]!i_pq_pctchange($C44,J$6,$O$1))</f>
        <v xml:space="preserve"> </v>
      </c>
      <c r="K44" s="18" t="str">
        <f>IF($C44=""," ",[1]!i_pq_pctchange($C44,K$6,$O$1))</f>
        <v xml:space="preserve"> </v>
      </c>
      <c r="L44" s="18" t="str">
        <f>IF($C44=""," ",[1]!i_pq_pctchange($C44,L$6,$O$1))</f>
        <v xml:space="preserve"> </v>
      </c>
      <c r="M44" s="18" t="str">
        <f>IF(C44=""," ",[1]!s_wq_pctchange($C44,$O$1))</f>
        <v xml:space="preserve"> </v>
      </c>
      <c r="N44" s="18" t="str">
        <f>IF(C44=""," ",[1]!s_mq_pctchange($C44,$O$1))</f>
        <v xml:space="preserve"> </v>
      </c>
      <c r="O44" s="18" t="str">
        <f>IF(C44=""," ",[1]!s_yq_pctchange($C44,$O$1))</f>
        <v xml:space="preserve"> </v>
      </c>
      <c r="P44" s="24"/>
      <c r="Q44" s="9"/>
    </row>
    <row r="45" spans="1:17" ht="17.25" x14ac:dyDescent="0.2">
      <c r="A45" s="9"/>
      <c r="C45" s="17" t="str">
        <f>IF(指数列表!B42="","",指数列表!B42)</f>
        <v/>
      </c>
      <c r="D45" s="33" t="str">
        <f>IF(C45="","",[1]!s_info_name(C45))</f>
        <v/>
      </c>
      <c r="E45" s="36" t="str">
        <f>IF(C45="","",[1]!s_dq_close(C45,$O$1))</f>
        <v/>
      </c>
      <c r="F45" s="36" t="str">
        <f>IF(C45="","",[1]!s_dq_volume($C45,$O$1))</f>
        <v/>
      </c>
      <c r="G45" s="36" t="str">
        <f>IF(C45="","",[1]!s_dq_oi($C45,$O$1))</f>
        <v/>
      </c>
      <c r="H45" s="18" t="str">
        <f>IF($C45=""," ",[1]!i_pq_pctchange($C45,H$6,$O$1))</f>
        <v xml:space="preserve"> </v>
      </c>
      <c r="I45" s="18" t="str">
        <f>IF($C45=""," ",[1]!i_pq_pctchange($C45,I$6,$O$1))</f>
        <v xml:space="preserve"> </v>
      </c>
      <c r="J45" s="18" t="str">
        <f>IF($C45=""," ",[1]!i_pq_pctchange($C45,J$6,$O$1))</f>
        <v xml:space="preserve"> </v>
      </c>
      <c r="K45" s="18" t="str">
        <f>IF($C45=""," ",[1]!i_pq_pctchange($C45,K$6,$O$1))</f>
        <v xml:space="preserve"> </v>
      </c>
      <c r="L45" s="18" t="str">
        <f>IF($C45=""," ",[1]!i_pq_pctchange($C45,L$6,$O$1))</f>
        <v xml:space="preserve"> </v>
      </c>
      <c r="M45" s="18" t="str">
        <f>IF(C45=""," ",[1]!s_wq_pctchange($C45,$O$1))</f>
        <v xml:space="preserve"> </v>
      </c>
      <c r="N45" s="18" t="str">
        <f>IF(C45=""," ",[1]!s_mq_pctchange($C45,$O$1))</f>
        <v xml:space="preserve"> </v>
      </c>
      <c r="O45" s="18" t="str">
        <f>IF(C45=""," ",[1]!s_yq_pctchange($C45,$O$1))</f>
        <v xml:space="preserve"> </v>
      </c>
      <c r="P45" s="24"/>
      <c r="Q45" s="9"/>
    </row>
    <row r="46" spans="1:17" ht="17.25" x14ac:dyDescent="0.2">
      <c r="A46" s="9"/>
      <c r="C46" s="21" t="str">
        <f>IF(指数列表!B43="","",指数列表!B43)</f>
        <v/>
      </c>
      <c r="D46" s="34" t="str">
        <f>IF(C46="","",[1]!s_info_name(C46))</f>
        <v/>
      </c>
      <c r="E46" s="35" t="str">
        <f>IF(C46="","",[1]!s_dq_close(C46,$O$1))</f>
        <v/>
      </c>
      <c r="F46" s="35" t="str">
        <f>IF(C46="","",[1]!s_dq_volume($C46,$O$1))</f>
        <v/>
      </c>
      <c r="G46" s="35" t="str">
        <f>IF(C46="","",[1]!s_dq_oi($C46,$O$1))</f>
        <v/>
      </c>
      <c r="H46" s="18" t="str">
        <f>IF($C46=""," ",[1]!i_pq_pctchange($C46,H$6,$O$1))</f>
        <v xml:space="preserve"> </v>
      </c>
      <c r="I46" s="18" t="str">
        <f>IF($C46=""," ",[1]!i_pq_pctchange($C46,I$6,$O$1))</f>
        <v xml:space="preserve"> </v>
      </c>
      <c r="J46" s="18" t="str">
        <f>IF($C46=""," ",[1]!i_pq_pctchange($C46,J$6,$O$1))</f>
        <v xml:space="preserve"> </v>
      </c>
      <c r="K46" s="18" t="str">
        <f>IF($C46=""," ",[1]!i_pq_pctchange($C46,K$6,$O$1))</f>
        <v xml:space="preserve"> </v>
      </c>
      <c r="L46" s="18" t="str">
        <f>IF($C46=""," ",[1]!i_pq_pctchange($C46,L$6,$O$1))</f>
        <v xml:space="preserve"> </v>
      </c>
      <c r="M46" s="18" t="str">
        <f>IF(C46=""," ",[1]!s_wq_pctchange($C46,$O$1))</f>
        <v xml:space="preserve"> </v>
      </c>
      <c r="N46" s="18" t="str">
        <f>IF(C46=""," ",[1]!s_mq_pctchange($C46,$O$1))</f>
        <v xml:space="preserve"> </v>
      </c>
      <c r="O46" s="18" t="str">
        <f>IF(C46=""," ",[1]!s_yq_pctchange($C46,$O$1))</f>
        <v xml:space="preserve"> </v>
      </c>
      <c r="P46" s="24"/>
      <c r="Q46" s="9"/>
    </row>
    <row r="47" spans="1:17" ht="17.25" x14ac:dyDescent="0.2">
      <c r="A47" s="9"/>
      <c r="C47" s="17" t="str">
        <f>IF(指数列表!B44="","",指数列表!B44)</f>
        <v/>
      </c>
      <c r="D47" s="33" t="str">
        <f>IF(C47="","",[1]!s_info_name(C47))</f>
        <v/>
      </c>
      <c r="E47" s="36" t="str">
        <f>IF(C47="","",[1]!s_dq_close(C47,$O$1))</f>
        <v/>
      </c>
      <c r="F47" s="36" t="str">
        <f>IF(C47="","",[1]!s_dq_volume($C47,$O$1))</f>
        <v/>
      </c>
      <c r="G47" s="36" t="str">
        <f>IF(C47="","",[1]!s_dq_oi($C47,$O$1))</f>
        <v/>
      </c>
      <c r="H47" s="18" t="str">
        <f>IF($C47=""," ",[1]!i_pq_pctchange($C47,H$6,$O$1))</f>
        <v xml:space="preserve"> </v>
      </c>
      <c r="I47" s="18" t="str">
        <f>IF($C47=""," ",[1]!i_pq_pctchange($C47,I$6,$O$1))</f>
        <v xml:space="preserve"> </v>
      </c>
      <c r="J47" s="18" t="str">
        <f>IF($C47=""," ",[1]!i_pq_pctchange($C47,J$6,$O$1))</f>
        <v xml:space="preserve"> </v>
      </c>
      <c r="K47" s="18" t="str">
        <f>IF($C47=""," ",[1]!i_pq_pctchange($C47,K$6,$O$1))</f>
        <v xml:space="preserve"> </v>
      </c>
      <c r="L47" s="18" t="str">
        <f>IF($C47=""," ",[1]!i_pq_pctchange($C47,L$6,$O$1))</f>
        <v xml:space="preserve"> </v>
      </c>
      <c r="M47" s="18" t="str">
        <f>IF(C47=""," ",[1]!s_wq_pctchange($C47,$O$1))</f>
        <v xml:space="preserve"> </v>
      </c>
      <c r="N47" s="18" t="str">
        <f>IF(C47=""," ",[1]!s_mq_pctchange($C47,$O$1))</f>
        <v xml:space="preserve"> </v>
      </c>
      <c r="O47" s="18" t="str">
        <f>IF(C47=""," ",[1]!s_yq_pctchange($C47,$O$1))</f>
        <v xml:space="preserve"> </v>
      </c>
      <c r="P47" s="24"/>
      <c r="Q47" s="9"/>
    </row>
    <row r="48" spans="1:17" ht="17.25" x14ac:dyDescent="0.2">
      <c r="A48" s="9"/>
      <c r="C48" s="21" t="str">
        <f>IF(指数列表!B45="","",指数列表!B45)</f>
        <v/>
      </c>
      <c r="D48" s="34" t="str">
        <f>IF(C48="","",[1]!s_info_name(C48))</f>
        <v/>
      </c>
      <c r="E48" s="35" t="str">
        <f>IF(C48="","",[1]!s_dq_close(C48,$O$1))</f>
        <v/>
      </c>
      <c r="F48" s="35" t="str">
        <f>IF(C48="","",[1]!s_dq_volume($C48,$O$1))</f>
        <v/>
      </c>
      <c r="G48" s="35" t="str">
        <f>IF(C48="","",[1]!s_dq_oi($C48,$O$1))</f>
        <v/>
      </c>
      <c r="H48" s="18" t="str">
        <f>IF($C48=""," ",[1]!i_pq_pctchange($C48,H$6,$O$1))</f>
        <v xml:space="preserve"> </v>
      </c>
      <c r="I48" s="18" t="str">
        <f>IF($C48=""," ",[1]!i_pq_pctchange($C48,I$6,$O$1))</f>
        <v xml:space="preserve"> </v>
      </c>
      <c r="J48" s="18" t="str">
        <f>IF($C48=""," ",[1]!i_pq_pctchange($C48,J$6,$O$1))</f>
        <v xml:space="preserve"> </v>
      </c>
      <c r="K48" s="18" t="str">
        <f>IF($C48=""," ",[1]!i_pq_pctchange($C48,K$6,$O$1))</f>
        <v xml:space="preserve"> </v>
      </c>
      <c r="L48" s="18" t="str">
        <f>IF($C48=""," ",[1]!i_pq_pctchange($C48,L$6,$O$1))</f>
        <v xml:space="preserve"> </v>
      </c>
      <c r="M48" s="18" t="str">
        <f>IF(C48=""," ",[1]!s_wq_pctchange($C48,$O$1))</f>
        <v xml:space="preserve"> </v>
      </c>
      <c r="N48" s="18" t="str">
        <f>IF(C48=""," ",[1]!s_mq_pctchange($C48,$O$1))</f>
        <v xml:space="preserve"> </v>
      </c>
      <c r="O48" s="18" t="str">
        <f>IF(C48=""," ",[1]!s_yq_pctchange($C48,$O$1))</f>
        <v xml:space="preserve"> </v>
      </c>
      <c r="P48" s="24"/>
      <c r="Q48" s="9"/>
    </row>
    <row r="49" spans="1:17" ht="17.25" x14ac:dyDescent="0.2">
      <c r="A49" s="9"/>
      <c r="C49" s="17" t="str">
        <f>IF(指数列表!B46="","",指数列表!B46)</f>
        <v/>
      </c>
      <c r="D49" s="33" t="str">
        <f>IF(C49="","",[1]!s_info_name(C49))</f>
        <v/>
      </c>
      <c r="E49" s="36" t="str">
        <f>IF(C49="","",[1]!s_dq_close(C49,$O$1))</f>
        <v/>
      </c>
      <c r="F49" s="36" t="str">
        <f>IF(C49="","",[1]!s_dq_volume($C49,$O$1))</f>
        <v/>
      </c>
      <c r="G49" s="36" t="str">
        <f>IF(C49="","",[1]!s_dq_oi($C49,$O$1))</f>
        <v/>
      </c>
      <c r="H49" s="18" t="str">
        <f>IF($C49=""," ",[1]!i_pq_pctchange($C49,H$6,$O$1))</f>
        <v xml:space="preserve"> </v>
      </c>
      <c r="I49" s="18" t="str">
        <f>IF($C49=""," ",[1]!i_pq_pctchange($C49,I$6,$O$1))</f>
        <v xml:space="preserve"> </v>
      </c>
      <c r="J49" s="18" t="str">
        <f>IF($C49=""," ",[1]!i_pq_pctchange($C49,J$6,$O$1))</f>
        <v xml:space="preserve"> </v>
      </c>
      <c r="K49" s="18" t="str">
        <f>IF($C49=""," ",[1]!i_pq_pctchange($C49,K$6,$O$1))</f>
        <v xml:space="preserve"> </v>
      </c>
      <c r="L49" s="18" t="str">
        <f>IF($C49=""," ",[1]!i_pq_pctchange($C49,L$6,$O$1))</f>
        <v xml:space="preserve"> </v>
      </c>
      <c r="M49" s="18" t="str">
        <f>IF(C49=""," ",[1]!s_wq_pctchange($C49,$O$1))</f>
        <v xml:space="preserve"> </v>
      </c>
      <c r="N49" s="18" t="str">
        <f>IF(C49=""," ",[1]!s_mq_pctchange($C49,$O$1))</f>
        <v xml:space="preserve"> </v>
      </c>
      <c r="O49" s="18" t="str">
        <f>IF(C49=""," ",[1]!s_yq_pctchange($C49,$O$1))</f>
        <v xml:space="preserve"> </v>
      </c>
      <c r="P49" s="24"/>
      <c r="Q49" s="9"/>
    </row>
    <row r="50" spans="1:17" ht="17.25" x14ac:dyDescent="0.2">
      <c r="A50" s="9"/>
      <c r="C50" s="21" t="str">
        <f>IF(指数列表!B47="","",指数列表!B47)</f>
        <v/>
      </c>
      <c r="D50" s="34" t="str">
        <f>IF(C50="","",[1]!s_info_name(C50))</f>
        <v/>
      </c>
      <c r="E50" s="35" t="str">
        <f>IF(C50="","",[1]!s_dq_close(C50,$O$1))</f>
        <v/>
      </c>
      <c r="F50" s="35" t="str">
        <f>IF(C50="","",[1]!s_dq_volume($C50,$O$1))</f>
        <v/>
      </c>
      <c r="G50" s="35" t="str">
        <f>IF(C50="","",[1]!s_dq_oi($C50,$O$1))</f>
        <v/>
      </c>
      <c r="H50" s="18" t="str">
        <f>IF($C50=""," ",[1]!i_pq_pctchange($C50,H$6,$O$1))</f>
        <v xml:space="preserve"> </v>
      </c>
      <c r="I50" s="18" t="str">
        <f>IF($C50=""," ",[1]!i_pq_pctchange($C50,I$6,$O$1))</f>
        <v xml:space="preserve"> </v>
      </c>
      <c r="J50" s="18" t="str">
        <f>IF($C50=""," ",[1]!i_pq_pctchange($C50,J$6,$O$1))</f>
        <v xml:space="preserve"> </v>
      </c>
      <c r="K50" s="18" t="str">
        <f>IF($C50=""," ",[1]!i_pq_pctchange($C50,K$6,$O$1))</f>
        <v xml:space="preserve"> </v>
      </c>
      <c r="L50" s="18" t="str">
        <f>IF($C50=""," ",[1]!i_pq_pctchange($C50,L$6,$O$1))</f>
        <v xml:space="preserve"> </v>
      </c>
      <c r="M50" s="18" t="str">
        <f>IF(C50=""," ",[1]!s_wq_pctchange($C50,$O$1))</f>
        <v xml:space="preserve"> </v>
      </c>
      <c r="N50" s="18" t="str">
        <f>IF(C50=""," ",[1]!s_mq_pctchange($C50,$O$1))</f>
        <v xml:space="preserve"> </v>
      </c>
      <c r="O50" s="18" t="str">
        <f>IF(C50=""," ",[1]!s_yq_pctchange($C50,$O$1))</f>
        <v xml:space="preserve"> </v>
      </c>
      <c r="P50" s="24"/>
      <c r="Q50" s="9"/>
    </row>
    <row r="51" spans="1:17" ht="17.25" x14ac:dyDescent="0.2">
      <c r="A51" s="9"/>
      <c r="C51" s="17" t="str">
        <f>IF(指数列表!B48="","",指数列表!B48)</f>
        <v/>
      </c>
      <c r="D51" s="33" t="str">
        <f>IF(C51="","",[1]!s_info_name(C51))</f>
        <v/>
      </c>
      <c r="E51" s="36" t="str">
        <f>IF(C51="","",[1]!s_dq_close(C51,$O$1))</f>
        <v/>
      </c>
      <c r="F51" s="36" t="str">
        <f>IF(C51="","",[1]!s_dq_volume($C51,$O$1))</f>
        <v/>
      </c>
      <c r="G51" s="36" t="str">
        <f>IF(C51="","",[1]!s_dq_oi($C51,$O$1))</f>
        <v/>
      </c>
      <c r="H51" s="18" t="str">
        <f>IF($C51=""," ",[1]!i_pq_pctchange($C51,H$6,$O$1))</f>
        <v xml:space="preserve"> </v>
      </c>
      <c r="I51" s="18" t="str">
        <f>IF($C51=""," ",[1]!i_pq_pctchange($C51,I$6,$O$1))</f>
        <v xml:space="preserve"> </v>
      </c>
      <c r="J51" s="18" t="str">
        <f>IF($C51=""," ",[1]!i_pq_pctchange($C51,J$6,$O$1))</f>
        <v xml:space="preserve"> </v>
      </c>
      <c r="K51" s="18" t="str">
        <f>IF($C51=""," ",[1]!i_pq_pctchange($C51,K$6,$O$1))</f>
        <v xml:space="preserve"> </v>
      </c>
      <c r="L51" s="18" t="str">
        <f>IF($C51=""," ",[1]!i_pq_pctchange($C51,L$6,$O$1))</f>
        <v xml:space="preserve"> </v>
      </c>
      <c r="M51" s="18" t="str">
        <f>IF(C51=""," ",[1]!s_wq_pctchange($C51,$O$1))</f>
        <v xml:space="preserve"> </v>
      </c>
      <c r="N51" s="18" t="str">
        <f>IF(C51=""," ",[1]!s_mq_pctchange($C51,$O$1))</f>
        <v xml:space="preserve"> </v>
      </c>
      <c r="O51" s="18" t="str">
        <f>IF(C51=""," ",[1]!s_yq_pctchange($C51,$O$1))</f>
        <v xml:space="preserve"> </v>
      </c>
      <c r="P51" s="24"/>
      <c r="Q51" s="9"/>
    </row>
    <row r="52" spans="1:17" ht="17.25" x14ac:dyDescent="0.2">
      <c r="A52" s="9"/>
      <c r="C52" s="21" t="str">
        <f>IF(指数列表!B49="","",指数列表!B49)</f>
        <v/>
      </c>
      <c r="D52" s="34" t="str">
        <f>IF(C52="","",[1]!s_info_name(C52))</f>
        <v/>
      </c>
      <c r="E52" s="35" t="str">
        <f>IF(C52="","",[1]!s_dq_close(C52,$O$1))</f>
        <v/>
      </c>
      <c r="F52" s="35" t="str">
        <f>IF(C52="","",[1]!s_dq_volume($C52,$O$1))</f>
        <v/>
      </c>
      <c r="G52" s="35" t="str">
        <f>IF(C52="","",[1]!s_dq_oi($C52,$O$1))</f>
        <v/>
      </c>
      <c r="H52" s="18" t="str">
        <f>IF($C52=""," ",[1]!i_pq_pctchange($C52,H$6,$O$1))</f>
        <v xml:space="preserve"> </v>
      </c>
      <c r="I52" s="18" t="str">
        <f>IF($C52=""," ",[1]!i_pq_pctchange($C52,I$6,$O$1))</f>
        <v xml:space="preserve"> </v>
      </c>
      <c r="J52" s="18" t="str">
        <f>IF($C52=""," ",[1]!i_pq_pctchange($C52,J$6,$O$1))</f>
        <v xml:space="preserve"> </v>
      </c>
      <c r="K52" s="18" t="str">
        <f>IF($C52=""," ",[1]!i_pq_pctchange($C52,K$6,$O$1))</f>
        <v xml:space="preserve"> </v>
      </c>
      <c r="L52" s="18" t="str">
        <f>IF($C52=""," ",[1]!i_pq_pctchange($C52,L$6,$O$1))</f>
        <v xml:space="preserve"> </v>
      </c>
      <c r="M52" s="18" t="str">
        <f>IF(C52=""," ",[1]!s_wq_pctchange($C52,$O$1))</f>
        <v xml:space="preserve"> </v>
      </c>
      <c r="N52" s="18" t="str">
        <f>IF(C52=""," ",[1]!s_mq_pctchange($C52,$O$1))</f>
        <v xml:space="preserve"> </v>
      </c>
      <c r="O52" s="18" t="str">
        <f>IF(C52=""," ",[1]!s_yq_pctchange($C52,$O$1))</f>
        <v xml:space="preserve"> </v>
      </c>
      <c r="P52" s="24"/>
      <c r="Q52" s="9"/>
    </row>
    <row r="53" spans="1:17" ht="17.25" x14ac:dyDescent="0.2">
      <c r="A53" s="9"/>
      <c r="C53" s="17" t="str">
        <f>IF(指数列表!B50="","",指数列表!B50)</f>
        <v/>
      </c>
      <c r="D53" s="33" t="str">
        <f>IF(C53="","",[1]!s_info_name(C53))</f>
        <v/>
      </c>
      <c r="E53" s="36" t="str">
        <f>IF(C53="","",[1]!s_dq_close(C53,$O$1))</f>
        <v/>
      </c>
      <c r="F53" s="36" t="str">
        <f>IF(C53="","",[1]!s_dq_volume($C53,$O$1))</f>
        <v/>
      </c>
      <c r="G53" s="36" t="str">
        <f>IF(C53="","",[1]!s_dq_oi($C53,$O$1))</f>
        <v/>
      </c>
      <c r="H53" s="18" t="str">
        <f>IF($C53=""," ",[1]!i_pq_pctchange($C53,H$6,$O$1))</f>
        <v xml:space="preserve"> </v>
      </c>
      <c r="I53" s="18" t="str">
        <f>IF($C53=""," ",[1]!i_pq_pctchange($C53,I$6,$O$1))</f>
        <v xml:space="preserve"> </v>
      </c>
      <c r="J53" s="18" t="str">
        <f>IF($C53=""," ",[1]!i_pq_pctchange($C53,J$6,$O$1))</f>
        <v xml:space="preserve"> </v>
      </c>
      <c r="K53" s="18" t="str">
        <f>IF($C53=""," ",[1]!i_pq_pctchange($C53,K$6,$O$1))</f>
        <v xml:space="preserve"> </v>
      </c>
      <c r="L53" s="18" t="str">
        <f>IF($C53=""," ",[1]!i_pq_pctchange($C53,L$6,$O$1))</f>
        <v xml:space="preserve"> </v>
      </c>
      <c r="M53" s="18" t="str">
        <f>IF(C53=""," ",[1]!s_wq_pctchange($C53,$O$1))</f>
        <v xml:space="preserve"> </v>
      </c>
      <c r="N53" s="18" t="str">
        <f>IF(C53=""," ",[1]!s_mq_pctchange($C53,$O$1))</f>
        <v xml:space="preserve"> </v>
      </c>
      <c r="O53" s="18" t="str">
        <f>IF(C53=""," ",[1]!s_yq_pctchange($C53,$O$1))</f>
        <v xml:space="preserve"> </v>
      </c>
      <c r="P53" s="24"/>
      <c r="Q53" s="9"/>
    </row>
    <row r="54" spans="1:17" ht="17.25" x14ac:dyDescent="0.2">
      <c r="A54" s="9"/>
      <c r="C54" s="21" t="str">
        <f>IF(指数列表!B51="","",指数列表!B51)</f>
        <v/>
      </c>
      <c r="D54" s="34" t="str">
        <f>IF(C54="","",[1]!s_info_name(C54))</f>
        <v/>
      </c>
      <c r="E54" s="35" t="str">
        <f>IF(C54="","",[1]!s_dq_close(C54,$O$1))</f>
        <v/>
      </c>
      <c r="F54" s="35" t="str">
        <f>IF(C54="","",[1]!s_dq_volume($C54,$O$1))</f>
        <v/>
      </c>
      <c r="G54" s="35" t="str">
        <f>IF(C54="","",[1]!s_dq_oi($C54,$O$1))</f>
        <v/>
      </c>
      <c r="H54" s="18" t="str">
        <f>IF($C54=""," ",[1]!i_pq_pctchange($C54,H$6,$O$1))</f>
        <v xml:space="preserve"> </v>
      </c>
      <c r="I54" s="18" t="str">
        <f>IF($C54=""," ",[1]!i_pq_pctchange($C54,I$6,$O$1))</f>
        <v xml:space="preserve"> </v>
      </c>
      <c r="J54" s="18" t="str">
        <f>IF($C54=""," ",[1]!i_pq_pctchange($C54,J$6,$O$1))</f>
        <v xml:space="preserve"> </v>
      </c>
      <c r="K54" s="18" t="str">
        <f>IF($C54=""," ",[1]!i_pq_pctchange($C54,K$6,$O$1))</f>
        <v xml:space="preserve"> </v>
      </c>
      <c r="L54" s="18" t="str">
        <f>IF($C54=""," ",[1]!i_pq_pctchange($C54,L$6,$O$1))</f>
        <v xml:space="preserve"> </v>
      </c>
      <c r="M54" s="18" t="str">
        <f>IF(C54=""," ",[1]!s_wq_pctchange($C54,$O$1))</f>
        <v xml:space="preserve"> </v>
      </c>
      <c r="N54" s="18" t="str">
        <f>IF(C54=""," ",[1]!s_mq_pctchange($C54,$O$1))</f>
        <v xml:space="preserve"> </v>
      </c>
      <c r="O54" s="18" t="str">
        <f>IF(C54=""," ",[1]!s_yq_pctchange($C54,$O$1))</f>
        <v xml:space="preserve"> </v>
      </c>
      <c r="P54" s="24"/>
      <c r="Q54" s="9"/>
    </row>
    <row r="55" spans="1:17" ht="17.25" x14ac:dyDescent="0.2">
      <c r="A55" s="9"/>
      <c r="C55" s="17" t="str">
        <f>IF(指数列表!B52="","",指数列表!B52)</f>
        <v/>
      </c>
      <c r="D55" s="33" t="str">
        <f>IF(C55="","",[1]!s_info_name(C55))</f>
        <v/>
      </c>
      <c r="E55" s="36" t="str">
        <f>IF(C55="","",[1]!s_dq_close(C55,$O$1))</f>
        <v/>
      </c>
      <c r="F55" s="36" t="str">
        <f>IF(C55="","",[1]!s_dq_volume($C55,$O$1))</f>
        <v/>
      </c>
      <c r="G55" s="36" t="str">
        <f>IF(C55="","",[1]!s_dq_oi($C55,$O$1))</f>
        <v/>
      </c>
      <c r="H55" s="18" t="str">
        <f>IF($C55=""," ",[1]!i_pq_pctchange($C55,H$6,$O$1))</f>
        <v xml:space="preserve"> </v>
      </c>
      <c r="I55" s="18" t="str">
        <f>IF($C55=""," ",[1]!i_pq_pctchange($C55,I$6,$O$1))</f>
        <v xml:space="preserve"> </v>
      </c>
      <c r="J55" s="18" t="str">
        <f>IF($C55=""," ",[1]!i_pq_pctchange($C55,J$6,$O$1))</f>
        <v xml:space="preserve"> </v>
      </c>
      <c r="K55" s="18" t="str">
        <f>IF($C55=""," ",[1]!i_pq_pctchange($C55,K$6,$O$1))</f>
        <v xml:space="preserve"> </v>
      </c>
      <c r="L55" s="18" t="str">
        <f>IF($C55=""," ",[1]!i_pq_pctchange($C55,L$6,$O$1))</f>
        <v xml:space="preserve"> </v>
      </c>
      <c r="M55" s="18" t="str">
        <f>IF(C55=""," ",[1]!s_wq_pctchange($C55,$O$1))</f>
        <v xml:space="preserve"> </v>
      </c>
      <c r="N55" s="18" t="str">
        <f>IF(C55=""," ",[1]!s_mq_pctchange($C55,$O$1))</f>
        <v xml:space="preserve"> </v>
      </c>
      <c r="O55" s="18" t="str">
        <f>IF(C55=""," ",[1]!s_yq_pctchange($C55,$O$1))</f>
        <v xml:space="preserve"> </v>
      </c>
      <c r="P55" s="24"/>
      <c r="Q55" s="9"/>
    </row>
    <row r="56" spans="1:17" ht="17.25" x14ac:dyDescent="0.2">
      <c r="A56" s="9"/>
      <c r="C56" s="21" t="str">
        <f>IF(指数列表!B53="","",指数列表!B53)</f>
        <v/>
      </c>
      <c r="D56" s="34" t="str">
        <f>IF(C56="","",[1]!s_info_name(C56))</f>
        <v/>
      </c>
      <c r="E56" s="35" t="str">
        <f>IF(C56="","",[1]!s_dq_close(C56,$O$1))</f>
        <v/>
      </c>
      <c r="F56" s="35" t="str">
        <f>IF(C56="","",[1]!s_dq_volume($C56,$O$1))</f>
        <v/>
      </c>
      <c r="G56" s="35" t="str">
        <f>IF(C56="","",[1]!s_dq_oi($C56,$O$1))</f>
        <v/>
      </c>
      <c r="H56" s="18" t="str">
        <f>IF($C56=""," ",[1]!i_pq_pctchange($C56,H$6,$O$1))</f>
        <v xml:space="preserve"> </v>
      </c>
      <c r="I56" s="18" t="str">
        <f>IF($C56=""," ",[1]!i_pq_pctchange($C56,I$6,$O$1))</f>
        <v xml:space="preserve"> </v>
      </c>
      <c r="J56" s="18" t="str">
        <f>IF($C56=""," ",[1]!i_pq_pctchange($C56,J$6,$O$1))</f>
        <v xml:space="preserve"> </v>
      </c>
      <c r="K56" s="18" t="str">
        <f>IF($C56=""," ",[1]!i_pq_pctchange($C56,K$6,$O$1))</f>
        <v xml:space="preserve"> </v>
      </c>
      <c r="L56" s="18" t="str">
        <f>IF($C56=""," ",[1]!i_pq_pctchange($C56,L$6,$O$1))</f>
        <v xml:space="preserve"> </v>
      </c>
      <c r="M56" s="18" t="str">
        <f>IF(C56=""," ",[1]!s_wq_pctchange($C56,$O$1))</f>
        <v xml:space="preserve"> </v>
      </c>
      <c r="N56" s="18" t="str">
        <f>IF(C56=""," ",[1]!s_mq_pctchange($C56,$O$1))</f>
        <v xml:space="preserve"> </v>
      </c>
      <c r="O56" s="18" t="str">
        <f>IF(C56=""," ",[1]!s_yq_pctchange($C56,$O$1))</f>
        <v xml:space="preserve"> </v>
      </c>
      <c r="P56" s="24"/>
      <c r="Q56" s="9"/>
    </row>
    <row r="57" spans="1:17" ht="17.25" x14ac:dyDescent="0.2">
      <c r="A57" s="9"/>
      <c r="C57" s="17" t="str">
        <f>IF(指数列表!B54="","",指数列表!B54)</f>
        <v/>
      </c>
      <c r="D57" s="33" t="str">
        <f>IF(C57="","",[1]!s_info_name(C57))</f>
        <v/>
      </c>
      <c r="E57" s="36" t="str">
        <f>IF(C57="","",[1]!s_dq_close(C57,$O$1))</f>
        <v/>
      </c>
      <c r="F57" s="36" t="str">
        <f>IF(C57="","",[1]!s_dq_volume($C57,$O$1))</f>
        <v/>
      </c>
      <c r="G57" s="36" t="str">
        <f>IF(C57="","",[1]!s_dq_oi($C57,$O$1))</f>
        <v/>
      </c>
      <c r="H57" s="18" t="str">
        <f>IF($C57=""," ",[1]!i_pq_pctchange($C57,H$6,$O$1))</f>
        <v xml:space="preserve"> </v>
      </c>
      <c r="I57" s="18" t="str">
        <f>IF($C57=""," ",[1]!i_pq_pctchange($C57,I$6,$O$1))</f>
        <v xml:space="preserve"> </v>
      </c>
      <c r="J57" s="18" t="str">
        <f>IF($C57=""," ",[1]!i_pq_pctchange($C57,J$6,$O$1))</f>
        <v xml:space="preserve"> </v>
      </c>
      <c r="K57" s="18" t="str">
        <f>IF($C57=""," ",[1]!i_pq_pctchange($C57,K$6,$O$1))</f>
        <v xml:space="preserve"> </v>
      </c>
      <c r="L57" s="18" t="str">
        <f>IF($C57=""," ",[1]!i_pq_pctchange($C57,L$6,$O$1))</f>
        <v xml:space="preserve"> </v>
      </c>
      <c r="M57" s="18" t="str">
        <f>IF(C57=""," ",[1]!s_wq_pctchange($C57,$O$1))</f>
        <v xml:space="preserve"> </v>
      </c>
      <c r="N57" s="18" t="str">
        <f>IF(C57=""," ",[1]!s_mq_pctchange($C57,$O$1))</f>
        <v xml:space="preserve"> </v>
      </c>
      <c r="O57" s="18" t="str">
        <f>IF(C57=""," ",[1]!s_yq_pctchange($C57,$O$1))</f>
        <v xml:space="preserve"> </v>
      </c>
      <c r="P57" s="24"/>
      <c r="Q57" s="9"/>
    </row>
    <row r="58" spans="1:17" ht="17.25" x14ac:dyDescent="0.2">
      <c r="A58" s="9"/>
      <c r="C58" s="21" t="str">
        <f>IF(指数列表!B55="","",指数列表!B55)</f>
        <v/>
      </c>
      <c r="D58" s="34" t="str">
        <f>IF(C58="","",[1]!s_info_name(C58))</f>
        <v/>
      </c>
      <c r="E58" s="35" t="str">
        <f>IF(C58="","",[1]!s_dq_close(C58,$O$1))</f>
        <v/>
      </c>
      <c r="F58" s="35" t="str">
        <f>IF(C58="","",[1]!s_dq_volume($C58,$O$1))</f>
        <v/>
      </c>
      <c r="G58" s="35" t="str">
        <f>IF(C58="","",[1]!s_dq_oi($C58,$O$1))</f>
        <v/>
      </c>
      <c r="H58" s="18" t="str">
        <f>IF($C58=""," ",[1]!i_pq_pctchange($C58,H$6,$O$1))</f>
        <v xml:space="preserve"> </v>
      </c>
      <c r="I58" s="18" t="str">
        <f>IF($C58=""," ",[1]!i_pq_pctchange($C58,I$6,$O$1))</f>
        <v xml:space="preserve"> </v>
      </c>
      <c r="J58" s="18" t="str">
        <f>IF($C58=""," ",[1]!i_pq_pctchange($C58,J$6,$O$1))</f>
        <v xml:space="preserve"> </v>
      </c>
      <c r="K58" s="18" t="str">
        <f>IF($C58=""," ",[1]!i_pq_pctchange($C58,K$6,$O$1))</f>
        <v xml:space="preserve"> </v>
      </c>
      <c r="L58" s="18" t="str">
        <f>IF($C58=""," ",[1]!i_pq_pctchange($C58,L$6,$O$1))</f>
        <v xml:space="preserve"> </v>
      </c>
      <c r="M58" s="18" t="str">
        <f>IF(C58=""," ",[1]!s_wq_pctchange($C58,$O$1))</f>
        <v xml:space="preserve"> </v>
      </c>
      <c r="N58" s="18" t="str">
        <f>IF(C58=""," ",[1]!s_mq_pctchange($C58,$O$1))</f>
        <v xml:space="preserve"> </v>
      </c>
      <c r="O58" s="18" t="str">
        <f>IF(C58=""," ",[1]!s_yq_pctchange($C58,$O$1))</f>
        <v xml:space="preserve"> </v>
      </c>
      <c r="P58" s="24"/>
      <c r="Q58" s="9"/>
    </row>
    <row r="59" spans="1:17" ht="17.25" x14ac:dyDescent="0.2">
      <c r="A59" s="9"/>
      <c r="C59" s="17" t="str">
        <f>IF(指数列表!B56="","",指数列表!B56)</f>
        <v/>
      </c>
      <c r="D59" s="33" t="str">
        <f>IF(C59="","",[1]!s_info_name(C59))</f>
        <v/>
      </c>
      <c r="E59" s="36" t="str">
        <f>IF(C59="","",[1]!s_dq_close(C59,$O$1))</f>
        <v/>
      </c>
      <c r="F59" s="36" t="str">
        <f>IF(C59="","",[1]!s_dq_volume($C59,$O$1))</f>
        <v/>
      </c>
      <c r="G59" s="36" t="str">
        <f>IF(C59="","",[1]!s_dq_oi($C59,$O$1))</f>
        <v/>
      </c>
      <c r="H59" s="18" t="str">
        <f>IF($C59=""," ",[1]!i_pq_pctchange($C59,H$6,$O$1))</f>
        <v xml:space="preserve"> </v>
      </c>
      <c r="I59" s="18" t="str">
        <f>IF($C59=""," ",[1]!i_pq_pctchange($C59,I$6,$O$1))</f>
        <v xml:space="preserve"> </v>
      </c>
      <c r="J59" s="18" t="str">
        <f>IF($C59=""," ",[1]!i_pq_pctchange($C59,J$6,$O$1))</f>
        <v xml:space="preserve"> </v>
      </c>
      <c r="K59" s="18" t="str">
        <f>IF($C59=""," ",[1]!i_pq_pctchange($C59,K$6,$O$1))</f>
        <v xml:space="preserve"> </v>
      </c>
      <c r="L59" s="18" t="str">
        <f>IF($C59=""," ",[1]!i_pq_pctchange($C59,L$6,$O$1))</f>
        <v xml:space="preserve"> </v>
      </c>
      <c r="M59" s="18" t="str">
        <f>IF(C59=""," ",[1]!s_wq_pctchange($C59,$O$1))</f>
        <v xml:space="preserve"> </v>
      </c>
      <c r="N59" s="18" t="str">
        <f>IF(C59=""," ",[1]!s_mq_pctchange($C59,$O$1))</f>
        <v xml:space="preserve"> </v>
      </c>
      <c r="O59" s="18" t="str">
        <f>IF(C59=""," ",[1]!s_yq_pctchange($C59,$O$1))</f>
        <v xml:space="preserve"> </v>
      </c>
      <c r="P59" s="24"/>
      <c r="Q59" s="9"/>
    </row>
    <row r="60" spans="1:17" ht="17.25" x14ac:dyDescent="0.2">
      <c r="A60" s="9"/>
      <c r="C60" s="21" t="str">
        <f>IF(指数列表!B57="","",指数列表!B57)</f>
        <v/>
      </c>
      <c r="D60" s="34" t="str">
        <f>IF(C60="","",[1]!s_info_name(C60))</f>
        <v/>
      </c>
      <c r="E60" s="35" t="str">
        <f>IF(C60="","",[1]!s_dq_close(C60,$O$1))</f>
        <v/>
      </c>
      <c r="F60" s="35" t="str">
        <f>IF(C60="","",[1]!s_dq_volume($C60,$O$1))</f>
        <v/>
      </c>
      <c r="G60" s="35" t="str">
        <f>IF(C60="","",[1]!s_dq_oi($C60,$O$1))</f>
        <v/>
      </c>
      <c r="H60" s="18" t="str">
        <f>IF($C60=""," ",[1]!i_pq_pctchange($C60,H$6,$O$1))</f>
        <v xml:space="preserve"> </v>
      </c>
      <c r="I60" s="18" t="str">
        <f>IF($C60=""," ",[1]!i_pq_pctchange($C60,I$6,$O$1))</f>
        <v xml:space="preserve"> </v>
      </c>
      <c r="J60" s="18" t="str">
        <f>IF($C60=""," ",[1]!i_pq_pctchange($C60,J$6,$O$1))</f>
        <v xml:space="preserve"> </v>
      </c>
      <c r="K60" s="18" t="str">
        <f>IF($C60=""," ",[1]!i_pq_pctchange($C60,K$6,$O$1))</f>
        <v xml:space="preserve"> </v>
      </c>
      <c r="L60" s="18" t="str">
        <f>IF($C60=""," ",[1]!i_pq_pctchange($C60,L$6,$O$1))</f>
        <v xml:space="preserve"> </v>
      </c>
      <c r="M60" s="18" t="str">
        <f>IF(C60=""," ",[1]!s_wq_pctchange($C60,$O$1))</f>
        <v xml:space="preserve"> </v>
      </c>
      <c r="N60" s="18" t="str">
        <f>IF(C60=""," ",[1]!s_mq_pctchange($C60,$O$1))</f>
        <v xml:space="preserve"> </v>
      </c>
      <c r="O60" s="18" t="str">
        <f>IF(C60=""," ",[1]!s_yq_pctchange($C60,$O$1))</f>
        <v xml:space="preserve"> </v>
      </c>
      <c r="P60" s="24"/>
      <c r="Q60" s="9"/>
    </row>
    <row r="61" spans="1:17" ht="17.25" x14ac:dyDescent="0.2">
      <c r="A61" s="9"/>
      <c r="C61" s="17" t="str">
        <f>IF(指数列表!B58="","",指数列表!B58)</f>
        <v/>
      </c>
      <c r="D61" s="33" t="str">
        <f>IF(C61="","",[1]!s_info_name(C61))</f>
        <v/>
      </c>
      <c r="E61" s="36" t="str">
        <f>IF(C61="","",[1]!s_dq_close(C61,$O$1))</f>
        <v/>
      </c>
      <c r="F61" s="36" t="str">
        <f>IF(C61="","",[1]!s_dq_volume($C61,$O$1))</f>
        <v/>
      </c>
      <c r="G61" s="36" t="str">
        <f>IF(C61="","",[1]!s_dq_oi($C61,$O$1))</f>
        <v/>
      </c>
      <c r="H61" s="18" t="str">
        <f>IF($C61=""," ",[1]!i_pq_pctchange($C61,H$6,$O$1))</f>
        <v xml:space="preserve"> </v>
      </c>
      <c r="I61" s="18" t="str">
        <f>IF($C61=""," ",[1]!i_pq_pctchange($C61,I$6,$O$1))</f>
        <v xml:space="preserve"> </v>
      </c>
      <c r="J61" s="18" t="str">
        <f>IF($C61=""," ",[1]!i_pq_pctchange($C61,J$6,$O$1))</f>
        <v xml:space="preserve"> </v>
      </c>
      <c r="K61" s="18" t="str">
        <f>IF($C61=""," ",[1]!i_pq_pctchange($C61,K$6,$O$1))</f>
        <v xml:space="preserve"> </v>
      </c>
      <c r="L61" s="18" t="str">
        <f>IF($C61=""," ",[1]!i_pq_pctchange($C61,L$6,$O$1))</f>
        <v xml:space="preserve"> </v>
      </c>
      <c r="M61" s="18" t="str">
        <f>IF(C61=""," ",[1]!s_wq_pctchange($C61,$O$1))</f>
        <v xml:space="preserve"> </v>
      </c>
      <c r="N61" s="18" t="str">
        <f>IF(C61=""," ",[1]!s_mq_pctchange($C61,$O$1))</f>
        <v xml:space="preserve"> </v>
      </c>
      <c r="O61" s="18" t="str">
        <f>IF(C61=""," ",[1]!s_yq_pctchange($C61,$O$1))</f>
        <v xml:space="preserve"> </v>
      </c>
      <c r="P61" s="24"/>
      <c r="Q61" s="9"/>
    </row>
    <row r="62" spans="1:17" ht="17.25" x14ac:dyDescent="0.2">
      <c r="A62" s="9"/>
      <c r="C62" s="21" t="str">
        <f>IF(指数列表!B59="","",指数列表!B59)</f>
        <v/>
      </c>
      <c r="D62" s="34" t="str">
        <f>IF(C62="","",[1]!s_info_name(C62))</f>
        <v/>
      </c>
      <c r="E62" s="35" t="str">
        <f>IF(C62="","",[1]!s_dq_close(C62,$O$1))</f>
        <v/>
      </c>
      <c r="F62" s="35" t="str">
        <f>IF(C62="","",[1]!s_dq_volume($C62,$O$1))</f>
        <v/>
      </c>
      <c r="G62" s="35" t="str">
        <f>IF(C62="","",[1]!s_dq_oi($C62,$O$1))</f>
        <v/>
      </c>
      <c r="H62" s="18" t="str">
        <f>IF($C62=""," ",[1]!i_pq_pctchange($C62,H$6,$O$1))</f>
        <v xml:space="preserve"> </v>
      </c>
      <c r="I62" s="18" t="str">
        <f>IF($C62=""," ",[1]!i_pq_pctchange($C62,I$6,$O$1))</f>
        <v xml:space="preserve"> </v>
      </c>
      <c r="J62" s="18" t="str">
        <f>IF($C62=""," ",[1]!i_pq_pctchange($C62,J$6,$O$1))</f>
        <v xml:space="preserve"> </v>
      </c>
      <c r="K62" s="18" t="str">
        <f>IF($C62=""," ",[1]!i_pq_pctchange($C62,K$6,$O$1))</f>
        <v xml:space="preserve"> </v>
      </c>
      <c r="L62" s="18" t="str">
        <f>IF($C62=""," ",[1]!i_pq_pctchange($C62,L$6,$O$1))</f>
        <v xml:space="preserve"> </v>
      </c>
      <c r="M62" s="18" t="str">
        <f>IF(C62=""," ",[1]!s_wq_pctchange($C62,$O$1))</f>
        <v xml:space="preserve"> </v>
      </c>
      <c r="N62" s="18" t="str">
        <f>IF(C62=""," ",[1]!s_mq_pctchange($C62,$O$1))</f>
        <v xml:space="preserve"> </v>
      </c>
      <c r="O62" s="18" t="str">
        <f>IF(C62=""," ",[1]!s_yq_pctchange($C62,$O$1))</f>
        <v xml:space="preserve"> </v>
      </c>
      <c r="P62" s="24"/>
      <c r="Q62" s="9"/>
    </row>
    <row r="63" spans="1:17" ht="17.25" x14ac:dyDescent="0.2">
      <c r="A63" s="9"/>
      <c r="C63" s="17" t="str">
        <f>IF(指数列表!B60="","",指数列表!B60)</f>
        <v/>
      </c>
      <c r="D63" s="33" t="str">
        <f>IF(C63="","",[1]!s_info_name(C63))</f>
        <v/>
      </c>
      <c r="E63" s="36" t="str">
        <f>IF(C63="","",[1]!s_dq_close(C63,$O$1))</f>
        <v/>
      </c>
      <c r="F63" s="36" t="str">
        <f>IF(C63="","",[1]!s_dq_volume($C63,$O$1))</f>
        <v/>
      </c>
      <c r="G63" s="36" t="str">
        <f>IF(C63="","",[1]!s_dq_oi($C63,$O$1))</f>
        <v/>
      </c>
      <c r="H63" s="18" t="str">
        <f>IF($C63=""," ",[1]!i_pq_pctchange($C63,H$6,$O$1))</f>
        <v xml:space="preserve"> </v>
      </c>
      <c r="I63" s="18" t="str">
        <f>IF($C63=""," ",[1]!i_pq_pctchange($C63,I$6,$O$1))</f>
        <v xml:space="preserve"> </v>
      </c>
      <c r="J63" s="18" t="str">
        <f>IF($C63=""," ",[1]!i_pq_pctchange($C63,J$6,$O$1))</f>
        <v xml:space="preserve"> </v>
      </c>
      <c r="K63" s="18" t="str">
        <f>IF($C63=""," ",[1]!i_pq_pctchange($C63,K$6,$O$1))</f>
        <v xml:space="preserve"> </v>
      </c>
      <c r="L63" s="18" t="str">
        <f>IF($C63=""," ",[1]!i_pq_pctchange($C63,L$6,$O$1))</f>
        <v xml:space="preserve"> </v>
      </c>
      <c r="M63" s="18" t="str">
        <f>IF(C63=""," ",[1]!s_wq_pctchange($C63,$O$1))</f>
        <v xml:space="preserve"> </v>
      </c>
      <c r="N63" s="18" t="str">
        <f>IF(C63=""," ",[1]!s_mq_pctchange($C63,$O$1))</f>
        <v xml:space="preserve"> </v>
      </c>
      <c r="O63" s="18" t="str">
        <f>IF(C63=""," ",[1]!s_yq_pctchange($C63,$O$1))</f>
        <v xml:space="preserve"> </v>
      </c>
      <c r="P63" s="24"/>
      <c r="Q63" s="9"/>
    </row>
    <row r="64" spans="1:17" ht="17.25" x14ac:dyDescent="0.2">
      <c r="A64" s="9"/>
      <c r="C64" s="21" t="str">
        <f>IF(指数列表!B61="","",指数列表!B61)</f>
        <v/>
      </c>
      <c r="D64" s="34" t="str">
        <f>IF(C64="","",[1]!s_info_name(C64))</f>
        <v/>
      </c>
      <c r="E64" s="35" t="str">
        <f>IF(C64="","",[1]!s_dq_close(C64,$O$1))</f>
        <v/>
      </c>
      <c r="F64" s="35" t="str">
        <f>IF(C64="","",[1]!s_dq_volume($C64,$O$1))</f>
        <v/>
      </c>
      <c r="G64" s="35" t="str">
        <f>IF(C64="","",[1]!s_dq_oi($C64,$O$1))</f>
        <v/>
      </c>
      <c r="H64" s="18" t="str">
        <f>IF($C64=""," ",[1]!i_pq_pctchange($C64,H$6,$O$1))</f>
        <v xml:space="preserve"> </v>
      </c>
      <c r="I64" s="18" t="str">
        <f>IF($C64=""," ",[1]!i_pq_pctchange($C64,I$6,$O$1))</f>
        <v xml:space="preserve"> </v>
      </c>
      <c r="J64" s="18" t="str">
        <f>IF($C64=""," ",[1]!i_pq_pctchange($C64,J$6,$O$1))</f>
        <v xml:space="preserve"> </v>
      </c>
      <c r="K64" s="18" t="str">
        <f>IF($C64=""," ",[1]!i_pq_pctchange($C64,K$6,$O$1))</f>
        <v xml:space="preserve"> </v>
      </c>
      <c r="L64" s="18" t="str">
        <f>IF($C64=""," ",[1]!i_pq_pctchange($C64,L$6,$O$1))</f>
        <v xml:space="preserve"> </v>
      </c>
      <c r="M64" s="18" t="str">
        <f>IF(C64=""," ",[1]!s_wq_pctchange($C64,$O$1))</f>
        <v xml:space="preserve"> </v>
      </c>
      <c r="N64" s="18" t="str">
        <f>IF(C64=""," ",[1]!s_mq_pctchange($C64,$O$1))</f>
        <v xml:space="preserve"> </v>
      </c>
      <c r="O64" s="18" t="str">
        <f>IF(C64=""," ",[1]!s_yq_pctchange($C64,$O$1))</f>
        <v xml:space="preserve"> </v>
      </c>
      <c r="P64" s="24"/>
      <c r="Q64" s="9"/>
    </row>
    <row r="65" spans="1:17" ht="17.25" x14ac:dyDescent="0.2">
      <c r="A65" s="9"/>
      <c r="C65" s="17" t="str">
        <f>IF(指数列表!B62="","",指数列表!B62)</f>
        <v/>
      </c>
      <c r="D65" s="33" t="str">
        <f>IF(C65="","",[1]!s_info_name(C65))</f>
        <v/>
      </c>
      <c r="E65" s="36" t="str">
        <f>IF(C65="","",[1]!s_dq_close(C65,$O$1))</f>
        <v/>
      </c>
      <c r="F65" s="36" t="str">
        <f>IF(C65="","",[1]!s_dq_volume($C65,$O$1))</f>
        <v/>
      </c>
      <c r="G65" s="36" t="str">
        <f>IF(C65="","",[1]!s_dq_oi($C65,$O$1))</f>
        <v/>
      </c>
      <c r="H65" s="18" t="str">
        <f>IF($C65=""," ",[1]!i_pq_pctchange($C65,H$6,$O$1))</f>
        <v xml:space="preserve"> </v>
      </c>
      <c r="I65" s="18" t="str">
        <f>IF($C65=""," ",[1]!i_pq_pctchange($C65,I$6,$O$1))</f>
        <v xml:space="preserve"> </v>
      </c>
      <c r="J65" s="18" t="str">
        <f>IF($C65=""," ",[1]!i_pq_pctchange($C65,J$6,$O$1))</f>
        <v xml:space="preserve"> </v>
      </c>
      <c r="K65" s="18" t="str">
        <f>IF($C65=""," ",[1]!i_pq_pctchange($C65,K$6,$O$1))</f>
        <v xml:space="preserve"> </v>
      </c>
      <c r="L65" s="18" t="str">
        <f>IF($C65=""," ",[1]!i_pq_pctchange($C65,L$6,$O$1))</f>
        <v xml:space="preserve"> </v>
      </c>
      <c r="M65" s="18" t="str">
        <f>IF(C65=""," ",[1]!s_wq_pctchange($C65,$O$1))</f>
        <v xml:space="preserve"> </v>
      </c>
      <c r="N65" s="18" t="str">
        <f>IF(C65=""," ",[1]!s_mq_pctchange($C65,$O$1))</f>
        <v xml:space="preserve"> </v>
      </c>
      <c r="O65" s="18" t="str">
        <f>IF(C65=""," ",[1]!s_yq_pctchange($C65,$O$1))</f>
        <v xml:space="preserve"> </v>
      </c>
      <c r="P65" s="24"/>
      <c r="Q65" s="9"/>
    </row>
    <row r="66" spans="1:17" ht="17.25" x14ac:dyDescent="0.2">
      <c r="A66" s="9"/>
      <c r="C66" s="21" t="str">
        <f>IF(指数列表!B63="","",指数列表!B63)</f>
        <v/>
      </c>
      <c r="D66" s="34" t="str">
        <f>IF(C66="","",[1]!s_info_name(C66))</f>
        <v/>
      </c>
      <c r="E66" s="35" t="str">
        <f>IF(C66="","",[1]!s_dq_close(C66,$O$1))</f>
        <v/>
      </c>
      <c r="F66" s="35" t="str">
        <f>IF(C66="","",[1]!s_dq_volume($C66,$O$1))</f>
        <v/>
      </c>
      <c r="G66" s="35" t="str">
        <f>IF(C66="","",[1]!s_dq_oi($C66,$O$1))</f>
        <v/>
      </c>
      <c r="H66" s="18" t="str">
        <f>IF($C66=""," ",[1]!i_pq_pctchange($C66,H$6,$O$1))</f>
        <v xml:space="preserve"> </v>
      </c>
      <c r="I66" s="18" t="str">
        <f>IF($C66=""," ",[1]!i_pq_pctchange($C66,I$6,$O$1))</f>
        <v xml:space="preserve"> </v>
      </c>
      <c r="J66" s="18" t="str">
        <f>IF($C66=""," ",[1]!i_pq_pctchange($C66,J$6,$O$1))</f>
        <v xml:space="preserve"> </v>
      </c>
      <c r="K66" s="18" t="str">
        <f>IF($C66=""," ",[1]!i_pq_pctchange($C66,K$6,$O$1))</f>
        <v xml:space="preserve"> </v>
      </c>
      <c r="L66" s="18" t="str">
        <f>IF($C66=""," ",[1]!i_pq_pctchange($C66,L$6,$O$1))</f>
        <v xml:space="preserve"> </v>
      </c>
      <c r="M66" s="18" t="str">
        <f>IF(C66=""," ",[1]!s_wq_pctchange($C66,$O$1))</f>
        <v xml:space="preserve"> </v>
      </c>
      <c r="N66" s="18" t="str">
        <f>IF(C66=""," ",[1]!s_mq_pctchange($C66,$O$1))</f>
        <v xml:space="preserve"> </v>
      </c>
      <c r="O66" s="18" t="str">
        <f>IF(C66=""," ",[1]!s_yq_pctchange($C66,$O$1))</f>
        <v xml:space="preserve"> </v>
      </c>
      <c r="P66" s="24"/>
      <c r="Q66" s="9"/>
    </row>
    <row r="67" spans="1:17" ht="17.25" x14ac:dyDescent="0.2">
      <c r="A67" s="9"/>
      <c r="C67" s="17" t="str">
        <f>IF(指数列表!B64="","",指数列表!B64)</f>
        <v/>
      </c>
      <c r="D67" s="33" t="str">
        <f>IF(C67="","",[1]!s_info_name(C67))</f>
        <v/>
      </c>
      <c r="E67" s="36" t="str">
        <f>IF(C67="","",[1]!s_dq_close(C67,$O$1))</f>
        <v/>
      </c>
      <c r="F67" s="36" t="str">
        <f>IF(C67="","",[1]!s_dq_volume($C67,$O$1))</f>
        <v/>
      </c>
      <c r="G67" s="36" t="str">
        <f>IF(C67="","",[1]!s_dq_oi($C67,$O$1))</f>
        <v/>
      </c>
      <c r="H67" s="18" t="str">
        <f>IF($C67=""," ",[1]!i_pq_pctchange($C67,H$6,$O$1))</f>
        <v xml:space="preserve"> </v>
      </c>
      <c r="I67" s="18" t="str">
        <f>IF($C67=""," ",[1]!i_pq_pctchange($C67,I$6,$O$1))</f>
        <v xml:space="preserve"> </v>
      </c>
      <c r="J67" s="18" t="str">
        <f>IF($C67=""," ",[1]!i_pq_pctchange($C67,J$6,$O$1))</f>
        <v xml:space="preserve"> </v>
      </c>
      <c r="K67" s="18" t="str">
        <f>IF($C67=""," ",[1]!i_pq_pctchange($C67,K$6,$O$1))</f>
        <v xml:space="preserve"> </v>
      </c>
      <c r="L67" s="18" t="str">
        <f>IF($C67=""," ",[1]!i_pq_pctchange($C67,L$6,$O$1))</f>
        <v xml:space="preserve"> </v>
      </c>
      <c r="M67" s="18" t="str">
        <f>IF(C67=""," ",[1]!s_wq_pctchange($C67,$O$1))</f>
        <v xml:space="preserve"> </v>
      </c>
      <c r="N67" s="18" t="str">
        <f>IF(C67=""," ",[1]!s_mq_pctchange($C67,$O$1))</f>
        <v xml:space="preserve"> </v>
      </c>
      <c r="O67" s="18" t="str">
        <f>IF(C67=""," ",[1]!s_yq_pctchange($C67,$O$1))</f>
        <v xml:space="preserve"> </v>
      </c>
      <c r="P67" s="24"/>
      <c r="Q67" s="9"/>
    </row>
    <row r="68" spans="1:17" ht="17.25" x14ac:dyDescent="0.2">
      <c r="A68" s="9"/>
      <c r="C68" s="21" t="str">
        <f>IF(指数列表!B65="","",指数列表!B65)</f>
        <v/>
      </c>
      <c r="D68" s="34" t="str">
        <f>IF(C68="","",[1]!s_info_name(C68))</f>
        <v/>
      </c>
      <c r="E68" s="35" t="str">
        <f>IF(C68="","",[1]!s_dq_close(C68,$O$1))</f>
        <v/>
      </c>
      <c r="F68" s="35" t="str">
        <f>IF(C68="","",[1]!s_dq_volume($C68,$O$1))</f>
        <v/>
      </c>
      <c r="G68" s="35" t="str">
        <f>IF(C68="","",[1]!s_dq_oi($C68,$O$1))</f>
        <v/>
      </c>
      <c r="H68" s="18" t="str">
        <f>IF($C68=""," ",[1]!i_pq_pctchange($C68,H$6,$O$1))</f>
        <v xml:space="preserve"> </v>
      </c>
      <c r="I68" s="18" t="str">
        <f>IF($C68=""," ",[1]!i_pq_pctchange($C68,I$6,$O$1))</f>
        <v xml:space="preserve"> </v>
      </c>
      <c r="J68" s="18" t="str">
        <f>IF($C68=""," ",[1]!i_pq_pctchange($C68,J$6,$O$1))</f>
        <v xml:space="preserve"> </v>
      </c>
      <c r="K68" s="18" t="str">
        <f>IF($C68=""," ",[1]!i_pq_pctchange($C68,K$6,$O$1))</f>
        <v xml:space="preserve"> </v>
      </c>
      <c r="L68" s="18" t="str">
        <f>IF($C68=""," ",[1]!i_pq_pctchange($C68,L$6,$O$1))</f>
        <v xml:space="preserve"> </v>
      </c>
      <c r="M68" s="18" t="str">
        <f>IF(C68=""," ",[1]!s_wq_pctchange($C68,$O$1))</f>
        <v xml:space="preserve"> </v>
      </c>
      <c r="N68" s="18" t="str">
        <f>IF(C68=""," ",[1]!s_mq_pctchange($C68,$O$1))</f>
        <v xml:space="preserve"> </v>
      </c>
      <c r="O68" s="18" t="str">
        <f>IF(C68=""," ",[1]!s_yq_pctchange($C68,$O$1))</f>
        <v xml:space="preserve"> </v>
      </c>
      <c r="P68" s="24"/>
      <c r="Q68" s="9"/>
    </row>
    <row r="69" spans="1:17" ht="17.25" x14ac:dyDescent="0.2">
      <c r="A69" s="9"/>
      <c r="C69" s="17" t="str">
        <f>IF(指数列表!B66="","",指数列表!B66)</f>
        <v/>
      </c>
      <c r="D69" s="33" t="str">
        <f>IF(C69="","",[1]!s_info_name(C69))</f>
        <v/>
      </c>
      <c r="E69" s="36" t="str">
        <f>IF(C69="","",[1]!s_dq_close(C69,$O$1))</f>
        <v/>
      </c>
      <c r="F69" s="36" t="str">
        <f>IF(C69="","",[1]!s_dq_volume($C69,$O$1))</f>
        <v/>
      </c>
      <c r="G69" s="36" t="str">
        <f>IF(C69="","",[1]!s_dq_oi($C69,$O$1))</f>
        <v/>
      </c>
      <c r="H69" s="18" t="str">
        <f>IF($C69=""," ",[1]!i_pq_pctchange($C69,H$6,$O$1))</f>
        <v xml:space="preserve"> </v>
      </c>
      <c r="I69" s="18" t="str">
        <f>IF($C69=""," ",[1]!i_pq_pctchange($C69,I$6,$O$1))</f>
        <v xml:space="preserve"> </v>
      </c>
      <c r="J69" s="18" t="str">
        <f>IF($C69=""," ",[1]!i_pq_pctchange($C69,J$6,$O$1))</f>
        <v xml:space="preserve"> </v>
      </c>
      <c r="K69" s="18" t="str">
        <f>IF($C69=""," ",[1]!i_pq_pctchange($C69,K$6,$O$1))</f>
        <v xml:space="preserve"> </v>
      </c>
      <c r="L69" s="18" t="str">
        <f>IF($C69=""," ",[1]!i_pq_pctchange($C69,L$6,$O$1))</f>
        <v xml:space="preserve"> </v>
      </c>
      <c r="M69" s="18" t="str">
        <f>IF(C69=""," ",[1]!s_wq_pctchange($C69,$O$1))</f>
        <v xml:space="preserve"> </v>
      </c>
      <c r="N69" s="18" t="str">
        <f>IF(C69=""," ",[1]!s_mq_pctchange($C69,$O$1))</f>
        <v xml:space="preserve"> </v>
      </c>
      <c r="O69" s="18" t="str">
        <f>IF(C69=""," ",[1]!s_yq_pctchange($C69,$O$1))</f>
        <v xml:space="preserve"> </v>
      </c>
      <c r="P69" s="24"/>
      <c r="Q69" s="9"/>
    </row>
    <row r="70" spans="1:17" ht="17.25" x14ac:dyDescent="0.2">
      <c r="A70" s="9"/>
      <c r="C70" s="21" t="str">
        <f>IF(指数列表!B67="","",指数列表!B67)</f>
        <v/>
      </c>
      <c r="D70" s="34" t="str">
        <f>IF(C70="","",[1]!s_info_name(C70))</f>
        <v/>
      </c>
      <c r="E70" s="35" t="str">
        <f>IF(C70="","",[1]!s_dq_close(C70,$O$1))</f>
        <v/>
      </c>
      <c r="F70" s="35" t="str">
        <f>IF(C70="","",[1]!s_dq_volume($C70,$O$1))</f>
        <v/>
      </c>
      <c r="G70" s="35" t="str">
        <f>IF(C70="","",[1]!s_dq_oi($C70,$O$1))</f>
        <v/>
      </c>
      <c r="H70" s="18" t="str">
        <f>IF($C70=""," ",[1]!i_pq_pctchange($C70,H$6,$O$1))</f>
        <v xml:space="preserve"> </v>
      </c>
      <c r="I70" s="18" t="str">
        <f>IF($C70=""," ",[1]!i_pq_pctchange($C70,I$6,$O$1))</f>
        <v xml:space="preserve"> </v>
      </c>
      <c r="J70" s="18" t="str">
        <f>IF($C70=""," ",[1]!i_pq_pctchange($C70,J$6,$O$1))</f>
        <v xml:space="preserve"> </v>
      </c>
      <c r="K70" s="18" t="str">
        <f>IF($C70=""," ",[1]!i_pq_pctchange($C70,K$6,$O$1))</f>
        <v xml:space="preserve"> </v>
      </c>
      <c r="L70" s="18" t="str">
        <f>IF($C70=""," ",[1]!i_pq_pctchange($C70,L$6,$O$1))</f>
        <v xml:space="preserve"> </v>
      </c>
      <c r="M70" s="18" t="str">
        <f>IF(C70=""," ",[1]!s_wq_pctchange($C70,$O$1))</f>
        <v xml:space="preserve"> </v>
      </c>
      <c r="N70" s="18" t="str">
        <f>IF(C70=""," ",[1]!s_mq_pctchange($C70,$O$1))</f>
        <v xml:space="preserve"> </v>
      </c>
      <c r="O70" s="18" t="str">
        <f>IF(C70=""," ",[1]!s_yq_pctchange($C70,$O$1))</f>
        <v xml:space="preserve"> </v>
      </c>
      <c r="P70" s="24"/>
      <c r="Q70" s="9"/>
    </row>
    <row r="71" spans="1:17" ht="17.25" x14ac:dyDescent="0.2">
      <c r="A71" s="9"/>
      <c r="C71" s="17" t="str">
        <f>IF(指数列表!B68="","",指数列表!B68)</f>
        <v/>
      </c>
      <c r="D71" s="33" t="str">
        <f>IF(C71="","",[1]!s_info_name(C71))</f>
        <v/>
      </c>
      <c r="E71" s="36" t="str">
        <f>IF(C71="","",[1]!s_dq_close(C71,$O$1))</f>
        <v/>
      </c>
      <c r="F71" s="36" t="str">
        <f>IF(C71="","",[1]!s_dq_volume($C71,$O$1))</f>
        <v/>
      </c>
      <c r="G71" s="36" t="str">
        <f>IF(C71="","",[1]!s_dq_oi($C71,$O$1))</f>
        <v/>
      </c>
      <c r="H71" s="18" t="str">
        <f>IF($C71=""," ",[1]!i_pq_pctchange($C71,H$6,$O$1))</f>
        <v xml:space="preserve"> </v>
      </c>
      <c r="I71" s="18" t="str">
        <f>IF($C71=""," ",[1]!i_pq_pctchange($C71,I$6,$O$1))</f>
        <v xml:space="preserve"> </v>
      </c>
      <c r="J71" s="18" t="str">
        <f>IF($C71=""," ",[1]!i_pq_pctchange($C71,J$6,$O$1))</f>
        <v xml:space="preserve"> </v>
      </c>
      <c r="K71" s="18" t="str">
        <f>IF($C71=""," ",[1]!i_pq_pctchange($C71,K$6,$O$1))</f>
        <v xml:space="preserve"> </v>
      </c>
      <c r="L71" s="18" t="str">
        <f>IF($C71=""," ",[1]!i_pq_pctchange($C71,L$6,$O$1))</f>
        <v xml:space="preserve"> </v>
      </c>
      <c r="M71" s="18" t="str">
        <f>IF(C71=""," ",[1]!s_wq_pctchange($C71,$O$1))</f>
        <v xml:space="preserve"> </v>
      </c>
      <c r="N71" s="18" t="str">
        <f>IF(C71=""," ",[1]!s_mq_pctchange($C71,$O$1))</f>
        <v xml:space="preserve"> </v>
      </c>
      <c r="O71" s="18" t="str">
        <f>IF(C71=""," ",[1]!s_yq_pctchange($C71,$O$1))</f>
        <v xml:space="preserve"> </v>
      </c>
      <c r="P71" s="24"/>
      <c r="Q71" s="9"/>
    </row>
    <row r="72" spans="1:17" ht="17.25" x14ac:dyDescent="0.2">
      <c r="A72" s="9"/>
      <c r="C72" s="21" t="str">
        <f>IF(指数列表!B69="","",指数列表!B69)</f>
        <v/>
      </c>
      <c r="D72" s="34" t="str">
        <f>IF(C72="","",[1]!s_info_name(C72))</f>
        <v/>
      </c>
      <c r="E72" s="35" t="str">
        <f>IF(C72="","",[1]!s_dq_close(C72,$O$1))</f>
        <v/>
      </c>
      <c r="F72" s="35" t="str">
        <f>IF(C72="","",[1]!s_dq_volume($C72,$O$1))</f>
        <v/>
      </c>
      <c r="G72" s="35" t="str">
        <f>IF(C72="","",[1]!s_dq_oi($C72,$O$1))</f>
        <v/>
      </c>
      <c r="H72" s="18" t="str">
        <f>IF($C72=""," ",[1]!i_pq_pctchange($C72,H$6,$O$1))</f>
        <v xml:space="preserve"> </v>
      </c>
      <c r="I72" s="18" t="str">
        <f>IF($C72=""," ",[1]!i_pq_pctchange($C72,I$6,$O$1))</f>
        <v xml:space="preserve"> </v>
      </c>
      <c r="J72" s="18" t="str">
        <f>IF($C72=""," ",[1]!i_pq_pctchange($C72,J$6,$O$1))</f>
        <v xml:space="preserve"> </v>
      </c>
      <c r="K72" s="18" t="str">
        <f>IF($C72=""," ",[1]!i_pq_pctchange($C72,K$6,$O$1))</f>
        <v xml:space="preserve"> </v>
      </c>
      <c r="L72" s="18" t="str">
        <f>IF($C72=""," ",[1]!i_pq_pctchange($C72,L$6,$O$1))</f>
        <v xml:space="preserve"> </v>
      </c>
      <c r="M72" s="18" t="str">
        <f>IF(C72=""," ",[1]!s_wq_pctchange($C72,$O$1))</f>
        <v xml:space="preserve"> </v>
      </c>
      <c r="N72" s="18" t="str">
        <f>IF(C72=""," ",[1]!s_mq_pctchange($C72,$O$1))</f>
        <v xml:space="preserve"> </v>
      </c>
      <c r="O72" s="18" t="str">
        <f>IF(C72=""," ",[1]!s_yq_pctchange($C72,$O$1))</f>
        <v xml:space="preserve"> </v>
      </c>
      <c r="P72" s="24"/>
      <c r="Q72" s="9"/>
    </row>
    <row r="73" spans="1:17" ht="17.25" x14ac:dyDescent="0.2">
      <c r="A73" s="9"/>
      <c r="C73" s="17" t="str">
        <f>IF(指数列表!B70="","",指数列表!B70)</f>
        <v/>
      </c>
      <c r="D73" s="33" t="str">
        <f>IF(C73="","",[1]!s_info_name(C73))</f>
        <v/>
      </c>
      <c r="E73" s="36" t="str">
        <f>IF(C73="","",[1]!s_dq_close(C73,$O$1))</f>
        <v/>
      </c>
      <c r="F73" s="36" t="str">
        <f>IF(C73="","",[1]!s_dq_volume($C73,$O$1))</f>
        <v/>
      </c>
      <c r="G73" s="36" t="str">
        <f>IF(C73="","",[1]!s_dq_oi($C73,$O$1))</f>
        <v/>
      </c>
      <c r="H73" s="18" t="str">
        <f>IF($C73=""," ",[1]!i_pq_pctchange($C73,H$6,$O$1))</f>
        <v xml:space="preserve"> </v>
      </c>
      <c r="I73" s="18" t="str">
        <f>IF($C73=""," ",[1]!i_pq_pctchange($C73,I$6,$O$1))</f>
        <v xml:space="preserve"> </v>
      </c>
      <c r="J73" s="18" t="str">
        <f>IF($C73=""," ",[1]!i_pq_pctchange($C73,J$6,$O$1))</f>
        <v xml:space="preserve"> </v>
      </c>
      <c r="K73" s="18" t="str">
        <f>IF($C73=""," ",[1]!i_pq_pctchange($C73,K$6,$O$1))</f>
        <v xml:space="preserve"> </v>
      </c>
      <c r="L73" s="18" t="str">
        <f>IF($C73=""," ",[1]!i_pq_pctchange($C73,L$6,$O$1))</f>
        <v xml:space="preserve"> </v>
      </c>
      <c r="M73" s="18" t="str">
        <f>IF(C73=""," ",[1]!s_wq_pctchange($C73,$O$1))</f>
        <v xml:space="preserve"> </v>
      </c>
      <c r="N73" s="18" t="str">
        <f>IF(C73=""," ",[1]!s_mq_pctchange($C73,$O$1))</f>
        <v xml:space="preserve"> </v>
      </c>
      <c r="O73" s="18" t="str">
        <f>IF(C73=""," ",[1]!s_yq_pctchange($C73,$O$1))</f>
        <v xml:space="preserve"> </v>
      </c>
      <c r="P73" s="24"/>
      <c r="Q73" s="9"/>
    </row>
    <row r="74" spans="1:17" ht="17.25" x14ac:dyDescent="0.2">
      <c r="A74" s="9"/>
      <c r="C74" s="21" t="str">
        <f>IF(指数列表!B71="","",指数列表!B71)</f>
        <v/>
      </c>
      <c r="D74" s="34" t="str">
        <f>IF(C74="","",[1]!s_info_name(C74))</f>
        <v/>
      </c>
      <c r="E74" s="35" t="str">
        <f>IF(C74="","",[1]!s_dq_close(C74,$O$1))</f>
        <v/>
      </c>
      <c r="F74" s="35" t="str">
        <f>IF(C74="","",[1]!s_dq_volume($C74,$O$1))</f>
        <v/>
      </c>
      <c r="G74" s="35" t="str">
        <f>IF(C74="","",[1]!s_dq_oi($C74,$O$1))</f>
        <v/>
      </c>
      <c r="H74" s="18" t="str">
        <f>IF($C74=""," ",[1]!i_pq_pctchange($C74,H$6,$O$1))</f>
        <v xml:space="preserve"> </v>
      </c>
      <c r="I74" s="18" t="str">
        <f>IF($C74=""," ",[1]!i_pq_pctchange($C74,I$6,$O$1))</f>
        <v xml:space="preserve"> </v>
      </c>
      <c r="J74" s="18" t="str">
        <f>IF($C74=""," ",[1]!i_pq_pctchange($C74,J$6,$O$1))</f>
        <v xml:space="preserve"> </v>
      </c>
      <c r="K74" s="18" t="str">
        <f>IF($C74=""," ",[1]!i_pq_pctchange($C74,K$6,$O$1))</f>
        <v xml:space="preserve"> </v>
      </c>
      <c r="L74" s="18" t="str">
        <f>IF($C74=""," ",[1]!i_pq_pctchange($C74,L$6,$O$1))</f>
        <v xml:space="preserve"> </v>
      </c>
      <c r="M74" s="18" t="str">
        <f>IF(C74=""," ",[1]!s_wq_pctchange($C74,$O$1))</f>
        <v xml:space="preserve"> </v>
      </c>
      <c r="N74" s="18" t="str">
        <f>IF(C74=""," ",[1]!s_mq_pctchange($C74,$O$1))</f>
        <v xml:space="preserve"> </v>
      </c>
      <c r="O74" s="18" t="str">
        <f>IF(C74=""," ",[1]!s_yq_pctchange($C74,$O$1))</f>
        <v xml:space="preserve"> </v>
      </c>
      <c r="P74" s="24"/>
      <c r="Q74" s="9"/>
    </row>
    <row r="75" spans="1:17" ht="17.25" x14ac:dyDescent="0.2">
      <c r="A75" s="9"/>
      <c r="C75" s="17" t="str">
        <f>IF(指数列表!B72="","",指数列表!B72)</f>
        <v/>
      </c>
      <c r="D75" s="33" t="str">
        <f>IF(C75="","",[1]!s_info_name(C75))</f>
        <v/>
      </c>
      <c r="E75" s="36" t="str">
        <f>IF(C75="","",[1]!s_dq_close(C75,$O$1))</f>
        <v/>
      </c>
      <c r="F75" s="36" t="str">
        <f>IF(C75="","",[1]!s_dq_volume($C75,$O$1))</f>
        <v/>
      </c>
      <c r="G75" s="36" t="str">
        <f>IF(C75="","",[1]!s_dq_oi($C75,$O$1))</f>
        <v/>
      </c>
      <c r="H75" s="18" t="str">
        <f>IF($C75=""," ",[1]!i_pq_pctchange($C75,H$6,$O$1))</f>
        <v xml:space="preserve"> </v>
      </c>
      <c r="I75" s="18" t="str">
        <f>IF($C75=""," ",[1]!i_pq_pctchange($C75,I$6,$O$1))</f>
        <v xml:space="preserve"> </v>
      </c>
      <c r="J75" s="18" t="str">
        <f>IF($C75=""," ",[1]!i_pq_pctchange($C75,J$6,$O$1))</f>
        <v xml:space="preserve"> </v>
      </c>
      <c r="K75" s="18" t="str">
        <f>IF($C75=""," ",[1]!i_pq_pctchange($C75,K$6,$O$1))</f>
        <v xml:space="preserve"> </v>
      </c>
      <c r="L75" s="18" t="str">
        <f>IF($C75=""," ",[1]!i_pq_pctchange($C75,L$6,$O$1))</f>
        <v xml:space="preserve"> </v>
      </c>
      <c r="M75" s="18" t="str">
        <f>IF(C75=""," ",[1]!s_wq_pctchange($C75,$O$1))</f>
        <v xml:space="preserve"> </v>
      </c>
      <c r="N75" s="18" t="str">
        <f>IF(C75=""," ",[1]!s_mq_pctchange($C75,$O$1))</f>
        <v xml:space="preserve"> </v>
      </c>
      <c r="O75" s="18" t="str">
        <f>IF(C75=""," ",[1]!s_yq_pctchange($C75,$O$1))</f>
        <v xml:space="preserve"> </v>
      </c>
      <c r="P75" s="24"/>
      <c r="Q75" s="9"/>
    </row>
    <row r="76" spans="1:17" ht="17.25" x14ac:dyDescent="0.2">
      <c r="A76" s="9"/>
      <c r="C76" s="21" t="str">
        <f>IF(指数列表!B73="","",指数列表!B73)</f>
        <v/>
      </c>
      <c r="D76" s="34" t="str">
        <f>IF(C76="","",[1]!s_info_name(C76))</f>
        <v/>
      </c>
      <c r="E76" s="35" t="str">
        <f>IF(C76="","",[1]!s_dq_close(C76,$O$1))</f>
        <v/>
      </c>
      <c r="F76" s="35" t="str">
        <f>IF(C76="","",[1]!s_dq_volume($C76,$O$1))</f>
        <v/>
      </c>
      <c r="G76" s="35" t="str">
        <f>IF(C76="","",[1]!s_dq_oi($C76,$O$1))</f>
        <v/>
      </c>
      <c r="H76" s="18" t="str">
        <f>IF($C76=""," ",[1]!i_pq_pctchange($C76,H$6,$O$1))</f>
        <v xml:space="preserve"> </v>
      </c>
      <c r="I76" s="18" t="str">
        <f>IF($C76=""," ",[1]!i_pq_pctchange($C76,I$6,$O$1))</f>
        <v xml:space="preserve"> </v>
      </c>
      <c r="J76" s="18" t="str">
        <f>IF($C76=""," ",[1]!i_pq_pctchange($C76,J$6,$O$1))</f>
        <v xml:space="preserve"> </v>
      </c>
      <c r="K76" s="18" t="str">
        <f>IF($C76=""," ",[1]!i_pq_pctchange($C76,K$6,$O$1))</f>
        <v xml:space="preserve"> </v>
      </c>
      <c r="L76" s="18" t="str">
        <f>IF($C76=""," ",[1]!i_pq_pctchange($C76,L$6,$O$1))</f>
        <v xml:space="preserve"> </v>
      </c>
      <c r="M76" s="18" t="str">
        <f>IF(C76=""," ",[1]!s_wq_pctchange($C76,$O$1))</f>
        <v xml:space="preserve"> </v>
      </c>
      <c r="N76" s="18" t="str">
        <f>IF(C76=""," ",[1]!s_mq_pctchange($C76,$O$1))</f>
        <v xml:space="preserve"> </v>
      </c>
      <c r="O76" s="18" t="str">
        <f>IF(C76=""," ",[1]!s_yq_pctchange($C76,$O$1))</f>
        <v xml:space="preserve"> </v>
      </c>
      <c r="P76" s="24"/>
      <c r="Q76" s="9"/>
    </row>
    <row r="77" spans="1:17" ht="17.25" x14ac:dyDescent="0.2">
      <c r="A77" s="9"/>
      <c r="C77" s="17" t="str">
        <f>IF(指数列表!B74="","",指数列表!B74)</f>
        <v/>
      </c>
      <c r="D77" s="33" t="str">
        <f>IF(C77="","",[1]!s_info_name(C77))</f>
        <v/>
      </c>
      <c r="E77" s="36" t="str">
        <f>IF(C77="","",[1]!s_dq_close(C77,$O$1))</f>
        <v/>
      </c>
      <c r="F77" s="36" t="str">
        <f>IF(C77="","",[1]!s_dq_volume($C77,$O$1))</f>
        <v/>
      </c>
      <c r="G77" s="36" t="str">
        <f>IF(C77="","",[1]!s_dq_oi($C77,$O$1))</f>
        <v/>
      </c>
      <c r="H77" s="18" t="str">
        <f>IF($C77=""," ",[1]!i_pq_pctchange($C77,H$6,$O$1))</f>
        <v xml:space="preserve"> </v>
      </c>
      <c r="I77" s="18" t="str">
        <f>IF($C77=""," ",[1]!i_pq_pctchange($C77,I$6,$O$1))</f>
        <v xml:space="preserve"> </v>
      </c>
      <c r="J77" s="18" t="str">
        <f>IF($C77=""," ",[1]!i_pq_pctchange($C77,J$6,$O$1))</f>
        <v xml:space="preserve"> </v>
      </c>
      <c r="K77" s="18" t="str">
        <f>IF($C77=""," ",[1]!i_pq_pctchange($C77,K$6,$O$1))</f>
        <v xml:space="preserve"> </v>
      </c>
      <c r="L77" s="18" t="str">
        <f>IF($C77=""," ",[1]!i_pq_pctchange($C77,L$6,$O$1))</f>
        <v xml:space="preserve"> </v>
      </c>
      <c r="M77" s="18" t="str">
        <f>IF(C77=""," ",[1]!s_wq_pctchange($C77,$O$1))</f>
        <v xml:space="preserve"> </v>
      </c>
      <c r="N77" s="18" t="str">
        <f>IF(C77=""," ",[1]!s_mq_pctchange($C77,$O$1))</f>
        <v xml:space="preserve"> </v>
      </c>
      <c r="O77" s="18" t="str">
        <f>IF(C77=""," ",[1]!s_yq_pctchange($C77,$O$1))</f>
        <v xml:space="preserve"> </v>
      </c>
      <c r="P77" s="24"/>
      <c r="Q77" s="9"/>
    </row>
    <row r="78" spans="1:17" ht="17.25" x14ac:dyDescent="0.2">
      <c r="A78" s="9"/>
      <c r="C78" s="21" t="str">
        <f>IF(指数列表!B75="","",指数列表!B75)</f>
        <v/>
      </c>
      <c r="D78" s="34" t="str">
        <f>IF(C78="","",[1]!s_info_name(C78))</f>
        <v/>
      </c>
      <c r="E78" s="35" t="str">
        <f>IF(C78="","",[1]!s_dq_close(C78,$O$1))</f>
        <v/>
      </c>
      <c r="F78" s="35" t="str">
        <f>IF(C78="","",[1]!s_dq_volume($C78,$O$1))</f>
        <v/>
      </c>
      <c r="G78" s="35" t="str">
        <f>IF(C78="","",[1]!s_dq_oi($C78,$O$1))</f>
        <v/>
      </c>
      <c r="H78" s="18" t="str">
        <f>IF($C78=""," ",[1]!i_pq_pctchange($C78,H$6,$O$1))</f>
        <v xml:space="preserve"> </v>
      </c>
      <c r="I78" s="18" t="str">
        <f>IF($C78=""," ",[1]!i_pq_pctchange($C78,I$6,$O$1))</f>
        <v xml:space="preserve"> </v>
      </c>
      <c r="J78" s="18" t="str">
        <f>IF($C78=""," ",[1]!i_pq_pctchange($C78,J$6,$O$1))</f>
        <v xml:space="preserve"> </v>
      </c>
      <c r="K78" s="18" t="str">
        <f>IF($C78=""," ",[1]!i_pq_pctchange($C78,K$6,$O$1))</f>
        <v xml:space="preserve"> </v>
      </c>
      <c r="L78" s="18" t="str">
        <f>IF($C78=""," ",[1]!i_pq_pctchange($C78,L$6,$O$1))</f>
        <v xml:space="preserve"> </v>
      </c>
      <c r="M78" s="18" t="str">
        <f>IF(C78=""," ",[1]!s_wq_pctchange($C78,$O$1))</f>
        <v xml:space="preserve"> </v>
      </c>
      <c r="N78" s="18" t="str">
        <f>IF(C78=""," ",[1]!s_mq_pctchange($C78,$O$1))</f>
        <v xml:space="preserve"> </v>
      </c>
      <c r="O78" s="18" t="str">
        <f>IF(C78=""," ",[1]!s_yq_pctchange($C78,$O$1))</f>
        <v xml:space="preserve"> </v>
      </c>
      <c r="P78" s="24"/>
      <c r="Q78" s="9"/>
    </row>
    <row r="79" spans="1:17" ht="17.25" x14ac:dyDescent="0.2">
      <c r="A79" s="9"/>
      <c r="C79" s="17" t="str">
        <f>IF(指数列表!B76="","",指数列表!B76)</f>
        <v/>
      </c>
      <c r="D79" s="33" t="str">
        <f>IF(C79="","",[1]!s_info_name(C79))</f>
        <v/>
      </c>
      <c r="E79" s="36" t="str">
        <f>IF(C79="","",[1]!s_dq_close(C79,$O$1))</f>
        <v/>
      </c>
      <c r="F79" s="36" t="str">
        <f>IF(C79="","",[1]!s_dq_volume($C79,$O$1))</f>
        <v/>
      </c>
      <c r="G79" s="36" t="str">
        <f>IF(C79="","",[1]!s_dq_oi($C79,$O$1))</f>
        <v/>
      </c>
      <c r="H79" s="18" t="str">
        <f>IF($C79=""," ",[1]!i_pq_pctchange($C79,H$6,$O$1))</f>
        <v xml:space="preserve"> </v>
      </c>
      <c r="I79" s="18" t="str">
        <f>IF($C79=""," ",[1]!i_pq_pctchange($C79,I$6,$O$1))</f>
        <v xml:space="preserve"> </v>
      </c>
      <c r="J79" s="18" t="str">
        <f>IF($C79=""," ",[1]!i_pq_pctchange($C79,J$6,$O$1))</f>
        <v xml:space="preserve"> </v>
      </c>
      <c r="K79" s="18" t="str">
        <f>IF($C79=""," ",[1]!i_pq_pctchange($C79,K$6,$O$1))</f>
        <v xml:space="preserve"> </v>
      </c>
      <c r="L79" s="18" t="str">
        <f>IF($C79=""," ",[1]!i_pq_pctchange($C79,L$6,$O$1))</f>
        <v xml:space="preserve"> </v>
      </c>
      <c r="M79" s="18" t="str">
        <f>IF(C79=""," ",[1]!s_wq_pctchange($C79,$O$1))</f>
        <v xml:space="preserve"> </v>
      </c>
      <c r="N79" s="18" t="str">
        <f>IF(C79=""," ",[1]!s_mq_pctchange($C79,$O$1))</f>
        <v xml:space="preserve"> </v>
      </c>
      <c r="O79" s="18" t="str">
        <f>IF(C79=""," ",[1]!s_yq_pctchange($C79,$O$1))</f>
        <v xml:space="preserve"> </v>
      </c>
      <c r="P79" s="24"/>
      <c r="Q79" s="9"/>
    </row>
    <row r="80" spans="1:17" ht="17.25" x14ac:dyDescent="0.2">
      <c r="A80" s="9"/>
      <c r="C80" s="21" t="str">
        <f>IF(指数列表!B77="","",指数列表!B77)</f>
        <v/>
      </c>
      <c r="D80" s="34" t="str">
        <f>IF(C80="","",[1]!s_info_name(C80))</f>
        <v/>
      </c>
      <c r="E80" s="35" t="str">
        <f>IF(C80="","",[1]!s_dq_close(C80,$O$1))</f>
        <v/>
      </c>
      <c r="F80" s="35" t="str">
        <f>IF(C80="","",[1]!s_dq_volume($C80,$O$1))</f>
        <v/>
      </c>
      <c r="G80" s="35" t="str">
        <f>IF(C80="","",[1]!s_dq_oi($C80,$O$1))</f>
        <v/>
      </c>
      <c r="H80" s="18" t="str">
        <f>IF($C80=""," ",[1]!i_pq_pctchange($C80,H$6,$O$1))</f>
        <v xml:space="preserve"> </v>
      </c>
      <c r="I80" s="18" t="str">
        <f>IF($C80=""," ",[1]!i_pq_pctchange($C80,I$6,$O$1))</f>
        <v xml:space="preserve"> </v>
      </c>
      <c r="J80" s="18" t="str">
        <f>IF($C80=""," ",[1]!i_pq_pctchange($C80,J$6,$O$1))</f>
        <v xml:space="preserve"> </v>
      </c>
      <c r="K80" s="18" t="str">
        <f>IF($C80=""," ",[1]!i_pq_pctchange($C80,K$6,$O$1))</f>
        <v xml:space="preserve"> </v>
      </c>
      <c r="L80" s="18" t="str">
        <f>IF($C80=""," ",[1]!i_pq_pctchange($C80,L$6,$O$1))</f>
        <v xml:space="preserve"> </v>
      </c>
      <c r="M80" s="18" t="str">
        <f>IF(C80=""," ",[1]!s_wq_pctchange($C80,$O$1))</f>
        <v xml:space="preserve"> </v>
      </c>
      <c r="N80" s="18" t="str">
        <f>IF(C80=""," ",[1]!s_mq_pctchange($C80,$O$1))</f>
        <v xml:space="preserve"> </v>
      </c>
      <c r="O80" s="18" t="str">
        <f>IF(C80=""," ",[1]!s_yq_pctchange($C80,$O$1))</f>
        <v xml:space="preserve"> </v>
      </c>
      <c r="P80" s="24"/>
      <c r="Q80" s="9"/>
    </row>
    <row r="81" spans="1:17" ht="17.25" x14ac:dyDescent="0.2">
      <c r="A81" s="9"/>
      <c r="C81" s="17" t="str">
        <f>IF(指数列表!B78="","",指数列表!B78)</f>
        <v/>
      </c>
      <c r="D81" s="33" t="str">
        <f>IF(C81="","",[1]!s_info_name(C81))</f>
        <v/>
      </c>
      <c r="E81" s="36" t="str">
        <f>IF(C81="","",[1]!s_dq_close(C81,$O$1))</f>
        <v/>
      </c>
      <c r="F81" s="36" t="str">
        <f>IF(C81="","",[1]!s_dq_volume($C81,$O$1))</f>
        <v/>
      </c>
      <c r="G81" s="36" t="str">
        <f>IF(C81="","",[1]!s_dq_oi($C81,$O$1))</f>
        <v/>
      </c>
      <c r="H81" s="18" t="str">
        <f>IF($C81=""," ",[1]!i_pq_pctchange($C81,H$6,$O$1))</f>
        <v xml:space="preserve"> </v>
      </c>
      <c r="I81" s="18" t="str">
        <f>IF($C81=""," ",[1]!i_pq_pctchange($C81,I$6,$O$1))</f>
        <v xml:space="preserve"> </v>
      </c>
      <c r="J81" s="18" t="str">
        <f>IF($C81=""," ",[1]!i_pq_pctchange($C81,J$6,$O$1))</f>
        <v xml:space="preserve"> </v>
      </c>
      <c r="K81" s="18" t="str">
        <f>IF($C81=""," ",[1]!i_pq_pctchange($C81,K$6,$O$1))</f>
        <v xml:space="preserve"> </v>
      </c>
      <c r="L81" s="18" t="str">
        <f>IF($C81=""," ",[1]!i_pq_pctchange($C81,L$6,$O$1))</f>
        <v xml:space="preserve"> </v>
      </c>
      <c r="M81" s="18" t="str">
        <f>IF(C81=""," ",[1]!s_wq_pctchange($C81,$O$1))</f>
        <v xml:space="preserve"> </v>
      </c>
      <c r="N81" s="18" t="str">
        <f>IF(C81=""," ",[1]!s_mq_pctchange($C81,$O$1))</f>
        <v xml:space="preserve"> </v>
      </c>
      <c r="O81" s="18" t="str">
        <f>IF(C81=""," ",[1]!s_yq_pctchange($C81,$O$1))</f>
        <v xml:space="preserve"> </v>
      </c>
      <c r="P81" s="24"/>
      <c r="Q81" s="9"/>
    </row>
    <row r="82" spans="1:17" ht="17.25" x14ac:dyDescent="0.2">
      <c r="A82" s="9"/>
      <c r="C82" s="21" t="str">
        <f>IF(指数列表!B79="","",指数列表!B79)</f>
        <v/>
      </c>
      <c r="D82" s="34" t="str">
        <f>IF(C82="","",[1]!s_info_name(C82))</f>
        <v/>
      </c>
      <c r="E82" s="35" t="str">
        <f>IF(C82="","",[1]!s_dq_close(C82,$O$1))</f>
        <v/>
      </c>
      <c r="F82" s="35" t="str">
        <f>IF(C82="","",[1]!s_dq_volume($C82,$O$1))</f>
        <v/>
      </c>
      <c r="G82" s="35" t="str">
        <f>IF(C82="","",[1]!s_dq_oi($C82,$O$1))</f>
        <v/>
      </c>
      <c r="H82" s="18" t="str">
        <f>IF($C82=""," ",[1]!i_pq_pctchange($C82,H$6,$O$1))</f>
        <v xml:space="preserve"> </v>
      </c>
      <c r="I82" s="18" t="str">
        <f>IF($C82=""," ",[1]!i_pq_pctchange($C82,I$6,$O$1))</f>
        <v xml:space="preserve"> </v>
      </c>
      <c r="J82" s="18" t="str">
        <f>IF($C82=""," ",[1]!i_pq_pctchange($C82,J$6,$O$1))</f>
        <v xml:space="preserve"> </v>
      </c>
      <c r="K82" s="18" t="str">
        <f>IF($C82=""," ",[1]!i_pq_pctchange($C82,K$6,$O$1))</f>
        <v xml:space="preserve"> </v>
      </c>
      <c r="L82" s="18" t="str">
        <f>IF($C82=""," ",[1]!i_pq_pctchange($C82,L$6,$O$1))</f>
        <v xml:space="preserve"> </v>
      </c>
      <c r="M82" s="18" t="str">
        <f>IF(C82=""," ",[1]!s_wq_pctchange($C82,$O$1))</f>
        <v xml:space="preserve"> </v>
      </c>
      <c r="N82" s="18" t="str">
        <f>IF(C82=""," ",[1]!s_mq_pctchange($C82,$O$1))</f>
        <v xml:space="preserve"> </v>
      </c>
      <c r="O82" s="18" t="str">
        <f>IF(C82=""," ",[1]!s_yq_pctchange($C82,$O$1))</f>
        <v xml:space="preserve"> </v>
      </c>
      <c r="P82" s="24"/>
      <c r="Q82" s="9"/>
    </row>
    <row r="83" spans="1:17" ht="17.25" x14ac:dyDescent="0.2">
      <c r="A83" s="9"/>
      <c r="C83" s="17" t="str">
        <f>IF(指数列表!B80="","",指数列表!B80)</f>
        <v/>
      </c>
      <c r="D83" s="33" t="str">
        <f>IF(C83="","",[1]!s_info_name(C83))</f>
        <v/>
      </c>
      <c r="E83" s="36" t="str">
        <f>IF(C83="","",[1]!s_dq_close(C83,$O$1))</f>
        <v/>
      </c>
      <c r="F83" s="36" t="str">
        <f>IF(C83="","",[1]!s_dq_volume($C83,$O$1))</f>
        <v/>
      </c>
      <c r="G83" s="36" t="str">
        <f>IF(C83="","",[1]!s_dq_oi($C83,$O$1))</f>
        <v/>
      </c>
      <c r="H83" s="18" t="str">
        <f>IF($C83=""," ",[1]!i_pq_pctchange($C83,H$6,$O$1))</f>
        <v xml:space="preserve"> </v>
      </c>
      <c r="I83" s="18" t="str">
        <f>IF($C83=""," ",[1]!i_pq_pctchange($C83,I$6,$O$1))</f>
        <v xml:space="preserve"> </v>
      </c>
      <c r="J83" s="18" t="str">
        <f>IF($C83=""," ",[1]!i_pq_pctchange($C83,J$6,$O$1))</f>
        <v xml:space="preserve"> </v>
      </c>
      <c r="K83" s="18" t="str">
        <f>IF($C83=""," ",[1]!i_pq_pctchange($C83,K$6,$O$1))</f>
        <v xml:space="preserve"> </v>
      </c>
      <c r="L83" s="18" t="str">
        <f>IF($C83=""," ",[1]!i_pq_pctchange($C83,L$6,$O$1))</f>
        <v xml:space="preserve"> </v>
      </c>
      <c r="M83" s="18" t="str">
        <f>IF(C83=""," ",[1]!s_wq_pctchange($C83,$O$1))</f>
        <v xml:space="preserve"> </v>
      </c>
      <c r="N83" s="18" t="str">
        <f>IF(C83=""," ",[1]!s_mq_pctchange($C83,$O$1))</f>
        <v xml:space="preserve"> </v>
      </c>
      <c r="O83" s="18" t="str">
        <f>IF(C83=""," ",[1]!s_yq_pctchange($C83,$O$1))</f>
        <v xml:space="preserve"> </v>
      </c>
      <c r="P83" s="24"/>
      <c r="Q83" s="9"/>
    </row>
    <row r="84" spans="1:17" ht="17.25" x14ac:dyDescent="0.2">
      <c r="A84" s="9"/>
      <c r="C84" s="21" t="str">
        <f>IF(指数列表!B81="","",指数列表!B81)</f>
        <v/>
      </c>
      <c r="D84" s="34" t="str">
        <f>IF(C84="","",[1]!s_info_name(C84))</f>
        <v/>
      </c>
      <c r="E84" s="35" t="str">
        <f>IF(C84="","",[1]!s_dq_close(C84,$O$1))</f>
        <v/>
      </c>
      <c r="F84" s="35" t="str">
        <f>IF(C84="","",[1]!s_dq_volume($C84,$O$1))</f>
        <v/>
      </c>
      <c r="G84" s="35" t="str">
        <f>IF(C84="","",[1]!s_dq_oi($C84,$O$1))</f>
        <v/>
      </c>
      <c r="H84" s="18" t="str">
        <f>IF($C84=""," ",[1]!i_pq_pctchange($C84,H$6,$O$1))</f>
        <v xml:space="preserve"> </v>
      </c>
      <c r="I84" s="18" t="str">
        <f>IF($C84=""," ",[1]!i_pq_pctchange($C84,I$6,$O$1))</f>
        <v xml:space="preserve"> </v>
      </c>
      <c r="J84" s="18" t="str">
        <f>IF($C84=""," ",[1]!i_pq_pctchange($C84,J$6,$O$1))</f>
        <v xml:space="preserve"> </v>
      </c>
      <c r="K84" s="18" t="str">
        <f>IF($C84=""," ",[1]!i_pq_pctchange($C84,K$6,$O$1))</f>
        <v xml:space="preserve"> </v>
      </c>
      <c r="L84" s="18" t="str">
        <f>IF($C84=""," ",[1]!i_pq_pctchange($C84,L$6,$O$1))</f>
        <v xml:space="preserve"> </v>
      </c>
      <c r="M84" s="18" t="str">
        <f>IF(C84=""," ",[1]!s_wq_pctchange($C84,$O$1))</f>
        <v xml:space="preserve"> </v>
      </c>
      <c r="N84" s="18" t="str">
        <f>IF(C84=""," ",[1]!s_mq_pctchange($C84,$O$1))</f>
        <v xml:space="preserve"> </v>
      </c>
      <c r="O84" s="18" t="str">
        <f>IF(C84=""," ",[1]!s_yq_pctchange($C84,$O$1))</f>
        <v xml:space="preserve"> </v>
      </c>
      <c r="P84" s="24"/>
      <c r="Q84" s="9"/>
    </row>
    <row r="85" spans="1:17" ht="17.25" x14ac:dyDescent="0.2">
      <c r="A85" s="9"/>
      <c r="C85" s="17" t="str">
        <f>IF(指数列表!B82="","",指数列表!B82)</f>
        <v/>
      </c>
      <c r="D85" s="33" t="str">
        <f>IF(C85="","",[1]!s_info_name(C85))</f>
        <v/>
      </c>
      <c r="E85" s="36" t="str">
        <f>IF(C85="","",[1]!s_dq_close(C85,$O$1))</f>
        <v/>
      </c>
      <c r="F85" s="36" t="str">
        <f>IF(C85="","",[1]!s_dq_volume($C85,$O$1))</f>
        <v/>
      </c>
      <c r="G85" s="36" t="str">
        <f>IF(C85="","",[1]!s_dq_oi($C85,$O$1))</f>
        <v/>
      </c>
      <c r="H85" s="18" t="str">
        <f>IF($C85=""," ",[1]!i_pq_pctchange($C85,H$6,$O$1))</f>
        <v xml:space="preserve"> </v>
      </c>
      <c r="I85" s="18" t="str">
        <f>IF($C85=""," ",[1]!i_pq_pctchange($C85,I$6,$O$1))</f>
        <v xml:space="preserve"> </v>
      </c>
      <c r="J85" s="18" t="str">
        <f>IF($C85=""," ",[1]!i_pq_pctchange($C85,J$6,$O$1))</f>
        <v xml:space="preserve"> </v>
      </c>
      <c r="K85" s="18" t="str">
        <f>IF($C85=""," ",[1]!i_pq_pctchange($C85,K$6,$O$1))</f>
        <v xml:space="preserve"> </v>
      </c>
      <c r="L85" s="18" t="str">
        <f>IF($C85=""," ",[1]!i_pq_pctchange($C85,L$6,$O$1))</f>
        <v xml:space="preserve"> </v>
      </c>
      <c r="M85" s="18" t="str">
        <f>IF(C85=""," ",[1]!s_wq_pctchange($C85,$O$1))</f>
        <v xml:space="preserve"> </v>
      </c>
      <c r="N85" s="18" t="str">
        <f>IF(C85=""," ",[1]!s_mq_pctchange($C85,$O$1))</f>
        <v xml:space="preserve"> </v>
      </c>
      <c r="O85" s="18" t="str">
        <f>IF(C85=""," ",[1]!s_yq_pctchange($C85,$O$1))</f>
        <v xml:space="preserve"> </v>
      </c>
      <c r="P85" s="24"/>
      <c r="Q85" s="9"/>
    </row>
    <row r="86" spans="1:17" ht="17.25" x14ac:dyDescent="0.2">
      <c r="A86" s="9"/>
      <c r="C86" s="21" t="str">
        <f>IF(指数列表!B83="","",指数列表!B83)</f>
        <v/>
      </c>
      <c r="D86" s="34" t="str">
        <f>IF(C86="","",[1]!s_info_name(C86))</f>
        <v/>
      </c>
      <c r="E86" s="35" t="str">
        <f>IF(C86="","",[1]!s_dq_close(C86,$O$1))</f>
        <v/>
      </c>
      <c r="F86" s="35" t="str">
        <f>IF(C86="","",[1]!s_dq_volume($C86,$O$1))</f>
        <v/>
      </c>
      <c r="G86" s="35" t="str">
        <f>IF(C86="","",[1]!s_dq_oi($C86,$O$1))</f>
        <v/>
      </c>
      <c r="H86" s="18" t="str">
        <f>IF($C86=""," ",[1]!i_pq_pctchange($C86,H$6,$O$1))</f>
        <v xml:space="preserve"> </v>
      </c>
      <c r="I86" s="18" t="str">
        <f>IF($C86=""," ",[1]!i_pq_pctchange($C86,I$6,$O$1))</f>
        <v xml:space="preserve"> </v>
      </c>
      <c r="J86" s="18" t="str">
        <f>IF($C86=""," ",[1]!i_pq_pctchange($C86,J$6,$O$1))</f>
        <v xml:space="preserve"> </v>
      </c>
      <c r="K86" s="18" t="str">
        <f>IF($C86=""," ",[1]!i_pq_pctchange($C86,K$6,$O$1))</f>
        <v xml:space="preserve"> </v>
      </c>
      <c r="L86" s="18" t="str">
        <f>IF($C86=""," ",[1]!i_pq_pctchange($C86,L$6,$O$1))</f>
        <v xml:space="preserve"> </v>
      </c>
      <c r="M86" s="18" t="str">
        <f>IF(C86=""," ",[1]!s_wq_pctchange($C86,$O$1))</f>
        <v xml:space="preserve"> </v>
      </c>
      <c r="N86" s="18" t="str">
        <f>IF(C86=""," ",[1]!s_mq_pctchange($C86,$O$1))</f>
        <v xml:space="preserve"> </v>
      </c>
      <c r="O86" s="18" t="str">
        <f>IF(C86=""," ",[1]!s_yq_pctchange($C86,$O$1))</f>
        <v xml:space="preserve"> </v>
      </c>
      <c r="P86" s="24"/>
      <c r="Q86" s="9"/>
    </row>
    <row r="87" spans="1:17" ht="17.25" x14ac:dyDescent="0.2">
      <c r="A87" s="9"/>
      <c r="C87" s="17" t="str">
        <f>IF(指数列表!B84="","",指数列表!B84)</f>
        <v/>
      </c>
      <c r="D87" s="33" t="str">
        <f>IF(C87="","",[1]!s_info_name(C87))</f>
        <v/>
      </c>
      <c r="E87" s="36" t="str">
        <f>IF(C87="","",[1]!s_dq_close(C87,$O$1))</f>
        <v/>
      </c>
      <c r="F87" s="36" t="str">
        <f>IF(C87="","",[1]!s_dq_volume($C87,$O$1))</f>
        <v/>
      </c>
      <c r="G87" s="36" t="str">
        <f>IF(C87="","",[1]!s_dq_oi($C87,$O$1))</f>
        <v/>
      </c>
      <c r="H87" s="18" t="str">
        <f>IF($C87=""," ",[1]!i_pq_pctchange($C87,H$6,$O$1))</f>
        <v xml:space="preserve"> </v>
      </c>
      <c r="I87" s="18" t="str">
        <f>IF($C87=""," ",[1]!i_pq_pctchange($C87,I$6,$O$1))</f>
        <v xml:space="preserve"> </v>
      </c>
      <c r="J87" s="18" t="str">
        <f>IF($C87=""," ",[1]!i_pq_pctchange($C87,J$6,$O$1))</f>
        <v xml:space="preserve"> </v>
      </c>
      <c r="K87" s="18" t="str">
        <f>IF($C87=""," ",[1]!i_pq_pctchange($C87,K$6,$O$1))</f>
        <v xml:space="preserve"> </v>
      </c>
      <c r="L87" s="18" t="str">
        <f>IF($C87=""," ",[1]!i_pq_pctchange($C87,L$6,$O$1))</f>
        <v xml:space="preserve"> </v>
      </c>
      <c r="M87" s="18" t="str">
        <f>IF(C87=""," ",[1]!s_wq_pctchange($C87,$O$1))</f>
        <v xml:space="preserve"> </v>
      </c>
      <c r="N87" s="18" t="str">
        <f>IF(C87=""," ",[1]!s_mq_pctchange($C87,$O$1))</f>
        <v xml:space="preserve"> </v>
      </c>
      <c r="O87" s="18" t="str">
        <f>IF(C87=""," ",[1]!s_yq_pctchange($C87,$O$1))</f>
        <v xml:space="preserve"> </v>
      </c>
      <c r="P87" s="24"/>
      <c r="Q87" s="9"/>
    </row>
    <row r="88" spans="1:17" ht="17.25" x14ac:dyDescent="0.2">
      <c r="A88" s="9"/>
      <c r="C88" s="21" t="str">
        <f>IF(指数列表!B85="","",指数列表!B85)</f>
        <v/>
      </c>
      <c r="D88" s="34" t="str">
        <f>IF(C88="","",[1]!s_info_name(C88))</f>
        <v/>
      </c>
      <c r="E88" s="35" t="str">
        <f>IF(C88="","",[1]!s_dq_close(C88,$O$1))</f>
        <v/>
      </c>
      <c r="F88" s="35" t="str">
        <f>IF(C88="","",[1]!s_dq_volume($C88,$O$1))</f>
        <v/>
      </c>
      <c r="G88" s="35" t="str">
        <f>IF(C88="","",[1]!s_dq_oi($C88,$O$1))</f>
        <v/>
      </c>
      <c r="H88" s="18" t="str">
        <f>IF($C88=""," ",[1]!i_pq_pctchange($C88,H$6,$O$1))</f>
        <v xml:space="preserve"> </v>
      </c>
      <c r="I88" s="18" t="str">
        <f>IF($C88=""," ",[1]!i_pq_pctchange($C88,I$6,$O$1))</f>
        <v xml:space="preserve"> </v>
      </c>
      <c r="J88" s="18" t="str">
        <f>IF($C88=""," ",[1]!i_pq_pctchange($C88,J$6,$O$1))</f>
        <v xml:space="preserve"> </v>
      </c>
      <c r="K88" s="18" t="str">
        <f>IF($C88=""," ",[1]!i_pq_pctchange($C88,K$6,$O$1))</f>
        <v xml:space="preserve"> </v>
      </c>
      <c r="L88" s="18" t="str">
        <f>IF($C88=""," ",[1]!i_pq_pctchange($C88,L$6,$O$1))</f>
        <v xml:space="preserve"> </v>
      </c>
      <c r="M88" s="18" t="str">
        <f>IF(C88=""," ",[1]!s_wq_pctchange($C88,$O$1))</f>
        <v xml:space="preserve"> </v>
      </c>
      <c r="N88" s="18" t="str">
        <f>IF(C88=""," ",[1]!s_mq_pctchange($C88,$O$1))</f>
        <v xml:space="preserve"> </v>
      </c>
      <c r="O88" s="18" t="str">
        <f>IF(C88=""," ",[1]!s_yq_pctchange($C88,$O$1))</f>
        <v xml:space="preserve"> </v>
      </c>
      <c r="P88" s="24"/>
      <c r="Q88" s="9"/>
    </row>
    <row r="89" spans="1:17" ht="17.25" x14ac:dyDescent="0.2">
      <c r="A89" s="9"/>
      <c r="C89" s="17" t="str">
        <f>IF(指数列表!B86="","",指数列表!B86)</f>
        <v/>
      </c>
      <c r="D89" s="33" t="str">
        <f>IF(C89="","",[1]!s_info_name(C89))</f>
        <v/>
      </c>
      <c r="E89" s="36" t="str">
        <f>IF(C89="","",[1]!s_dq_close(C89,$O$1))</f>
        <v/>
      </c>
      <c r="F89" s="36" t="str">
        <f>IF(C89="","",[1]!s_dq_volume($C89,$O$1))</f>
        <v/>
      </c>
      <c r="G89" s="36" t="str">
        <f>IF(C89="","",[1]!s_dq_oi($C89,$O$1))</f>
        <v/>
      </c>
      <c r="H89" s="18" t="str">
        <f>IF($C89=""," ",[1]!i_pq_pctchange($C89,H$6,$O$1))</f>
        <v xml:space="preserve"> </v>
      </c>
      <c r="I89" s="18" t="str">
        <f>IF($C89=""," ",[1]!i_pq_pctchange($C89,I$6,$O$1))</f>
        <v xml:space="preserve"> </v>
      </c>
      <c r="J89" s="18" t="str">
        <f>IF($C89=""," ",[1]!i_pq_pctchange($C89,J$6,$O$1))</f>
        <v xml:space="preserve"> </v>
      </c>
      <c r="K89" s="18" t="str">
        <f>IF($C89=""," ",[1]!i_pq_pctchange($C89,K$6,$O$1))</f>
        <v xml:space="preserve"> </v>
      </c>
      <c r="L89" s="18" t="str">
        <f>IF($C89=""," ",[1]!i_pq_pctchange($C89,L$6,$O$1))</f>
        <v xml:space="preserve"> </v>
      </c>
      <c r="M89" s="18" t="str">
        <f>IF(C89=""," ",[1]!s_wq_pctchange($C89,$O$1))</f>
        <v xml:space="preserve"> </v>
      </c>
      <c r="N89" s="18" t="str">
        <f>IF(C89=""," ",[1]!s_mq_pctchange($C89,$O$1))</f>
        <v xml:space="preserve"> </v>
      </c>
      <c r="O89" s="18" t="str">
        <f>IF(C89=""," ",[1]!s_yq_pctchange($C89,$O$1))</f>
        <v xml:space="preserve"> </v>
      </c>
      <c r="P89" s="24"/>
      <c r="Q89" s="9"/>
    </row>
    <row r="90" spans="1:17" ht="17.25" x14ac:dyDescent="0.2">
      <c r="A90" s="9"/>
      <c r="C90" s="21" t="str">
        <f>IF(指数列表!B87="","",指数列表!B87)</f>
        <v/>
      </c>
      <c r="D90" s="34" t="str">
        <f>IF(C90="","",[1]!s_info_name(C90))</f>
        <v/>
      </c>
      <c r="E90" s="35" t="str">
        <f>IF(C90="","",[1]!s_dq_close(C90,$O$1))</f>
        <v/>
      </c>
      <c r="F90" s="35" t="str">
        <f>IF(C90="","",[1]!s_dq_volume($C90,$O$1))</f>
        <v/>
      </c>
      <c r="G90" s="35" t="str">
        <f>IF(C90="","",[1]!s_dq_oi($C90,$O$1))</f>
        <v/>
      </c>
      <c r="H90" s="18" t="str">
        <f>IF($C90=""," ",[1]!i_pq_pctchange($C90,H$6,$O$1))</f>
        <v xml:space="preserve"> </v>
      </c>
      <c r="I90" s="18" t="str">
        <f>IF($C90=""," ",[1]!i_pq_pctchange($C90,I$6,$O$1))</f>
        <v xml:space="preserve"> </v>
      </c>
      <c r="J90" s="18" t="str">
        <f>IF($C90=""," ",[1]!i_pq_pctchange($C90,J$6,$O$1))</f>
        <v xml:space="preserve"> </v>
      </c>
      <c r="K90" s="18" t="str">
        <f>IF($C90=""," ",[1]!i_pq_pctchange($C90,K$6,$O$1))</f>
        <v xml:space="preserve"> </v>
      </c>
      <c r="L90" s="18" t="str">
        <f>IF($C90=""," ",[1]!i_pq_pctchange($C90,L$6,$O$1))</f>
        <v xml:space="preserve"> </v>
      </c>
      <c r="M90" s="18" t="str">
        <f>IF(C90=""," ",[1]!s_wq_pctchange($C90,$O$1))</f>
        <v xml:space="preserve"> </v>
      </c>
      <c r="N90" s="18" t="str">
        <f>IF(C90=""," ",[1]!s_mq_pctchange($C90,$O$1))</f>
        <v xml:space="preserve"> </v>
      </c>
      <c r="O90" s="18" t="str">
        <f>IF(C90=""," ",[1]!s_yq_pctchange($C90,$O$1))</f>
        <v xml:space="preserve"> </v>
      </c>
      <c r="P90" s="24"/>
      <c r="Q90" s="9"/>
    </row>
    <row r="91" spans="1:17" ht="17.25" x14ac:dyDescent="0.2">
      <c r="A91" s="9"/>
      <c r="C91" s="17" t="str">
        <f>IF(指数列表!B88="","",指数列表!B88)</f>
        <v/>
      </c>
      <c r="D91" s="33" t="str">
        <f>IF(C91="","",[1]!s_info_name(C91))</f>
        <v/>
      </c>
      <c r="E91" s="36" t="str">
        <f>IF(C91="","",[1]!s_dq_close(C91,$O$1))</f>
        <v/>
      </c>
      <c r="F91" s="36" t="str">
        <f>IF(C91="","",[1]!s_dq_volume($C91,$O$1))</f>
        <v/>
      </c>
      <c r="G91" s="36" t="str">
        <f>IF(C91="","",[1]!s_dq_oi($C91,$O$1))</f>
        <v/>
      </c>
      <c r="H91" s="18" t="str">
        <f>IF($C91=""," ",[1]!i_pq_pctchange($C91,H$6,$O$1))</f>
        <v xml:space="preserve"> </v>
      </c>
      <c r="I91" s="18" t="str">
        <f>IF($C91=""," ",[1]!i_pq_pctchange($C91,I$6,$O$1))</f>
        <v xml:space="preserve"> </v>
      </c>
      <c r="J91" s="18" t="str">
        <f>IF($C91=""," ",[1]!i_pq_pctchange($C91,J$6,$O$1))</f>
        <v xml:space="preserve"> </v>
      </c>
      <c r="K91" s="18" t="str">
        <f>IF($C91=""," ",[1]!i_pq_pctchange($C91,K$6,$O$1))</f>
        <v xml:space="preserve"> </v>
      </c>
      <c r="L91" s="18" t="str">
        <f>IF($C91=""," ",[1]!i_pq_pctchange($C91,L$6,$O$1))</f>
        <v xml:space="preserve"> </v>
      </c>
      <c r="M91" s="18" t="str">
        <f>IF(C91=""," ",[1]!s_wq_pctchange($C91,$O$1))</f>
        <v xml:space="preserve"> </v>
      </c>
      <c r="N91" s="18" t="str">
        <f>IF(C91=""," ",[1]!s_mq_pctchange($C91,$O$1))</f>
        <v xml:space="preserve"> </v>
      </c>
      <c r="O91" s="18" t="str">
        <f>IF(C91=""," ",[1]!s_yq_pctchange($C91,$O$1))</f>
        <v xml:space="preserve"> </v>
      </c>
      <c r="P91" s="24"/>
      <c r="Q91" s="9"/>
    </row>
    <row r="92" spans="1:17" ht="17.25" x14ac:dyDescent="0.2">
      <c r="A92" s="9"/>
      <c r="C92" s="21" t="str">
        <f>IF(指数列表!B89="","",指数列表!B89)</f>
        <v/>
      </c>
      <c r="D92" s="34" t="str">
        <f>IF(C92="","",[1]!s_info_name(C92))</f>
        <v/>
      </c>
      <c r="E92" s="35" t="str">
        <f>IF(C92="","",[1]!s_dq_close(C92,$O$1))</f>
        <v/>
      </c>
      <c r="F92" s="35" t="str">
        <f>IF(C92="","",[1]!s_dq_volume($C92,$O$1))</f>
        <v/>
      </c>
      <c r="G92" s="35" t="str">
        <f>IF(C92="","",[1]!s_dq_oi($C92,$O$1))</f>
        <v/>
      </c>
      <c r="H92" s="18" t="str">
        <f>IF($C92=""," ",[1]!i_pq_pctchange($C92,H$6,$O$1))</f>
        <v xml:space="preserve"> </v>
      </c>
      <c r="I92" s="18" t="str">
        <f>IF($C92=""," ",[1]!i_pq_pctchange($C92,I$6,$O$1))</f>
        <v xml:space="preserve"> </v>
      </c>
      <c r="J92" s="18" t="str">
        <f>IF($C92=""," ",[1]!i_pq_pctchange($C92,J$6,$O$1))</f>
        <v xml:space="preserve"> </v>
      </c>
      <c r="K92" s="18" t="str">
        <f>IF($C92=""," ",[1]!i_pq_pctchange($C92,K$6,$O$1))</f>
        <v xml:space="preserve"> </v>
      </c>
      <c r="L92" s="18" t="str">
        <f>IF($C92=""," ",[1]!i_pq_pctchange($C92,L$6,$O$1))</f>
        <v xml:space="preserve"> </v>
      </c>
      <c r="M92" s="18" t="str">
        <f>IF(C92=""," ",[1]!s_wq_pctchange($C92,$O$1))</f>
        <v xml:space="preserve"> </v>
      </c>
      <c r="N92" s="18" t="str">
        <f>IF(C92=""," ",[1]!s_mq_pctchange($C92,$O$1))</f>
        <v xml:space="preserve"> </v>
      </c>
      <c r="O92" s="18" t="str">
        <f>IF(C92=""," ",[1]!s_yq_pctchange($C92,$O$1))</f>
        <v xml:space="preserve"> </v>
      </c>
      <c r="P92" s="24"/>
      <c r="Q92" s="9"/>
    </row>
    <row r="93" spans="1:17" ht="17.25" x14ac:dyDescent="0.2">
      <c r="A93" s="9"/>
      <c r="C93" s="17" t="str">
        <f>IF(指数列表!B90="","",指数列表!B90)</f>
        <v/>
      </c>
      <c r="D93" s="33" t="str">
        <f>IF(C93="","",[1]!s_info_name(C93))</f>
        <v/>
      </c>
      <c r="E93" s="36" t="str">
        <f>IF(C93="","",[1]!s_dq_close(C93,$O$1))</f>
        <v/>
      </c>
      <c r="F93" s="36" t="str">
        <f>IF(C93="","",[1]!s_dq_volume($C93,$O$1))</f>
        <v/>
      </c>
      <c r="G93" s="36" t="str">
        <f>IF(C93="","",[1]!s_dq_oi($C93,$O$1))</f>
        <v/>
      </c>
      <c r="H93" s="18" t="str">
        <f>IF($C93=""," ",[1]!i_pq_pctchange($C93,H$6,$O$1))</f>
        <v xml:space="preserve"> </v>
      </c>
      <c r="I93" s="18" t="str">
        <f>IF($C93=""," ",[1]!i_pq_pctchange($C93,I$6,$O$1))</f>
        <v xml:space="preserve"> </v>
      </c>
      <c r="J93" s="18" t="str">
        <f>IF($C93=""," ",[1]!i_pq_pctchange($C93,J$6,$O$1))</f>
        <v xml:space="preserve"> </v>
      </c>
      <c r="K93" s="18" t="str">
        <f>IF($C93=""," ",[1]!i_pq_pctchange($C93,K$6,$O$1))</f>
        <v xml:space="preserve"> </v>
      </c>
      <c r="L93" s="18" t="str">
        <f>IF($C93=""," ",[1]!i_pq_pctchange($C93,L$6,$O$1))</f>
        <v xml:space="preserve"> </v>
      </c>
      <c r="M93" s="18" t="str">
        <f>IF(C93=""," ",[1]!s_wq_pctchange($C93,$O$1))</f>
        <v xml:space="preserve"> </v>
      </c>
      <c r="N93" s="18" t="str">
        <f>IF(C93=""," ",[1]!s_mq_pctchange($C93,$O$1))</f>
        <v xml:space="preserve"> </v>
      </c>
      <c r="O93" s="18" t="str">
        <f>IF(C93=""," ",[1]!s_yq_pctchange($C93,$O$1))</f>
        <v xml:space="preserve"> </v>
      </c>
      <c r="P93" s="24"/>
      <c r="Q93" s="9"/>
    </row>
    <row r="94" spans="1:17" ht="17.25" x14ac:dyDescent="0.2">
      <c r="A94" s="9"/>
      <c r="C94" s="21" t="str">
        <f>IF(指数列表!B91="","",指数列表!B91)</f>
        <v/>
      </c>
      <c r="D94" s="34" t="str">
        <f>IF(C94="","",[1]!s_info_name(C94))</f>
        <v/>
      </c>
      <c r="E94" s="35" t="str">
        <f>IF(C94="","",[1]!s_dq_close(C94,$O$1))</f>
        <v/>
      </c>
      <c r="F94" s="35" t="str">
        <f>IF(C94="","",[1]!s_dq_volume($C94,$O$1))</f>
        <v/>
      </c>
      <c r="G94" s="35" t="str">
        <f>IF(C94="","",[1]!s_dq_oi($C94,$O$1))</f>
        <v/>
      </c>
      <c r="H94" s="18" t="str">
        <f>IF($C94=""," ",[1]!i_pq_pctchange($C94,H$6,$O$1))</f>
        <v xml:space="preserve"> </v>
      </c>
      <c r="I94" s="18" t="str">
        <f>IF($C94=""," ",[1]!i_pq_pctchange($C94,I$6,$O$1))</f>
        <v xml:space="preserve"> </v>
      </c>
      <c r="J94" s="18" t="str">
        <f>IF($C94=""," ",[1]!i_pq_pctchange($C94,J$6,$O$1))</f>
        <v xml:space="preserve"> </v>
      </c>
      <c r="K94" s="18" t="str">
        <f>IF($C94=""," ",[1]!i_pq_pctchange($C94,K$6,$O$1))</f>
        <v xml:space="preserve"> </v>
      </c>
      <c r="L94" s="18" t="str">
        <f>IF($C94=""," ",[1]!i_pq_pctchange($C94,L$6,$O$1))</f>
        <v xml:space="preserve"> </v>
      </c>
      <c r="M94" s="18" t="str">
        <f>IF(C94=""," ",[1]!s_wq_pctchange($C94,$O$1))</f>
        <v xml:space="preserve"> </v>
      </c>
      <c r="N94" s="18" t="str">
        <f>IF(C94=""," ",[1]!s_mq_pctchange($C94,$O$1))</f>
        <v xml:space="preserve"> </v>
      </c>
      <c r="O94" s="18" t="str">
        <f>IF(C94=""," ",[1]!s_yq_pctchange($C94,$O$1))</f>
        <v xml:space="preserve"> </v>
      </c>
      <c r="P94" s="24"/>
      <c r="Q94" s="9"/>
    </row>
    <row r="95" spans="1:17" ht="17.25" x14ac:dyDescent="0.2">
      <c r="A95" s="9"/>
      <c r="C95" s="17" t="str">
        <f>IF(指数列表!B92="","",指数列表!B92)</f>
        <v/>
      </c>
      <c r="D95" s="33" t="str">
        <f>IF(C95="","",[1]!s_info_name(C95))</f>
        <v/>
      </c>
      <c r="E95" s="36" t="str">
        <f>IF(C95="","",[1]!s_dq_close(C95,$O$1))</f>
        <v/>
      </c>
      <c r="F95" s="36" t="str">
        <f>IF(C95="","",[1]!s_dq_volume($C95,$O$1))</f>
        <v/>
      </c>
      <c r="G95" s="36" t="str">
        <f>IF(C95="","",[1]!s_dq_oi($C95,$O$1))</f>
        <v/>
      </c>
      <c r="H95" s="18" t="str">
        <f>IF($C95=""," ",[1]!i_pq_pctchange($C95,H$6,$O$1))</f>
        <v xml:space="preserve"> </v>
      </c>
      <c r="I95" s="18" t="str">
        <f>IF($C95=""," ",[1]!i_pq_pctchange($C95,I$6,$O$1))</f>
        <v xml:space="preserve"> </v>
      </c>
      <c r="J95" s="18" t="str">
        <f>IF($C95=""," ",[1]!i_pq_pctchange($C95,J$6,$O$1))</f>
        <v xml:space="preserve"> </v>
      </c>
      <c r="K95" s="18" t="str">
        <f>IF($C95=""," ",[1]!i_pq_pctchange($C95,K$6,$O$1))</f>
        <v xml:space="preserve"> </v>
      </c>
      <c r="L95" s="18" t="str">
        <f>IF($C95=""," ",[1]!i_pq_pctchange($C95,L$6,$O$1))</f>
        <v xml:space="preserve"> </v>
      </c>
      <c r="M95" s="18" t="str">
        <f>IF(C95=""," ",[1]!s_wq_pctchange($C95,$O$1))</f>
        <v xml:space="preserve"> </v>
      </c>
      <c r="N95" s="18" t="str">
        <f>IF(C95=""," ",[1]!s_mq_pctchange($C95,$O$1))</f>
        <v xml:space="preserve"> </v>
      </c>
      <c r="O95" s="18" t="str">
        <f>IF(C95=""," ",[1]!s_yq_pctchange($C95,$O$1))</f>
        <v xml:space="preserve"> </v>
      </c>
      <c r="P95" s="24"/>
      <c r="Q95" s="9"/>
    </row>
    <row r="96" spans="1:17" ht="17.25" x14ac:dyDescent="0.2">
      <c r="A96" s="9"/>
      <c r="C96" s="21" t="str">
        <f>IF(指数列表!B93="","",指数列表!B93)</f>
        <v/>
      </c>
      <c r="D96" s="34" t="str">
        <f>IF(C96="","",[1]!s_info_name(C96))</f>
        <v/>
      </c>
      <c r="E96" s="35" t="str">
        <f>IF(C96="","",[1]!s_dq_close(C96,$O$1))</f>
        <v/>
      </c>
      <c r="F96" s="35" t="str">
        <f>IF(C96="","",[1]!s_dq_volume($C96,$O$1))</f>
        <v/>
      </c>
      <c r="G96" s="35" t="str">
        <f>IF(C96="","",[1]!s_dq_oi($C96,$O$1))</f>
        <v/>
      </c>
      <c r="H96" s="18" t="str">
        <f>IF($C96=""," ",[1]!i_pq_pctchange($C96,H$6,$O$1))</f>
        <v xml:space="preserve"> </v>
      </c>
      <c r="I96" s="18" t="str">
        <f>IF($C96=""," ",[1]!i_pq_pctchange($C96,I$6,$O$1))</f>
        <v xml:space="preserve"> </v>
      </c>
      <c r="J96" s="18" t="str">
        <f>IF($C96=""," ",[1]!i_pq_pctchange($C96,J$6,$O$1))</f>
        <v xml:space="preserve"> </v>
      </c>
      <c r="K96" s="18" t="str">
        <f>IF($C96=""," ",[1]!i_pq_pctchange($C96,K$6,$O$1))</f>
        <v xml:space="preserve"> </v>
      </c>
      <c r="L96" s="18" t="str">
        <f>IF($C96=""," ",[1]!i_pq_pctchange($C96,L$6,$O$1))</f>
        <v xml:space="preserve"> </v>
      </c>
      <c r="M96" s="18" t="str">
        <f>IF(C96=""," ",[1]!s_wq_pctchange($C96,$O$1))</f>
        <v xml:space="preserve"> </v>
      </c>
      <c r="N96" s="18" t="str">
        <f>IF(C96=""," ",[1]!s_mq_pctchange($C96,$O$1))</f>
        <v xml:space="preserve"> </v>
      </c>
      <c r="O96" s="18" t="str">
        <f>IF(C96=""," ",[1]!s_yq_pctchange($C96,$O$1))</f>
        <v xml:space="preserve"> </v>
      </c>
      <c r="P96" s="24"/>
      <c r="Q96" s="9"/>
    </row>
    <row r="97" spans="1:17" ht="17.25" x14ac:dyDescent="0.2">
      <c r="A97" s="9"/>
      <c r="C97" s="17" t="str">
        <f>IF(指数列表!B94="","",指数列表!B94)</f>
        <v/>
      </c>
      <c r="D97" s="33" t="str">
        <f>IF(C97="","",[1]!s_info_name(C97))</f>
        <v/>
      </c>
      <c r="E97" s="36" t="str">
        <f>IF(C97="","",[1]!s_dq_close(C97,$O$1))</f>
        <v/>
      </c>
      <c r="F97" s="36" t="str">
        <f>IF(C97="","",[1]!s_dq_volume($C97,$O$1))</f>
        <v/>
      </c>
      <c r="G97" s="36" t="str">
        <f>IF(C97="","",[1]!s_dq_oi($C97,$O$1))</f>
        <v/>
      </c>
      <c r="H97" s="18" t="str">
        <f>IF($C97=""," ",[1]!i_pq_pctchange($C97,H$6,$O$1))</f>
        <v xml:space="preserve"> </v>
      </c>
      <c r="I97" s="18" t="str">
        <f>IF($C97=""," ",[1]!i_pq_pctchange($C97,I$6,$O$1))</f>
        <v xml:space="preserve"> </v>
      </c>
      <c r="J97" s="18" t="str">
        <f>IF($C97=""," ",[1]!i_pq_pctchange($C97,J$6,$O$1))</f>
        <v xml:space="preserve"> </v>
      </c>
      <c r="K97" s="18" t="str">
        <f>IF($C97=""," ",[1]!i_pq_pctchange($C97,K$6,$O$1))</f>
        <v xml:space="preserve"> </v>
      </c>
      <c r="L97" s="18" t="str">
        <f>IF($C97=""," ",[1]!i_pq_pctchange($C97,L$6,$O$1))</f>
        <v xml:space="preserve"> </v>
      </c>
      <c r="M97" s="18" t="str">
        <f>IF(C97=""," ",[1]!s_wq_pctchange($C97,$O$1))</f>
        <v xml:space="preserve"> </v>
      </c>
      <c r="N97" s="18" t="str">
        <f>IF(C97=""," ",[1]!s_mq_pctchange($C97,$O$1))</f>
        <v xml:space="preserve"> </v>
      </c>
      <c r="O97" s="18" t="str">
        <f>IF(C97=""," ",[1]!s_yq_pctchange($C97,$O$1))</f>
        <v xml:space="preserve"> </v>
      </c>
      <c r="P97" s="24"/>
      <c r="Q97" s="9"/>
    </row>
    <row r="98" spans="1:17" ht="17.25" x14ac:dyDescent="0.2">
      <c r="A98" s="9"/>
      <c r="C98" s="21" t="str">
        <f>IF(指数列表!B95="","",指数列表!B95)</f>
        <v/>
      </c>
      <c r="D98" s="34" t="str">
        <f>IF(C98="","",[1]!s_info_name(C98))</f>
        <v/>
      </c>
      <c r="E98" s="35" t="str">
        <f>IF(C98="","",[1]!s_dq_close(C98,$O$1))</f>
        <v/>
      </c>
      <c r="F98" s="35" t="str">
        <f>IF(C98="","",[1]!s_dq_volume($C98,$O$1))</f>
        <v/>
      </c>
      <c r="G98" s="35" t="str">
        <f>IF(C98="","",[1]!s_dq_oi($C98,$O$1))</f>
        <v/>
      </c>
      <c r="H98" s="18" t="str">
        <f>IF($C98=""," ",[1]!i_pq_pctchange($C98,H$6,$O$1))</f>
        <v xml:space="preserve"> </v>
      </c>
      <c r="I98" s="18" t="str">
        <f>IF($C98=""," ",[1]!i_pq_pctchange($C98,I$6,$O$1))</f>
        <v xml:space="preserve"> </v>
      </c>
      <c r="J98" s="18" t="str">
        <f>IF($C98=""," ",[1]!i_pq_pctchange($C98,J$6,$O$1))</f>
        <v xml:space="preserve"> </v>
      </c>
      <c r="K98" s="18" t="str">
        <f>IF($C98=""," ",[1]!i_pq_pctchange($C98,K$6,$O$1))</f>
        <v xml:space="preserve"> </v>
      </c>
      <c r="L98" s="18" t="str">
        <f>IF($C98=""," ",[1]!i_pq_pctchange($C98,L$6,$O$1))</f>
        <v xml:space="preserve"> </v>
      </c>
      <c r="M98" s="18" t="str">
        <f>IF(C98=""," ",[1]!s_wq_pctchange($C98,$O$1))</f>
        <v xml:space="preserve"> </v>
      </c>
      <c r="N98" s="18" t="str">
        <f>IF(C98=""," ",[1]!s_mq_pctchange($C98,$O$1))</f>
        <v xml:space="preserve"> </v>
      </c>
      <c r="O98" s="18" t="str">
        <f>IF(C98=""," ",[1]!s_yq_pctchange($C98,$O$1))</f>
        <v xml:space="preserve"> </v>
      </c>
      <c r="P98" s="24"/>
      <c r="Q98" s="9"/>
    </row>
    <row r="99" spans="1:17" ht="17.25" x14ac:dyDescent="0.2">
      <c r="A99" s="9"/>
      <c r="C99" s="17" t="str">
        <f>IF(指数列表!B96="","",指数列表!B96)</f>
        <v/>
      </c>
      <c r="D99" s="33" t="str">
        <f>IF(C99="","",[1]!s_info_name(C99))</f>
        <v/>
      </c>
      <c r="E99" s="36" t="str">
        <f>IF(C99="","",[1]!s_dq_close(C99,$O$1))</f>
        <v/>
      </c>
      <c r="F99" s="36" t="str">
        <f>IF(C99="","",[1]!s_dq_volume($C99,$O$1))</f>
        <v/>
      </c>
      <c r="G99" s="36" t="str">
        <f>IF(C99="","",[1]!s_dq_oi($C99,$O$1))</f>
        <v/>
      </c>
      <c r="H99" s="18" t="str">
        <f>IF($C99=""," ",[1]!i_pq_pctchange($C99,H$6,$O$1))</f>
        <v xml:space="preserve"> </v>
      </c>
      <c r="I99" s="18" t="str">
        <f>IF($C99=""," ",[1]!i_pq_pctchange($C99,I$6,$O$1))</f>
        <v xml:space="preserve"> </v>
      </c>
      <c r="J99" s="18" t="str">
        <f>IF($C99=""," ",[1]!i_pq_pctchange($C99,J$6,$O$1))</f>
        <v xml:space="preserve"> </v>
      </c>
      <c r="K99" s="18" t="str">
        <f>IF($C99=""," ",[1]!i_pq_pctchange($C99,K$6,$O$1))</f>
        <v xml:space="preserve"> </v>
      </c>
      <c r="L99" s="18" t="str">
        <f>IF($C99=""," ",[1]!i_pq_pctchange($C99,L$6,$O$1))</f>
        <v xml:space="preserve"> </v>
      </c>
      <c r="M99" s="18" t="str">
        <f>IF(C99=""," ",[1]!s_wq_pctchange($C99,$O$1))</f>
        <v xml:space="preserve"> </v>
      </c>
      <c r="N99" s="18" t="str">
        <f>IF(C99=""," ",[1]!s_mq_pctchange($C99,$O$1))</f>
        <v xml:space="preserve"> </v>
      </c>
      <c r="O99" s="18" t="str">
        <f>IF(C99=""," ",[1]!s_yq_pctchange($C99,$O$1))</f>
        <v xml:space="preserve"> </v>
      </c>
      <c r="P99" s="24"/>
      <c r="Q99" s="9"/>
    </row>
    <row r="100" spans="1:17" ht="17.25" x14ac:dyDescent="0.2">
      <c r="A100" s="9"/>
      <c r="C100" s="21" t="str">
        <f>IF(指数列表!B97="","",指数列表!B97)</f>
        <v/>
      </c>
      <c r="D100" s="34" t="str">
        <f>IF(C100="","",[1]!s_info_name(C100))</f>
        <v/>
      </c>
      <c r="E100" s="35" t="str">
        <f>IF(C100="","",[1]!s_dq_close(C100,$O$1))</f>
        <v/>
      </c>
      <c r="F100" s="35" t="str">
        <f>IF(C100="","",[1]!s_dq_volume($C100,$O$1))</f>
        <v/>
      </c>
      <c r="G100" s="35" t="str">
        <f>IF(C100="","",[1]!s_dq_oi($C100,$O$1))</f>
        <v/>
      </c>
      <c r="H100" s="18" t="str">
        <f>IF($C100=""," ",[1]!i_pq_pctchange($C100,H$6,$O$1))</f>
        <v xml:space="preserve"> </v>
      </c>
      <c r="I100" s="18" t="str">
        <f>IF($C100=""," ",[1]!i_pq_pctchange($C100,I$6,$O$1))</f>
        <v xml:space="preserve"> </v>
      </c>
      <c r="J100" s="18" t="str">
        <f>IF($C100=""," ",[1]!i_pq_pctchange($C100,J$6,$O$1))</f>
        <v xml:space="preserve"> </v>
      </c>
      <c r="K100" s="18" t="str">
        <f>IF($C100=""," ",[1]!i_pq_pctchange($C100,K$6,$O$1))</f>
        <v xml:space="preserve"> </v>
      </c>
      <c r="L100" s="18" t="str">
        <f>IF($C100=""," ",[1]!i_pq_pctchange($C100,L$6,$O$1))</f>
        <v xml:space="preserve"> </v>
      </c>
      <c r="M100" s="18" t="str">
        <f>IF(C100=""," ",[1]!s_wq_pctchange($C100,$O$1))</f>
        <v xml:space="preserve"> </v>
      </c>
      <c r="N100" s="18" t="str">
        <f>IF(C100=""," ",[1]!s_mq_pctchange($C100,$O$1))</f>
        <v xml:space="preserve"> </v>
      </c>
      <c r="O100" s="18" t="str">
        <f>IF(C100=""," ",[1]!s_yq_pctchange($C100,$O$1))</f>
        <v xml:space="preserve"> </v>
      </c>
      <c r="P100" s="24"/>
      <c r="Q100" s="9"/>
    </row>
    <row r="101" spans="1:17" ht="17.25" x14ac:dyDescent="0.2">
      <c r="A101" s="9"/>
      <c r="C101" s="17" t="str">
        <f>IF(指数列表!B98="","",指数列表!B98)</f>
        <v/>
      </c>
      <c r="D101" s="33" t="str">
        <f>IF(C101="","",[1]!s_info_name(C101))</f>
        <v/>
      </c>
      <c r="E101" s="36" t="str">
        <f>IF(C101="","",[1]!s_dq_close(C101,$O$1))</f>
        <v/>
      </c>
      <c r="F101" s="36" t="str">
        <f>IF(C101="","",[1]!s_dq_volume($C101,$O$1))</f>
        <v/>
      </c>
      <c r="G101" s="36" t="str">
        <f>IF(C101="","",[1]!s_dq_oi($C101,$O$1))</f>
        <v/>
      </c>
      <c r="H101" s="18" t="str">
        <f>IF($C101=""," ",[1]!i_pq_pctchange($C101,H$6,$O$1))</f>
        <v xml:space="preserve"> </v>
      </c>
      <c r="I101" s="18" t="str">
        <f>IF($C101=""," ",[1]!i_pq_pctchange($C101,I$6,$O$1))</f>
        <v xml:space="preserve"> </v>
      </c>
      <c r="J101" s="18" t="str">
        <f>IF($C101=""," ",[1]!i_pq_pctchange($C101,J$6,$O$1))</f>
        <v xml:space="preserve"> </v>
      </c>
      <c r="K101" s="18" t="str">
        <f>IF($C101=""," ",[1]!i_pq_pctchange($C101,K$6,$O$1))</f>
        <v xml:space="preserve"> </v>
      </c>
      <c r="L101" s="18" t="str">
        <f>IF($C101=""," ",[1]!i_pq_pctchange($C101,L$6,$O$1))</f>
        <v xml:space="preserve"> </v>
      </c>
      <c r="M101" s="18" t="str">
        <f>IF(C101=""," ",[1]!s_wq_pctchange($C101,$O$1))</f>
        <v xml:space="preserve"> </v>
      </c>
      <c r="N101" s="18" t="str">
        <f>IF(C101=""," ",[1]!s_mq_pctchange($C101,$O$1))</f>
        <v xml:space="preserve"> </v>
      </c>
      <c r="O101" s="18" t="str">
        <f>IF(C101=""," ",[1]!s_yq_pctchange($C101,$O$1))</f>
        <v xml:space="preserve"> </v>
      </c>
      <c r="P101" s="24"/>
      <c r="Q101" s="9"/>
    </row>
    <row r="102" spans="1:17" ht="17.25" x14ac:dyDescent="0.2">
      <c r="A102" s="9"/>
      <c r="C102" s="21" t="str">
        <f>IF(指数列表!B99="","",指数列表!B99)</f>
        <v/>
      </c>
      <c r="D102" s="34" t="str">
        <f>IF(C102="","",[1]!s_info_name(C102))</f>
        <v/>
      </c>
      <c r="E102" s="35" t="str">
        <f>IF(C102="","",[1]!s_dq_close(C102,$O$1))</f>
        <v/>
      </c>
      <c r="F102" s="35" t="str">
        <f>IF(C102="","",[1]!s_dq_volume($C102,$O$1))</f>
        <v/>
      </c>
      <c r="G102" s="35" t="str">
        <f>IF(C102="","",[1]!s_dq_oi($C102,$O$1))</f>
        <v/>
      </c>
      <c r="H102" s="18" t="str">
        <f>IF($C102=""," ",[1]!i_pq_pctchange($C102,H$6,$O$1))</f>
        <v xml:space="preserve"> </v>
      </c>
      <c r="I102" s="18" t="str">
        <f>IF($C102=""," ",[1]!i_pq_pctchange($C102,I$6,$O$1))</f>
        <v xml:space="preserve"> </v>
      </c>
      <c r="J102" s="18" t="str">
        <f>IF($C102=""," ",[1]!i_pq_pctchange($C102,J$6,$O$1))</f>
        <v xml:space="preserve"> </v>
      </c>
      <c r="K102" s="18" t="str">
        <f>IF($C102=""," ",[1]!i_pq_pctchange($C102,K$6,$O$1))</f>
        <v xml:space="preserve"> </v>
      </c>
      <c r="L102" s="18" t="str">
        <f>IF($C102=""," ",[1]!i_pq_pctchange($C102,L$6,$O$1))</f>
        <v xml:space="preserve"> </v>
      </c>
      <c r="M102" s="18" t="str">
        <f>IF(C102=""," ",[1]!s_wq_pctchange($C102,$O$1))</f>
        <v xml:space="preserve"> </v>
      </c>
      <c r="N102" s="18" t="str">
        <f>IF(C102=""," ",[1]!s_mq_pctchange($C102,$O$1))</f>
        <v xml:space="preserve"> </v>
      </c>
      <c r="O102" s="18" t="str">
        <f>IF(C102=""," ",[1]!s_yq_pctchange($C102,$O$1))</f>
        <v xml:space="preserve"> </v>
      </c>
      <c r="P102" s="24"/>
      <c r="Q102" s="9"/>
    </row>
    <row r="103" spans="1:17" ht="17.25" x14ac:dyDescent="0.2">
      <c r="A103" s="9"/>
      <c r="C103" s="17" t="str">
        <f>IF(指数列表!B100="","",指数列表!B100)</f>
        <v/>
      </c>
      <c r="D103" s="33" t="str">
        <f>IF(C103="","",[1]!s_info_name(C103))</f>
        <v/>
      </c>
      <c r="E103" s="36" t="str">
        <f>IF(C103="","",[1]!s_dq_close(C103,$O$1))</f>
        <v/>
      </c>
      <c r="F103" s="36" t="str">
        <f>IF(C103="","",[1]!s_dq_volume($C103,$O$1))</f>
        <v/>
      </c>
      <c r="G103" s="36" t="str">
        <f>IF(C103="","",[1]!s_dq_oi($C103,$O$1))</f>
        <v/>
      </c>
      <c r="H103" s="18" t="str">
        <f>IF($C103=""," ",[1]!i_pq_pctchange($C103,H$6,$O$1))</f>
        <v xml:space="preserve"> </v>
      </c>
      <c r="I103" s="18" t="str">
        <f>IF($C103=""," ",[1]!i_pq_pctchange($C103,I$6,$O$1))</f>
        <v xml:space="preserve"> </v>
      </c>
      <c r="J103" s="18" t="str">
        <f>IF($C103=""," ",[1]!i_pq_pctchange($C103,J$6,$O$1))</f>
        <v xml:space="preserve"> </v>
      </c>
      <c r="K103" s="18" t="str">
        <f>IF($C103=""," ",[1]!i_pq_pctchange($C103,K$6,$O$1))</f>
        <v xml:space="preserve"> </v>
      </c>
      <c r="L103" s="18" t="str">
        <f>IF($C103=""," ",[1]!i_pq_pctchange($C103,L$6,$O$1))</f>
        <v xml:space="preserve"> </v>
      </c>
      <c r="M103" s="18" t="str">
        <f>IF(C103=""," ",[1]!s_wq_pctchange($C103,$O$1))</f>
        <v xml:space="preserve"> </v>
      </c>
      <c r="N103" s="18" t="str">
        <f>IF(C103=""," ",[1]!s_mq_pctchange($C103,$O$1))</f>
        <v xml:space="preserve"> </v>
      </c>
      <c r="O103" s="18" t="str">
        <f>IF(C103=""," ",[1]!s_yq_pctchange($C103,$O$1))</f>
        <v xml:space="preserve"> </v>
      </c>
      <c r="P103" s="24"/>
      <c r="Q103" s="9"/>
    </row>
    <row r="104" spans="1:17" ht="17.25" x14ac:dyDescent="0.2">
      <c r="A104" s="9"/>
      <c r="C104" s="21" t="str">
        <f>IF(指数列表!B101="","",指数列表!B101)</f>
        <v/>
      </c>
      <c r="D104" s="34" t="str">
        <f>IF(C104="","",[1]!s_info_name(C104))</f>
        <v/>
      </c>
      <c r="E104" s="35" t="str">
        <f>IF(C104="","",[1]!s_dq_close(C104,$O$1))</f>
        <v/>
      </c>
      <c r="F104" s="35" t="str">
        <f>IF(C104="","",[1]!s_dq_volume($C104,$O$1))</f>
        <v/>
      </c>
      <c r="G104" s="35" t="str">
        <f>IF(C104="","",[1]!s_dq_oi($C104,$O$1))</f>
        <v/>
      </c>
      <c r="H104" s="18" t="str">
        <f>IF($C104=""," ",[1]!i_pq_pctchange($C104,H$6,$O$1))</f>
        <v xml:space="preserve"> </v>
      </c>
      <c r="I104" s="18" t="str">
        <f>IF($C104=""," ",[1]!i_pq_pctchange($C104,I$6,$O$1))</f>
        <v xml:space="preserve"> </v>
      </c>
      <c r="J104" s="18" t="str">
        <f>IF($C104=""," ",[1]!i_pq_pctchange($C104,J$6,$O$1))</f>
        <v xml:space="preserve"> </v>
      </c>
      <c r="K104" s="18" t="str">
        <f>IF($C104=""," ",[1]!i_pq_pctchange($C104,K$6,$O$1))</f>
        <v xml:space="preserve"> </v>
      </c>
      <c r="L104" s="18" t="str">
        <f>IF($C104=""," ",[1]!i_pq_pctchange($C104,L$6,$O$1))</f>
        <v xml:space="preserve"> </v>
      </c>
      <c r="M104" s="18" t="str">
        <f>IF(C104=""," ",[1]!s_wq_pctchange($C104,$O$1))</f>
        <v xml:space="preserve"> </v>
      </c>
      <c r="N104" s="18" t="str">
        <f>IF(C104=""," ",[1]!s_mq_pctchange($C104,$O$1))</f>
        <v xml:space="preserve"> </v>
      </c>
      <c r="O104" s="18" t="str">
        <f>IF(C104=""," ",[1]!s_yq_pctchange($C104,$O$1))</f>
        <v xml:space="preserve"> </v>
      </c>
      <c r="P104" s="24"/>
      <c r="Q104" s="9"/>
    </row>
    <row r="105" spans="1:17" ht="17.25" x14ac:dyDescent="0.2">
      <c r="A105" s="9"/>
      <c r="C105" s="17" t="str">
        <f>IF(指数列表!B102="","",指数列表!B102)</f>
        <v/>
      </c>
      <c r="D105" s="33" t="str">
        <f>IF(C105="","",[1]!s_info_name(C105))</f>
        <v/>
      </c>
      <c r="E105" s="36" t="str">
        <f>IF(C105="","",[1]!s_dq_close(C105,$O$1))</f>
        <v/>
      </c>
      <c r="F105" s="36" t="str">
        <f>IF(C105="","",[1]!s_dq_volume($C105,$O$1))</f>
        <v/>
      </c>
      <c r="G105" s="36" t="str">
        <f>IF(C105="","",[1]!s_dq_oi($C105,$O$1))</f>
        <v/>
      </c>
      <c r="H105" s="18" t="str">
        <f>IF($C105=""," ",[1]!i_pq_pctchange($C105,H$6,$O$1))</f>
        <v xml:space="preserve"> </v>
      </c>
      <c r="I105" s="18" t="str">
        <f>IF($C105=""," ",[1]!i_pq_pctchange($C105,I$6,$O$1))</f>
        <v xml:space="preserve"> </v>
      </c>
      <c r="J105" s="18" t="str">
        <f>IF($C105=""," ",[1]!i_pq_pctchange($C105,J$6,$O$1))</f>
        <v xml:space="preserve"> </v>
      </c>
      <c r="K105" s="18" t="str">
        <f>IF($C105=""," ",[1]!i_pq_pctchange($C105,K$6,$O$1))</f>
        <v xml:space="preserve"> </v>
      </c>
      <c r="L105" s="18" t="str">
        <f>IF($C105=""," ",[1]!i_pq_pctchange($C105,L$6,$O$1))</f>
        <v xml:space="preserve"> </v>
      </c>
      <c r="M105" s="18" t="str">
        <f>IF(C105=""," ",[1]!s_wq_pctchange($C105,$O$1))</f>
        <v xml:space="preserve"> </v>
      </c>
      <c r="N105" s="18" t="str">
        <f>IF(C105=""," ",[1]!s_mq_pctchange($C105,$O$1))</f>
        <v xml:space="preserve"> </v>
      </c>
      <c r="O105" s="18" t="str">
        <f>IF(C105=""," ",[1]!s_yq_pctchange($C105,$O$1))</f>
        <v xml:space="preserve"> </v>
      </c>
      <c r="P105" s="24"/>
      <c r="Q105" s="9"/>
    </row>
    <row r="106" spans="1:17" ht="17.25" x14ac:dyDescent="0.2">
      <c r="A106" s="9"/>
      <c r="C106" s="21" t="str">
        <f>IF(指数列表!B103="","",指数列表!B103)</f>
        <v/>
      </c>
      <c r="D106" s="34" t="str">
        <f>IF(C106="","",[1]!s_info_name(C106))</f>
        <v/>
      </c>
      <c r="E106" s="35" t="str">
        <f>IF(C106="","",[1]!s_dq_close(C106,$O$1))</f>
        <v/>
      </c>
      <c r="F106" s="35" t="str">
        <f>IF(C106="","",[1]!s_dq_volume($C106,$O$1))</f>
        <v/>
      </c>
      <c r="G106" s="35" t="str">
        <f>IF(C106="","",[1]!s_dq_oi($C106,$O$1))</f>
        <v/>
      </c>
      <c r="H106" s="18" t="str">
        <f>IF($C106=""," ",[1]!i_pq_pctchange($C106,H$6,$O$1))</f>
        <v xml:space="preserve"> </v>
      </c>
      <c r="I106" s="18" t="str">
        <f>IF($C106=""," ",[1]!i_pq_pctchange($C106,I$6,$O$1))</f>
        <v xml:space="preserve"> </v>
      </c>
      <c r="J106" s="18" t="str">
        <f>IF($C106=""," ",[1]!i_pq_pctchange($C106,J$6,$O$1))</f>
        <v xml:space="preserve"> </v>
      </c>
      <c r="K106" s="18" t="str">
        <f>IF($C106=""," ",[1]!i_pq_pctchange($C106,K$6,$O$1))</f>
        <v xml:space="preserve"> </v>
      </c>
      <c r="L106" s="18" t="str">
        <f>IF($C106=""," ",[1]!i_pq_pctchange($C106,L$6,$O$1))</f>
        <v xml:space="preserve"> </v>
      </c>
      <c r="M106" s="18" t="str">
        <f>IF(C106=""," ",[1]!s_wq_pctchange($C106,$O$1))</f>
        <v xml:space="preserve"> </v>
      </c>
      <c r="N106" s="18" t="str">
        <f>IF(C106=""," ",[1]!s_mq_pctchange($C106,$O$1))</f>
        <v xml:space="preserve"> </v>
      </c>
      <c r="O106" s="18" t="str">
        <f>IF(C106=""," ",[1]!s_yq_pctchange($C106,$O$1))</f>
        <v xml:space="preserve"> </v>
      </c>
      <c r="P106" s="24"/>
      <c r="Q106" s="9"/>
    </row>
    <row r="107" spans="1:17" ht="17.25" x14ac:dyDescent="0.2">
      <c r="A107" s="9"/>
      <c r="C107" s="17" t="str">
        <f>IF(指数列表!B104="","",指数列表!B104)</f>
        <v/>
      </c>
      <c r="D107" s="33" t="str">
        <f>IF(C107="","",[1]!s_info_name(C107))</f>
        <v/>
      </c>
      <c r="E107" s="36" t="str">
        <f>IF(C107="","",[1]!s_dq_close(C107,$O$1))</f>
        <v/>
      </c>
      <c r="F107" s="36" t="str">
        <f>IF(C107="","",[1]!s_dq_volume($C107,$O$1))</f>
        <v/>
      </c>
      <c r="G107" s="36" t="str">
        <f>IF(C107="","",[1]!s_dq_oi($C107,$O$1))</f>
        <v/>
      </c>
      <c r="H107" s="18" t="str">
        <f>IF($C107=""," ",[1]!i_pq_pctchange($C107,H$6,$O$1))</f>
        <v xml:space="preserve"> </v>
      </c>
      <c r="I107" s="18" t="str">
        <f>IF($C107=""," ",[1]!i_pq_pctchange($C107,I$6,$O$1))</f>
        <v xml:space="preserve"> </v>
      </c>
      <c r="J107" s="18" t="str">
        <f>IF($C107=""," ",[1]!i_pq_pctchange($C107,J$6,$O$1))</f>
        <v xml:space="preserve"> </v>
      </c>
      <c r="K107" s="18" t="str">
        <f>IF($C107=""," ",[1]!i_pq_pctchange($C107,K$6,$O$1))</f>
        <v xml:space="preserve"> </v>
      </c>
      <c r="L107" s="18" t="str">
        <f>IF($C107=""," ",[1]!i_pq_pctchange($C107,L$6,$O$1))</f>
        <v xml:space="preserve"> </v>
      </c>
      <c r="M107" s="18" t="str">
        <f>IF(C107=""," ",[1]!s_wq_pctchange($C107,$O$1))</f>
        <v xml:space="preserve"> </v>
      </c>
      <c r="N107" s="18" t="str">
        <f>IF(C107=""," ",[1]!s_mq_pctchange($C107,$O$1))</f>
        <v xml:space="preserve"> </v>
      </c>
      <c r="O107" s="18" t="str">
        <f>IF(C107=""," ",[1]!s_yq_pctchange($C107,$O$1))</f>
        <v xml:space="preserve"> </v>
      </c>
      <c r="P107" s="24"/>
      <c r="Q107" s="9"/>
    </row>
    <row r="108" spans="1:17" ht="17.25" x14ac:dyDescent="0.2">
      <c r="A108" s="9"/>
      <c r="C108" s="21" t="str">
        <f>IF(指数列表!B105="","",指数列表!B105)</f>
        <v/>
      </c>
      <c r="D108" s="34" t="str">
        <f>IF(C108="","",[1]!s_info_name(C108))</f>
        <v/>
      </c>
      <c r="E108" s="35" t="str">
        <f>IF(C108="","",[1]!s_dq_close(C108,$O$1))</f>
        <v/>
      </c>
      <c r="F108" s="35" t="str">
        <f>IF(C108="","",[1]!s_dq_volume($C108,$O$1))</f>
        <v/>
      </c>
      <c r="G108" s="35" t="str">
        <f>IF(C108="","",[1]!s_dq_oi($C108,$O$1))</f>
        <v/>
      </c>
      <c r="H108" s="18" t="str">
        <f>IF($C108=""," ",[1]!i_pq_pctchange($C108,H$6,$O$1))</f>
        <v xml:space="preserve"> </v>
      </c>
      <c r="I108" s="18" t="str">
        <f>IF($C108=""," ",[1]!i_pq_pctchange($C108,I$6,$O$1))</f>
        <v xml:space="preserve"> </v>
      </c>
      <c r="J108" s="18" t="str">
        <f>IF($C108=""," ",[1]!i_pq_pctchange($C108,J$6,$O$1))</f>
        <v xml:space="preserve"> </v>
      </c>
      <c r="K108" s="18" t="str">
        <f>IF($C108=""," ",[1]!i_pq_pctchange($C108,K$6,$O$1))</f>
        <v xml:space="preserve"> </v>
      </c>
      <c r="L108" s="18" t="str">
        <f>IF($C108=""," ",[1]!i_pq_pctchange($C108,L$6,$O$1))</f>
        <v xml:space="preserve"> </v>
      </c>
      <c r="M108" s="18" t="str">
        <f>IF(C108=""," ",[1]!s_wq_pctchange($C108,$O$1))</f>
        <v xml:space="preserve"> </v>
      </c>
      <c r="N108" s="18" t="str">
        <f>IF(C108=""," ",[1]!s_mq_pctchange($C108,$O$1))</f>
        <v xml:space="preserve"> </v>
      </c>
      <c r="O108" s="18" t="str">
        <f>IF(C108=""," ",[1]!s_yq_pctchange($C108,$O$1))</f>
        <v xml:space="preserve"> </v>
      </c>
      <c r="P108" s="24"/>
      <c r="Q108" s="9"/>
    </row>
    <row r="109" spans="1:17" ht="17.25" x14ac:dyDescent="0.2">
      <c r="A109" s="9"/>
      <c r="C109" s="17" t="str">
        <f>IF(指数列表!B106="","",指数列表!B106)</f>
        <v/>
      </c>
      <c r="D109" s="33" t="str">
        <f>IF(C109="","",[1]!s_info_name(C109))</f>
        <v/>
      </c>
      <c r="E109" s="36" t="str">
        <f>IF(C109="","",[1]!s_dq_close(C109,$O$1))</f>
        <v/>
      </c>
      <c r="F109" s="36" t="str">
        <f>IF(C109="","",[1]!s_dq_volume($C109,$O$1))</f>
        <v/>
      </c>
      <c r="G109" s="36" t="str">
        <f>IF(C109="","",[1]!s_dq_oi($C109,$O$1))</f>
        <v/>
      </c>
      <c r="H109" s="18" t="str">
        <f>IF($C109=""," ",[1]!i_pq_pctchange($C109,H$6,$O$1))</f>
        <v xml:space="preserve"> </v>
      </c>
      <c r="I109" s="18" t="str">
        <f>IF($C109=""," ",[1]!i_pq_pctchange($C109,I$6,$O$1))</f>
        <v xml:space="preserve"> </v>
      </c>
      <c r="J109" s="18" t="str">
        <f>IF($C109=""," ",[1]!i_pq_pctchange($C109,J$6,$O$1))</f>
        <v xml:space="preserve"> </v>
      </c>
      <c r="K109" s="18" t="str">
        <f>IF($C109=""," ",[1]!i_pq_pctchange($C109,K$6,$O$1))</f>
        <v xml:space="preserve"> </v>
      </c>
      <c r="L109" s="18" t="str">
        <f>IF($C109=""," ",[1]!i_pq_pctchange($C109,L$6,$O$1))</f>
        <v xml:space="preserve"> </v>
      </c>
      <c r="M109" s="18" t="str">
        <f>IF(C109=""," ",[1]!s_wq_pctchange($C109,$O$1))</f>
        <v xml:space="preserve"> </v>
      </c>
      <c r="N109" s="18" t="str">
        <f>IF(C109=""," ",[1]!s_mq_pctchange($C109,$O$1))</f>
        <v xml:space="preserve"> </v>
      </c>
      <c r="O109" s="18" t="str">
        <f>IF(C109=""," ",[1]!s_yq_pctchange($C109,$O$1))</f>
        <v xml:space="preserve"> </v>
      </c>
      <c r="P109" s="24"/>
      <c r="Q109" s="9"/>
    </row>
    <row r="110" spans="1:17" ht="17.25" x14ac:dyDescent="0.2">
      <c r="A110" s="9"/>
      <c r="C110" s="21" t="str">
        <f>IF(指数列表!B107="","",指数列表!B107)</f>
        <v/>
      </c>
      <c r="D110" s="34" t="str">
        <f>IF(C110="","",[1]!s_info_name(C110))</f>
        <v/>
      </c>
      <c r="E110" s="35" t="str">
        <f>IF(C110="","",[1]!s_dq_close(C110,$O$1))</f>
        <v/>
      </c>
      <c r="F110" s="35" t="str">
        <f>IF(C110="","",[1]!s_dq_volume($C110,$O$1))</f>
        <v/>
      </c>
      <c r="G110" s="35" t="str">
        <f>IF(C110="","",[1]!s_dq_oi($C110,$O$1))</f>
        <v/>
      </c>
      <c r="H110" s="18" t="str">
        <f>IF($C110=""," ",[1]!i_pq_pctchange($C110,H$6,$O$1))</f>
        <v xml:space="preserve"> </v>
      </c>
      <c r="I110" s="18" t="str">
        <f>IF($C110=""," ",[1]!i_pq_pctchange($C110,I$6,$O$1))</f>
        <v xml:space="preserve"> </v>
      </c>
      <c r="J110" s="18" t="str">
        <f>IF($C110=""," ",[1]!i_pq_pctchange($C110,J$6,$O$1))</f>
        <v xml:space="preserve"> </v>
      </c>
      <c r="K110" s="18" t="str">
        <f>IF($C110=""," ",[1]!i_pq_pctchange($C110,K$6,$O$1))</f>
        <v xml:space="preserve"> </v>
      </c>
      <c r="L110" s="18" t="str">
        <f>IF($C110=""," ",[1]!i_pq_pctchange($C110,L$6,$O$1))</f>
        <v xml:space="preserve"> </v>
      </c>
      <c r="M110" s="18" t="str">
        <f>IF(C110=""," ",[1]!s_wq_pctchange($C110,$O$1))</f>
        <v xml:space="preserve"> </v>
      </c>
      <c r="N110" s="18" t="str">
        <f>IF(C110=""," ",[1]!s_mq_pctchange($C110,$O$1))</f>
        <v xml:space="preserve"> </v>
      </c>
      <c r="O110" s="18" t="str">
        <f>IF(C110=""," ",[1]!s_yq_pctchange($C110,$O$1))</f>
        <v xml:space="preserve"> </v>
      </c>
      <c r="P110" s="24"/>
      <c r="Q110" s="9"/>
    </row>
    <row r="111" spans="1:17" ht="17.25" x14ac:dyDescent="0.2">
      <c r="A111" s="9"/>
      <c r="C111" s="17" t="str">
        <f>IF(指数列表!B108="","",指数列表!B108)</f>
        <v/>
      </c>
      <c r="D111" s="33" t="str">
        <f>IF(C111="","",[1]!s_info_name(C111))</f>
        <v/>
      </c>
      <c r="E111" s="36" t="str">
        <f>IF(C111="","",[1]!s_dq_close(C111,$O$1))</f>
        <v/>
      </c>
      <c r="F111" s="36" t="str">
        <f>IF(C111="","",[1]!s_dq_volume($C111,$O$1))</f>
        <v/>
      </c>
      <c r="G111" s="36" t="str">
        <f>IF(C111="","",[1]!s_dq_oi($C111,$O$1))</f>
        <v/>
      </c>
      <c r="H111" s="18" t="str">
        <f>IF($C111=""," ",[1]!i_pq_pctchange($C111,H$6,$O$1))</f>
        <v xml:space="preserve"> </v>
      </c>
      <c r="I111" s="18" t="str">
        <f>IF($C111=""," ",[1]!i_pq_pctchange($C111,I$6,$O$1))</f>
        <v xml:space="preserve"> </v>
      </c>
      <c r="J111" s="18" t="str">
        <f>IF($C111=""," ",[1]!i_pq_pctchange($C111,J$6,$O$1))</f>
        <v xml:space="preserve"> </v>
      </c>
      <c r="K111" s="18" t="str">
        <f>IF($C111=""," ",[1]!i_pq_pctchange($C111,K$6,$O$1))</f>
        <v xml:space="preserve"> </v>
      </c>
      <c r="L111" s="18" t="str">
        <f>IF($C111=""," ",[1]!i_pq_pctchange($C111,L$6,$O$1))</f>
        <v xml:space="preserve"> </v>
      </c>
      <c r="M111" s="18" t="str">
        <f>IF(C111=""," ",[1]!s_wq_pctchange($C111,$O$1))</f>
        <v xml:space="preserve"> </v>
      </c>
      <c r="N111" s="18" t="str">
        <f>IF(C111=""," ",[1]!s_mq_pctchange($C111,$O$1))</f>
        <v xml:space="preserve"> </v>
      </c>
      <c r="O111" s="18" t="str">
        <f>IF(C111=""," ",[1]!s_yq_pctchange($C111,$O$1))</f>
        <v xml:space="preserve"> </v>
      </c>
      <c r="P111" s="24"/>
      <c r="Q111" s="9"/>
    </row>
    <row r="112" spans="1:17" ht="17.25" x14ac:dyDescent="0.2">
      <c r="A112" s="9"/>
      <c r="C112" s="21" t="str">
        <f>IF(指数列表!B109="","",指数列表!B109)</f>
        <v/>
      </c>
      <c r="D112" s="34" t="str">
        <f>IF(C112="","",[1]!s_info_name(C112))</f>
        <v/>
      </c>
      <c r="E112" s="35" t="str">
        <f>IF(C112="","",[1]!s_dq_close(C112,$O$1))</f>
        <v/>
      </c>
      <c r="F112" s="35" t="str">
        <f>IF(C112="","",[1]!s_dq_volume($C112,$O$1))</f>
        <v/>
      </c>
      <c r="G112" s="35" t="str">
        <f>IF(C112="","",[1]!s_dq_oi($C112,$O$1))</f>
        <v/>
      </c>
      <c r="H112" s="18" t="str">
        <f>IF($C112=""," ",[1]!i_pq_pctchange($C112,H$6,$O$1))</f>
        <v xml:space="preserve"> </v>
      </c>
      <c r="I112" s="18" t="str">
        <f>IF($C112=""," ",[1]!i_pq_pctchange($C112,I$6,$O$1))</f>
        <v xml:space="preserve"> </v>
      </c>
      <c r="J112" s="18" t="str">
        <f>IF($C112=""," ",[1]!i_pq_pctchange($C112,J$6,$O$1))</f>
        <v xml:space="preserve"> </v>
      </c>
      <c r="K112" s="18" t="str">
        <f>IF($C112=""," ",[1]!i_pq_pctchange($C112,K$6,$O$1))</f>
        <v xml:space="preserve"> </v>
      </c>
      <c r="L112" s="18" t="str">
        <f>IF($C112=""," ",[1]!i_pq_pctchange($C112,L$6,$O$1))</f>
        <v xml:space="preserve"> </v>
      </c>
      <c r="M112" s="18" t="str">
        <f>IF(C112=""," ",[1]!s_wq_pctchange($C112,$O$1))</f>
        <v xml:space="preserve"> </v>
      </c>
      <c r="N112" s="18" t="str">
        <f>IF(C112=""," ",[1]!s_mq_pctchange($C112,$O$1))</f>
        <v xml:space="preserve"> </v>
      </c>
      <c r="O112" s="18" t="str">
        <f>IF(C112=""," ",[1]!s_yq_pctchange($C112,$O$1))</f>
        <v xml:space="preserve"> </v>
      </c>
      <c r="P112" s="24"/>
      <c r="Q112" s="9"/>
    </row>
    <row r="113" spans="1:17" ht="17.25" x14ac:dyDescent="0.2">
      <c r="A113" s="9"/>
      <c r="C113" s="17" t="str">
        <f>IF(指数列表!B110="","",指数列表!B110)</f>
        <v/>
      </c>
      <c r="D113" s="33" t="str">
        <f>IF(C113="","",[1]!s_info_name(C113))</f>
        <v/>
      </c>
      <c r="E113" s="36" t="str">
        <f>IF(C113="","",[1]!s_dq_close(C113,$O$1))</f>
        <v/>
      </c>
      <c r="F113" s="36" t="str">
        <f>IF(C113="","",[1]!s_dq_volume($C113,$O$1))</f>
        <v/>
      </c>
      <c r="G113" s="36" t="str">
        <f>IF(C113="","",[1]!s_dq_oi($C113,$O$1))</f>
        <v/>
      </c>
      <c r="H113" s="18" t="str">
        <f>IF($C113=""," ",[1]!i_pq_pctchange($C113,H$6,$O$1))</f>
        <v xml:space="preserve"> </v>
      </c>
      <c r="I113" s="18" t="str">
        <f>IF($C113=""," ",[1]!i_pq_pctchange($C113,I$6,$O$1))</f>
        <v xml:space="preserve"> </v>
      </c>
      <c r="J113" s="18" t="str">
        <f>IF($C113=""," ",[1]!i_pq_pctchange($C113,J$6,$O$1))</f>
        <v xml:space="preserve"> </v>
      </c>
      <c r="K113" s="18" t="str">
        <f>IF($C113=""," ",[1]!i_pq_pctchange($C113,K$6,$O$1))</f>
        <v xml:space="preserve"> </v>
      </c>
      <c r="L113" s="18" t="str">
        <f>IF($C113=""," ",[1]!i_pq_pctchange($C113,L$6,$O$1))</f>
        <v xml:space="preserve"> </v>
      </c>
      <c r="M113" s="18" t="str">
        <f>IF(C113=""," ",[1]!s_wq_pctchange($C113,$O$1))</f>
        <v xml:space="preserve"> </v>
      </c>
      <c r="N113" s="18" t="str">
        <f>IF(C113=""," ",[1]!s_mq_pctchange($C113,$O$1))</f>
        <v xml:space="preserve"> </v>
      </c>
      <c r="O113" s="18" t="str">
        <f>IF(C113=""," ",[1]!s_yq_pctchange($C113,$O$1))</f>
        <v xml:space="preserve"> </v>
      </c>
      <c r="P113" s="24"/>
      <c r="Q113" s="9"/>
    </row>
    <row r="114" spans="1:17" ht="17.25" x14ac:dyDescent="0.2">
      <c r="A114" s="9"/>
      <c r="C114" s="21" t="str">
        <f>IF(指数列表!B111="","",指数列表!B111)</f>
        <v/>
      </c>
      <c r="D114" s="34" t="str">
        <f>IF(C114="","",[1]!s_info_name(C114))</f>
        <v/>
      </c>
      <c r="E114" s="35" t="str">
        <f>IF(C114="","",[1]!s_dq_close(C114,$O$1))</f>
        <v/>
      </c>
      <c r="F114" s="35" t="str">
        <f>IF(C114="","",[1]!s_dq_volume($C114,$O$1))</f>
        <v/>
      </c>
      <c r="G114" s="35" t="str">
        <f>IF(C114="","",[1]!s_dq_oi($C114,$O$1))</f>
        <v/>
      </c>
      <c r="H114" s="18" t="str">
        <f>IF($C114=""," ",[1]!i_pq_pctchange($C114,H$6,$O$1))</f>
        <v xml:space="preserve"> </v>
      </c>
      <c r="I114" s="18" t="str">
        <f>IF($C114=""," ",[1]!i_pq_pctchange($C114,I$6,$O$1))</f>
        <v xml:space="preserve"> </v>
      </c>
      <c r="J114" s="18" t="str">
        <f>IF($C114=""," ",[1]!i_pq_pctchange($C114,J$6,$O$1))</f>
        <v xml:space="preserve"> </v>
      </c>
      <c r="K114" s="18" t="str">
        <f>IF($C114=""," ",[1]!i_pq_pctchange($C114,K$6,$O$1))</f>
        <v xml:space="preserve"> </v>
      </c>
      <c r="L114" s="18" t="str">
        <f>IF($C114=""," ",[1]!i_pq_pctchange($C114,L$6,$O$1))</f>
        <v xml:space="preserve"> </v>
      </c>
      <c r="M114" s="18" t="str">
        <f>IF(C114=""," ",[1]!s_wq_pctchange($C114,$O$1))</f>
        <v xml:space="preserve"> </v>
      </c>
      <c r="N114" s="18" t="str">
        <f>IF(C114=""," ",[1]!s_mq_pctchange($C114,$O$1))</f>
        <v xml:space="preserve"> </v>
      </c>
      <c r="O114" s="18" t="str">
        <f>IF(C114=""," ",[1]!s_yq_pctchange($C114,$O$1))</f>
        <v xml:space="preserve"> </v>
      </c>
      <c r="P114" s="24"/>
      <c r="Q114" s="9"/>
    </row>
    <row r="115" spans="1:17" ht="17.25" x14ac:dyDescent="0.2">
      <c r="A115" s="9"/>
      <c r="C115" s="17" t="str">
        <f>IF(指数列表!B112="","",指数列表!B112)</f>
        <v/>
      </c>
      <c r="D115" s="33" t="str">
        <f>IF(C115="","",[1]!s_info_name(C115))</f>
        <v/>
      </c>
      <c r="E115" s="36" t="str">
        <f>IF(C115="","",[1]!s_dq_close(C115,$O$1))</f>
        <v/>
      </c>
      <c r="F115" s="36" t="str">
        <f>IF(C115="","",[1]!s_dq_volume($C115,$O$1))</f>
        <v/>
      </c>
      <c r="G115" s="36" t="str">
        <f>IF(C115="","",[1]!s_dq_oi($C115,$O$1))</f>
        <v/>
      </c>
      <c r="H115" s="18" t="str">
        <f>IF($C115=""," ",[1]!i_pq_pctchange($C115,H$6,$O$1))</f>
        <v xml:space="preserve"> </v>
      </c>
      <c r="I115" s="18" t="str">
        <f>IF($C115=""," ",[1]!i_pq_pctchange($C115,I$6,$O$1))</f>
        <v xml:space="preserve"> </v>
      </c>
      <c r="J115" s="18" t="str">
        <f>IF($C115=""," ",[1]!i_pq_pctchange($C115,J$6,$O$1))</f>
        <v xml:space="preserve"> </v>
      </c>
      <c r="K115" s="18" t="str">
        <f>IF($C115=""," ",[1]!i_pq_pctchange($C115,K$6,$O$1))</f>
        <v xml:space="preserve"> </v>
      </c>
      <c r="L115" s="18" t="str">
        <f>IF($C115=""," ",[1]!i_pq_pctchange($C115,L$6,$O$1))</f>
        <v xml:space="preserve"> </v>
      </c>
      <c r="M115" s="18" t="str">
        <f>IF(C115=""," ",[1]!s_wq_pctchange($C115,$O$1))</f>
        <v xml:space="preserve"> </v>
      </c>
      <c r="N115" s="18" t="str">
        <f>IF(C115=""," ",[1]!s_mq_pctchange($C115,$O$1))</f>
        <v xml:space="preserve"> </v>
      </c>
      <c r="O115" s="18" t="str">
        <f>IF(C115=""," ",[1]!s_yq_pctchange($C115,$O$1))</f>
        <v xml:space="preserve"> </v>
      </c>
      <c r="P115" s="24"/>
      <c r="Q115" s="9"/>
    </row>
    <row r="116" spans="1:17" ht="17.25" x14ac:dyDescent="0.2">
      <c r="A116" s="9"/>
      <c r="C116" s="21" t="str">
        <f>IF(指数列表!B113="","",指数列表!B113)</f>
        <v/>
      </c>
      <c r="D116" s="34" t="str">
        <f>IF(C116="","",[1]!s_info_name(C116))</f>
        <v/>
      </c>
      <c r="E116" s="35" t="str">
        <f>IF(C116="","",[1]!s_dq_close(C116,$O$1))</f>
        <v/>
      </c>
      <c r="F116" s="35" t="str">
        <f>IF(C116="","",[1]!s_dq_volume($C116,$O$1))</f>
        <v/>
      </c>
      <c r="G116" s="35" t="str">
        <f>IF(C116="","",[1]!s_dq_oi($C116,$O$1))</f>
        <v/>
      </c>
      <c r="H116" s="18" t="str">
        <f>IF($C116=""," ",[1]!i_pq_pctchange($C116,H$6,$O$1))</f>
        <v xml:space="preserve"> </v>
      </c>
      <c r="I116" s="18" t="str">
        <f>IF($C116=""," ",[1]!i_pq_pctchange($C116,I$6,$O$1))</f>
        <v xml:space="preserve"> </v>
      </c>
      <c r="J116" s="18" t="str">
        <f>IF($C116=""," ",[1]!i_pq_pctchange($C116,J$6,$O$1))</f>
        <v xml:space="preserve"> </v>
      </c>
      <c r="K116" s="18" t="str">
        <f>IF($C116=""," ",[1]!i_pq_pctchange($C116,K$6,$O$1))</f>
        <v xml:space="preserve"> </v>
      </c>
      <c r="L116" s="18" t="str">
        <f>IF($C116=""," ",[1]!i_pq_pctchange($C116,L$6,$O$1))</f>
        <v xml:space="preserve"> </v>
      </c>
      <c r="M116" s="18" t="str">
        <f>IF(C116=""," ",[1]!s_wq_pctchange($C116,$O$1))</f>
        <v xml:space="preserve"> </v>
      </c>
      <c r="N116" s="18" t="str">
        <f>IF(C116=""," ",[1]!s_mq_pctchange($C116,$O$1))</f>
        <v xml:space="preserve"> </v>
      </c>
      <c r="O116" s="18" t="str">
        <f>IF(C116=""," ",[1]!s_yq_pctchange($C116,$O$1))</f>
        <v xml:space="preserve"> </v>
      </c>
      <c r="P116" s="24"/>
      <c r="Q116" s="9"/>
    </row>
    <row r="117" spans="1:17" ht="17.25" x14ac:dyDescent="0.2">
      <c r="A117" s="9"/>
      <c r="C117" s="17" t="str">
        <f>IF(指数列表!B114="","",指数列表!B114)</f>
        <v/>
      </c>
      <c r="D117" s="33" t="str">
        <f>IF(C117="","",[1]!s_info_name(C117))</f>
        <v/>
      </c>
      <c r="E117" s="36" t="str">
        <f>IF(C117="","",[1]!s_dq_close(C117,$O$1))</f>
        <v/>
      </c>
      <c r="F117" s="36" t="str">
        <f>IF(C117="","",[1]!s_dq_volume($C117,$O$1))</f>
        <v/>
      </c>
      <c r="G117" s="36" t="str">
        <f>IF(C117="","",[1]!s_dq_oi($C117,$O$1))</f>
        <v/>
      </c>
      <c r="H117" s="18" t="str">
        <f>IF($C117=""," ",[1]!i_pq_pctchange($C117,H$6,$O$1))</f>
        <v xml:space="preserve"> </v>
      </c>
      <c r="I117" s="18" t="str">
        <f>IF($C117=""," ",[1]!i_pq_pctchange($C117,I$6,$O$1))</f>
        <v xml:space="preserve"> </v>
      </c>
      <c r="J117" s="18" t="str">
        <f>IF($C117=""," ",[1]!i_pq_pctchange($C117,J$6,$O$1))</f>
        <v xml:space="preserve"> </v>
      </c>
      <c r="K117" s="18" t="str">
        <f>IF($C117=""," ",[1]!i_pq_pctchange($C117,K$6,$O$1))</f>
        <v xml:space="preserve"> </v>
      </c>
      <c r="L117" s="18" t="str">
        <f>IF($C117=""," ",[1]!i_pq_pctchange($C117,L$6,$O$1))</f>
        <v xml:space="preserve"> </v>
      </c>
      <c r="M117" s="18" t="str">
        <f>IF(C117=""," ",[1]!s_wq_pctchange($C117,$O$1))</f>
        <v xml:space="preserve"> </v>
      </c>
      <c r="N117" s="18" t="str">
        <f>IF(C117=""," ",[1]!s_mq_pctchange($C117,$O$1))</f>
        <v xml:space="preserve"> </v>
      </c>
      <c r="O117" s="18" t="str">
        <f>IF(C117=""," ",[1]!s_yq_pctchange($C117,$O$1))</f>
        <v xml:space="preserve"> </v>
      </c>
      <c r="P117" s="24"/>
      <c r="Q117" s="9"/>
    </row>
    <row r="118" spans="1:17" ht="17.25" x14ac:dyDescent="0.2">
      <c r="A118" s="9"/>
      <c r="C118" s="21" t="str">
        <f>IF(指数列表!B115="","",指数列表!B115)</f>
        <v/>
      </c>
      <c r="D118" s="34" t="str">
        <f>IF(C118="","",[1]!s_info_name(C118))</f>
        <v/>
      </c>
      <c r="E118" s="35" t="str">
        <f>IF(C118="","",[1]!s_dq_close(C118,$O$1))</f>
        <v/>
      </c>
      <c r="F118" s="35" t="str">
        <f>IF(C118="","",[1]!s_dq_volume($C118,$O$1))</f>
        <v/>
      </c>
      <c r="G118" s="35" t="str">
        <f>IF(C118="","",[1]!s_dq_oi($C118,$O$1))</f>
        <v/>
      </c>
      <c r="H118" s="18" t="str">
        <f>IF($C118=""," ",[1]!i_pq_pctchange($C118,H$6,$O$1))</f>
        <v xml:space="preserve"> </v>
      </c>
      <c r="I118" s="18" t="str">
        <f>IF($C118=""," ",[1]!i_pq_pctchange($C118,I$6,$O$1))</f>
        <v xml:space="preserve"> </v>
      </c>
      <c r="J118" s="18" t="str">
        <f>IF($C118=""," ",[1]!i_pq_pctchange($C118,J$6,$O$1))</f>
        <v xml:space="preserve"> </v>
      </c>
      <c r="K118" s="18" t="str">
        <f>IF($C118=""," ",[1]!i_pq_pctchange($C118,K$6,$O$1))</f>
        <v xml:space="preserve"> </v>
      </c>
      <c r="L118" s="18" t="str">
        <f>IF($C118=""," ",[1]!i_pq_pctchange($C118,L$6,$O$1))</f>
        <v xml:space="preserve"> </v>
      </c>
      <c r="M118" s="18" t="str">
        <f>IF(C118=""," ",[1]!s_wq_pctchange($C118,$O$1))</f>
        <v xml:space="preserve"> </v>
      </c>
      <c r="N118" s="18" t="str">
        <f>IF(C118=""," ",[1]!s_mq_pctchange($C118,$O$1))</f>
        <v xml:space="preserve"> </v>
      </c>
      <c r="O118" s="18" t="str">
        <f>IF(C118=""," ",[1]!s_yq_pctchange($C118,$O$1))</f>
        <v xml:space="preserve"> </v>
      </c>
      <c r="P118" s="24"/>
      <c r="Q118" s="9"/>
    </row>
    <row r="119" spans="1:17" ht="17.25" x14ac:dyDescent="0.2">
      <c r="A119" s="9"/>
      <c r="C119" s="17" t="str">
        <f>IF(指数列表!B116="","",指数列表!B116)</f>
        <v/>
      </c>
      <c r="D119" s="33" t="str">
        <f>IF(C119="","",[1]!s_info_name(C119))</f>
        <v/>
      </c>
      <c r="E119" s="36" t="str">
        <f>IF(C119="","",[1]!s_dq_close(C119,$O$1))</f>
        <v/>
      </c>
      <c r="F119" s="36" t="str">
        <f>IF(C119="","",[1]!s_dq_volume($C119,$O$1))</f>
        <v/>
      </c>
      <c r="G119" s="36" t="str">
        <f>IF(C119="","",[1]!s_dq_oi($C119,$O$1))</f>
        <v/>
      </c>
      <c r="H119" s="18" t="str">
        <f>IF($C119=""," ",[1]!i_pq_pctchange($C119,H$6,$O$1))</f>
        <v xml:space="preserve"> </v>
      </c>
      <c r="I119" s="18" t="str">
        <f>IF($C119=""," ",[1]!i_pq_pctchange($C119,I$6,$O$1))</f>
        <v xml:space="preserve"> </v>
      </c>
      <c r="J119" s="18" t="str">
        <f>IF($C119=""," ",[1]!i_pq_pctchange($C119,J$6,$O$1))</f>
        <v xml:space="preserve"> </v>
      </c>
      <c r="K119" s="18" t="str">
        <f>IF($C119=""," ",[1]!i_pq_pctchange($C119,K$6,$O$1))</f>
        <v xml:space="preserve"> </v>
      </c>
      <c r="L119" s="18" t="str">
        <f>IF($C119=""," ",[1]!i_pq_pctchange($C119,L$6,$O$1))</f>
        <v xml:space="preserve"> </v>
      </c>
      <c r="M119" s="18" t="str">
        <f>IF(C119=""," ",[1]!s_wq_pctchange($C119,$O$1))</f>
        <v xml:space="preserve"> </v>
      </c>
      <c r="N119" s="18" t="str">
        <f>IF(C119=""," ",[1]!s_mq_pctchange($C119,$O$1))</f>
        <v xml:space="preserve"> </v>
      </c>
      <c r="O119" s="18" t="str">
        <f>IF(C119=""," ",[1]!s_yq_pctchange($C119,$O$1))</f>
        <v xml:space="preserve"> </v>
      </c>
      <c r="P119" s="24"/>
      <c r="Q119" s="9"/>
    </row>
    <row r="120" spans="1:17" ht="17.25" x14ac:dyDescent="0.2">
      <c r="A120" s="9"/>
      <c r="C120" s="21" t="str">
        <f>IF(指数列表!B117="","",指数列表!B117)</f>
        <v/>
      </c>
      <c r="D120" s="34" t="str">
        <f>IF(C120="","",[1]!s_info_name(C120))</f>
        <v/>
      </c>
      <c r="E120" s="35" t="str">
        <f>IF(C120="","",[1]!s_dq_close(C120,$O$1))</f>
        <v/>
      </c>
      <c r="F120" s="35" t="str">
        <f>IF(C120="","",[1]!s_dq_volume($C120,$O$1))</f>
        <v/>
      </c>
      <c r="G120" s="35" t="str">
        <f>IF(C120="","",[1]!s_dq_oi($C120,$O$1))</f>
        <v/>
      </c>
      <c r="H120" s="18" t="str">
        <f>IF($C120=""," ",[1]!i_pq_pctchange($C120,H$6,$O$1))</f>
        <v xml:space="preserve"> </v>
      </c>
      <c r="I120" s="18" t="str">
        <f>IF($C120=""," ",[1]!i_pq_pctchange($C120,I$6,$O$1))</f>
        <v xml:space="preserve"> </v>
      </c>
      <c r="J120" s="18" t="str">
        <f>IF($C120=""," ",[1]!i_pq_pctchange($C120,J$6,$O$1))</f>
        <v xml:space="preserve"> </v>
      </c>
      <c r="K120" s="18" t="str">
        <f>IF($C120=""," ",[1]!i_pq_pctchange($C120,K$6,$O$1))</f>
        <v xml:space="preserve"> </v>
      </c>
      <c r="L120" s="18" t="str">
        <f>IF($C120=""," ",[1]!i_pq_pctchange($C120,L$6,$O$1))</f>
        <v xml:space="preserve"> </v>
      </c>
      <c r="M120" s="18" t="str">
        <f>IF(C120=""," ",[1]!s_wq_pctchange($C120,$O$1))</f>
        <v xml:space="preserve"> </v>
      </c>
      <c r="N120" s="18" t="str">
        <f>IF(C120=""," ",[1]!s_mq_pctchange($C120,$O$1))</f>
        <v xml:space="preserve"> </v>
      </c>
      <c r="O120" s="18" t="str">
        <f>IF(C120=""," ",[1]!s_yq_pctchange($C120,$O$1))</f>
        <v xml:space="preserve"> </v>
      </c>
      <c r="P120" s="24"/>
      <c r="Q120" s="9"/>
    </row>
    <row r="121" spans="1:17" ht="17.25" x14ac:dyDescent="0.2">
      <c r="A121" s="9"/>
      <c r="C121" s="17" t="str">
        <f>IF(指数列表!B118="","",指数列表!B118)</f>
        <v/>
      </c>
      <c r="D121" s="33" t="str">
        <f>IF(C121="","",[1]!s_info_name(C121))</f>
        <v/>
      </c>
      <c r="E121" s="36" t="str">
        <f>IF(C121="","",[1]!s_dq_close(C121,$O$1))</f>
        <v/>
      </c>
      <c r="F121" s="36" t="str">
        <f>IF(C121="","",[1]!s_dq_volume($C121,$O$1))</f>
        <v/>
      </c>
      <c r="G121" s="36" t="str">
        <f>IF(C121="","",[1]!s_dq_oi($C121,$O$1))</f>
        <v/>
      </c>
      <c r="H121" s="18" t="str">
        <f>IF($C121=""," ",[1]!i_pq_pctchange($C121,H$6,$O$1))</f>
        <v xml:space="preserve"> </v>
      </c>
      <c r="I121" s="18" t="str">
        <f>IF($C121=""," ",[1]!i_pq_pctchange($C121,I$6,$O$1))</f>
        <v xml:space="preserve"> </v>
      </c>
      <c r="J121" s="18" t="str">
        <f>IF($C121=""," ",[1]!i_pq_pctchange($C121,J$6,$O$1))</f>
        <v xml:space="preserve"> </v>
      </c>
      <c r="K121" s="18" t="str">
        <f>IF($C121=""," ",[1]!i_pq_pctchange($C121,K$6,$O$1))</f>
        <v xml:space="preserve"> </v>
      </c>
      <c r="L121" s="18" t="str">
        <f>IF($C121=""," ",[1]!i_pq_pctchange($C121,L$6,$O$1))</f>
        <v xml:space="preserve"> </v>
      </c>
      <c r="M121" s="18" t="str">
        <f>IF(C121=""," ",[1]!s_wq_pctchange($C121,$O$1))</f>
        <v xml:space="preserve"> </v>
      </c>
      <c r="N121" s="18" t="str">
        <f>IF(C121=""," ",[1]!s_mq_pctchange($C121,$O$1))</f>
        <v xml:space="preserve"> </v>
      </c>
      <c r="O121" s="18" t="str">
        <f>IF(C121=""," ",[1]!s_yq_pctchange($C121,$O$1))</f>
        <v xml:space="preserve"> </v>
      </c>
      <c r="P121" s="24"/>
      <c r="Q121" s="9"/>
    </row>
    <row r="122" spans="1:17" ht="17.25" x14ac:dyDescent="0.2">
      <c r="A122" s="9"/>
      <c r="C122" s="21" t="str">
        <f>IF(指数列表!B119="","",指数列表!B119)</f>
        <v/>
      </c>
      <c r="D122" s="34" t="str">
        <f>IF(C122="","",[1]!s_info_name(C122))</f>
        <v/>
      </c>
      <c r="E122" s="35" t="str">
        <f>IF(C122="","",[1]!s_dq_close(C122,$O$1))</f>
        <v/>
      </c>
      <c r="F122" s="35" t="str">
        <f>IF(C122="","",[1]!s_dq_volume($C122,$O$1))</f>
        <v/>
      </c>
      <c r="G122" s="35" t="str">
        <f>IF(C122="","",[1]!s_dq_oi($C122,$O$1))</f>
        <v/>
      </c>
      <c r="H122" s="18" t="str">
        <f>IF($C122=""," ",[1]!i_pq_pctchange($C122,H$6,$O$1))</f>
        <v xml:space="preserve"> </v>
      </c>
      <c r="I122" s="18" t="str">
        <f>IF($C122=""," ",[1]!i_pq_pctchange($C122,I$6,$O$1))</f>
        <v xml:space="preserve"> </v>
      </c>
      <c r="J122" s="18" t="str">
        <f>IF($C122=""," ",[1]!i_pq_pctchange($C122,J$6,$O$1))</f>
        <v xml:space="preserve"> </v>
      </c>
      <c r="K122" s="18" t="str">
        <f>IF($C122=""," ",[1]!i_pq_pctchange($C122,K$6,$O$1))</f>
        <v xml:space="preserve"> </v>
      </c>
      <c r="L122" s="18" t="str">
        <f>IF($C122=""," ",[1]!i_pq_pctchange($C122,L$6,$O$1))</f>
        <v xml:space="preserve"> </v>
      </c>
      <c r="M122" s="18" t="str">
        <f>IF(C122=""," ",[1]!s_wq_pctchange($C122,$O$1))</f>
        <v xml:space="preserve"> </v>
      </c>
      <c r="N122" s="18" t="str">
        <f>IF(C122=""," ",[1]!s_mq_pctchange($C122,$O$1))</f>
        <v xml:space="preserve"> </v>
      </c>
      <c r="O122" s="18" t="str">
        <f>IF(C122=""," ",[1]!s_yq_pctchange($C122,$O$1))</f>
        <v xml:space="preserve"> </v>
      </c>
      <c r="P122" s="24"/>
      <c r="Q122" s="9"/>
    </row>
    <row r="123" spans="1:17" ht="17.25" x14ac:dyDescent="0.2">
      <c r="A123" s="9"/>
      <c r="C123" s="17" t="str">
        <f>IF(指数列表!B120="","",指数列表!B120)</f>
        <v/>
      </c>
      <c r="D123" s="33" t="str">
        <f>IF(C123="","",[1]!s_info_name(C123))</f>
        <v/>
      </c>
      <c r="E123" s="36" t="str">
        <f>IF(C123="","",[1]!s_dq_close(C123,$O$1))</f>
        <v/>
      </c>
      <c r="F123" s="36" t="str">
        <f>IF(C123="","",[1]!s_dq_volume($C123,$O$1))</f>
        <v/>
      </c>
      <c r="G123" s="36" t="str">
        <f>IF(C123="","",[1]!s_dq_oi($C123,$O$1))</f>
        <v/>
      </c>
      <c r="H123" s="18" t="str">
        <f>IF($C123=""," ",[1]!i_pq_pctchange($C123,H$6,$O$1))</f>
        <v xml:space="preserve"> </v>
      </c>
      <c r="I123" s="18" t="str">
        <f>IF($C123=""," ",[1]!i_pq_pctchange($C123,I$6,$O$1))</f>
        <v xml:space="preserve"> </v>
      </c>
      <c r="J123" s="18" t="str">
        <f>IF($C123=""," ",[1]!i_pq_pctchange($C123,J$6,$O$1))</f>
        <v xml:space="preserve"> </v>
      </c>
      <c r="K123" s="18" t="str">
        <f>IF($C123=""," ",[1]!i_pq_pctchange($C123,K$6,$O$1))</f>
        <v xml:space="preserve"> </v>
      </c>
      <c r="L123" s="18" t="str">
        <f>IF($C123=""," ",[1]!i_pq_pctchange($C123,L$6,$O$1))</f>
        <v xml:space="preserve"> </v>
      </c>
      <c r="M123" s="18" t="str">
        <f>IF(C123=""," ",[1]!s_wq_pctchange($C123,$O$1))</f>
        <v xml:space="preserve"> </v>
      </c>
      <c r="N123" s="18" t="str">
        <f>IF(C123=""," ",[1]!s_mq_pctchange($C123,$O$1))</f>
        <v xml:space="preserve"> </v>
      </c>
      <c r="O123" s="18" t="str">
        <f>IF(C123=""," ",[1]!s_yq_pctchange($C123,$O$1))</f>
        <v xml:space="preserve"> </v>
      </c>
      <c r="P123" s="24"/>
      <c r="Q123" s="9"/>
    </row>
    <row r="124" spans="1:17" ht="17.25" x14ac:dyDescent="0.2">
      <c r="A124" s="9"/>
      <c r="C124" s="21" t="str">
        <f>IF(指数列表!B121="","",指数列表!B121)</f>
        <v/>
      </c>
      <c r="D124" s="34" t="str">
        <f>IF(C124="","",[1]!s_info_name(C124))</f>
        <v/>
      </c>
      <c r="E124" s="35" t="str">
        <f>IF(C124="","",[1]!s_dq_close(C124,$O$1))</f>
        <v/>
      </c>
      <c r="F124" s="35" t="str">
        <f>IF(C124="","",[1]!s_dq_volume($C124,$O$1))</f>
        <v/>
      </c>
      <c r="G124" s="35" t="str">
        <f>IF(C124="","",[1]!s_dq_oi($C124,$O$1))</f>
        <v/>
      </c>
      <c r="H124" s="18" t="str">
        <f>IF($C124=""," ",[1]!i_pq_pctchange($C124,H$6,$O$1))</f>
        <v xml:space="preserve"> </v>
      </c>
      <c r="I124" s="18" t="str">
        <f>IF($C124=""," ",[1]!i_pq_pctchange($C124,I$6,$O$1))</f>
        <v xml:space="preserve"> </v>
      </c>
      <c r="J124" s="18" t="str">
        <f>IF($C124=""," ",[1]!i_pq_pctchange($C124,J$6,$O$1))</f>
        <v xml:space="preserve"> </v>
      </c>
      <c r="K124" s="18" t="str">
        <f>IF($C124=""," ",[1]!i_pq_pctchange($C124,K$6,$O$1))</f>
        <v xml:space="preserve"> </v>
      </c>
      <c r="L124" s="18" t="str">
        <f>IF($C124=""," ",[1]!i_pq_pctchange($C124,L$6,$O$1))</f>
        <v xml:space="preserve"> </v>
      </c>
      <c r="M124" s="18" t="str">
        <f>IF(C124=""," ",[1]!s_wq_pctchange($C124,$O$1))</f>
        <v xml:space="preserve"> </v>
      </c>
      <c r="N124" s="18" t="str">
        <f>IF(C124=""," ",[1]!s_mq_pctchange($C124,$O$1))</f>
        <v xml:space="preserve"> </v>
      </c>
      <c r="O124" s="18" t="str">
        <f>IF(C124=""," ",[1]!s_yq_pctchange($C124,$O$1))</f>
        <v xml:space="preserve"> </v>
      </c>
      <c r="P124" s="24"/>
      <c r="Q124" s="9"/>
    </row>
    <row r="125" spans="1:17" ht="17.25" x14ac:dyDescent="0.2">
      <c r="A125" s="9"/>
      <c r="C125" s="17" t="str">
        <f>IF(指数列表!B122="","",指数列表!B122)</f>
        <v/>
      </c>
      <c r="D125" s="33" t="str">
        <f>IF(C125="","",[1]!s_info_name(C125))</f>
        <v/>
      </c>
      <c r="E125" s="36" t="str">
        <f>IF(C125="","",[1]!s_dq_close(C125,$O$1))</f>
        <v/>
      </c>
      <c r="F125" s="36" t="str">
        <f>IF(C125="","",[1]!s_dq_volume($C125,$O$1))</f>
        <v/>
      </c>
      <c r="G125" s="36" t="str">
        <f>IF(C125="","",[1]!s_dq_oi($C125,$O$1))</f>
        <v/>
      </c>
      <c r="H125" s="18" t="str">
        <f>IF($C125=""," ",[1]!i_pq_pctchange($C125,H$6,$O$1))</f>
        <v xml:space="preserve"> </v>
      </c>
      <c r="I125" s="18" t="str">
        <f>IF($C125=""," ",[1]!i_pq_pctchange($C125,I$6,$O$1))</f>
        <v xml:space="preserve"> </v>
      </c>
      <c r="J125" s="18" t="str">
        <f>IF($C125=""," ",[1]!i_pq_pctchange($C125,J$6,$O$1))</f>
        <v xml:space="preserve"> </v>
      </c>
      <c r="K125" s="18" t="str">
        <f>IF($C125=""," ",[1]!i_pq_pctchange($C125,K$6,$O$1))</f>
        <v xml:space="preserve"> </v>
      </c>
      <c r="L125" s="18" t="str">
        <f>IF($C125=""," ",[1]!i_pq_pctchange($C125,L$6,$O$1))</f>
        <v xml:space="preserve"> </v>
      </c>
      <c r="M125" s="18" t="str">
        <f>IF(C125=""," ",[1]!s_wq_pctchange($C125,$O$1))</f>
        <v xml:space="preserve"> </v>
      </c>
      <c r="N125" s="18" t="str">
        <f>IF(C125=""," ",[1]!s_mq_pctchange($C125,$O$1))</f>
        <v xml:space="preserve"> </v>
      </c>
      <c r="O125" s="18" t="str">
        <f>IF(C125=""," ",[1]!s_yq_pctchange($C125,$O$1))</f>
        <v xml:space="preserve"> </v>
      </c>
      <c r="P125" s="24"/>
      <c r="Q125" s="9"/>
    </row>
    <row r="126" spans="1:17" ht="17.25" x14ac:dyDescent="0.2">
      <c r="A126" s="9"/>
      <c r="C126" s="21" t="str">
        <f>IF(指数列表!B123="","",指数列表!B123)</f>
        <v/>
      </c>
      <c r="D126" s="34" t="str">
        <f>IF(C126="","",[1]!s_info_name(C126))</f>
        <v/>
      </c>
      <c r="E126" s="35" t="str">
        <f>IF(C126="","",[1]!s_dq_close(C126,$O$1))</f>
        <v/>
      </c>
      <c r="F126" s="35" t="str">
        <f>IF(C126="","",[1]!s_dq_volume($C126,$O$1))</f>
        <v/>
      </c>
      <c r="G126" s="35" t="str">
        <f>IF(C126="","",[1]!s_dq_oi($C126,$O$1))</f>
        <v/>
      </c>
      <c r="H126" s="18" t="str">
        <f>IF($C126=""," ",[1]!i_pq_pctchange($C126,H$6,$O$1))</f>
        <v xml:space="preserve"> </v>
      </c>
      <c r="I126" s="18" t="str">
        <f>IF($C126=""," ",[1]!i_pq_pctchange($C126,I$6,$O$1))</f>
        <v xml:space="preserve"> </v>
      </c>
      <c r="J126" s="18" t="str">
        <f>IF($C126=""," ",[1]!i_pq_pctchange($C126,J$6,$O$1))</f>
        <v xml:space="preserve"> </v>
      </c>
      <c r="K126" s="18" t="str">
        <f>IF($C126=""," ",[1]!i_pq_pctchange($C126,K$6,$O$1))</f>
        <v xml:space="preserve"> </v>
      </c>
      <c r="L126" s="18" t="str">
        <f>IF($C126=""," ",[1]!i_pq_pctchange($C126,L$6,$O$1))</f>
        <v xml:space="preserve"> </v>
      </c>
      <c r="M126" s="18" t="str">
        <f>IF(C126=""," ",[1]!s_wq_pctchange($C126,$O$1))</f>
        <v xml:space="preserve"> </v>
      </c>
      <c r="N126" s="18" t="str">
        <f>IF(C126=""," ",[1]!s_mq_pctchange($C126,$O$1))</f>
        <v xml:space="preserve"> </v>
      </c>
      <c r="O126" s="18" t="str">
        <f>IF(C126=""," ",[1]!s_yq_pctchange($C126,$O$1))</f>
        <v xml:space="preserve"> </v>
      </c>
      <c r="P126" s="24"/>
      <c r="Q126" s="9"/>
    </row>
    <row r="127" spans="1:17" ht="17.25" x14ac:dyDescent="0.2">
      <c r="A127" s="9"/>
      <c r="C127" s="17" t="str">
        <f>IF(指数列表!B124="","",指数列表!B124)</f>
        <v/>
      </c>
      <c r="D127" s="33" t="str">
        <f>IF(C127="","",[1]!s_info_name(C127))</f>
        <v/>
      </c>
      <c r="E127" s="36" t="str">
        <f>IF(C127="","",[1]!s_dq_close(C127,$O$1))</f>
        <v/>
      </c>
      <c r="F127" s="36" t="str">
        <f>IF(C127="","",[1]!s_dq_volume($C127,$O$1))</f>
        <v/>
      </c>
      <c r="G127" s="36" t="str">
        <f>IF(C127="","",[1]!s_dq_oi($C127,$O$1))</f>
        <v/>
      </c>
      <c r="H127" s="18" t="str">
        <f>IF($C127=""," ",[1]!i_pq_pctchange($C127,H$6,$O$1))</f>
        <v xml:space="preserve"> </v>
      </c>
      <c r="I127" s="18" t="str">
        <f>IF($C127=""," ",[1]!i_pq_pctchange($C127,I$6,$O$1))</f>
        <v xml:space="preserve"> </v>
      </c>
      <c r="J127" s="18" t="str">
        <f>IF($C127=""," ",[1]!i_pq_pctchange($C127,J$6,$O$1))</f>
        <v xml:space="preserve"> </v>
      </c>
      <c r="K127" s="18" t="str">
        <f>IF($C127=""," ",[1]!i_pq_pctchange($C127,K$6,$O$1))</f>
        <v xml:space="preserve"> </v>
      </c>
      <c r="L127" s="18" t="str">
        <f>IF($C127=""," ",[1]!i_pq_pctchange($C127,L$6,$O$1))</f>
        <v xml:space="preserve"> </v>
      </c>
      <c r="M127" s="18" t="str">
        <f>IF(C127=""," ",[1]!s_wq_pctchange($C127,$O$1))</f>
        <v xml:space="preserve"> </v>
      </c>
      <c r="N127" s="18" t="str">
        <f>IF(C127=""," ",[1]!s_mq_pctchange($C127,$O$1))</f>
        <v xml:space="preserve"> </v>
      </c>
      <c r="O127" s="18" t="str">
        <f>IF(C127=""," ",[1]!s_yq_pctchange($C127,$O$1))</f>
        <v xml:space="preserve"> </v>
      </c>
      <c r="P127" s="24"/>
      <c r="Q127" s="9"/>
    </row>
    <row r="128" spans="1:17" ht="17.25" x14ac:dyDescent="0.2">
      <c r="A128" s="9"/>
      <c r="C128" s="21" t="str">
        <f>IF(指数列表!B125="","",指数列表!B125)</f>
        <v/>
      </c>
      <c r="D128" s="34" t="str">
        <f>IF(C128="","",[1]!s_info_name(C128))</f>
        <v/>
      </c>
      <c r="E128" s="35" t="str">
        <f>IF(C128="","",[1]!s_dq_close(C128,$O$1))</f>
        <v/>
      </c>
      <c r="F128" s="35" t="str">
        <f>IF(C128="","",[1]!s_dq_volume($C128,$O$1))</f>
        <v/>
      </c>
      <c r="G128" s="35" t="str">
        <f>IF(C128="","",[1]!s_dq_oi($C128,$O$1))</f>
        <v/>
      </c>
      <c r="H128" s="18" t="str">
        <f>IF($C128=""," ",[1]!i_pq_pctchange($C128,H$6,$O$1))</f>
        <v xml:space="preserve"> </v>
      </c>
      <c r="I128" s="18" t="str">
        <f>IF($C128=""," ",[1]!i_pq_pctchange($C128,I$6,$O$1))</f>
        <v xml:space="preserve"> </v>
      </c>
      <c r="J128" s="18" t="str">
        <f>IF($C128=""," ",[1]!i_pq_pctchange($C128,J$6,$O$1))</f>
        <v xml:space="preserve"> </v>
      </c>
      <c r="K128" s="18" t="str">
        <f>IF($C128=""," ",[1]!i_pq_pctchange($C128,K$6,$O$1))</f>
        <v xml:space="preserve"> </v>
      </c>
      <c r="L128" s="18" t="str">
        <f>IF($C128=""," ",[1]!i_pq_pctchange($C128,L$6,$O$1))</f>
        <v xml:space="preserve"> </v>
      </c>
      <c r="M128" s="18" t="str">
        <f>IF(C128=""," ",[1]!s_wq_pctchange($C128,$O$1))</f>
        <v xml:space="preserve"> </v>
      </c>
      <c r="N128" s="18" t="str">
        <f>IF(C128=""," ",[1]!s_mq_pctchange($C128,$O$1))</f>
        <v xml:space="preserve"> </v>
      </c>
      <c r="O128" s="18" t="str">
        <f>IF(C128=""," ",[1]!s_yq_pctchange($C128,$O$1))</f>
        <v xml:space="preserve"> </v>
      </c>
      <c r="P128" s="24"/>
      <c r="Q128" s="9"/>
    </row>
    <row r="129" spans="1:17" ht="17.25" x14ac:dyDescent="0.2">
      <c r="A129" s="9"/>
      <c r="C129" s="17" t="str">
        <f>IF(指数列表!B126="","",指数列表!B126)</f>
        <v/>
      </c>
      <c r="D129" s="33" t="str">
        <f>IF(C129="","",[1]!s_info_name(C129))</f>
        <v/>
      </c>
      <c r="E129" s="36" t="str">
        <f>IF(C129="","",[1]!s_dq_close(C129,$O$1))</f>
        <v/>
      </c>
      <c r="F129" s="36" t="str">
        <f>IF(C129="","",[1]!s_dq_volume($C129,$O$1))</f>
        <v/>
      </c>
      <c r="G129" s="36" t="str">
        <f>IF(C129="","",[1]!s_dq_oi($C129,$O$1))</f>
        <v/>
      </c>
      <c r="H129" s="18" t="str">
        <f>IF($C129=""," ",[1]!i_pq_pctchange($C129,H$6,$O$1))</f>
        <v xml:space="preserve"> </v>
      </c>
      <c r="I129" s="18" t="str">
        <f>IF($C129=""," ",[1]!i_pq_pctchange($C129,I$6,$O$1))</f>
        <v xml:space="preserve"> </v>
      </c>
      <c r="J129" s="18" t="str">
        <f>IF($C129=""," ",[1]!i_pq_pctchange($C129,J$6,$O$1))</f>
        <v xml:space="preserve"> </v>
      </c>
      <c r="K129" s="18" t="str">
        <f>IF($C129=""," ",[1]!i_pq_pctchange($C129,K$6,$O$1))</f>
        <v xml:space="preserve"> </v>
      </c>
      <c r="L129" s="18" t="str">
        <f>IF($C129=""," ",[1]!i_pq_pctchange($C129,L$6,$O$1))</f>
        <v xml:space="preserve"> </v>
      </c>
      <c r="M129" s="18" t="str">
        <f>IF(C129=""," ",[1]!s_wq_pctchange($C129,$O$1))</f>
        <v xml:space="preserve"> </v>
      </c>
      <c r="N129" s="18" t="str">
        <f>IF(C129=""," ",[1]!s_mq_pctchange($C129,$O$1))</f>
        <v xml:space="preserve"> </v>
      </c>
      <c r="O129" s="18" t="str">
        <f>IF(C129=""," ",[1]!s_yq_pctchange($C129,$O$1))</f>
        <v xml:space="preserve"> </v>
      </c>
      <c r="P129" s="24"/>
      <c r="Q129" s="9"/>
    </row>
    <row r="130" spans="1:17" ht="17.25" x14ac:dyDescent="0.2">
      <c r="A130" s="9"/>
      <c r="C130" s="21" t="str">
        <f>IF(指数列表!B127="","",指数列表!B127)</f>
        <v/>
      </c>
      <c r="D130" s="34" t="str">
        <f>IF(C130="","",[1]!s_info_name(C130))</f>
        <v/>
      </c>
      <c r="E130" s="35" t="str">
        <f>IF(C130="","",[1]!s_dq_close(C130,$O$1))</f>
        <v/>
      </c>
      <c r="F130" s="35" t="str">
        <f>IF(C130="","",[1]!s_dq_volume($C130,$O$1))</f>
        <v/>
      </c>
      <c r="G130" s="35" t="str">
        <f>IF(C130="","",[1]!s_dq_oi($C130,$O$1))</f>
        <v/>
      </c>
      <c r="H130" s="18" t="str">
        <f>IF($C130=""," ",[1]!i_pq_pctchange($C130,H$6,$O$1))</f>
        <v xml:space="preserve"> </v>
      </c>
      <c r="I130" s="18" t="str">
        <f>IF($C130=""," ",[1]!i_pq_pctchange($C130,I$6,$O$1))</f>
        <v xml:space="preserve"> </v>
      </c>
      <c r="J130" s="18" t="str">
        <f>IF($C130=""," ",[1]!i_pq_pctchange($C130,J$6,$O$1))</f>
        <v xml:space="preserve"> </v>
      </c>
      <c r="K130" s="18" t="str">
        <f>IF($C130=""," ",[1]!i_pq_pctchange($C130,K$6,$O$1))</f>
        <v xml:space="preserve"> </v>
      </c>
      <c r="L130" s="18" t="str">
        <f>IF($C130=""," ",[1]!i_pq_pctchange($C130,L$6,$O$1))</f>
        <v xml:space="preserve"> </v>
      </c>
      <c r="M130" s="18" t="str">
        <f>IF(C130=""," ",[1]!s_wq_pctchange($C130,$O$1))</f>
        <v xml:space="preserve"> </v>
      </c>
      <c r="N130" s="18" t="str">
        <f>IF(C130=""," ",[1]!s_mq_pctchange($C130,$O$1))</f>
        <v xml:space="preserve"> </v>
      </c>
      <c r="O130" s="18" t="str">
        <f>IF(C130=""," ",[1]!s_yq_pctchange($C130,$O$1))</f>
        <v xml:space="preserve"> </v>
      </c>
      <c r="P130" s="24"/>
      <c r="Q130" s="9"/>
    </row>
    <row r="131" spans="1:17" ht="17.25" x14ac:dyDescent="0.2">
      <c r="A131" s="9"/>
      <c r="C131" s="17" t="str">
        <f>IF(指数列表!B128="","",指数列表!B128)</f>
        <v/>
      </c>
      <c r="D131" s="33" t="str">
        <f>IF(C131="","",[1]!s_info_name(C131))</f>
        <v/>
      </c>
      <c r="E131" s="36" t="str">
        <f>IF(C131="","",[1]!s_dq_close(C131,$O$1))</f>
        <v/>
      </c>
      <c r="F131" s="36" t="str">
        <f>IF(C131="","",[1]!s_dq_volume($C131,$O$1))</f>
        <v/>
      </c>
      <c r="G131" s="36" t="str">
        <f>IF(C131="","",[1]!s_dq_oi($C131,$O$1))</f>
        <v/>
      </c>
      <c r="H131" s="18" t="str">
        <f>IF($C131=""," ",[1]!i_pq_pctchange($C131,H$6,$O$1))</f>
        <v xml:space="preserve"> </v>
      </c>
      <c r="I131" s="18" t="str">
        <f>IF($C131=""," ",[1]!i_pq_pctchange($C131,I$6,$O$1))</f>
        <v xml:space="preserve"> </v>
      </c>
      <c r="J131" s="18" t="str">
        <f>IF($C131=""," ",[1]!i_pq_pctchange($C131,J$6,$O$1))</f>
        <v xml:space="preserve"> </v>
      </c>
      <c r="K131" s="18" t="str">
        <f>IF($C131=""," ",[1]!i_pq_pctchange($C131,K$6,$O$1))</f>
        <v xml:space="preserve"> </v>
      </c>
      <c r="L131" s="18" t="str">
        <f>IF($C131=""," ",[1]!i_pq_pctchange($C131,L$6,$O$1))</f>
        <v xml:space="preserve"> </v>
      </c>
      <c r="M131" s="18" t="str">
        <f>IF(C131=""," ",[1]!s_wq_pctchange($C131,$O$1))</f>
        <v xml:space="preserve"> </v>
      </c>
      <c r="N131" s="18" t="str">
        <f>IF(C131=""," ",[1]!s_mq_pctchange($C131,$O$1))</f>
        <v xml:space="preserve"> </v>
      </c>
      <c r="O131" s="18" t="str">
        <f>IF(C131=""," ",[1]!s_yq_pctchange($C131,$O$1))</f>
        <v xml:space="preserve"> </v>
      </c>
      <c r="P131" s="24"/>
      <c r="Q131" s="9"/>
    </row>
    <row r="132" spans="1:17" ht="17.25" x14ac:dyDescent="0.2">
      <c r="A132" s="9"/>
      <c r="C132" s="21" t="str">
        <f>IF(指数列表!B129="","",指数列表!B129)</f>
        <v/>
      </c>
      <c r="D132" s="34" t="str">
        <f>IF(C132="","",[1]!s_info_name(C132))</f>
        <v/>
      </c>
      <c r="E132" s="35" t="str">
        <f>IF(C132="","",[1]!s_dq_close(C132,$O$1))</f>
        <v/>
      </c>
      <c r="F132" s="35" t="str">
        <f>IF(C132="","",[1]!s_dq_volume($C132,$O$1))</f>
        <v/>
      </c>
      <c r="G132" s="35" t="str">
        <f>IF(C132="","",[1]!s_dq_oi($C132,$O$1))</f>
        <v/>
      </c>
      <c r="H132" s="18" t="str">
        <f>IF($C132=""," ",[1]!i_pq_pctchange($C132,H$6,$O$1))</f>
        <v xml:space="preserve"> </v>
      </c>
      <c r="I132" s="18" t="str">
        <f>IF($C132=""," ",[1]!i_pq_pctchange($C132,I$6,$O$1))</f>
        <v xml:space="preserve"> </v>
      </c>
      <c r="J132" s="18" t="str">
        <f>IF($C132=""," ",[1]!i_pq_pctchange($C132,J$6,$O$1))</f>
        <v xml:space="preserve"> </v>
      </c>
      <c r="K132" s="18" t="str">
        <f>IF($C132=""," ",[1]!i_pq_pctchange($C132,K$6,$O$1))</f>
        <v xml:space="preserve"> </v>
      </c>
      <c r="L132" s="18" t="str">
        <f>IF($C132=""," ",[1]!i_pq_pctchange($C132,L$6,$O$1))</f>
        <v xml:space="preserve"> </v>
      </c>
      <c r="M132" s="18" t="str">
        <f>IF(C132=""," ",[1]!s_wq_pctchange($C132,$O$1))</f>
        <v xml:space="preserve"> </v>
      </c>
      <c r="N132" s="18" t="str">
        <f>IF(C132=""," ",[1]!s_mq_pctchange($C132,$O$1))</f>
        <v xml:space="preserve"> </v>
      </c>
      <c r="O132" s="18" t="str">
        <f>IF(C132=""," ",[1]!s_yq_pctchange($C132,$O$1))</f>
        <v xml:space="preserve"> </v>
      </c>
      <c r="P132" s="24"/>
      <c r="Q132" s="9"/>
    </row>
    <row r="133" spans="1:17" ht="17.25" x14ac:dyDescent="0.2">
      <c r="A133" s="9"/>
      <c r="C133" s="17" t="str">
        <f>IF(指数列表!B130="","",指数列表!B130)</f>
        <v/>
      </c>
      <c r="D133" s="33" t="str">
        <f>IF(C133="","",[1]!s_info_name(C133))</f>
        <v/>
      </c>
      <c r="E133" s="36" t="str">
        <f>IF(C133="","",[1]!s_dq_close(C133,$O$1))</f>
        <v/>
      </c>
      <c r="F133" s="36" t="str">
        <f>IF(C133="","",[1]!s_dq_volume($C133,$O$1))</f>
        <v/>
      </c>
      <c r="G133" s="36" t="str">
        <f>IF(C133="","",[1]!s_dq_oi($C133,$O$1))</f>
        <v/>
      </c>
      <c r="H133" s="18" t="str">
        <f>IF($C133=""," ",[1]!i_pq_pctchange($C133,H$6,$O$1))</f>
        <v xml:space="preserve"> </v>
      </c>
      <c r="I133" s="18" t="str">
        <f>IF($C133=""," ",[1]!i_pq_pctchange($C133,I$6,$O$1))</f>
        <v xml:space="preserve"> </v>
      </c>
      <c r="J133" s="18" t="str">
        <f>IF($C133=""," ",[1]!i_pq_pctchange($C133,J$6,$O$1))</f>
        <v xml:space="preserve"> </v>
      </c>
      <c r="K133" s="18" t="str">
        <f>IF($C133=""," ",[1]!i_pq_pctchange($C133,K$6,$O$1))</f>
        <v xml:space="preserve"> </v>
      </c>
      <c r="L133" s="18" t="str">
        <f>IF($C133=""," ",[1]!i_pq_pctchange($C133,L$6,$O$1))</f>
        <v xml:space="preserve"> </v>
      </c>
      <c r="M133" s="18" t="str">
        <f>IF(C133=""," ",[1]!s_wq_pctchange($C133,$O$1))</f>
        <v xml:space="preserve"> </v>
      </c>
      <c r="N133" s="18" t="str">
        <f>IF(C133=""," ",[1]!s_mq_pctchange($C133,$O$1))</f>
        <v xml:space="preserve"> </v>
      </c>
      <c r="O133" s="18" t="str">
        <f>IF(C133=""," ",[1]!s_yq_pctchange($C133,$O$1))</f>
        <v xml:space="preserve"> </v>
      </c>
      <c r="P133" s="24"/>
      <c r="Q133" s="9"/>
    </row>
    <row r="134" spans="1:17" ht="17.25" x14ac:dyDescent="0.2">
      <c r="A134" s="9"/>
      <c r="C134" s="21" t="str">
        <f>IF(指数列表!B131="","",指数列表!B131)</f>
        <v/>
      </c>
      <c r="D134" s="34" t="str">
        <f>IF(C134="","",[1]!s_info_name(C134))</f>
        <v/>
      </c>
      <c r="E134" s="35" t="str">
        <f>IF(C134="","",[1]!s_dq_close(C134,$O$1))</f>
        <v/>
      </c>
      <c r="F134" s="35" t="str">
        <f>IF(C134="","",[1]!s_dq_volume($C134,$O$1))</f>
        <v/>
      </c>
      <c r="G134" s="35" t="str">
        <f>IF(C134="","",[1]!s_dq_oi($C134,$O$1))</f>
        <v/>
      </c>
      <c r="H134" s="18" t="str">
        <f>IF($C134=""," ",[1]!i_pq_pctchange($C134,H$6,$O$1))</f>
        <v xml:space="preserve"> </v>
      </c>
      <c r="I134" s="18" t="str">
        <f>IF($C134=""," ",[1]!i_pq_pctchange($C134,I$6,$O$1))</f>
        <v xml:space="preserve"> </v>
      </c>
      <c r="J134" s="18" t="str">
        <f>IF($C134=""," ",[1]!i_pq_pctchange($C134,J$6,$O$1))</f>
        <v xml:space="preserve"> </v>
      </c>
      <c r="K134" s="18" t="str">
        <f>IF($C134=""," ",[1]!i_pq_pctchange($C134,K$6,$O$1))</f>
        <v xml:space="preserve"> </v>
      </c>
      <c r="L134" s="18" t="str">
        <f>IF($C134=""," ",[1]!i_pq_pctchange($C134,L$6,$O$1))</f>
        <v xml:space="preserve"> </v>
      </c>
      <c r="M134" s="18" t="str">
        <f>IF(C134=""," ",[1]!s_wq_pctchange($C134,$O$1))</f>
        <v xml:space="preserve"> </v>
      </c>
      <c r="N134" s="18" t="str">
        <f>IF(C134=""," ",[1]!s_mq_pctchange($C134,$O$1))</f>
        <v xml:space="preserve"> </v>
      </c>
      <c r="O134" s="18" t="str">
        <f>IF(C134=""," ",[1]!s_yq_pctchange($C134,$O$1))</f>
        <v xml:space="preserve"> </v>
      </c>
      <c r="P134" s="24"/>
      <c r="Q134" s="9"/>
    </row>
    <row r="135" spans="1:17" ht="17.25" x14ac:dyDescent="0.2">
      <c r="A135" s="9"/>
      <c r="C135" s="17" t="str">
        <f>IF(指数列表!B132="","",指数列表!B132)</f>
        <v/>
      </c>
      <c r="D135" s="33" t="str">
        <f>IF(C135="","",[1]!s_info_name(C135))</f>
        <v/>
      </c>
      <c r="E135" s="36" t="str">
        <f>IF(C135="","",[1]!s_dq_close(C135,$O$1))</f>
        <v/>
      </c>
      <c r="F135" s="36" t="str">
        <f>IF(C135="","",[1]!s_dq_volume($C135,$O$1))</f>
        <v/>
      </c>
      <c r="G135" s="36" t="str">
        <f>IF(C135="","",[1]!s_dq_oi($C135,$O$1))</f>
        <v/>
      </c>
      <c r="H135" s="18" t="str">
        <f>IF($C135=""," ",[1]!i_pq_pctchange($C135,H$6,$O$1))</f>
        <v xml:space="preserve"> </v>
      </c>
      <c r="I135" s="18" t="str">
        <f>IF($C135=""," ",[1]!i_pq_pctchange($C135,I$6,$O$1))</f>
        <v xml:space="preserve"> </v>
      </c>
      <c r="J135" s="18" t="str">
        <f>IF($C135=""," ",[1]!i_pq_pctchange($C135,J$6,$O$1))</f>
        <v xml:space="preserve"> </v>
      </c>
      <c r="K135" s="18" t="str">
        <f>IF($C135=""," ",[1]!i_pq_pctchange($C135,K$6,$O$1))</f>
        <v xml:space="preserve"> </v>
      </c>
      <c r="L135" s="18" t="str">
        <f>IF($C135=""," ",[1]!i_pq_pctchange($C135,L$6,$O$1))</f>
        <v xml:space="preserve"> </v>
      </c>
      <c r="M135" s="18" t="str">
        <f>IF(C135=""," ",[1]!s_wq_pctchange($C135,$O$1))</f>
        <v xml:space="preserve"> </v>
      </c>
      <c r="N135" s="18" t="str">
        <f>IF(C135=""," ",[1]!s_mq_pctchange($C135,$O$1))</f>
        <v xml:space="preserve"> </v>
      </c>
      <c r="O135" s="18" t="str">
        <f>IF(C135=""," ",[1]!s_yq_pctchange($C135,$O$1))</f>
        <v xml:space="preserve"> </v>
      </c>
      <c r="P135" s="24"/>
      <c r="Q135" s="9"/>
    </row>
    <row r="136" spans="1:17" ht="17.25" x14ac:dyDescent="0.2">
      <c r="A136" s="9"/>
      <c r="C136" s="21" t="str">
        <f>IF(指数列表!B133="","",指数列表!B133)</f>
        <v/>
      </c>
      <c r="D136" s="34" t="str">
        <f>IF(C136="","",[1]!s_info_name(C136))</f>
        <v/>
      </c>
      <c r="E136" s="35" t="str">
        <f>IF(C136="","",[1]!s_dq_close(C136,$O$1))</f>
        <v/>
      </c>
      <c r="F136" s="35" t="str">
        <f>IF(C136="","",[1]!s_dq_volume($C136,$O$1))</f>
        <v/>
      </c>
      <c r="G136" s="35" t="str">
        <f>IF(C136="","",[1]!s_dq_oi($C136,$O$1))</f>
        <v/>
      </c>
      <c r="H136" s="18" t="str">
        <f>IF($C136=""," ",[1]!i_pq_pctchange($C136,H$6,$O$1))</f>
        <v xml:space="preserve"> </v>
      </c>
      <c r="I136" s="18" t="str">
        <f>IF($C136=""," ",[1]!i_pq_pctchange($C136,I$6,$O$1))</f>
        <v xml:space="preserve"> </v>
      </c>
      <c r="J136" s="18" t="str">
        <f>IF($C136=""," ",[1]!i_pq_pctchange($C136,J$6,$O$1))</f>
        <v xml:space="preserve"> </v>
      </c>
      <c r="K136" s="18" t="str">
        <f>IF($C136=""," ",[1]!i_pq_pctchange($C136,K$6,$O$1))</f>
        <v xml:space="preserve"> </v>
      </c>
      <c r="L136" s="18" t="str">
        <f>IF($C136=""," ",[1]!i_pq_pctchange($C136,L$6,$O$1))</f>
        <v xml:space="preserve"> </v>
      </c>
      <c r="M136" s="18" t="str">
        <f>IF(C136=""," ",[1]!s_wq_pctchange($C136,$O$1))</f>
        <v xml:space="preserve"> </v>
      </c>
      <c r="N136" s="18" t="str">
        <f>IF(C136=""," ",[1]!s_mq_pctchange($C136,$O$1))</f>
        <v xml:space="preserve"> </v>
      </c>
      <c r="O136" s="18" t="str">
        <f>IF(C136=""," ",[1]!s_yq_pctchange($C136,$O$1))</f>
        <v xml:space="preserve"> </v>
      </c>
      <c r="P136" s="24"/>
      <c r="Q136" s="9"/>
    </row>
    <row r="137" spans="1:17" ht="17.25" x14ac:dyDescent="0.2">
      <c r="A137" s="9"/>
      <c r="C137" s="17" t="str">
        <f>IF(指数列表!B134="","",指数列表!B134)</f>
        <v/>
      </c>
      <c r="D137" s="33" t="str">
        <f>IF(C137="","",[1]!s_info_name(C137))</f>
        <v/>
      </c>
      <c r="E137" s="36" t="str">
        <f>IF(C137="","",[1]!s_dq_close(C137,$O$1))</f>
        <v/>
      </c>
      <c r="F137" s="36" t="str">
        <f>IF(C137="","",[1]!s_dq_volume($C137,$O$1))</f>
        <v/>
      </c>
      <c r="G137" s="36" t="str">
        <f>IF(C137="","",[1]!s_dq_oi($C137,$O$1))</f>
        <v/>
      </c>
      <c r="H137" s="18" t="str">
        <f>IF($C137=""," ",[1]!i_pq_pctchange($C137,H$6,$O$1))</f>
        <v xml:space="preserve"> </v>
      </c>
      <c r="I137" s="18" t="str">
        <f>IF($C137=""," ",[1]!i_pq_pctchange($C137,I$6,$O$1))</f>
        <v xml:space="preserve"> </v>
      </c>
      <c r="J137" s="18" t="str">
        <f>IF($C137=""," ",[1]!i_pq_pctchange($C137,J$6,$O$1))</f>
        <v xml:space="preserve"> </v>
      </c>
      <c r="K137" s="18" t="str">
        <f>IF($C137=""," ",[1]!i_pq_pctchange($C137,K$6,$O$1))</f>
        <v xml:space="preserve"> </v>
      </c>
      <c r="L137" s="18" t="str">
        <f>IF($C137=""," ",[1]!i_pq_pctchange($C137,L$6,$O$1))</f>
        <v xml:space="preserve"> </v>
      </c>
      <c r="M137" s="18" t="str">
        <f>IF(C137=""," ",[1]!s_wq_pctchange($C137,$O$1))</f>
        <v xml:space="preserve"> </v>
      </c>
      <c r="N137" s="18" t="str">
        <f>IF(C137=""," ",[1]!s_mq_pctchange($C137,$O$1))</f>
        <v xml:space="preserve"> </v>
      </c>
      <c r="O137" s="18" t="str">
        <f>IF(C137=""," ",[1]!s_yq_pctchange($C137,$O$1))</f>
        <v xml:space="preserve"> </v>
      </c>
      <c r="P137" s="24"/>
      <c r="Q137" s="9"/>
    </row>
    <row r="138" spans="1:17" ht="17.25" x14ac:dyDescent="0.2">
      <c r="A138" s="9"/>
      <c r="C138" s="21" t="str">
        <f>IF(指数列表!B135="","",指数列表!B135)</f>
        <v/>
      </c>
      <c r="D138" s="34" t="str">
        <f>IF(C138="","",[1]!s_info_name(C138))</f>
        <v/>
      </c>
      <c r="E138" s="35" t="str">
        <f>IF(C138="","",[1]!s_dq_close(C138,$O$1))</f>
        <v/>
      </c>
      <c r="F138" s="35" t="str">
        <f>IF(C138="","",[1]!s_dq_volume($C138,$O$1))</f>
        <v/>
      </c>
      <c r="G138" s="35" t="str">
        <f>IF(C138="","",[1]!s_dq_oi($C138,$O$1))</f>
        <v/>
      </c>
      <c r="H138" s="18" t="str">
        <f>IF($C138=""," ",[1]!i_pq_pctchange($C138,H$6,$O$1))</f>
        <v xml:space="preserve"> </v>
      </c>
      <c r="I138" s="18" t="str">
        <f>IF($C138=""," ",[1]!i_pq_pctchange($C138,I$6,$O$1))</f>
        <v xml:space="preserve"> </v>
      </c>
      <c r="J138" s="18" t="str">
        <f>IF($C138=""," ",[1]!i_pq_pctchange($C138,J$6,$O$1))</f>
        <v xml:space="preserve"> </v>
      </c>
      <c r="K138" s="18" t="str">
        <f>IF($C138=""," ",[1]!i_pq_pctchange($C138,K$6,$O$1))</f>
        <v xml:space="preserve"> </v>
      </c>
      <c r="L138" s="18" t="str">
        <f>IF($C138=""," ",[1]!i_pq_pctchange($C138,L$6,$O$1))</f>
        <v xml:space="preserve"> </v>
      </c>
      <c r="M138" s="18" t="str">
        <f>IF(C138=""," ",[1]!s_wq_pctchange($C138,$O$1))</f>
        <v xml:space="preserve"> </v>
      </c>
      <c r="N138" s="18" t="str">
        <f>IF(C138=""," ",[1]!s_mq_pctchange($C138,$O$1))</f>
        <v xml:space="preserve"> </v>
      </c>
      <c r="O138" s="18" t="str">
        <f>IF(C138=""," ",[1]!s_yq_pctchange($C138,$O$1))</f>
        <v xml:space="preserve"> </v>
      </c>
      <c r="P138" s="24"/>
      <c r="Q138" s="9"/>
    </row>
    <row r="139" spans="1:17" ht="17.25" x14ac:dyDescent="0.2">
      <c r="A139" s="9"/>
      <c r="C139" s="17" t="str">
        <f>IF(指数列表!B136="","",指数列表!B136)</f>
        <v/>
      </c>
      <c r="D139" s="33" t="str">
        <f>IF(C139="","",[1]!s_info_name(C139))</f>
        <v/>
      </c>
      <c r="E139" s="36" t="str">
        <f>IF(C139="","",[1]!s_dq_close(C139,$O$1))</f>
        <v/>
      </c>
      <c r="F139" s="36" t="str">
        <f>IF(C139="","",[1]!s_dq_volume($C139,$O$1))</f>
        <v/>
      </c>
      <c r="G139" s="36" t="str">
        <f>IF(C139="","",[1]!s_dq_oi($C139,$O$1))</f>
        <v/>
      </c>
      <c r="H139" s="18" t="str">
        <f>IF($C139=""," ",[1]!i_pq_pctchange($C139,H$6,$O$1))</f>
        <v xml:space="preserve"> </v>
      </c>
      <c r="I139" s="18" t="str">
        <f>IF($C139=""," ",[1]!i_pq_pctchange($C139,I$6,$O$1))</f>
        <v xml:space="preserve"> </v>
      </c>
      <c r="J139" s="18" t="str">
        <f>IF($C139=""," ",[1]!i_pq_pctchange($C139,J$6,$O$1))</f>
        <v xml:space="preserve"> </v>
      </c>
      <c r="K139" s="18" t="str">
        <f>IF($C139=""," ",[1]!i_pq_pctchange($C139,K$6,$O$1))</f>
        <v xml:space="preserve"> </v>
      </c>
      <c r="L139" s="18" t="str">
        <f>IF($C139=""," ",[1]!i_pq_pctchange($C139,L$6,$O$1))</f>
        <v xml:space="preserve"> </v>
      </c>
      <c r="M139" s="18" t="str">
        <f>IF(C139=""," ",[1]!s_wq_pctchange($C139,$O$1))</f>
        <v xml:space="preserve"> </v>
      </c>
      <c r="N139" s="18" t="str">
        <f>IF(C139=""," ",[1]!s_mq_pctchange($C139,$O$1))</f>
        <v xml:space="preserve"> </v>
      </c>
      <c r="O139" s="18" t="str">
        <f>IF(C139=""," ",[1]!s_yq_pctchange($C139,$O$1))</f>
        <v xml:space="preserve"> </v>
      </c>
      <c r="P139" s="24"/>
      <c r="Q139" s="9"/>
    </row>
    <row r="140" spans="1:17" ht="17.25" x14ac:dyDescent="0.2">
      <c r="A140" s="9"/>
      <c r="C140" s="21" t="str">
        <f>IF(指数列表!B137="","",指数列表!B137)</f>
        <v/>
      </c>
      <c r="D140" s="34" t="str">
        <f>IF(C140="","",[1]!s_info_name(C140))</f>
        <v/>
      </c>
      <c r="E140" s="35" t="str">
        <f>IF(C140="","",[1]!s_dq_close(C140,$O$1))</f>
        <v/>
      </c>
      <c r="F140" s="35" t="str">
        <f>IF(C140="","",[1]!s_dq_volume($C140,$O$1))</f>
        <v/>
      </c>
      <c r="G140" s="35" t="str">
        <f>IF(C140="","",[1]!s_dq_oi($C140,$O$1))</f>
        <v/>
      </c>
      <c r="H140" s="18" t="str">
        <f>IF($C140=""," ",[1]!i_pq_pctchange($C140,H$6,$O$1))</f>
        <v xml:space="preserve"> </v>
      </c>
      <c r="I140" s="18" t="str">
        <f>IF($C140=""," ",[1]!i_pq_pctchange($C140,I$6,$O$1))</f>
        <v xml:space="preserve"> </v>
      </c>
      <c r="J140" s="18" t="str">
        <f>IF($C140=""," ",[1]!i_pq_pctchange($C140,J$6,$O$1))</f>
        <v xml:space="preserve"> </v>
      </c>
      <c r="K140" s="18" t="str">
        <f>IF($C140=""," ",[1]!i_pq_pctchange($C140,K$6,$O$1))</f>
        <v xml:space="preserve"> </v>
      </c>
      <c r="L140" s="18" t="str">
        <f>IF($C140=""," ",[1]!i_pq_pctchange($C140,L$6,$O$1))</f>
        <v xml:space="preserve"> </v>
      </c>
      <c r="M140" s="18" t="str">
        <f>IF(C140=""," ",[1]!s_wq_pctchange($C140,$O$1))</f>
        <v xml:space="preserve"> </v>
      </c>
      <c r="N140" s="18" t="str">
        <f>IF(C140=""," ",[1]!s_mq_pctchange($C140,$O$1))</f>
        <v xml:space="preserve"> </v>
      </c>
      <c r="O140" s="18" t="str">
        <f>IF(C140=""," ",[1]!s_yq_pctchange($C140,$O$1))</f>
        <v xml:space="preserve"> </v>
      </c>
      <c r="P140" s="24"/>
      <c r="Q140" s="9"/>
    </row>
    <row r="141" spans="1:17" ht="17.25" x14ac:dyDescent="0.2">
      <c r="A141" s="9"/>
      <c r="C141" s="17" t="str">
        <f>IF(指数列表!B138="","",指数列表!B138)</f>
        <v/>
      </c>
      <c r="D141" s="33" t="str">
        <f>IF(C141="","",[1]!s_info_name(C141))</f>
        <v/>
      </c>
      <c r="E141" s="36" t="str">
        <f>IF(C141="","",[1]!s_dq_close(C141,$O$1))</f>
        <v/>
      </c>
      <c r="F141" s="36" t="str">
        <f>IF(C141="","",[1]!s_dq_volume($C141,$O$1))</f>
        <v/>
      </c>
      <c r="G141" s="36" t="str">
        <f>IF(C141="","",[1]!s_dq_oi($C141,$O$1))</f>
        <v/>
      </c>
      <c r="H141" s="18" t="str">
        <f>IF($C141=""," ",[1]!i_pq_pctchange($C141,H$6,$O$1))</f>
        <v xml:space="preserve"> </v>
      </c>
      <c r="I141" s="18" t="str">
        <f>IF($C141=""," ",[1]!i_pq_pctchange($C141,I$6,$O$1))</f>
        <v xml:space="preserve"> </v>
      </c>
      <c r="J141" s="18" t="str">
        <f>IF($C141=""," ",[1]!i_pq_pctchange($C141,J$6,$O$1))</f>
        <v xml:space="preserve"> </v>
      </c>
      <c r="K141" s="18" t="str">
        <f>IF($C141=""," ",[1]!i_pq_pctchange($C141,K$6,$O$1))</f>
        <v xml:space="preserve"> </v>
      </c>
      <c r="L141" s="18" t="str">
        <f>IF($C141=""," ",[1]!i_pq_pctchange($C141,L$6,$O$1))</f>
        <v xml:space="preserve"> </v>
      </c>
      <c r="M141" s="18" t="str">
        <f>IF(C141=""," ",[1]!s_wq_pctchange($C141,$O$1))</f>
        <v xml:space="preserve"> </v>
      </c>
      <c r="N141" s="18" t="str">
        <f>IF(C141=""," ",[1]!s_mq_pctchange($C141,$O$1))</f>
        <v xml:space="preserve"> </v>
      </c>
      <c r="O141" s="18" t="str">
        <f>IF(C141=""," ",[1]!s_yq_pctchange($C141,$O$1))</f>
        <v xml:space="preserve"> </v>
      </c>
      <c r="P141" s="24"/>
      <c r="Q141" s="9"/>
    </row>
    <row r="142" spans="1:17" ht="17.25" x14ac:dyDescent="0.2">
      <c r="A142" s="9"/>
      <c r="C142" s="21" t="str">
        <f>IF(指数列表!B139="","",指数列表!B139)</f>
        <v/>
      </c>
      <c r="D142" s="34" t="str">
        <f>IF(C142="","",[1]!s_info_name(C142))</f>
        <v/>
      </c>
      <c r="E142" s="35" t="str">
        <f>IF(C142="","",[1]!s_dq_close(C142,$O$1))</f>
        <v/>
      </c>
      <c r="F142" s="35" t="str">
        <f>IF(C142="","",[1]!s_dq_volume($C142,$O$1))</f>
        <v/>
      </c>
      <c r="G142" s="35" t="str">
        <f>IF(C142="","",[1]!s_dq_oi($C142,$O$1))</f>
        <v/>
      </c>
      <c r="H142" s="18" t="str">
        <f>IF($C142=""," ",[1]!i_pq_pctchange($C142,H$6,$O$1))</f>
        <v xml:space="preserve"> </v>
      </c>
      <c r="I142" s="18" t="str">
        <f>IF($C142=""," ",[1]!i_pq_pctchange($C142,I$6,$O$1))</f>
        <v xml:space="preserve"> </v>
      </c>
      <c r="J142" s="18" t="str">
        <f>IF($C142=""," ",[1]!i_pq_pctchange($C142,J$6,$O$1))</f>
        <v xml:space="preserve"> </v>
      </c>
      <c r="K142" s="18" t="str">
        <f>IF($C142=""," ",[1]!i_pq_pctchange($C142,K$6,$O$1))</f>
        <v xml:space="preserve"> </v>
      </c>
      <c r="L142" s="18" t="str">
        <f>IF($C142=""," ",[1]!i_pq_pctchange($C142,L$6,$O$1))</f>
        <v xml:space="preserve"> </v>
      </c>
      <c r="M142" s="18" t="str">
        <f>IF(C142=""," ",[1]!s_wq_pctchange($C142,$O$1))</f>
        <v xml:space="preserve"> </v>
      </c>
      <c r="N142" s="18" t="str">
        <f>IF(C142=""," ",[1]!s_mq_pctchange($C142,$O$1))</f>
        <v xml:space="preserve"> </v>
      </c>
      <c r="O142" s="18" t="str">
        <f>IF(C142=""," ",[1]!s_yq_pctchange($C142,$O$1))</f>
        <v xml:space="preserve"> </v>
      </c>
      <c r="P142" s="24"/>
      <c r="Q142" s="9"/>
    </row>
    <row r="143" spans="1:17" ht="17.25" x14ac:dyDescent="0.2">
      <c r="A143" s="9"/>
      <c r="C143" s="17" t="str">
        <f>IF(指数列表!B140="","",指数列表!B140)</f>
        <v/>
      </c>
      <c r="D143" s="33" t="str">
        <f>IF(C143="","",[1]!s_info_name(C143))</f>
        <v/>
      </c>
      <c r="E143" s="36" t="str">
        <f>IF(C143="","",[1]!s_dq_close(C143,$O$1))</f>
        <v/>
      </c>
      <c r="F143" s="36" t="str">
        <f>IF(C143="","",[1]!s_dq_volume($C143,$O$1))</f>
        <v/>
      </c>
      <c r="G143" s="36" t="str">
        <f>IF(C143="","",[1]!s_dq_oi($C143,$O$1))</f>
        <v/>
      </c>
      <c r="H143" s="18" t="str">
        <f>IF($C143=""," ",[1]!i_pq_pctchange($C143,H$6,$O$1))</f>
        <v xml:space="preserve"> </v>
      </c>
      <c r="I143" s="18" t="str">
        <f>IF($C143=""," ",[1]!i_pq_pctchange($C143,I$6,$O$1))</f>
        <v xml:space="preserve"> </v>
      </c>
      <c r="J143" s="18" t="str">
        <f>IF($C143=""," ",[1]!i_pq_pctchange($C143,J$6,$O$1))</f>
        <v xml:space="preserve"> </v>
      </c>
      <c r="K143" s="18" t="str">
        <f>IF($C143=""," ",[1]!i_pq_pctchange($C143,K$6,$O$1))</f>
        <v xml:space="preserve"> </v>
      </c>
      <c r="L143" s="18" t="str">
        <f>IF($C143=""," ",[1]!i_pq_pctchange($C143,L$6,$O$1))</f>
        <v xml:space="preserve"> </v>
      </c>
      <c r="M143" s="18" t="str">
        <f>IF(C143=""," ",[1]!s_wq_pctchange($C143,$O$1))</f>
        <v xml:space="preserve"> </v>
      </c>
      <c r="N143" s="18" t="str">
        <f>IF(C143=""," ",[1]!s_mq_pctchange($C143,$O$1))</f>
        <v xml:space="preserve"> </v>
      </c>
      <c r="O143" s="18" t="str">
        <f>IF(C143=""," ",[1]!s_yq_pctchange($C143,$O$1))</f>
        <v xml:space="preserve"> </v>
      </c>
      <c r="P143" s="24"/>
      <c r="Q143" s="9"/>
    </row>
    <row r="144" spans="1:17" ht="17.25" x14ac:dyDescent="0.2">
      <c r="A144" s="9"/>
      <c r="C144" s="21" t="str">
        <f>IF(指数列表!B141="","",指数列表!B141)</f>
        <v/>
      </c>
      <c r="D144" s="34" t="str">
        <f>IF(C144="","",[1]!s_info_name(C144))</f>
        <v/>
      </c>
      <c r="E144" s="35" t="str">
        <f>IF(C144="","",[1]!s_dq_close(C144,$O$1))</f>
        <v/>
      </c>
      <c r="F144" s="35" t="str">
        <f>IF(C144="","",[1]!s_dq_volume($C144,$O$1))</f>
        <v/>
      </c>
      <c r="G144" s="35" t="str">
        <f>IF(C144="","",[1]!s_dq_oi($C144,$O$1))</f>
        <v/>
      </c>
      <c r="H144" s="18" t="str">
        <f>IF($C144=""," ",[1]!i_pq_pctchange($C144,H$6,$O$1))</f>
        <v xml:space="preserve"> </v>
      </c>
      <c r="I144" s="18" t="str">
        <f>IF($C144=""," ",[1]!i_pq_pctchange($C144,I$6,$O$1))</f>
        <v xml:space="preserve"> </v>
      </c>
      <c r="J144" s="18" t="str">
        <f>IF($C144=""," ",[1]!i_pq_pctchange($C144,J$6,$O$1))</f>
        <v xml:space="preserve"> </v>
      </c>
      <c r="K144" s="18" t="str">
        <f>IF($C144=""," ",[1]!i_pq_pctchange($C144,K$6,$O$1))</f>
        <v xml:space="preserve"> </v>
      </c>
      <c r="L144" s="18" t="str">
        <f>IF($C144=""," ",[1]!i_pq_pctchange($C144,L$6,$O$1))</f>
        <v xml:space="preserve"> </v>
      </c>
      <c r="M144" s="18" t="str">
        <f>IF(C144=""," ",[1]!s_wq_pctchange($C144,$O$1))</f>
        <v xml:space="preserve"> </v>
      </c>
      <c r="N144" s="18" t="str">
        <f>IF(C144=""," ",[1]!s_mq_pctchange($C144,$O$1))</f>
        <v xml:space="preserve"> </v>
      </c>
      <c r="O144" s="18" t="str">
        <f>IF(C144=""," ",[1]!s_yq_pctchange($C144,$O$1))</f>
        <v xml:space="preserve"> </v>
      </c>
      <c r="P144" s="24"/>
      <c r="Q144" s="9"/>
    </row>
    <row r="145" spans="1:17" ht="17.25" x14ac:dyDescent="0.2">
      <c r="A145" s="9"/>
      <c r="C145" s="17" t="str">
        <f>IF(指数列表!B142="","",指数列表!B142)</f>
        <v/>
      </c>
      <c r="D145" s="33" t="str">
        <f>IF(C145="","",[1]!s_info_name(C145))</f>
        <v/>
      </c>
      <c r="E145" s="36" t="str">
        <f>IF(C145="","",[1]!s_dq_close(C145,$O$1))</f>
        <v/>
      </c>
      <c r="F145" s="36" t="str">
        <f>IF(C145="","",[1]!s_dq_volume($C145,$O$1))</f>
        <v/>
      </c>
      <c r="G145" s="36" t="str">
        <f>IF(C145="","",[1]!s_dq_oi($C145,$O$1))</f>
        <v/>
      </c>
      <c r="H145" s="18" t="str">
        <f>IF($C145=""," ",[1]!i_pq_pctchange($C145,H$6,$O$1))</f>
        <v xml:space="preserve"> </v>
      </c>
      <c r="I145" s="18" t="str">
        <f>IF($C145=""," ",[1]!i_pq_pctchange($C145,I$6,$O$1))</f>
        <v xml:space="preserve"> </v>
      </c>
      <c r="J145" s="18" t="str">
        <f>IF($C145=""," ",[1]!i_pq_pctchange($C145,J$6,$O$1))</f>
        <v xml:space="preserve"> </v>
      </c>
      <c r="K145" s="18" t="str">
        <f>IF($C145=""," ",[1]!i_pq_pctchange($C145,K$6,$O$1))</f>
        <v xml:space="preserve"> </v>
      </c>
      <c r="L145" s="18" t="str">
        <f>IF($C145=""," ",[1]!i_pq_pctchange($C145,L$6,$O$1))</f>
        <v xml:space="preserve"> </v>
      </c>
      <c r="M145" s="18" t="str">
        <f>IF(C145=""," ",[1]!s_wq_pctchange($C145,$O$1))</f>
        <v xml:space="preserve"> </v>
      </c>
      <c r="N145" s="18" t="str">
        <f>IF(C145=""," ",[1]!s_mq_pctchange($C145,$O$1))</f>
        <v xml:space="preserve"> </v>
      </c>
      <c r="O145" s="18" t="str">
        <f>IF(C145=""," ",[1]!s_yq_pctchange($C145,$O$1))</f>
        <v xml:space="preserve"> </v>
      </c>
      <c r="P145" s="24"/>
      <c r="Q145" s="9"/>
    </row>
    <row r="146" spans="1:17" ht="17.25" x14ac:dyDescent="0.2">
      <c r="A146" s="9"/>
      <c r="C146" s="21" t="str">
        <f>IF(指数列表!B143="","",指数列表!B143)</f>
        <v/>
      </c>
      <c r="D146" s="34" t="str">
        <f>IF(C146="","",[1]!s_info_name(C146))</f>
        <v/>
      </c>
      <c r="E146" s="35" t="str">
        <f>IF(C146="","",[1]!s_dq_close(C146,$O$1))</f>
        <v/>
      </c>
      <c r="F146" s="35" t="str">
        <f>IF(C146="","",[1]!s_dq_volume($C146,$O$1))</f>
        <v/>
      </c>
      <c r="G146" s="35" t="str">
        <f>IF(C146="","",[1]!s_dq_oi($C146,$O$1))</f>
        <v/>
      </c>
      <c r="H146" s="18" t="str">
        <f>IF($C146=""," ",[1]!i_pq_pctchange($C146,H$6,$O$1))</f>
        <v xml:space="preserve"> </v>
      </c>
      <c r="I146" s="18" t="str">
        <f>IF($C146=""," ",[1]!i_pq_pctchange($C146,I$6,$O$1))</f>
        <v xml:space="preserve"> </v>
      </c>
      <c r="J146" s="18" t="str">
        <f>IF($C146=""," ",[1]!i_pq_pctchange($C146,J$6,$O$1))</f>
        <v xml:space="preserve"> </v>
      </c>
      <c r="K146" s="18" t="str">
        <f>IF($C146=""," ",[1]!i_pq_pctchange($C146,K$6,$O$1))</f>
        <v xml:space="preserve"> </v>
      </c>
      <c r="L146" s="18" t="str">
        <f>IF($C146=""," ",[1]!i_pq_pctchange($C146,L$6,$O$1))</f>
        <v xml:space="preserve"> </v>
      </c>
      <c r="M146" s="18" t="str">
        <f>IF(C146=""," ",[1]!s_wq_pctchange($C146,$O$1))</f>
        <v xml:space="preserve"> </v>
      </c>
      <c r="N146" s="18" t="str">
        <f>IF(C146=""," ",[1]!s_mq_pctchange($C146,$O$1))</f>
        <v xml:space="preserve"> </v>
      </c>
      <c r="O146" s="18" t="str">
        <f>IF(C146=""," ",[1]!s_yq_pctchange($C146,$O$1))</f>
        <v xml:space="preserve"> </v>
      </c>
      <c r="P146" s="24"/>
      <c r="Q146" s="9"/>
    </row>
    <row r="147" spans="1:17" ht="17.25" x14ac:dyDescent="0.2">
      <c r="A147" s="9"/>
      <c r="C147" s="17" t="str">
        <f>IF(指数列表!B144="","",指数列表!B144)</f>
        <v/>
      </c>
      <c r="D147" s="33" t="str">
        <f>IF(C147="","",[1]!s_info_name(C147))</f>
        <v/>
      </c>
      <c r="E147" s="36" t="str">
        <f>IF(C147="","",[1]!s_dq_close(C147,$O$1))</f>
        <v/>
      </c>
      <c r="F147" s="36" t="str">
        <f>IF(C147="","",[1]!s_dq_volume($C147,$O$1))</f>
        <v/>
      </c>
      <c r="G147" s="36" t="str">
        <f>IF(C147="","",[1]!s_dq_oi($C147,$O$1))</f>
        <v/>
      </c>
      <c r="H147" s="18" t="str">
        <f>IF($C147=""," ",[1]!i_pq_pctchange($C147,H$6,$O$1))</f>
        <v xml:space="preserve"> </v>
      </c>
      <c r="I147" s="18" t="str">
        <f>IF($C147=""," ",[1]!i_pq_pctchange($C147,I$6,$O$1))</f>
        <v xml:space="preserve"> </v>
      </c>
      <c r="J147" s="18" t="str">
        <f>IF($C147=""," ",[1]!i_pq_pctchange($C147,J$6,$O$1))</f>
        <v xml:space="preserve"> </v>
      </c>
      <c r="K147" s="18" t="str">
        <f>IF($C147=""," ",[1]!i_pq_pctchange($C147,K$6,$O$1))</f>
        <v xml:space="preserve"> </v>
      </c>
      <c r="L147" s="18" t="str">
        <f>IF($C147=""," ",[1]!i_pq_pctchange($C147,L$6,$O$1))</f>
        <v xml:space="preserve"> </v>
      </c>
      <c r="M147" s="18" t="str">
        <f>IF(C147=""," ",[1]!s_wq_pctchange($C147,$O$1))</f>
        <v xml:space="preserve"> </v>
      </c>
      <c r="N147" s="18" t="str">
        <f>IF(C147=""," ",[1]!s_mq_pctchange($C147,$O$1))</f>
        <v xml:space="preserve"> </v>
      </c>
      <c r="O147" s="18" t="str">
        <f>IF(C147=""," ",[1]!s_yq_pctchange($C147,$O$1))</f>
        <v xml:space="preserve"> </v>
      </c>
      <c r="P147" s="24"/>
      <c r="Q147" s="9"/>
    </row>
    <row r="148" spans="1:17" ht="17.25" x14ac:dyDescent="0.2">
      <c r="A148" s="9"/>
      <c r="C148" s="21" t="str">
        <f>IF(指数列表!B145="","",指数列表!B145)</f>
        <v/>
      </c>
      <c r="D148" s="34" t="str">
        <f>IF(C148="","",[1]!s_info_name(C148))</f>
        <v/>
      </c>
      <c r="E148" s="35" t="str">
        <f>IF(C148="","",[1]!s_dq_close(C148,$O$1))</f>
        <v/>
      </c>
      <c r="F148" s="35" t="str">
        <f>IF(C148="","",[1]!s_dq_volume($C148,$O$1))</f>
        <v/>
      </c>
      <c r="G148" s="35" t="str">
        <f>IF(C148="","",[1]!s_dq_oi($C148,$O$1))</f>
        <v/>
      </c>
      <c r="H148" s="18" t="str">
        <f>IF($C148=""," ",[1]!i_pq_pctchange($C148,H$6,$O$1))</f>
        <v xml:space="preserve"> </v>
      </c>
      <c r="I148" s="18" t="str">
        <f>IF($C148=""," ",[1]!i_pq_pctchange($C148,I$6,$O$1))</f>
        <v xml:space="preserve"> </v>
      </c>
      <c r="J148" s="18" t="str">
        <f>IF($C148=""," ",[1]!i_pq_pctchange($C148,J$6,$O$1))</f>
        <v xml:space="preserve"> </v>
      </c>
      <c r="K148" s="18" t="str">
        <f>IF($C148=""," ",[1]!i_pq_pctchange($C148,K$6,$O$1))</f>
        <v xml:space="preserve"> </v>
      </c>
      <c r="L148" s="18" t="str">
        <f>IF($C148=""," ",[1]!i_pq_pctchange($C148,L$6,$O$1))</f>
        <v xml:space="preserve"> </v>
      </c>
      <c r="M148" s="18" t="str">
        <f>IF(C148=""," ",[1]!s_wq_pctchange($C148,$O$1))</f>
        <v xml:space="preserve"> </v>
      </c>
      <c r="N148" s="18" t="str">
        <f>IF(C148=""," ",[1]!s_mq_pctchange($C148,$O$1))</f>
        <v xml:space="preserve"> </v>
      </c>
      <c r="O148" s="18" t="str">
        <f>IF(C148=""," ",[1]!s_yq_pctchange($C148,$O$1))</f>
        <v xml:space="preserve"> </v>
      </c>
      <c r="P148" s="24"/>
      <c r="Q148" s="9"/>
    </row>
    <row r="149" spans="1:17" ht="17.25" x14ac:dyDescent="0.2">
      <c r="A149" s="9"/>
      <c r="C149" s="17" t="str">
        <f>IF(指数列表!B146="","",指数列表!B146)</f>
        <v/>
      </c>
      <c r="D149" s="33" t="str">
        <f>IF(C149="","",[1]!s_info_name(C149))</f>
        <v/>
      </c>
      <c r="E149" s="36" t="str">
        <f>IF(C149="","",[1]!s_dq_close(C149,$O$1))</f>
        <v/>
      </c>
      <c r="F149" s="36" t="str">
        <f>IF(C149="","",[1]!s_dq_volume($C149,$O$1))</f>
        <v/>
      </c>
      <c r="G149" s="36" t="str">
        <f>IF(C149="","",[1]!s_dq_oi($C149,$O$1))</f>
        <v/>
      </c>
      <c r="H149" s="18" t="str">
        <f>IF($C149=""," ",[1]!i_pq_pctchange($C149,H$6,$O$1))</f>
        <v xml:space="preserve"> </v>
      </c>
      <c r="I149" s="18" t="str">
        <f>IF($C149=""," ",[1]!i_pq_pctchange($C149,I$6,$O$1))</f>
        <v xml:space="preserve"> </v>
      </c>
      <c r="J149" s="18" t="str">
        <f>IF($C149=""," ",[1]!i_pq_pctchange($C149,J$6,$O$1))</f>
        <v xml:space="preserve"> </v>
      </c>
      <c r="K149" s="18" t="str">
        <f>IF($C149=""," ",[1]!i_pq_pctchange($C149,K$6,$O$1))</f>
        <v xml:space="preserve"> </v>
      </c>
      <c r="L149" s="18" t="str">
        <f>IF($C149=""," ",[1]!i_pq_pctchange($C149,L$6,$O$1))</f>
        <v xml:space="preserve"> </v>
      </c>
      <c r="M149" s="18" t="str">
        <f>IF(C149=""," ",[1]!s_wq_pctchange($C149,$O$1))</f>
        <v xml:space="preserve"> </v>
      </c>
      <c r="N149" s="18" t="str">
        <f>IF(C149=""," ",[1]!s_mq_pctchange($C149,$O$1))</f>
        <v xml:space="preserve"> </v>
      </c>
      <c r="O149" s="18" t="str">
        <f>IF(C149=""," ",[1]!s_yq_pctchange($C149,$O$1))</f>
        <v xml:space="preserve"> </v>
      </c>
      <c r="P149" s="24"/>
      <c r="Q149" s="9"/>
    </row>
    <row r="150" spans="1:17" ht="17.25" x14ac:dyDescent="0.2">
      <c r="A150" s="9"/>
      <c r="C150" s="21" t="str">
        <f>IF(指数列表!B147="","",指数列表!B147)</f>
        <v/>
      </c>
      <c r="D150" s="34" t="str">
        <f>IF(C150="","",[1]!s_info_name(C150))</f>
        <v/>
      </c>
      <c r="E150" s="35" t="str">
        <f>IF(C150="","",[1]!s_dq_close(C150,$O$1))</f>
        <v/>
      </c>
      <c r="F150" s="35" t="str">
        <f>IF(C150="","",[1]!s_dq_volume($C150,$O$1))</f>
        <v/>
      </c>
      <c r="G150" s="35" t="str">
        <f>IF(C150="","",[1]!s_dq_oi($C150,$O$1))</f>
        <v/>
      </c>
      <c r="H150" s="18" t="str">
        <f>IF($C150=""," ",[1]!i_pq_pctchange($C150,H$6,$O$1))</f>
        <v xml:space="preserve"> </v>
      </c>
      <c r="I150" s="18" t="str">
        <f>IF($C150=""," ",[1]!i_pq_pctchange($C150,I$6,$O$1))</f>
        <v xml:space="preserve"> </v>
      </c>
      <c r="J150" s="18" t="str">
        <f>IF($C150=""," ",[1]!i_pq_pctchange($C150,J$6,$O$1))</f>
        <v xml:space="preserve"> </v>
      </c>
      <c r="K150" s="18" t="str">
        <f>IF($C150=""," ",[1]!i_pq_pctchange($C150,K$6,$O$1))</f>
        <v xml:space="preserve"> </v>
      </c>
      <c r="L150" s="18" t="str">
        <f>IF($C150=""," ",[1]!i_pq_pctchange($C150,L$6,$O$1))</f>
        <v xml:space="preserve"> </v>
      </c>
      <c r="M150" s="18" t="str">
        <f>IF(C150=""," ",[1]!s_wq_pctchange($C150,$O$1))</f>
        <v xml:space="preserve"> </v>
      </c>
      <c r="N150" s="18" t="str">
        <f>IF(C150=""," ",[1]!s_mq_pctchange($C150,$O$1))</f>
        <v xml:space="preserve"> </v>
      </c>
      <c r="O150" s="18" t="str">
        <f>IF(C150=""," ",[1]!s_yq_pctchange($C150,$O$1))</f>
        <v xml:space="preserve"> </v>
      </c>
      <c r="P150" s="24"/>
      <c r="Q150" s="9"/>
    </row>
    <row r="151" spans="1:17" ht="17.25" x14ac:dyDescent="0.2">
      <c r="A151" s="9"/>
      <c r="C151" s="17" t="str">
        <f>IF(指数列表!B148="","",指数列表!B148)</f>
        <v/>
      </c>
      <c r="D151" s="33" t="str">
        <f>IF(C151="","",[1]!s_info_name(C151))</f>
        <v/>
      </c>
      <c r="E151" s="36" t="str">
        <f>IF(C151="","",[1]!s_dq_close(C151,$O$1))</f>
        <v/>
      </c>
      <c r="F151" s="36" t="str">
        <f>IF(C151="","",[1]!s_dq_volume($C151,$O$1))</f>
        <v/>
      </c>
      <c r="G151" s="36" t="str">
        <f>IF(C151="","",[1]!s_dq_oi($C151,$O$1))</f>
        <v/>
      </c>
      <c r="H151" s="18" t="str">
        <f>IF($C151=""," ",[1]!i_pq_pctchange($C151,H$6,$O$1))</f>
        <v xml:space="preserve"> </v>
      </c>
      <c r="I151" s="18" t="str">
        <f>IF($C151=""," ",[1]!i_pq_pctchange($C151,I$6,$O$1))</f>
        <v xml:space="preserve"> </v>
      </c>
      <c r="J151" s="18" t="str">
        <f>IF($C151=""," ",[1]!i_pq_pctchange($C151,J$6,$O$1))</f>
        <v xml:space="preserve"> </v>
      </c>
      <c r="K151" s="18" t="str">
        <f>IF($C151=""," ",[1]!i_pq_pctchange($C151,K$6,$O$1))</f>
        <v xml:space="preserve"> </v>
      </c>
      <c r="L151" s="18" t="str">
        <f>IF($C151=""," ",[1]!i_pq_pctchange($C151,L$6,$O$1))</f>
        <v xml:space="preserve"> </v>
      </c>
      <c r="M151" s="18" t="str">
        <f>IF(C151=""," ",[1]!s_wq_pctchange($C151,$O$1))</f>
        <v xml:space="preserve"> </v>
      </c>
      <c r="N151" s="18" t="str">
        <f>IF(C151=""," ",[1]!s_mq_pctchange($C151,$O$1))</f>
        <v xml:space="preserve"> </v>
      </c>
      <c r="O151" s="18" t="str">
        <f>IF(C151=""," ",[1]!s_yq_pctchange($C151,$O$1))</f>
        <v xml:space="preserve"> </v>
      </c>
      <c r="P151" s="24"/>
      <c r="Q151" s="9"/>
    </row>
    <row r="152" spans="1:17" ht="17.25" x14ac:dyDescent="0.2">
      <c r="A152" s="9"/>
      <c r="C152" s="21" t="str">
        <f>IF(指数列表!B149="","",指数列表!B149)</f>
        <v/>
      </c>
      <c r="D152" s="34" t="str">
        <f>IF(C152="","",[1]!s_info_name(C152))</f>
        <v/>
      </c>
      <c r="E152" s="35" t="str">
        <f>IF(C152="","",[1]!s_dq_close(C152,$O$1))</f>
        <v/>
      </c>
      <c r="F152" s="35" t="str">
        <f>IF(C152="","",[1]!s_dq_volume($C152,$O$1))</f>
        <v/>
      </c>
      <c r="G152" s="35" t="str">
        <f>IF(C152="","",[1]!s_dq_oi($C152,$O$1))</f>
        <v/>
      </c>
      <c r="H152" s="18" t="str">
        <f>IF($C152=""," ",[1]!i_pq_pctchange($C152,H$6,$O$1))</f>
        <v xml:space="preserve"> </v>
      </c>
      <c r="I152" s="18" t="str">
        <f>IF($C152=""," ",[1]!i_pq_pctchange($C152,I$6,$O$1))</f>
        <v xml:space="preserve"> </v>
      </c>
      <c r="J152" s="18" t="str">
        <f>IF($C152=""," ",[1]!i_pq_pctchange($C152,J$6,$O$1))</f>
        <v xml:space="preserve"> </v>
      </c>
      <c r="K152" s="18" t="str">
        <f>IF($C152=""," ",[1]!i_pq_pctchange($C152,K$6,$O$1))</f>
        <v xml:space="preserve"> </v>
      </c>
      <c r="L152" s="18" t="str">
        <f>IF($C152=""," ",[1]!i_pq_pctchange($C152,L$6,$O$1))</f>
        <v xml:space="preserve"> </v>
      </c>
      <c r="M152" s="18" t="str">
        <f>IF(C152=""," ",[1]!s_wq_pctchange($C152,$O$1))</f>
        <v xml:space="preserve"> </v>
      </c>
      <c r="N152" s="18" t="str">
        <f>IF(C152=""," ",[1]!s_mq_pctchange($C152,$O$1))</f>
        <v xml:space="preserve"> </v>
      </c>
      <c r="O152" s="18" t="str">
        <f>IF(C152=""," ",[1]!s_yq_pctchange($C152,$O$1))</f>
        <v xml:space="preserve"> </v>
      </c>
      <c r="P152" s="24"/>
      <c r="Q152" s="9"/>
    </row>
    <row r="153" spans="1:17" ht="17.25" x14ac:dyDescent="0.2">
      <c r="A153" s="9"/>
      <c r="C153" s="17" t="str">
        <f>IF(指数列表!B150="","",指数列表!B150)</f>
        <v/>
      </c>
      <c r="D153" s="33" t="str">
        <f>IF(C153="","",[1]!s_info_name(C153))</f>
        <v/>
      </c>
      <c r="E153" s="36" t="str">
        <f>IF(C153="","",[1]!s_dq_close(C153,$O$1))</f>
        <v/>
      </c>
      <c r="F153" s="36" t="str">
        <f>IF(C153="","",[1]!s_dq_volume($C153,$O$1))</f>
        <v/>
      </c>
      <c r="G153" s="36" t="str">
        <f>IF(C153="","",[1]!s_dq_oi($C153,$O$1))</f>
        <v/>
      </c>
      <c r="H153" s="18" t="str">
        <f>IF($C153=""," ",[1]!i_pq_pctchange($C153,H$6,$O$1))</f>
        <v xml:space="preserve"> </v>
      </c>
      <c r="I153" s="18" t="str">
        <f>IF($C153=""," ",[1]!i_pq_pctchange($C153,I$6,$O$1))</f>
        <v xml:space="preserve"> </v>
      </c>
      <c r="J153" s="18" t="str">
        <f>IF($C153=""," ",[1]!i_pq_pctchange($C153,J$6,$O$1))</f>
        <v xml:space="preserve"> </v>
      </c>
      <c r="K153" s="18" t="str">
        <f>IF($C153=""," ",[1]!i_pq_pctchange($C153,K$6,$O$1))</f>
        <v xml:space="preserve"> </v>
      </c>
      <c r="L153" s="18" t="str">
        <f>IF($C153=""," ",[1]!i_pq_pctchange($C153,L$6,$O$1))</f>
        <v xml:space="preserve"> </v>
      </c>
      <c r="M153" s="18" t="str">
        <f>IF(C153=""," ",[1]!s_wq_pctchange($C153,$O$1))</f>
        <v xml:space="preserve"> </v>
      </c>
      <c r="N153" s="18" t="str">
        <f>IF(C153=""," ",[1]!s_mq_pctchange($C153,$O$1))</f>
        <v xml:space="preserve"> </v>
      </c>
      <c r="O153" s="18" t="str">
        <f>IF(C153=""," ",[1]!s_yq_pctchange($C153,$O$1))</f>
        <v xml:space="preserve"> </v>
      </c>
      <c r="P153" s="24"/>
      <c r="Q153" s="9"/>
    </row>
    <row r="154" spans="1:17" ht="17.25" x14ac:dyDescent="0.2">
      <c r="A154" s="9"/>
      <c r="C154" s="21" t="str">
        <f>IF(指数列表!B151="","",指数列表!B151)</f>
        <v/>
      </c>
      <c r="D154" s="34" t="str">
        <f>IF(C154="","",[1]!s_info_name(C154))</f>
        <v/>
      </c>
      <c r="E154" s="35" t="str">
        <f>IF(C154="","",[1]!s_dq_close(C154,$O$1))</f>
        <v/>
      </c>
      <c r="F154" s="35" t="str">
        <f>IF(C154="","",[1]!s_dq_volume($C154,$O$1))</f>
        <v/>
      </c>
      <c r="G154" s="35" t="str">
        <f>IF(C154="","",[1]!s_dq_oi($C154,$O$1))</f>
        <v/>
      </c>
      <c r="H154" s="18" t="str">
        <f>IF($C154=""," ",[1]!i_pq_pctchange($C154,H$6,$O$1))</f>
        <v xml:space="preserve"> </v>
      </c>
      <c r="I154" s="18" t="str">
        <f>IF($C154=""," ",[1]!i_pq_pctchange($C154,I$6,$O$1))</f>
        <v xml:space="preserve"> </v>
      </c>
      <c r="J154" s="18" t="str">
        <f>IF($C154=""," ",[1]!i_pq_pctchange($C154,J$6,$O$1))</f>
        <v xml:space="preserve"> </v>
      </c>
      <c r="K154" s="18" t="str">
        <f>IF($C154=""," ",[1]!i_pq_pctchange($C154,K$6,$O$1))</f>
        <v xml:space="preserve"> </v>
      </c>
      <c r="L154" s="18" t="str">
        <f>IF($C154=""," ",[1]!i_pq_pctchange($C154,L$6,$O$1))</f>
        <v xml:space="preserve"> </v>
      </c>
      <c r="M154" s="18" t="str">
        <f>IF(C154=""," ",[1]!s_wq_pctchange($C154,$O$1))</f>
        <v xml:space="preserve"> </v>
      </c>
      <c r="N154" s="18" t="str">
        <f>IF(C154=""," ",[1]!s_mq_pctchange($C154,$O$1))</f>
        <v xml:space="preserve"> </v>
      </c>
      <c r="O154" s="18" t="str">
        <f>IF(C154=""," ",[1]!s_yq_pctchange($C154,$O$1))</f>
        <v xml:space="preserve"> </v>
      </c>
      <c r="P154" s="24"/>
      <c r="Q154" s="9"/>
    </row>
    <row r="155" spans="1:17" ht="17.25" x14ac:dyDescent="0.2">
      <c r="A155" s="9"/>
      <c r="C155" s="17" t="str">
        <f>IF(指数列表!B152="","",指数列表!B152)</f>
        <v/>
      </c>
      <c r="D155" s="33" t="str">
        <f>IF(C155="","",[1]!s_info_name(C155))</f>
        <v/>
      </c>
      <c r="E155" s="36" t="str">
        <f>IF(C155="","",[1]!s_dq_close(C155,$O$1))</f>
        <v/>
      </c>
      <c r="F155" s="36" t="str">
        <f>IF(C155="","",[1]!s_dq_volume($C155,$O$1))</f>
        <v/>
      </c>
      <c r="G155" s="36" t="str">
        <f>IF(C155="","",[1]!s_dq_oi($C155,$O$1))</f>
        <v/>
      </c>
      <c r="H155" s="18" t="str">
        <f>IF($C155=""," ",[1]!i_pq_pctchange($C155,H$6,$O$1))</f>
        <v xml:space="preserve"> </v>
      </c>
      <c r="I155" s="18" t="str">
        <f>IF($C155=""," ",[1]!i_pq_pctchange($C155,I$6,$O$1))</f>
        <v xml:space="preserve"> </v>
      </c>
      <c r="J155" s="18" t="str">
        <f>IF($C155=""," ",[1]!i_pq_pctchange($C155,J$6,$O$1))</f>
        <v xml:space="preserve"> </v>
      </c>
      <c r="K155" s="18" t="str">
        <f>IF($C155=""," ",[1]!i_pq_pctchange($C155,K$6,$O$1))</f>
        <v xml:space="preserve"> </v>
      </c>
      <c r="L155" s="18" t="str">
        <f>IF($C155=""," ",[1]!i_pq_pctchange($C155,L$6,$O$1))</f>
        <v xml:space="preserve"> </v>
      </c>
      <c r="M155" s="18" t="str">
        <f>IF(C155=""," ",[1]!s_wq_pctchange($C155,$O$1))</f>
        <v xml:space="preserve"> </v>
      </c>
      <c r="N155" s="18" t="str">
        <f>IF(C155=""," ",[1]!s_mq_pctchange($C155,$O$1))</f>
        <v xml:space="preserve"> </v>
      </c>
      <c r="O155" s="18" t="str">
        <f>IF(C155=""," ",[1]!s_yq_pctchange($C155,$O$1))</f>
        <v xml:space="preserve"> </v>
      </c>
      <c r="P155" s="24"/>
      <c r="Q155" s="9"/>
    </row>
    <row r="156" spans="1:17" ht="17.25" x14ac:dyDescent="0.2">
      <c r="A156" s="9"/>
      <c r="C156" s="21" t="str">
        <f>IF(指数列表!B153="","",指数列表!B153)</f>
        <v/>
      </c>
      <c r="D156" s="34" t="str">
        <f>IF(C156="","",[1]!s_info_name(C156))</f>
        <v/>
      </c>
      <c r="E156" s="35" t="str">
        <f>IF(C156="","",[1]!s_dq_close(C156,$O$1))</f>
        <v/>
      </c>
      <c r="F156" s="35" t="str">
        <f>IF(C156="","",[1]!s_dq_volume($C156,$O$1))</f>
        <v/>
      </c>
      <c r="G156" s="35" t="str">
        <f>IF(C156="","",[1]!s_dq_oi($C156,$O$1))</f>
        <v/>
      </c>
      <c r="H156" s="18" t="str">
        <f>IF($C156=""," ",[1]!i_pq_pctchange($C156,H$6,$O$1))</f>
        <v xml:space="preserve"> </v>
      </c>
      <c r="I156" s="18" t="str">
        <f>IF($C156=""," ",[1]!i_pq_pctchange($C156,I$6,$O$1))</f>
        <v xml:space="preserve"> </v>
      </c>
      <c r="J156" s="18" t="str">
        <f>IF($C156=""," ",[1]!i_pq_pctchange($C156,J$6,$O$1))</f>
        <v xml:space="preserve"> </v>
      </c>
      <c r="K156" s="18" t="str">
        <f>IF($C156=""," ",[1]!i_pq_pctchange($C156,K$6,$O$1))</f>
        <v xml:space="preserve"> </v>
      </c>
      <c r="L156" s="18" t="str">
        <f>IF($C156=""," ",[1]!i_pq_pctchange($C156,L$6,$O$1))</f>
        <v xml:space="preserve"> </v>
      </c>
      <c r="M156" s="18" t="str">
        <f>IF(C156=""," ",[1]!s_wq_pctchange($C156,$O$1))</f>
        <v xml:space="preserve"> </v>
      </c>
      <c r="N156" s="18" t="str">
        <f>IF(C156=""," ",[1]!s_mq_pctchange($C156,$O$1))</f>
        <v xml:space="preserve"> </v>
      </c>
      <c r="O156" s="18" t="str">
        <f>IF(C156=""," ",[1]!s_yq_pctchange($C156,$O$1))</f>
        <v xml:space="preserve"> </v>
      </c>
      <c r="P156" s="24"/>
      <c r="Q156" s="9"/>
    </row>
    <row r="157" spans="1:17" ht="17.25" x14ac:dyDescent="0.2">
      <c r="A157" s="9"/>
      <c r="C157" s="17" t="str">
        <f>IF(指数列表!B154="","",指数列表!B154)</f>
        <v/>
      </c>
      <c r="D157" s="33" t="str">
        <f>IF(C157="","",[1]!s_info_name(C157))</f>
        <v/>
      </c>
      <c r="E157" s="36" t="str">
        <f>IF(C157="","",[1]!s_dq_close(C157,$O$1))</f>
        <v/>
      </c>
      <c r="F157" s="36" t="str">
        <f>IF(C157="","",[1]!s_dq_volume($C157,$O$1))</f>
        <v/>
      </c>
      <c r="G157" s="36" t="str">
        <f>IF(C157="","",[1]!s_dq_oi($C157,$O$1))</f>
        <v/>
      </c>
      <c r="H157" s="18" t="str">
        <f>IF($C157=""," ",[1]!i_pq_pctchange($C157,H$6,$O$1))</f>
        <v xml:space="preserve"> </v>
      </c>
      <c r="I157" s="18" t="str">
        <f>IF($C157=""," ",[1]!i_pq_pctchange($C157,I$6,$O$1))</f>
        <v xml:space="preserve"> </v>
      </c>
      <c r="J157" s="18" t="str">
        <f>IF($C157=""," ",[1]!i_pq_pctchange($C157,J$6,$O$1))</f>
        <v xml:space="preserve"> </v>
      </c>
      <c r="K157" s="18" t="str">
        <f>IF($C157=""," ",[1]!i_pq_pctchange($C157,K$6,$O$1))</f>
        <v xml:space="preserve"> </v>
      </c>
      <c r="L157" s="18" t="str">
        <f>IF($C157=""," ",[1]!i_pq_pctchange($C157,L$6,$O$1))</f>
        <v xml:space="preserve"> </v>
      </c>
      <c r="M157" s="18" t="str">
        <f>IF(C157=""," ",[1]!s_wq_pctchange($C157,$O$1))</f>
        <v xml:space="preserve"> </v>
      </c>
      <c r="N157" s="18" t="str">
        <f>IF(C157=""," ",[1]!s_mq_pctchange($C157,$O$1))</f>
        <v xml:space="preserve"> </v>
      </c>
      <c r="O157" s="18" t="str">
        <f>IF(C157=""," ",[1]!s_yq_pctchange($C157,$O$1))</f>
        <v xml:space="preserve"> </v>
      </c>
      <c r="P157" s="24"/>
      <c r="Q157" s="9"/>
    </row>
    <row r="158" spans="1:17" ht="17.25" x14ac:dyDescent="0.2">
      <c r="A158" s="9"/>
      <c r="C158" s="21" t="str">
        <f>IF(指数列表!B155="","",指数列表!B155)</f>
        <v/>
      </c>
      <c r="D158" s="34" t="str">
        <f>IF(C158="","",[1]!s_info_name(C158))</f>
        <v/>
      </c>
      <c r="E158" s="35" t="str">
        <f>IF(C158="","",[1]!s_dq_close(C158,$O$1))</f>
        <v/>
      </c>
      <c r="F158" s="35" t="str">
        <f>IF(C158="","",[1]!s_dq_volume($C158,$O$1))</f>
        <v/>
      </c>
      <c r="G158" s="35" t="str">
        <f>IF(C158="","",[1]!s_dq_oi($C158,$O$1))</f>
        <v/>
      </c>
      <c r="H158" s="18" t="str">
        <f>IF($C158=""," ",[1]!i_pq_pctchange($C158,H$6,$O$1))</f>
        <v xml:space="preserve"> </v>
      </c>
      <c r="I158" s="18" t="str">
        <f>IF($C158=""," ",[1]!i_pq_pctchange($C158,I$6,$O$1))</f>
        <v xml:space="preserve"> </v>
      </c>
      <c r="J158" s="18" t="str">
        <f>IF($C158=""," ",[1]!i_pq_pctchange($C158,J$6,$O$1))</f>
        <v xml:space="preserve"> </v>
      </c>
      <c r="K158" s="18" t="str">
        <f>IF($C158=""," ",[1]!i_pq_pctchange($C158,K$6,$O$1))</f>
        <v xml:space="preserve"> </v>
      </c>
      <c r="L158" s="18" t="str">
        <f>IF($C158=""," ",[1]!i_pq_pctchange($C158,L$6,$O$1))</f>
        <v xml:space="preserve"> </v>
      </c>
      <c r="M158" s="18" t="str">
        <f>IF(C158=""," ",[1]!s_wq_pctchange($C158,$O$1))</f>
        <v xml:space="preserve"> </v>
      </c>
      <c r="N158" s="18" t="str">
        <f>IF(C158=""," ",[1]!s_mq_pctchange($C158,$O$1))</f>
        <v xml:space="preserve"> </v>
      </c>
      <c r="O158" s="18" t="str">
        <f>IF(C158=""," ",[1]!s_yq_pctchange($C158,$O$1))</f>
        <v xml:space="preserve"> </v>
      </c>
      <c r="P158" s="24"/>
      <c r="Q158" s="9"/>
    </row>
    <row r="159" spans="1:17" ht="17.25" x14ac:dyDescent="0.2">
      <c r="A159" s="9"/>
      <c r="C159" s="17" t="str">
        <f>IF(指数列表!B156="","",指数列表!B156)</f>
        <v/>
      </c>
      <c r="D159" s="33" t="str">
        <f>IF(C159="","",[1]!s_info_name(C159))</f>
        <v/>
      </c>
      <c r="E159" s="36" t="str">
        <f>IF(C159="","",[1]!s_dq_close(C159,$O$1))</f>
        <v/>
      </c>
      <c r="F159" s="36" t="str">
        <f>IF(C159="","",[1]!s_dq_volume($C159,$O$1))</f>
        <v/>
      </c>
      <c r="G159" s="36" t="str">
        <f>IF(C159="","",[1]!s_dq_oi($C159,$O$1))</f>
        <v/>
      </c>
      <c r="H159" s="18" t="str">
        <f>IF($C159=""," ",[1]!i_pq_pctchange($C159,H$6,$O$1))</f>
        <v xml:space="preserve"> </v>
      </c>
      <c r="I159" s="18" t="str">
        <f>IF($C159=""," ",[1]!i_pq_pctchange($C159,I$6,$O$1))</f>
        <v xml:space="preserve"> </v>
      </c>
      <c r="J159" s="18" t="str">
        <f>IF($C159=""," ",[1]!i_pq_pctchange($C159,J$6,$O$1))</f>
        <v xml:space="preserve"> </v>
      </c>
      <c r="K159" s="18" t="str">
        <f>IF($C159=""," ",[1]!i_pq_pctchange($C159,K$6,$O$1))</f>
        <v xml:space="preserve"> </v>
      </c>
      <c r="L159" s="18" t="str">
        <f>IF($C159=""," ",[1]!i_pq_pctchange($C159,L$6,$O$1))</f>
        <v xml:space="preserve"> </v>
      </c>
      <c r="M159" s="18" t="str">
        <f>IF(C159=""," ",[1]!s_wq_pctchange($C159,$O$1))</f>
        <v xml:space="preserve"> </v>
      </c>
      <c r="N159" s="18" t="str">
        <f>IF(C159=""," ",[1]!s_mq_pctchange($C159,$O$1))</f>
        <v xml:space="preserve"> </v>
      </c>
      <c r="O159" s="18" t="str">
        <f>IF(C159=""," ",[1]!s_yq_pctchange($C159,$O$1))</f>
        <v xml:space="preserve"> </v>
      </c>
      <c r="P159" s="24"/>
      <c r="Q159" s="9"/>
    </row>
    <row r="160" spans="1:17" ht="17.25" x14ac:dyDescent="0.2">
      <c r="A160" s="9"/>
      <c r="C160" s="21" t="str">
        <f>IF(指数列表!B157="","",指数列表!B157)</f>
        <v/>
      </c>
      <c r="D160" s="34" t="str">
        <f>IF(C160="","",[1]!s_info_name(C160))</f>
        <v/>
      </c>
      <c r="E160" s="35" t="str">
        <f>IF(C160="","",[1]!s_dq_close(C160,$O$1))</f>
        <v/>
      </c>
      <c r="F160" s="35" t="str">
        <f>IF(C160="","",[1]!s_dq_volume($C160,$O$1))</f>
        <v/>
      </c>
      <c r="G160" s="35" t="str">
        <f>IF(C160="","",[1]!s_dq_oi($C160,$O$1))</f>
        <v/>
      </c>
      <c r="H160" s="18" t="str">
        <f>IF($C160=""," ",[1]!i_pq_pctchange($C160,H$6,$O$1))</f>
        <v xml:space="preserve"> </v>
      </c>
      <c r="I160" s="18" t="str">
        <f>IF($C160=""," ",[1]!i_pq_pctchange($C160,I$6,$O$1))</f>
        <v xml:space="preserve"> </v>
      </c>
      <c r="J160" s="18" t="str">
        <f>IF($C160=""," ",[1]!i_pq_pctchange($C160,J$6,$O$1))</f>
        <v xml:space="preserve"> </v>
      </c>
      <c r="K160" s="18" t="str">
        <f>IF($C160=""," ",[1]!i_pq_pctchange($C160,K$6,$O$1))</f>
        <v xml:space="preserve"> </v>
      </c>
      <c r="L160" s="18" t="str">
        <f>IF($C160=""," ",[1]!i_pq_pctchange($C160,L$6,$O$1))</f>
        <v xml:space="preserve"> </v>
      </c>
      <c r="M160" s="18" t="str">
        <f>IF(C160=""," ",[1]!s_wq_pctchange($C160,$O$1))</f>
        <v xml:space="preserve"> </v>
      </c>
      <c r="N160" s="18" t="str">
        <f>IF(C160=""," ",[1]!s_mq_pctchange($C160,$O$1))</f>
        <v xml:space="preserve"> </v>
      </c>
      <c r="O160" s="18" t="str">
        <f>IF(C160=""," ",[1]!s_yq_pctchange($C160,$O$1))</f>
        <v xml:space="preserve"> </v>
      </c>
      <c r="P160" s="24"/>
      <c r="Q160" s="9"/>
    </row>
    <row r="161" spans="1:17" ht="17.25" x14ac:dyDescent="0.2">
      <c r="A161" s="9"/>
      <c r="C161" s="17" t="str">
        <f>IF(指数列表!B158="","",指数列表!B158)</f>
        <v/>
      </c>
      <c r="D161" s="33" t="str">
        <f>IF(C161="","",[1]!s_info_name(C161))</f>
        <v/>
      </c>
      <c r="E161" s="36" t="str">
        <f>IF(C161="","",[1]!s_dq_close(C161,$O$1))</f>
        <v/>
      </c>
      <c r="F161" s="36" t="str">
        <f>IF(C161="","",[1]!s_dq_volume($C161,$O$1))</f>
        <v/>
      </c>
      <c r="G161" s="36" t="str">
        <f>IF(C161="","",[1]!s_dq_oi($C161,$O$1))</f>
        <v/>
      </c>
      <c r="H161" s="18" t="str">
        <f>IF($C161=""," ",[1]!i_pq_pctchange($C161,H$6,$O$1))</f>
        <v xml:space="preserve"> </v>
      </c>
      <c r="I161" s="18" t="str">
        <f>IF($C161=""," ",[1]!i_pq_pctchange($C161,I$6,$O$1))</f>
        <v xml:space="preserve"> </v>
      </c>
      <c r="J161" s="18" t="str">
        <f>IF($C161=""," ",[1]!i_pq_pctchange($C161,J$6,$O$1))</f>
        <v xml:space="preserve"> </v>
      </c>
      <c r="K161" s="18" t="str">
        <f>IF($C161=""," ",[1]!i_pq_pctchange($C161,K$6,$O$1))</f>
        <v xml:space="preserve"> </v>
      </c>
      <c r="L161" s="18" t="str">
        <f>IF($C161=""," ",[1]!i_pq_pctchange($C161,L$6,$O$1))</f>
        <v xml:space="preserve"> </v>
      </c>
      <c r="M161" s="18" t="str">
        <f>IF(C161=""," ",[1]!s_wq_pctchange($C161,$O$1))</f>
        <v xml:space="preserve"> </v>
      </c>
      <c r="N161" s="18" t="str">
        <f>IF(C161=""," ",[1]!s_mq_pctchange($C161,$O$1))</f>
        <v xml:space="preserve"> </v>
      </c>
      <c r="O161" s="18" t="str">
        <f>IF(C161=""," ",[1]!s_yq_pctchange($C161,$O$1))</f>
        <v xml:space="preserve"> </v>
      </c>
      <c r="P161" s="24"/>
      <c r="Q161" s="9"/>
    </row>
    <row r="162" spans="1:17" ht="17.25" x14ac:dyDescent="0.2">
      <c r="A162" s="9"/>
      <c r="C162" s="21" t="str">
        <f>IF(指数列表!B159="","",指数列表!B159)</f>
        <v/>
      </c>
      <c r="D162" s="34" t="str">
        <f>IF(C162="","",[1]!s_info_name(C162))</f>
        <v/>
      </c>
      <c r="E162" s="35" t="str">
        <f>IF(C162="","",[1]!s_dq_close(C162,$O$1))</f>
        <v/>
      </c>
      <c r="F162" s="35" t="str">
        <f>IF(C162="","",[1]!s_dq_volume($C162,$O$1))</f>
        <v/>
      </c>
      <c r="G162" s="35" t="str">
        <f>IF(C162="","",[1]!s_dq_oi($C162,$O$1))</f>
        <v/>
      </c>
      <c r="H162" s="18" t="str">
        <f>IF($C162=""," ",[1]!i_pq_pctchange($C162,H$6,$O$1))</f>
        <v xml:space="preserve"> </v>
      </c>
      <c r="I162" s="18" t="str">
        <f>IF($C162=""," ",[1]!i_pq_pctchange($C162,I$6,$O$1))</f>
        <v xml:space="preserve"> </v>
      </c>
      <c r="J162" s="18" t="str">
        <f>IF($C162=""," ",[1]!i_pq_pctchange($C162,J$6,$O$1))</f>
        <v xml:space="preserve"> </v>
      </c>
      <c r="K162" s="18" t="str">
        <f>IF($C162=""," ",[1]!i_pq_pctchange($C162,K$6,$O$1))</f>
        <v xml:space="preserve"> </v>
      </c>
      <c r="L162" s="18" t="str">
        <f>IF($C162=""," ",[1]!i_pq_pctchange($C162,L$6,$O$1))</f>
        <v xml:space="preserve"> </v>
      </c>
      <c r="M162" s="18" t="str">
        <f>IF(C162=""," ",[1]!s_wq_pctchange($C162,$O$1))</f>
        <v xml:space="preserve"> </v>
      </c>
      <c r="N162" s="18" t="str">
        <f>IF(C162=""," ",[1]!s_mq_pctchange($C162,$O$1))</f>
        <v xml:space="preserve"> </v>
      </c>
      <c r="O162" s="18" t="str">
        <f>IF(C162=""," ",[1]!s_yq_pctchange($C162,$O$1))</f>
        <v xml:space="preserve"> </v>
      </c>
      <c r="P162" s="24"/>
      <c r="Q162" s="9"/>
    </row>
    <row r="163" spans="1:17" ht="17.25" x14ac:dyDescent="0.2">
      <c r="A163" s="9"/>
      <c r="C163" s="17" t="str">
        <f>IF(指数列表!B160="","",指数列表!B160)</f>
        <v/>
      </c>
      <c r="D163" s="33" t="str">
        <f>IF(C163="","",[1]!s_info_name(C163))</f>
        <v/>
      </c>
      <c r="E163" s="36" t="str">
        <f>IF(C163="","",[1]!s_dq_close(C163,$O$1))</f>
        <v/>
      </c>
      <c r="F163" s="36" t="str">
        <f>IF(C163="","",[1]!s_dq_volume($C163,$O$1))</f>
        <v/>
      </c>
      <c r="G163" s="36" t="str">
        <f>IF(C163="","",[1]!s_dq_oi($C163,$O$1))</f>
        <v/>
      </c>
      <c r="H163" s="18" t="str">
        <f>IF($C163=""," ",[1]!i_pq_pctchange($C163,H$6,$O$1))</f>
        <v xml:space="preserve"> </v>
      </c>
      <c r="I163" s="18" t="str">
        <f>IF($C163=""," ",[1]!i_pq_pctchange($C163,I$6,$O$1))</f>
        <v xml:space="preserve"> </v>
      </c>
      <c r="J163" s="18" t="str">
        <f>IF($C163=""," ",[1]!i_pq_pctchange($C163,J$6,$O$1))</f>
        <v xml:space="preserve"> </v>
      </c>
      <c r="K163" s="18" t="str">
        <f>IF($C163=""," ",[1]!i_pq_pctchange($C163,K$6,$O$1))</f>
        <v xml:space="preserve"> </v>
      </c>
      <c r="L163" s="18" t="str">
        <f>IF($C163=""," ",[1]!i_pq_pctchange($C163,L$6,$O$1))</f>
        <v xml:space="preserve"> </v>
      </c>
      <c r="M163" s="18" t="str">
        <f>IF(C163=""," ",[1]!s_wq_pctchange($C163,$O$1))</f>
        <v xml:space="preserve"> </v>
      </c>
      <c r="N163" s="18" t="str">
        <f>IF(C163=""," ",[1]!s_mq_pctchange($C163,$O$1))</f>
        <v xml:space="preserve"> </v>
      </c>
      <c r="O163" s="18" t="str">
        <f>IF(C163=""," ",[1]!s_yq_pctchange($C163,$O$1))</f>
        <v xml:space="preserve"> </v>
      </c>
      <c r="P163" s="24"/>
      <c r="Q163" s="9"/>
    </row>
    <row r="164" spans="1:17" ht="17.25" x14ac:dyDescent="0.2">
      <c r="A164" s="9"/>
      <c r="C164" s="21" t="str">
        <f>IF(指数列表!B161="","",指数列表!B161)</f>
        <v/>
      </c>
      <c r="D164" s="34" t="str">
        <f>IF(C164="","",[1]!s_info_name(C164))</f>
        <v/>
      </c>
      <c r="E164" s="35" t="str">
        <f>IF(C164="","",[1]!s_dq_close(C164,$O$1))</f>
        <v/>
      </c>
      <c r="F164" s="35" t="str">
        <f>IF(C164="","",[1]!s_dq_volume($C164,$O$1))</f>
        <v/>
      </c>
      <c r="G164" s="35" t="str">
        <f>IF(C164="","",[1]!s_dq_oi($C164,$O$1))</f>
        <v/>
      </c>
      <c r="H164" s="18" t="str">
        <f>IF($C164=""," ",[1]!i_pq_pctchange($C164,H$6,$O$1))</f>
        <v xml:space="preserve"> </v>
      </c>
      <c r="I164" s="18" t="str">
        <f>IF($C164=""," ",[1]!i_pq_pctchange($C164,I$6,$O$1))</f>
        <v xml:space="preserve"> </v>
      </c>
      <c r="J164" s="18" t="str">
        <f>IF($C164=""," ",[1]!i_pq_pctchange($C164,J$6,$O$1))</f>
        <v xml:space="preserve"> </v>
      </c>
      <c r="K164" s="18" t="str">
        <f>IF($C164=""," ",[1]!i_pq_pctchange($C164,K$6,$O$1))</f>
        <v xml:space="preserve"> </v>
      </c>
      <c r="L164" s="18" t="str">
        <f>IF($C164=""," ",[1]!i_pq_pctchange($C164,L$6,$O$1))</f>
        <v xml:space="preserve"> </v>
      </c>
      <c r="M164" s="18" t="str">
        <f>IF(C164=""," ",[1]!s_wq_pctchange($C164,$O$1))</f>
        <v xml:space="preserve"> </v>
      </c>
      <c r="N164" s="18" t="str">
        <f>IF(C164=""," ",[1]!s_mq_pctchange($C164,$O$1))</f>
        <v xml:space="preserve"> </v>
      </c>
      <c r="O164" s="18" t="str">
        <f>IF(C164=""," ",[1]!s_yq_pctchange($C164,$O$1))</f>
        <v xml:space="preserve"> </v>
      </c>
      <c r="P164" s="24"/>
      <c r="Q164" s="9"/>
    </row>
    <row r="165" spans="1:17" ht="17.25" x14ac:dyDescent="0.2">
      <c r="A165" s="9"/>
      <c r="C165" s="17" t="str">
        <f>IF(指数列表!B162="","",指数列表!B162)</f>
        <v/>
      </c>
      <c r="D165" s="33" t="str">
        <f>IF(C165="","",[1]!s_info_name(C165))</f>
        <v/>
      </c>
      <c r="E165" s="36" t="str">
        <f>IF(C165="","",[1]!s_dq_close(C165,$O$1))</f>
        <v/>
      </c>
      <c r="F165" s="36" t="str">
        <f>IF(C165="","",[1]!s_dq_volume($C165,$O$1))</f>
        <v/>
      </c>
      <c r="G165" s="36" t="str">
        <f>IF(C165="","",[1]!s_dq_oi($C165,$O$1))</f>
        <v/>
      </c>
      <c r="H165" s="18" t="str">
        <f>IF($C165=""," ",[1]!i_pq_pctchange($C165,H$6,$O$1))</f>
        <v xml:space="preserve"> </v>
      </c>
      <c r="I165" s="18" t="str">
        <f>IF($C165=""," ",[1]!i_pq_pctchange($C165,I$6,$O$1))</f>
        <v xml:space="preserve"> </v>
      </c>
      <c r="J165" s="18" t="str">
        <f>IF($C165=""," ",[1]!i_pq_pctchange($C165,J$6,$O$1))</f>
        <v xml:space="preserve"> </v>
      </c>
      <c r="K165" s="18" t="str">
        <f>IF($C165=""," ",[1]!i_pq_pctchange($C165,K$6,$O$1))</f>
        <v xml:space="preserve"> </v>
      </c>
      <c r="L165" s="18" t="str">
        <f>IF($C165=""," ",[1]!i_pq_pctchange($C165,L$6,$O$1))</f>
        <v xml:space="preserve"> </v>
      </c>
      <c r="M165" s="18" t="str">
        <f>IF(C165=""," ",[1]!s_wq_pctchange($C165,$O$1))</f>
        <v xml:space="preserve"> </v>
      </c>
      <c r="N165" s="18" t="str">
        <f>IF(C165=""," ",[1]!s_mq_pctchange($C165,$O$1))</f>
        <v xml:space="preserve"> </v>
      </c>
      <c r="O165" s="18" t="str">
        <f>IF(C165=""," ",[1]!s_yq_pctchange($C165,$O$1))</f>
        <v xml:space="preserve"> </v>
      </c>
      <c r="P165" s="24"/>
      <c r="Q165" s="9"/>
    </row>
    <row r="166" spans="1:17" ht="17.25" x14ac:dyDescent="0.2">
      <c r="A166" s="9"/>
      <c r="C166" s="21" t="str">
        <f>IF(指数列表!B163="","",指数列表!B163)</f>
        <v/>
      </c>
      <c r="D166" s="34" t="str">
        <f>IF(C166="","",[1]!s_info_name(C166))</f>
        <v/>
      </c>
      <c r="E166" s="35" t="str">
        <f>IF(C166="","",[1]!s_dq_close(C166,$O$1))</f>
        <v/>
      </c>
      <c r="F166" s="35" t="str">
        <f>IF(C166="","",[1]!s_dq_volume($C166,$O$1))</f>
        <v/>
      </c>
      <c r="G166" s="35" t="str">
        <f>IF(C166="","",[1]!s_dq_oi($C166,$O$1))</f>
        <v/>
      </c>
      <c r="H166" s="18" t="str">
        <f>IF($C166=""," ",[1]!i_pq_pctchange($C166,H$6,$O$1))</f>
        <v xml:space="preserve"> </v>
      </c>
      <c r="I166" s="18" t="str">
        <f>IF($C166=""," ",[1]!i_pq_pctchange($C166,I$6,$O$1))</f>
        <v xml:space="preserve"> </v>
      </c>
      <c r="J166" s="18" t="str">
        <f>IF($C166=""," ",[1]!i_pq_pctchange($C166,J$6,$O$1))</f>
        <v xml:space="preserve"> </v>
      </c>
      <c r="K166" s="18" t="str">
        <f>IF($C166=""," ",[1]!i_pq_pctchange($C166,K$6,$O$1))</f>
        <v xml:space="preserve"> </v>
      </c>
      <c r="L166" s="18" t="str">
        <f>IF($C166=""," ",[1]!i_pq_pctchange($C166,L$6,$O$1))</f>
        <v xml:space="preserve"> </v>
      </c>
      <c r="M166" s="18" t="str">
        <f>IF(C166=""," ",[1]!s_wq_pctchange($C166,$O$1))</f>
        <v xml:space="preserve"> </v>
      </c>
      <c r="N166" s="18" t="str">
        <f>IF(C166=""," ",[1]!s_mq_pctchange($C166,$O$1))</f>
        <v xml:space="preserve"> </v>
      </c>
      <c r="O166" s="18" t="str">
        <f>IF(C166=""," ",[1]!s_yq_pctchange($C166,$O$1))</f>
        <v xml:space="preserve"> </v>
      </c>
      <c r="P166" s="24"/>
      <c r="Q166" s="9"/>
    </row>
    <row r="167" spans="1:17" ht="17.25" x14ac:dyDescent="0.2">
      <c r="A167" s="9"/>
      <c r="C167" s="17" t="str">
        <f>IF(指数列表!B164="","",指数列表!B164)</f>
        <v/>
      </c>
      <c r="D167" s="33" t="str">
        <f>IF(C167="","",[1]!s_info_name(C167))</f>
        <v/>
      </c>
      <c r="E167" s="36" t="str">
        <f>IF(C167="","",[1]!s_dq_close(C167,$O$1))</f>
        <v/>
      </c>
      <c r="F167" s="36" t="str">
        <f>IF(C167="","",[1]!s_dq_volume($C167,$O$1))</f>
        <v/>
      </c>
      <c r="G167" s="36" t="str">
        <f>IF(C167="","",[1]!s_dq_oi($C167,$O$1))</f>
        <v/>
      </c>
      <c r="H167" s="18" t="str">
        <f>IF($C167=""," ",[1]!i_pq_pctchange($C167,H$6,$O$1))</f>
        <v xml:space="preserve"> </v>
      </c>
      <c r="I167" s="18" t="str">
        <f>IF($C167=""," ",[1]!i_pq_pctchange($C167,I$6,$O$1))</f>
        <v xml:space="preserve"> </v>
      </c>
      <c r="J167" s="18" t="str">
        <f>IF($C167=""," ",[1]!i_pq_pctchange($C167,J$6,$O$1))</f>
        <v xml:space="preserve"> </v>
      </c>
      <c r="K167" s="18" t="str">
        <f>IF($C167=""," ",[1]!i_pq_pctchange($C167,K$6,$O$1))</f>
        <v xml:space="preserve"> </v>
      </c>
      <c r="L167" s="18" t="str">
        <f>IF($C167=""," ",[1]!i_pq_pctchange($C167,L$6,$O$1))</f>
        <v xml:space="preserve"> </v>
      </c>
      <c r="M167" s="18" t="str">
        <f>IF(C167=""," ",[1]!s_wq_pctchange($C167,$O$1))</f>
        <v xml:space="preserve"> </v>
      </c>
      <c r="N167" s="18" t="str">
        <f>IF(C167=""," ",[1]!s_mq_pctchange($C167,$O$1))</f>
        <v xml:space="preserve"> </v>
      </c>
      <c r="O167" s="18" t="str">
        <f>IF(C167=""," ",[1]!s_yq_pctchange($C167,$O$1))</f>
        <v xml:space="preserve"> </v>
      </c>
      <c r="P167" s="24"/>
      <c r="Q167" s="9"/>
    </row>
    <row r="168" spans="1:17" ht="17.25" x14ac:dyDescent="0.2">
      <c r="A168" s="9"/>
      <c r="C168" s="21" t="str">
        <f>IF(指数列表!B165="","",指数列表!B165)</f>
        <v/>
      </c>
      <c r="D168" s="34" t="str">
        <f>IF(C168="","",[1]!s_info_name(C168))</f>
        <v/>
      </c>
      <c r="E168" s="35" t="str">
        <f>IF(C168="","",[1]!s_dq_close(C168,$O$1))</f>
        <v/>
      </c>
      <c r="F168" s="35" t="str">
        <f>IF(C168="","",[1]!s_dq_volume($C168,$O$1))</f>
        <v/>
      </c>
      <c r="G168" s="35" t="str">
        <f>IF(C168="","",[1]!s_dq_oi($C168,$O$1))</f>
        <v/>
      </c>
      <c r="H168" s="18" t="str">
        <f>IF($C168=""," ",[1]!i_pq_pctchange($C168,H$6,$O$1))</f>
        <v xml:space="preserve"> </v>
      </c>
      <c r="I168" s="18" t="str">
        <f>IF($C168=""," ",[1]!i_pq_pctchange($C168,I$6,$O$1))</f>
        <v xml:space="preserve"> </v>
      </c>
      <c r="J168" s="18" t="str">
        <f>IF($C168=""," ",[1]!i_pq_pctchange($C168,J$6,$O$1))</f>
        <v xml:space="preserve"> </v>
      </c>
      <c r="K168" s="18" t="str">
        <f>IF($C168=""," ",[1]!i_pq_pctchange($C168,K$6,$O$1))</f>
        <v xml:space="preserve"> </v>
      </c>
      <c r="L168" s="18" t="str">
        <f>IF($C168=""," ",[1]!i_pq_pctchange($C168,L$6,$O$1))</f>
        <v xml:space="preserve"> </v>
      </c>
      <c r="M168" s="18" t="str">
        <f>IF(C168=""," ",[1]!s_wq_pctchange($C168,$O$1))</f>
        <v xml:space="preserve"> </v>
      </c>
      <c r="N168" s="18" t="str">
        <f>IF(C168=""," ",[1]!s_mq_pctchange($C168,$O$1))</f>
        <v xml:space="preserve"> </v>
      </c>
      <c r="O168" s="18" t="str">
        <f>IF(C168=""," ",[1]!s_yq_pctchange($C168,$O$1))</f>
        <v xml:space="preserve"> </v>
      </c>
      <c r="P168" s="24"/>
      <c r="Q168" s="9"/>
    </row>
    <row r="169" spans="1:17" ht="17.25" x14ac:dyDescent="0.2">
      <c r="A169" s="9"/>
      <c r="C169" s="17" t="str">
        <f>IF(指数列表!B166="","",指数列表!B166)</f>
        <v/>
      </c>
      <c r="D169" s="33" t="str">
        <f>IF(C169="","",[1]!s_info_name(C169))</f>
        <v/>
      </c>
      <c r="E169" s="36" t="str">
        <f>IF(C169="","",[1]!s_dq_close(C169,$O$1))</f>
        <v/>
      </c>
      <c r="F169" s="36" t="str">
        <f>IF(C169="","",[1]!s_dq_volume($C169,$O$1))</f>
        <v/>
      </c>
      <c r="G169" s="36" t="str">
        <f>IF(C169="","",[1]!s_dq_oi($C169,$O$1))</f>
        <v/>
      </c>
      <c r="H169" s="18" t="str">
        <f>IF($C169=""," ",[1]!i_pq_pctchange($C169,H$6,$O$1))</f>
        <v xml:space="preserve"> </v>
      </c>
      <c r="I169" s="18" t="str">
        <f>IF($C169=""," ",[1]!i_pq_pctchange($C169,I$6,$O$1))</f>
        <v xml:space="preserve"> </v>
      </c>
      <c r="J169" s="18" t="str">
        <f>IF($C169=""," ",[1]!i_pq_pctchange($C169,J$6,$O$1))</f>
        <v xml:space="preserve"> </v>
      </c>
      <c r="K169" s="18" t="str">
        <f>IF($C169=""," ",[1]!i_pq_pctchange($C169,K$6,$O$1))</f>
        <v xml:space="preserve"> </v>
      </c>
      <c r="L169" s="18" t="str">
        <f>IF($C169=""," ",[1]!i_pq_pctchange($C169,L$6,$O$1))</f>
        <v xml:space="preserve"> </v>
      </c>
      <c r="M169" s="18" t="str">
        <f>IF(C169=""," ",[1]!s_wq_pctchange($C169,$O$1))</f>
        <v xml:space="preserve"> </v>
      </c>
      <c r="N169" s="18" t="str">
        <f>IF(C169=""," ",[1]!s_mq_pctchange($C169,$O$1))</f>
        <v xml:space="preserve"> </v>
      </c>
      <c r="O169" s="18" t="str">
        <f>IF(C169=""," ",[1]!s_yq_pctchange($C169,$O$1))</f>
        <v xml:space="preserve"> </v>
      </c>
      <c r="P169" s="24"/>
      <c r="Q169" s="9"/>
    </row>
    <row r="170" spans="1:17" ht="17.25" x14ac:dyDescent="0.2">
      <c r="A170" s="9"/>
      <c r="C170" s="21" t="str">
        <f>IF(指数列表!B167="","",指数列表!B167)</f>
        <v/>
      </c>
      <c r="D170" s="34" t="str">
        <f>IF(C170="","",[1]!s_info_name(C170))</f>
        <v/>
      </c>
      <c r="E170" s="35" t="str">
        <f>IF(C170="","",[1]!s_dq_close(C170,$O$1))</f>
        <v/>
      </c>
      <c r="F170" s="35" t="str">
        <f>IF(C170="","",[1]!s_dq_volume($C170,$O$1))</f>
        <v/>
      </c>
      <c r="G170" s="35" t="str">
        <f>IF(C170="","",[1]!s_dq_oi($C170,$O$1))</f>
        <v/>
      </c>
      <c r="H170" s="18" t="str">
        <f>IF($C170=""," ",[1]!i_pq_pctchange($C170,H$6,$O$1))</f>
        <v xml:space="preserve"> </v>
      </c>
      <c r="I170" s="18" t="str">
        <f>IF($C170=""," ",[1]!i_pq_pctchange($C170,I$6,$O$1))</f>
        <v xml:space="preserve"> </v>
      </c>
      <c r="J170" s="18" t="str">
        <f>IF($C170=""," ",[1]!i_pq_pctchange($C170,J$6,$O$1))</f>
        <v xml:space="preserve"> </v>
      </c>
      <c r="K170" s="18" t="str">
        <f>IF($C170=""," ",[1]!i_pq_pctchange($C170,K$6,$O$1))</f>
        <v xml:space="preserve"> </v>
      </c>
      <c r="L170" s="18" t="str">
        <f>IF($C170=""," ",[1]!i_pq_pctchange($C170,L$6,$O$1))</f>
        <v xml:space="preserve"> </v>
      </c>
      <c r="M170" s="18" t="str">
        <f>IF(C170=""," ",[1]!s_wq_pctchange($C170,$O$1))</f>
        <v xml:space="preserve"> </v>
      </c>
      <c r="N170" s="18" t="str">
        <f>IF(C170=""," ",[1]!s_mq_pctchange($C170,$O$1))</f>
        <v xml:space="preserve"> </v>
      </c>
      <c r="O170" s="18" t="str">
        <f>IF(C170=""," ",[1]!s_yq_pctchange($C170,$O$1))</f>
        <v xml:space="preserve"> </v>
      </c>
      <c r="P170" s="24"/>
      <c r="Q170" s="9"/>
    </row>
    <row r="171" spans="1:17" ht="17.25" x14ac:dyDescent="0.2">
      <c r="A171" s="9"/>
      <c r="C171" s="17" t="str">
        <f>IF(指数列表!B168="","",指数列表!B168)</f>
        <v/>
      </c>
      <c r="D171" s="33" t="str">
        <f>IF(C171="","",[1]!s_info_name(C171))</f>
        <v/>
      </c>
      <c r="E171" s="36" t="str">
        <f>IF(C171="","",[1]!s_dq_close(C171,$O$1))</f>
        <v/>
      </c>
      <c r="F171" s="36" t="str">
        <f>IF(C171="","",[1]!s_dq_volume($C171,$O$1))</f>
        <v/>
      </c>
      <c r="G171" s="36" t="str">
        <f>IF(C171="","",[1]!s_dq_oi($C171,$O$1))</f>
        <v/>
      </c>
      <c r="H171" s="18" t="str">
        <f>IF($C171=""," ",[1]!i_pq_pctchange($C171,H$6,$O$1))</f>
        <v xml:space="preserve"> </v>
      </c>
      <c r="I171" s="18" t="str">
        <f>IF($C171=""," ",[1]!i_pq_pctchange($C171,I$6,$O$1))</f>
        <v xml:space="preserve"> </v>
      </c>
      <c r="J171" s="18" t="str">
        <f>IF($C171=""," ",[1]!i_pq_pctchange($C171,J$6,$O$1))</f>
        <v xml:space="preserve"> </v>
      </c>
      <c r="K171" s="18" t="str">
        <f>IF($C171=""," ",[1]!i_pq_pctchange($C171,K$6,$O$1))</f>
        <v xml:space="preserve"> </v>
      </c>
      <c r="L171" s="18" t="str">
        <f>IF($C171=""," ",[1]!i_pq_pctchange($C171,L$6,$O$1))</f>
        <v xml:space="preserve"> </v>
      </c>
      <c r="M171" s="18" t="str">
        <f>IF(C171=""," ",[1]!s_wq_pctchange($C171,$O$1))</f>
        <v xml:space="preserve"> </v>
      </c>
      <c r="N171" s="18" t="str">
        <f>IF(C171=""," ",[1]!s_mq_pctchange($C171,$O$1))</f>
        <v xml:space="preserve"> </v>
      </c>
      <c r="O171" s="18" t="str">
        <f>IF(C171=""," ",[1]!s_yq_pctchange($C171,$O$1))</f>
        <v xml:space="preserve"> </v>
      </c>
      <c r="P171" s="24"/>
      <c r="Q171" s="9"/>
    </row>
    <row r="172" spans="1:17" ht="17.25" x14ac:dyDescent="0.2">
      <c r="A172" s="9"/>
      <c r="C172" s="21" t="str">
        <f>IF(指数列表!B169="","",指数列表!B169)</f>
        <v/>
      </c>
      <c r="D172" s="34" t="str">
        <f>IF(C172="","",[1]!s_info_name(C172))</f>
        <v/>
      </c>
      <c r="E172" s="35" t="str">
        <f>IF(C172="","",[1]!s_dq_close(C172,$O$1))</f>
        <v/>
      </c>
      <c r="F172" s="35" t="str">
        <f>IF(C172="","",[1]!s_dq_volume($C172,$O$1))</f>
        <v/>
      </c>
      <c r="G172" s="35" t="str">
        <f>IF(C172="","",[1]!s_dq_oi($C172,$O$1))</f>
        <v/>
      </c>
      <c r="H172" s="18" t="str">
        <f>IF($C172=""," ",[1]!i_pq_pctchange($C172,H$6,$O$1))</f>
        <v xml:space="preserve"> </v>
      </c>
      <c r="I172" s="18" t="str">
        <f>IF($C172=""," ",[1]!i_pq_pctchange($C172,I$6,$O$1))</f>
        <v xml:space="preserve"> </v>
      </c>
      <c r="J172" s="18" t="str">
        <f>IF($C172=""," ",[1]!i_pq_pctchange($C172,J$6,$O$1))</f>
        <v xml:space="preserve"> </v>
      </c>
      <c r="K172" s="18" t="str">
        <f>IF($C172=""," ",[1]!i_pq_pctchange($C172,K$6,$O$1))</f>
        <v xml:space="preserve"> </v>
      </c>
      <c r="L172" s="18" t="str">
        <f>IF($C172=""," ",[1]!i_pq_pctchange($C172,L$6,$O$1))</f>
        <v xml:space="preserve"> </v>
      </c>
      <c r="M172" s="18" t="str">
        <f>IF(C172=""," ",[1]!s_wq_pctchange($C172,$O$1))</f>
        <v xml:space="preserve"> </v>
      </c>
      <c r="N172" s="18" t="str">
        <f>IF(C172=""," ",[1]!s_mq_pctchange($C172,$O$1))</f>
        <v xml:space="preserve"> </v>
      </c>
      <c r="O172" s="18" t="str">
        <f>IF(C172=""," ",[1]!s_yq_pctchange($C172,$O$1))</f>
        <v xml:space="preserve"> </v>
      </c>
      <c r="P172" s="24"/>
      <c r="Q172" s="9"/>
    </row>
    <row r="173" spans="1:17" ht="17.25" x14ac:dyDescent="0.2">
      <c r="A173" s="9"/>
      <c r="C173" s="17" t="str">
        <f>IF(指数列表!B170="","",指数列表!B170)</f>
        <v/>
      </c>
      <c r="D173" s="33" t="str">
        <f>IF(C173="","",[1]!s_info_name(C173))</f>
        <v/>
      </c>
      <c r="E173" s="36" t="str">
        <f>IF(C173="","",[1]!s_dq_close(C173,$O$1))</f>
        <v/>
      </c>
      <c r="F173" s="36" t="str">
        <f>IF(C173="","",[1]!s_dq_volume($C173,$O$1))</f>
        <v/>
      </c>
      <c r="G173" s="36" t="str">
        <f>IF(C173="","",[1]!s_dq_oi($C173,$O$1))</f>
        <v/>
      </c>
      <c r="H173" s="18" t="str">
        <f>IF($C173=""," ",[1]!i_pq_pctchange($C173,H$6,$O$1))</f>
        <v xml:space="preserve"> </v>
      </c>
      <c r="I173" s="18" t="str">
        <f>IF($C173=""," ",[1]!i_pq_pctchange($C173,I$6,$O$1))</f>
        <v xml:space="preserve"> </v>
      </c>
      <c r="J173" s="18" t="str">
        <f>IF($C173=""," ",[1]!i_pq_pctchange($C173,J$6,$O$1))</f>
        <v xml:space="preserve"> </v>
      </c>
      <c r="K173" s="18" t="str">
        <f>IF($C173=""," ",[1]!i_pq_pctchange($C173,K$6,$O$1))</f>
        <v xml:space="preserve"> </v>
      </c>
      <c r="L173" s="18" t="str">
        <f>IF($C173=""," ",[1]!i_pq_pctchange($C173,L$6,$O$1))</f>
        <v xml:space="preserve"> </v>
      </c>
      <c r="M173" s="18" t="str">
        <f>IF(C173=""," ",[1]!s_wq_pctchange($C173,$O$1))</f>
        <v xml:space="preserve"> </v>
      </c>
      <c r="N173" s="18" t="str">
        <f>IF(C173=""," ",[1]!s_mq_pctchange($C173,$O$1))</f>
        <v xml:space="preserve"> </v>
      </c>
      <c r="O173" s="18" t="str">
        <f>IF(C173=""," ",[1]!s_yq_pctchange($C173,$O$1))</f>
        <v xml:space="preserve"> </v>
      </c>
      <c r="P173" s="24"/>
      <c r="Q173" s="9"/>
    </row>
    <row r="174" spans="1:17" ht="17.25" x14ac:dyDescent="0.2">
      <c r="A174" s="9"/>
      <c r="C174" s="21" t="str">
        <f>IF(指数列表!B171="","",指数列表!B171)</f>
        <v/>
      </c>
      <c r="D174" s="34" t="str">
        <f>IF(C174="","",[1]!s_info_name(C174))</f>
        <v/>
      </c>
      <c r="E174" s="35" t="str">
        <f>IF(C174="","",[1]!s_dq_close(C174,$O$1))</f>
        <v/>
      </c>
      <c r="F174" s="35" t="str">
        <f>IF(C174="","",[1]!s_dq_volume($C174,$O$1))</f>
        <v/>
      </c>
      <c r="G174" s="35" t="str">
        <f>IF(C174="","",[1]!s_dq_oi($C174,$O$1))</f>
        <v/>
      </c>
      <c r="H174" s="18" t="str">
        <f>IF($C174=""," ",[1]!i_pq_pctchange($C174,H$6,$O$1))</f>
        <v xml:space="preserve"> </v>
      </c>
      <c r="I174" s="18" t="str">
        <f>IF($C174=""," ",[1]!i_pq_pctchange($C174,I$6,$O$1))</f>
        <v xml:space="preserve"> </v>
      </c>
      <c r="J174" s="18" t="str">
        <f>IF($C174=""," ",[1]!i_pq_pctchange($C174,J$6,$O$1))</f>
        <v xml:space="preserve"> </v>
      </c>
      <c r="K174" s="18" t="str">
        <f>IF($C174=""," ",[1]!i_pq_pctchange($C174,K$6,$O$1))</f>
        <v xml:space="preserve"> </v>
      </c>
      <c r="L174" s="18" t="str">
        <f>IF($C174=""," ",[1]!i_pq_pctchange($C174,L$6,$O$1))</f>
        <v xml:space="preserve"> </v>
      </c>
      <c r="M174" s="18" t="str">
        <f>IF(C174=""," ",[1]!s_wq_pctchange($C174,$O$1))</f>
        <v xml:space="preserve"> </v>
      </c>
      <c r="N174" s="18" t="str">
        <f>IF(C174=""," ",[1]!s_mq_pctchange($C174,$O$1))</f>
        <v xml:space="preserve"> </v>
      </c>
      <c r="O174" s="18" t="str">
        <f>IF(C174=""," ",[1]!s_yq_pctchange($C174,$O$1))</f>
        <v xml:space="preserve"> </v>
      </c>
      <c r="P174" s="24"/>
      <c r="Q174" s="9"/>
    </row>
    <row r="175" spans="1:17" ht="17.25" x14ac:dyDescent="0.2">
      <c r="A175" s="9"/>
      <c r="C175" s="17" t="str">
        <f>IF(指数列表!B172="","",指数列表!B172)</f>
        <v/>
      </c>
      <c r="D175" s="33" t="str">
        <f>IF(C175="","",[1]!s_info_name(C175))</f>
        <v/>
      </c>
      <c r="E175" s="36" t="str">
        <f>IF(C175="","",[1]!s_dq_close(C175,$O$1))</f>
        <v/>
      </c>
      <c r="F175" s="36" t="str">
        <f>IF(C175="","",[1]!s_dq_volume($C175,$O$1))</f>
        <v/>
      </c>
      <c r="G175" s="36" t="str">
        <f>IF(C175="","",[1]!s_dq_oi($C175,$O$1))</f>
        <v/>
      </c>
      <c r="H175" s="18" t="str">
        <f>IF($C175=""," ",[1]!i_pq_pctchange($C175,H$6,$O$1))</f>
        <v xml:space="preserve"> </v>
      </c>
      <c r="I175" s="18" t="str">
        <f>IF($C175=""," ",[1]!i_pq_pctchange($C175,I$6,$O$1))</f>
        <v xml:space="preserve"> </v>
      </c>
      <c r="J175" s="18" t="str">
        <f>IF($C175=""," ",[1]!i_pq_pctchange($C175,J$6,$O$1))</f>
        <v xml:space="preserve"> </v>
      </c>
      <c r="K175" s="18" t="str">
        <f>IF($C175=""," ",[1]!i_pq_pctchange($C175,K$6,$O$1))</f>
        <v xml:space="preserve"> </v>
      </c>
      <c r="L175" s="18" t="str">
        <f>IF($C175=""," ",[1]!i_pq_pctchange($C175,L$6,$O$1))</f>
        <v xml:space="preserve"> </v>
      </c>
      <c r="M175" s="18" t="str">
        <f>IF(C175=""," ",[1]!s_wq_pctchange($C175,$O$1))</f>
        <v xml:space="preserve"> </v>
      </c>
      <c r="N175" s="18" t="str">
        <f>IF(C175=""," ",[1]!s_mq_pctchange($C175,$O$1))</f>
        <v xml:space="preserve"> </v>
      </c>
      <c r="O175" s="18" t="str">
        <f>IF(C175=""," ",[1]!s_yq_pctchange($C175,$O$1))</f>
        <v xml:space="preserve"> </v>
      </c>
      <c r="P175" s="24"/>
      <c r="Q175" s="9"/>
    </row>
    <row r="176" spans="1:17" ht="17.25" x14ac:dyDescent="0.2">
      <c r="A176" s="9"/>
      <c r="C176" s="21" t="str">
        <f>IF(指数列表!B173="","",指数列表!B173)</f>
        <v/>
      </c>
      <c r="D176" s="34" t="str">
        <f>IF(C176="","",[1]!s_info_name(C176))</f>
        <v/>
      </c>
      <c r="E176" s="35" t="str">
        <f>IF(C176="","",[1]!s_dq_close(C176,$O$1))</f>
        <v/>
      </c>
      <c r="F176" s="35" t="str">
        <f>IF(C176="","",[1]!s_dq_volume($C176,$O$1))</f>
        <v/>
      </c>
      <c r="G176" s="35" t="str">
        <f>IF(C176="","",[1]!s_dq_oi($C176,$O$1))</f>
        <v/>
      </c>
      <c r="H176" s="18" t="str">
        <f>IF($C176=""," ",[1]!i_pq_pctchange($C176,H$6,$O$1))</f>
        <v xml:space="preserve"> </v>
      </c>
      <c r="I176" s="18" t="str">
        <f>IF($C176=""," ",[1]!i_pq_pctchange($C176,I$6,$O$1))</f>
        <v xml:space="preserve"> </v>
      </c>
      <c r="J176" s="18" t="str">
        <f>IF($C176=""," ",[1]!i_pq_pctchange($C176,J$6,$O$1))</f>
        <v xml:space="preserve"> </v>
      </c>
      <c r="K176" s="18" t="str">
        <f>IF($C176=""," ",[1]!i_pq_pctchange($C176,K$6,$O$1))</f>
        <v xml:space="preserve"> </v>
      </c>
      <c r="L176" s="18" t="str">
        <f>IF($C176=""," ",[1]!i_pq_pctchange($C176,L$6,$O$1))</f>
        <v xml:space="preserve"> </v>
      </c>
      <c r="M176" s="18" t="str">
        <f>IF(C176=""," ",[1]!s_wq_pctchange($C176,$O$1))</f>
        <v xml:space="preserve"> </v>
      </c>
      <c r="N176" s="18" t="str">
        <f>IF(C176=""," ",[1]!s_mq_pctchange($C176,$O$1))</f>
        <v xml:space="preserve"> </v>
      </c>
      <c r="O176" s="18" t="str">
        <f>IF(C176=""," ",[1]!s_yq_pctchange($C176,$O$1))</f>
        <v xml:space="preserve"> </v>
      </c>
      <c r="P176" s="24"/>
      <c r="Q176" s="9"/>
    </row>
    <row r="177" spans="1:17" ht="17.25" x14ac:dyDescent="0.2">
      <c r="A177" s="9"/>
      <c r="C177" s="17" t="str">
        <f>IF(指数列表!B174="","",指数列表!B174)</f>
        <v/>
      </c>
      <c r="D177" s="33" t="str">
        <f>IF(C177="","",[1]!s_info_name(C177))</f>
        <v/>
      </c>
      <c r="E177" s="36" t="str">
        <f>IF(C177="","",[1]!s_dq_close(C177,$O$1))</f>
        <v/>
      </c>
      <c r="F177" s="36" t="str">
        <f>IF(C177="","",[1]!s_dq_volume($C177,$O$1))</f>
        <v/>
      </c>
      <c r="G177" s="36" t="str">
        <f>IF(C177="","",[1]!s_dq_oi($C177,$O$1))</f>
        <v/>
      </c>
      <c r="H177" s="18" t="str">
        <f>IF($C177=""," ",[1]!i_pq_pctchange($C177,H$6,$O$1))</f>
        <v xml:space="preserve"> </v>
      </c>
      <c r="I177" s="18" t="str">
        <f>IF($C177=""," ",[1]!i_pq_pctchange($C177,I$6,$O$1))</f>
        <v xml:space="preserve"> </v>
      </c>
      <c r="J177" s="18" t="str">
        <f>IF($C177=""," ",[1]!i_pq_pctchange($C177,J$6,$O$1))</f>
        <v xml:space="preserve"> </v>
      </c>
      <c r="K177" s="18" t="str">
        <f>IF($C177=""," ",[1]!i_pq_pctchange($C177,K$6,$O$1))</f>
        <v xml:space="preserve"> </v>
      </c>
      <c r="L177" s="18" t="str">
        <f>IF($C177=""," ",[1]!i_pq_pctchange($C177,L$6,$O$1))</f>
        <v xml:space="preserve"> </v>
      </c>
      <c r="M177" s="18" t="str">
        <f>IF(C177=""," ",[1]!s_wq_pctchange($C177,$O$1))</f>
        <v xml:space="preserve"> </v>
      </c>
      <c r="N177" s="18" t="str">
        <f>IF(C177=""," ",[1]!s_mq_pctchange($C177,$O$1))</f>
        <v xml:space="preserve"> </v>
      </c>
      <c r="O177" s="18" t="str">
        <f>IF(C177=""," ",[1]!s_yq_pctchange($C177,$O$1))</f>
        <v xml:space="preserve"> </v>
      </c>
      <c r="P177" s="24"/>
      <c r="Q177" s="9"/>
    </row>
    <row r="178" spans="1:17" ht="17.25" x14ac:dyDescent="0.2">
      <c r="A178" s="9"/>
      <c r="C178" s="21" t="str">
        <f>IF(指数列表!B175="","",指数列表!B175)</f>
        <v/>
      </c>
      <c r="D178" s="34" t="str">
        <f>IF(C178="","",[1]!s_info_name(C178))</f>
        <v/>
      </c>
      <c r="E178" s="35" t="str">
        <f>IF(C178="","",[1]!s_dq_close(C178,$O$1))</f>
        <v/>
      </c>
      <c r="F178" s="35" t="str">
        <f>IF(C178="","",[1]!s_dq_volume($C178,$O$1))</f>
        <v/>
      </c>
      <c r="G178" s="35" t="str">
        <f>IF(C178="","",[1]!s_dq_oi($C178,$O$1))</f>
        <v/>
      </c>
      <c r="H178" s="18" t="str">
        <f>IF($C178=""," ",[1]!i_pq_pctchange($C178,H$6,$O$1))</f>
        <v xml:space="preserve"> </v>
      </c>
      <c r="I178" s="18" t="str">
        <f>IF($C178=""," ",[1]!i_pq_pctchange($C178,I$6,$O$1))</f>
        <v xml:space="preserve"> </v>
      </c>
      <c r="J178" s="18" t="str">
        <f>IF($C178=""," ",[1]!i_pq_pctchange($C178,J$6,$O$1))</f>
        <v xml:space="preserve"> </v>
      </c>
      <c r="K178" s="18" t="str">
        <f>IF($C178=""," ",[1]!i_pq_pctchange($C178,K$6,$O$1))</f>
        <v xml:space="preserve"> </v>
      </c>
      <c r="L178" s="18" t="str">
        <f>IF($C178=""," ",[1]!i_pq_pctchange($C178,L$6,$O$1))</f>
        <v xml:space="preserve"> </v>
      </c>
      <c r="M178" s="18" t="str">
        <f>IF(C178=""," ",[1]!s_wq_pctchange($C178,$O$1))</f>
        <v xml:space="preserve"> </v>
      </c>
      <c r="N178" s="18" t="str">
        <f>IF(C178=""," ",[1]!s_mq_pctchange($C178,$O$1))</f>
        <v xml:space="preserve"> </v>
      </c>
      <c r="O178" s="18" t="str">
        <f>IF(C178=""," ",[1]!s_yq_pctchange($C178,$O$1))</f>
        <v xml:space="preserve"> </v>
      </c>
      <c r="P178" s="24"/>
      <c r="Q178" s="9"/>
    </row>
    <row r="179" spans="1:17" ht="17.25" x14ac:dyDescent="0.2">
      <c r="A179" s="9"/>
      <c r="C179" s="17" t="str">
        <f>IF(指数列表!B176="","",指数列表!B176)</f>
        <v/>
      </c>
      <c r="D179" s="33" t="str">
        <f>IF(C179="","",[1]!s_info_name(C179))</f>
        <v/>
      </c>
      <c r="E179" s="36" t="str">
        <f>IF(C179="","",[1]!s_dq_close(C179,$O$1))</f>
        <v/>
      </c>
      <c r="F179" s="36" t="str">
        <f>IF(C179="","",[1]!s_dq_volume($C179,$O$1))</f>
        <v/>
      </c>
      <c r="G179" s="36" t="str">
        <f>IF(C179="","",[1]!s_dq_oi($C179,$O$1))</f>
        <v/>
      </c>
      <c r="H179" s="18" t="str">
        <f>IF($C179=""," ",[1]!i_pq_pctchange($C179,H$6,$O$1))</f>
        <v xml:space="preserve"> </v>
      </c>
      <c r="I179" s="18" t="str">
        <f>IF($C179=""," ",[1]!i_pq_pctchange($C179,I$6,$O$1))</f>
        <v xml:space="preserve"> </v>
      </c>
      <c r="J179" s="18" t="str">
        <f>IF($C179=""," ",[1]!i_pq_pctchange($C179,J$6,$O$1))</f>
        <v xml:space="preserve"> </v>
      </c>
      <c r="K179" s="18" t="str">
        <f>IF($C179=""," ",[1]!i_pq_pctchange($C179,K$6,$O$1))</f>
        <v xml:space="preserve"> </v>
      </c>
      <c r="L179" s="18" t="str">
        <f>IF($C179=""," ",[1]!i_pq_pctchange($C179,L$6,$O$1))</f>
        <v xml:space="preserve"> </v>
      </c>
      <c r="M179" s="18" t="str">
        <f>IF(C179=""," ",[1]!s_wq_pctchange($C179,$O$1))</f>
        <v xml:space="preserve"> </v>
      </c>
      <c r="N179" s="18" t="str">
        <f>IF(C179=""," ",[1]!s_mq_pctchange($C179,$O$1))</f>
        <v xml:space="preserve"> </v>
      </c>
      <c r="O179" s="18" t="str">
        <f>IF(C179=""," ",[1]!s_yq_pctchange($C179,$O$1))</f>
        <v xml:space="preserve"> </v>
      </c>
      <c r="P179" s="24"/>
      <c r="Q179" s="9"/>
    </row>
    <row r="180" spans="1:17" ht="17.25" x14ac:dyDescent="0.2">
      <c r="A180" s="9"/>
      <c r="C180" s="21" t="str">
        <f>IF(指数列表!B177="","",指数列表!B177)</f>
        <v/>
      </c>
      <c r="D180" s="34" t="str">
        <f>IF(C180="","",[1]!s_info_name(C180))</f>
        <v/>
      </c>
      <c r="E180" s="35" t="str">
        <f>IF(C180="","",[1]!s_dq_close(C180,$O$1))</f>
        <v/>
      </c>
      <c r="F180" s="35" t="str">
        <f>IF(C180="","",[1]!s_dq_volume($C180,$O$1))</f>
        <v/>
      </c>
      <c r="G180" s="35" t="str">
        <f>IF(C180="","",[1]!s_dq_oi($C180,$O$1))</f>
        <v/>
      </c>
      <c r="H180" s="18" t="str">
        <f>IF($C180=""," ",[1]!i_pq_pctchange($C180,H$6,$O$1))</f>
        <v xml:space="preserve"> </v>
      </c>
      <c r="I180" s="18" t="str">
        <f>IF($C180=""," ",[1]!i_pq_pctchange($C180,I$6,$O$1))</f>
        <v xml:space="preserve"> </v>
      </c>
      <c r="J180" s="18" t="str">
        <f>IF($C180=""," ",[1]!i_pq_pctchange($C180,J$6,$O$1))</f>
        <v xml:space="preserve"> </v>
      </c>
      <c r="K180" s="18" t="str">
        <f>IF($C180=""," ",[1]!i_pq_pctchange($C180,K$6,$O$1))</f>
        <v xml:space="preserve"> </v>
      </c>
      <c r="L180" s="18" t="str">
        <f>IF($C180=""," ",[1]!i_pq_pctchange($C180,L$6,$O$1))</f>
        <v xml:space="preserve"> </v>
      </c>
      <c r="M180" s="18" t="str">
        <f>IF(C180=""," ",[1]!s_wq_pctchange($C180,$O$1))</f>
        <v xml:space="preserve"> </v>
      </c>
      <c r="N180" s="18" t="str">
        <f>IF(C180=""," ",[1]!s_mq_pctchange($C180,$O$1))</f>
        <v xml:space="preserve"> </v>
      </c>
      <c r="O180" s="18" t="str">
        <f>IF(C180=""," ",[1]!s_yq_pctchange($C180,$O$1))</f>
        <v xml:space="preserve"> </v>
      </c>
      <c r="P180" s="24"/>
      <c r="Q180" s="9"/>
    </row>
    <row r="181" spans="1:17" ht="17.25" x14ac:dyDescent="0.2">
      <c r="A181" s="9"/>
      <c r="C181" s="17" t="str">
        <f>IF(指数列表!B178="","",指数列表!B178)</f>
        <v/>
      </c>
      <c r="D181" s="33" t="str">
        <f>IF(C181="","",[1]!s_info_name(C181))</f>
        <v/>
      </c>
      <c r="E181" s="36" t="str">
        <f>IF(C181="","",[1]!s_dq_close(C181,$O$1))</f>
        <v/>
      </c>
      <c r="F181" s="36" t="str">
        <f>IF(C181="","",[1]!s_dq_volume($C181,$O$1))</f>
        <v/>
      </c>
      <c r="G181" s="36" t="str">
        <f>IF(C181="","",[1]!s_dq_oi($C181,$O$1))</f>
        <v/>
      </c>
      <c r="H181" s="18" t="str">
        <f>IF($C181=""," ",[1]!i_pq_pctchange($C181,H$6,$O$1))</f>
        <v xml:space="preserve"> </v>
      </c>
      <c r="I181" s="18" t="str">
        <f>IF($C181=""," ",[1]!i_pq_pctchange($C181,I$6,$O$1))</f>
        <v xml:space="preserve"> </v>
      </c>
      <c r="J181" s="18" t="str">
        <f>IF($C181=""," ",[1]!i_pq_pctchange($C181,J$6,$O$1))</f>
        <v xml:space="preserve"> </v>
      </c>
      <c r="K181" s="18" t="str">
        <f>IF($C181=""," ",[1]!i_pq_pctchange($C181,K$6,$O$1))</f>
        <v xml:space="preserve"> </v>
      </c>
      <c r="L181" s="18" t="str">
        <f>IF($C181=""," ",[1]!i_pq_pctchange($C181,L$6,$O$1))</f>
        <v xml:space="preserve"> </v>
      </c>
      <c r="M181" s="18" t="str">
        <f>IF(C181=""," ",[1]!s_wq_pctchange($C181,$O$1))</f>
        <v xml:space="preserve"> </v>
      </c>
      <c r="N181" s="18" t="str">
        <f>IF(C181=""," ",[1]!s_mq_pctchange($C181,$O$1))</f>
        <v xml:space="preserve"> </v>
      </c>
      <c r="O181" s="18" t="str">
        <f>IF(C181=""," ",[1]!s_yq_pctchange($C181,$O$1))</f>
        <v xml:space="preserve"> </v>
      </c>
      <c r="P181" s="24"/>
      <c r="Q181" s="9"/>
    </row>
    <row r="182" spans="1:17" ht="17.25" x14ac:dyDescent="0.2">
      <c r="A182" s="9"/>
      <c r="C182" s="21" t="str">
        <f>IF(指数列表!B179="","",指数列表!B179)</f>
        <v/>
      </c>
      <c r="D182" s="34" t="str">
        <f>IF(C182="","",[1]!s_info_name(C182))</f>
        <v/>
      </c>
      <c r="E182" s="35" t="str">
        <f>IF(C182="","",[1]!s_dq_close(C182,$O$1))</f>
        <v/>
      </c>
      <c r="F182" s="35" t="str">
        <f>IF(C182="","",[1]!s_dq_volume($C182,$O$1))</f>
        <v/>
      </c>
      <c r="G182" s="35" t="str">
        <f>IF(C182="","",[1]!s_dq_oi($C182,$O$1))</f>
        <v/>
      </c>
      <c r="H182" s="18" t="str">
        <f>IF($C182=""," ",[1]!i_pq_pctchange($C182,H$6,$O$1))</f>
        <v xml:space="preserve"> </v>
      </c>
      <c r="I182" s="18" t="str">
        <f>IF($C182=""," ",[1]!i_pq_pctchange($C182,I$6,$O$1))</f>
        <v xml:space="preserve"> </v>
      </c>
      <c r="J182" s="18" t="str">
        <f>IF($C182=""," ",[1]!i_pq_pctchange($C182,J$6,$O$1))</f>
        <v xml:space="preserve"> </v>
      </c>
      <c r="K182" s="18" t="str">
        <f>IF($C182=""," ",[1]!i_pq_pctchange($C182,K$6,$O$1))</f>
        <v xml:space="preserve"> </v>
      </c>
      <c r="L182" s="18" t="str">
        <f>IF($C182=""," ",[1]!i_pq_pctchange($C182,L$6,$O$1))</f>
        <v xml:space="preserve"> </v>
      </c>
      <c r="M182" s="18" t="str">
        <f>IF(C182=""," ",[1]!s_wq_pctchange($C182,$O$1))</f>
        <v xml:space="preserve"> </v>
      </c>
      <c r="N182" s="18" t="str">
        <f>IF(C182=""," ",[1]!s_mq_pctchange($C182,$O$1))</f>
        <v xml:space="preserve"> </v>
      </c>
      <c r="O182" s="18" t="str">
        <f>IF(C182=""," ",[1]!s_yq_pctchange($C182,$O$1))</f>
        <v xml:space="preserve"> </v>
      </c>
      <c r="P182" s="24"/>
      <c r="Q182" s="9"/>
    </row>
    <row r="183" spans="1:17" ht="17.25" x14ac:dyDescent="0.2">
      <c r="A183" s="9"/>
      <c r="C183" s="17" t="str">
        <f>IF(指数列表!B180="","",指数列表!B180)</f>
        <v/>
      </c>
      <c r="D183" s="33" t="str">
        <f>IF(C183="","",[1]!s_info_name(C183))</f>
        <v/>
      </c>
      <c r="E183" s="36" t="str">
        <f>IF(C183="","",[1]!s_dq_close(C183,$O$1))</f>
        <v/>
      </c>
      <c r="F183" s="36" t="str">
        <f>IF(C183="","",[1]!s_dq_volume($C183,$O$1))</f>
        <v/>
      </c>
      <c r="G183" s="36" t="str">
        <f>IF(C183="","",[1]!s_dq_oi($C183,$O$1))</f>
        <v/>
      </c>
      <c r="H183" s="18" t="str">
        <f>IF($C183=""," ",[1]!i_pq_pctchange($C183,H$6,$O$1))</f>
        <v xml:space="preserve"> </v>
      </c>
      <c r="I183" s="18" t="str">
        <f>IF($C183=""," ",[1]!i_pq_pctchange($C183,I$6,$O$1))</f>
        <v xml:space="preserve"> </v>
      </c>
      <c r="J183" s="18" t="str">
        <f>IF($C183=""," ",[1]!i_pq_pctchange($C183,J$6,$O$1))</f>
        <v xml:space="preserve"> </v>
      </c>
      <c r="K183" s="18" t="str">
        <f>IF($C183=""," ",[1]!i_pq_pctchange($C183,K$6,$O$1))</f>
        <v xml:space="preserve"> </v>
      </c>
      <c r="L183" s="18" t="str">
        <f>IF($C183=""," ",[1]!i_pq_pctchange($C183,L$6,$O$1))</f>
        <v xml:space="preserve"> </v>
      </c>
      <c r="M183" s="18" t="str">
        <f>IF(C183=""," ",[1]!s_wq_pctchange($C183,$O$1))</f>
        <v xml:space="preserve"> </v>
      </c>
      <c r="N183" s="18" t="str">
        <f>IF(C183=""," ",[1]!s_mq_pctchange($C183,$O$1))</f>
        <v xml:space="preserve"> </v>
      </c>
      <c r="O183" s="18" t="str">
        <f>IF(C183=""," ",[1]!s_yq_pctchange($C183,$O$1))</f>
        <v xml:space="preserve"> </v>
      </c>
      <c r="P183" s="24"/>
      <c r="Q183" s="9"/>
    </row>
    <row r="184" spans="1:17" ht="17.25" x14ac:dyDescent="0.2">
      <c r="A184" s="9"/>
      <c r="C184" s="21" t="str">
        <f>IF(指数列表!B181="","",指数列表!B181)</f>
        <v/>
      </c>
      <c r="D184" s="34" t="str">
        <f>IF(C184="","",[1]!s_info_name(C184))</f>
        <v/>
      </c>
      <c r="E184" s="35" t="str">
        <f>IF(C184="","",[1]!s_dq_close(C184,$O$1))</f>
        <v/>
      </c>
      <c r="F184" s="35" t="str">
        <f>IF(C184="","",[1]!s_dq_volume($C184,$O$1))</f>
        <v/>
      </c>
      <c r="G184" s="35" t="str">
        <f>IF(C184="","",[1]!s_dq_oi($C184,$O$1))</f>
        <v/>
      </c>
      <c r="H184" s="18" t="str">
        <f>IF($C184=""," ",[1]!i_pq_pctchange($C184,H$6,$O$1))</f>
        <v xml:space="preserve"> </v>
      </c>
      <c r="I184" s="18" t="str">
        <f>IF($C184=""," ",[1]!i_pq_pctchange($C184,I$6,$O$1))</f>
        <v xml:space="preserve"> </v>
      </c>
      <c r="J184" s="18" t="str">
        <f>IF($C184=""," ",[1]!i_pq_pctchange($C184,J$6,$O$1))</f>
        <v xml:space="preserve"> </v>
      </c>
      <c r="K184" s="18" t="str">
        <f>IF($C184=""," ",[1]!i_pq_pctchange($C184,K$6,$O$1))</f>
        <v xml:space="preserve"> </v>
      </c>
      <c r="L184" s="18" t="str">
        <f>IF($C184=""," ",[1]!i_pq_pctchange($C184,L$6,$O$1))</f>
        <v xml:space="preserve"> </v>
      </c>
      <c r="M184" s="18" t="str">
        <f>IF(C184=""," ",[1]!s_wq_pctchange($C184,$O$1))</f>
        <v xml:space="preserve"> </v>
      </c>
      <c r="N184" s="18" t="str">
        <f>IF(C184=""," ",[1]!s_mq_pctchange($C184,$O$1))</f>
        <v xml:space="preserve"> </v>
      </c>
      <c r="O184" s="18" t="str">
        <f>IF(C184=""," ",[1]!s_yq_pctchange($C184,$O$1))</f>
        <v xml:space="preserve"> </v>
      </c>
      <c r="P184" s="24"/>
      <c r="Q184" s="9"/>
    </row>
    <row r="185" spans="1:17" ht="17.25" x14ac:dyDescent="0.2">
      <c r="A185" s="9"/>
      <c r="C185" s="17" t="str">
        <f>IF(指数列表!B182="","",指数列表!B182)</f>
        <v/>
      </c>
      <c r="D185" s="33" t="str">
        <f>IF(C185="","",[1]!s_info_name(C185))</f>
        <v/>
      </c>
      <c r="E185" s="36" t="str">
        <f>IF(C185="","",[1]!s_dq_close(C185,$O$1))</f>
        <v/>
      </c>
      <c r="F185" s="36" t="str">
        <f>IF(C185="","",[1]!s_dq_volume($C185,$O$1))</f>
        <v/>
      </c>
      <c r="G185" s="36" t="str">
        <f>IF(C185="","",[1]!s_dq_oi($C185,$O$1))</f>
        <v/>
      </c>
      <c r="H185" s="18" t="str">
        <f>IF($C185=""," ",[1]!i_pq_pctchange($C185,H$6,$O$1))</f>
        <v xml:space="preserve"> </v>
      </c>
      <c r="I185" s="18" t="str">
        <f>IF($C185=""," ",[1]!i_pq_pctchange($C185,I$6,$O$1))</f>
        <v xml:space="preserve"> </v>
      </c>
      <c r="J185" s="18" t="str">
        <f>IF($C185=""," ",[1]!i_pq_pctchange($C185,J$6,$O$1))</f>
        <v xml:space="preserve"> </v>
      </c>
      <c r="K185" s="18" t="str">
        <f>IF($C185=""," ",[1]!i_pq_pctchange($C185,K$6,$O$1))</f>
        <v xml:space="preserve"> </v>
      </c>
      <c r="L185" s="18" t="str">
        <f>IF($C185=""," ",[1]!i_pq_pctchange($C185,L$6,$O$1))</f>
        <v xml:space="preserve"> </v>
      </c>
      <c r="M185" s="18" t="str">
        <f>IF(C185=""," ",[1]!s_wq_pctchange($C185,$O$1))</f>
        <v xml:space="preserve"> </v>
      </c>
      <c r="N185" s="18" t="str">
        <f>IF(C185=""," ",[1]!s_mq_pctchange($C185,$O$1))</f>
        <v xml:space="preserve"> </v>
      </c>
      <c r="O185" s="18" t="str">
        <f>IF(C185=""," ",[1]!s_yq_pctchange($C185,$O$1))</f>
        <v xml:space="preserve"> </v>
      </c>
      <c r="P185" s="24"/>
      <c r="Q185" s="9"/>
    </row>
    <row r="186" spans="1:17" ht="17.25" x14ac:dyDescent="0.2">
      <c r="A186" s="9"/>
      <c r="C186" s="21" t="str">
        <f>IF(指数列表!B183="","",指数列表!B183)</f>
        <v/>
      </c>
      <c r="D186" s="34" t="str">
        <f>IF(C186="","",[1]!s_info_name(C186))</f>
        <v/>
      </c>
      <c r="E186" s="35" t="str">
        <f>IF(C186="","",[1]!s_dq_close(C186,$O$1))</f>
        <v/>
      </c>
      <c r="F186" s="35" t="str">
        <f>IF(C186="","",[1]!s_dq_volume($C186,$O$1))</f>
        <v/>
      </c>
      <c r="G186" s="35" t="str">
        <f>IF(C186="","",[1]!s_dq_oi($C186,$O$1))</f>
        <v/>
      </c>
      <c r="H186" s="18" t="str">
        <f>IF($C186=""," ",[1]!i_pq_pctchange($C186,H$6,$O$1))</f>
        <v xml:space="preserve"> </v>
      </c>
      <c r="I186" s="18" t="str">
        <f>IF($C186=""," ",[1]!i_pq_pctchange($C186,I$6,$O$1))</f>
        <v xml:space="preserve"> </v>
      </c>
      <c r="J186" s="18" t="str">
        <f>IF($C186=""," ",[1]!i_pq_pctchange($C186,J$6,$O$1))</f>
        <v xml:space="preserve"> </v>
      </c>
      <c r="K186" s="18" t="str">
        <f>IF($C186=""," ",[1]!i_pq_pctchange($C186,K$6,$O$1))</f>
        <v xml:space="preserve"> </v>
      </c>
      <c r="L186" s="18" t="str">
        <f>IF($C186=""," ",[1]!i_pq_pctchange($C186,L$6,$O$1))</f>
        <v xml:space="preserve"> </v>
      </c>
      <c r="M186" s="18" t="str">
        <f>IF(C186=""," ",[1]!s_wq_pctchange($C186,$O$1))</f>
        <v xml:space="preserve"> </v>
      </c>
      <c r="N186" s="18" t="str">
        <f>IF(C186=""," ",[1]!s_mq_pctchange($C186,$O$1))</f>
        <v xml:space="preserve"> </v>
      </c>
      <c r="O186" s="18" t="str">
        <f>IF(C186=""," ",[1]!s_yq_pctchange($C186,$O$1))</f>
        <v xml:space="preserve"> </v>
      </c>
      <c r="P186" s="24"/>
      <c r="Q186" s="9"/>
    </row>
    <row r="187" spans="1:17" ht="17.25" x14ac:dyDescent="0.2">
      <c r="A187" s="9"/>
      <c r="C187" s="17" t="str">
        <f>IF(指数列表!B184="","",指数列表!B184)</f>
        <v/>
      </c>
      <c r="D187" s="33" t="str">
        <f>IF(C187="","",[1]!s_info_name(C187))</f>
        <v/>
      </c>
      <c r="E187" s="36" t="str">
        <f>IF(C187="","",[1]!s_dq_close(C187,$O$1))</f>
        <v/>
      </c>
      <c r="F187" s="36" t="str">
        <f>IF(C187="","",[1]!s_dq_volume($C187,$O$1))</f>
        <v/>
      </c>
      <c r="G187" s="36" t="str">
        <f>IF(C187="","",[1]!s_dq_oi($C187,$O$1))</f>
        <v/>
      </c>
      <c r="H187" s="18" t="str">
        <f>IF($C187=""," ",[1]!i_pq_pctchange($C187,H$6,$O$1))</f>
        <v xml:space="preserve"> </v>
      </c>
      <c r="I187" s="18" t="str">
        <f>IF($C187=""," ",[1]!i_pq_pctchange($C187,I$6,$O$1))</f>
        <v xml:space="preserve"> </v>
      </c>
      <c r="J187" s="18" t="str">
        <f>IF($C187=""," ",[1]!i_pq_pctchange($C187,J$6,$O$1))</f>
        <v xml:space="preserve"> </v>
      </c>
      <c r="K187" s="18" t="str">
        <f>IF($C187=""," ",[1]!i_pq_pctchange($C187,K$6,$O$1))</f>
        <v xml:space="preserve"> </v>
      </c>
      <c r="L187" s="18" t="str">
        <f>IF($C187=""," ",[1]!i_pq_pctchange($C187,L$6,$O$1))</f>
        <v xml:space="preserve"> </v>
      </c>
      <c r="M187" s="18" t="str">
        <f>IF(C187=""," ",[1]!s_wq_pctchange($C187,$O$1))</f>
        <v xml:space="preserve"> </v>
      </c>
      <c r="N187" s="18" t="str">
        <f>IF(C187=""," ",[1]!s_mq_pctchange($C187,$O$1))</f>
        <v xml:space="preserve"> </v>
      </c>
      <c r="O187" s="18" t="str">
        <f>IF(C187=""," ",[1]!s_yq_pctchange($C187,$O$1))</f>
        <v xml:space="preserve"> </v>
      </c>
      <c r="P187" s="24"/>
      <c r="Q187" s="9"/>
    </row>
    <row r="188" spans="1:17" ht="17.25" x14ac:dyDescent="0.2">
      <c r="A188" s="9"/>
      <c r="C188" s="21" t="str">
        <f>IF(指数列表!B185="","",指数列表!B185)</f>
        <v/>
      </c>
      <c r="D188" s="34" t="str">
        <f>IF(C188="","",[1]!s_info_name(C188))</f>
        <v/>
      </c>
      <c r="E188" s="35" t="str">
        <f>IF(C188="","",[1]!s_dq_close(C188,$O$1))</f>
        <v/>
      </c>
      <c r="F188" s="35" t="str">
        <f>IF(C188="","",[1]!s_dq_volume($C188,$O$1))</f>
        <v/>
      </c>
      <c r="G188" s="35" t="str">
        <f>IF(C188="","",[1]!s_dq_oi($C188,$O$1))</f>
        <v/>
      </c>
      <c r="H188" s="18" t="str">
        <f>IF($C188=""," ",[1]!i_pq_pctchange($C188,H$6,$O$1))</f>
        <v xml:space="preserve"> </v>
      </c>
      <c r="I188" s="18" t="str">
        <f>IF($C188=""," ",[1]!i_pq_pctchange($C188,I$6,$O$1))</f>
        <v xml:space="preserve"> </v>
      </c>
      <c r="J188" s="18" t="str">
        <f>IF($C188=""," ",[1]!i_pq_pctchange($C188,J$6,$O$1))</f>
        <v xml:space="preserve"> </v>
      </c>
      <c r="K188" s="18" t="str">
        <f>IF($C188=""," ",[1]!i_pq_pctchange($C188,K$6,$O$1))</f>
        <v xml:space="preserve"> </v>
      </c>
      <c r="L188" s="18" t="str">
        <f>IF($C188=""," ",[1]!i_pq_pctchange($C188,L$6,$O$1))</f>
        <v xml:space="preserve"> </v>
      </c>
      <c r="M188" s="18" t="str">
        <f>IF(C188=""," ",[1]!s_wq_pctchange($C188,$O$1))</f>
        <v xml:space="preserve"> </v>
      </c>
      <c r="N188" s="18" t="str">
        <f>IF(C188=""," ",[1]!s_mq_pctchange($C188,$O$1))</f>
        <v xml:space="preserve"> </v>
      </c>
      <c r="O188" s="18" t="str">
        <f>IF(C188=""," ",[1]!s_yq_pctchange($C188,$O$1))</f>
        <v xml:space="preserve"> </v>
      </c>
      <c r="P188" s="24"/>
      <c r="Q188" s="9"/>
    </row>
    <row r="189" spans="1:17" ht="17.25" x14ac:dyDescent="0.2">
      <c r="A189" s="9"/>
      <c r="C189" s="17" t="str">
        <f>IF(指数列表!B186="","",指数列表!B186)</f>
        <v/>
      </c>
      <c r="D189" s="33" t="str">
        <f>IF(C189="","",[1]!s_info_name(C189))</f>
        <v/>
      </c>
      <c r="E189" s="36" t="str">
        <f>IF(C189="","",[1]!s_dq_close(C189,$O$1))</f>
        <v/>
      </c>
      <c r="F189" s="36" t="str">
        <f>IF(C189="","",[1]!s_dq_volume($C189,$O$1))</f>
        <v/>
      </c>
      <c r="G189" s="36" t="str">
        <f>IF(C189="","",[1]!s_dq_oi($C189,$O$1))</f>
        <v/>
      </c>
      <c r="H189" s="18" t="str">
        <f>IF($C189=""," ",[1]!i_pq_pctchange($C189,H$6,$O$1))</f>
        <v xml:space="preserve"> </v>
      </c>
      <c r="I189" s="18" t="str">
        <f>IF($C189=""," ",[1]!i_pq_pctchange($C189,I$6,$O$1))</f>
        <v xml:space="preserve"> </v>
      </c>
      <c r="J189" s="18" t="str">
        <f>IF($C189=""," ",[1]!i_pq_pctchange($C189,J$6,$O$1))</f>
        <v xml:space="preserve"> </v>
      </c>
      <c r="K189" s="18" t="str">
        <f>IF($C189=""," ",[1]!i_pq_pctchange($C189,K$6,$O$1))</f>
        <v xml:space="preserve"> </v>
      </c>
      <c r="L189" s="18" t="str">
        <f>IF($C189=""," ",[1]!i_pq_pctchange($C189,L$6,$O$1))</f>
        <v xml:space="preserve"> </v>
      </c>
      <c r="M189" s="18" t="str">
        <f>IF(C189=""," ",[1]!s_wq_pctchange($C189,$O$1))</f>
        <v xml:space="preserve"> </v>
      </c>
      <c r="N189" s="18" t="str">
        <f>IF(C189=""," ",[1]!s_mq_pctchange($C189,$O$1))</f>
        <v xml:space="preserve"> </v>
      </c>
      <c r="O189" s="18" t="str">
        <f>IF(C189=""," ",[1]!s_yq_pctchange($C189,$O$1))</f>
        <v xml:space="preserve"> </v>
      </c>
      <c r="P189" s="24"/>
      <c r="Q189" s="9"/>
    </row>
    <row r="190" spans="1:17" ht="17.25" x14ac:dyDescent="0.2">
      <c r="A190" s="9"/>
      <c r="C190" s="21" t="str">
        <f>IF(指数列表!B187="","",指数列表!B187)</f>
        <v/>
      </c>
      <c r="D190" s="34" t="str">
        <f>IF(C190="","",[1]!s_info_name(C190))</f>
        <v/>
      </c>
      <c r="E190" s="35" t="str">
        <f>IF(C190="","",[1]!s_dq_close(C190,$O$1))</f>
        <v/>
      </c>
      <c r="F190" s="35" t="str">
        <f>IF(C190="","",[1]!s_dq_volume($C190,$O$1))</f>
        <v/>
      </c>
      <c r="G190" s="35" t="str">
        <f>IF(C190="","",[1]!s_dq_oi($C190,$O$1))</f>
        <v/>
      </c>
      <c r="H190" s="18" t="str">
        <f>IF($C190=""," ",[1]!i_pq_pctchange($C190,H$6,$O$1))</f>
        <v xml:space="preserve"> </v>
      </c>
      <c r="I190" s="18" t="str">
        <f>IF($C190=""," ",[1]!i_pq_pctchange($C190,I$6,$O$1))</f>
        <v xml:space="preserve"> </v>
      </c>
      <c r="J190" s="18" t="str">
        <f>IF($C190=""," ",[1]!i_pq_pctchange($C190,J$6,$O$1))</f>
        <v xml:space="preserve"> </v>
      </c>
      <c r="K190" s="18" t="str">
        <f>IF($C190=""," ",[1]!i_pq_pctchange($C190,K$6,$O$1))</f>
        <v xml:space="preserve"> </v>
      </c>
      <c r="L190" s="18" t="str">
        <f>IF($C190=""," ",[1]!i_pq_pctchange($C190,L$6,$O$1))</f>
        <v xml:space="preserve"> </v>
      </c>
      <c r="M190" s="18" t="str">
        <f>IF(C190=""," ",[1]!s_wq_pctchange($C190,$O$1))</f>
        <v xml:space="preserve"> </v>
      </c>
      <c r="N190" s="18" t="str">
        <f>IF(C190=""," ",[1]!s_mq_pctchange($C190,$O$1))</f>
        <v xml:space="preserve"> </v>
      </c>
      <c r="O190" s="18" t="str">
        <f>IF(C190=""," ",[1]!s_yq_pctchange($C190,$O$1))</f>
        <v xml:space="preserve"> </v>
      </c>
      <c r="P190" s="24"/>
      <c r="Q190" s="9"/>
    </row>
    <row r="191" spans="1:17" ht="17.25" x14ac:dyDescent="0.2">
      <c r="A191" s="9"/>
      <c r="C191" s="17" t="str">
        <f>IF(指数列表!B188="","",指数列表!B188)</f>
        <v/>
      </c>
      <c r="D191" s="33" t="str">
        <f>IF(C191="","",[1]!s_info_name(C191))</f>
        <v/>
      </c>
      <c r="E191" s="36" t="str">
        <f>IF(C191="","",[1]!s_dq_close(C191,$O$1))</f>
        <v/>
      </c>
      <c r="F191" s="36" t="str">
        <f>IF(C191="","",[1]!s_dq_volume($C191,$O$1))</f>
        <v/>
      </c>
      <c r="G191" s="36" t="str">
        <f>IF(C191="","",[1]!s_dq_oi($C191,$O$1))</f>
        <v/>
      </c>
      <c r="H191" s="18" t="str">
        <f>IF($C191=""," ",[1]!i_pq_pctchange($C191,H$6,$O$1))</f>
        <v xml:space="preserve"> </v>
      </c>
      <c r="I191" s="18" t="str">
        <f>IF($C191=""," ",[1]!i_pq_pctchange($C191,I$6,$O$1))</f>
        <v xml:space="preserve"> </v>
      </c>
      <c r="J191" s="18" t="str">
        <f>IF($C191=""," ",[1]!i_pq_pctchange($C191,J$6,$O$1))</f>
        <v xml:space="preserve"> </v>
      </c>
      <c r="K191" s="18" t="str">
        <f>IF($C191=""," ",[1]!i_pq_pctchange($C191,K$6,$O$1))</f>
        <v xml:space="preserve"> </v>
      </c>
      <c r="L191" s="18" t="str">
        <f>IF($C191=""," ",[1]!i_pq_pctchange($C191,L$6,$O$1))</f>
        <v xml:space="preserve"> </v>
      </c>
      <c r="M191" s="18" t="str">
        <f>IF(C191=""," ",[1]!s_wq_pctchange($C191,$O$1))</f>
        <v xml:space="preserve"> </v>
      </c>
      <c r="N191" s="18" t="str">
        <f>IF(C191=""," ",[1]!s_mq_pctchange($C191,$O$1))</f>
        <v xml:space="preserve"> </v>
      </c>
      <c r="O191" s="18" t="str">
        <f>IF(C191=""," ",[1]!s_yq_pctchange($C191,$O$1))</f>
        <v xml:space="preserve"> </v>
      </c>
      <c r="P191" s="24"/>
      <c r="Q191" s="9"/>
    </row>
    <row r="192" spans="1:17" ht="17.25" x14ac:dyDescent="0.2">
      <c r="A192" s="9"/>
      <c r="C192" s="21" t="str">
        <f>IF(指数列表!B189="","",指数列表!B189)</f>
        <v/>
      </c>
      <c r="D192" s="34" t="str">
        <f>IF(C192="","",[1]!s_info_name(C192))</f>
        <v/>
      </c>
      <c r="E192" s="35" t="str">
        <f>IF(C192="","",[1]!s_dq_close(C192,$O$1))</f>
        <v/>
      </c>
      <c r="F192" s="35" t="str">
        <f>IF(C192="","",[1]!s_dq_volume($C192,$O$1))</f>
        <v/>
      </c>
      <c r="G192" s="35" t="str">
        <f>IF(C192="","",[1]!s_dq_oi($C192,$O$1))</f>
        <v/>
      </c>
      <c r="H192" s="18" t="str">
        <f>IF($C192=""," ",[1]!i_pq_pctchange($C192,H$6,$O$1))</f>
        <v xml:space="preserve"> </v>
      </c>
      <c r="I192" s="18" t="str">
        <f>IF($C192=""," ",[1]!i_pq_pctchange($C192,I$6,$O$1))</f>
        <v xml:space="preserve"> </v>
      </c>
      <c r="J192" s="18" t="str">
        <f>IF($C192=""," ",[1]!i_pq_pctchange($C192,J$6,$O$1))</f>
        <v xml:space="preserve"> </v>
      </c>
      <c r="K192" s="18" t="str">
        <f>IF($C192=""," ",[1]!i_pq_pctchange($C192,K$6,$O$1))</f>
        <v xml:space="preserve"> </v>
      </c>
      <c r="L192" s="18" t="str">
        <f>IF($C192=""," ",[1]!i_pq_pctchange($C192,L$6,$O$1))</f>
        <v xml:space="preserve"> </v>
      </c>
      <c r="M192" s="18" t="str">
        <f>IF(C192=""," ",[1]!s_wq_pctchange($C192,$O$1))</f>
        <v xml:space="preserve"> </v>
      </c>
      <c r="N192" s="18" t="str">
        <f>IF(C192=""," ",[1]!s_mq_pctchange($C192,$O$1))</f>
        <v xml:space="preserve"> </v>
      </c>
      <c r="O192" s="18" t="str">
        <f>IF(C192=""," ",[1]!s_yq_pctchange($C192,$O$1))</f>
        <v xml:space="preserve"> </v>
      </c>
      <c r="P192" s="24"/>
      <c r="Q192" s="9"/>
    </row>
    <row r="193" spans="1:17" ht="17.25" x14ac:dyDescent="0.2">
      <c r="A193" s="9"/>
      <c r="C193" s="17" t="str">
        <f>IF(指数列表!B190="","",指数列表!B190)</f>
        <v/>
      </c>
      <c r="D193" s="33" t="str">
        <f>IF(C193="","",[1]!s_info_name(C193))</f>
        <v/>
      </c>
      <c r="E193" s="36" t="str">
        <f>IF(C193="","",[1]!s_dq_close(C193,$O$1))</f>
        <v/>
      </c>
      <c r="F193" s="36" t="str">
        <f>IF(C193="","",[1]!s_dq_volume($C193,$O$1))</f>
        <v/>
      </c>
      <c r="G193" s="36" t="str">
        <f>IF(C193="","",[1]!s_dq_oi($C193,$O$1))</f>
        <v/>
      </c>
      <c r="H193" s="18" t="str">
        <f>IF($C193=""," ",[1]!i_pq_pctchange($C193,H$6,$O$1))</f>
        <v xml:space="preserve"> </v>
      </c>
      <c r="I193" s="18" t="str">
        <f>IF($C193=""," ",[1]!i_pq_pctchange($C193,I$6,$O$1))</f>
        <v xml:space="preserve"> </v>
      </c>
      <c r="J193" s="18" t="str">
        <f>IF($C193=""," ",[1]!i_pq_pctchange($C193,J$6,$O$1))</f>
        <v xml:space="preserve"> </v>
      </c>
      <c r="K193" s="18" t="str">
        <f>IF($C193=""," ",[1]!i_pq_pctchange($C193,K$6,$O$1))</f>
        <v xml:space="preserve"> </v>
      </c>
      <c r="L193" s="18" t="str">
        <f>IF($C193=""," ",[1]!i_pq_pctchange($C193,L$6,$O$1))</f>
        <v xml:space="preserve"> </v>
      </c>
      <c r="M193" s="18" t="str">
        <f>IF(C193=""," ",[1]!s_wq_pctchange($C193,$O$1))</f>
        <v xml:space="preserve"> </v>
      </c>
      <c r="N193" s="18" t="str">
        <f>IF(C193=""," ",[1]!s_mq_pctchange($C193,$O$1))</f>
        <v xml:space="preserve"> </v>
      </c>
      <c r="O193" s="18" t="str">
        <f>IF(C193=""," ",[1]!s_yq_pctchange($C193,$O$1))</f>
        <v xml:space="preserve"> </v>
      </c>
      <c r="P193" s="24"/>
      <c r="Q193" s="9"/>
    </row>
    <row r="194" spans="1:17" ht="17.25" x14ac:dyDescent="0.2">
      <c r="A194" s="9"/>
      <c r="C194" s="21" t="str">
        <f>IF(指数列表!B191="","",指数列表!B191)</f>
        <v/>
      </c>
      <c r="D194" s="34" t="str">
        <f>IF(C194="","",[1]!s_info_name(C194))</f>
        <v/>
      </c>
      <c r="E194" s="35" t="str">
        <f>IF(C194="","",[1]!s_dq_close(C194,$O$1))</f>
        <v/>
      </c>
      <c r="F194" s="35" t="str">
        <f>IF(C194="","",[1]!s_dq_volume($C194,$O$1))</f>
        <v/>
      </c>
      <c r="G194" s="35" t="str">
        <f>IF(C194="","",[1]!s_dq_oi($C194,$O$1))</f>
        <v/>
      </c>
      <c r="H194" s="18" t="str">
        <f>IF($C194=""," ",[1]!i_pq_pctchange($C194,H$6,$O$1))</f>
        <v xml:space="preserve"> </v>
      </c>
      <c r="I194" s="18" t="str">
        <f>IF($C194=""," ",[1]!i_pq_pctchange($C194,I$6,$O$1))</f>
        <v xml:space="preserve"> </v>
      </c>
      <c r="J194" s="18" t="str">
        <f>IF($C194=""," ",[1]!i_pq_pctchange($C194,J$6,$O$1))</f>
        <v xml:space="preserve"> </v>
      </c>
      <c r="K194" s="18" t="str">
        <f>IF($C194=""," ",[1]!i_pq_pctchange($C194,K$6,$O$1))</f>
        <v xml:space="preserve"> </v>
      </c>
      <c r="L194" s="18" t="str">
        <f>IF($C194=""," ",[1]!i_pq_pctchange($C194,L$6,$O$1))</f>
        <v xml:space="preserve"> </v>
      </c>
      <c r="M194" s="18" t="str">
        <f>IF(C194=""," ",[1]!s_wq_pctchange($C194,$O$1))</f>
        <v xml:space="preserve"> </v>
      </c>
      <c r="N194" s="18" t="str">
        <f>IF(C194=""," ",[1]!s_mq_pctchange($C194,$O$1))</f>
        <v xml:space="preserve"> </v>
      </c>
      <c r="O194" s="18" t="str">
        <f>IF(C194=""," ",[1]!s_yq_pctchange($C194,$O$1))</f>
        <v xml:space="preserve"> </v>
      </c>
      <c r="P194" s="24"/>
      <c r="Q194" s="9"/>
    </row>
    <row r="195" spans="1:17" ht="17.25" x14ac:dyDescent="0.2">
      <c r="A195" s="9"/>
      <c r="C195" s="17" t="str">
        <f>IF(指数列表!B192="","",指数列表!B192)</f>
        <v/>
      </c>
      <c r="D195" s="33" t="str">
        <f>IF(C195="","",[1]!s_info_name(C195))</f>
        <v/>
      </c>
      <c r="E195" s="36" t="str">
        <f>IF(C195="","",[1]!s_dq_close(C195,$O$1))</f>
        <v/>
      </c>
      <c r="F195" s="36" t="str">
        <f>IF(C195="","",[1]!s_dq_volume($C195,$O$1))</f>
        <v/>
      </c>
      <c r="G195" s="36" t="str">
        <f>IF(C195="","",[1]!s_dq_oi($C195,$O$1))</f>
        <v/>
      </c>
      <c r="H195" s="18" t="str">
        <f>IF($C195=""," ",[1]!i_pq_pctchange($C195,H$6,$O$1))</f>
        <v xml:space="preserve"> </v>
      </c>
      <c r="I195" s="18" t="str">
        <f>IF($C195=""," ",[1]!i_pq_pctchange($C195,I$6,$O$1))</f>
        <v xml:space="preserve"> </v>
      </c>
      <c r="J195" s="18" t="str">
        <f>IF($C195=""," ",[1]!i_pq_pctchange($C195,J$6,$O$1))</f>
        <v xml:space="preserve"> </v>
      </c>
      <c r="K195" s="18" t="str">
        <f>IF($C195=""," ",[1]!i_pq_pctchange($C195,K$6,$O$1))</f>
        <v xml:space="preserve"> </v>
      </c>
      <c r="L195" s="18" t="str">
        <f>IF($C195=""," ",[1]!i_pq_pctchange($C195,L$6,$O$1))</f>
        <v xml:space="preserve"> </v>
      </c>
      <c r="M195" s="18" t="str">
        <f>IF(C195=""," ",[1]!s_wq_pctchange($C195,$O$1))</f>
        <v xml:space="preserve"> </v>
      </c>
      <c r="N195" s="18" t="str">
        <f>IF(C195=""," ",[1]!s_mq_pctchange($C195,$O$1))</f>
        <v xml:space="preserve"> </v>
      </c>
      <c r="O195" s="18" t="str">
        <f>IF(C195=""," ",[1]!s_yq_pctchange($C195,$O$1))</f>
        <v xml:space="preserve"> </v>
      </c>
      <c r="P195" s="24"/>
      <c r="Q195" s="9"/>
    </row>
    <row r="196" spans="1:17" ht="17.25" x14ac:dyDescent="0.2">
      <c r="A196" s="9"/>
      <c r="C196" s="21" t="str">
        <f>IF(指数列表!B193="","",指数列表!B193)</f>
        <v/>
      </c>
      <c r="D196" s="34" t="str">
        <f>IF(C196="","",[1]!s_info_name(C196))</f>
        <v/>
      </c>
      <c r="E196" s="35" t="str">
        <f>IF(C196="","",[1]!s_dq_close(C196,$O$1))</f>
        <v/>
      </c>
      <c r="F196" s="35" t="str">
        <f>IF(C196="","",[1]!s_dq_volume($C196,$O$1))</f>
        <v/>
      </c>
      <c r="G196" s="35" t="str">
        <f>IF(C196="","",[1]!s_dq_oi($C196,$O$1))</f>
        <v/>
      </c>
      <c r="H196" s="18" t="str">
        <f>IF($C196=""," ",[1]!i_pq_pctchange($C196,H$6,$O$1))</f>
        <v xml:space="preserve"> </v>
      </c>
      <c r="I196" s="18" t="str">
        <f>IF($C196=""," ",[1]!i_pq_pctchange($C196,I$6,$O$1))</f>
        <v xml:space="preserve"> </v>
      </c>
      <c r="J196" s="18" t="str">
        <f>IF($C196=""," ",[1]!i_pq_pctchange($C196,J$6,$O$1))</f>
        <v xml:space="preserve"> </v>
      </c>
      <c r="K196" s="18" t="str">
        <f>IF($C196=""," ",[1]!i_pq_pctchange($C196,K$6,$O$1))</f>
        <v xml:space="preserve"> </v>
      </c>
      <c r="L196" s="18" t="str">
        <f>IF($C196=""," ",[1]!i_pq_pctchange($C196,L$6,$O$1))</f>
        <v xml:space="preserve"> </v>
      </c>
      <c r="M196" s="18" t="str">
        <f>IF(C196=""," ",[1]!s_wq_pctchange($C196,$O$1))</f>
        <v xml:space="preserve"> </v>
      </c>
      <c r="N196" s="18" t="str">
        <f>IF(C196=""," ",[1]!s_mq_pctchange($C196,$O$1))</f>
        <v xml:space="preserve"> </v>
      </c>
      <c r="O196" s="18" t="str">
        <f>IF(C196=""," ",[1]!s_yq_pctchange($C196,$O$1))</f>
        <v xml:space="preserve"> </v>
      </c>
      <c r="P196" s="24"/>
      <c r="Q196" s="9"/>
    </row>
    <row r="197" spans="1:17" ht="17.25" x14ac:dyDescent="0.2">
      <c r="A197" s="9"/>
      <c r="C197" s="17" t="str">
        <f>IF(指数列表!B194="","",指数列表!B194)</f>
        <v/>
      </c>
      <c r="D197" s="33" t="str">
        <f>IF(C197="","",[1]!s_info_name(C197))</f>
        <v/>
      </c>
      <c r="E197" s="36" t="str">
        <f>IF(C197="","",[1]!s_dq_close(C197,$O$1))</f>
        <v/>
      </c>
      <c r="F197" s="36" t="str">
        <f>IF(C197="","",[1]!s_dq_volume($C197,$O$1))</f>
        <v/>
      </c>
      <c r="G197" s="36" t="str">
        <f>IF(C197="","",[1]!s_dq_oi($C197,$O$1))</f>
        <v/>
      </c>
      <c r="H197" s="18" t="str">
        <f>IF($C197=""," ",[1]!i_pq_pctchange($C197,H$6,$O$1))</f>
        <v xml:space="preserve"> </v>
      </c>
      <c r="I197" s="18" t="str">
        <f>IF($C197=""," ",[1]!i_pq_pctchange($C197,I$6,$O$1))</f>
        <v xml:space="preserve"> </v>
      </c>
      <c r="J197" s="18" t="str">
        <f>IF($C197=""," ",[1]!i_pq_pctchange($C197,J$6,$O$1))</f>
        <v xml:space="preserve"> </v>
      </c>
      <c r="K197" s="18" t="str">
        <f>IF($C197=""," ",[1]!i_pq_pctchange($C197,K$6,$O$1))</f>
        <v xml:space="preserve"> </v>
      </c>
      <c r="L197" s="18" t="str">
        <f>IF($C197=""," ",[1]!i_pq_pctchange($C197,L$6,$O$1))</f>
        <v xml:space="preserve"> </v>
      </c>
      <c r="M197" s="18" t="str">
        <f>IF(C197=""," ",[1]!s_wq_pctchange($C197,$O$1))</f>
        <v xml:space="preserve"> </v>
      </c>
      <c r="N197" s="18" t="str">
        <f>IF(C197=""," ",[1]!s_mq_pctchange($C197,$O$1))</f>
        <v xml:space="preserve"> </v>
      </c>
      <c r="O197" s="18" t="str">
        <f>IF(C197=""," ",[1]!s_yq_pctchange($C197,$O$1))</f>
        <v xml:space="preserve"> </v>
      </c>
      <c r="P197" s="24"/>
      <c r="Q197" s="9"/>
    </row>
    <row r="198" spans="1:17" ht="17.25" x14ac:dyDescent="0.2">
      <c r="A198" s="9"/>
      <c r="C198" s="21" t="str">
        <f>IF(指数列表!B195="","",指数列表!B195)</f>
        <v/>
      </c>
      <c r="D198" s="34" t="str">
        <f>IF(C198="","",[1]!s_info_name(C198))</f>
        <v/>
      </c>
      <c r="E198" s="35" t="str">
        <f>IF(C198="","",[1]!s_dq_close(C198,$O$1))</f>
        <v/>
      </c>
      <c r="F198" s="35" t="str">
        <f>IF(C198="","",[1]!s_dq_volume($C198,$O$1))</f>
        <v/>
      </c>
      <c r="G198" s="35" t="str">
        <f>IF(C198="","",[1]!s_dq_oi($C198,$O$1))</f>
        <v/>
      </c>
      <c r="H198" s="18" t="str">
        <f>IF($C198=""," ",[1]!i_pq_pctchange($C198,H$6,$O$1))</f>
        <v xml:space="preserve"> </v>
      </c>
      <c r="I198" s="18" t="str">
        <f>IF($C198=""," ",[1]!i_pq_pctchange($C198,I$6,$O$1))</f>
        <v xml:space="preserve"> </v>
      </c>
      <c r="J198" s="18" t="str">
        <f>IF($C198=""," ",[1]!i_pq_pctchange($C198,J$6,$O$1))</f>
        <v xml:space="preserve"> </v>
      </c>
      <c r="K198" s="18" t="str">
        <f>IF($C198=""," ",[1]!i_pq_pctchange($C198,K$6,$O$1))</f>
        <v xml:space="preserve"> </v>
      </c>
      <c r="L198" s="18" t="str">
        <f>IF($C198=""," ",[1]!i_pq_pctchange($C198,L$6,$O$1))</f>
        <v xml:space="preserve"> </v>
      </c>
      <c r="M198" s="18" t="str">
        <f>IF(C198=""," ",[1]!s_wq_pctchange($C198,$O$1))</f>
        <v xml:space="preserve"> </v>
      </c>
      <c r="N198" s="18" t="str">
        <f>IF(C198=""," ",[1]!s_mq_pctchange($C198,$O$1))</f>
        <v xml:space="preserve"> </v>
      </c>
      <c r="O198" s="18" t="str">
        <f>IF(C198=""," ",[1]!s_yq_pctchange($C198,$O$1))</f>
        <v xml:space="preserve"> </v>
      </c>
      <c r="P198" s="24"/>
      <c r="Q198" s="9"/>
    </row>
    <row r="199" spans="1:17" ht="17.25" x14ac:dyDescent="0.2">
      <c r="A199" s="9"/>
      <c r="C199" s="17" t="str">
        <f>IF(指数列表!B196="","",指数列表!B196)</f>
        <v/>
      </c>
      <c r="D199" s="33" t="str">
        <f>IF(C199="","",[1]!s_info_name(C199))</f>
        <v/>
      </c>
      <c r="E199" s="36" t="str">
        <f>IF(C199="","",[1]!s_dq_close(C199,$O$1))</f>
        <v/>
      </c>
      <c r="F199" s="36" t="str">
        <f>IF(C199="","",[1]!s_dq_volume($C199,$O$1))</f>
        <v/>
      </c>
      <c r="G199" s="36" t="str">
        <f>IF(C199="","",[1]!s_dq_oi($C199,$O$1))</f>
        <v/>
      </c>
      <c r="H199" s="18" t="str">
        <f>IF($C199=""," ",[1]!i_pq_pctchange($C199,H$6,$O$1))</f>
        <v xml:space="preserve"> </v>
      </c>
      <c r="I199" s="18" t="str">
        <f>IF($C199=""," ",[1]!i_pq_pctchange($C199,I$6,$O$1))</f>
        <v xml:space="preserve"> </v>
      </c>
      <c r="J199" s="18" t="str">
        <f>IF($C199=""," ",[1]!i_pq_pctchange($C199,J$6,$O$1))</f>
        <v xml:space="preserve"> </v>
      </c>
      <c r="K199" s="18" t="str">
        <f>IF($C199=""," ",[1]!i_pq_pctchange($C199,K$6,$O$1))</f>
        <v xml:space="preserve"> </v>
      </c>
      <c r="L199" s="18" t="str">
        <f>IF($C199=""," ",[1]!i_pq_pctchange($C199,L$6,$O$1))</f>
        <v xml:space="preserve"> </v>
      </c>
      <c r="M199" s="18" t="str">
        <f>IF(C199=""," ",[1]!s_wq_pctchange($C199,$O$1))</f>
        <v xml:space="preserve"> </v>
      </c>
      <c r="N199" s="18" t="str">
        <f>IF(C199=""," ",[1]!s_mq_pctchange($C199,$O$1))</f>
        <v xml:space="preserve"> </v>
      </c>
      <c r="O199" s="18" t="str">
        <f>IF(C199=""," ",[1]!s_yq_pctchange($C199,$O$1))</f>
        <v xml:space="preserve"> </v>
      </c>
      <c r="P199" s="24"/>
      <c r="Q199" s="9"/>
    </row>
    <row r="200" spans="1:17" ht="17.25" x14ac:dyDescent="0.2">
      <c r="A200" s="9"/>
      <c r="C200" s="21" t="str">
        <f>IF(指数列表!B197="","",指数列表!B197)</f>
        <v/>
      </c>
      <c r="D200" s="34" t="str">
        <f>IF(C200="","",[1]!s_info_name(C200))</f>
        <v/>
      </c>
      <c r="E200" s="35" t="str">
        <f>IF(C200="","",[1]!s_dq_close(C200,$O$1))</f>
        <v/>
      </c>
      <c r="F200" s="35" t="str">
        <f>IF(C200="","",[1]!s_dq_volume($C200,$O$1))</f>
        <v/>
      </c>
      <c r="G200" s="35" t="str">
        <f>IF(C200="","",[1]!s_dq_oi($C200,$O$1))</f>
        <v/>
      </c>
      <c r="H200" s="18" t="str">
        <f>IF($C200=""," ",[1]!i_pq_pctchange($C200,H$6,$O$1))</f>
        <v xml:space="preserve"> </v>
      </c>
      <c r="I200" s="18" t="str">
        <f>IF($C200=""," ",[1]!i_pq_pctchange($C200,I$6,$O$1))</f>
        <v xml:space="preserve"> </v>
      </c>
      <c r="J200" s="18" t="str">
        <f>IF($C200=""," ",[1]!i_pq_pctchange($C200,J$6,$O$1))</f>
        <v xml:space="preserve"> </v>
      </c>
      <c r="K200" s="18" t="str">
        <f>IF($C200=""," ",[1]!i_pq_pctchange($C200,K$6,$O$1))</f>
        <v xml:space="preserve"> </v>
      </c>
      <c r="L200" s="18" t="str">
        <f>IF($C200=""," ",[1]!i_pq_pctchange($C200,L$6,$O$1))</f>
        <v xml:space="preserve"> </v>
      </c>
      <c r="M200" s="18" t="str">
        <f>IF(C200=""," ",[1]!s_wq_pctchange($C200,$O$1))</f>
        <v xml:space="preserve"> </v>
      </c>
      <c r="N200" s="18" t="str">
        <f>IF(C200=""," ",[1]!s_mq_pctchange($C200,$O$1))</f>
        <v xml:space="preserve"> </v>
      </c>
      <c r="O200" s="18" t="str">
        <f>IF(C200=""," ",[1]!s_yq_pctchange($C200,$O$1))</f>
        <v xml:space="preserve"> </v>
      </c>
      <c r="P200" s="24"/>
      <c r="Q200" s="9"/>
    </row>
  </sheetData>
  <mergeCells count="1">
    <mergeCell ref="D1:M1"/>
  </mergeCells>
  <phoneticPr fontId="3" type="noConversion"/>
  <conditionalFormatting sqref="H9:O200">
    <cfRule type="containsText" dxfId="5" priority="7" stopIfTrue="1" operator="containsText" text=" ">
      <formula>NOT(ISERROR(SEARCH(" ",H9)))</formula>
    </cfRule>
    <cfRule type="cellIs" dxfId="4" priority="8" stopIfTrue="1" operator="greaterThanOrEqual">
      <formula>$S$13</formula>
    </cfRule>
    <cfRule type="cellIs" dxfId="3" priority="9" stopIfTrue="1" operator="greaterThanOrEqual">
      <formula>$S$12</formula>
    </cfRule>
    <cfRule type="cellIs" dxfId="2" priority="10" stopIfTrue="1" operator="greaterThanOrEqual">
      <formula>$S$11</formula>
    </cfRule>
    <cfRule type="cellIs" dxfId="1" priority="11" stopIfTrue="1" operator="greaterThanOrEqual">
      <formula>$S$10</formula>
    </cfRule>
    <cfRule type="cellIs" dxfId="0" priority="12" stopIfTrue="1" operator="greaterThanOrEqual">
      <formula>$S$9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指数列表!$F$1:$F$10</xm:f>
          </x14:formula1>
          <xm:sqref>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01FE-A0BA-43A5-B6D2-55DCECADAC8B}">
  <sheetPr codeName="Sheet3"/>
  <dimension ref="A1"/>
  <sheetViews>
    <sheetView workbookViewId="0">
      <selection activeCell="A2" sqref="A2"/>
    </sheetView>
  </sheetViews>
  <sheetFormatPr defaultRowHeight="14.25" x14ac:dyDescent="0.2"/>
  <sheetData>
    <row r="1" spans="1:1" x14ac:dyDescent="0.2">
      <c r="A1" t="s">
        <v>42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2"/>
  <sheetViews>
    <sheetView workbookViewId="0">
      <selection activeCell="F9" sqref="F9"/>
    </sheetView>
  </sheetViews>
  <sheetFormatPr defaultRowHeight="14.25" x14ac:dyDescent="0.2"/>
  <cols>
    <col min="1" max="1" width="11.625" bestFit="1" customWidth="1"/>
    <col min="2" max="2" width="18.625" customWidth="1"/>
    <col min="3" max="3" width="31.625" customWidth="1"/>
    <col min="5" max="5" width="8.75" customWidth="1"/>
    <col min="6" max="6" width="8.875" style="40" customWidth="1"/>
    <col min="7" max="7" width="8.875" style="41" customWidth="1"/>
  </cols>
  <sheetData>
    <row r="1" spans="1:7" x14ac:dyDescent="0.2">
      <c r="A1" t="s">
        <v>5</v>
      </c>
      <c r="B1" s="1" t="s">
        <v>6</v>
      </c>
      <c r="F1" s="40" t="s">
        <v>10</v>
      </c>
      <c r="G1" s="41">
        <v>1000015651000000</v>
      </c>
    </row>
    <row r="2" spans="1:7" x14ac:dyDescent="0.2">
      <c r="A2" t="s">
        <v>7</v>
      </c>
      <c r="B2" s="2" t="s">
        <v>8</v>
      </c>
      <c r="F2" s="40" t="s">
        <v>11</v>
      </c>
      <c r="G2" s="41">
        <v>1000016325000000</v>
      </c>
    </row>
    <row r="3" spans="1:7" x14ac:dyDescent="0.2">
      <c r="A3" t="s">
        <v>9</v>
      </c>
      <c r="B3" s="28">
        <f>VLOOKUP(商品市场行情总览!D4,指数列表!F:G,2,FALSE)</f>
        <v>1000009337000000</v>
      </c>
      <c r="F3" s="40" t="s">
        <v>14</v>
      </c>
      <c r="G3" s="41" t="s">
        <v>13</v>
      </c>
    </row>
    <row r="4" spans="1:7" x14ac:dyDescent="0.2">
      <c r="A4" t="s">
        <v>0</v>
      </c>
      <c r="B4" s="2" t="s">
        <v>32</v>
      </c>
      <c r="C4" t="s">
        <v>3</v>
      </c>
      <c r="F4" s="40" t="s">
        <v>12</v>
      </c>
      <c r="G4" s="41">
        <v>1000002352000000</v>
      </c>
    </row>
    <row r="5" spans="1:7" x14ac:dyDescent="0.2">
      <c r="A5" t="s">
        <v>1</v>
      </c>
      <c r="B5" t="s">
        <v>2</v>
      </c>
      <c r="C5" t="s">
        <v>4</v>
      </c>
      <c r="F5" s="40" t="s">
        <v>38</v>
      </c>
      <c r="G5" s="41" t="s">
        <v>15</v>
      </c>
    </row>
    <row r="6" spans="1:7" x14ac:dyDescent="0.2">
      <c r="A6" s="3">
        <f>[1]!wset("sectorconstituent","date="&amp;B2,"sectorId="&amp;B3,"field=date,wind_code,sec_name","cols=3;rows=27")</f>
        <v>45546</v>
      </c>
      <c r="B6" s="2" t="s">
        <v>45</v>
      </c>
      <c r="C6" s="2" t="s">
        <v>46</v>
      </c>
      <c r="F6" s="40" t="s">
        <v>35</v>
      </c>
      <c r="G6" s="41">
        <v>1000010084000000</v>
      </c>
    </row>
    <row r="7" spans="1:7" x14ac:dyDescent="0.2">
      <c r="A7" s="3">
        <v>45546</v>
      </c>
      <c r="B7" s="2" t="s">
        <v>47</v>
      </c>
      <c r="C7" s="2" t="s">
        <v>48</v>
      </c>
      <c r="F7" s="40" t="s">
        <v>34</v>
      </c>
      <c r="G7" s="41">
        <v>1000009334000000</v>
      </c>
    </row>
    <row r="8" spans="1:7" x14ac:dyDescent="0.2">
      <c r="A8" s="3">
        <v>45546</v>
      </c>
      <c r="B8" s="2" t="s">
        <v>49</v>
      </c>
      <c r="C8" s="2" t="s">
        <v>50</v>
      </c>
      <c r="F8" s="40" t="s">
        <v>33</v>
      </c>
      <c r="G8" s="41">
        <v>1000009336000000</v>
      </c>
    </row>
    <row r="9" spans="1:7" x14ac:dyDescent="0.2">
      <c r="A9" s="3">
        <v>45546</v>
      </c>
      <c r="B9" s="2" t="s">
        <v>51</v>
      </c>
      <c r="C9" s="2" t="s">
        <v>52</v>
      </c>
      <c r="F9" s="40" t="s">
        <v>36</v>
      </c>
      <c r="G9" s="41">
        <v>1000009335000000</v>
      </c>
    </row>
    <row r="10" spans="1:7" x14ac:dyDescent="0.2">
      <c r="A10" s="3">
        <v>45546</v>
      </c>
      <c r="B10" s="2" t="s">
        <v>53</v>
      </c>
      <c r="C10" s="2" t="s">
        <v>54</v>
      </c>
      <c r="F10" s="40" t="s">
        <v>37</v>
      </c>
      <c r="G10" s="41">
        <v>1000009337000000</v>
      </c>
    </row>
    <row r="11" spans="1:7" x14ac:dyDescent="0.2">
      <c r="A11" s="3">
        <v>45546</v>
      </c>
      <c r="B11" s="2" t="s">
        <v>55</v>
      </c>
      <c r="C11" s="2" t="s">
        <v>56</v>
      </c>
    </row>
    <row r="12" spans="1:7" x14ac:dyDescent="0.2">
      <c r="A12" s="3">
        <v>45546</v>
      </c>
      <c r="B12" s="2" t="s">
        <v>57</v>
      </c>
      <c r="C12" s="2" t="s">
        <v>58</v>
      </c>
    </row>
    <row r="13" spans="1:7" x14ac:dyDescent="0.2">
      <c r="A13" s="3">
        <v>45546</v>
      </c>
      <c r="B13" s="2" t="s">
        <v>59</v>
      </c>
      <c r="C13" s="2" t="s">
        <v>60</v>
      </c>
    </row>
    <row r="14" spans="1:7" x14ac:dyDescent="0.2">
      <c r="A14" s="3">
        <v>45546</v>
      </c>
      <c r="B14" s="2" t="s">
        <v>61</v>
      </c>
      <c r="C14" s="2" t="s">
        <v>62</v>
      </c>
    </row>
    <row r="15" spans="1:7" x14ac:dyDescent="0.2">
      <c r="A15" s="3">
        <v>45546</v>
      </c>
      <c r="B15" s="2" t="s">
        <v>63</v>
      </c>
      <c r="C15" s="2" t="s">
        <v>64</v>
      </c>
    </row>
    <row r="16" spans="1:7" x14ac:dyDescent="0.2">
      <c r="A16" s="3">
        <v>45546</v>
      </c>
      <c r="B16" s="2" t="s">
        <v>65</v>
      </c>
      <c r="C16" s="2" t="s">
        <v>66</v>
      </c>
    </row>
    <row r="17" spans="1:3" x14ac:dyDescent="0.2">
      <c r="A17" s="3">
        <v>45546</v>
      </c>
      <c r="B17" s="2" t="s">
        <v>67</v>
      </c>
      <c r="C17" s="2" t="s">
        <v>68</v>
      </c>
    </row>
    <row r="18" spans="1:3" x14ac:dyDescent="0.2">
      <c r="A18" s="3">
        <v>45546</v>
      </c>
      <c r="B18" s="2" t="s">
        <v>69</v>
      </c>
      <c r="C18" s="2" t="s">
        <v>70</v>
      </c>
    </row>
    <row r="19" spans="1:3" x14ac:dyDescent="0.2">
      <c r="A19" s="3">
        <v>45546</v>
      </c>
      <c r="B19" s="2" t="s">
        <v>71</v>
      </c>
      <c r="C19" s="2" t="s">
        <v>72</v>
      </c>
    </row>
    <row r="20" spans="1:3" x14ac:dyDescent="0.2">
      <c r="A20" s="3">
        <v>45546</v>
      </c>
      <c r="B20" s="2" t="s">
        <v>73</v>
      </c>
      <c r="C20" s="2" t="s">
        <v>74</v>
      </c>
    </row>
    <row r="21" spans="1:3" x14ac:dyDescent="0.2">
      <c r="A21" s="3">
        <v>45546</v>
      </c>
      <c r="B21" s="2" t="s">
        <v>75</v>
      </c>
      <c r="C21" s="2" t="s">
        <v>76</v>
      </c>
    </row>
    <row r="22" spans="1:3" x14ac:dyDescent="0.2">
      <c r="A22" s="3">
        <v>45546</v>
      </c>
      <c r="B22" s="2" t="s">
        <v>77</v>
      </c>
      <c r="C22" s="2" t="s">
        <v>78</v>
      </c>
    </row>
    <row r="23" spans="1:3" x14ac:dyDescent="0.2">
      <c r="A23" s="3">
        <v>45546</v>
      </c>
      <c r="B23" s="2" t="s">
        <v>79</v>
      </c>
      <c r="C23" s="2" t="s">
        <v>80</v>
      </c>
    </row>
    <row r="24" spans="1:3" x14ac:dyDescent="0.2">
      <c r="A24" s="3">
        <v>45546</v>
      </c>
      <c r="B24" s="2" t="s">
        <v>81</v>
      </c>
      <c r="C24" s="2" t="s">
        <v>82</v>
      </c>
    </row>
    <row r="25" spans="1:3" x14ac:dyDescent="0.2">
      <c r="A25" s="3">
        <v>45546</v>
      </c>
      <c r="B25" s="2" t="s">
        <v>83</v>
      </c>
      <c r="C25" s="2" t="s">
        <v>84</v>
      </c>
    </row>
    <row r="26" spans="1:3" x14ac:dyDescent="0.2">
      <c r="A26" s="3">
        <v>45546</v>
      </c>
      <c r="B26" s="2" t="s">
        <v>85</v>
      </c>
      <c r="C26" s="2" t="s">
        <v>86</v>
      </c>
    </row>
    <row r="27" spans="1:3" x14ac:dyDescent="0.2">
      <c r="A27" s="3">
        <v>45546</v>
      </c>
      <c r="B27" s="2" t="s">
        <v>87</v>
      </c>
      <c r="C27" s="2" t="s">
        <v>88</v>
      </c>
    </row>
    <row r="28" spans="1:3" x14ac:dyDescent="0.2">
      <c r="A28" s="3">
        <v>45546</v>
      </c>
      <c r="B28" s="2" t="s">
        <v>89</v>
      </c>
      <c r="C28" s="2" t="s">
        <v>90</v>
      </c>
    </row>
    <row r="29" spans="1:3" x14ac:dyDescent="0.2">
      <c r="A29" s="3">
        <v>45546</v>
      </c>
      <c r="B29" s="2" t="s">
        <v>91</v>
      </c>
      <c r="C29" s="2" t="s">
        <v>92</v>
      </c>
    </row>
    <row r="30" spans="1:3" x14ac:dyDescent="0.2">
      <c r="A30" s="3">
        <v>45546</v>
      </c>
      <c r="B30" s="2" t="s">
        <v>93</v>
      </c>
      <c r="C30" s="2" t="s">
        <v>94</v>
      </c>
    </row>
    <row r="31" spans="1:3" x14ac:dyDescent="0.2">
      <c r="A31" s="3">
        <v>45546</v>
      </c>
      <c r="B31" s="2" t="s">
        <v>95</v>
      </c>
      <c r="C31" s="2" t="s">
        <v>96</v>
      </c>
    </row>
    <row r="32" spans="1:3" x14ac:dyDescent="0.2">
      <c r="A32" s="3">
        <v>45546</v>
      </c>
      <c r="B32" s="2" t="s">
        <v>97</v>
      </c>
      <c r="C32" s="2" t="s">
        <v>98</v>
      </c>
    </row>
  </sheetData>
  <phoneticPr fontId="3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商品市场行情总览</vt:lpstr>
      <vt:lpstr>指数列表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2026-03-23T06:35:07Z</dcterms:modified>
</cp:coreProperties>
</file>