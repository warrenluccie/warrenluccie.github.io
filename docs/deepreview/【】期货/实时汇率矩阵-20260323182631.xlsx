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/>
  </bookViews>
  <sheets>
    <sheet name="实时汇率矩阵" sheetId="1" r:id="rId1"/>
    <sheet name="Wind模板" sheetId="2" state="very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0" i="1" l="1"/>
  <c r="Z29" i="1"/>
  <c r="S22" i="1"/>
  <c r="R21" i="1"/>
  <c r="X27" i="1"/>
  <c r="U24" i="1"/>
  <c r="Y28" i="1"/>
  <c r="T23" i="1"/>
  <c r="W26" i="1"/>
  <c r="V25" i="1"/>
  <c r="Q29" i="1"/>
  <c r="V26" i="1"/>
  <c r="W29" i="1"/>
  <c r="Z22" i="1"/>
  <c r="W24" i="1"/>
  <c r="R29" i="1"/>
  <c r="Z28" i="1"/>
  <c r="T21" i="1"/>
  <c r="T24" i="1"/>
  <c r="Y23" i="1"/>
  <c r="U29" i="1"/>
  <c r="Q24" i="1"/>
  <c r="V21" i="1"/>
  <c r="Y22" i="1"/>
  <c r="Y25" i="1"/>
  <c r="X21" i="1"/>
  <c r="X24" i="1"/>
  <c r="R23" i="1"/>
  <c r="R24" i="1"/>
  <c r="Y27" i="1"/>
  <c r="Z24" i="1"/>
  <c r="Q22" i="1"/>
  <c r="T29" i="1"/>
  <c r="Z25" i="1"/>
  <c r="Z23" i="1"/>
  <c r="T20" i="1"/>
  <c r="U21" i="1"/>
  <c r="X29" i="1"/>
  <c r="T27" i="1"/>
  <c r="Z26" i="1"/>
  <c r="T26" i="1"/>
  <c r="V23" i="1"/>
  <c r="U25" i="1"/>
  <c r="U27" i="1"/>
  <c r="Q26" i="1"/>
  <c r="R20" i="1"/>
  <c r="Y21" i="1"/>
  <c r="W25" i="1"/>
  <c r="R25" i="1"/>
  <c r="U20" i="1"/>
  <c r="R22" i="1"/>
  <c r="Q25" i="1"/>
  <c r="W23" i="1"/>
  <c r="V24" i="1"/>
  <c r="X23" i="1"/>
  <c r="Z21" i="1"/>
  <c r="V28" i="1"/>
  <c r="Q23" i="1"/>
  <c r="U26" i="1"/>
  <c r="U23" i="1"/>
  <c r="T28" i="1"/>
  <c r="V22" i="1"/>
  <c r="R28" i="1"/>
  <c r="X28" i="1"/>
  <c r="Y24" i="1"/>
  <c r="X20" i="1"/>
  <c r="W28" i="1"/>
  <c r="W27" i="1"/>
  <c r="W21" i="1"/>
  <c r="Y26" i="1"/>
  <c r="U28" i="1"/>
  <c r="Y20" i="1"/>
  <c r="S23" i="1"/>
  <c r="T22" i="1"/>
  <c r="Y29" i="1"/>
  <c r="R26" i="1"/>
  <c r="R27" i="1"/>
  <c r="X25" i="1"/>
  <c r="T25" i="1"/>
  <c r="V27" i="1"/>
  <c r="X26" i="1"/>
  <c r="W22" i="1"/>
  <c r="V29" i="1"/>
  <c r="X22" i="1"/>
  <c r="U22" i="1"/>
  <c r="J12" i="1" l="1"/>
  <c r="I13" i="1"/>
  <c r="L11" i="1"/>
  <c r="G6" i="1"/>
  <c r="K12" i="1"/>
  <c r="K7" i="1"/>
  <c r="K13" i="1"/>
  <c r="Z27" i="1"/>
  <c r="M11" i="1" s="1"/>
  <c r="H5" i="1"/>
  <c r="E7" i="1"/>
  <c r="M10" i="1"/>
  <c r="E13" i="1"/>
  <c r="M8" i="1"/>
  <c r="S26" i="1"/>
  <c r="F10" i="1" s="1"/>
  <c r="J6" i="1"/>
  <c r="I12" i="1"/>
  <c r="F7" i="1"/>
  <c r="E12" i="1"/>
  <c r="I8" i="1"/>
  <c r="Q21" i="1"/>
  <c r="D5" i="1" s="1"/>
  <c r="E4" i="1"/>
  <c r="G4" i="1"/>
  <c r="K8" i="1"/>
  <c r="H13" i="1"/>
  <c r="J8" i="1"/>
  <c r="H6" i="1"/>
  <c r="S24" i="1"/>
  <c r="F8" i="1" s="1"/>
  <c r="K10" i="1"/>
  <c r="E11" i="1"/>
  <c r="Q28" i="1"/>
  <c r="D12" i="1" s="1"/>
  <c r="L4" i="1"/>
  <c r="L5" i="1"/>
  <c r="I6" i="1"/>
  <c r="S25" i="1"/>
  <c r="F9" i="1" s="1"/>
  <c r="J7" i="1"/>
  <c r="D10" i="1"/>
  <c r="L7" i="1"/>
  <c r="D7" i="1"/>
  <c r="I11" i="1"/>
  <c r="K4" i="1"/>
  <c r="Q27" i="1"/>
  <c r="D11" i="1" s="1"/>
  <c r="H12" i="1"/>
  <c r="L8" i="1"/>
  <c r="G12" i="1"/>
  <c r="W20" i="1"/>
  <c r="J4" i="1" s="1"/>
  <c r="D9" i="1"/>
  <c r="H11" i="1"/>
  <c r="M7" i="1"/>
  <c r="K5" i="1"/>
  <c r="G8" i="1"/>
  <c r="M6" i="1"/>
  <c r="S29" i="1"/>
  <c r="F13" i="1" s="1"/>
  <c r="J9" i="1"/>
  <c r="G9" i="1"/>
  <c r="G11" i="1"/>
  <c r="L10" i="1"/>
  <c r="M5" i="1"/>
  <c r="H7" i="1"/>
  <c r="E6" i="1"/>
  <c r="S21" i="1"/>
  <c r="F5" i="1" s="1"/>
  <c r="H9" i="1"/>
  <c r="M9" i="1"/>
  <c r="L9" i="1"/>
  <c r="G5" i="1"/>
  <c r="J13" i="1"/>
  <c r="S27" i="1"/>
  <c r="F11" i="1" s="1"/>
  <c r="K6" i="1"/>
  <c r="E10" i="1"/>
  <c r="J5" i="1"/>
  <c r="E8" i="1"/>
  <c r="H10" i="1"/>
  <c r="H4" i="1"/>
  <c r="I7" i="1"/>
  <c r="G13" i="1"/>
  <c r="S28" i="1"/>
  <c r="F12" i="1" s="1"/>
  <c r="L6" i="1"/>
  <c r="M12" i="1"/>
  <c r="K9" i="1"/>
  <c r="L13" i="1"/>
  <c r="J11" i="1"/>
  <c r="E9" i="1"/>
  <c r="G10" i="1"/>
  <c r="S20" i="1"/>
  <c r="F4" i="1" s="1"/>
  <c r="D6" i="1"/>
  <c r="I5" i="1"/>
  <c r="V20" i="1"/>
  <c r="I4" i="1" s="1"/>
  <c r="D8" i="1"/>
  <c r="I10" i="1"/>
  <c r="Z20" i="1"/>
  <c r="M4" i="1" s="1"/>
  <c r="D13" i="1"/>
</calcChain>
</file>

<file path=xl/comments1.xml><?xml version="1.0" encoding="utf-8"?>
<comments xmlns="http://schemas.openxmlformats.org/spreadsheetml/2006/main">
  <authors>
    <author>作者</author>
  </authors>
  <commentList>
    <comment ref="S20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
无合约数据，取倒数处理</t>
        </r>
      </text>
    </comment>
    <comment ref="V20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
无合约数据，取倒数处理</t>
        </r>
      </text>
    </comment>
    <comment ref="W20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
无合约数据，取倒数处理</t>
        </r>
      </text>
    </comment>
    <comment ref="Z20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
无合约数据，取倒数处理</t>
        </r>
      </text>
    </comment>
    <comment ref="Q2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
无合约数据，取倒数处理</t>
        </r>
      </text>
    </comment>
    <comment ref="S2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
无合约数据，取倒数处理</t>
        </r>
      </text>
    </comment>
    <comment ref="S24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
无合约数据，取倒数处理</t>
        </r>
      </text>
    </comment>
    <comment ref="S25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无合约数据，取倒数处理</t>
        </r>
      </text>
    </comment>
    <comment ref="S26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
无合约数据，取倒数处理</t>
        </r>
      </text>
    </comment>
    <comment ref="Q27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
无合约数据，取倒数处理</t>
        </r>
      </text>
    </comment>
    <comment ref="S27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
无合约数据，取倒数处理</t>
        </r>
      </text>
    </comment>
    <comment ref="Z27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汇率异常</t>
        </r>
      </text>
    </comment>
    <comment ref="Q28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
无合约数据，取倒数处理</t>
        </r>
      </text>
    </comment>
    <comment ref="S28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
无合约数据，取倒数处理</t>
        </r>
      </text>
    </comment>
    <comment ref="S29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
无合约数据，取倒数处理</t>
        </r>
      </text>
    </comment>
  </commentList>
</comments>
</file>

<file path=xl/sharedStrings.xml><?xml version="1.0" encoding="utf-8"?>
<sst xmlns="http://schemas.openxmlformats.org/spreadsheetml/2006/main" count="23" uniqueCount="22">
  <si>
    <t>USD</t>
    <phoneticPr fontId="1" type="noConversion"/>
  </si>
  <si>
    <t>EUR</t>
    <phoneticPr fontId="1" type="noConversion"/>
  </si>
  <si>
    <t>CNY</t>
    <phoneticPr fontId="1" type="noConversion"/>
  </si>
  <si>
    <t>JPY</t>
    <phoneticPr fontId="1" type="noConversion"/>
  </si>
  <si>
    <t>GBP</t>
    <phoneticPr fontId="1" type="noConversion"/>
  </si>
  <si>
    <t>CHF</t>
    <phoneticPr fontId="1" type="noConversion"/>
  </si>
  <si>
    <t>CAD</t>
    <phoneticPr fontId="1" type="noConversion"/>
  </si>
  <si>
    <t>NZD</t>
    <phoneticPr fontId="1" type="noConversion"/>
  </si>
  <si>
    <t>HKD</t>
    <phoneticPr fontId="1" type="noConversion"/>
  </si>
  <si>
    <t>EUR</t>
    <phoneticPr fontId="1" type="noConversion"/>
  </si>
  <si>
    <t>CNY</t>
    <phoneticPr fontId="1" type="noConversion"/>
  </si>
  <si>
    <t>JPY</t>
    <phoneticPr fontId="1" type="noConversion"/>
  </si>
  <si>
    <t>GBP</t>
    <phoneticPr fontId="1" type="noConversion"/>
  </si>
  <si>
    <t>CHF</t>
    <phoneticPr fontId="1" type="noConversion"/>
  </si>
  <si>
    <t>CAD</t>
    <phoneticPr fontId="1" type="noConversion"/>
  </si>
  <si>
    <t>NZD</t>
    <phoneticPr fontId="1" type="noConversion"/>
  </si>
  <si>
    <t>HKD</t>
    <phoneticPr fontId="1" type="noConversion"/>
  </si>
  <si>
    <t>横轴/纵轴</t>
    <phoneticPr fontId="1" type="noConversion"/>
  </si>
  <si>
    <t>实时汇率矩阵</t>
    <phoneticPr fontId="1" type="noConversion"/>
  </si>
  <si>
    <t>AUD</t>
    <phoneticPr fontId="1" type="noConversion"/>
  </si>
  <si>
    <t>AUD</t>
    <phoneticPr fontId="1" type="noConversion"/>
  </si>
  <si>
    <t>实时汇率矩阵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</si>
</sst>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#,##0.####"/>
    <numFmt numFmtId="177" formatCode="[=0]&quot;&quot;;General"/>
    <numFmt numFmtId="178" formatCode="#,##0.######"/>
    <numFmt numFmtId="179" formatCode="[=0]&quot;&quot;;0.0000"/>
  </numFmts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6"/>
      <color rgb="FF212121"/>
      <name val="Arial"/>
      <family val="2"/>
    </font>
    <font>
      <sz val="18"/>
      <color theme="1"/>
      <name val="等线"/>
      <family val="2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4"/>
      <color theme="0"/>
      <name val="微软雅黑"/>
      <family val="2"/>
      <charset val="134"/>
    </font>
    <font>
      <sz val="14"/>
      <color rgb="FF212121"/>
      <name val="Arial"/>
      <family val="2"/>
    </font>
    <font>
      <b/>
      <sz val="16"/>
      <color theme="0"/>
      <name val="微软雅黑"/>
      <family val="2"/>
      <charset val="134"/>
    </font>
    <font>
      <sz val="14"/>
      <color theme="0"/>
      <name val="Arial"/>
      <family val="2"/>
    </font>
    <font>
      <sz val="14"/>
      <color theme="1"/>
      <name val="等线"/>
      <family val="2"/>
      <scheme val="minor"/>
    </font>
    <font>
      <b/>
      <sz val="20"/>
      <color theme="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40404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2" fillId="0" borderId="0" xfId="0" applyFont="1"/>
    <xf numFmtId="0" fontId="0" fillId="0" borderId="0" xfId="0" applyAlignment="1">
      <alignment vertical="center"/>
    </xf>
    <xf numFmtId="176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177" fontId="3" fillId="4" borderId="1" xfId="0" applyNumberFormat="1" applyFont="1" applyFill="1" applyBorder="1" applyAlignment="1">
      <alignment horizontal="left"/>
    </xf>
    <xf numFmtId="177" fontId="3" fillId="5" borderId="1" xfId="0" applyNumberFormat="1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179" fontId="8" fillId="5" borderId="1" xfId="0" applyNumberFormat="1" applyFont="1" applyFill="1" applyBorder="1" applyAlignment="1">
      <alignment horizontal="right"/>
    </xf>
    <xf numFmtId="0" fontId="9" fillId="6" borderId="1" xfId="0" applyFont="1" applyFill="1" applyBorder="1" applyAlignment="1">
      <alignment horizontal="left" vertical="center"/>
    </xf>
    <xf numFmtId="14" fontId="10" fillId="2" borderId="0" xfId="0" applyNumberFormat="1" applyFont="1" applyFill="1" applyBorder="1" applyAlignment="1">
      <alignment horizontal="center" vertical="center"/>
    </xf>
    <xf numFmtId="0" fontId="11" fillId="3" borderId="0" xfId="0" applyFont="1" applyFill="1"/>
    <xf numFmtId="0" fontId="7" fillId="6" borderId="1" xfId="0" applyFont="1" applyFill="1" applyBorder="1" applyAlignment="1">
      <alignment horizontal="left" vertical="center"/>
    </xf>
    <xf numFmtId="0" fontId="11" fillId="0" borderId="0" xfId="0" applyFont="1"/>
    <xf numFmtId="0" fontId="12" fillId="2" borderId="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63636D"/>
      <color rgb="FFE4C6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wdf.rtq">
      <tp>
        <v>0</v>
        <stp/>
        <stp>CHFHKD.IB</stp>
        <stp>LastPrice</stp>
        <tr r="V29" s="1"/>
      </tp>
      <tp>
        <v>0.2162</v>
        <stp/>
        <stp>HKDNZD.FX</stp>
        <stp>LastPrice</stp>
        <tr r="Z28" s="1"/>
      </tp>
      <tp>
        <v>0</v>
        <stp/>
        <stp>JPYGBP.IB</stp>
        <stp>LastPrice</stp>
        <tr r="T24" s="1"/>
      </tp>
      <tp>
        <v>0</v>
        <stp/>
        <stp>CADHKD.IB</stp>
        <stp>LastPrice</stp>
        <tr r="W29" s="1"/>
      </tp>
      <tp>
        <v>1.9401000000000002</v>
        <stp/>
        <stp>GBPAUD.FX</stp>
        <stp>LastPrice</stp>
        <tr r="U27" s="1"/>
      </tp>
      <tp>
        <v>0.64180000000000004</v>
        <stp/>
        <stp>AUDUSD.FX</stp>
        <stp>LastPrice</stp>
        <tr r="X20" s="1"/>
      </tp>
      <tp>
        <v>1.1712</v>
        <stp/>
        <stp>GBPEUR.FX</stp>
        <stp>LastPrice</stp>
        <tr r="U21" s="1"/>
      </tp>
      <tp>
        <v>0</v>
        <stp/>
        <stp>HKDCAD.IB</stp>
        <stp>LastPrice</stp>
        <tr r="Z26" s="1"/>
      </tp>
      <tp>
        <v>111.905</v>
        <stp/>
        <stp>CADJPY.FX</stp>
        <stp>LastPrice</stp>
        <tr r="W23" s="1"/>
      </tp>
      <tp>
        <v>9.008700000000001</v>
        <stp/>
        <stp>GBPCNY.IB</stp>
        <stp>LastPrice</stp>
        <tr r="U22" s="1"/>
      </tp>
      <tp>
        <v>169.76500000000001</v>
        <stp/>
        <stp>CHFJPY.FX</stp>
        <stp>LastPrice</stp>
        <tr r="V23" s="1"/>
      </tp>
      <tp>
        <v>0</v>
        <stp/>
        <stp>AUDCHF.IB</stp>
        <stp>LastPrice</stp>
        <tr r="X25" s="1"/>
      </tp>
      <tp>
        <v>21.355</v>
        <stp/>
        <stp>CNYJPY.FX</stp>
        <stp>LastPrice</stp>
        <tr r="S23" s="1"/>
      </tp>
      <tp t="e">
        <v>#N/A</v>
        <stp>0</stp>
        <stp>AUDAUD.FX</stp>
        <stp>LastPrice</stp>
        <tr r="X27" s="1"/>
      </tp>
      <tp t="e">
        <v>#N/A</v>
        <stp>0</stp>
        <stp>NZDNZD.FX</stp>
        <stp>LastPrice</stp>
        <tr r="Y28" s="1"/>
      </tp>
      <tp>
        <v>0</v>
        <stp/>
        <stp>HKDGBP.IB</stp>
        <stp>LastPrice</stp>
        <tr r="Z24" s="1"/>
      </tp>
      <tp>
        <v>1.6565000000000001</v>
        <stp/>
        <stp>EURAUD.FX</stp>
        <stp>LastPrice</stp>
        <tr r="R27" s="1"/>
      </tp>
      <tp>
        <v>0</v>
        <stp/>
        <stp>AUDHKD.IB</stp>
        <stp>LastPrice</stp>
        <tr r="X29" s="1"/>
      </tp>
      <tp>
        <v>1.0954000000000002</v>
        <stp/>
        <stp>JPYNZD.FX</stp>
        <stp>LastPrice</stp>
        <tr r="T28" s="1"/>
      </tp>
      <tp t="e">
        <v>#N/A</v>
        <stp>0</stp>
        <stp>CNYCNY.IB</stp>
        <stp>LastPrice</stp>
        <tr r="S22" s="1"/>
      </tp>
      <tp>
        <v>7.6943000000000001</v>
        <stp/>
        <stp>EURCNY.IB</stp>
        <stp>LastPrice</stp>
        <tr r="R22" s="1"/>
      </tp>
      <tp>
        <v>99.2</v>
        <stp/>
        <stp>AUDJPY.FX</stp>
        <stp>LastPrice</stp>
        <tr r="X23" s="1"/>
      </tp>
      <tp>
        <v>0</v>
        <stp/>
        <stp>CADCHF.IB</stp>
        <stp>LastPrice</stp>
        <tr r="W25" s="1"/>
      </tp>
      <tp>
        <v>0</v>
        <stp/>
        <stp>JPYCAD.IB</stp>
        <stp>LastPrice</stp>
        <tr r="T26" s="1"/>
      </tp>
      <tp>
        <v>0</v>
        <stp/>
        <stp>NZDGBP.IB</stp>
        <stp>LastPrice</stp>
        <tr r="Y24" s="1"/>
      </tp>
      <tp>
        <v>1.7114</v>
        <stp/>
        <stp>CHFAUD.FX</stp>
        <stp>LastPrice</stp>
        <tr r="V27" s="1"/>
      </tp>
      <tp>
        <v>1.1280000000000001</v>
        <stp/>
        <stp>CADAUD.FX</stp>
        <stp>LastPrice</stp>
        <tr r="W27" s="1"/>
      </tp>
      <tp>
        <v>0</v>
        <stp/>
        <stp>GBPHKD.IB</stp>
        <stp>LastPrice</stp>
        <tr r="U29" s="1"/>
      </tp>
      <tp>
        <v>1.0331000000000001</v>
        <stp/>
        <stp>CHFEUR.FX</stp>
        <stp>LastPrice</stp>
        <tr r="V21" s="1"/>
      </tp>
      <tp>
        <v>1.0631000000000002</v>
        <stp/>
        <stp>EURUSD.FX</stp>
        <stp>LastPrice</stp>
        <tr r="R20" s="1"/>
      </tp>
      <tp>
        <v>0.68090000000000006</v>
        <stp/>
        <stp>CADEUR.FX</stp>
        <stp>LastPrice</stp>
        <tr r="W21" s="1"/>
      </tp>
      <tp t="e">
        <v>#N/A</v>
        <stp>0</stp>
        <stp>CHFCHF.IB</stp>
        <stp>LastPrice</stp>
        <tr r="V25" s="1"/>
      </tp>
      <tp>
        <v>0.80310000000000004</v>
        <stp/>
        <stp>USDGBP.FX</stp>
        <stp>LastPrice</stp>
        <tr r="Q24" s="1"/>
      </tp>
      <tp>
        <v>5.2385000000000002</v>
        <stp/>
        <stp>CADCNY.IB</stp>
        <stp>LastPrice</stp>
        <tr r="W22" s="1"/>
      </tp>
      <tp>
        <v>192.45500000000001</v>
        <stp/>
        <stp>GBPJPY.FX</stp>
        <stp>LastPrice</stp>
        <tr r="U23" s="1"/>
      </tp>
      <tp>
        <v>7.9464000000000006</v>
        <stp/>
        <stp>CHFCNY.IB</stp>
        <stp>LastPrice</stp>
        <tr r="V22" s="1"/>
      </tp>
      <tp>
        <v>0</v>
        <stp/>
        <stp>EURCHF.IB</stp>
        <stp>LastPrice</stp>
        <tr r="R25" s="1"/>
      </tp>
      <tp t="e">
        <v>#N/A</v>
        <stp>0</stp>
        <stp>EUREUR.FX</stp>
        <stp>LastPrice</stp>
        <tr r="R21" s="1"/>
      </tp>
      <tp>
        <v>0.60370000000000001</v>
        <stp/>
        <stp>AUDEUR.FX</stp>
        <stp>LastPrice</stp>
        <tr r="X21" s="1"/>
      </tp>
      <tp>
        <v>1.2451000000000001</v>
        <stp/>
        <stp>GBPUSD.FX</stp>
        <stp>LastPrice</stp>
        <tr r="U20" s="1"/>
      </tp>
      <tp>
        <v>0</v>
        <stp/>
        <stp>EURHKD.IB</stp>
        <stp>LastPrice</stp>
        <tr r="R29" s="1"/>
      </tp>
      <tp>
        <v>1.3814</v>
        <stp/>
        <stp>USDCAD.FX</stp>
        <stp>LastPrice</stp>
        <tr r="Q26" s="1"/>
      </tp>
      <tp>
        <v>164.33700000000002</v>
        <stp/>
        <stp>EURJPY.FX</stp>
        <stp>LastPrice</stp>
        <tr r="R23" s="1"/>
      </tp>
      <tp>
        <v>4.6440000000000001</v>
        <stp/>
        <stp>AUDCNY.IB</stp>
        <stp>LastPrice</stp>
        <tr r="X22" s="1"/>
      </tp>
      <tp>
        <v>0</v>
        <stp/>
        <stp>GBPCHF.IB</stp>
        <stp>LastPrice</stp>
        <tr r="U25" s="1"/>
      </tp>
      <tp>
        <v>0</v>
        <stp/>
        <stp>NZDCAD.IB</stp>
        <stp>LastPrice</stp>
        <tr r="Y26" s="1"/>
      </tp>
      <tp>
        <v>0</v>
        <stp/>
        <stp>HKDCHF.IB</stp>
        <stp>LastPrice</stp>
        <tr r="Z25" s="1"/>
      </tp>
      <tp>
        <v>4.2690000000000001</v>
        <stp/>
        <stp>NZDCNY.IB</stp>
        <stp>LastPrice</stp>
        <tr r="Y22" s="1"/>
      </tp>
      <tp>
        <v>0</v>
        <stp/>
        <stp>AUDCAD.IB</stp>
        <stp>LastPrice</stp>
        <tr r="X26" s="1"/>
      </tp>
      <tp>
        <v>0.55549999999999999</v>
        <stp/>
        <stp>NZDEUR.FX</stp>
        <stp>LastPrice</stp>
        <tr r="Y21" s="1"/>
      </tp>
      <tp>
        <v>7.2384000000000004</v>
        <stp/>
        <stp>USDCNY.FX</stp>
        <stp>LastPrice</stp>
        <tr r="Q22" s="1"/>
      </tp>
      <tp>
        <v>0</v>
        <stp/>
        <stp>CHFGBP.IB</stp>
        <stp>LastPrice</stp>
        <tr r="V24" s="1"/>
      </tp>
      <tp>
        <v>0.92020000000000002</v>
        <stp/>
        <stp>NZDAUD.FX</stp>
        <stp>LastPrice</stp>
        <tr r="Y27" s="1"/>
      </tp>
      <tp>
        <v>0</v>
        <stp/>
        <stp>CADGBP.IB</stp>
        <stp>LastPrice</stp>
        <tr r="W24" s="1"/>
      </tp>
      <tp>
        <v>1.0865</v>
        <stp/>
        <stp>AUDNZD.FX</stp>
        <stp>LastPrice</stp>
        <tr r="X28" s="1"/>
      </tp>
      <tp>
        <v>0</v>
        <stp/>
        <stp>JPYHKD.IB</stp>
        <stp>LastPrice</stp>
        <tr r="T29" s="1"/>
      </tp>
      <tp t="e">
        <v>#N/A</v>
        <stp>0</stp>
        <stp>USDUSD.IB</stp>
        <stp>LastPrice</stp>
        <tr r="Q20" s="1"/>
      </tp>
      <tp>
        <v>0</v>
        <stp/>
        <stp>CHFCAD.IB</stp>
        <stp>LastPrice</stp>
        <tr r="V26" s="1"/>
      </tp>
      <tp>
        <v>19.7364</v>
        <stp/>
        <stp>HKDJPY.FX</stp>
        <stp>LastPrice</stp>
        <tr r="Z23" s="1"/>
      </tp>
      <tp>
        <v>0</v>
        <stp/>
        <stp>JPYCHF.IB</stp>
        <stp>LastPrice</stp>
        <tr r="T25" s="1"/>
      </tp>
      <tp t="e">
        <v>#N/A</v>
        <stp>0</stp>
        <stp>GBPGBP.IB</stp>
        <stp>LastPrice</stp>
        <tr r="U24" s="1"/>
      </tp>
      <tp>
        <v>1.8598000000000001</v>
        <stp/>
        <stp>CHFNZD.FX</stp>
        <stp>LastPrice</stp>
        <tr r="V28" s="1"/>
      </tp>
      <tp>
        <v>0</v>
        <stp/>
        <stp>AUDGBP.IB</stp>
        <stp>LastPrice</stp>
        <tr r="X24" s="1"/>
      </tp>
      <tp>
        <v>1.2258</v>
        <stp/>
        <stp>CADNZD.FX</stp>
        <stp>LastPrice</stp>
        <tr r="W28" s="1"/>
      </tp>
      <tp>
        <v>6.5000000000000006E-3</v>
        <stp/>
        <stp>JPYUSD.FX</stp>
        <stp>LastPrice</stp>
        <tr r="T20" s="1"/>
      </tp>
      <tp>
        <v>4.6829999999999998</v>
        <stp/>
        <stp>JPYCNY.IB</stp>
        <stp>LastPrice</stp>
        <tr r="T22" s="1"/>
      </tp>
      <tp>
        <v>91.28</v>
        <stp/>
        <stp>NZDJPY.FX</stp>
        <stp>LastPrice</stp>
        <tr r="Y23" s="1"/>
      </tp>
      <tp>
        <v>0</v>
        <stp/>
        <stp>EURCAD.IB</stp>
        <stp>LastPrice</stp>
        <tr r="R26" s="1"/>
      </tp>
      <tp>
        <v>7.8321000000000005</v>
        <stp/>
        <stp>USDHKD.FX</stp>
        <stp>LastPrice</stp>
        <tr r="Q29" s="1"/>
      </tp>
      <tp t="e">
        <v>#N/A</v>
        <stp>0</stp>
        <stp>HKDHKD.IB</stp>
        <stp>LastPrice</stp>
        <tr r="Z29" s="1"/>
      </tp>
      <tp>
        <v>154.58700000000002</v>
        <stp/>
        <stp>USDJPY.IB</stp>
        <stp>LastPrice</stp>
        <tr r="Q23" s="1"/>
      </tp>
      <tp>
        <v>0.60850000000000004</v>
        <stp/>
        <stp>JPYEUR.FX</stp>
        <stp>LastPrice</stp>
        <tr r="T21" s="1"/>
      </tp>
      <tp>
        <v>0</v>
        <stp/>
        <stp>NZDHKD.IB</stp>
        <stp>LastPrice</stp>
        <tr r="Y29" s="1"/>
      </tp>
      <tp>
        <v>1.8002</v>
        <stp/>
        <stp>EURNZD.FX</stp>
        <stp>LastPrice</stp>
        <tr r="R28" s="1"/>
      </tp>
      <tp>
        <v>1.0079</v>
        <stp/>
        <stp>JPYAUD.FX</stp>
        <stp>LastPrice</stp>
        <tr r="T27" s="1"/>
      </tp>
      <tp t="e">
        <v>#N/A</v>
        <stp>0</stp>
        <stp>CADCAD.IB</stp>
        <stp>LastPrice</stp>
        <tr r="W26" s="1"/>
      </tp>
      <tp>
        <v>0</v>
        <stp/>
        <stp>GBPCAD.IB</stp>
        <stp>LastPrice</stp>
        <tr r="U26" s="1"/>
      </tp>
      <tp>
        <v>0</v>
        <stp/>
        <stp>NZDCHF.IB</stp>
        <stp>LastPrice</stp>
        <tr r="Y25" s="1"/>
      </tp>
      <tp>
        <v>0.92421999999999993</v>
        <stp/>
        <stp>HKDCNY.IB</stp>
        <stp>LastPrice</stp>
        <tr r="Z22" s="1"/>
      </tp>
      <tp>
        <v>0.85388500000000001</v>
        <stp/>
        <stp>EURGBP.IB</stp>
        <stp>LastPrice</stp>
        <tr r="R24" s="1"/>
      </tp>
      <tp>
        <v>2.1084000000000001</v>
        <stp/>
        <stp>GBPNZD.FX</stp>
        <stp>LastPrice</stp>
        <tr r="U28" s="1"/>
      </tp>
      <tp>
        <v>0.12010000000000001</v>
        <stp/>
        <stp>HKDEUR.FX</stp>
        <stp>LastPrice</stp>
        <tr r="Z21" s="1"/>
      </tp>
      <tp>
        <v>0.59060000000000001</v>
        <stp/>
        <stp>NZDUSD.FX</stp>
        <stp>LastPrice</stp>
        <tr r="Y20" s="1"/>
      </tp>
      <tp>
        <v>0.91050000000000009</v>
        <stp/>
        <stp>USDCHF.FX</stp>
        <stp>LastPrice</stp>
        <tr r="Q25" s="1"/>
      </tp>
      <tp t="e">
        <v>#N/A</v>
        <stp>0</stp>
        <stp>JPYJPY.FX</stp>
        <stp>LastPrice</stp>
        <tr r="T23" s="1"/>
      </tp>
      <tp>
        <v>1.5172000000000001</v>
        <stp/>
        <stp>CHFCAD.FX</stp>
        <stp>LastPrice</stp>
        <tr r="V26" s="1"/>
      </tp>
      <tp>
        <v>0</v>
        <stp/>
        <stp>HKDJPY.IB</stp>
        <stp>LastPrice</stp>
        <tr r="Z23" s="1"/>
      </tp>
      <tp>
        <v>0.58900000000000008</v>
        <stp/>
        <stp>JPYCHF.FX</stp>
        <stp>LastPrice</stp>
        <tr r="T25" s="1"/>
      </tp>
      <tp t="e">
        <v>#N/A</v>
        <stp>0</stp>
        <stp>GBPGBP.FX</stp>
        <stp>LastPrice</stp>
        <tr r="U24" s="1"/>
      </tp>
      <tp>
        <v>0</v>
        <stp/>
        <stp>CHFNZD.IB</stp>
        <stp>LastPrice</stp>
        <tr r="V28" s="1"/>
      </tp>
      <tp>
        <v>0</v>
        <stp/>
        <stp>CADNZD.IB</stp>
        <stp>LastPrice</stp>
        <tr r="W28" s="1"/>
      </tp>
      <tp>
        <v>0.51539999999999997</v>
        <stp/>
        <stp>AUDGBP.FX</stp>
        <stp>LastPrice</stp>
        <tr r="X24" s="1"/>
      </tp>
      <tp>
        <v>0</v>
        <stp/>
        <stp>JPYUSD.IB</stp>
        <stp>LastPrice</stp>
        <tr r="T20" s="1"/>
      </tp>
      <tp>
        <v>0.11620000000000001</v>
        <stp/>
        <stp>HKDCHF.FX</stp>
        <stp>LastPrice</stp>
        <tr r="Z25" s="1"/>
      </tp>
      <tp>
        <v>4.2746000000000004</v>
        <stp/>
        <stp>NZDCNY.FX</stp>
        <stp>LastPrice</stp>
        <tr r="Y22" s="1"/>
      </tp>
      <tp>
        <v>0.88660000000000005</v>
        <stp/>
        <stp>AUDCAD.FX</stp>
        <stp>LastPrice</stp>
        <tr r="X26" s="1"/>
      </tp>
      <tp>
        <v>0</v>
        <stp/>
        <stp>NZDEUR.IB</stp>
        <stp>LastPrice</stp>
        <tr r="Y21" s="1"/>
      </tp>
      <tp>
        <v>7.2384000000000004</v>
        <stp/>
        <stp>USDCNY.IB</stp>
        <stp>LastPrice</stp>
        <tr r="Q22" s="1"/>
      </tp>
      <tp>
        <v>0.8821</v>
        <stp/>
        <stp>CHFGBP.FX</stp>
        <stp>LastPrice</stp>
        <tr r="V24" s="1"/>
      </tp>
      <tp>
        <v>0</v>
        <stp/>
        <stp>NZDAUD.IB</stp>
        <stp>LastPrice</stp>
        <tr r="Y27" s="1"/>
      </tp>
      <tp>
        <v>0</v>
        <stp/>
        <stp>AUDNZD.IB</stp>
        <stp>LastPrice</stp>
        <tr r="X28" s="1"/>
      </tp>
      <tp>
        <v>0.58140000000000003</v>
        <stp/>
        <stp>CADGBP.FX</stp>
        <stp>LastPrice</stp>
        <tr r="W24" s="1"/>
      </tp>
      <tp>
        <v>5.0668000000000006</v>
        <stp/>
        <stp>JPYHKD.FX</stp>
        <stp>LastPrice</stp>
        <tr r="T29" s="1"/>
      </tp>
      <tp t="e">
        <v>#N/A</v>
        <stp>0</stp>
        <stp>USDUSD.FX</stp>
        <stp>LastPrice</stp>
        <tr r="Q20" s="1"/>
      </tp>
      <tp>
        <v>1.72</v>
        <stp/>
        <stp>GBPCAD.FX</stp>
        <stp>LastPrice</stp>
        <tr r="U26" s="1"/>
      </tp>
      <tp>
        <v>0.53770000000000007</v>
        <stp/>
        <stp>NZDCHF.FX</stp>
        <stp>LastPrice</stp>
        <tr r="Y25" s="1"/>
      </tp>
      <tp>
        <v>0.92410000000000003</v>
        <stp/>
        <stp>HKDCNY.FX</stp>
        <stp>LastPrice</stp>
        <tr r="Z22" s="1"/>
      </tp>
      <tp>
        <v>0.8538</v>
        <stp/>
        <stp>EURGBP.FX</stp>
        <stp>LastPrice</stp>
        <tr r="R24" s="1"/>
      </tp>
      <tp>
        <v>0</v>
        <stp/>
        <stp>GBPNZD.IB</stp>
        <stp>LastPrice</stp>
        <tr r="U28" s="1"/>
      </tp>
      <tp>
        <v>0</v>
        <stp/>
        <stp>HKDEUR.IB</stp>
        <stp>LastPrice</stp>
        <tr r="Z21" s="1"/>
      </tp>
      <tp>
        <v>0.58955000000000002</v>
        <stp/>
        <stp>NZDUSD.IB</stp>
        <stp>LastPrice</stp>
        <tr r="Y20" s="1"/>
      </tp>
      <tp>
        <v>0.91050999999999993</v>
        <stp/>
        <stp>USDCHF.IB</stp>
        <stp>LastPrice</stp>
        <tr r="Q25" s="1"/>
      </tp>
      <tp t="e">
        <v>#N/A</v>
        <stp>0</stp>
        <stp>JPYJPY.IB</stp>
        <stp>LastPrice</stp>
        <tr r="T23" s="1"/>
      </tp>
      <tp>
        <v>0</v>
        <stp/>
        <stp>JPYCNY.FX</stp>
        <stp>LastPrice</stp>
        <tr r="T22" s="1"/>
      </tp>
      <tp>
        <v>0</v>
        <stp/>
        <stp>NZDJPY.IB</stp>
        <stp>LastPrice</stp>
        <tr r="Y23" s="1"/>
      </tp>
      <tp>
        <v>1.4686000000000001</v>
        <stp/>
        <stp>EURCAD.FX</stp>
        <stp>LastPrice</stp>
        <tr r="R26" s="1"/>
      </tp>
      <tp>
        <v>7.8319849999999995</v>
        <stp/>
        <stp>USDHKD.IB</stp>
        <stp>LastPrice</stp>
        <tr r="Q29" s="1"/>
      </tp>
      <tp t="e">
        <v>#N/A</v>
        <stp>0</stp>
        <stp>HKDHKD.FX</stp>
        <stp>LastPrice</stp>
        <tr r="Z29" s="1"/>
      </tp>
      <tp>
        <v>154.578</v>
        <stp/>
        <stp>USDJPY.FX</stp>
        <stp>LastPrice</stp>
        <tr r="Q23" s="1"/>
      </tp>
      <tp>
        <v>0</v>
        <stp/>
        <stp>JPYEUR.IB</stp>
        <stp>LastPrice</stp>
        <tr r="T21" s="1"/>
      </tp>
      <tp>
        <v>4.6255000000000006</v>
        <stp/>
        <stp>NZDHKD.FX</stp>
        <stp>LastPrice</stp>
        <tr r="Y29" s="1"/>
      </tp>
      <tp>
        <v>0</v>
        <stp/>
        <stp>EURNZD.IB</stp>
        <stp>LastPrice</stp>
        <tr r="R28" s="1"/>
      </tp>
      <tp>
        <v>0</v>
        <stp/>
        <stp>JPYAUD.IB</stp>
        <stp>LastPrice</stp>
        <tr r="T27" s="1"/>
      </tp>
      <tp t="e">
        <v>#N/A</v>
        <stp>0</stp>
        <stp>CADCAD.FX</stp>
        <stp>LastPrice</stp>
        <tr r="W26" s="1"/>
      </tp>
      <tp>
        <v>0.10250000000000001</v>
        <stp/>
        <stp>HKDGBP.FX</stp>
        <stp>LastPrice</stp>
        <tr r="Z24" s="1"/>
      </tp>
      <tp>
        <v>0</v>
        <stp/>
        <stp>EURAUD.IB</stp>
        <stp>LastPrice</stp>
        <tr r="R27" s="1"/>
      </tp>
      <tp>
        <v>5.0266000000000002</v>
        <stp/>
        <stp>AUDHKD.FX</stp>
        <stp>LastPrice</stp>
        <tr r="X29" s="1"/>
      </tp>
      <tp>
        <v>0</v>
        <stp/>
        <stp>JPYNZD.IB</stp>
        <stp>LastPrice</stp>
        <tr r="T28" s="1"/>
      </tp>
      <tp t="e">
        <v>#N/A</v>
        <stp>0</stp>
        <stp>CNYCNY.FX</stp>
        <stp>LastPrice</stp>
        <tr r="S22" s="1"/>
      </tp>
      <tp>
        <v>7.6954000000000002</v>
        <stp/>
        <stp>EURCNY.FX</stp>
        <stp>LastPrice</stp>
        <tr r="R22" s="1"/>
      </tp>
      <tp>
        <v>0</v>
        <stp/>
        <stp>AUDJPY.IB</stp>
        <stp>LastPrice</stp>
        <tr r="X23" s="1"/>
      </tp>
      <tp>
        <v>0.65910000000000002</v>
        <stp/>
        <stp>CADCHF.FX</stp>
        <stp>LastPrice</stp>
        <tr r="W25" s="1"/>
      </tp>
      <tp>
        <v>0.89370000000000005</v>
        <stp/>
        <stp>JPYCAD.FX</stp>
        <stp>LastPrice</stp>
        <tr r="T26" s="1"/>
      </tp>
      <tp>
        <v>8.6022999999999996</v>
        <stp/>
        <stp>CHFHKD.FX</stp>
        <stp>LastPrice</stp>
        <tr r="V29" s="1"/>
      </tp>
      <tp>
        <v>0</v>
        <stp/>
        <stp>HKDNZD.IB</stp>
        <stp>LastPrice</stp>
        <tr r="Z28" s="1"/>
      </tp>
      <tp>
        <v>0.51960000000000006</v>
        <stp/>
        <stp>JPYGBP.FX</stp>
        <stp>LastPrice</stp>
        <tr r="T24" s="1"/>
      </tp>
      <tp>
        <v>5.6697000000000006</v>
        <stp/>
        <stp>CADHKD.FX</stp>
        <stp>LastPrice</stp>
        <tr r="W29" s="1"/>
      </tp>
      <tp>
        <v>0</v>
        <stp/>
        <stp>GBPAUD.IB</stp>
        <stp>LastPrice</stp>
        <tr r="U27" s="1"/>
      </tp>
      <tp>
        <v>0.64181999999999995</v>
        <stp/>
        <stp>AUDUSD.IB</stp>
        <stp>LastPrice</stp>
        <tr r="X20" s="1"/>
      </tp>
      <tp>
        <v>0</v>
        <stp/>
        <stp>GBPEUR.IB</stp>
        <stp>LastPrice</stp>
        <tr r="U21" s="1"/>
      </tp>
      <tp>
        <v>0.1764</v>
        <stp/>
        <stp>HKDCAD.FX</stp>
        <stp>LastPrice</stp>
        <tr r="Z26" s="1"/>
      </tp>
      <tp>
        <v>0</v>
        <stp/>
        <stp>CADJPY.IB</stp>
        <stp>LastPrice</stp>
        <tr r="W23" s="1"/>
      </tp>
      <tp>
        <v>9.0128000000000004</v>
        <stp/>
        <stp>GBPCNY.FX</stp>
        <stp>LastPrice</stp>
        <tr r="U22" s="1"/>
      </tp>
      <tp>
        <v>0</v>
        <stp/>
        <stp>CHFJPY.IB</stp>
        <stp>LastPrice</stp>
        <tr r="V23" s="1"/>
      </tp>
      <tp>
        <v>0.58430000000000004</v>
        <stp/>
        <stp>AUDCHF.FX</stp>
        <stp>LastPrice</stp>
        <tr r="X25" s="1"/>
      </tp>
      <tp>
        <v>0</v>
        <stp/>
        <stp>CNYJPY.IB</stp>
        <stp>LastPrice</stp>
        <tr r="S23" s="1"/>
      </tp>
      <tp t="e">
        <v>#N/A</v>
        <stp>0</stp>
        <stp>AUDAUD.IB</stp>
        <stp>LastPrice</stp>
        <tr r="X27" s="1"/>
      </tp>
      <tp t="e">
        <v>#N/A</v>
        <stp>0</stp>
        <stp>NZDNZD.IB</stp>
        <stp>LastPrice</stp>
        <tr r="Y28" s="1"/>
      </tp>
      <tp>
        <v>0</v>
        <stp/>
        <stp>AUDEUR.IB</stp>
        <stp>LastPrice</stp>
        <tr r="X21" s="1"/>
      </tp>
      <tp>
        <v>1.2452299999999998</v>
        <stp/>
        <stp>GBPUSD.IB</stp>
        <stp>LastPrice</stp>
        <tr r="U20" s="1"/>
      </tp>
      <tp>
        <v>8.3265000000000011</v>
        <stp/>
        <stp>EURHKD.FX</stp>
        <stp>LastPrice</stp>
        <tr r="R29" s="1"/>
      </tp>
      <tp>
        <v>1.381375</v>
        <stp/>
        <stp>USDCAD.IB</stp>
        <stp>LastPrice</stp>
        <tr r="Q26" s="1"/>
      </tp>
      <tp>
        <v>164.3595</v>
        <stp/>
        <stp>EURJPY.IB</stp>
        <stp>LastPrice</stp>
        <tr r="R23" s="1"/>
      </tp>
      <tp>
        <v>4.6455000000000002</v>
        <stp/>
        <stp>AUDCNY.FX</stp>
        <stp>LastPrice</stp>
        <tr r="X22" s="1"/>
      </tp>
      <tp>
        <v>1.1336000000000002</v>
        <stp/>
        <stp>GBPCHF.FX</stp>
        <stp>LastPrice</stp>
        <tr r="U25" s="1"/>
      </tp>
      <tp>
        <v>0.81580000000000008</v>
        <stp/>
        <stp>NZDCAD.FX</stp>
        <stp>LastPrice</stp>
        <tr r="Y26" s="1"/>
      </tp>
      <tp>
        <v>0.4743</v>
        <stp/>
        <stp>NZDGBP.FX</stp>
        <stp>LastPrice</stp>
        <tr r="Y24" s="1"/>
      </tp>
      <tp>
        <v>0</v>
        <stp/>
        <stp>CHFAUD.IB</stp>
        <stp>LastPrice</stp>
        <tr r="V27" s="1"/>
      </tp>
      <tp>
        <v>0</v>
        <stp/>
        <stp>CADAUD.IB</stp>
        <stp>LastPrice</stp>
        <tr r="W27" s="1"/>
      </tp>
      <tp>
        <v>9.7520000000000007</v>
        <stp/>
        <stp>GBPHKD.FX</stp>
        <stp>LastPrice</stp>
        <tr r="U29" s="1"/>
      </tp>
      <tp>
        <v>0</v>
        <stp/>
        <stp>CHFEUR.IB</stp>
        <stp>LastPrice</stp>
        <tr r="V21" s="1"/>
      </tp>
      <tp>
        <v>1.0632200000000001</v>
        <stp/>
        <stp>EURUSD.IB</stp>
        <stp>LastPrice</stp>
        <tr r="R20" s="1"/>
      </tp>
      <tp>
        <v>0</v>
        <stp/>
        <stp>CADEUR.IB</stp>
        <stp>LastPrice</stp>
        <tr r="W21" s="1"/>
      </tp>
      <tp t="e">
        <v>#N/A</v>
        <stp>0</stp>
        <stp>CHFCHF.FX</stp>
        <stp>LastPrice</stp>
        <tr r="V25" s="1"/>
      </tp>
      <tp>
        <v>0</v>
        <stp/>
        <stp>USDGBP.IB</stp>
        <stp>LastPrice</stp>
        <tr r="Q24" s="1"/>
      </tp>
      <tp>
        <v>5.2398000000000007</v>
        <stp/>
        <stp>CADCNY.FX</stp>
        <stp>LastPrice</stp>
        <tr r="W22" s="1"/>
      </tp>
      <tp>
        <v>0</v>
        <stp/>
        <stp>GBPJPY.IB</stp>
        <stp>LastPrice</stp>
        <tr r="U23" s="1"/>
      </tp>
      <tp>
        <v>7.9503000000000004</v>
        <stp/>
        <stp>CHFCNY.FX</stp>
        <stp>LastPrice</stp>
        <tr r="V22" s="1"/>
      </tp>
      <tp>
        <v>0.96790000000000009</v>
        <stp/>
        <stp>EURCHF.FX</stp>
        <stp>LastPrice</stp>
        <tr r="R25" s="1"/>
      </tp>
      <tp t="e">
        <v>#N/A</v>
        <stp>0</stp>
        <stp>EUREUR.IB</stp>
        <stp>LastPrice</stp>
        <tr r="R2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291548</xdr:colOff>
      <xdr:row>0</xdr:row>
      <xdr:rowOff>84482</xdr:rowOff>
    </xdr:from>
    <xdr:ext cx="607152" cy="219075"/>
    <xdr:pic>
      <xdr:nvPicPr>
        <xdr:cNvPr id="2" name="图片 1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48" y="84482"/>
          <a:ext cx="607152" cy="219075"/>
        </a:xfrm>
        <a:prstGeom prst="rect">
          <a:avLst/>
        </a:prstGeom>
      </xdr:spPr>
    </xdr:pic>
    <xdr:clientData/>
  </xdr:oneCellAnchor>
  <xdr:twoCellAnchor editAs="oneCell">
    <xdr:from>
      <xdr:col>3</xdr:col>
      <xdr:colOff>656353</xdr:colOff>
      <xdr:row>2</xdr:row>
      <xdr:rowOff>19388</xdr:rowOff>
    </xdr:from>
    <xdr:to>
      <xdr:col>3</xdr:col>
      <xdr:colOff>909300</xdr:colOff>
      <xdr:row>2</xdr:row>
      <xdr:rowOff>271388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1367" y="1135174"/>
          <a:ext cx="252947" cy="252000"/>
        </a:xfrm>
        <a:prstGeom prst="rect">
          <a:avLst/>
        </a:prstGeom>
      </xdr:spPr>
    </xdr:pic>
    <xdr:clientData/>
  </xdr:twoCellAnchor>
  <xdr:twoCellAnchor editAs="oneCell">
    <xdr:from>
      <xdr:col>4</xdr:col>
      <xdr:colOff>649571</xdr:colOff>
      <xdr:row>2</xdr:row>
      <xdr:rowOff>11106</xdr:rowOff>
    </xdr:from>
    <xdr:to>
      <xdr:col>4</xdr:col>
      <xdr:colOff>902517</xdr:colOff>
      <xdr:row>2</xdr:row>
      <xdr:rowOff>263106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7971" y="1126892"/>
          <a:ext cx="252946" cy="252000"/>
        </a:xfrm>
        <a:prstGeom prst="rect">
          <a:avLst/>
        </a:prstGeom>
      </xdr:spPr>
    </xdr:pic>
    <xdr:clientData/>
  </xdr:twoCellAnchor>
  <xdr:twoCellAnchor editAs="oneCell">
    <xdr:from>
      <xdr:col>5</xdr:col>
      <xdr:colOff>639706</xdr:colOff>
      <xdr:row>2</xdr:row>
      <xdr:rowOff>19389</xdr:rowOff>
    </xdr:from>
    <xdr:to>
      <xdr:col>5</xdr:col>
      <xdr:colOff>892652</xdr:colOff>
      <xdr:row>2</xdr:row>
      <xdr:rowOff>271389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1492" y="1135175"/>
          <a:ext cx="252946" cy="252000"/>
        </a:xfrm>
        <a:prstGeom prst="rect">
          <a:avLst/>
        </a:prstGeom>
      </xdr:spPr>
    </xdr:pic>
    <xdr:clientData/>
  </xdr:twoCellAnchor>
  <xdr:twoCellAnchor editAs="oneCell">
    <xdr:from>
      <xdr:col>6</xdr:col>
      <xdr:colOff>636699</xdr:colOff>
      <xdr:row>2</xdr:row>
      <xdr:rowOff>27436</xdr:rowOff>
    </xdr:from>
    <xdr:to>
      <xdr:col>6</xdr:col>
      <xdr:colOff>889646</xdr:colOff>
      <xdr:row>2</xdr:row>
      <xdr:rowOff>279436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1870" y="1143222"/>
          <a:ext cx="252947" cy="252000"/>
        </a:xfrm>
        <a:prstGeom prst="rect">
          <a:avLst/>
        </a:prstGeom>
      </xdr:spPr>
    </xdr:pic>
    <xdr:clientData/>
  </xdr:twoCellAnchor>
  <xdr:twoCellAnchor editAs="oneCell">
    <xdr:from>
      <xdr:col>7</xdr:col>
      <xdr:colOff>644637</xdr:colOff>
      <xdr:row>2</xdr:row>
      <xdr:rowOff>24323</xdr:rowOff>
    </xdr:from>
    <xdr:to>
      <xdr:col>7</xdr:col>
      <xdr:colOff>897584</xdr:colOff>
      <xdr:row>2</xdr:row>
      <xdr:rowOff>276323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3194" y="1140109"/>
          <a:ext cx="252947" cy="252000"/>
        </a:xfrm>
        <a:prstGeom prst="rect">
          <a:avLst/>
        </a:prstGeom>
      </xdr:spPr>
    </xdr:pic>
    <xdr:clientData/>
  </xdr:twoCellAnchor>
  <xdr:twoCellAnchor editAs="oneCell">
    <xdr:from>
      <xdr:col>8</xdr:col>
      <xdr:colOff>648708</xdr:colOff>
      <xdr:row>2</xdr:row>
      <xdr:rowOff>23459</xdr:rowOff>
    </xdr:from>
    <xdr:to>
      <xdr:col>8</xdr:col>
      <xdr:colOff>901655</xdr:colOff>
      <xdr:row>2</xdr:row>
      <xdr:rowOff>275459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0651" y="1139245"/>
          <a:ext cx="252947" cy="252000"/>
        </a:xfrm>
        <a:prstGeom prst="rect">
          <a:avLst/>
        </a:prstGeom>
      </xdr:spPr>
    </xdr:pic>
    <xdr:clientData/>
  </xdr:twoCellAnchor>
  <xdr:twoCellAnchor editAs="oneCell">
    <xdr:from>
      <xdr:col>9</xdr:col>
      <xdr:colOff>656035</xdr:colOff>
      <xdr:row>2</xdr:row>
      <xdr:rowOff>23707</xdr:rowOff>
    </xdr:from>
    <xdr:to>
      <xdr:col>9</xdr:col>
      <xdr:colOff>908981</xdr:colOff>
      <xdr:row>2</xdr:row>
      <xdr:rowOff>275707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1364" y="1139493"/>
          <a:ext cx="252946" cy="252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646169</xdr:colOff>
      <xdr:row>2</xdr:row>
      <xdr:rowOff>30276</xdr:rowOff>
    </xdr:from>
    <xdr:to>
      <xdr:col>11</xdr:col>
      <xdr:colOff>899115</xdr:colOff>
      <xdr:row>2</xdr:row>
      <xdr:rowOff>282276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8269" y="1146062"/>
          <a:ext cx="252946" cy="252000"/>
        </a:xfrm>
        <a:prstGeom prst="rect">
          <a:avLst/>
        </a:prstGeom>
      </xdr:spPr>
    </xdr:pic>
    <xdr:clientData/>
  </xdr:twoCellAnchor>
  <xdr:twoCellAnchor editAs="oneCell">
    <xdr:from>
      <xdr:col>12</xdr:col>
      <xdr:colOff>662498</xdr:colOff>
      <xdr:row>2</xdr:row>
      <xdr:rowOff>29660</xdr:rowOff>
    </xdr:from>
    <xdr:to>
      <xdr:col>12</xdr:col>
      <xdr:colOff>915444</xdr:colOff>
      <xdr:row>2</xdr:row>
      <xdr:rowOff>281660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07984" y="1145446"/>
          <a:ext cx="252946" cy="252000"/>
        </a:xfrm>
        <a:prstGeom prst="rect">
          <a:avLst/>
        </a:prstGeom>
      </xdr:spPr>
    </xdr:pic>
    <xdr:clientData/>
  </xdr:twoCellAnchor>
  <xdr:twoCellAnchor editAs="oneCell">
    <xdr:from>
      <xdr:col>10</xdr:col>
      <xdr:colOff>656013</xdr:colOff>
      <xdr:row>2</xdr:row>
      <xdr:rowOff>26243</xdr:rowOff>
    </xdr:from>
    <xdr:to>
      <xdr:col>10</xdr:col>
      <xdr:colOff>908960</xdr:colOff>
      <xdr:row>2</xdr:row>
      <xdr:rowOff>278243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4727" y="1142029"/>
          <a:ext cx="252947" cy="25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63636D"/>
  </sheetPr>
  <dimension ref="A1:AF29"/>
  <sheetViews>
    <sheetView showGridLines="0" tabSelected="1" topLeftCell="B1" zoomScaleNormal="100" workbookViewId="0">
      <pane ySplit="1" topLeftCell="A2" activePane="bottomLeft" state="frozen"/>
      <selection activeCell="B1" sqref="B1"/>
      <selection pane="bottomLeft" activeCell="B35" sqref="B35"/>
    </sheetView>
  </sheetViews>
  <sheetFormatPr defaultRowHeight="18" x14ac:dyDescent="0.25"/>
  <cols>
    <col min="1" max="1" width="9" hidden="1" customWidth="1"/>
    <col min="2" max="2" width="4.375" customWidth="1"/>
    <col min="3" max="3" width="15" customWidth="1"/>
    <col min="4" max="13" width="12.625" style="18" customWidth="1"/>
    <col min="14" max="14" width="6.875" customWidth="1"/>
    <col min="16" max="16" width="9" customWidth="1"/>
    <col min="17" max="19" width="8.875" hidden="1" customWidth="1"/>
    <col min="20" max="20" width="6.875" hidden="1" customWidth="1"/>
    <col min="21" max="23" width="8.875" hidden="1" customWidth="1"/>
    <col min="24" max="25" width="7.875" hidden="1" customWidth="1"/>
    <col min="26" max="26" width="8.875" hidden="1" customWidth="1"/>
    <col min="27" max="31" width="9.875" customWidth="1"/>
    <col min="32" max="32" width="8.625" customWidth="1"/>
    <col min="33" max="41" width="9" customWidth="1"/>
    <col min="42" max="42" width="8.625" customWidth="1"/>
    <col min="43" max="46" width="9" customWidth="1"/>
  </cols>
  <sheetData>
    <row r="1" spans="2:32" ht="27.75" customHeight="1" x14ac:dyDescent="0.2">
      <c r="B1" s="1"/>
      <c r="C1" s="1"/>
      <c r="D1" s="19" t="s">
        <v>18</v>
      </c>
      <c r="E1" s="19"/>
      <c r="F1" s="19"/>
      <c r="G1" s="19"/>
      <c r="H1" s="19"/>
      <c r="I1" s="19"/>
      <c r="J1" s="19"/>
      <c r="K1" s="19"/>
      <c r="L1" s="19"/>
      <c r="M1" s="15"/>
      <c r="N1" s="1"/>
      <c r="O1" s="5"/>
    </row>
    <row r="2" spans="2:32" s="4" customFormat="1" ht="60" customHeight="1" x14ac:dyDescent="0.25">
      <c r="B2" s="3"/>
      <c r="C2" s="3"/>
      <c r="D2" s="16"/>
      <c r="E2" s="16"/>
      <c r="F2" s="16"/>
      <c r="G2" s="16"/>
      <c r="H2" s="16"/>
      <c r="I2" s="16"/>
      <c r="J2" s="16"/>
      <c r="K2" s="16"/>
      <c r="L2" s="16"/>
      <c r="M2" s="16"/>
      <c r="N2" s="2"/>
      <c r="O2" s="5"/>
    </row>
    <row r="3" spans="2:32" s="12" customFormat="1" ht="23.25" x14ac:dyDescent="0.35">
      <c r="B3" s="10"/>
      <c r="C3" s="17" t="s">
        <v>17</v>
      </c>
      <c r="D3" s="14" t="s">
        <v>0</v>
      </c>
      <c r="E3" s="14" t="s">
        <v>1</v>
      </c>
      <c r="F3" s="14" t="s">
        <v>2</v>
      </c>
      <c r="G3" s="14" t="s">
        <v>3</v>
      </c>
      <c r="H3" s="14" t="s">
        <v>4</v>
      </c>
      <c r="I3" s="14" t="s">
        <v>5</v>
      </c>
      <c r="J3" s="14" t="s">
        <v>6</v>
      </c>
      <c r="K3" s="14" t="s">
        <v>19</v>
      </c>
      <c r="L3" s="14" t="s">
        <v>7</v>
      </c>
      <c r="M3" s="14" t="s">
        <v>8</v>
      </c>
      <c r="N3" s="10"/>
      <c r="O3" s="11"/>
    </row>
    <row r="4" spans="2:32" ht="20.85" customHeight="1" x14ac:dyDescent="0.3">
      <c r="B4" s="2"/>
      <c r="C4" s="8" t="s">
        <v>0</v>
      </c>
      <c r="D4" s="13"/>
      <c r="E4" s="13">
        <f t="shared" ref="E4:J4" si="0">R20</f>
        <v>1.0632200000000001</v>
      </c>
      <c r="F4" s="13">
        <f t="shared" si="0"/>
        <v>0.13815207780725022</v>
      </c>
      <c r="G4" s="13">
        <f t="shared" si="0"/>
        <v>6.5000000000000006E-3</v>
      </c>
      <c r="H4" s="13">
        <f t="shared" si="0"/>
        <v>1.2452299999999998</v>
      </c>
      <c r="I4" s="13">
        <f t="shared" si="0"/>
        <v>1.2451749470800646</v>
      </c>
      <c r="J4" s="13">
        <f t="shared" si="0"/>
        <v>1.0982855762155277</v>
      </c>
      <c r="K4" s="13">
        <f t="shared" ref="K4:M4" si="1">X20</f>
        <v>0.64181999999999995</v>
      </c>
      <c r="L4" s="13">
        <f t="shared" si="1"/>
        <v>0.59060000000000001</v>
      </c>
      <c r="M4" s="13">
        <f t="shared" si="1"/>
        <v>0.12767967722577597</v>
      </c>
      <c r="N4" s="2"/>
      <c r="O4" s="5"/>
    </row>
    <row r="5" spans="2:32" ht="20.85" customHeight="1" x14ac:dyDescent="0.3">
      <c r="B5" s="2"/>
      <c r="C5" s="9" t="s">
        <v>9</v>
      </c>
      <c r="D5" s="13">
        <f t="shared" ref="D5:D10" si="2">Q21</f>
        <v>0.94053911702187687</v>
      </c>
      <c r="E5" s="13"/>
      <c r="F5" s="13">
        <f>S21</f>
        <v>0.12994776100007796</v>
      </c>
      <c r="G5" s="13">
        <f>T21</f>
        <v>0.60850000000000004</v>
      </c>
      <c r="H5" s="13">
        <f>U21</f>
        <v>1.1712</v>
      </c>
      <c r="I5" s="13">
        <f>V21</f>
        <v>1.0331000000000001</v>
      </c>
      <c r="J5" s="13">
        <f>W21</f>
        <v>0.68090000000000006</v>
      </c>
      <c r="K5" s="13">
        <f t="shared" ref="K5:M5" si="3">X21</f>
        <v>0.60370000000000001</v>
      </c>
      <c r="L5" s="13">
        <f t="shared" si="3"/>
        <v>0.55549999999999999</v>
      </c>
      <c r="M5" s="13">
        <f t="shared" si="3"/>
        <v>0.12010000000000001</v>
      </c>
      <c r="N5" s="2"/>
      <c r="O5" s="5"/>
    </row>
    <row r="6" spans="2:32" ht="20.85" customHeight="1" x14ac:dyDescent="0.3">
      <c r="B6" s="2"/>
      <c r="C6" s="8" t="s">
        <v>10</v>
      </c>
      <c r="D6" s="13">
        <f t="shared" si="2"/>
        <v>7.2384000000000004</v>
      </c>
      <c r="E6" s="13">
        <f>R22</f>
        <v>7.6954000000000002</v>
      </c>
      <c r="F6" s="13"/>
      <c r="G6" s="13">
        <f>T22</f>
        <v>4.6829999999999998</v>
      </c>
      <c r="H6" s="13">
        <f>U22</f>
        <v>9.0128000000000004</v>
      </c>
      <c r="I6" s="13">
        <f>V22</f>
        <v>7.9503000000000004</v>
      </c>
      <c r="J6" s="13">
        <f>W22</f>
        <v>5.2398000000000007</v>
      </c>
      <c r="K6" s="13">
        <f t="shared" ref="K6:M6" si="4">X22</f>
        <v>4.6455000000000002</v>
      </c>
      <c r="L6" s="13">
        <f t="shared" si="4"/>
        <v>4.2746000000000004</v>
      </c>
      <c r="M6" s="13">
        <f t="shared" si="4"/>
        <v>0.92421999999999993</v>
      </c>
      <c r="N6" s="2"/>
      <c r="O6" s="5"/>
    </row>
    <row r="7" spans="2:32" ht="20.85" customHeight="1" x14ac:dyDescent="0.3">
      <c r="B7" s="2"/>
      <c r="C7" s="9" t="s">
        <v>11</v>
      </c>
      <c r="D7" s="13">
        <f t="shared" si="2"/>
        <v>154.58700000000002</v>
      </c>
      <c r="E7" s="13">
        <f>R23</f>
        <v>164.3595</v>
      </c>
      <c r="F7" s="13">
        <f>S23</f>
        <v>21.355</v>
      </c>
      <c r="G7" s="13"/>
      <c r="H7" s="13">
        <f>U23</f>
        <v>192.45500000000001</v>
      </c>
      <c r="I7" s="13">
        <f>V23</f>
        <v>169.76500000000001</v>
      </c>
      <c r="J7" s="13">
        <f>W23</f>
        <v>111.905</v>
      </c>
      <c r="K7" s="13">
        <f t="shared" ref="K7:M7" si="5">X23</f>
        <v>99.2</v>
      </c>
      <c r="L7" s="13">
        <f t="shared" si="5"/>
        <v>91.28</v>
      </c>
      <c r="M7" s="13">
        <f t="shared" si="5"/>
        <v>19.7364</v>
      </c>
      <c r="N7" s="2"/>
      <c r="O7" s="5"/>
    </row>
    <row r="8" spans="2:32" ht="20.85" customHeight="1" x14ac:dyDescent="0.3">
      <c r="B8" s="2"/>
      <c r="C8" s="8" t="s">
        <v>12</v>
      </c>
      <c r="D8" s="13">
        <f t="shared" si="2"/>
        <v>0.80310000000000004</v>
      </c>
      <c r="E8" s="13">
        <f>R24</f>
        <v>0.85388500000000001</v>
      </c>
      <c r="F8" s="13">
        <f>S24</f>
        <v>0.11095331084679566</v>
      </c>
      <c r="G8" s="13">
        <f>T24</f>
        <v>0.51960000000000006</v>
      </c>
      <c r="H8" s="13"/>
      <c r="I8" s="13">
        <f>V24</f>
        <v>0.8821</v>
      </c>
      <c r="J8" s="13">
        <f>W24</f>
        <v>0.58140000000000003</v>
      </c>
      <c r="K8" s="13">
        <f t="shared" ref="K8:M8" si="6">X24</f>
        <v>0.51539999999999997</v>
      </c>
      <c r="L8" s="13">
        <f t="shared" si="6"/>
        <v>0.4743</v>
      </c>
      <c r="M8" s="13">
        <f t="shared" si="6"/>
        <v>0.10250000000000001</v>
      </c>
      <c r="N8" s="2"/>
      <c r="O8" s="5"/>
    </row>
    <row r="9" spans="2:32" ht="20.85" customHeight="1" x14ac:dyDescent="0.3">
      <c r="B9" s="2"/>
      <c r="C9" s="9" t="s">
        <v>13</v>
      </c>
      <c r="D9" s="13">
        <f t="shared" si="2"/>
        <v>0.91050999999999993</v>
      </c>
      <c r="E9" s="13">
        <f>R25</f>
        <v>0.96790000000000009</v>
      </c>
      <c r="F9" s="13">
        <f>S25</f>
        <v>0.12578141705344451</v>
      </c>
      <c r="G9" s="13">
        <f>T25</f>
        <v>0.58900000000000008</v>
      </c>
      <c r="H9" s="13">
        <f>U25</f>
        <v>1.1336000000000002</v>
      </c>
      <c r="I9" s="13"/>
      <c r="J9" s="13">
        <f>W25</f>
        <v>0.65910000000000002</v>
      </c>
      <c r="K9" s="13">
        <f t="shared" ref="K9:M9" si="7">X25</f>
        <v>0.58430000000000004</v>
      </c>
      <c r="L9" s="13">
        <f t="shared" si="7"/>
        <v>0.53770000000000007</v>
      </c>
      <c r="M9" s="13">
        <f t="shared" si="7"/>
        <v>0.11620000000000001</v>
      </c>
      <c r="N9" s="2"/>
      <c r="O9" s="5"/>
    </row>
    <row r="10" spans="2:32" ht="20.85" customHeight="1" x14ac:dyDescent="0.3">
      <c r="B10" s="2"/>
      <c r="C10" s="8" t="s">
        <v>14</v>
      </c>
      <c r="D10" s="13">
        <f t="shared" si="2"/>
        <v>1.3814</v>
      </c>
      <c r="E10" s="13">
        <f>R26</f>
        <v>1.4686000000000001</v>
      </c>
      <c r="F10" s="13">
        <f>S26</f>
        <v>0.1908469788923241</v>
      </c>
      <c r="G10" s="13">
        <f>T26</f>
        <v>0.89370000000000005</v>
      </c>
      <c r="H10" s="13">
        <f>U26</f>
        <v>1.72</v>
      </c>
      <c r="I10" s="13">
        <f>V26</f>
        <v>1.5172000000000001</v>
      </c>
      <c r="J10" s="13"/>
      <c r="K10" s="13">
        <f t="shared" ref="K10:K13" si="8">X26</f>
        <v>0.88660000000000005</v>
      </c>
      <c r="L10" s="13">
        <f t="shared" ref="L10:L13" si="9">Y26</f>
        <v>0.81580000000000008</v>
      </c>
      <c r="M10" s="13">
        <f t="shared" ref="M10:M12" si="10">Z26</f>
        <v>0.1764</v>
      </c>
      <c r="N10" s="2"/>
      <c r="O10" s="5"/>
    </row>
    <row r="11" spans="2:32" ht="20.85" customHeight="1" x14ac:dyDescent="0.3">
      <c r="B11" s="2"/>
      <c r="C11" s="8" t="s">
        <v>20</v>
      </c>
      <c r="D11" s="13">
        <f t="shared" ref="D11:I11" si="11">Q27</f>
        <v>1.5580692405970522</v>
      </c>
      <c r="E11" s="13">
        <f t="shared" si="11"/>
        <v>1.6565000000000001</v>
      </c>
      <c r="F11" s="13">
        <f t="shared" si="11"/>
        <v>0.21526208158432891</v>
      </c>
      <c r="G11" s="13">
        <f t="shared" si="11"/>
        <v>1.0079</v>
      </c>
      <c r="H11" s="13">
        <f t="shared" si="11"/>
        <v>1.9401000000000002</v>
      </c>
      <c r="I11" s="13">
        <f t="shared" si="11"/>
        <v>1.7114</v>
      </c>
      <c r="J11" s="13">
        <f t="shared" ref="J11:J13" si="12">W27</f>
        <v>1.1280000000000001</v>
      </c>
      <c r="K11" s="13"/>
      <c r="L11" s="13">
        <f t="shared" si="9"/>
        <v>0.92020000000000002</v>
      </c>
      <c r="M11" s="13">
        <f>Z27</f>
        <v>0.19894163052560379</v>
      </c>
      <c r="N11" s="2"/>
      <c r="O11" s="5"/>
    </row>
    <row r="12" spans="2:32" ht="20.85" customHeight="1" x14ac:dyDescent="0.3">
      <c r="B12" s="2"/>
      <c r="C12" s="9" t="s">
        <v>15</v>
      </c>
      <c r="D12" s="13">
        <f t="shared" ref="D12:I12" si="13">Q28</f>
        <v>1.6931933626820181</v>
      </c>
      <c r="E12" s="13">
        <f t="shared" si="13"/>
        <v>1.8002</v>
      </c>
      <c r="F12" s="13">
        <f t="shared" si="13"/>
        <v>0.23394001777944132</v>
      </c>
      <c r="G12" s="13">
        <f t="shared" si="13"/>
        <v>1.0954000000000002</v>
      </c>
      <c r="H12" s="13">
        <f t="shared" si="13"/>
        <v>2.1084000000000001</v>
      </c>
      <c r="I12" s="13">
        <f t="shared" si="13"/>
        <v>1.8598000000000001</v>
      </c>
      <c r="J12" s="13">
        <f t="shared" si="12"/>
        <v>1.2258</v>
      </c>
      <c r="K12" s="13">
        <f t="shared" si="8"/>
        <v>1.0865</v>
      </c>
      <c r="L12" s="13"/>
      <c r="M12" s="13">
        <f t="shared" si="10"/>
        <v>0.2162</v>
      </c>
      <c r="N12" s="2"/>
      <c r="O12" s="5"/>
    </row>
    <row r="13" spans="2:32" ht="20.85" customHeight="1" x14ac:dyDescent="0.3">
      <c r="B13" s="2"/>
      <c r="C13" s="8" t="s">
        <v>16</v>
      </c>
      <c r="D13" s="13">
        <f t="shared" ref="D13:I13" si="14">Q29</f>
        <v>7.8321000000000005</v>
      </c>
      <c r="E13" s="13">
        <f t="shared" si="14"/>
        <v>8.3265000000000011</v>
      </c>
      <c r="F13" s="13">
        <f t="shared" si="14"/>
        <v>1.0819934647594729</v>
      </c>
      <c r="G13" s="13">
        <f t="shared" si="14"/>
        <v>5.0668000000000006</v>
      </c>
      <c r="H13" s="13">
        <f t="shared" si="14"/>
        <v>9.7520000000000007</v>
      </c>
      <c r="I13" s="13">
        <f t="shared" si="14"/>
        <v>8.6022999999999996</v>
      </c>
      <c r="J13" s="13">
        <f t="shared" si="12"/>
        <v>5.6697000000000006</v>
      </c>
      <c r="K13" s="13">
        <f t="shared" si="8"/>
        <v>5.0266000000000002</v>
      </c>
      <c r="L13" s="13">
        <f t="shared" si="9"/>
        <v>4.6255000000000006</v>
      </c>
      <c r="M13" s="13"/>
      <c r="N13" s="2"/>
      <c r="O13" s="5"/>
    </row>
    <row r="14" spans="2:32" x14ac:dyDescent="0.25">
      <c r="B14" s="2"/>
      <c r="C14" s="2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2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6"/>
    </row>
    <row r="15" spans="2:32" x14ac:dyDescent="0.25">
      <c r="B15" s="2"/>
      <c r="C15" s="2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2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6"/>
    </row>
    <row r="16" spans="2:32" x14ac:dyDescent="0.25">
      <c r="B16" s="2"/>
      <c r="C16" s="2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2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2:26" x14ac:dyDescent="0.25">
      <c r="B17" s="2"/>
      <c r="C17" s="2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2"/>
    </row>
    <row r="18" spans="2:26" x14ac:dyDescent="0.25">
      <c r="B18" s="2"/>
      <c r="C18" s="2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2"/>
    </row>
    <row r="19" spans="2:26" x14ac:dyDescent="0.25">
      <c r="B19" s="2"/>
      <c r="C19" s="2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2"/>
    </row>
    <row r="20" spans="2:26" x14ac:dyDescent="0.25">
      <c r="B20" s="2"/>
      <c r="C20" s="2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2"/>
      <c r="Q20" s="7">
        <f>MAX(IFERROR(RTD("wdf.rtq",,D$3&amp;$C4&amp;".IB","LastPrice"), 0),IFERROR(RTD("wdf.rtq",,D$3&amp;$C4&amp;".FX","LastPrice"),0))</f>
        <v>0</v>
      </c>
      <c r="R20" s="7">
        <f>MAX(IFERROR(RTD("wdf.rtq",,E$3&amp;$C4&amp;".IB","LastPrice"), 0),IFERROR(RTD("wdf.rtq",,E$3&amp;$C4&amp;".FX","LastPrice"),0))</f>
        <v>1.0632200000000001</v>
      </c>
      <c r="S20" s="7">
        <f>1/Q22</f>
        <v>0.13815207780725022</v>
      </c>
      <c r="T20" s="7">
        <f>MAX(IFERROR(RTD("wdf.rtq",,G$3&amp;$C4&amp;".IB","LastPrice"), 0),IFERROR(RTD("wdf.rtq",,G$3&amp;$C4&amp;".FX","LastPrice"),0))</f>
        <v>6.5000000000000006E-3</v>
      </c>
      <c r="U20" s="7">
        <f>MAX(IFERROR(RTD("wdf.rtq",,H$3&amp;$C4&amp;".IB","LastPrice"), 0),IFERROR(RTD("wdf.rtq",,H$3&amp;$C4&amp;".FX","LastPrice"),0))</f>
        <v>1.2452299999999998</v>
      </c>
      <c r="V20" s="7">
        <f>1/Q24</f>
        <v>1.2451749470800646</v>
      </c>
      <c r="W20" s="7">
        <f>1/Q25</f>
        <v>1.0982855762155277</v>
      </c>
      <c r="X20" s="7">
        <f>MAX(IFERROR(RTD("wdf.rtq",,K$3&amp;$C4&amp;".IB","LastPrice"), 0),IFERROR(RTD("wdf.rtq",,K$3&amp;$C4&amp;".FX","LastPrice"),0))</f>
        <v>0.64181999999999995</v>
      </c>
      <c r="Y20" s="7">
        <f>MAX(IFERROR(RTD("wdf.rtq",,L$3&amp;$C4&amp;".IB","LastPrice"), 0),IFERROR(RTD("wdf.rtq",,L$3&amp;$C4&amp;".FX","LastPrice"),0))</f>
        <v>0.59060000000000001</v>
      </c>
      <c r="Z20" s="7">
        <f>1/Q29</f>
        <v>0.12767967722577597</v>
      </c>
    </row>
    <row r="21" spans="2:26" x14ac:dyDescent="0.25">
      <c r="B21" s="2"/>
      <c r="C21" s="2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2"/>
      <c r="Q21" s="7">
        <f>1/R20</f>
        <v>0.94053911702187687</v>
      </c>
      <c r="R21" s="7">
        <f>MAX(IFERROR(RTD("wdf.rtq",,E$3&amp;$C5&amp;".IB","LastPrice"), 0),IFERROR(RTD("wdf.rtq",,E$3&amp;$C5&amp;".FX","LastPrice"),0))</f>
        <v>0</v>
      </c>
      <c r="S21" s="7">
        <f>1/R22</f>
        <v>0.12994776100007796</v>
      </c>
      <c r="T21" s="7">
        <f>MAX(IFERROR(RTD("wdf.rtq",,G$3&amp;$C5&amp;".IB","LastPrice"), 0),IFERROR(RTD("wdf.rtq",,G$3&amp;$C5&amp;".FX","LastPrice"),0))</f>
        <v>0.60850000000000004</v>
      </c>
      <c r="U21" s="7">
        <f>MAX(IFERROR(RTD("wdf.rtq",,H$3&amp;$C5&amp;".IB","LastPrice"), 0),IFERROR(RTD("wdf.rtq",,H$3&amp;$C5&amp;".FX","LastPrice"),0))</f>
        <v>1.1712</v>
      </c>
      <c r="V21" s="7">
        <f>MAX(IFERROR(RTD("wdf.rtq",,I$3&amp;$C5&amp;".IB","LastPrice"), 0),IFERROR(RTD("wdf.rtq",,I$3&amp;$C5&amp;".FX","LastPrice"),0))</f>
        <v>1.0331000000000001</v>
      </c>
      <c r="W21" s="7">
        <f>MAX(IFERROR(RTD("wdf.rtq",,J$3&amp;$C5&amp;".IB","LastPrice"), 0),IFERROR(RTD("wdf.rtq",,J$3&amp;$C5&amp;".FX","LastPrice"),0))</f>
        <v>0.68090000000000006</v>
      </c>
      <c r="X21" s="7">
        <f>MAX(IFERROR(RTD("wdf.rtq",,K$3&amp;$C5&amp;".IB","LastPrice"), 0),IFERROR(RTD("wdf.rtq",,K$3&amp;$C5&amp;".FX","LastPrice"),0))</f>
        <v>0.60370000000000001</v>
      </c>
      <c r="Y21" s="7">
        <f>MAX(IFERROR(RTD("wdf.rtq",,L$3&amp;$C5&amp;".IB","LastPrice"), 0),IFERROR(RTD("wdf.rtq",,L$3&amp;$C5&amp;".FX","LastPrice"),0))</f>
        <v>0.55549999999999999</v>
      </c>
      <c r="Z21" s="7">
        <f>MAX(IFERROR(RTD("wdf.rtq",,M$3&amp;$C5&amp;".IB","LastPrice"), 0),IFERROR(RTD("wdf.rtq",,M$3&amp;$C5&amp;".FX","LastPrice"),0))</f>
        <v>0.12010000000000001</v>
      </c>
    </row>
    <row r="22" spans="2:26" x14ac:dyDescent="0.25">
      <c r="B22" s="2"/>
      <c r="C22" s="2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2"/>
      <c r="Q22" s="7">
        <f>MAX(IFERROR(RTD("wdf.rtq",,D$3&amp;$C6&amp;".IB","LastPrice"), 0),IFERROR(RTD("wdf.rtq",,D$3&amp;$C6&amp;".FX","LastPrice"),0))</f>
        <v>7.2384000000000004</v>
      </c>
      <c r="R22" s="7">
        <f>MAX(IFERROR(RTD("wdf.rtq",,E$3&amp;$C6&amp;".IB","LastPrice"), 0),IFERROR(RTD("wdf.rtq",,E$3&amp;$C6&amp;".FX","LastPrice"),0))</f>
        <v>7.6954000000000002</v>
      </c>
      <c r="S22" s="7">
        <f>MAX(IFERROR(RTD("wdf.rtq",,F$3&amp;$C6&amp;".IB","LastPrice"), 0),IFERROR(RTD("wdf.rtq",,F$3&amp;$C6&amp;".FX","LastPrice"),0))</f>
        <v>0</v>
      </c>
      <c r="T22" s="7">
        <f>MAX(IFERROR(RTD("wdf.rtq",,G$3&amp;$C6&amp;".IB","LastPrice"), 0),IFERROR(RTD("wdf.rtq",,G$3&amp;$C6&amp;".FX","LastPrice"),0))</f>
        <v>4.6829999999999998</v>
      </c>
      <c r="U22" s="7">
        <f>MAX(IFERROR(RTD("wdf.rtq",,H$3&amp;$C6&amp;".IB","LastPrice"), 0),IFERROR(RTD("wdf.rtq",,H$3&amp;$C6&amp;".FX","LastPrice"),0))</f>
        <v>9.0128000000000004</v>
      </c>
      <c r="V22" s="7">
        <f>MAX(IFERROR(RTD("wdf.rtq",,I$3&amp;$C6&amp;".IB","LastPrice"), 0),IFERROR(RTD("wdf.rtq",,I$3&amp;$C6&amp;".FX","LastPrice"),0))</f>
        <v>7.9503000000000004</v>
      </c>
      <c r="W22" s="7">
        <f>MAX(IFERROR(RTD("wdf.rtq",,J$3&amp;$C6&amp;".IB","LastPrice"), 0),IFERROR(RTD("wdf.rtq",,J$3&amp;$C6&amp;".FX","LastPrice"),0))</f>
        <v>5.2398000000000007</v>
      </c>
      <c r="X22" s="7">
        <f>MAX(IFERROR(RTD("wdf.rtq",,K$3&amp;$C6&amp;".IB","LastPrice"), 0),IFERROR(RTD("wdf.rtq",,K$3&amp;$C6&amp;".FX","LastPrice"),0))</f>
        <v>4.6455000000000002</v>
      </c>
      <c r="Y22" s="7">
        <f>MAX(IFERROR(RTD("wdf.rtq",,L$3&amp;$C6&amp;".IB","LastPrice"), 0),IFERROR(RTD("wdf.rtq",,L$3&amp;$C6&amp;".FX","LastPrice"),0))</f>
        <v>4.2746000000000004</v>
      </c>
      <c r="Z22" s="7">
        <f>MAX(IFERROR(RTD("wdf.rtq",,M$3&amp;$C6&amp;".IB","LastPrice"), 0),IFERROR(RTD("wdf.rtq",,M$3&amp;$C6&amp;".FX","LastPrice"),0))</f>
        <v>0.92421999999999993</v>
      </c>
    </row>
    <row r="23" spans="2:26" x14ac:dyDescent="0.25">
      <c r="B23" s="2"/>
      <c r="C23" s="2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2"/>
      <c r="Q23" s="7">
        <f>MAX(IFERROR(RTD("wdf.rtq",,D$3&amp;$C7&amp;".IB","LastPrice"), 0),IFERROR(RTD("wdf.rtq",,D$3&amp;$C7&amp;".FX","LastPrice"),0))</f>
        <v>154.58700000000002</v>
      </c>
      <c r="R23" s="7">
        <f>MAX(IFERROR(RTD("wdf.rtq",,E$3&amp;$C7&amp;".IB","LastPrice"), 0),IFERROR(RTD("wdf.rtq",,E$3&amp;$C7&amp;".FX","LastPrice"),0))</f>
        <v>164.3595</v>
      </c>
      <c r="S23" s="7">
        <f>MAX(IFERROR(RTD("wdf.rtq",,F$3&amp;$C7&amp;".IB","LastPrice"), 0),IFERROR(RTD("wdf.rtq",,F$3&amp;$C7&amp;".FX","LastPrice"),0))</f>
        <v>21.355</v>
      </c>
      <c r="T23" s="7">
        <f>MAX(IFERROR(RTD("wdf.rtq",,G$3&amp;$C7&amp;".IB","LastPrice"), 0),IFERROR(RTD("wdf.rtq",,G$3&amp;$C7&amp;".FX","LastPrice"),0))</f>
        <v>0</v>
      </c>
      <c r="U23" s="7">
        <f>MAX(IFERROR(RTD("wdf.rtq",,H$3&amp;$C7&amp;".IB","LastPrice"), 0),IFERROR(RTD("wdf.rtq",,H$3&amp;$C7&amp;".FX","LastPrice"),0))</f>
        <v>192.45500000000001</v>
      </c>
      <c r="V23" s="7">
        <f>MAX(IFERROR(RTD("wdf.rtq",,I$3&amp;$C7&amp;".IB","LastPrice"), 0),IFERROR(RTD("wdf.rtq",,I$3&amp;$C7&amp;".FX","LastPrice"),0))</f>
        <v>169.76500000000001</v>
      </c>
      <c r="W23" s="7">
        <f>MAX(IFERROR(RTD("wdf.rtq",,J$3&amp;$C7&amp;".IB","LastPrice"), 0),IFERROR(RTD("wdf.rtq",,J$3&amp;$C7&amp;".FX","LastPrice"),0))</f>
        <v>111.905</v>
      </c>
      <c r="X23" s="7">
        <f>MAX(IFERROR(RTD("wdf.rtq",,K$3&amp;$C7&amp;".IB","LastPrice"), 0),IFERROR(RTD("wdf.rtq",,K$3&amp;$C7&amp;".FX","LastPrice"),0))</f>
        <v>99.2</v>
      </c>
      <c r="Y23" s="7">
        <f>MAX(IFERROR(RTD("wdf.rtq",,L$3&amp;$C7&amp;".IB","LastPrice"), 0),IFERROR(RTD("wdf.rtq",,L$3&amp;$C7&amp;".FX","LastPrice"),0))</f>
        <v>91.28</v>
      </c>
      <c r="Z23" s="7">
        <f>MAX(IFERROR(RTD("wdf.rtq",,M$3&amp;$C7&amp;".IB","LastPrice"), 0),IFERROR(RTD("wdf.rtq",,M$3&amp;$C7&amp;".FX","LastPrice"),0))</f>
        <v>19.7364</v>
      </c>
    </row>
    <row r="24" spans="2:26" x14ac:dyDescent="0.25">
      <c r="B24" s="2"/>
      <c r="C24" s="2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2"/>
      <c r="Q24" s="7">
        <f>MAX(IFERROR(RTD("wdf.rtq",,D$3&amp;$C8&amp;".IB","LastPrice"), 0),IFERROR(RTD("wdf.rtq",,D$3&amp;$C8&amp;".FX","LastPrice"),0))</f>
        <v>0.80310000000000004</v>
      </c>
      <c r="R24" s="7">
        <f>MAX(IFERROR(RTD("wdf.rtq",,E$3&amp;$C8&amp;".IB","LastPrice"), 0),IFERROR(RTD("wdf.rtq",,E$3&amp;$C8&amp;".FX","LastPrice"),0))</f>
        <v>0.85388500000000001</v>
      </c>
      <c r="S24" s="7">
        <f>1/U22</f>
        <v>0.11095331084679566</v>
      </c>
      <c r="T24" s="7">
        <f>MAX(IFERROR(RTD("wdf.rtq",,G$3&amp;$C8&amp;".IB","LastPrice"), 0),IFERROR(RTD("wdf.rtq",,G$3&amp;$C8&amp;".FX","LastPrice"),0))</f>
        <v>0.51960000000000006</v>
      </c>
      <c r="U24" s="7">
        <f>MAX(IFERROR(RTD("wdf.rtq",,H$3&amp;$C8&amp;".IB","LastPrice"), 0),IFERROR(RTD("wdf.rtq",,H$3&amp;$C8&amp;".FX","LastPrice"),0))</f>
        <v>0</v>
      </c>
      <c r="V24" s="7">
        <f>MAX(IFERROR(RTD("wdf.rtq",,I$3&amp;$C8&amp;".IB","LastPrice"), 0),IFERROR(RTD("wdf.rtq",,I$3&amp;$C8&amp;".FX","LastPrice"),0))</f>
        <v>0.8821</v>
      </c>
      <c r="W24" s="7">
        <f>MAX(IFERROR(RTD("wdf.rtq",,J$3&amp;$C8&amp;".IB","LastPrice"), 0),IFERROR(RTD("wdf.rtq",,J$3&amp;$C8&amp;".FX","LastPrice"),0))</f>
        <v>0.58140000000000003</v>
      </c>
      <c r="X24" s="7">
        <f>MAX(IFERROR(RTD("wdf.rtq",,K$3&amp;$C8&amp;".IB","LastPrice"), 0),IFERROR(RTD("wdf.rtq",,K$3&amp;$C8&amp;".FX","LastPrice"),0))</f>
        <v>0.51539999999999997</v>
      </c>
      <c r="Y24" s="7">
        <f>MAX(IFERROR(RTD("wdf.rtq",,L$3&amp;$C8&amp;".IB","LastPrice"), 0),IFERROR(RTD("wdf.rtq",,L$3&amp;$C8&amp;".FX","LastPrice"),0))</f>
        <v>0.4743</v>
      </c>
      <c r="Z24" s="7">
        <f>MAX(IFERROR(RTD("wdf.rtq",,M$3&amp;$C8&amp;".IB","LastPrice"), 0),IFERROR(RTD("wdf.rtq",,M$3&amp;$C8&amp;".FX","LastPrice"),0))</f>
        <v>0.10250000000000001</v>
      </c>
    </row>
    <row r="25" spans="2:26" x14ac:dyDescent="0.25">
      <c r="B25" s="2"/>
      <c r="C25" s="2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2"/>
      <c r="Q25" s="7">
        <f>MAX(IFERROR(RTD("wdf.rtq",,D$3&amp;$C9&amp;".IB","LastPrice"), 0),IFERROR(RTD("wdf.rtq",,D$3&amp;$C9&amp;".FX","LastPrice"),0))</f>
        <v>0.91050999999999993</v>
      </c>
      <c r="R25" s="7">
        <f>MAX(IFERROR(RTD("wdf.rtq",,E$3&amp;$C9&amp;".IB","LastPrice"), 0),IFERROR(RTD("wdf.rtq",,E$3&amp;$C9&amp;".FX","LastPrice"),0))</f>
        <v>0.96790000000000009</v>
      </c>
      <c r="S25" s="7">
        <f>1/V22</f>
        <v>0.12578141705344451</v>
      </c>
      <c r="T25" s="7">
        <f>MAX(IFERROR(RTD("wdf.rtq",,G$3&amp;$C9&amp;".IB","LastPrice"), 0),IFERROR(RTD("wdf.rtq",,G$3&amp;$C9&amp;".FX","LastPrice"),0))</f>
        <v>0.58900000000000008</v>
      </c>
      <c r="U25" s="7">
        <f>MAX(IFERROR(RTD("wdf.rtq",,H$3&amp;$C9&amp;".IB","LastPrice"), 0),IFERROR(RTD("wdf.rtq",,H$3&amp;$C9&amp;".FX","LastPrice"),0))</f>
        <v>1.1336000000000002</v>
      </c>
      <c r="V25" s="7">
        <f>MAX(IFERROR(RTD("wdf.rtq",,I$3&amp;$C9&amp;".IB","LastPrice"), 0),IFERROR(RTD("wdf.rtq",,I$3&amp;$C9&amp;".FX","LastPrice"),0))</f>
        <v>0</v>
      </c>
      <c r="W25" s="7">
        <f>MAX(IFERROR(RTD("wdf.rtq",,J$3&amp;$C9&amp;".IB","LastPrice"), 0),IFERROR(RTD("wdf.rtq",,J$3&amp;$C9&amp;".FX","LastPrice"),0))</f>
        <v>0.65910000000000002</v>
      </c>
      <c r="X25" s="7">
        <f>MAX(IFERROR(RTD("wdf.rtq",,K$3&amp;$C9&amp;".IB","LastPrice"), 0),IFERROR(RTD("wdf.rtq",,K$3&amp;$C9&amp;".FX","LastPrice"),0))</f>
        <v>0.58430000000000004</v>
      </c>
      <c r="Y25" s="7">
        <f>MAX(IFERROR(RTD("wdf.rtq",,L$3&amp;$C9&amp;".IB","LastPrice"), 0),IFERROR(RTD("wdf.rtq",,L$3&amp;$C9&amp;".FX","LastPrice"),0))</f>
        <v>0.53770000000000007</v>
      </c>
      <c r="Z25" s="7">
        <f>MAX(IFERROR(RTD("wdf.rtq",,M$3&amp;$C9&amp;".IB","LastPrice"), 0),IFERROR(RTD("wdf.rtq",,M$3&amp;$C9&amp;".FX","LastPrice"),0))</f>
        <v>0.11620000000000001</v>
      </c>
    </row>
    <row r="26" spans="2:26" x14ac:dyDescent="0.25">
      <c r="B26" s="2"/>
      <c r="C26" s="2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2"/>
      <c r="Q26" s="7">
        <f>MAX(IFERROR(RTD("wdf.rtq",,D$3&amp;$C10&amp;".IB","LastPrice"), 0),IFERROR(RTD("wdf.rtq",,D$3&amp;$C10&amp;".FX","LastPrice"),0))</f>
        <v>1.3814</v>
      </c>
      <c r="R26" s="7">
        <f>MAX(IFERROR(RTD("wdf.rtq",,E$3&amp;$C10&amp;".IB","LastPrice"), 0),IFERROR(RTD("wdf.rtq",,E$3&amp;$C10&amp;".FX","LastPrice"),0))</f>
        <v>1.4686000000000001</v>
      </c>
      <c r="S26" s="7">
        <f>1/W22</f>
        <v>0.1908469788923241</v>
      </c>
      <c r="T26" s="7">
        <f>MAX(IFERROR(RTD("wdf.rtq",,G$3&amp;$C10&amp;".IB","LastPrice"), 0),IFERROR(RTD("wdf.rtq",,G$3&amp;$C10&amp;".FX","LastPrice"),0))</f>
        <v>0.89370000000000005</v>
      </c>
      <c r="U26" s="7">
        <f>MAX(IFERROR(RTD("wdf.rtq",,H$3&amp;$C10&amp;".IB","LastPrice"), 0),IFERROR(RTD("wdf.rtq",,H$3&amp;$C10&amp;".FX","LastPrice"),0))</f>
        <v>1.72</v>
      </c>
      <c r="V26" s="7">
        <f>MAX(IFERROR(RTD("wdf.rtq",,I$3&amp;$C10&amp;".IB","LastPrice"), 0),IFERROR(RTD("wdf.rtq",,I$3&amp;$C10&amp;".FX","LastPrice"),0))</f>
        <v>1.5172000000000001</v>
      </c>
      <c r="W26" s="7">
        <f>MAX(IFERROR(RTD("wdf.rtq",,J$3&amp;$C10&amp;".IB","LastPrice"), 0),IFERROR(RTD("wdf.rtq",,J$3&amp;$C10&amp;".FX","LastPrice"),0))</f>
        <v>0</v>
      </c>
      <c r="X26" s="7">
        <f>MAX(IFERROR(RTD("wdf.rtq",,K$3&amp;$C10&amp;".IB","LastPrice"), 0),IFERROR(RTD("wdf.rtq",,K$3&amp;$C10&amp;".FX","LastPrice"),0))</f>
        <v>0.88660000000000005</v>
      </c>
      <c r="Y26" s="7">
        <f>MAX(IFERROR(RTD("wdf.rtq",,L$3&amp;$C10&amp;".IB","LastPrice"), 0),IFERROR(RTD("wdf.rtq",,L$3&amp;$C10&amp;".FX","LastPrice"),0))</f>
        <v>0.81580000000000008</v>
      </c>
      <c r="Z26" s="7">
        <f>MAX(IFERROR(RTD("wdf.rtq",,M$3&amp;$C10&amp;".IB","LastPrice"), 0),IFERROR(RTD("wdf.rtq",,M$3&amp;$C10&amp;".FX","LastPrice"),0))</f>
        <v>0.1764</v>
      </c>
    </row>
    <row r="27" spans="2:26" x14ac:dyDescent="0.25">
      <c r="B27" s="2"/>
      <c r="C27" s="2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2"/>
      <c r="Q27" s="7">
        <f>1/X20</f>
        <v>1.5580692405970522</v>
      </c>
      <c r="R27" s="7">
        <f>MAX(IFERROR(RTD("wdf.rtq",,E$3&amp;$C11&amp;".IB","LastPrice"), 0),IFERROR(RTD("wdf.rtq",,E$3&amp;$C11&amp;".FX","LastPrice"),0))</f>
        <v>1.6565000000000001</v>
      </c>
      <c r="S27" s="7">
        <f>1/X22</f>
        <v>0.21526208158432891</v>
      </c>
      <c r="T27" s="7">
        <f>MAX(IFERROR(RTD("wdf.rtq",,G$3&amp;$C11&amp;".IB","LastPrice"), 0),IFERROR(RTD("wdf.rtq",,G$3&amp;$C11&amp;".FX","LastPrice"),0))</f>
        <v>1.0079</v>
      </c>
      <c r="U27" s="7">
        <f>MAX(IFERROR(RTD("wdf.rtq",,H$3&amp;$C11&amp;".IB","LastPrice"), 0),IFERROR(RTD("wdf.rtq",,H$3&amp;$C11&amp;".FX","LastPrice"),0))</f>
        <v>1.9401000000000002</v>
      </c>
      <c r="V27" s="7">
        <f>MAX(IFERROR(RTD("wdf.rtq",,I$3&amp;$C11&amp;".IB","LastPrice"), 0),IFERROR(RTD("wdf.rtq",,I$3&amp;$C11&amp;".FX","LastPrice"),0))</f>
        <v>1.7114</v>
      </c>
      <c r="W27" s="7">
        <f>MAX(IFERROR(RTD("wdf.rtq",,J$3&amp;$C11&amp;".IB","LastPrice"), 0),IFERROR(RTD("wdf.rtq",,J$3&amp;$C11&amp;".FX","LastPrice"),0))</f>
        <v>1.1280000000000001</v>
      </c>
      <c r="X27" s="7">
        <f>MAX(IFERROR(RTD("wdf.rtq",,K$3&amp;$C11&amp;".IB","LastPrice"), 0),IFERROR(RTD("wdf.rtq",,K$3&amp;$C11&amp;".FX","LastPrice"),0))</f>
        <v>0</v>
      </c>
      <c r="Y27" s="7">
        <f>MAX(IFERROR(RTD("wdf.rtq",,L$3&amp;$C11&amp;".IB","LastPrice"), 0),IFERROR(RTD("wdf.rtq",,L$3&amp;$C11&amp;".FX","LastPrice"),0))</f>
        <v>0.92020000000000002</v>
      </c>
      <c r="Z27" s="7">
        <f>1/X29</f>
        <v>0.19894163052560379</v>
      </c>
    </row>
    <row r="28" spans="2:26" x14ac:dyDescent="0.25">
      <c r="B28" s="2"/>
      <c r="C28" s="2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2"/>
      <c r="Q28" s="7">
        <f>1/Y20</f>
        <v>1.6931933626820181</v>
      </c>
      <c r="R28" s="7">
        <f>MAX(IFERROR(RTD("wdf.rtq",,E$3&amp;$C12&amp;".IB","LastPrice"), 0),IFERROR(RTD("wdf.rtq",,E$3&amp;$C12&amp;".FX","LastPrice"),0))</f>
        <v>1.8002</v>
      </c>
      <c r="S28" s="7">
        <f>1/Y22</f>
        <v>0.23394001777944132</v>
      </c>
      <c r="T28" s="7">
        <f>MAX(IFERROR(RTD("wdf.rtq",,G$3&amp;$C12&amp;".IB","LastPrice"), 0),IFERROR(RTD("wdf.rtq",,G$3&amp;$C12&amp;".FX","LastPrice"),0))</f>
        <v>1.0954000000000002</v>
      </c>
      <c r="U28" s="7">
        <f>MAX(IFERROR(RTD("wdf.rtq",,H$3&amp;$C12&amp;".IB","LastPrice"), 0),IFERROR(RTD("wdf.rtq",,H$3&amp;$C12&amp;".FX","LastPrice"),0))</f>
        <v>2.1084000000000001</v>
      </c>
      <c r="V28" s="7">
        <f>MAX(IFERROR(RTD("wdf.rtq",,I$3&amp;$C12&amp;".IB","LastPrice"), 0),IFERROR(RTD("wdf.rtq",,I$3&amp;$C12&amp;".FX","LastPrice"),0))</f>
        <v>1.8598000000000001</v>
      </c>
      <c r="W28" s="7">
        <f>MAX(IFERROR(RTD("wdf.rtq",,J$3&amp;$C12&amp;".IB","LastPrice"), 0),IFERROR(RTD("wdf.rtq",,J$3&amp;$C12&amp;".FX","LastPrice"),0))</f>
        <v>1.2258</v>
      </c>
      <c r="X28" s="7">
        <f>MAX(IFERROR(RTD("wdf.rtq",,K$3&amp;$C12&amp;".IB","LastPrice"), 0),IFERROR(RTD("wdf.rtq",,K$3&amp;$C12&amp;".FX","LastPrice"),0))</f>
        <v>1.0865</v>
      </c>
      <c r="Y28" s="7">
        <f>MAX(IFERROR(RTD("wdf.rtq",,L$3&amp;$C12&amp;".IB","LastPrice"), 0),IFERROR(RTD("wdf.rtq",,L$3&amp;$C12&amp;".FX","LastPrice"),0))</f>
        <v>0</v>
      </c>
      <c r="Z28" s="7">
        <f>MAX(IFERROR(RTD("wdf.rtq",,M$3&amp;$C12&amp;".IB","LastPrice"), 0),IFERROR(RTD("wdf.rtq",,M$3&amp;$C12&amp;".FX","LastPrice"),0))</f>
        <v>0.2162</v>
      </c>
    </row>
    <row r="29" spans="2:26" x14ac:dyDescent="0.25">
      <c r="Q29" s="7">
        <f>MAX(IFERROR(RTD("wdf.rtq",,D$3&amp;$C13&amp;".IB","LastPrice"), 0),IFERROR(RTD("wdf.rtq",,D$3&amp;$C13&amp;".FX","LastPrice"),0))</f>
        <v>7.8321000000000005</v>
      </c>
      <c r="R29" s="7">
        <f>MAX(IFERROR(RTD("wdf.rtq",,E$3&amp;$C13&amp;".IB","LastPrice"), 0),IFERROR(RTD("wdf.rtq",,E$3&amp;$C13&amp;".FX","LastPrice"),0))</f>
        <v>8.3265000000000011</v>
      </c>
      <c r="S29" s="7">
        <f>1/Z22</f>
        <v>1.0819934647594729</v>
      </c>
      <c r="T29" s="7">
        <f>MAX(IFERROR(RTD("wdf.rtq",,G$3&amp;$C13&amp;".IB","LastPrice"), 0),IFERROR(RTD("wdf.rtq",,G$3&amp;$C13&amp;".FX","LastPrice"),0))</f>
        <v>5.0668000000000006</v>
      </c>
      <c r="U29" s="7">
        <f>MAX(IFERROR(RTD("wdf.rtq",,H$3&amp;$C13&amp;".IB","LastPrice"), 0),IFERROR(RTD("wdf.rtq",,H$3&amp;$C13&amp;".FX","LastPrice"),0))</f>
        <v>9.7520000000000007</v>
      </c>
      <c r="V29" s="7">
        <f>MAX(IFERROR(RTD("wdf.rtq",,I$3&amp;$C13&amp;".IB","LastPrice"), 0),IFERROR(RTD("wdf.rtq",,I$3&amp;$C13&amp;".FX","LastPrice"),0))</f>
        <v>8.6022999999999996</v>
      </c>
      <c r="W29" s="7">
        <f>MAX(IFERROR(RTD("wdf.rtq",,J$3&amp;$C13&amp;".IB","LastPrice"), 0),IFERROR(RTD("wdf.rtq",,J$3&amp;$C13&amp;".FX","LastPrice"),0))</f>
        <v>5.6697000000000006</v>
      </c>
      <c r="X29" s="7">
        <f>MAX(IFERROR(RTD("wdf.rtq",,K$3&amp;$C13&amp;".IB","LastPrice"), 0),IFERROR(RTD("wdf.rtq",,K$3&amp;$C13&amp;".FX","LastPrice"),0))</f>
        <v>5.0266000000000002</v>
      </c>
      <c r="Y29" s="7">
        <f>MAX(IFERROR(RTD("wdf.rtq",,L$3&amp;$C13&amp;".IB","LastPrice"), 0),IFERROR(RTD("wdf.rtq",,L$3&amp;$C13&amp;".FX","LastPrice"),0))</f>
        <v>4.6255000000000006</v>
      </c>
      <c r="Z29" s="7">
        <f>MAX(IFERROR(RTD("wdf.rtq",,M$3&amp;$C13&amp;".IB","LastPrice"), 0),IFERROR(RTD("wdf.rtq",,M$3&amp;$C13&amp;".FX","LastPrice"),0))</f>
        <v>0</v>
      </c>
    </row>
  </sheetData>
  <mergeCells count="1">
    <mergeCell ref="D1:L1"/>
  </mergeCells>
  <phoneticPr fontId="1" type="noConversion"/>
  <conditionalFormatting sqref="D4:M1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:M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ignoredErrors>
    <ignoredError sqref="S20:S21 S24:S25 S26:S29 Q21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C7" sqref="C7"/>
    </sheetView>
  </sheetViews>
  <sheetFormatPr defaultRowHeight="14.25" x14ac:dyDescent="0.2"/>
  <sheetData>
    <row r="1" spans="1:1" x14ac:dyDescent="0.2">
      <c r="A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实时汇率矩阵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2024-04-17T07:46:42Z</dcterms:modified>
</cp:coreProperties>
</file>