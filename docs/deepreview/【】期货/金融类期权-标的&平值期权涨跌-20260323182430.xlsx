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-120" yWindow="-120" windowWidth="29040" windowHeight="15840"/>
  </bookViews>
  <sheets>
    <sheet name="标的行情" sheetId="1" r:id="rId1"/>
    <sheet name="平值期权行情" sheetId="2" r:id="rId2"/>
    <sheet name="Wind模板" sheetId="3" state="very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" i="2" l="1"/>
  <c r="L1" i="1"/>
  <c r="K3" i="2"/>
  <c r="D3" i="1"/>
  <c r="J3" i="1" s="1"/>
  <c r="L3" i="2"/>
  <c r="H35" i="2"/>
  <c r="I35" i="2"/>
  <c r="J35" i="2"/>
  <c r="E13" i="1"/>
  <c r="K35" i="2"/>
  <c r="E34" i="2"/>
  <c r="E14" i="1"/>
  <c r="L35" i="2"/>
  <c r="E35" i="2"/>
  <c r="H34" i="2"/>
  <c r="J14" i="1"/>
  <c r="J13" i="1"/>
  <c r="K34" i="2"/>
  <c r="L34" i="2"/>
  <c r="I34" i="2"/>
  <c r="J34" i="2"/>
  <c r="I3" i="1"/>
  <c r="H3" i="1"/>
  <c r="I14" i="1"/>
  <c r="I13" i="1"/>
  <c r="H14" i="1"/>
  <c r="H13" i="1"/>
  <c r="K3" i="1"/>
  <c r="G3" i="1"/>
  <c r="K14" i="1"/>
  <c r="K13" i="1"/>
  <c r="G14" i="1"/>
  <c r="G13" i="1"/>
  <c r="L2" i="1" l="1"/>
  <c r="L3" i="1"/>
  <c r="H10" i="2"/>
  <c r="L13" i="1"/>
  <c r="L14" i="1"/>
  <c r="E3" i="1" l="1"/>
  <c r="F3" i="1" s="1"/>
  <c r="H31" i="2"/>
  <c r="E20" i="2"/>
  <c r="H17" i="2"/>
  <c r="E10" i="1"/>
  <c r="E44" i="2"/>
  <c r="E43" i="2"/>
  <c r="F22" i="1"/>
  <c r="J10" i="2"/>
  <c r="E32" i="2"/>
  <c r="H16" i="2"/>
  <c r="E40" i="2"/>
  <c r="H12" i="2"/>
  <c r="F19" i="1"/>
  <c r="H44" i="2"/>
  <c r="E12" i="1"/>
  <c r="F18" i="1"/>
  <c r="H19" i="2"/>
  <c r="F11" i="1"/>
  <c r="F16" i="1"/>
  <c r="H20" i="2"/>
  <c r="E15" i="2"/>
  <c r="F17" i="1"/>
  <c r="E38" i="2"/>
  <c r="E31" i="2"/>
  <c r="E39" i="2"/>
  <c r="E16" i="2"/>
  <c r="E22" i="1"/>
  <c r="K10" i="2"/>
  <c r="F10" i="1"/>
  <c r="H14" i="2"/>
  <c r="F12" i="1"/>
  <c r="H21" i="2"/>
  <c r="F13" i="1"/>
  <c r="E12" i="2"/>
  <c r="E37" i="2"/>
  <c r="E17" i="1"/>
  <c r="H11" i="2"/>
  <c r="H33" i="2"/>
  <c r="E11" i="2"/>
  <c r="H39" i="2"/>
  <c r="I10" i="2"/>
  <c r="E21" i="2"/>
  <c r="H38" i="2"/>
  <c r="J33" i="2"/>
  <c r="E33" i="2"/>
  <c r="F21" i="1"/>
  <c r="E42" i="2"/>
  <c r="H37" i="2"/>
  <c r="H15" i="2"/>
  <c r="F14" i="1"/>
  <c r="E23" i="1"/>
  <c r="H42" i="2"/>
  <c r="F23" i="1"/>
  <c r="E21" i="1"/>
  <c r="E10" i="2"/>
  <c r="H32" i="2"/>
  <c r="E18" i="1"/>
  <c r="E14" i="2"/>
  <c r="E17" i="2"/>
  <c r="E11" i="1"/>
  <c r="H43" i="2"/>
  <c r="H40" i="2"/>
  <c r="J21" i="2"/>
  <c r="E19" i="2"/>
  <c r="E16" i="1"/>
  <c r="E19" i="1"/>
  <c r="E3" i="2" l="1"/>
  <c r="F3" i="2" s="1"/>
  <c r="K33" i="2"/>
  <c r="F12" i="2"/>
  <c r="K43" i="2"/>
  <c r="J32" i="2"/>
  <c r="F15" i="2"/>
  <c r="J19" i="2"/>
  <c r="F33" i="2"/>
  <c r="G21" i="1"/>
  <c r="L19" i="2"/>
  <c r="J44" i="2"/>
  <c r="J18" i="1"/>
  <c r="L19" i="1"/>
  <c r="L10" i="2"/>
  <c r="F39" i="2"/>
  <c r="G12" i="1"/>
  <c r="I31" i="2"/>
  <c r="J37" i="2"/>
  <c r="J38" i="2"/>
  <c r="F43" i="2"/>
  <c r="K17" i="1"/>
  <c r="K21" i="2"/>
  <c r="L15" i="2"/>
  <c r="K21" i="1"/>
  <c r="H22" i="1"/>
  <c r="I12" i="2"/>
  <c r="F44" i="2"/>
  <c r="G18" i="1"/>
  <c r="F17" i="2"/>
  <c r="G16" i="1"/>
  <c r="F10" i="2"/>
  <c r="I33" i="2"/>
  <c r="L23" i="1"/>
  <c r="K16" i="1"/>
  <c r="L42" i="2"/>
  <c r="H17" i="1"/>
  <c r="J40" i="2"/>
  <c r="K39" i="2"/>
  <c r="I21" i="1"/>
  <c r="I19" i="2"/>
  <c r="K10" i="1"/>
  <c r="F31" i="2"/>
  <c r="L11" i="2"/>
  <c r="K38" i="2"/>
  <c r="G17" i="1"/>
  <c r="I12" i="1"/>
  <c r="J10" i="1"/>
  <c r="K17" i="2"/>
  <c r="K44" i="2"/>
  <c r="L17" i="2"/>
  <c r="L44" i="2"/>
  <c r="I21" i="2"/>
  <c r="L21" i="2"/>
  <c r="K31" i="2"/>
  <c r="K14" i="2"/>
  <c r="K42" i="2"/>
  <c r="L37" i="2"/>
  <c r="L21" i="1"/>
  <c r="K11" i="1"/>
  <c r="K12" i="2"/>
  <c r="J15" i="2"/>
  <c r="J11" i="1"/>
  <c r="L43" i="2"/>
  <c r="J31" i="2"/>
  <c r="L38" i="2"/>
  <c r="H23" i="1"/>
  <c r="I44" i="2"/>
  <c r="I38" i="2"/>
  <c r="J39" i="2"/>
  <c r="K20" i="2"/>
  <c r="I37" i="2"/>
  <c r="K40" i="2"/>
  <c r="J19" i="1"/>
  <c r="L32" i="2"/>
  <c r="J43" i="2"/>
  <c r="G23" i="1"/>
  <c r="I17" i="2"/>
  <c r="I18" i="1"/>
  <c r="I10" i="1"/>
  <c r="F20" i="2"/>
  <c r="K19" i="1"/>
  <c r="J16" i="1"/>
  <c r="L18" i="1"/>
  <c r="L20" i="2"/>
  <c r="F14" i="2"/>
  <c r="F37" i="2"/>
  <c r="I43" i="2"/>
  <c r="G10" i="1"/>
  <c r="J17" i="2"/>
  <c r="H11" i="1"/>
  <c r="F38" i="2"/>
  <c r="I16" i="2"/>
  <c r="L12" i="1"/>
  <c r="I40" i="2"/>
  <c r="J42" i="2"/>
  <c r="G22" i="1"/>
  <c r="J11" i="2"/>
  <c r="I16" i="1"/>
  <c r="L14" i="2"/>
  <c r="I19" i="1"/>
  <c r="L22" i="1"/>
  <c r="J21" i="1"/>
  <c r="L11" i="1"/>
  <c r="J17" i="1"/>
  <c r="I17" i="1"/>
  <c r="F35" i="2"/>
  <c r="F19" i="2"/>
  <c r="K23" i="1"/>
  <c r="K11" i="2"/>
  <c r="G11" i="1"/>
  <c r="K22" i="1"/>
  <c r="L12" i="2"/>
  <c r="J22" i="1"/>
  <c r="H18" i="1"/>
  <c r="J23" i="1"/>
  <c r="K37" i="2"/>
  <c r="I11" i="1"/>
  <c r="F32" i="2"/>
  <c r="L39" i="2"/>
  <c r="K19" i="2"/>
  <c r="L31" i="2"/>
  <c r="F11" i="2"/>
  <c r="J14" i="2"/>
  <c r="L16" i="2"/>
  <c r="I32" i="2"/>
  <c r="I23" i="1"/>
  <c r="K16" i="2"/>
  <c r="I39" i="2"/>
  <c r="H10" i="1"/>
  <c r="I20" i="2"/>
  <c r="L33" i="2"/>
  <c r="I42" i="2"/>
  <c r="H19" i="1"/>
  <c r="K32" i="2"/>
  <c r="F40" i="2"/>
  <c r="J20" i="2"/>
  <c r="K18" i="1"/>
  <c r="K15" i="2"/>
  <c r="F42" i="2"/>
  <c r="H12" i="1"/>
  <c r="I14" i="2"/>
  <c r="J12" i="2"/>
  <c r="H21" i="1"/>
  <c r="L10" i="1"/>
  <c r="I15" i="2"/>
  <c r="J12" i="1"/>
  <c r="H16" i="1"/>
  <c r="F21" i="2"/>
  <c r="I11" i="2"/>
  <c r="L40" i="2"/>
  <c r="F16" i="2"/>
  <c r="L16" i="1"/>
  <c r="F34" i="2"/>
  <c r="L17" i="1"/>
  <c r="G19" i="1"/>
  <c r="J16" i="2"/>
  <c r="K12" i="1"/>
  <c r="I22" i="1"/>
</calcChain>
</file>

<file path=xl/comments1.xml><?xml version="1.0" encoding="utf-8"?>
<comments xmlns="http://schemas.openxmlformats.org/spreadsheetml/2006/main">
  <authors>
    <author>Zhai Shuai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输入日期格式：
yyyy-mm-dd</t>
        </r>
      </text>
    </comment>
  </commentList>
</comments>
</file>

<file path=xl/comments2.xml><?xml version="1.0" encoding="utf-8"?>
<comments xmlns="http://schemas.openxmlformats.org/spreadsheetml/2006/main">
  <authors>
    <author>Zhai Shuai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输入日期格式：
yyyy-mm-dd</t>
        </r>
      </text>
    </comment>
    <comment ref="G8" authorId="0" shapeId="0">
      <text>
        <r>
          <rPr>
            <b/>
            <sz val="9"/>
            <color indexed="81"/>
            <rFont val="宋体"/>
            <family val="3"/>
            <charset val="134"/>
          </rPr>
          <t>输入平值期权交割月份：如2023年3月就输入202303</t>
        </r>
      </text>
    </comment>
    <comment ref="G29" authorId="0" shapeId="0">
      <text>
        <r>
          <rPr>
            <b/>
            <sz val="9"/>
            <color indexed="81"/>
            <rFont val="宋体"/>
            <family val="3"/>
            <charset val="134"/>
          </rPr>
          <t>输入平值期权交割月份：如2023年3月就输入202303</t>
        </r>
      </text>
    </comment>
  </commentList>
</comments>
</file>

<file path=xl/sharedStrings.xml><?xml version="1.0" encoding="utf-8"?>
<sst xmlns="http://schemas.openxmlformats.org/spreadsheetml/2006/main" count="117" uniqueCount="52">
  <si>
    <t>标的名称</t>
    <phoneticPr fontId="3" type="noConversion"/>
  </si>
  <si>
    <t>当日收盘价</t>
    <phoneticPr fontId="1" type="noConversion"/>
  </si>
  <si>
    <t>上证50ETF</t>
  </si>
  <si>
    <t>沪深300ETF</t>
  </si>
  <si>
    <t>中证500ETF</t>
  </si>
  <si>
    <t>创业板ETF</t>
  </si>
  <si>
    <t>深证100ETF</t>
  </si>
  <si>
    <t>沪深300</t>
  </si>
  <si>
    <t>中证1000</t>
  </si>
  <si>
    <t>上证50</t>
  </si>
  <si>
    <t>上交所</t>
    <phoneticPr fontId="1" type="noConversion"/>
  </si>
  <si>
    <t>沪300ETF</t>
    <phoneticPr fontId="1" type="noConversion"/>
  </si>
  <si>
    <t>沪500ETF</t>
    <phoneticPr fontId="1" type="noConversion"/>
  </si>
  <si>
    <t>深交所</t>
    <phoneticPr fontId="1" type="noConversion"/>
  </si>
  <si>
    <t>中金所</t>
    <phoneticPr fontId="1" type="noConversion"/>
  </si>
  <si>
    <t>510050.SH</t>
  </si>
  <si>
    <t>510300.SH</t>
  </si>
  <si>
    <t>510500.SH</t>
  </si>
  <si>
    <t>159919.SZ</t>
  </si>
  <si>
    <t>159922.SZ</t>
  </si>
  <si>
    <t>159915.SZ</t>
  </si>
  <si>
    <t>159901.SZ</t>
  </si>
  <si>
    <t>000300.SH</t>
  </si>
  <si>
    <t>000852.SH</t>
  </si>
  <si>
    <t>000016.SH</t>
  </si>
  <si>
    <t>日期</t>
    <phoneticPr fontId="3" type="noConversion"/>
  </si>
  <si>
    <t>标的涨跌幅</t>
    <phoneticPr fontId="3" type="noConversion"/>
  </si>
  <si>
    <t>金融类期权 - 标的行情</t>
    <phoneticPr fontId="3" type="noConversion"/>
  </si>
  <si>
    <t>交割月份</t>
    <phoneticPr fontId="1" type="noConversion"/>
  </si>
  <si>
    <t>标的代码</t>
    <phoneticPr fontId="1" type="noConversion"/>
  </si>
  <si>
    <t>平值认购期权涨跌幅</t>
    <phoneticPr fontId="3" type="noConversion"/>
  </si>
  <si>
    <t>金融类期权 - 平值期权行情</t>
    <phoneticPr fontId="3" type="noConversion"/>
  </si>
  <si>
    <t>平值认沽期权涨跌幅</t>
    <phoneticPr fontId="3" type="noConversion"/>
  </si>
  <si>
    <t>1周涨跌幅(%)</t>
    <phoneticPr fontId="1" type="noConversion"/>
  </si>
  <si>
    <t>1月涨跌幅(%)</t>
    <phoneticPr fontId="1" type="noConversion"/>
  </si>
  <si>
    <t>3月涨跌幅(%)</t>
    <phoneticPr fontId="1" type="noConversion"/>
  </si>
  <si>
    <t>半年涨跌幅(%)</t>
    <phoneticPr fontId="1" type="noConversion"/>
  </si>
  <si>
    <t>1年涨跌幅(%)</t>
    <phoneticPr fontId="1" type="noConversion"/>
  </si>
  <si>
    <t>年初至今(%)</t>
    <phoneticPr fontId="1" type="noConversion"/>
  </si>
  <si>
    <t>行权价</t>
    <phoneticPr fontId="1" type="noConversion"/>
  </si>
  <si>
    <t>周涨跌幅(%)</t>
    <phoneticPr fontId="1" type="noConversion"/>
  </si>
  <si>
    <t>月涨跌幅(%)</t>
    <phoneticPr fontId="1" type="noConversion"/>
  </si>
  <si>
    <t>平值认购期权代码</t>
    <phoneticPr fontId="1" type="noConversion"/>
  </si>
  <si>
    <t>当日涨跌幅(%)</t>
    <phoneticPr fontId="1" type="noConversion"/>
  </si>
  <si>
    <t>当日涨跌幅(%)</t>
    <phoneticPr fontId="1" type="noConversion"/>
  </si>
  <si>
    <t>平值认沽期权代码</t>
    <phoneticPr fontId="1" type="noConversion"/>
  </si>
  <si>
    <t>最近更新：</t>
    <phoneticPr fontId="1" type="noConversion"/>
  </si>
  <si>
    <t>科创50ETF易方达</t>
    <phoneticPr fontId="1" type="noConversion"/>
  </si>
  <si>
    <t>588000.SH</t>
    <phoneticPr fontId="1" type="noConversion"/>
  </si>
  <si>
    <t>588080.SH</t>
    <phoneticPr fontId="1" type="noConversion"/>
  </si>
  <si>
    <t>科创50ETF</t>
    <phoneticPr fontId="1" type="noConversion"/>
  </si>
  <si>
    <t>金融类期权-标的&amp;平值期权涨跌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</si>
</sst>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_ "/>
    <numFmt numFmtId="178" formatCode="0.00_);[Red]\(0.00\)"/>
  </numFmts>
  <fonts count="1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 Unicode MS"/>
      <family val="2"/>
      <charset val="134"/>
    </font>
    <font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0"/>
      <color theme="1"/>
      <name val="Arial"/>
      <family val="2"/>
    </font>
    <font>
      <sz val="11"/>
      <color theme="6" tint="0.79998168889431442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2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5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8" fillId="4" borderId="0" xfId="0" applyFont="1" applyFill="1" applyAlignment="1"/>
    <xf numFmtId="0" fontId="8" fillId="6" borderId="0" xfId="0" applyFont="1" applyFill="1" applyAlignment="1"/>
    <xf numFmtId="176" fontId="9" fillId="7" borderId="0" xfId="0" applyNumberFormat="1" applyFont="1" applyFill="1" applyBorder="1" applyAlignment="1">
      <alignment horizontal="center"/>
    </xf>
    <xf numFmtId="0" fontId="9" fillId="6" borderId="0" xfId="0" applyFont="1" applyFill="1" applyAlignment="1"/>
    <xf numFmtId="0" fontId="9" fillId="4" borderId="0" xfId="0" applyFont="1" applyFill="1" applyAlignment="1"/>
    <xf numFmtId="0" fontId="10" fillId="4" borderId="0" xfId="0" applyFont="1" applyFill="1" applyAlignment="1"/>
    <xf numFmtId="177" fontId="9" fillId="6" borderId="0" xfId="0" applyNumberFormat="1" applyFont="1" applyFill="1" applyAlignment="1"/>
    <xf numFmtId="177" fontId="9" fillId="4" borderId="0" xfId="0" applyNumberFormat="1" applyFont="1" applyFill="1" applyAlignment="1"/>
    <xf numFmtId="0" fontId="11" fillId="3" borderId="0" xfId="0" applyFont="1" applyFill="1" applyAlignment="1"/>
    <xf numFmtId="0" fontId="9" fillId="6" borderId="0" xfId="0" applyNumberFormat="1" applyFont="1" applyFill="1" applyAlignment="1"/>
    <xf numFmtId="0" fontId="6" fillId="5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4" borderId="0" xfId="0" applyNumberFormat="1" applyFont="1" applyFill="1" applyAlignment="1"/>
    <xf numFmtId="0" fontId="6" fillId="8" borderId="0" xfId="0" applyFont="1" applyFill="1" applyAlignment="1"/>
    <xf numFmtId="0" fontId="9" fillId="7" borderId="0" xfId="0" applyNumberFormat="1" applyFont="1" applyFill="1" applyBorder="1" applyAlignment="1">
      <alignment horizontal="center"/>
    </xf>
    <xf numFmtId="178" fontId="9" fillId="6" borderId="0" xfId="0" applyNumberFormat="1" applyFont="1" applyFill="1" applyAlignment="1"/>
    <xf numFmtId="178" fontId="9" fillId="4" borderId="0" xfId="0" applyNumberFormat="1" applyFont="1" applyFill="1" applyAlignment="1"/>
    <xf numFmtId="0" fontId="6" fillId="4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4" borderId="0" xfId="0" applyFont="1" applyFill="1" applyAlignment="1"/>
    <xf numFmtId="0" fontId="6" fillId="6" borderId="0" xfId="0" applyFont="1" applyFill="1" applyAlignment="1"/>
    <xf numFmtId="0" fontId="8" fillId="6" borderId="0" xfId="0" applyNumberFormat="1" applyFont="1" applyFill="1" applyAlignment="1"/>
    <xf numFmtId="0" fontId="13" fillId="3" borderId="0" xfId="0" applyFont="1" applyFill="1" applyAlignment="1"/>
    <xf numFmtId="0" fontId="13" fillId="4" borderId="0" xfId="0" applyFont="1" applyFill="1" applyAlignment="1"/>
    <xf numFmtId="0" fontId="13" fillId="4" borderId="1" xfId="0" applyFont="1" applyFill="1" applyBorder="1" applyAlignment="1"/>
    <xf numFmtId="0" fontId="6" fillId="5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right" vertical="center"/>
    </xf>
    <xf numFmtId="0" fontId="0" fillId="3" borderId="0" xfId="0" applyFill="1" applyAlignment="1">
      <alignment horizontal="right"/>
    </xf>
    <xf numFmtId="0" fontId="11" fillId="3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1" xfId="0" applyFill="1" applyBorder="1" applyAlignment="1">
      <alignment horizontal="right"/>
    </xf>
    <xf numFmtId="0" fontId="7" fillId="4" borderId="0" xfId="0" applyFont="1" applyFill="1" applyAlignment="1">
      <alignment horizontal="right"/>
    </xf>
    <xf numFmtId="177" fontId="9" fillId="6" borderId="0" xfId="0" applyNumberFormat="1" applyFont="1" applyFill="1" applyAlignment="1">
      <alignment horizontal="right"/>
    </xf>
    <xf numFmtId="177" fontId="9" fillId="4" borderId="0" xfId="0" applyNumberFormat="1" applyFont="1" applyFill="1" applyAlignment="1">
      <alignment horizontal="right"/>
    </xf>
    <xf numFmtId="177" fontId="7" fillId="4" borderId="0" xfId="0" applyNumberFormat="1" applyFont="1" applyFill="1" applyAlignment="1">
      <alignment horizontal="right"/>
    </xf>
    <xf numFmtId="177" fontId="0" fillId="4" borderId="0" xfId="0" applyNumberFormat="1" applyFill="1" applyAlignment="1">
      <alignment horizontal="right"/>
    </xf>
    <xf numFmtId="177" fontId="7" fillId="6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0" fillId="0" borderId="0" xfId="0" applyAlignment="1">
      <alignment horizontal="right" vertical="center"/>
    </xf>
    <xf numFmtId="176" fontId="14" fillId="3" borderId="0" xfId="0" applyNumberFormat="1" applyFont="1" applyFill="1" applyAlignment="1">
      <alignment horizontal="right"/>
    </xf>
    <xf numFmtId="176" fontId="11" fillId="3" borderId="0" xfId="0" applyNumberFormat="1" applyFont="1" applyFill="1" applyAlignment="1">
      <alignment horizontal="right"/>
    </xf>
    <xf numFmtId="14" fontId="11" fillId="3" borderId="0" xfId="0" applyNumberFormat="1" applyFont="1" applyFill="1" applyAlignment="1"/>
    <xf numFmtId="14" fontId="4" fillId="2" borderId="0" xfId="0" applyNumberFormat="1" applyFont="1" applyFill="1" applyAlignment="1">
      <alignment horizontal="left" vertical="center"/>
    </xf>
    <xf numFmtId="176" fontId="9" fillId="7" borderId="0" xfId="0" applyNumberFormat="1" applyFont="1" applyFill="1" applyBorder="1" applyAlignment="1">
      <alignment horizontal="right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5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0093AD"/>
      <color rgb="FFC52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407127</xdr:colOff>
      <xdr:row>0</xdr:row>
      <xdr:rowOff>304800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07152" cy="219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95250</xdr:rowOff>
    </xdr:from>
    <xdr:to>
      <xdr:col>1</xdr:col>
      <xdr:colOff>273777</xdr:colOff>
      <xdr:row>0</xdr:row>
      <xdr:rowOff>314325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95250"/>
          <a:ext cx="607152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dq_close"/>
      <definedName name="i_dq_pctchange"/>
      <definedName name="i_pq_pctchange"/>
      <definedName name="s_info_atmcode"/>
      <definedName name="TDaysOffset"/>
      <definedName name="w_info_strikepric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27"/>
  <sheetViews>
    <sheetView showGridLines="0" tabSelected="1" workbookViewId="0">
      <pane ySplit="1" topLeftCell="A2" activePane="bottomLeft" state="frozen"/>
      <selection pane="bottomLeft" activeCell="C46" sqref="C46"/>
    </sheetView>
  </sheetViews>
  <sheetFormatPr defaultRowHeight="14.25"/>
  <cols>
    <col min="1" max="1" width="4.5" customWidth="1"/>
    <col min="2" max="2" width="5.75" customWidth="1"/>
    <col min="3" max="3" width="15.125" customWidth="1"/>
    <col min="4" max="4" width="15.5" customWidth="1"/>
    <col min="5" max="12" width="15.625" style="52" customWidth="1"/>
    <col min="13" max="13" width="5.25" customWidth="1"/>
  </cols>
  <sheetData>
    <row r="1" spans="1:14" ht="30.75" customHeight="1">
      <c r="A1" s="1"/>
      <c r="B1" s="1"/>
      <c r="C1" s="1"/>
      <c r="D1" s="2" t="s">
        <v>27</v>
      </c>
      <c r="E1" s="38"/>
      <c r="F1" s="38"/>
      <c r="G1" s="38"/>
      <c r="H1" s="38"/>
      <c r="I1" s="38"/>
      <c r="J1" s="38"/>
      <c r="K1" s="39" t="s">
        <v>46</v>
      </c>
      <c r="L1" s="56">
        <f ca="1">TODAY()</f>
        <v>45254</v>
      </c>
      <c r="M1" s="1"/>
      <c r="N1" s="1"/>
    </row>
    <row r="2" spans="1:14">
      <c r="A2" s="3"/>
      <c r="B2" s="3"/>
      <c r="C2" s="3"/>
      <c r="D2" s="3"/>
      <c r="E2" s="40"/>
      <c r="F2" s="40"/>
      <c r="G2" s="40"/>
      <c r="H2" s="40"/>
      <c r="I2" s="40"/>
      <c r="J2" s="40"/>
      <c r="K2" s="40"/>
      <c r="L2" s="55">
        <f ca="1">DATE(YEAR($D$3),1,1)</f>
        <v>44927</v>
      </c>
      <c r="M2" s="3"/>
      <c r="N2" s="3"/>
    </row>
    <row r="3" spans="1:14" ht="16.5">
      <c r="A3" s="3"/>
      <c r="B3" s="3"/>
      <c r="C3" s="23" t="s">
        <v>25</v>
      </c>
      <c r="D3" s="57">
        <f ca="1">[1]!TDaysOffset(TODAY()-1,"Offset=0")</f>
        <v>45253</v>
      </c>
      <c r="E3" s="41">
        <f ca="1">D3</f>
        <v>45253</v>
      </c>
      <c r="F3" s="41">
        <f ca="1">E3</f>
        <v>45253</v>
      </c>
      <c r="G3" s="53">
        <f ca="1">[1]!TDaysOffset($D$3,"Period=W","Offset=-1")</f>
        <v>45246</v>
      </c>
      <c r="H3" s="53">
        <f ca="1">[1]!TDaysOffset($D$3,"Period=M","Offset=-1")</f>
        <v>45222</v>
      </c>
      <c r="I3" s="53">
        <f ca="1">[1]!TDaysOffset($D$3,"Period=M","Offset=-3")</f>
        <v>45161</v>
      </c>
      <c r="J3" s="54">
        <f ca="1">[1]!TDaysOffset($D$3,"Period=S","Offset=-1")</f>
        <v>45069</v>
      </c>
      <c r="K3" s="54">
        <f ca="1">[1]!TDaysOffset($D$3,"Period=Y","Offset=-1")</f>
        <v>44888</v>
      </c>
      <c r="L3" s="53">
        <f ca="1">[1]!TDaysOffset(L2,"Offset=1")</f>
        <v>44929</v>
      </c>
      <c r="M3" s="3"/>
      <c r="N3" s="3"/>
    </row>
    <row r="4" spans="1:14">
      <c r="A4" s="3"/>
      <c r="B4" s="3"/>
      <c r="C4" s="3"/>
      <c r="D4" s="3"/>
      <c r="E4" s="40"/>
      <c r="F4" s="40"/>
      <c r="G4" s="40"/>
      <c r="H4" s="40"/>
      <c r="I4" s="40"/>
      <c r="J4" s="40"/>
      <c r="K4" s="40"/>
      <c r="L4" s="40"/>
      <c r="M4" s="3"/>
      <c r="N4" s="3"/>
    </row>
    <row r="5" spans="1:14">
      <c r="A5" s="3"/>
      <c r="B5" s="4"/>
      <c r="C5" s="4"/>
      <c r="D5" s="4"/>
      <c r="E5" s="42"/>
      <c r="F5" s="42"/>
      <c r="G5" s="42"/>
      <c r="H5" s="42"/>
      <c r="I5" s="42"/>
      <c r="J5" s="42"/>
      <c r="K5" s="42"/>
      <c r="L5" s="42"/>
      <c r="M5" s="4"/>
      <c r="N5" s="3"/>
    </row>
    <row r="6" spans="1:14" ht="17.25">
      <c r="A6" s="3"/>
      <c r="B6" s="4"/>
      <c r="C6" s="5" t="s">
        <v>26</v>
      </c>
      <c r="D6" s="6"/>
      <c r="E6" s="43"/>
      <c r="F6" s="43"/>
      <c r="G6" s="43"/>
      <c r="H6" s="43"/>
      <c r="I6" s="43"/>
      <c r="J6" s="43"/>
      <c r="K6" s="43"/>
      <c r="L6" s="43"/>
      <c r="M6" s="4"/>
      <c r="N6" s="3"/>
    </row>
    <row r="7" spans="1:14">
      <c r="A7" s="3"/>
      <c r="B7" s="4"/>
      <c r="C7" s="4"/>
      <c r="D7" s="4"/>
      <c r="E7" s="42"/>
      <c r="F7" s="42"/>
      <c r="G7" s="42"/>
      <c r="H7" s="42"/>
      <c r="I7" s="42"/>
      <c r="J7" s="42"/>
      <c r="K7" s="42"/>
      <c r="L7" s="42"/>
      <c r="M7" s="4"/>
      <c r="N7" s="3"/>
    </row>
    <row r="8" spans="1:14" ht="16.5">
      <c r="A8" s="3"/>
      <c r="B8" s="4"/>
      <c r="C8" s="17" t="s">
        <v>0</v>
      </c>
      <c r="D8" s="17" t="s">
        <v>29</v>
      </c>
      <c r="E8" s="37" t="s">
        <v>1</v>
      </c>
      <c r="F8" s="37" t="s">
        <v>43</v>
      </c>
      <c r="G8" s="37" t="s">
        <v>33</v>
      </c>
      <c r="H8" s="37" t="s">
        <v>34</v>
      </c>
      <c r="I8" s="37" t="s">
        <v>35</v>
      </c>
      <c r="J8" s="37" t="s">
        <v>36</v>
      </c>
      <c r="K8" s="37" t="s">
        <v>37</v>
      </c>
      <c r="L8" s="37" t="s">
        <v>38</v>
      </c>
      <c r="M8" s="4"/>
      <c r="N8" s="3"/>
    </row>
    <row r="9" spans="1:14" ht="16.5">
      <c r="A9" s="3"/>
      <c r="B9" s="4"/>
      <c r="C9" s="27" t="s">
        <v>10</v>
      </c>
      <c r="D9" s="18"/>
      <c r="E9" s="44"/>
      <c r="F9" s="44"/>
      <c r="G9" s="44"/>
      <c r="H9" s="44"/>
      <c r="I9" s="44"/>
      <c r="J9" s="44"/>
      <c r="K9" s="42"/>
      <c r="L9" s="42"/>
      <c r="M9" s="4"/>
      <c r="N9" s="3"/>
    </row>
    <row r="10" spans="1:14" ht="16.5">
      <c r="A10" s="3"/>
      <c r="B10" s="4"/>
      <c r="C10" s="28" t="s">
        <v>2</v>
      </c>
      <c r="D10" s="19" t="s">
        <v>15</v>
      </c>
      <c r="E10" s="45">
        <f ca="1">[1]!i_dq_close(D10,$D$3)</f>
        <v>2.48</v>
      </c>
      <c r="F10" s="45">
        <f ca="1">[1]!i_dq_pctchange(D10,$F$3)</f>
        <v>0.3642250101173572</v>
      </c>
      <c r="G10" s="45">
        <f ca="1">[1]!i_pq_pctchange($D10,G$3,$D$3)</f>
        <v>-0.91889732321215334</v>
      </c>
      <c r="H10" s="45">
        <f ca="1">[1]!i_pq_pctchange($D10,H$3,$D$3)</f>
        <v>0.81300813008129413</v>
      </c>
      <c r="I10" s="45">
        <f ca="1">[1]!i_pq_pctchange($D10,I$3,$D$3)</f>
        <v>-3.3891702376314781</v>
      </c>
      <c r="J10" s="45">
        <f ca="1">[1]!i_pq_pctchange($D10,J$3,$D$3)</f>
        <v>-6.7318540804813694</v>
      </c>
      <c r="K10" s="45">
        <f ca="1">[1]!i_pq_pctchange($D10,K$3,$D$3)</f>
        <v>-2.1329425320215534</v>
      </c>
      <c r="L10" s="45">
        <f ca="1">[1]!i_pq_pctchange($D10,L$3,$D$3)</f>
        <v>-6.3797659494148835</v>
      </c>
      <c r="M10" s="4"/>
      <c r="N10" s="3"/>
    </row>
    <row r="11" spans="1:14" ht="16.5">
      <c r="A11" s="3"/>
      <c r="B11" s="4"/>
      <c r="C11" s="29" t="s">
        <v>11</v>
      </c>
      <c r="D11" s="20" t="s">
        <v>16</v>
      </c>
      <c r="E11" s="46">
        <f ca="1">[1]!i_dq_close(D11,$D$3)</f>
        <v>3.63</v>
      </c>
      <c r="F11" s="46">
        <f ca="1">[1]!i_dq_pctchange(D11,$F$3)</f>
        <v>0.52617003600109891</v>
      </c>
      <c r="G11" s="46">
        <f ca="1">[1]!i_pq_pctchange($D11,G$3,$D$3)</f>
        <v>-1.2244897959183598</v>
      </c>
      <c r="H11" s="46">
        <f ca="1">[1]!i_pq_pctchange($D11,H$3,$D$3)</f>
        <v>1.3400335008375341</v>
      </c>
      <c r="I11" s="46">
        <f ca="1">[1]!i_pq_pctchange($D11,I$3,$D$3)</f>
        <v>-5.048391315720635</v>
      </c>
      <c r="J11" s="46">
        <f ca="1">[1]!i_pq_pctchange($D11,J$3,$D$3)</f>
        <v>-8.4258324924318835</v>
      </c>
      <c r="K11" s="46">
        <f ca="1">[1]!i_pq_pctchange($D11,K$3,$D$3)</f>
        <v>-3.7603624068684005</v>
      </c>
      <c r="L11" s="46">
        <f ca="1">[1]!i_pq_pctchange($D11,L$3,$D$3)</f>
        <v>-6.3753043120144293</v>
      </c>
      <c r="M11" s="4"/>
      <c r="N11" s="3"/>
    </row>
    <row r="12" spans="1:14" ht="16.5">
      <c r="A12" s="3"/>
      <c r="B12" s="4"/>
      <c r="C12" s="28" t="s">
        <v>12</v>
      </c>
      <c r="D12" s="19" t="s">
        <v>17</v>
      </c>
      <c r="E12" s="45">
        <f ca="1">[1]!i_dq_close(D12,$D$3)</f>
        <v>5.7190000000000003</v>
      </c>
      <c r="F12" s="45">
        <f ca="1">[1]!i_dq_pctchange(D12,$F$3)</f>
        <v>0.89978828510938869</v>
      </c>
      <c r="G12" s="45">
        <f ca="1">[1]!i_pq_pctchange($D12,G$3,$D$3)</f>
        <v>-0.79791847354726553</v>
      </c>
      <c r="H12" s="45">
        <f ca="1">[1]!i_pq_pctchange($D12,H$3,$D$3)</f>
        <v>3.5487959442332073</v>
      </c>
      <c r="I12" s="45">
        <f ca="1">[1]!i_pq_pctchange($D12,I$3,$D$3)</f>
        <v>-2.0383693045563533</v>
      </c>
      <c r="J12" s="45">
        <f ca="1">[1]!i_pq_pctchange($D12,J$3,$D$3)</f>
        <v>-6.9930069930069898</v>
      </c>
      <c r="K12" s="45">
        <f ca="1">[1]!i_pq_pctchange($D12,K$3,$D$3)</f>
        <v>-6.8566775244299656</v>
      </c>
      <c r="L12" s="45">
        <f ca="1">[1]!i_pq_pctchange($D12,L$3,$D$3)</f>
        <v>-2.8537455410225787</v>
      </c>
      <c r="M12" s="4"/>
      <c r="N12" s="3"/>
    </row>
    <row r="13" spans="1:14" ht="16.5">
      <c r="A13" s="3"/>
      <c r="B13" s="4"/>
      <c r="C13" s="29" t="s">
        <v>50</v>
      </c>
      <c r="D13" s="20" t="s">
        <v>48</v>
      </c>
      <c r="E13" s="46">
        <f ca="1">[1]!i_dq_close(D13,$D$3)</f>
        <v>0.91800000000000004</v>
      </c>
      <c r="F13" s="46">
        <f ca="1">[1]!i_dq_pctchange(D13,$F$3)</f>
        <v>0.54764512595837944</v>
      </c>
      <c r="G13" s="46">
        <f ca="1">[1]!i_pq_pctchange($D13,G$3,$D$3)</f>
        <v>-2.547770700636931</v>
      </c>
      <c r="H13" s="46">
        <f ca="1">[1]!i_pq_pctchange($D13,H$3,$D$3)</f>
        <v>1.5486725663716783</v>
      </c>
      <c r="I13" s="46">
        <f ca="1">[1]!i_pq_pctchange($D13,I$3,$D$3)</f>
        <v>-2.9598308668076001</v>
      </c>
      <c r="J13" s="46">
        <f ca="1">[1]!i_pq_pctchange($D13,J$3,$D$3)</f>
        <v>-14.604651162790693</v>
      </c>
      <c r="K13" s="46">
        <f ca="1">[1]!i_pq_pctchange($D13,K$3,$D$3)</f>
        <v>-13.477851083883118</v>
      </c>
      <c r="L13" s="46">
        <f ca="1">[1]!i_pq_pctchange($D13,L$3,$D$3)</f>
        <v>-8.4745762711864288</v>
      </c>
      <c r="M13" s="4"/>
      <c r="N13" s="3"/>
    </row>
    <row r="14" spans="1:14" ht="16.5">
      <c r="A14" s="3"/>
      <c r="B14" s="4"/>
      <c r="C14" s="28" t="s">
        <v>47</v>
      </c>
      <c r="D14" s="19" t="s">
        <v>49</v>
      </c>
      <c r="E14" s="45">
        <f ca="1">[1]!i_dq_close(D14,$D$3)</f>
        <v>0.89900000000000002</v>
      </c>
      <c r="F14" s="45">
        <f ca="1">[1]!i_dq_pctchange(D14,$F$3)</f>
        <v>0.78475336322870026</v>
      </c>
      <c r="G14" s="45">
        <f ca="1">[1]!i_pq_pctchange($D14,G$3,$D$3)</f>
        <v>-2.7056277056277112</v>
      </c>
      <c r="H14" s="45">
        <f ca="1">[1]!i_pq_pctchange($D14,H$3,$D$3)</f>
        <v>1.6968325791855143</v>
      </c>
      <c r="I14" s="45">
        <f ca="1">[1]!i_pq_pctchange($D14,I$3,$D$3)</f>
        <v>-3.0204962243797207</v>
      </c>
      <c r="J14" s="45">
        <f ca="1">[1]!i_pq_pctchange($D14,J$3,$D$3)</f>
        <v>-14.867424242424242</v>
      </c>
      <c r="K14" s="45">
        <f ca="1">[1]!i_pq_pctchange($D14,K$3,$D$3)</f>
        <v>-14.217557251908397</v>
      </c>
      <c r="L14" s="45">
        <f ca="1">[1]!i_pq_pctchange($D14,L$3,$D$3)</f>
        <v>-8.9159067882472076</v>
      </c>
      <c r="M14" s="4"/>
      <c r="N14" s="3"/>
    </row>
    <row r="15" spans="1:14" ht="16.5">
      <c r="A15" s="3"/>
      <c r="B15" s="4"/>
      <c r="C15" s="27" t="s">
        <v>13</v>
      </c>
      <c r="D15" s="20"/>
      <c r="E15" s="47"/>
      <c r="F15" s="47"/>
      <c r="G15" s="47"/>
      <c r="H15" s="47"/>
      <c r="I15" s="47"/>
      <c r="J15" s="47"/>
      <c r="K15" s="48"/>
      <c r="L15" s="48"/>
      <c r="M15" s="4"/>
      <c r="N15" s="3"/>
    </row>
    <row r="16" spans="1:14" ht="16.5">
      <c r="A16" s="3"/>
      <c r="B16" s="4"/>
      <c r="C16" s="28" t="s">
        <v>3</v>
      </c>
      <c r="D16" s="19" t="s">
        <v>18</v>
      </c>
      <c r="E16" s="45">
        <f ca="1">[1]!i_dq_close(D16,$D$3)</f>
        <v>3.694</v>
      </c>
      <c r="F16" s="45">
        <f ca="1">[1]!i_dq_pctchange(D16,$F$3)</f>
        <v>0.48966267682262771</v>
      </c>
      <c r="G16" s="45">
        <f ca="1">[1]!i_pq_pctchange($D16,G$3,$D$3)</f>
        <v>-1.282736504543025</v>
      </c>
      <c r="H16" s="45">
        <f ca="1">[1]!i_pq_pctchange($D16,H$3,$D$3)</f>
        <v>1.3999451001921459</v>
      </c>
      <c r="I16" s="45">
        <f ca="1">[1]!i_pq_pctchange($D16,I$3,$D$3)</f>
        <v>-5.1117390187516154</v>
      </c>
      <c r="J16" s="45">
        <f ca="1">[1]!i_pq_pctchange($D16,J$3,$D$3)</f>
        <v>-8.4737363726461794</v>
      </c>
      <c r="K16" s="45">
        <f ca="1">[1]!i_pq_pctchange($D16,K$3,$D$3)</f>
        <v>-3.6012526096033337</v>
      </c>
      <c r="L16" s="45">
        <f ca="1">[1]!i_pq_pctchange($D16,L$3,$D$3)</f>
        <v>-6.5756196256955057</v>
      </c>
      <c r="M16" s="4"/>
      <c r="N16" s="3"/>
    </row>
    <row r="17" spans="1:14" ht="16.5">
      <c r="A17" s="3"/>
      <c r="B17" s="4"/>
      <c r="C17" s="29" t="s">
        <v>4</v>
      </c>
      <c r="D17" s="21" t="s">
        <v>19</v>
      </c>
      <c r="E17" s="46">
        <f ca="1">[1]!i_dq_close(D17,$D$3)</f>
        <v>5.8440000000000003</v>
      </c>
      <c r="F17" s="46">
        <f ca="1">[1]!i_dq_pctchange(D17,$F$3)</f>
        <v>0.89779005524862721</v>
      </c>
      <c r="G17" s="46">
        <f ca="1">[1]!i_pq_pctchange($D17,G$3,$D$3)</f>
        <v>-0.61224489795916881</v>
      </c>
      <c r="H17" s="46">
        <f ca="1">[1]!i_pq_pctchange($D17,H$3,$D$3)</f>
        <v>3.4702549575071018</v>
      </c>
      <c r="I17" s="46">
        <f ca="1">[1]!i_pq_pctchange($D17,I$3,$D$3)</f>
        <v>-1.9956397786349167</v>
      </c>
      <c r="J17" s="46">
        <f ca="1">[1]!i_pq_pctchange($D17,J$3,$D$3)</f>
        <v>-6.7942583732057305</v>
      </c>
      <c r="K17" s="46">
        <f ca="1">[1]!i_pq_pctchange($D17,K$3,$D$3)</f>
        <v>-6.4810369659145213</v>
      </c>
      <c r="L17" s="46">
        <f ca="1">[1]!i_pq_pctchange($D17,L$3,$D$3)</f>
        <v>-2.4862339395961941</v>
      </c>
      <c r="M17" s="4"/>
      <c r="N17" s="3"/>
    </row>
    <row r="18" spans="1:14" ht="16.5">
      <c r="A18" s="3"/>
      <c r="B18" s="4"/>
      <c r="C18" s="28" t="s">
        <v>5</v>
      </c>
      <c r="D18" s="19" t="s">
        <v>20</v>
      </c>
      <c r="E18" s="45">
        <f ca="1">[1]!i_dq_close(D18,$D$3)</f>
        <v>1.911</v>
      </c>
      <c r="F18" s="45">
        <f ca="1">[1]!i_dq_pctchange(D18,$F$3)</f>
        <v>0.63191153238546649</v>
      </c>
      <c r="G18" s="45">
        <f ca="1">[1]!i_pq_pctchange($D18,G$3,$D$3)</f>
        <v>-2.6490066225165587</v>
      </c>
      <c r="H18" s="45">
        <f ca="1">[1]!i_pq_pctchange($D18,H$3,$D$3)</f>
        <v>3.2972972972972858</v>
      </c>
      <c r="I18" s="45">
        <f ca="1">[1]!i_pq_pctchange($D18,I$3,$D$3)</f>
        <v>-6.231599607458282</v>
      </c>
      <c r="J18" s="45">
        <f ca="1">[1]!i_pq_pctchange($D18,J$3,$D$3)</f>
        <v>-13.685636856368566</v>
      </c>
      <c r="K18" s="45">
        <f ca="1">[1]!i_pq_pctchange($D18,K$3,$D$3)</f>
        <v>-15.926088869335686</v>
      </c>
      <c r="L18" s="45">
        <f ca="1">[1]!i_pq_pctchange($D18,L$3,$D$3)</f>
        <v>-16.147433084686259</v>
      </c>
      <c r="M18" s="4"/>
      <c r="N18" s="3"/>
    </row>
    <row r="19" spans="1:14" ht="16.5">
      <c r="A19" s="3"/>
      <c r="B19" s="4"/>
      <c r="C19" s="29" t="s">
        <v>6</v>
      </c>
      <c r="D19" s="20" t="s">
        <v>21</v>
      </c>
      <c r="E19" s="46">
        <f ca="1">[1]!i_dq_close(D19,$D$3)</f>
        <v>2.5510000000000002</v>
      </c>
      <c r="F19" s="46">
        <f ca="1">[1]!i_dq_pctchange(D19,$F$3)</f>
        <v>0.59148264984227616</v>
      </c>
      <c r="G19" s="46">
        <f ca="1">[1]!i_pq_pctchange($D19,G$3,$D$3)</f>
        <v>-1.9600307455803101</v>
      </c>
      <c r="H19" s="46">
        <f ca="1">[1]!i_pq_pctchange($D19,H$3,$D$3)</f>
        <v>2.3265142398716465</v>
      </c>
      <c r="I19" s="46">
        <f ca="1">[1]!i_pq_pctchange($D19,I$3,$D$3)</f>
        <v>-6.4539787312064441</v>
      </c>
      <c r="J19" s="46">
        <f ca="1">[1]!i_pq_pctchange($D19,J$3,$D$3)</f>
        <v>-11.607761607761613</v>
      </c>
      <c r="K19" s="46">
        <f ca="1">[1]!i_pq_pctchange($D19,K$3,$D$3)</f>
        <v>-9.6351399220687135</v>
      </c>
      <c r="L19" s="46">
        <f ca="1">[1]!i_pq_pctchange($D19,L$3,$D$3)</f>
        <v>-12.577107607950644</v>
      </c>
      <c r="M19" s="4"/>
      <c r="N19" s="3"/>
    </row>
    <row r="20" spans="1:14" ht="16.5">
      <c r="A20" s="3"/>
      <c r="B20" s="4"/>
      <c r="C20" s="30" t="s">
        <v>14</v>
      </c>
      <c r="D20" s="19"/>
      <c r="E20" s="49"/>
      <c r="F20" s="49"/>
      <c r="G20" s="49"/>
      <c r="H20" s="49"/>
      <c r="I20" s="49"/>
      <c r="J20" s="49"/>
      <c r="K20" s="49"/>
      <c r="L20" s="49"/>
      <c r="M20" s="4"/>
      <c r="N20" s="3"/>
    </row>
    <row r="21" spans="1:14" ht="16.5">
      <c r="A21" s="3"/>
      <c r="B21" s="4"/>
      <c r="C21" s="29" t="s">
        <v>7</v>
      </c>
      <c r="D21" s="20" t="s">
        <v>22</v>
      </c>
      <c r="E21" s="46">
        <f ca="1">[1]!i_dq_close(D21,$D$3)</f>
        <v>3561.5203999999999</v>
      </c>
      <c r="F21" s="46">
        <f ca="1">[1]!i_dq_pctchange(D21,$F$3)</f>
        <v>0.48256747999999999</v>
      </c>
      <c r="G21" s="46">
        <f ca="1">[1]!i_pq_pctchange($D21,G$3,$D$3)</f>
        <v>-1.2675877277437242</v>
      </c>
      <c r="H21" s="46">
        <f ca="1">[1]!i_pq_pctchange($D21,H$3,$D$3)</f>
        <v>1.4507964746313551</v>
      </c>
      <c r="I21" s="46">
        <f ca="1">[1]!i_pq_pctchange($D21,I$3,$D$3)</f>
        <v>-5.2340290984544291</v>
      </c>
      <c r="J21" s="46">
        <f ca="1">[1]!i_pq_pctchange($D21,J$3,$D$3)</f>
        <v>-10.273964026704064</v>
      </c>
      <c r="K21" s="46">
        <f ca="1">[1]!i_pq_pctchange($D21,K$3,$D$3)</f>
        <v>-5.5192542114919307</v>
      </c>
      <c r="L21" s="46">
        <f ca="1">[1]!i_pq_pctchange($D21,L$3,$D$3)</f>
        <v>-8.0098846125374763</v>
      </c>
      <c r="M21" s="4"/>
      <c r="N21" s="3"/>
    </row>
    <row r="22" spans="1:14" ht="16.5">
      <c r="A22" s="3"/>
      <c r="B22" s="4"/>
      <c r="C22" s="28" t="s">
        <v>8</v>
      </c>
      <c r="D22" s="19" t="s">
        <v>23</v>
      </c>
      <c r="E22" s="45">
        <f ca="1">[1]!i_dq_close(D22,$D$3)</f>
        <v>6197.5257000000001</v>
      </c>
      <c r="F22" s="45">
        <f ca="1">[1]!i_dq_pctchange(D22,$F$3)</f>
        <v>1.0525943499999999</v>
      </c>
      <c r="G22" s="45">
        <f ca="1">[1]!i_pq_pctchange($D22,G$3,$D$3)</f>
        <v>-0.15694666822655412</v>
      </c>
      <c r="H22" s="45">
        <f ca="1">[1]!i_pq_pctchange($D22,H$3,$D$3)</f>
        <v>7.3291002230565727</v>
      </c>
      <c r="I22" s="45">
        <f ca="1">[1]!i_pq_pctchange($D22,I$3,$D$3)</f>
        <v>1.61219477692367</v>
      </c>
      <c r="J22" s="45">
        <f ca="1">[1]!i_pq_pctchange($D22,J$3,$D$3)</f>
        <v>-6.0409284776355765</v>
      </c>
      <c r="K22" s="45">
        <f ca="1">[1]!i_pq_pctchange($D22,K$3,$D$3)</f>
        <v>-5.8589372164425164</v>
      </c>
      <c r="L22" s="45">
        <f ca="1">[1]!i_pq_pctchange($D22,L$3,$D$3)</f>
        <v>-1.3387500032037924</v>
      </c>
      <c r="M22" s="4"/>
      <c r="N22" s="3"/>
    </row>
    <row r="23" spans="1:14" ht="16.5">
      <c r="A23" s="3"/>
      <c r="B23" s="4"/>
      <c r="C23" s="29" t="s">
        <v>9</v>
      </c>
      <c r="D23" s="20" t="s">
        <v>24</v>
      </c>
      <c r="E23" s="46">
        <f ca="1">[1]!i_dq_close(D23,$D$3)</f>
        <v>2405.1653999999999</v>
      </c>
      <c r="F23" s="46">
        <f ca="1">[1]!i_dq_pctchange(D23,$F$3)</f>
        <v>0.34466962000000001</v>
      </c>
      <c r="G23" s="46">
        <f ca="1">[1]!i_pq_pctchange($D23,G$3,$D$3)</f>
        <v>-0.90472094113358548</v>
      </c>
      <c r="H23" s="46">
        <f ca="1">[1]!i_pq_pctchange($D23,H$3,$D$3)</f>
        <v>0.66740621079786067</v>
      </c>
      <c r="I23" s="46">
        <f ca="1">[1]!i_pq_pctchange($D23,I$3,$D$3)</f>
        <v>-3.5527983845142108</v>
      </c>
      <c r="J23" s="46">
        <f ca="1">[1]!i_pq_pctchange($D23,J$3,$D$3)</f>
        <v>-9.5390543821703524</v>
      </c>
      <c r="K23" s="46">
        <f ca="1">[1]!i_pq_pctchange($D23,K$3,$D$3)</f>
        <v>-4.9846372106640446</v>
      </c>
      <c r="L23" s="46">
        <f ca="1">[1]!i_pq_pctchange($D23,L$3,$D$3)</f>
        <v>-8.7309795919048856</v>
      </c>
      <c r="M23" s="4"/>
      <c r="N23" s="3"/>
    </row>
    <row r="24" spans="1:14" ht="16.5">
      <c r="A24" s="3"/>
      <c r="B24" s="4"/>
      <c r="C24" s="8"/>
      <c r="D24" s="8"/>
      <c r="E24" s="50"/>
      <c r="F24" s="50"/>
      <c r="G24" s="50"/>
      <c r="H24" s="50"/>
      <c r="I24" s="50"/>
      <c r="J24" s="50"/>
      <c r="K24" s="50"/>
      <c r="L24" s="50"/>
      <c r="M24" s="4"/>
      <c r="N24" s="3"/>
    </row>
    <row r="25" spans="1:14" ht="16.5">
      <c r="A25" s="3"/>
      <c r="B25" s="4"/>
      <c r="C25" s="7"/>
      <c r="D25" s="7"/>
      <c r="E25" s="51"/>
      <c r="F25" s="51"/>
      <c r="G25" s="51"/>
      <c r="H25" s="51"/>
      <c r="I25" s="51"/>
      <c r="J25" s="51"/>
      <c r="K25" s="42"/>
      <c r="L25" s="42"/>
      <c r="M25" s="4"/>
      <c r="N25" s="3"/>
    </row>
    <row r="26" spans="1:14">
      <c r="A26" s="3"/>
      <c r="B26" s="3"/>
      <c r="C26" s="3"/>
      <c r="D26" s="3"/>
      <c r="E26" s="40"/>
      <c r="F26" s="40"/>
      <c r="G26" s="40"/>
      <c r="H26" s="40"/>
      <c r="I26" s="40"/>
      <c r="J26" s="40"/>
      <c r="K26" s="40"/>
      <c r="L26" s="40"/>
      <c r="M26" s="3"/>
      <c r="N26" s="3"/>
    </row>
    <row r="27" spans="1:14">
      <c r="A27" s="3"/>
      <c r="B27" s="3"/>
      <c r="C27" s="3"/>
      <c r="D27" s="3"/>
      <c r="E27" s="40"/>
      <c r="F27" s="40"/>
      <c r="G27" s="40"/>
      <c r="H27" s="40"/>
      <c r="I27" s="40"/>
      <c r="J27" s="40"/>
      <c r="K27" s="40"/>
      <c r="L27" s="40"/>
      <c r="M27" s="3"/>
      <c r="N27" s="3"/>
    </row>
  </sheetData>
  <phoneticPr fontId="1" type="noConversion"/>
  <conditionalFormatting sqref="F10:L12 F14:L23">
    <cfRule type="cellIs" dxfId="55" priority="3" operator="greaterThanOrEqual">
      <formula>0</formula>
    </cfRule>
    <cfRule type="cellIs" dxfId="54" priority="4" operator="lessThan">
      <formula>0</formula>
    </cfRule>
  </conditionalFormatting>
  <conditionalFormatting sqref="F13:L13">
    <cfRule type="cellIs" dxfId="53" priority="1" operator="greaterThanOrEqual">
      <formula>0</formula>
    </cfRule>
    <cfRule type="cellIs" dxfId="52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N48"/>
  <sheetViews>
    <sheetView showGridLines="0" workbookViewId="0">
      <pane ySplit="1" topLeftCell="A26" activePane="bottomLeft" state="frozen"/>
      <selection pane="bottomLeft" activeCell="G47" sqref="G47"/>
    </sheetView>
  </sheetViews>
  <sheetFormatPr defaultRowHeight="14.25"/>
  <cols>
    <col min="1" max="1" width="5.875" customWidth="1"/>
    <col min="2" max="2" width="4.5" customWidth="1"/>
    <col min="3" max="7" width="15.625" customWidth="1"/>
    <col min="8" max="8" width="19" customWidth="1"/>
    <col min="9" max="12" width="15.625" customWidth="1"/>
  </cols>
  <sheetData>
    <row r="1" spans="1:14" ht="30.75" customHeight="1">
      <c r="A1" s="1"/>
      <c r="B1" s="1"/>
      <c r="C1" s="1"/>
      <c r="D1" s="2" t="s">
        <v>31</v>
      </c>
      <c r="E1" s="1"/>
      <c r="F1" s="1"/>
      <c r="G1" s="1"/>
      <c r="H1" s="1"/>
      <c r="I1" s="1"/>
      <c r="J1" s="1"/>
      <c r="K1" s="39" t="s">
        <v>46</v>
      </c>
      <c r="L1" s="56">
        <f ca="1">TODAY()</f>
        <v>45254</v>
      </c>
      <c r="M1" s="1"/>
      <c r="N1" s="1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6.5">
      <c r="A3" s="3"/>
      <c r="B3" s="3"/>
      <c r="C3" s="23" t="s">
        <v>25</v>
      </c>
      <c r="D3" s="9">
        <v>44998</v>
      </c>
      <c r="E3" s="15">
        <f>D3</f>
        <v>44998</v>
      </c>
      <c r="F3" s="15">
        <f>E3</f>
        <v>44998</v>
      </c>
      <c r="G3" s="15"/>
      <c r="H3" s="15"/>
      <c r="I3" s="15"/>
      <c r="J3" s="15"/>
      <c r="K3" s="53">
        <f>[1]!TDaysOffset($D$3,"Period=W","Offset=-1")</f>
        <v>44991</v>
      </c>
      <c r="L3" s="53">
        <f>[1]!TDaysOffset($D$3,"Period=M","Offset=-1")</f>
        <v>44970</v>
      </c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3"/>
    </row>
    <row r="6" spans="1:14" ht="17.25">
      <c r="A6" s="3"/>
      <c r="B6" s="4"/>
      <c r="C6" s="5" t="s">
        <v>30</v>
      </c>
      <c r="D6" s="6"/>
      <c r="E6" s="6"/>
      <c r="F6" s="6"/>
      <c r="G6" s="6"/>
      <c r="H6" s="6"/>
      <c r="I6" s="6"/>
      <c r="J6" s="6"/>
      <c r="K6" s="6"/>
      <c r="L6" s="6"/>
      <c r="M6" s="4"/>
      <c r="N6" s="3"/>
    </row>
    <row r="7" spans="1:14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3"/>
    </row>
    <row r="8" spans="1:14" ht="16.5">
      <c r="A8" s="3"/>
      <c r="B8" s="4"/>
      <c r="C8" s="17" t="s">
        <v>0</v>
      </c>
      <c r="D8" s="17" t="s">
        <v>29</v>
      </c>
      <c r="E8" s="37" t="s">
        <v>1</v>
      </c>
      <c r="F8" s="37" t="s">
        <v>43</v>
      </c>
      <c r="G8" s="37" t="s">
        <v>28</v>
      </c>
      <c r="H8" s="37" t="s">
        <v>42</v>
      </c>
      <c r="I8" s="37" t="s">
        <v>39</v>
      </c>
      <c r="J8" s="37" t="s">
        <v>43</v>
      </c>
      <c r="K8" s="37" t="s">
        <v>40</v>
      </c>
      <c r="L8" s="37" t="s">
        <v>41</v>
      </c>
      <c r="M8" s="4"/>
      <c r="N8" s="3"/>
    </row>
    <row r="9" spans="1:14" ht="16.5">
      <c r="A9" s="3"/>
      <c r="B9" s="4"/>
      <c r="C9" s="31" t="s">
        <v>10</v>
      </c>
      <c r="D9" s="7"/>
      <c r="E9" s="7"/>
      <c r="F9" s="7"/>
      <c r="G9" s="7"/>
      <c r="H9" s="7"/>
      <c r="I9" s="7"/>
      <c r="J9" s="7"/>
      <c r="K9" s="7"/>
      <c r="L9" s="7"/>
      <c r="M9" s="4"/>
      <c r="N9" s="3"/>
    </row>
    <row r="10" spans="1:14" ht="16.5">
      <c r="A10" s="3"/>
      <c r="B10" s="4"/>
      <c r="C10" s="8" t="s">
        <v>2</v>
      </c>
      <c r="D10" s="10" t="s">
        <v>15</v>
      </c>
      <c r="E10" s="13">
        <f>[1]!i_dq_close(D10,$D$3)</f>
        <v>2.669</v>
      </c>
      <c r="F10" s="13">
        <f>[1]!i_dq_pctchange(D10,$F$3)</f>
        <v>1.0219530658592026</v>
      </c>
      <c r="G10" s="24">
        <v>202303</v>
      </c>
      <c r="H10" s="13" t="str">
        <f>[1]!s_info_atmcode(D10,$D$3,G10,"C","M")</f>
        <v>10004882.SH</v>
      </c>
      <c r="I10" s="13">
        <f>[1]!w_info_strikeprice(H10,$D$3)</f>
        <v>2.65</v>
      </c>
      <c r="J10" s="13">
        <f>[1]!i_dq_pctchange(H10,$D$3)</f>
        <v>34.472049689440993</v>
      </c>
      <c r="K10" s="13">
        <f>[1]!i_pq_pctchange(H10,K$3,$D$3)</f>
        <v>-69.464033850493649</v>
      </c>
      <c r="L10" s="13">
        <f>[1]!i_pq_pctchange($H10,L$3,$D$3)</f>
        <v>-68.871315600287559</v>
      </c>
      <c r="M10" s="4"/>
      <c r="N10" s="3"/>
    </row>
    <row r="11" spans="1:14" ht="16.5">
      <c r="A11" s="3"/>
      <c r="B11" s="4"/>
      <c r="C11" s="7" t="s">
        <v>11</v>
      </c>
      <c r="D11" s="11" t="s">
        <v>16</v>
      </c>
      <c r="E11" s="14">
        <f>[1]!i_dq_close(D11,$D$3)</f>
        <v>4.0049999999999999</v>
      </c>
      <c r="F11" s="14">
        <f>[1]!i_dq_pctchange(D11,$F$3)</f>
        <v>1.1108305983337552</v>
      </c>
      <c r="G11" s="24">
        <v>202303</v>
      </c>
      <c r="H11" s="14" t="str">
        <f>[1]!s_info_atmcode(D11,$D$3,G11,"C","M")</f>
        <v>10005054.SH</v>
      </c>
      <c r="I11" s="14">
        <f>[1]!w_info_strikeprice(H11,$D$3)</f>
        <v>4</v>
      </c>
      <c r="J11" s="14">
        <f>[1]!i_dq_pctchange(H11,$D$3)</f>
        <v>44.444444444444457</v>
      </c>
      <c r="K11" s="14">
        <f>[1]!i_pq_pctchange(H11,K$3,$D$3)</f>
        <v>-68.16326530612244</v>
      </c>
      <c r="L11" s="14">
        <f>[1]!i_pq_pctchange($H11,L$3,$D$3)</f>
        <v>-70.323398858592256</v>
      </c>
      <c r="M11" s="4"/>
      <c r="N11" s="3"/>
    </row>
    <row r="12" spans="1:14" ht="16.5">
      <c r="A12" s="3"/>
      <c r="B12" s="4"/>
      <c r="C12" s="8" t="s">
        <v>12</v>
      </c>
      <c r="D12" s="10" t="s">
        <v>17</v>
      </c>
      <c r="E12" s="13">
        <f>[1]!i_dq_close(D12,$D$3)</f>
        <v>6.2610000000000001</v>
      </c>
      <c r="F12" s="13">
        <f>[1]!i_dq_pctchange(D12,$F$3)</f>
        <v>0.56215868936717217</v>
      </c>
      <c r="G12" s="24">
        <v>202303</v>
      </c>
      <c r="H12" s="13" t="str">
        <f>[1]!s_info_atmcode(D12,$D$3,G12,"C","M")</f>
        <v>10004556.SH</v>
      </c>
      <c r="I12" s="13">
        <f>[1]!w_info_strikeprice(H12,$D$3)</f>
        <v>6.25</v>
      </c>
      <c r="J12" s="13">
        <f>[1]!i_dq_pctchange(H12,$D$3)</f>
        <v>15.646258503401372</v>
      </c>
      <c r="K12" s="13">
        <f>[1]!i_pq_pctchange(H12,K$3,$D$3)</f>
        <v>-61.142857142857132</v>
      </c>
      <c r="L12" s="13">
        <f>[1]!i_pq_pctchange($H12,L$3,$D$3)</f>
        <v>-65.110312981015909</v>
      </c>
      <c r="M12" s="4"/>
      <c r="N12" s="3"/>
    </row>
    <row r="13" spans="1:14" ht="16.5">
      <c r="A13" s="3"/>
      <c r="B13" s="4"/>
      <c r="C13" s="31" t="s">
        <v>13</v>
      </c>
      <c r="D13" s="11"/>
      <c r="E13" s="14"/>
      <c r="F13" s="14"/>
      <c r="G13" s="22"/>
      <c r="H13" s="14"/>
      <c r="I13" s="14"/>
      <c r="J13" s="14"/>
      <c r="K13" s="14"/>
      <c r="L13" s="14"/>
      <c r="M13" s="4"/>
      <c r="N13" s="3"/>
    </row>
    <row r="14" spans="1:14" ht="16.5">
      <c r="A14" s="3"/>
      <c r="B14" s="4"/>
      <c r="C14" s="8" t="s">
        <v>3</v>
      </c>
      <c r="D14" s="10" t="s">
        <v>18</v>
      </c>
      <c r="E14" s="13">
        <f>[1]!i_dq_close(D14,$D$3)</f>
        <v>4.0739999999999998</v>
      </c>
      <c r="F14" s="13">
        <f>[1]!i_dq_pctchange(D14,$F$3)</f>
        <v>1.0166129432184348</v>
      </c>
      <c r="G14" s="24">
        <v>202303</v>
      </c>
      <c r="H14" s="13" t="str">
        <f>[1]!s_info_atmcode(D14,$D$3,G14,"C","M")</f>
        <v>90001174.SZ</v>
      </c>
      <c r="I14" s="13">
        <f>[1]!w_info_strikeprice(H14,$D$3)</f>
        <v>4</v>
      </c>
      <c r="J14" s="13">
        <f>[1]!i_dq_pctchange(H14,$D$3)</f>
        <v>32.6676176890157</v>
      </c>
      <c r="K14" s="13">
        <f>[1]!i_pq_pctchange(H14,K$3,$D$3)</f>
        <v>-55.756422454804941</v>
      </c>
      <c r="L14" s="13">
        <f>[1]!i_pq_pctchange($H14,L$3,$D$3)</f>
        <v>-55.924170616113742</v>
      </c>
      <c r="M14" s="4"/>
      <c r="N14" s="3"/>
    </row>
    <row r="15" spans="1:14" ht="16.5">
      <c r="A15" s="3"/>
      <c r="B15" s="4"/>
      <c r="C15" s="7" t="s">
        <v>4</v>
      </c>
      <c r="D15" s="12" t="s">
        <v>19</v>
      </c>
      <c r="E15" s="14">
        <f>[1]!i_dq_close(D15,$D$3)</f>
        <v>6.3769999999999998</v>
      </c>
      <c r="F15" s="14">
        <f>[1]!i_dq_pctchange(D15,$F$3)</f>
        <v>0.56773379593123463</v>
      </c>
      <c r="G15" s="24">
        <v>202303</v>
      </c>
      <c r="H15" s="14" t="str">
        <f>[1]!s_info_atmcode(D15,$D$3,G15,"C","M")</f>
        <v>90001350.SZ</v>
      </c>
      <c r="I15" s="14">
        <f>[1]!w_info_strikeprice(H15,$D$3)</f>
        <v>6.25</v>
      </c>
      <c r="J15" s="14">
        <f>[1]!i_dq_pctchange(H15,$D$3)</f>
        <v>17.809364548494983</v>
      </c>
      <c r="K15" s="14">
        <f>[1]!i_pq_pctchange(H15,K$3,$D$3)</f>
        <v>-49.768270944741538</v>
      </c>
      <c r="L15" s="14">
        <f>[1]!i_pq_pctchange($H15,L$3,$D$3)</f>
        <v>-46.81011702529257</v>
      </c>
      <c r="M15" s="4"/>
      <c r="N15" s="3"/>
    </row>
    <row r="16" spans="1:14" ht="16.5">
      <c r="A16" s="3"/>
      <c r="B16" s="4"/>
      <c r="C16" s="8" t="s">
        <v>5</v>
      </c>
      <c r="D16" s="10" t="s">
        <v>20</v>
      </c>
      <c r="E16" s="13">
        <f>[1]!i_dq_close(D16,$D$3)</f>
        <v>2.2869999999999999</v>
      </c>
      <c r="F16" s="13">
        <f>[1]!i_dq_pctchange(D16,$F$3)</f>
        <v>-0.56521739130434345</v>
      </c>
      <c r="G16" s="24">
        <v>202303</v>
      </c>
      <c r="H16" s="13" t="str">
        <f>[1]!s_info_atmcode(D16,$D$3,G16,"C","M")</f>
        <v>90001277.SZ</v>
      </c>
      <c r="I16" s="13">
        <f>[1]!w_info_strikeprice(H16,$D$3)</f>
        <v>2.2999999999999998</v>
      </c>
      <c r="J16" s="13">
        <f>[1]!i_dq_pctchange(H16,$D$3)</f>
        <v>-22.418136020151131</v>
      </c>
      <c r="K16" s="13">
        <f>[1]!i_pq_pctchange(H16,K$3,$D$3)</f>
        <v>-60.258064516129025</v>
      </c>
      <c r="L16" s="13">
        <f>[1]!i_pq_pctchange($H16,L$3,$D$3)</f>
        <v>-83.555792845702086</v>
      </c>
      <c r="M16" s="4"/>
      <c r="N16" s="3"/>
    </row>
    <row r="17" spans="1:14" ht="16.5">
      <c r="A17" s="3"/>
      <c r="B17" s="4"/>
      <c r="C17" s="7" t="s">
        <v>6</v>
      </c>
      <c r="D17" s="11" t="s">
        <v>21</v>
      </c>
      <c r="E17" s="14">
        <f>[1]!i_dq_close(D17,$D$3)</f>
        <v>2.9980000000000002</v>
      </c>
      <c r="F17" s="14">
        <f>[1]!i_dq_pctchange(D17,$F$3)</f>
        <v>0.53655264922870594</v>
      </c>
      <c r="G17" s="24">
        <v>202303</v>
      </c>
      <c r="H17" s="14" t="str">
        <f>[1]!s_info_atmcode(D17,$D$3,G17,"C","M")</f>
        <v>90001639.SZ</v>
      </c>
      <c r="I17" s="14">
        <f>[1]!w_info_strikeprice(H17,$D$3)</f>
        <v>3</v>
      </c>
      <c r="J17" s="14">
        <f>[1]!i_dq_pctchange(H17,$D$3)</f>
        <v>7.2046109510086316</v>
      </c>
      <c r="K17" s="14">
        <f>[1]!i_pq_pctchange(H17,K$3,$D$3)</f>
        <v>-69.40789473684211</v>
      </c>
      <c r="L17" s="14">
        <f>[1]!i_pq_pctchange($H17,L$3,$D$3)</f>
        <v>-79.379157427937912</v>
      </c>
      <c r="M17" s="4"/>
      <c r="N17" s="3"/>
    </row>
    <row r="18" spans="1:14" ht="16.5">
      <c r="A18" s="3"/>
      <c r="B18" s="4"/>
      <c r="C18" s="32" t="s">
        <v>14</v>
      </c>
      <c r="D18" s="10"/>
      <c r="E18" s="13"/>
      <c r="F18" s="13"/>
      <c r="G18" s="16"/>
      <c r="H18" s="13"/>
      <c r="I18" s="13"/>
      <c r="J18" s="13"/>
      <c r="K18" s="13"/>
      <c r="L18" s="13"/>
      <c r="M18" s="4"/>
      <c r="N18" s="3"/>
    </row>
    <row r="19" spans="1:14" ht="16.5">
      <c r="A19" s="3"/>
      <c r="B19" s="4"/>
      <c r="C19" s="7" t="s">
        <v>7</v>
      </c>
      <c r="D19" s="11" t="s">
        <v>22</v>
      </c>
      <c r="E19" s="14">
        <f>[1]!i_dq_close(D19,$D$3)</f>
        <v>4008.6860000000001</v>
      </c>
      <c r="F19" s="14">
        <f>[1]!i_dq_pctchange(D19,$F$3)</f>
        <v>1.0473754500000001</v>
      </c>
      <c r="G19" s="24">
        <v>202303</v>
      </c>
      <c r="H19" s="14" t="str">
        <f>[1]!s_info_atmcode(D19,$D$3,G19,"C","M")</f>
        <v>IO2303-C-3950.CFE</v>
      </c>
      <c r="I19" s="22">
        <f>[1]!w_info_strikeprice(H19,$D$3)</f>
        <v>3950</v>
      </c>
      <c r="J19" s="14">
        <f>[1]!i_dq_pctchange(H19,$D$3)</f>
        <v>54.782608695652179</v>
      </c>
      <c r="K19" s="14">
        <f>[1]!i_pq_pctchange(H19,K$3,$D$3)</f>
        <v>-63.374485596707821</v>
      </c>
      <c r="L19" s="14">
        <f>[1]!i_pq_pctchange($H19,L$3,$D$3)</f>
        <v>-62.955254942767944</v>
      </c>
      <c r="M19" s="4"/>
      <c r="N19" s="3"/>
    </row>
    <row r="20" spans="1:14" ht="16.5">
      <c r="A20" s="3"/>
      <c r="B20" s="4"/>
      <c r="C20" s="8" t="s">
        <v>8</v>
      </c>
      <c r="D20" s="10" t="s">
        <v>23</v>
      </c>
      <c r="E20" s="13">
        <f>[1]!i_dq_close(D20,$D$3)</f>
        <v>6832.6210000000001</v>
      </c>
      <c r="F20" s="13">
        <f>[1]!i_dq_pctchange(D20,$F$3)</f>
        <v>0.50486602000000003</v>
      </c>
      <c r="G20" s="24">
        <v>202303</v>
      </c>
      <c r="H20" s="13" t="str">
        <f>[1]!s_info_atmcode(D20,$D$3,G20,"C","M")</f>
        <v>MO2303-C-6800.CFE</v>
      </c>
      <c r="I20" s="16">
        <f>[1]!w_info_strikeprice(H20,$D$3)</f>
        <v>6800</v>
      </c>
      <c r="J20" s="13">
        <f>[1]!i_dq_pctchange(H20,$D$3)</f>
        <v>11.470588235294112</v>
      </c>
      <c r="K20" s="13">
        <f>[1]!i_pq_pctchange(H20,K$3,$D$3)</f>
        <v>-57.415730337078649</v>
      </c>
      <c r="L20" s="13">
        <f>[1]!i_pq_pctchange($H20,L$3,$D$3)</f>
        <v>-69.800796812748999</v>
      </c>
      <c r="M20" s="4"/>
      <c r="N20" s="3"/>
    </row>
    <row r="21" spans="1:14" ht="16.5">
      <c r="A21" s="3"/>
      <c r="B21" s="4"/>
      <c r="C21" s="7" t="s">
        <v>9</v>
      </c>
      <c r="D21" s="11" t="s">
        <v>24</v>
      </c>
      <c r="E21" s="14">
        <f>[1]!i_dq_close(D21,$D$3)</f>
        <v>2664.0378000000001</v>
      </c>
      <c r="F21" s="14">
        <f>[1]!i_dq_pctchange(D21,$F$3)</f>
        <v>1.0487336599999999</v>
      </c>
      <c r="G21" s="24">
        <v>202303</v>
      </c>
      <c r="H21" s="14" t="str">
        <f>[1]!s_info_atmcode(D21,$D$3,G21,"C","M")</f>
        <v>HO2303-C-2650.CFE</v>
      </c>
      <c r="I21" s="22">
        <f>[1]!w_info_strikeprice(H21,$D$3)</f>
        <v>2650</v>
      </c>
      <c r="J21" s="14">
        <f>[1]!i_dq_pctchange(H21,$D$3)</f>
        <v>39.285714285714292</v>
      </c>
      <c r="K21" s="14">
        <f>[1]!i_pq_pctchange(H21,K$3,$D$3)</f>
        <v>-76.576576576576571</v>
      </c>
      <c r="L21" s="14">
        <f>[1]!i_pq_pctchange($H21,L$3,$D$3)</f>
        <v>-75.663026521060843</v>
      </c>
      <c r="M21" s="4"/>
      <c r="N21" s="3"/>
    </row>
    <row r="22" spans="1:14" ht="16.5">
      <c r="A22" s="3"/>
      <c r="B22" s="4"/>
      <c r="C22" s="8"/>
      <c r="D22" s="8"/>
      <c r="E22" s="8"/>
      <c r="F22" s="8"/>
      <c r="G22" s="8"/>
      <c r="H22" s="33"/>
      <c r="I22" s="33"/>
      <c r="J22" s="33"/>
      <c r="K22" s="33"/>
      <c r="L22" s="33"/>
      <c r="M22" s="4"/>
      <c r="N22" s="3"/>
    </row>
    <row r="23" spans="1:14" ht="16.5">
      <c r="A23" s="3"/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3"/>
    </row>
    <row r="24" spans="1:14" ht="16.5">
      <c r="A24" s="3"/>
      <c r="B24" s="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"/>
      <c r="N24" s="3"/>
    </row>
    <row r="25" spans="1:14" ht="16.5">
      <c r="A25" s="3"/>
      <c r="B25" s="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"/>
      <c r="N25" s="3"/>
    </row>
    <row r="26" spans="1:14" ht="16.5">
      <c r="A26" s="3"/>
      <c r="B26" s="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4"/>
      <c r="N26" s="3"/>
    </row>
    <row r="27" spans="1:14" ht="17.25">
      <c r="A27" s="3"/>
      <c r="B27" s="4"/>
      <c r="C27" s="5" t="s">
        <v>32</v>
      </c>
      <c r="D27" s="36"/>
      <c r="E27" s="36"/>
      <c r="F27" s="36"/>
      <c r="G27" s="36"/>
      <c r="H27" s="36"/>
      <c r="I27" s="36"/>
      <c r="J27" s="36"/>
      <c r="K27" s="36"/>
      <c r="L27" s="36"/>
      <c r="M27" s="4"/>
      <c r="N27" s="3"/>
    </row>
    <row r="28" spans="1:14" ht="16.5">
      <c r="A28" s="3"/>
      <c r="B28" s="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4"/>
      <c r="N28" s="3"/>
    </row>
    <row r="29" spans="1:14" ht="16.5">
      <c r="A29" s="3"/>
      <c r="B29" s="4"/>
      <c r="C29" s="17" t="s">
        <v>0</v>
      </c>
      <c r="D29" s="17" t="s">
        <v>29</v>
      </c>
      <c r="E29" s="37" t="s">
        <v>1</v>
      </c>
      <c r="F29" s="37" t="s">
        <v>43</v>
      </c>
      <c r="G29" s="37" t="s">
        <v>28</v>
      </c>
      <c r="H29" s="37" t="s">
        <v>45</v>
      </c>
      <c r="I29" s="37" t="s">
        <v>39</v>
      </c>
      <c r="J29" s="37" t="s">
        <v>44</v>
      </c>
      <c r="K29" s="37" t="s">
        <v>40</v>
      </c>
      <c r="L29" s="37" t="s">
        <v>41</v>
      </c>
      <c r="M29" s="4"/>
      <c r="N29" s="3"/>
    </row>
    <row r="30" spans="1:14" ht="16.5">
      <c r="A30" s="3"/>
      <c r="B30" s="4"/>
      <c r="C30" s="31" t="s">
        <v>10</v>
      </c>
      <c r="D30" s="7"/>
      <c r="E30" s="7"/>
      <c r="F30" s="7"/>
      <c r="G30" s="7"/>
      <c r="H30" s="7"/>
      <c r="I30" s="7"/>
      <c r="J30" s="7"/>
      <c r="K30" s="7"/>
      <c r="L30" s="7"/>
      <c r="M30" s="4"/>
      <c r="N30" s="3"/>
    </row>
    <row r="31" spans="1:14" ht="16.5">
      <c r="A31" s="3"/>
      <c r="B31" s="4"/>
      <c r="C31" s="8" t="s">
        <v>2</v>
      </c>
      <c r="D31" s="10" t="s">
        <v>15</v>
      </c>
      <c r="E31" s="13">
        <f>[1]!i_dq_close(D31,$D$3)</f>
        <v>2.669</v>
      </c>
      <c r="F31" s="13">
        <f>[1]!i_dq_pctchange(D31,$F$3)</f>
        <v>1.0219530658592026</v>
      </c>
      <c r="G31" s="24">
        <v>202306</v>
      </c>
      <c r="H31" s="16" t="str">
        <f>[1]!s_info_atmcode(D31,$D$3,G31,"P","M")</f>
        <v>10004909.SH</v>
      </c>
      <c r="I31" s="25">
        <f>[1]!w_info_strikeprice(H31,$D$3)</f>
        <v>2.65</v>
      </c>
      <c r="J31" s="13">
        <f>[1]!i_dq_pctchange(H31,$D$3)</f>
        <v>-14.787234042553187</v>
      </c>
      <c r="K31" s="13">
        <f>[1]!i_pq_pctchange(H31,K$3,$D$3)</f>
        <v>63.469387755102048</v>
      </c>
      <c r="L31" s="13">
        <f>[1]!i_pq_pctchange($H31,L$3,$D$3)</f>
        <v>24.186046511627911</v>
      </c>
      <c r="M31" s="4"/>
      <c r="N31" s="3"/>
    </row>
    <row r="32" spans="1:14" ht="16.5">
      <c r="A32" s="3"/>
      <c r="B32" s="4"/>
      <c r="C32" s="7" t="s">
        <v>11</v>
      </c>
      <c r="D32" s="11" t="s">
        <v>16</v>
      </c>
      <c r="E32" s="14">
        <f>[1]!i_dq_close(D32,$D$3)</f>
        <v>4.0049999999999999</v>
      </c>
      <c r="F32" s="14">
        <f>[1]!i_dq_pctchange(D32,$F$3)</f>
        <v>1.1108305983337552</v>
      </c>
      <c r="G32" s="24">
        <v>202306</v>
      </c>
      <c r="H32" s="22" t="str">
        <f>[1]!s_info_atmcode(D32,$D$3,G32,"P","M")</f>
        <v>10005081.SH</v>
      </c>
      <c r="I32" s="26">
        <f>[1]!w_info_strikeprice(H32,$D$3)</f>
        <v>4</v>
      </c>
      <c r="J32" s="14">
        <f>[1]!i_dq_pctchange(H32,$D$3)</f>
        <v>-14.673561732385259</v>
      </c>
      <c r="K32" s="14">
        <f>[1]!i_pq_pctchange(H32,K$3,$D$3)</f>
        <v>42.702702702702709</v>
      </c>
      <c r="L32" s="14">
        <f>[1]!i_pq_pctchange($H32,L$3,$D$3)</f>
        <v>16.607773851590117</v>
      </c>
      <c r="M32" s="4"/>
      <c r="N32" s="3"/>
    </row>
    <row r="33" spans="1:14" ht="16.5">
      <c r="A33" s="3"/>
      <c r="B33" s="4"/>
      <c r="C33" s="8" t="s">
        <v>12</v>
      </c>
      <c r="D33" s="10" t="s">
        <v>17</v>
      </c>
      <c r="E33" s="13">
        <f>[1]!i_dq_close(D33,$D$3)</f>
        <v>6.2610000000000001</v>
      </c>
      <c r="F33" s="13">
        <f>[1]!i_dq_pctchange(D33,$F$3)</f>
        <v>0.56215868936717217</v>
      </c>
      <c r="G33" s="24">
        <v>202306</v>
      </c>
      <c r="H33" s="16" t="str">
        <f>[1]!s_info_atmcode(D33,$D$3,G33,"P","M")</f>
        <v>10004729.SH</v>
      </c>
      <c r="I33" s="25">
        <f>[1]!w_info_strikeprice(H33,$D$3)</f>
        <v>6.25</v>
      </c>
      <c r="J33" s="13">
        <f>[1]!i_dq_pctchange(H33,$D$3)</f>
        <v>-8.5748792270531453</v>
      </c>
      <c r="K33" s="13">
        <f>[1]!i_pq_pctchange(H33,K$3,$D$3)</f>
        <v>35.988023952095801</v>
      </c>
      <c r="L33" s="13">
        <f>[1]!i_pq_pctchange($H33,L$3,$D$3)</f>
        <v>12.592959841348542</v>
      </c>
      <c r="M33" s="4"/>
      <c r="N33" s="3"/>
    </row>
    <row r="34" spans="1:14" ht="16.5">
      <c r="A34" s="3"/>
      <c r="B34" s="4"/>
      <c r="C34" s="29" t="s">
        <v>50</v>
      </c>
      <c r="D34" s="20" t="s">
        <v>48</v>
      </c>
      <c r="E34" s="14">
        <f>[1]!i_dq_close(D34,$D$3)</f>
        <v>1.04</v>
      </c>
      <c r="F34" s="14">
        <f>[1]!i_dq_pctchange(D34,$F$3)</f>
        <v>0.28929604628737837</v>
      </c>
      <c r="G34" s="24">
        <v>202306</v>
      </c>
      <c r="H34" s="22">
        <f>[1]!s_info_atmcode(D34,$D$3,G34,"P","M")</f>
        <v>0</v>
      </c>
      <c r="I34" s="26">
        <f>[1]!w_info_strikeprice(H34,$D$3)</f>
        <v>0</v>
      </c>
      <c r="J34" s="14">
        <f>[1]!i_dq_pctchange(H34,$D$3)</f>
        <v>0</v>
      </c>
      <c r="K34" s="14">
        <f>[1]!i_pq_pctchange(H34,K$3,$D$3)</f>
        <v>0</v>
      </c>
      <c r="L34" s="14">
        <f>[1]!i_pq_pctchange($H34,L$3,$D$3)</f>
        <v>0</v>
      </c>
      <c r="M34" s="4"/>
      <c r="N34" s="3"/>
    </row>
    <row r="35" spans="1:14" ht="16.5">
      <c r="A35" s="3"/>
      <c r="B35" s="4"/>
      <c r="C35" s="28" t="s">
        <v>47</v>
      </c>
      <c r="D35" s="19" t="s">
        <v>49</v>
      </c>
      <c r="E35" s="13">
        <f>[1]!i_dq_close(D35,$D$3)</f>
        <v>1.0209999999999999</v>
      </c>
      <c r="F35" s="13">
        <f>[1]!i_dq_pctchange(D35,$F$3)</f>
        <v>0.49212598425195803</v>
      </c>
      <c r="G35" s="24">
        <v>202306</v>
      </c>
      <c r="H35" s="16">
        <f>[1]!s_info_atmcode(D35,$D$3,G35,"P","M")</f>
        <v>0</v>
      </c>
      <c r="I35" s="25">
        <f>[1]!w_info_strikeprice(H35,$D$3)</f>
        <v>0</v>
      </c>
      <c r="J35" s="13">
        <f>[1]!i_dq_pctchange(H35,$D$3)</f>
        <v>0</v>
      </c>
      <c r="K35" s="13">
        <f>[1]!i_pq_pctchange(H35,K$3,$D$3)</f>
        <v>0</v>
      </c>
      <c r="L35" s="13">
        <f>[1]!i_pq_pctchange($H35,L$3,$D$3)</f>
        <v>0</v>
      </c>
      <c r="M35" s="4"/>
      <c r="N35" s="3"/>
    </row>
    <row r="36" spans="1:14" ht="16.5">
      <c r="A36" s="3"/>
      <c r="B36" s="4"/>
      <c r="C36" s="31" t="s">
        <v>13</v>
      </c>
      <c r="D36" s="11"/>
      <c r="E36" s="14"/>
      <c r="F36" s="14"/>
      <c r="G36" s="22"/>
      <c r="H36" s="14"/>
      <c r="I36" s="26"/>
      <c r="J36" s="14"/>
      <c r="K36" s="14"/>
      <c r="L36" s="14"/>
      <c r="M36" s="4"/>
      <c r="N36" s="3"/>
    </row>
    <row r="37" spans="1:14" ht="16.5">
      <c r="A37" s="3"/>
      <c r="B37" s="4"/>
      <c r="C37" s="8" t="s">
        <v>3</v>
      </c>
      <c r="D37" s="10" t="s">
        <v>18</v>
      </c>
      <c r="E37" s="13">
        <f>[1]!i_dq_close(D37,$D$3)</f>
        <v>4.0739999999999998</v>
      </c>
      <c r="F37" s="13">
        <f>[1]!i_dq_pctchange(D37,$F$3)</f>
        <v>1.0166129432184348</v>
      </c>
      <c r="G37" s="24">
        <v>202306</v>
      </c>
      <c r="H37" s="16" t="str">
        <f>[1]!s_info_atmcode(D37,$D$3,G37,"P","M")</f>
        <v>90001487.SZ</v>
      </c>
      <c r="I37" s="25">
        <f>[1]!w_info_strikeprice(H37,$D$3)</f>
        <v>4</v>
      </c>
      <c r="J37" s="13">
        <f>[1]!i_dq_pctchange(H37,$D$3)</f>
        <v>-16.006339144215538</v>
      </c>
      <c r="K37" s="13">
        <f>[1]!i_pq_pctchange(H37,K$3,$D$3)</f>
        <v>45.205479452054796</v>
      </c>
      <c r="L37" s="13">
        <f>[1]!i_pq_pctchange($H37,L$3,$D$3)</f>
        <v>15.468409586056634</v>
      </c>
      <c r="M37" s="4"/>
      <c r="N37" s="3"/>
    </row>
    <row r="38" spans="1:14" ht="16.5">
      <c r="A38" s="3"/>
      <c r="B38" s="4"/>
      <c r="C38" s="7" t="s">
        <v>4</v>
      </c>
      <c r="D38" s="12" t="s">
        <v>19</v>
      </c>
      <c r="E38" s="14">
        <f>[1]!i_dq_close(D38,$D$3)</f>
        <v>6.3769999999999998</v>
      </c>
      <c r="F38" s="14">
        <f>[1]!i_dq_pctchange(D38,$F$3)</f>
        <v>0.56773379593123463</v>
      </c>
      <c r="G38" s="24">
        <v>202306</v>
      </c>
      <c r="H38" s="22" t="str">
        <f>[1]!s_info_atmcode(D38,$D$3,G38,"P","M")</f>
        <v>90001503.SZ</v>
      </c>
      <c r="I38" s="26">
        <f>[1]!w_info_strikeprice(H38,$D$3)</f>
        <v>6.25</v>
      </c>
      <c r="J38" s="14">
        <f>[1]!i_dq_pctchange(H38,$D$3)</f>
        <v>-6.8407310704960835</v>
      </c>
      <c r="K38" s="14">
        <f>[1]!i_pq_pctchange(H38,K$3,$D$3)</f>
        <v>42.834267413931151</v>
      </c>
      <c r="L38" s="14">
        <f>[1]!i_pq_pctchange($H38,L$3,$D$3)</f>
        <v>10.259579728059334</v>
      </c>
      <c r="M38" s="4"/>
      <c r="N38" s="3"/>
    </row>
    <row r="39" spans="1:14" ht="16.5">
      <c r="A39" s="3"/>
      <c r="B39" s="4"/>
      <c r="C39" s="8" t="s">
        <v>5</v>
      </c>
      <c r="D39" s="10" t="s">
        <v>20</v>
      </c>
      <c r="E39" s="13">
        <f>[1]!i_dq_close(D39,$D$3)</f>
        <v>2.2869999999999999</v>
      </c>
      <c r="F39" s="13">
        <f>[1]!i_dq_pctchange(D39,$F$3)</f>
        <v>-0.56521739130434345</v>
      </c>
      <c r="G39" s="24">
        <v>202306</v>
      </c>
      <c r="H39" s="16" t="str">
        <f>[1]!s_info_atmcode(D39,$D$3,G39,"P","M")</f>
        <v>90001466.SZ</v>
      </c>
      <c r="I39" s="25">
        <f>[1]!w_info_strikeprice(H39,$D$3)</f>
        <v>2.2999999999999998</v>
      </c>
      <c r="J39" s="13">
        <f>[1]!i_dq_pctchange(H39,$D$3)</f>
        <v>3.5121951219512253</v>
      </c>
      <c r="K39" s="13">
        <f>[1]!i_pq_pctchange(H39,K$3,$D$3)</f>
        <v>31.637717121588082</v>
      </c>
      <c r="L39" s="13">
        <f>[1]!i_pq_pctchange($H39,L$3,$D$3)</f>
        <v>83.246977547495675</v>
      </c>
      <c r="M39" s="4"/>
      <c r="N39" s="3"/>
    </row>
    <row r="40" spans="1:14" ht="16.5">
      <c r="A40" s="3"/>
      <c r="B40" s="4"/>
      <c r="C40" s="7" t="s">
        <v>6</v>
      </c>
      <c r="D40" s="11" t="s">
        <v>21</v>
      </c>
      <c r="E40" s="14">
        <f>[1]!i_dq_close(D40,$D$3)</f>
        <v>2.9980000000000002</v>
      </c>
      <c r="F40" s="14">
        <f>[1]!i_dq_pctchange(D40,$F$3)</f>
        <v>0.53655264922870594</v>
      </c>
      <c r="G40" s="24">
        <v>202306</v>
      </c>
      <c r="H40" s="22" t="str">
        <f>[1]!s_info_atmcode(D40,$D$3,G40,"P","M")</f>
        <v>90001666.SZ</v>
      </c>
      <c r="I40" s="26">
        <f>[1]!w_info_strikeprice(H40,$D$3)</f>
        <v>3</v>
      </c>
      <c r="J40" s="14">
        <f>[1]!i_dq_pctchange(H40,$D$3)</f>
        <v>-7.4308300395256959</v>
      </c>
      <c r="K40" s="14">
        <f>[1]!i_pq_pctchange(H40,K$3,$D$3)</f>
        <v>49.362244897959187</v>
      </c>
      <c r="L40" s="14">
        <f>[1]!i_pq_pctchange($H40,L$3,$D$3)</f>
        <v>40.071770334928239</v>
      </c>
      <c r="M40" s="4"/>
      <c r="N40" s="3"/>
    </row>
    <row r="41" spans="1:14" ht="16.5">
      <c r="A41" s="3"/>
      <c r="B41" s="4"/>
      <c r="C41" s="32" t="s">
        <v>14</v>
      </c>
      <c r="D41" s="10"/>
      <c r="E41" s="13"/>
      <c r="F41" s="13"/>
      <c r="G41" s="16"/>
      <c r="H41" s="13"/>
      <c r="I41" s="13"/>
      <c r="J41" s="13"/>
      <c r="K41" s="13"/>
      <c r="L41" s="13"/>
      <c r="M41" s="4"/>
      <c r="N41" s="3"/>
    </row>
    <row r="42" spans="1:14" ht="16.5">
      <c r="A42" s="3"/>
      <c r="B42" s="4"/>
      <c r="C42" s="7" t="s">
        <v>7</v>
      </c>
      <c r="D42" s="11" t="s">
        <v>22</v>
      </c>
      <c r="E42" s="14">
        <f>[1]!i_dq_close(D42,$D$3)</f>
        <v>4008.6860000000001</v>
      </c>
      <c r="F42" s="14">
        <f>[1]!i_dq_pctchange(D42,$F$3)</f>
        <v>1.0473754500000001</v>
      </c>
      <c r="G42" s="24">
        <v>202306</v>
      </c>
      <c r="H42" s="22" t="str">
        <f>[1]!s_info_atmcode(D42,$D$3,G42,"P","M")</f>
        <v>IO2306-P-4000.CFE</v>
      </c>
      <c r="I42" s="22">
        <f>[1]!w_info_strikeprice(H42,$D$3)</f>
        <v>4000</v>
      </c>
      <c r="J42" s="14">
        <f>[1]!i_dq_pctchange(H42,$D$3)</f>
        <v>-16.053921568627445</v>
      </c>
      <c r="K42" s="14">
        <f>[1]!i_pq_pctchange(H42,K$3,$D$3)</f>
        <v>51.884700665188468</v>
      </c>
      <c r="L42" s="14">
        <f>[1]!i_pq_pctchange($H42,L$3,$D$3)</f>
        <v>22.980251346499095</v>
      </c>
      <c r="M42" s="4"/>
      <c r="N42" s="3"/>
    </row>
    <row r="43" spans="1:14" ht="16.5">
      <c r="A43" s="3"/>
      <c r="B43" s="4"/>
      <c r="C43" s="8" t="s">
        <v>8</v>
      </c>
      <c r="D43" s="10" t="s">
        <v>23</v>
      </c>
      <c r="E43" s="13">
        <f>[1]!i_dq_close(D43,$D$3)</f>
        <v>6832.6210000000001</v>
      </c>
      <c r="F43" s="13">
        <f>[1]!i_dq_pctchange(D43,$F$3)</f>
        <v>0.50486602000000003</v>
      </c>
      <c r="G43" s="24">
        <v>202306</v>
      </c>
      <c r="H43" s="16" t="str">
        <f>[1]!s_info_atmcode(D43,$D$3,G43,"P","M")</f>
        <v>MO2306-P-6800.CFE</v>
      </c>
      <c r="I43" s="16">
        <f>[1]!w_info_strikeprice(H43,$D$3)</f>
        <v>6800</v>
      </c>
      <c r="J43" s="13">
        <f>[1]!i_dq_pctchange(H43,$D$3)</f>
        <v>-4.8648648648648578</v>
      </c>
      <c r="K43" s="13">
        <f>[1]!i_pq_pctchange(H43,K$3,$D$3)</f>
        <v>24.271844660194191</v>
      </c>
      <c r="L43" s="13">
        <f>[1]!i_pq_pctchange($H43,L$3,$D$3)</f>
        <v>13.36553945249598</v>
      </c>
      <c r="M43" s="4"/>
      <c r="N43" s="3"/>
    </row>
    <row r="44" spans="1:14" ht="16.5">
      <c r="A44" s="3"/>
      <c r="B44" s="4"/>
      <c r="C44" s="7" t="s">
        <v>9</v>
      </c>
      <c r="D44" s="11" t="s">
        <v>24</v>
      </c>
      <c r="E44" s="14">
        <f>[1]!i_dq_close(D44,$D$3)</f>
        <v>2664.0378000000001</v>
      </c>
      <c r="F44" s="14">
        <f>[1]!i_dq_pctchange(D44,$F$3)</f>
        <v>1.0487336599999999</v>
      </c>
      <c r="G44" s="24">
        <v>202306</v>
      </c>
      <c r="H44" s="22" t="str">
        <f>[1]!s_info_atmcode(D44,$D$3,G44,"P","M")</f>
        <v>HO2306-P-2600.CFE</v>
      </c>
      <c r="I44" s="22">
        <f>[1]!w_info_strikeprice(H44,$D$3)</f>
        <v>2600</v>
      </c>
      <c r="J44" s="14">
        <f>[1]!i_dq_pctchange(H44,$D$3)</f>
        <v>-13.829787234042559</v>
      </c>
      <c r="K44" s="14">
        <f>[1]!i_pq_pctchange(H44,K$3,$D$3)</f>
        <v>79.005524861878428</v>
      </c>
      <c r="L44" s="14">
        <f>[1]!i_pq_pctchange($H44,L$3,$D$3)</f>
        <v>31.174089068825911</v>
      </c>
      <c r="M44" s="4"/>
      <c r="N44" s="3"/>
    </row>
    <row r="45" spans="1:14" ht="16.5">
      <c r="A45" s="3"/>
      <c r="B45" s="4"/>
      <c r="C45" s="8"/>
      <c r="D45" s="8"/>
      <c r="E45" s="8"/>
      <c r="F45" s="8"/>
      <c r="G45" s="8"/>
      <c r="H45" s="16"/>
      <c r="I45" s="16"/>
      <c r="J45" s="16"/>
      <c r="K45" s="16"/>
      <c r="L45" s="16"/>
      <c r="M45" s="4"/>
      <c r="N45" s="3"/>
    </row>
    <row r="46" spans="1:14" ht="16.5">
      <c r="A46" s="3"/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4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</sheetData>
  <phoneticPr fontId="1" type="noConversion"/>
  <conditionalFormatting sqref="F10:F12 F14:F17 F19:F21 F13:H13 F18:H18 J18 J13 L13 L18">
    <cfRule type="cellIs" dxfId="51" priority="87" operator="greaterThanOrEqual">
      <formula>0</formula>
    </cfRule>
    <cfRule type="cellIs" dxfId="50" priority="88" operator="lessThan">
      <formula>0</formula>
    </cfRule>
  </conditionalFormatting>
  <conditionalFormatting sqref="J10:J12">
    <cfRule type="cellIs" dxfId="49" priority="63" operator="greaterThanOrEqual">
      <formula>0</formula>
    </cfRule>
    <cfRule type="cellIs" dxfId="48" priority="64" operator="lessThan">
      <formula>0</formula>
    </cfRule>
  </conditionalFormatting>
  <conditionalFormatting sqref="L10:L12">
    <cfRule type="cellIs" dxfId="47" priority="61" operator="greaterThanOrEqual">
      <formula>0</formula>
    </cfRule>
    <cfRule type="cellIs" dxfId="46" priority="62" operator="lessThan">
      <formula>0</formula>
    </cfRule>
  </conditionalFormatting>
  <conditionalFormatting sqref="J14:J17">
    <cfRule type="cellIs" dxfId="45" priority="59" operator="greaterThanOrEqual">
      <formula>0</formula>
    </cfRule>
    <cfRule type="cellIs" dxfId="44" priority="60" operator="lessThan">
      <formula>0</formula>
    </cfRule>
  </conditionalFormatting>
  <conditionalFormatting sqref="L14:L17">
    <cfRule type="cellIs" dxfId="43" priority="57" operator="greaterThanOrEqual">
      <formula>0</formula>
    </cfRule>
    <cfRule type="cellIs" dxfId="42" priority="58" operator="lessThan">
      <formula>0</formula>
    </cfRule>
  </conditionalFormatting>
  <conditionalFormatting sqref="J19:J21 L19:L21">
    <cfRule type="cellIs" dxfId="41" priority="53" operator="greaterThanOrEqual">
      <formula>0</formula>
    </cfRule>
    <cfRule type="cellIs" dxfId="40" priority="54" operator="lessThan">
      <formula>0</formula>
    </cfRule>
  </conditionalFormatting>
  <conditionalFormatting sqref="F37:F40 F42:F44 F36:H36 F41:H41 J41 J36 L36 L41 F31:F33 F35">
    <cfRule type="cellIs" dxfId="39" priority="51" operator="greaterThanOrEqual">
      <formula>0</formula>
    </cfRule>
    <cfRule type="cellIs" dxfId="38" priority="52" operator="lessThan">
      <formula>0</formula>
    </cfRule>
  </conditionalFormatting>
  <conditionalFormatting sqref="J31:J33 J35">
    <cfRule type="cellIs" dxfId="37" priority="47" operator="greaterThanOrEqual">
      <formula>0</formula>
    </cfRule>
    <cfRule type="cellIs" dxfId="36" priority="48" operator="lessThan">
      <formula>0</formula>
    </cfRule>
  </conditionalFormatting>
  <conditionalFormatting sqref="L31:L33 L35">
    <cfRule type="cellIs" dxfId="35" priority="45" operator="greaterThanOrEqual">
      <formula>0</formula>
    </cfRule>
    <cfRule type="cellIs" dxfId="34" priority="46" operator="lessThan">
      <formula>0</formula>
    </cfRule>
  </conditionalFormatting>
  <conditionalFormatting sqref="J37:J40">
    <cfRule type="cellIs" dxfId="33" priority="43" operator="greaterThanOrEqual">
      <formula>0</formula>
    </cfRule>
    <cfRule type="cellIs" dxfId="32" priority="44" operator="lessThan">
      <formula>0</formula>
    </cfRule>
  </conditionalFormatting>
  <conditionalFormatting sqref="L37:L40">
    <cfRule type="cellIs" dxfId="31" priority="41" operator="greaterThanOrEqual">
      <formula>0</formula>
    </cfRule>
    <cfRule type="cellIs" dxfId="30" priority="42" operator="lessThan">
      <formula>0</formula>
    </cfRule>
  </conditionalFormatting>
  <conditionalFormatting sqref="J42:J44 L42:L44">
    <cfRule type="cellIs" dxfId="29" priority="39" operator="greaterThanOrEqual">
      <formula>0</formula>
    </cfRule>
    <cfRule type="cellIs" dxfId="28" priority="40" operator="lessThan">
      <formula>0</formula>
    </cfRule>
  </conditionalFormatting>
  <conditionalFormatting sqref="I13 I18">
    <cfRule type="cellIs" dxfId="27" priority="37" operator="greaterThanOrEqual">
      <formula>0</formula>
    </cfRule>
    <cfRule type="cellIs" dxfId="26" priority="38" operator="lessThan">
      <formula>0</formula>
    </cfRule>
  </conditionalFormatting>
  <conditionalFormatting sqref="I36 I41">
    <cfRule type="cellIs" dxfId="25" priority="35" operator="greaterThanOrEqual">
      <formula>0</formula>
    </cfRule>
    <cfRule type="cellIs" dxfId="24" priority="36" operator="lessThan">
      <formula>0</formula>
    </cfRule>
  </conditionalFormatting>
  <conditionalFormatting sqref="K18 K13">
    <cfRule type="cellIs" dxfId="23" priority="23" operator="greaterThanOrEqual">
      <formula>0</formula>
    </cfRule>
    <cfRule type="cellIs" dxfId="22" priority="24" operator="lessThan">
      <formula>0</formula>
    </cfRule>
  </conditionalFormatting>
  <conditionalFormatting sqref="K10:K12">
    <cfRule type="cellIs" dxfId="21" priority="21" operator="greaterThanOrEqual">
      <formula>0</formula>
    </cfRule>
    <cfRule type="cellIs" dxfId="20" priority="22" operator="lessThan">
      <formula>0</formula>
    </cfRule>
  </conditionalFormatting>
  <conditionalFormatting sqref="K14:K17">
    <cfRule type="cellIs" dxfId="19" priority="19" operator="greaterThanOrEqual">
      <formula>0</formula>
    </cfRule>
    <cfRule type="cellIs" dxfId="18" priority="20" operator="lessThan">
      <formula>0</formula>
    </cfRule>
  </conditionalFormatting>
  <conditionalFormatting sqref="K19:K21">
    <cfRule type="cellIs" dxfId="17" priority="17" operator="greaterThanOrEqual">
      <formula>0</formula>
    </cfRule>
    <cfRule type="cellIs" dxfId="16" priority="18" operator="lessThan">
      <formula>0</formula>
    </cfRule>
  </conditionalFormatting>
  <conditionalFormatting sqref="K41 K36">
    <cfRule type="cellIs" dxfId="15" priority="15" operator="greaterThanOrEqual">
      <formula>0</formula>
    </cfRule>
    <cfRule type="cellIs" dxfId="14" priority="16" operator="lessThan">
      <formula>0</formula>
    </cfRule>
  </conditionalFormatting>
  <conditionalFormatting sqref="K31:K33 K35">
    <cfRule type="cellIs" dxfId="13" priority="13" operator="greaterThanOrEqual">
      <formula>0</formula>
    </cfRule>
    <cfRule type="cellIs" dxfId="12" priority="14" operator="lessThan">
      <formula>0</formula>
    </cfRule>
  </conditionalFormatting>
  <conditionalFormatting sqref="K37:K40">
    <cfRule type="cellIs" dxfId="11" priority="11" operator="greaterThanOrEqual">
      <formula>0</formula>
    </cfRule>
    <cfRule type="cellIs" dxfId="10" priority="12" operator="lessThan">
      <formula>0</formula>
    </cfRule>
  </conditionalFormatting>
  <conditionalFormatting sqref="K42:K44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F34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J34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L34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K34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/>
  <sheetData>
    <row r="1" spans="1:1" ht="17.25">
      <c r="A1" s="58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标的行情</vt:lpstr>
      <vt:lpstr>平值期权行情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Cui YongQiang</cp:lastModifiedBy>
  <dcterms:created xsi:type="dcterms:W3CDTF">2023-03-08T01:02:01Z</dcterms:created>
  <dcterms:modified xsi:type="dcterms:W3CDTF">2023-11-24T02:06:20Z</dcterms:modified>
</cp:coreProperties>
</file>