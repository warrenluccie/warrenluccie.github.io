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yqcui\SVN\WindRes\Management\API\QntProduct\PT\yqcui\20230727 模板库-更新计划1期\衍生品\"/>
    </mc:Choice>
  </mc:AlternateContent>
  <bookViews>
    <workbookView xWindow="30975" yWindow="1875" windowWidth="21600" windowHeight="11385"/>
  </bookViews>
  <sheets>
    <sheet name="期权定价计算器 -单向障碍期权定价计算器" sheetId="2" r:id="rId1"/>
    <sheet name="Wind模板" sheetId="3" state="veryHidden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9" i="2" l="1"/>
  <c r="E18" i="2"/>
  <c r="E17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H7" i="2"/>
  <c r="C38" i="2"/>
  <c r="I7" i="2" l="1"/>
</calcChain>
</file>

<file path=xl/comments1.xml><?xml version="1.0" encoding="utf-8"?>
<comments xmlns="http://schemas.openxmlformats.org/spreadsheetml/2006/main">
  <authors>
    <author>Zhai Shuai</author>
    <author>Liu ZhiXuan</author>
    <author>Wang XiuFeng</author>
  </authors>
  <commentList>
    <comment ref="C8" authorId="0" shapeId="0">
      <text>
        <r>
          <rPr>
            <b/>
            <sz val="9"/>
            <color indexed="81"/>
            <rFont val="宋体"/>
            <family val="3"/>
            <charset val="134"/>
          </rPr>
          <t>可输入：权益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b/>
            <sz val="9"/>
            <color indexed="81"/>
            <rFont val="宋体"/>
            <family val="3"/>
            <charset val="134"/>
          </rPr>
          <t>期货</t>
        </r>
        <r>
          <rPr>
            <sz val="9"/>
            <color indexed="81"/>
            <rFont val="宋体"/>
            <family val="3"/>
            <charset val="134"/>
          </rPr>
          <t>或</t>
        </r>
        <r>
          <rPr>
            <b/>
            <sz val="9"/>
            <color indexed="81"/>
            <rFont val="宋体"/>
            <family val="3"/>
            <charset val="134"/>
          </rPr>
          <t>外汇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C15" authorId="0" shapeId="0">
      <text>
        <r>
          <rPr>
            <b/>
            <sz val="9"/>
            <color indexed="81"/>
            <rFont val="宋体"/>
            <family val="3"/>
            <charset val="134"/>
          </rPr>
          <t>日期格式：yyyymmdd</t>
        </r>
      </text>
    </comment>
    <comment ref="C16" authorId="0" shapeId="0">
      <text>
        <r>
          <rPr>
            <b/>
            <sz val="9"/>
            <color indexed="81"/>
            <rFont val="宋体"/>
            <family val="3"/>
            <charset val="134"/>
          </rPr>
          <t>日期格式：yyyymmdd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C17" authorId="1" shapeId="0">
      <text>
        <r>
          <rPr>
            <b/>
            <sz val="9"/>
            <color indexed="81"/>
            <rFont val="宋体"/>
            <family val="3"/>
            <charset val="134"/>
          </rPr>
          <t>输入百分比数值</t>
        </r>
      </text>
    </comment>
    <comment ref="C18" authorId="1" shapeId="0">
      <text>
        <r>
          <rPr>
            <b/>
            <sz val="9"/>
            <color indexed="81"/>
            <rFont val="宋体"/>
            <family val="3"/>
            <charset val="134"/>
          </rPr>
          <t>输入百分比数值</t>
        </r>
      </text>
    </comment>
    <comment ref="C19" authorId="1" shapeId="0">
      <text>
        <r>
          <rPr>
            <b/>
            <sz val="9"/>
            <color indexed="81"/>
            <rFont val="宋体"/>
            <family val="3"/>
            <charset val="134"/>
          </rPr>
          <t>输入百分比数值</t>
        </r>
      </text>
    </comment>
    <comment ref="C22" authorId="0" shapeId="0">
      <text>
        <r>
          <rPr>
            <sz val="9"/>
            <color indexed="81"/>
            <rFont val="宋体"/>
            <family val="3"/>
            <charset val="134"/>
          </rPr>
          <t>仅在</t>
        </r>
        <r>
          <rPr>
            <b/>
            <sz val="9"/>
            <color indexed="81"/>
            <rFont val="宋体"/>
            <family val="3"/>
            <charset val="134"/>
          </rPr>
          <t>标的类型</t>
        </r>
        <r>
          <rPr>
            <sz val="9"/>
            <color indexed="81"/>
            <rFont val="宋体"/>
            <family val="3"/>
            <charset val="134"/>
          </rPr>
          <t>为</t>
        </r>
        <r>
          <rPr>
            <b/>
            <sz val="9"/>
            <color indexed="81"/>
            <rFont val="宋体"/>
            <family val="3"/>
            <charset val="134"/>
          </rPr>
          <t>权益</t>
        </r>
        <r>
          <rPr>
            <sz val="9"/>
            <color indexed="81"/>
            <rFont val="宋体"/>
            <family val="3"/>
            <charset val="134"/>
          </rPr>
          <t xml:space="preserve">时才调用
</t>
        </r>
      </text>
    </comment>
    <comment ref="C26" authorId="0" shapeId="0">
      <text>
        <r>
          <rPr>
            <sz val="9"/>
            <color indexed="81"/>
            <rFont val="宋体"/>
            <family val="3"/>
            <charset val="134"/>
          </rPr>
          <t>仅在标</t>
        </r>
        <r>
          <rPr>
            <b/>
            <sz val="9"/>
            <color indexed="81"/>
            <rFont val="宋体"/>
            <family val="3"/>
            <charset val="134"/>
          </rPr>
          <t>的类型</t>
        </r>
        <r>
          <rPr>
            <sz val="9"/>
            <color indexed="81"/>
            <rFont val="宋体"/>
            <family val="3"/>
            <charset val="134"/>
          </rPr>
          <t>为</t>
        </r>
        <r>
          <rPr>
            <b/>
            <sz val="9"/>
            <color indexed="81"/>
            <rFont val="宋体"/>
            <family val="3"/>
            <charset val="134"/>
          </rPr>
          <t>外汇</t>
        </r>
        <r>
          <rPr>
            <sz val="9"/>
            <color indexed="81"/>
            <rFont val="宋体"/>
            <family val="3"/>
            <charset val="134"/>
          </rPr>
          <t>时才调用</t>
        </r>
        <r>
          <rPr>
            <b/>
            <sz val="9"/>
            <color indexed="81"/>
            <rFont val="宋体"/>
            <family val="3"/>
            <charset val="134"/>
          </rPr>
          <t xml:space="preserve">
</t>
        </r>
      </text>
    </comment>
    <comment ref="C38" authorId="2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<sst xmlns="http://schemas.openxmlformats.org/spreadsheetml/2006/main" count="62" uniqueCount="62">
  <si>
    <t>1</t>
  </si>
  <si>
    <t>障碍开始日期</t>
  </si>
  <si>
    <t>障碍结束日期</t>
  </si>
  <si>
    <t>障碍水平</t>
  </si>
  <si>
    <t>障碍方向</t>
  </si>
  <si>
    <t>上升出局</t>
  </si>
  <si>
    <t>行权价格</t>
  </si>
  <si>
    <t>认购/认沽</t>
  </si>
  <si>
    <t>认购</t>
  </si>
  <si>
    <t>回扣</t>
  </si>
  <si>
    <t>手数</t>
  </si>
  <si>
    <t>合约乘数</t>
  </si>
  <si>
    <t>标的价格</t>
  </si>
  <si>
    <t>买卖方向</t>
  </si>
  <si>
    <t>买入</t>
  </si>
  <si>
    <t>利率(%)</t>
  </si>
  <si>
    <t>起始日期</t>
  </si>
  <si>
    <t>到期日期</t>
  </si>
  <si>
    <t>波动率(%)</t>
  </si>
  <si>
    <t>障碍类型</t>
  </si>
  <si>
    <t>离散</t>
  </si>
  <si>
    <t>标的类别</t>
  </si>
  <si>
    <t>权益</t>
  </si>
  <si>
    <t>理论价(总计)</t>
  </si>
  <si>
    <t>理论价(单价)</t>
  </si>
  <si>
    <t>理论价(百分比)</t>
  </si>
  <si>
    <t>Delta</t>
  </si>
  <si>
    <t>Gamma</t>
  </si>
  <si>
    <t>Vega</t>
  </si>
  <si>
    <t>Theta</t>
  </si>
  <si>
    <t>Rho</t>
  </si>
  <si>
    <t>2</t>
    <phoneticPr fontId="1" type="noConversion"/>
  </si>
  <si>
    <t>1</t>
    <phoneticPr fontId="1" type="noConversion"/>
  </si>
  <si>
    <t>20221001</t>
    <phoneticPr fontId="1" type="noConversion"/>
  </si>
  <si>
    <t>20230531</t>
    <phoneticPr fontId="1" type="noConversion"/>
  </si>
  <si>
    <t>20230601</t>
    <phoneticPr fontId="1" type="noConversion"/>
  </si>
  <si>
    <t>使用该模板前，请升级Wind终端至最新版。</t>
    <phoneticPr fontId="1" type="noConversion"/>
  </si>
  <si>
    <t>参数设置区</t>
    <phoneticPr fontId="5" type="noConversion"/>
  </si>
  <si>
    <t>结果区</t>
    <phoneticPr fontId="5" type="noConversion"/>
  </si>
  <si>
    <t>权益</t>
    <phoneticPr fontId="1" type="noConversion"/>
  </si>
  <si>
    <t>追踪频率（天）</t>
    <phoneticPr fontId="1" type="noConversion"/>
  </si>
  <si>
    <t>买入</t>
    <phoneticPr fontId="1" type="noConversion"/>
  </si>
  <si>
    <t>认购</t>
    <phoneticPr fontId="1" type="noConversion"/>
  </si>
  <si>
    <t>上升出局</t>
    <phoneticPr fontId="1" type="noConversion"/>
  </si>
  <si>
    <t>期货</t>
    <phoneticPr fontId="1" type="noConversion"/>
  </si>
  <si>
    <t>卖出</t>
    <phoneticPr fontId="1" type="noConversion"/>
  </si>
  <si>
    <t>认沽</t>
    <phoneticPr fontId="1" type="noConversion"/>
  </si>
  <si>
    <t>上升入局</t>
    <phoneticPr fontId="1" type="noConversion"/>
  </si>
  <si>
    <t>外汇</t>
    <phoneticPr fontId="1" type="noConversion"/>
  </si>
  <si>
    <t>下降出局</t>
    <phoneticPr fontId="1" type="noConversion"/>
  </si>
  <si>
    <t>下降入局</t>
    <phoneticPr fontId="1" type="noConversion"/>
  </si>
  <si>
    <t>离散</t>
    <phoneticPr fontId="1" type="noConversion"/>
  </si>
  <si>
    <t>期末</t>
    <phoneticPr fontId="1" type="noConversion"/>
  </si>
  <si>
    <t>连续</t>
    <phoneticPr fontId="1" type="noConversion"/>
  </si>
  <si>
    <t>第二货币利率(%)</t>
    <phoneticPr fontId="5" type="noConversion"/>
  </si>
  <si>
    <t>股息率(%)</t>
    <phoneticPr fontId="5" type="noConversion"/>
  </si>
  <si>
    <t>期权定价计算器 -单向障碍期权定价计算器</t>
    <phoneticPr fontId="5" type="noConversion"/>
  </si>
  <si>
    <t>交易日</t>
    <phoneticPr fontId="1" type="noConversion"/>
  </si>
  <si>
    <t>自然日</t>
    <phoneticPr fontId="1" type="noConversion"/>
  </si>
  <si>
    <t>日历类型</t>
    <phoneticPr fontId="1" type="noConversion"/>
  </si>
  <si>
    <t>交易日</t>
  </si>
  <si>
    <t>单向障碍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</si>
</sst>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7" formatCode="0.00_ "/>
    <numFmt numFmtId="178" formatCode="0.0000_ "/>
    <numFmt numFmtId="179" formatCode="#,##0.##"/>
  </numFmts>
  <fonts count="1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4"/>
      <color theme="0"/>
      <name val="微软雅黑"/>
      <family val="2"/>
      <charset val="134"/>
    </font>
    <font>
      <sz val="9"/>
      <name val="宋体"/>
      <family val="3"/>
      <charset val="134"/>
    </font>
    <font>
      <sz val="12"/>
      <name val="微软雅黑"/>
      <family val="2"/>
      <charset val="134"/>
    </font>
    <font>
      <sz val="10"/>
      <color rgb="FF212121"/>
      <name val="微软雅黑"/>
      <family val="2"/>
      <charset val="134"/>
    </font>
    <font>
      <b/>
      <sz val="10"/>
      <color rgb="FF212121"/>
      <name val="微软雅黑"/>
      <family val="2"/>
      <charset val="134"/>
    </font>
    <font>
      <sz val="10"/>
      <color rgb="FF212121"/>
      <name val="Arial"/>
      <family val="2"/>
    </font>
    <font>
      <sz val="11"/>
      <color theme="0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63636D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8D078"/>
        <bgColor indexed="64"/>
      </patternFill>
    </fill>
    <fill>
      <patternFill patternType="solid">
        <fgColor rgb="FFF4F4F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0" tint="-0.14996795556505021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2" borderId="0" xfId="0" applyFill="1" applyAlignment="1"/>
    <xf numFmtId="0" fontId="4" fillId="2" borderId="0" xfId="0" applyFont="1" applyFill="1">
      <alignment vertical="center"/>
    </xf>
    <xf numFmtId="0" fontId="0" fillId="3" borderId="0" xfId="0" applyFill="1" applyAlignment="1"/>
    <xf numFmtId="0" fontId="0" fillId="4" borderId="0" xfId="0" applyFill="1" applyAlignment="1"/>
    <xf numFmtId="0" fontId="6" fillId="4" borderId="1" xfId="0" applyFont="1" applyFill="1" applyBorder="1" applyAlignment="1">
      <alignment vertical="top"/>
    </xf>
    <xf numFmtId="0" fontId="0" fillId="4" borderId="1" xfId="0" applyFill="1" applyBorder="1" applyAlignment="1"/>
    <xf numFmtId="0" fontId="7" fillId="4" borderId="0" xfId="0" applyFont="1" applyFill="1" applyAlignment="1">
      <alignment horizontal="left"/>
    </xf>
    <xf numFmtId="0" fontId="8" fillId="5" borderId="0" xfId="0" applyFont="1" applyFill="1" applyAlignment="1"/>
    <xf numFmtId="177" fontId="8" fillId="7" borderId="0" xfId="0" applyNumberFormat="1" applyFont="1" applyFill="1">
      <alignment vertical="center"/>
    </xf>
    <xf numFmtId="0" fontId="7" fillId="4" borderId="0" xfId="0" applyFont="1" applyFill="1" applyAlignment="1"/>
    <xf numFmtId="0" fontId="8" fillId="4" borderId="0" xfId="0" applyFont="1" applyFill="1" applyAlignment="1"/>
    <xf numFmtId="0" fontId="0" fillId="4" borderId="0" xfId="0" applyFill="1">
      <alignment vertical="center"/>
    </xf>
    <xf numFmtId="177" fontId="9" fillId="4" borderId="0" xfId="0" applyNumberFormat="1" applyFont="1" applyFill="1" applyAlignment="1">
      <alignment horizontal="right" vertical="center"/>
    </xf>
    <xf numFmtId="10" fontId="7" fillId="6" borderId="0" xfId="0" applyNumberFormat="1" applyFont="1" applyFill="1" applyAlignment="1" applyProtection="1">
      <alignment horizontal="center"/>
      <protection locked="0"/>
    </xf>
    <xf numFmtId="0" fontId="8" fillId="5" borderId="0" xfId="0" applyFont="1" applyFill="1" applyAlignment="1">
      <alignment horizontal="center"/>
    </xf>
    <xf numFmtId="178" fontId="8" fillId="7" borderId="0" xfId="0" applyNumberFormat="1" applyFont="1" applyFill="1" applyProtection="1">
      <alignment vertical="center"/>
      <protection locked="0" hidden="1"/>
    </xf>
    <xf numFmtId="178" fontId="8" fillId="4" borderId="0" xfId="0" applyNumberFormat="1" applyFont="1" applyFill="1" applyAlignment="1" applyProtection="1">
      <protection locked="0" hidden="1"/>
    </xf>
    <xf numFmtId="0" fontId="10" fillId="4" borderId="0" xfId="0" applyFont="1" applyFill="1">
      <alignment vertical="center"/>
    </xf>
    <xf numFmtId="49" fontId="10" fillId="4" borderId="0" xfId="0" applyNumberFormat="1" applyFont="1" applyFill="1" applyAlignment="1">
      <alignment horizontal="right" vertical="center"/>
    </xf>
    <xf numFmtId="0" fontId="11" fillId="4" borderId="0" xfId="0" applyFont="1" applyFill="1">
      <alignment vertical="center"/>
    </xf>
    <xf numFmtId="0" fontId="10" fillId="0" borderId="0" xfId="0" applyFont="1">
      <alignment vertical="center"/>
    </xf>
    <xf numFmtId="0" fontId="7" fillId="6" borderId="0" xfId="0" applyFont="1" applyFill="1" applyAlignment="1" applyProtection="1">
      <alignment horizontal="center"/>
      <protection locked="0"/>
    </xf>
    <xf numFmtId="0" fontId="7" fillId="4" borderId="0" xfId="0" applyFont="1" applyFill="1" applyAlignment="1" applyProtection="1">
      <alignment horizontal="center"/>
      <protection locked="0"/>
    </xf>
    <xf numFmtId="0" fontId="7" fillId="6" borderId="0" xfId="0" applyFont="1" applyFill="1" applyAlignment="1">
      <alignment horizontal="center"/>
    </xf>
    <xf numFmtId="179" fontId="0" fillId="0" borderId="0" xfId="0" applyNumberFormat="1" applyAlignment="1">
      <alignment horizontal="right" vertical="center"/>
    </xf>
    <xf numFmtId="179" fontId="10" fillId="4" borderId="0" xfId="0" applyNumberFormat="1" applyFont="1" applyFill="1" applyAlignment="1">
      <alignment horizontal="right" vertical="center"/>
    </xf>
    <xf numFmtId="0" fontId="6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CAC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9525</xdr:rowOff>
    </xdr:from>
    <xdr:to>
      <xdr:col>1</xdr:col>
      <xdr:colOff>0</xdr:colOff>
      <xdr:row>0</xdr:row>
      <xdr:rowOff>269752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CA778F0A-77D4-44C8-B9E0-F13178B2F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9525"/>
          <a:ext cx="638175" cy="26022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wset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0CAC20"/>
  </sheetPr>
  <dimension ref="A1:T47"/>
  <sheetViews>
    <sheetView tabSelected="1" workbookViewId="0">
      <selection activeCell="B52" sqref="B52"/>
    </sheetView>
  </sheetViews>
  <sheetFormatPr defaultRowHeight="14.25" x14ac:dyDescent="0.2"/>
  <cols>
    <col min="1" max="2" width="9" style="12"/>
    <col min="3" max="3" width="12.625" style="12" customWidth="1"/>
    <col min="4" max="5" width="11.625" style="12" customWidth="1"/>
    <col min="6" max="7" width="10.625" style="12" customWidth="1"/>
    <col min="8" max="8" width="12.625" style="12" customWidth="1"/>
    <col min="9" max="9" width="9.625" style="12" customWidth="1"/>
    <col min="10" max="10" width="8.625" style="12" customWidth="1"/>
    <col min="11" max="16384" width="9" style="12"/>
  </cols>
  <sheetData>
    <row r="1" spans="1:11" ht="33" customHeight="1" x14ac:dyDescent="0.2">
      <c r="A1" s="1"/>
      <c r="B1" s="1"/>
      <c r="C1" s="1"/>
      <c r="D1" s="2" t="s">
        <v>56</v>
      </c>
      <c r="E1" s="2"/>
      <c r="F1" s="2"/>
      <c r="G1" s="1"/>
      <c r="H1" s="1"/>
      <c r="I1" s="1"/>
      <c r="J1" s="1"/>
      <c r="K1" s="1"/>
    </row>
    <row r="2" spans="1:11" x14ac:dyDescent="0.2">
      <c r="A2" s="3"/>
      <c r="B2" s="3"/>
      <c r="C2" s="3"/>
      <c r="D2" s="3" t="s">
        <v>36</v>
      </c>
      <c r="E2" s="3"/>
      <c r="F2" s="3"/>
      <c r="G2" s="3"/>
      <c r="H2" s="3"/>
      <c r="I2" s="3"/>
      <c r="J2" s="3"/>
      <c r="K2" s="3"/>
    </row>
    <row r="3" spans="1:1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">
      <c r="A4" s="3"/>
      <c r="B4" s="4"/>
      <c r="C4" s="4"/>
      <c r="D4" s="4"/>
      <c r="E4" s="4"/>
      <c r="F4" s="4"/>
      <c r="G4" s="4"/>
      <c r="H4" s="4"/>
      <c r="I4" s="4"/>
      <c r="J4" s="4"/>
      <c r="K4" s="3"/>
    </row>
    <row r="5" spans="1:11" ht="17.25" x14ac:dyDescent="0.35">
      <c r="A5" s="3"/>
      <c r="B5" s="4"/>
      <c r="C5" s="5" t="s">
        <v>37</v>
      </c>
      <c r="D5" s="6"/>
      <c r="E5" s="7"/>
      <c r="F5" s="7"/>
      <c r="G5" s="7"/>
      <c r="H5" s="5" t="s">
        <v>38</v>
      </c>
      <c r="I5" s="6"/>
      <c r="J5" s="4"/>
      <c r="K5" s="3"/>
    </row>
    <row r="6" spans="1:11" x14ac:dyDescent="0.2">
      <c r="A6" s="3"/>
      <c r="B6" s="4"/>
      <c r="C6" s="4"/>
      <c r="D6" s="4"/>
      <c r="E6" s="4"/>
      <c r="F6" s="4"/>
      <c r="G6" s="4"/>
      <c r="H6" s="4"/>
      <c r="I6" s="4"/>
      <c r="J6" s="4"/>
      <c r="K6" s="3"/>
    </row>
    <row r="7" spans="1:11" ht="16.5" x14ac:dyDescent="0.35">
      <c r="A7" s="3"/>
      <c r="B7" s="4"/>
      <c r="C7" s="8" t="s">
        <v>12</v>
      </c>
      <c r="D7" s="22">
        <v>100</v>
      </c>
      <c r="E7" s="22"/>
      <c r="F7" s="7"/>
      <c r="G7" s="7"/>
      <c r="H7" s="9" t="str">
        <f>C37</f>
        <v>理论价(总计)</v>
      </c>
      <c r="I7" s="16">
        <f>C38</f>
        <v>239.68</v>
      </c>
      <c r="J7" s="4"/>
      <c r="K7" s="3"/>
    </row>
    <row r="8" spans="1:11" ht="16.5" x14ac:dyDescent="0.35">
      <c r="A8" s="3"/>
      <c r="B8" s="4"/>
      <c r="C8" s="8" t="s">
        <v>21</v>
      </c>
      <c r="D8" s="22" t="s">
        <v>22</v>
      </c>
      <c r="E8" s="22"/>
      <c r="F8" s="7"/>
      <c r="G8" s="10"/>
      <c r="H8" s="11" t="str">
        <f>D37</f>
        <v>理论价(单价)</v>
      </c>
      <c r="I8" s="17">
        <f>D38</f>
        <v>2.3967999999999998</v>
      </c>
      <c r="J8" s="4"/>
      <c r="K8" s="3"/>
    </row>
    <row r="9" spans="1:11" ht="16.5" x14ac:dyDescent="0.35">
      <c r="A9" s="3"/>
      <c r="B9" s="4"/>
      <c r="C9" s="8" t="s">
        <v>13</v>
      </c>
      <c r="D9" s="22" t="s">
        <v>14</v>
      </c>
      <c r="E9" s="22"/>
      <c r="F9" s="7"/>
      <c r="G9" s="10"/>
      <c r="H9" s="9" t="str">
        <f>E37</f>
        <v>理论价(百分比)</v>
      </c>
      <c r="I9" s="16">
        <f>E38</f>
        <v>2.3967999999999998</v>
      </c>
      <c r="K9" s="3"/>
    </row>
    <row r="10" spans="1:11" ht="16.5" x14ac:dyDescent="0.35">
      <c r="A10" s="3"/>
      <c r="B10" s="4"/>
      <c r="C10" s="8" t="s">
        <v>7</v>
      </c>
      <c r="D10" s="22" t="s">
        <v>8</v>
      </c>
      <c r="E10" s="22"/>
      <c r="F10" s="7"/>
      <c r="G10" s="10"/>
      <c r="H10" s="11" t="str">
        <f>F37</f>
        <v>Delta</v>
      </c>
      <c r="I10" s="17">
        <f>F38</f>
        <v>-0.43769999999999998</v>
      </c>
      <c r="J10" s="4"/>
      <c r="K10" s="3"/>
    </row>
    <row r="11" spans="1:11" ht="16.5" x14ac:dyDescent="0.35">
      <c r="A11" s="3"/>
      <c r="B11" s="4"/>
      <c r="C11" s="8" t="s">
        <v>19</v>
      </c>
      <c r="D11" s="22" t="s">
        <v>20</v>
      </c>
      <c r="E11" s="22"/>
      <c r="F11" s="7"/>
      <c r="G11" s="10"/>
      <c r="H11" s="9" t="str">
        <f>G37</f>
        <v>Gamma</v>
      </c>
      <c r="I11" s="16">
        <f>G38</f>
        <v>-1.0305</v>
      </c>
      <c r="J11" s="4"/>
      <c r="K11" s="3"/>
    </row>
    <row r="12" spans="1:11" ht="16.5" x14ac:dyDescent="0.35">
      <c r="A12" s="3"/>
      <c r="B12" s="4"/>
      <c r="C12" s="8" t="s">
        <v>4</v>
      </c>
      <c r="D12" s="22" t="s">
        <v>5</v>
      </c>
      <c r="E12" s="22"/>
      <c r="F12" s="7"/>
      <c r="G12" s="10"/>
      <c r="H12" s="11" t="str">
        <f>H37</f>
        <v>Vega</v>
      </c>
      <c r="I12" s="17">
        <f>H38</f>
        <v>-11.64</v>
      </c>
      <c r="J12" s="13"/>
      <c r="K12" s="3"/>
    </row>
    <row r="13" spans="1:11" ht="16.5" x14ac:dyDescent="0.35">
      <c r="A13" s="3"/>
      <c r="B13" s="4"/>
      <c r="C13" s="8" t="s">
        <v>10</v>
      </c>
      <c r="D13" s="22" t="s">
        <v>0</v>
      </c>
      <c r="E13" s="22"/>
      <c r="F13" s="7"/>
      <c r="G13" s="10"/>
      <c r="H13" s="9" t="str">
        <f>I37</f>
        <v>Theta</v>
      </c>
      <c r="I13" s="16">
        <f>I38</f>
        <v>1.2166999999999999</v>
      </c>
      <c r="J13" s="4"/>
      <c r="K13" s="3"/>
    </row>
    <row r="14" spans="1:11" ht="16.5" x14ac:dyDescent="0.35">
      <c r="A14" s="3"/>
      <c r="B14" s="4"/>
      <c r="C14" s="8" t="s">
        <v>11</v>
      </c>
      <c r="D14" s="22">
        <v>100</v>
      </c>
      <c r="E14" s="22"/>
      <c r="F14" s="7"/>
      <c r="G14" s="10"/>
      <c r="H14" s="11" t="str">
        <f>J37</f>
        <v>Rho</v>
      </c>
      <c r="I14" s="17">
        <f>J38</f>
        <v>1.9260999999999999</v>
      </c>
      <c r="J14" s="4"/>
      <c r="K14" s="3"/>
    </row>
    <row r="15" spans="1:11" ht="16.5" x14ac:dyDescent="0.35">
      <c r="A15" s="3"/>
      <c r="B15" s="4"/>
      <c r="C15" s="8" t="s">
        <v>16</v>
      </c>
      <c r="D15" s="22" t="s">
        <v>33</v>
      </c>
      <c r="E15" s="22"/>
      <c r="F15" s="7"/>
      <c r="G15" s="10"/>
      <c r="H15" s="7"/>
      <c r="I15" s="10"/>
      <c r="J15" s="4"/>
      <c r="K15" s="3"/>
    </row>
    <row r="16" spans="1:11" ht="16.5" x14ac:dyDescent="0.35">
      <c r="A16" s="3"/>
      <c r="B16" s="4"/>
      <c r="C16" s="8" t="s">
        <v>17</v>
      </c>
      <c r="D16" s="22" t="s">
        <v>35</v>
      </c>
      <c r="E16" s="22"/>
      <c r="F16" s="7"/>
      <c r="G16" s="10"/>
      <c r="H16" s="7"/>
      <c r="I16" s="10"/>
      <c r="J16" s="4"/>
      <c r="K16" s="3"/>
    </row>
    <row r="17" spans="1:11" ht="16.5" x14ac:dyDescent="0.35">
      <c r="A17" s="3"/>
      <c r="B17" s="4"/>
      <c r="C17" s="8" t="s">
        <v>6</v>
      </c>
      <c r="D17" s="14">
        <v>0.92</v>
      </c>
      <c r="E17" s="15">
        <f>D17*$D$7</f>
        <v>92</v>
      </c>
      <c r="F17" s="7"/>
      <c r="G17" s="10"/>
      <c r="H17" s="11"/>
      <c r="I17" s="10"/>
      <c r="J17" s="4"/>
      <c r="K17" s="3"/>
    </row>
    <row r="18" spans="1:11" ht="16.5" x14ac:dyDescent="0.35">
      <c r="A18" s="3"/>
      <c r="B18" s="4"/>
      <c r="C18" s="8" t="s">
        <v>3</v>
      </c>
      <c r="D18" s="14">
        <v>1.1000000000000001</v>
      </c>
      <c r="E18" s="15">
        <f t="shared" ref="E18:E19" si="0">D18*$D$7</f>
        <v>110.00000000000001</v>
      </c>
      <c r="F18" s="7"/>
      <c r="G18" s="10"/>
      <c r="H18" s="7"/>
      <c r="I18" s="10"/>
      <c r="J18" s="4"/>
      <c r="K18" s="3"/>
    </row>
    <row r="19" spans="1:11" ht="16.5" x14ac:dyDescent="0.35">
      <c r="A19" s="3"/>
      <c r="B19" s="4"/>
      <c r="C19" s="8" t="s">
        <v>9</v>
      </c>
      <c r="D19" s="14">
        <v>0.02</v>
      </c>
      <c r="E19" s="15">
        <f t="shared" si="0"/>
        <v>2</v>
      </c>
      <c r="F19" s="7"/>
      <c r="G19" s="10"/>
      <c r="H19" s="7"/>
      <c r="I19" s="10"/>
      <c r="J19" s="4"/>
      <c r="K19" s="3"/>
    </row>
    <row r="20" spans="1:11" ht="16.5" x14ac:dyDescent="0.35">
      <c r="A20" s="3"/>
      <c r="B20" s="4"/>
      <c r="C20" s="8" t="s">
        <v>18</v>
      </c>
      <c r="D20" s="22">
        <v>20</v>
      </c>
      <c r="E20" s="22"/>
      <c r="F20" s="13"/>
      <c r="G20" s="13"/>
      <c r="H20" s="13"/>
      <c r="I20" s="13"/>
      <c r="J20" s="4"/>
      <c r="K20" s="3"/>
    </row>
    <row r="21" spans="1:11" ht="16.5" x14ac:dyDescent="0.35">
      <c r="A21" s="3"/>
      <c r="C21" s="8" t="s">
        <v>15</v>
      </c>
      <c r="D21" s="22" t="s">
        <v>31</v>
      </c>
      <c r="E21" s="22"/>
      <c r="K21" s="3"/>
    </row>
    <row r="22" spans="1:11" ht="16.5" x14ac:dyDescent="0.35">
      <c r="A22" s="3"/>
      <c r="C22" s="8" t="s">
        <v>55</v>
      </c>
      <c r="D22" s="22" t="s">
        <v>32</v>
      </c>
      <c r="E22" s="22"/>
      <c r="K22" s="3"/>
    </row>
    <row r="23" spans="1:11" ht="16.5" x14ac:dyDescent="0.35">
      <c r="A23" s="3"/>
      <c r="C23" s="8" t="s">
        <v>1</v>
      </c>
      <c r="D23" s="22">
        <v>20221002</v>
      </c>
      <c r="E23" s="22"/>
      <c r="K23" s="3"/>
    </row>
    <row r="24" spans="1:11" ht="16.5" x14ac:dyDescent="0.35">
      <c r="A24" s="3"/>
      <c r="C24" s="8" t="s">
        <v>2</v>
      </c>
      <c r="D24" s="22" t="s">
        <v>34</v>
      </c>
      <c r="E24" s="22"/>
      <c r="K24" s="3"/>
    </row>
    <row r="25" spans="1:11" ht="16.5" x14ac:dyDescent="0.35">
      <c r="A25" s="3"/>
      <c r="C25" s="8" t="s">
        <v>40</v>
      </c>
      <c r="D25" s="22">
        <v>1</v>
      </c>
      <c r="E25" s="22"/>
      <c r="K25" s="3"/>
    </row>
    <row r="26" spans="1:11" ht="16.5" x14ac:dyDescent="0.35">
      <c r="A26" s="3"/>
      <c r="C26" s="8" t="s">
        <v>54</v>
      </c>
      <c r="D26" s="24">
        <v>0</v>
      </c>
      <c r="E26" s="24"/>
      <c r="K26" s="3"/>
    </row>
    <row r="27" spans="1:11" ht="16.5" x14ac:dyDescent="0.35">
      <c r="A27" s="3"/>
      <c r="C27" s="8" t="s">
        <v>59</v>
      </c>
      <c r="D27" s="24" t="s">
        <v>60</v>
      </c>
      <c r="E27" s="24"/>
      <c r="K27" s="3"/>
    </row>
    <row r="28" spans="1:11" x14ac:dyDescent="0.2">
      <c r="A28" s="3"/>
      <c r="K28" s="3"/>
    </row>
    <row r="29" spans="1:1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ht="16.5" x14ac:dyDescent="0.35">
      <c r="C30" s="11"/>
      <c r="D30" s="23"/>
      <c r="E30" s="23"/>
    </row>
    <row r="34" spans="2:20" x14ac:dyDescent="0.2"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</row>
    <row r="35" spans="2:20" x14ac:dyDescent="0.2"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</row>
    <row r="36" spans="2:20" s="18" customFormat="1" hidden="1" x14ac:dyDescent="0.2">
      <c r="C36" s="19"/>
    </row>
    <row r="37" spans="2:20" s="18" customFormat="1" hidden="1" x14ac:dyDescent="0.2">
      <c r="C37" s="18" t="s">
        <v>23</v>
      </c>
      <c r="D37" s="18" t="s">
        <v>24</v>
      </c>
      <c r="E37" s="18" t="s">
        <v>25</v>
      </c>
      <c r="F37" s="18" t="s">
        <v>26</v>
      </c>
      <c r="G37" s="18" t="s">
        <v>27</v>
      </c>
      <c r="H37" s="18" t="s">
        <v>28</v>
      </c>
      <c r="I37" s="18" t="s">
        <v>29</v>
      </c>
      <c r="J37" s="18" t="s">
        <v>30</v>
      </c>
      <c r="K37" s="18" t="s">
        <v>39</v>
      </c>
      <c r="L37" s="18" t="s">
        <v>41</v>
      </c>
      <c r="M37" s="18" t="s">
        <v>42</v>
      </c>
      <c r="N37" s="18" t="s">
        <v>43</v>
      </c>
      <c r="O37" s="18" t="s">
        <v>51</v>
      </c>
      <c r="P37" s="21" t="s">
        <v>57</v>
      </c>
    </row>
    <row r="38" spans="2:20" s="18" customFormat="1" hidden="1" x14ac:dyDescent="0.2">
      <c r="C38" s="25">
        <f>[1]!wset("ovc_standardbarrier","observationFreq="&amp;D25,"firstObservationDate="&amp;D23,"finalObservationDate="&amp;D24,"obsLevelValue="&amp;E18,"obsDirection="&amp;D12,"exercisePrice="&amp;E17,"optionType="&amp;D10,"kickBackValue="&amp;E19,"count="&amp;D13,"multiplier="&amp;D14,"underlyingPrice="&amp;D7,"direction="&amp;D9,"interestRateValue="&amp;D21,"startDate="&amp;D15,"endDate="&amp;D16,"volatilityValue="&amp;D20,"barrierType="&amp;D11,"underlyingType="&amp;D8,"dividendYield="&amp;D22,"secondInterestRate="&amp;D26,"dateType="&amp;D27,"field=priceTotal,priceSingle,pricePercent,delta,gamma,vega,theta,rho","cols=8;rows=1")</f>
        <v>239.68</v>
      </c>
      <c r="D38" s="26">
        <v>2.3967999999999998</v>
      </c>
      <c r="E38" s="26">
        <v>2.3967999999999998</v>
      </c>
      <c r="F38" s="26">
        <v>-0.43769999999999998</v>
      </c>
      <c r="G38" s="26">
        <v>-1.0305</v>
      </c>
      <c r="H38" s="26">
        <v>-11.64</v>
      </c>
      <c r="I38" s="26">
        <v>1.2166999999999999</v>
      </c>
      <c r="J38" s="26">
        <v>1.9260999999999999</v>
      </c>
      <c r="K38" s="18" t="s">
        <v>44</v>
      </c>
      <c r="L38" s="18" t="s">
        <v>45</v>
      </c>
      <c r="M38" s="18" t="s">
        <v>46</v>
      </c>
      <c r="N38" s="18" t="s">
        <v>47</v>
      </c>
      <c r="O38" s="18" t="s">
        <v>52</v>
      </c>
      <c r="P38" s="21" t="s">
        <v>58</v>
      </c>
    </row>
    <row r="39" spans="2:20" s="18" customFormat="1" hidden="1" x14ac:dyDescent="0.2">
      <c r="K39" s="18" t="s">
        <v>48</v>
      </c>
      <c r="N39" s="18" t="s">
        <v>49</v>
      </c>
      <c r="O39" s="18" t="s">
        <v>53</v>
      </c>
    </row>
    <row r="40" spans="2:20" s="18" customFormat="1" hidden="1" x14ac:dyDescent="0.2">
      <c r="N40" s="18" t="s">
        <v>50</v>
      </c>
    </row>
    <row r="41" spans="2:20" s="18" customFormat="1" hidden="1" x14ac:dyDescent="0.2"/>
    <row r="42" spans="2:20" x14ac:dyDescent="0.2"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</row>
    <row r="43" spans="2:20" x14ac:dyDescent="0.2"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</row>
    <row r="44" spans="2:20" x14ac:dyDescent="0.2"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</row>
    <row r="45" spans="2:20" x14ac:dyDescent="0.2"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</row>
    <row r="46" spans="2:20" x14ac:dyDescent="0.2"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</row>
    <row r="47" spans="2:20" x14ac:dyDescent="0.2"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</row>
  </sheetData>
  <dataConsolidate/>
  <mergeCells count="19">
    <mergeCell ref="D22:E22"/>
    <mergeCell ref="D30:E30"/>
    <mergeCell ref="D25:E25"/>
    <mergeCell ref="D23:E23"/>
    <mergeCell ref="D24:E24"/>
    <mergeCell ref="D26:E26"/>
    <mergeCell ref="D27:E27"/>
    <mergeCell ref="D7:E7"/>
    <mergeCell ref="D9:E9"/>
    <mergeCell ref="D21:E21"/>
    <mergeCell ref="D14:E14"/>
    <mergeCell ref="D12:E12"/>
    <mergeCell ref="D10:E10"/>
    <mergeCell ref="D13:E13"/>
    <mergeCell ref="D8:E8"/>
    <mergeCell ref="D15:E15"/>
    <mergeCell ref="D16:E16"/>
    <mergeCell ref="D20:E20"/>
    <mergeCell ref="D11:E11"/>
  </mergeCells>
  <phoneticPr fontId="1" type="noConversion"/>
  <dataValidations count="7">
    <dataValidation type="list" allowBlank="1" showInputMessage="1" showErrorMessage="1" sqref="O8:P10">
      <formula1>#REF!</formula1>
    </dataValidation>
    <dataValidation type="list" allowBlank="1" showInputMessage="1" showErrorMessage="1" sqref="O7:P7 D9:E9">
      <formula1>$L$37:$L$38</formula1>
    </dataValidation>
    <dataValidation type="list" allowBlank="1" showInputMessage="1" showErrorMessage="1" sqref="O6:P6 D8:E8">
      <formula1>$K$37:$K$39</formula1>
    </dataValidation>
    <dataValidation type="list" allowBlank="1" showInputMessage="1" showErrorMessage="1" sqref="D10:E10">
      <formula1>$M$37:$M$38</formula1>
    </dataValidation>
    <dataValidation type="list" allowBlank="1" showInputMessage="1" showErrorMessage="1" sqref="D11:E11">
      <formula1>$O$37:$O$39</formula1>
    </dataValidation>
    <dataValidation type="list" allowBlank="1" showInputMessage="1" showErrorMessage="1" sqref="D12:E12">
      <formula1>$N$37:$N$40</formula1>
    </dataValidation>
    <dataValidation type="list" allowBlank="1" showInputMessage="1" showErrorMessage="1" sqref="D27:E27">
      <formula1>$P$37:$P$38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4.25" x14ac:dyDescent="0.2"/>
  <sheetData>
    <row r="1" spans="1:1" ht="17.25" x14ac:dyDescent="0.2">
      <c r="A1" s="27" t="s">
        <v>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期权定价计算器 -单向障碍期权定价计算器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XiuFeng</dc:creator>
  <cp:lastModifiedBy>Cui YongQiang</cp:lastModifiedBy>
  <dcterms:created xsi:type="dcterms:W3CDTF">2023-06-20T07:46:03Z</dcterms:created>
  <dcterms:modified xsi:type="dcterms:W3CDTF">2023-11-24T01:57:05Z</dcterms:modified>
</cp:coreProperties>
</file>