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铅" sheetId="1" r:id="rId1"/>
    <sheet name="铅模板" sheetId="3" r:id="rId2"/>
    <sheet name="铅原始数据" sheetId="2" r:id="rId3"/>
    <sheet name="Wind模板" sheetId="4" state="very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1" l="1"/>
  <c r="A1" i="2"/>
  <c r="G3" i="3" l="1"/>
  <c r="G5" i="3"/>
  <c r="M6" i="3"/>
  <c r="M8" i="3"/>
  <c r="K10" i="3"/>
  <c r="K12" i="3"/>
  <c r="K14" i="3"/>
  <c r="J16" i="3"/>
  <c r="I18" i="3"/>
  <c r="I20" i="3"/>
  <c r="H22" i="3"/>
  <c r="H24" i="3"/>
  <c r="H26" i="3"/>
  <c r="G28" i="3"/>
  <c r="M29" i="3"/>
  <c r="M31" i="3"/>
  <c r="K35" i="3"/>
  <c r="J37" i="3"/>
  <c r="I39" i="3"/>
  <c r="I41" i="3"/>
  <c r="H43" i="3"/>
  <c r="H45" i="3"/>
  <c r="H47" i="3"/>
  <c r="K21" i="3"/>
  <c r="H33" i="3"/>
  <c r="J42" i="3"/>
  <c r="H10" i="3"/>
  <c r="K23" i="3"/>
  <c r="M38" i="3"/>
  <c r="H39" i="3"/>
  <c r="H3" i="3"/>
  <c r="H5" i="3"/>
  <c r="G7" i="3"/>
  <c r="G9" i="3"/>
  <c r="M10" i="3"/>
  <c r="M12" i="3"/>
  <c r="K16" i="3"/>
  <c r="J18" i="3"/>
  <c r="J20" i="3"/>
  <c r="I22" i="3"/>
  <c r="I24" i="3"/>
  <c r="I26" i="3"/>
  <c r="H28" i="3"/>
  <c r="G30" i="3"/>
  <c r="G32" i="3"/>
  <c r="M33" i="3"/>
  <c r="K37" i="3"/>
  <c r="J39" i="3"/>
  <c r="J41" i="3"/>
  <c r="I43" i="3"/>
  <c r="I45" i="3"/>
  <c r="I47" i="3"/>
  <c r="H8" i="3"/>
  <c r="I29" i="3"/>
  <c r="J2" i="3"/>
  <c r="M17" i="3"/>
  <c r="J29" i="3"/>
  <c r="M40" i="3"/>
  <c r="I37" i="3"/>
  <c r="I3" i="3"/>
  <c r="I5" i="3"/>
  <c r="H7" i="3"/>
  <c r="H9" i="3"/>
  <c r="G11" i="3"/>
  <c r="G13" i="3"/>
  <c r="M14" i="3"/>
  <c r="M16" i="3"/>
  <c r="K18" i="3"/>
  <c r="K20" i="3"/>
  <c r="J22" i="3"/>
  <c r="J24" i="3"/>
  <c r="J26" i="3"/>
  <c r="I28" i="3"/>
  <c r="H30" i="3"/>
  <c r="H32" i="3"/>
  <c r="G34" i="3"/>
  <c r="M35" i="3"/>
  <c r="M37" i="3"/>
  <c r="K39" i="3"/>
  <c r="K41" i="3"/>
  <c r="J43" i="3"/>
  <c r="J45" i="3"/>
  <c r="J47" i="3"/>
  <c r="G12" i="3"/>
  <c r="L12" i="3" s="1"/>
  <c r="J25" i="3"/>
  <c r="J44" i="3"/>
  <c r="I8" i="3"/>
  <c r="J27" i="3"/>
  <c r="K46" i="3"/>
  <c r="G45" i="3"/>
  <c r="J3" i="3"/>
  <c r="J5" i="3"/>
  <c r="I7" i="3"/>
  <c r="I9" i="3"/>
  <c r="H11" i="3"/>
  <c r="H13" i="3"/>
  <c r="G15" i="3"/>
  <c r="G17" i="3"/>
  <c r="M18" i="3"/>
  <c r="M20" i="3"/>
  <c r="K22" i="3"/>
  <c r="K24" i="3"/>
  <c r="K26" i="3"/>
  <c r="J28" i="3"/>
  <c r="I30" i="3"/>
  <c r="I32" i="3"/>
  <c r="H34" i="3"/>
  <c r="G36" i="3"/>
  <c r="G38" i="3"/>
  <c r="L38" i="3" s="1"/>
  <c r="M39" i="3"/>
  <c r="K43" i="3"/>
  <c r="K45" i="3"/>
  <c r="K47" i="3"/>
  <c r="G14" i="3"/>
  <c r="L14" i="3" s="1"/>
  <c r="G35" i="3"/>
  <c r="H12" i="3"/>
  <c r="K25" i="3"/>
  <c r="K42" i="3"/>
  <c r="G43" i="3"/>
  <c r="K3" i="3"/>
  <c r="K5" i="3"/>
  <c r="J7" i="3"/>
  <c r="J9" i="3"/>
  <c r="I11" i="3"/>
  <c r="I13" i="3"/>
  <c r="H15" i="3"/>
  <c r="H17" i="3"/>
  <c r="G19" i="3"/>
  <c r="G21" i="3"/>
  <c r="M22" i="3"/>
  <c r="M24" i="3"/>
  <c r="K28" i="3"/>
  <c r="J30" i="3"/>
  <c r="J32" i="3"/>
  <c r="I34" i="3"/>
  <c r="H36" i="3"/>
  <c r="H38" i="3"/>
  <c r="G40" i="3"/>
  <c r="M41" i="3"/>
  <c r="M43" i="3"/>
  <c r="M45" i="3"/>
  <c r="I4" i="3"/>
  <c r="K19" i="3"/>
  <c r="M36" i="3"/>
  <c r="H14" i="3"/>
  <c r="I33" i="3"/>
  <c r="G47" i="3"/>
  <c r="M3" i="3"/>
  <c r="K7" i="3"/>
  <c r="K9" i="3"/>
  <c r="J11" i="3"/>
  <c r="J13" i="3"/>
  <c r="I15" i="3"/>
  <c r="I17" i="3"/>
  <c r="H19" i="3"/>
  <c r="H21" i="3"/>
  <c r="G23" i="3"/>
  <c r="G25" i="3"/>
  <c r="M26" i="3"/>
  <c r="M28" i="3"/>
  <c r="K30" i="3"/>
  <c r="K32" i="3"/>
  <c r="J34" i="3"/>
  <c r="I36" i="3"/>
  <c r="I38" i="3"/>
  <c r="H40" i="3"/>
  <c r="G42" i="3"/>
  <c r="G44" i="3"/>
  <c r="G46" i="3"/>
  <c r="M47" i="3"/>
  <c r="G10" i="3"/>
  <c r="H31" i="3"/>
  <c r="K40" i="3"/>
  <c r="I6" i="3"/>
  <c r="M19" i="3"/>
  <c r="H35" i="3"/>
  <c r="I2" i="3"/>
  <c r="G2" i="3"/>
  <c r="G4" i="3"/>
  <c r="M5" i="3"/>
  <c r="M7" i="3"/>
  <c r="K11" i="3"/>
  <c r="K13" i="3"/>
  <c r="J15" i="3"/>
  <c r="J17" i="3"/>
  <c r="I19" i="3"/>
  <c r="I21" i="3"/>
  <c r="H23" i="3"/>
  <c r="H25" i="3"/>
  <c r="G27" i="3"/>
  <c r="G29" i="3"/>
  <c r="L29" i="3" s="1"/>
  <c r="M30" i="3"/>
  <c r="M32" i="3"/>
  <c r="K34" i="3"/>
  <c r="J36" i="3"/>
  <c r="J38" i="3"/>
  <c r="I40" i="3"/>
  <c r="H42" i="3"/>
  <c r="H44" i="3"/>
  <c r="H46" i="3"/>
  <c r="M2" i="3"/>
  <c r="M15" i="3"/>
  <c r="J23" i="3"/>
  <c r="J4" i="3"/>
  <c r="G37" i="3"/>
  <c r="L37" i="3" s="1"/>
  <c r="H4" i="3"/>
  <c r="G6" i="3"/>
  <c r="L6" i="3" s="1"/>
  <c r="G8" i="3"/>
  <c r="L8" i="3" s="1"/>
  <c r="M9" i="3"/>
  <c r="M11" i="3"/>
  <c r="M13" i="3"/>
  <c r="K15" i="3"/>
  <c r="K17" i="3"/>
  <c r="J19" i="3"/>
  <c r="J21" i="3"/>
  <c r="I23" i="3"/>
  <c r="I25" i="3"/>
  <c r="H27" i="3"/>
  <c r="H29" i="3"/>
  <c r="G31" i="3"/>
  <c r="L31" i="3" s="1"/>
  <c r="G33" i="3"/>
  <c r="M34" i="3"/>
  <c r="K36" i="3"/>
  <c r="K38" i="3"/>
  <c r="J40" i="3"/>
  <c r="I42" i="3"/>
  <c r="I44" i="3"/>
  <c r="I46" i="3"/>
  <c r="K2" i="3"/>
  <c r="H6" i="3"/>
  <c r="I27" i="3"/>
  <c r="J46" i="3"/>
  <c r="G16" i="3"/>
  <c r="I31" i="3"/>
  <c r="K44" i="3"/>
  <c r="J35" i="3"/>
  <c r="K4" i="3"/>
  <c r="J6" i="3"/>
  <c r="J8" i="3"/>
  <c r="I10" i="3"/>
  <c r="I12" i="3"/>
  <c r="I14" i="3"/>
  <c r="H16" i="3"/>
  <c r="G18" i="3"/>
  <c r="L18" i="3" s="1"/>
  <c r="G20" i="3"/>
  <c r="L20" i="3" s="1"/>
  <c r="M21" i="3"/>
  <c r="M23" i="3"/>
  <c r="M25" i="3"/>
  <c r="K27" i="3"/>
  <c r="K29" i="3"/>
  <c r="J31" i="3"/>
  <c r="J33" i="3"/>
  <c r="I35" i="3"/>
  <c r="H37" i="3"/>
  <c r="G39" i="3"/>
  <c r="L39" i="3" s="1"/>
  <c r="G41" i="3"/>
  <c r="M42" i="3"/>
  <c r="M44" i="3"/>
  <c r="M46" i="3"/>
  <c r="H2" i="3"/>
  <c r="M4" i="3"/>
  <c r="K6" i="3"/>
  <c r="K8" i="3"/>
  <c r="J10" i="3"/>
  <c r="J12" i="3"/>
  <c r="J14" i="3"/>
  <c r="I16" i="3"/>
  <c r="H18" i="3"/>
  <c r="H20" i="3"/>
  <c r="G22" i="3"/>
  <c r="G24" i="3"/>
  <c r="G26" i="3"/>
  <c r="L26" i="3" s="1"/>
  <c r="M27" i="3"/>
  <c r="K31" i="3"/>
  <c r="K33" i="3"/>
  <c r="H41" i="3"/>
  <c r="A1" i="3"/>
  <c r="L40" i="3" l="1"/>
  <c r="L22" i="3"/>
  <c r="L33" i="3"/>
  <c r="L45" i="3"/>
  <c r="L17" i="3"/>
  <c r="L16" i="3"/>
  <c r="L41" i="3"/>
  <c r="L44" i="3"/>
  <c r="L4" i="3"/>
  <c r="L42" i="3"/>
  <c r="L43" i="3"/>
  <c r="L2" i="3"/>
  <c r="L35" i="3"/>
  <c r="L36" i="3"/>
  <c r="L27" i="3"/>
  <c r="L9" i="3"/>
  <c r="L21" i="3"/>
  <c r="L32" i="3"/>
  <c r="L7" i="3"/>
  <c r="L19" i="3"/>
  <c r="L30" i="3"/>
  <c r="L24" i="3"/>
  <c r="L13" i="3"/>
  <c r="L34" i="3"/>
  <c r="L11" i="3"/>
  <c r="L10" i="3"/>
  <c r="L47" i="3"/>
  <c r="L25" i="3"/>
  <c r="L28" i="3"/>
  <c r="L5" i="3"/>
  <c r="L46" i="3"/>
  <c r="L23" i="3"/>
  <c r="L15" i="3"/>
  <c r="L3" i="3"/>
  <c r="K26" i="1"/>
  <c r="K3" i="1"/>
  <c r="K47" i="1"/>
  <c r="E48" i="1"/>
  <c r="E13" i="1"/>
  <c r="E36" i="1"/>
  <c r="K39" i="1"/>
  <c r="K35" i="1"/>
  <c r="E10" i="1"/>
  <c r="K23" i="1"/>
  <c r="K10" i="1"/>
  <c r="E7" i="1"/>
  <c r="K7" i="1"/>
  <c r="K5" i="1"/>
  <c r="E18" i="1"/>
  <c r="K18" i="1"/>
  <c r="E37" i="1"/>
  <c r="K37" i="1"/>
  <c r="E44" i="1"/>
  <c r="K44" i="1"/>
  <c r="K6" i="1"/>
  <c r="E21" i="1"/>
  <c r="K21" i="1"/>
  <c r="E30" i="1"/>
  <c r="K30" i="1"/>
  <c r="E9" i="1"/>
  <c r="K9" i="1"/>
  <c r="K8" i="1"/>
  <c r="K48" i="1"/>
  <c r="E43" i="1"/>
  <c r="K43" i="1"/>
  <c r="E38" i="1"/>
  <c r="K40" i="1"/>
  <c r="K13" i="1"/>
  <c r="E45" i="1"/>
  <c r="K45" i="1"/>
  <c r="K20" i="1"/>
  <c r="K31" i="1"/>
  <c r="E47" i="1"/>
  <c r="I31" i="1"/>
  <c r="I26" i="1"/>
  <c r="I42" i="1"/>
  <c r="I17" i="1"/>
  <c r="I16" i="1"/>
  <c r="I25" i="1"/>
  <c r="I24" i="1"/>
  <c r="I40" i="1"/>
  <c r="I19" i="1"/>
  <c r="I35" i="1"/>
  <c r="I30" i="1"/>
  <c r="I13" i="1"/>
  <c r="I12" i="1"/>
  <c r="I20" i="1"/>
  <c r="I11" i="1"/>
  <c r="I7" i="1"/>
  <c r="I21" i="1"/>
  <c r="I37" i="1"/>
  <c r="I5" i="1"/>
  <c r="I29" i="1"/>
  <c r="I6" i="1"/>
  <c r="I4" i="1"/>
  <c r="I41" i="1"/>
  <c r="I28" i="1"/>
  <c r="I44" i="1"/>
  <c r="I23" i="1"/>
  <c r="I39" i="1"/>
  <c r="I18" i="1"/>
  <c r="I34" i="1"/>
  <c r="I33" i="1"/>
  <c r="I36" i="1"/>
  <c r="I47" i="1"/>
  <c r="I15" i="1"/>
  <c r="I10" i="1"/>
  <c r="I9" i="1"/>
  <c r="I45" i="1"/>
  <c r="I14" i="1"/>
  <c r="I8" i="1"/>
  <c r="I32" i="1"/>
  <c r="I48" i="1"/>
  <c r="I27" i="1"/>
  <c r="I43" i="1"/>
  <c r="I22" i="1"/>
  <c r="I38" i="1"/>
  <c r="H20" i="1"/>
  <c r="H48" i="1"/>
  <c r="H22" i="1"/>
  <c r="H33" i="1"/>
  <c r="H14" i="1"/>
  <c r="H8" i="1"/>
  <c r="H36" i="1"/>
  <c r="H7" i="1"/>
  <c r="H31" i="1"/>
  <c r="H47" i="1"/>
  <c r="H26" i="1"/>
  <c r="H42" i="1"/>
  <c r="H21" i="1"/>
  <c r="H37" i="1"/>
  <c r="H6" i="1"/>
  <c r="H38" i="1"/>
  <c r="H12" i="1"/>
  <c r="H13" i="1"/>
  <c r="H11" i="1"/>
  <c r="H28" i="1"/>
  <c r="H19" i="1"/>
  <c r="H35" i="1"/>
  <c r="H30" i="1"/>
  <c r="H25" i="1"/>
  <c r="H41" i="1"/>
  <c r="H24" i="1"/>
  <c r="H40" i="1"/>
  <c r="H4" i="1"/>
  <c r="H17" i="1"/>
  <c r="H27" i="1"/>
  <c r="H43" i="1"/>
  <c r="H10" i="1"/>
  <c r="H5" i="1"/>
  <c r="H16" i="1"/>
  <c r="H32" i="1"/>
  <c r="H9" i="1"/>
  <c r="H15" i="1"/>
  <c r="H18" i="1"/>
  <c r="H44" i="1"/>
  <c r="H23" i="1"/>
  <c r="H39" i="1"/>
  <c r="H34" i="1"/>
  <c r="H29" i="1"/>
  <c r="H45" i="1"/>
  <c r="G13" i="1"/>
  <c r="G12" i="1"/>
  <c r="G36" i="1"/>
  <c r="G5" i="1"/>
  <c r="G9" i="1"/>
  <c r="G11" i="1"/>
  <c r="G10" i="1"/>
  <c r="G18" i="1"/>
  <c r="G34" i="1"/>
  <c r="G29" i="1"/>
  <c r="G45" i="1"/>
  <c r="G24" i="1"/>
  <c r="G40" i="1"/>
  <c r="G43" i="1"/>
  <c r="G7" i="1"/>
  <c r="G35" i="1"/>
  <c r="G6" i="1"/>
  <c r="G30" i="1"/>
  <c r="G25" i="1"/>
  <c r="G4" i="1"/>
  <c r="G8" i="1"/>
  <c r="G39" i="1"/>
  <c r="G15" i="1"/>
  <c r="G23" i="1"/>
  <c r="G14" i="1"/>
  <c r="G22" i="1"/>
  <c r="G38" i="1"/>
  <c r="G33" i="1"/>
  <c r="G28" i="1"/>
  <c r="G44" i="1"/>
  <c r="G47" i="1"/>
  <c r="G41" i="1"/>
  <c r="G20" i="1"/>
  <c r="G17" i="1"/>
  <c r="G27" i="1"/>
  <c r="G16" i="1"/>
  <c r="G19" i="1"/>
  <c r="G31" i="1"/>
  <c r="G26" i="1"/>
  <c r="G42" i="1"/>
  <c r="G21" i="1"/>
  <c r="G37" i="1"/>
  <c r="G32" i="1"/>
  <c r="G48" i="1"/>
  <c r="F4" i="1"/>
  <c r="F33" i="1"/>
  <c r="F39" i="1"/>
  <c r="F16" i="1"/>
  <c r="F7" i="1"/>
  <c r="F26" i="1"/>
  <c r="F14" i="1"/>
  <c r="F38" i="1"/>
  <c r="F11" i="1"/>
  <c r="F13" i="1"/>
  <c r="F21" i="1"/>
  <c r="F37" i="1"/>
  <c r="F32" i="1"/>
  <c r="F48" i="1"/>
  <c r="F27" i="1"/>
  <c r="F43" i="1"/>
  <c r="F10" i="1"/>
  <c r="F22" i="1"/>
  <c r="F9" i="1"/>
  <c r="F28" i="1"/>
  <c r="F44" i="1"/>
  <c r="F23" i="1"/>
  <c r="F12" i="1"/>
  <c r="F15" i="1"/>
  <c r="F18" i="1"/>
  <c r="F42" i="1"/>
  <c r="F17" i="1"/>
  <c r="F25" i="1"/>
  <c r="F41" i="1"/>
  <c r="F20" i="1"/>
  <c r="F36" i="1"/>
  <c r="F31" i="1"/>
  <c r="F47" i="1"/>
  <c r="F34" i="1"/>
  <c r="F8" i="1"/>
  <c r="F30" i="1"/>
  <c r="F6" i="1"/>
  <c r="F5" i="1"/>
  <c r="F29" i="1"/>
  <c r="F45" i="1"/>
  <c r="F24" i="1"/>
  <c r="F40" i="1"/>
  <c r="F19" i="1"/>
  <c r="F35" i="1"/>
  <c r="H3" i="1"/>
  <c r="F3" i="1"/>
  <c r="I3" i="1"/>
  <c r="G3" i="1"/>
  <c r="E17" i="1"/>
  <c r="K17" i="1"/>
  <c r="K16" i="1"/>
  <c r="E16" i="1"/>
  <c r="E40" i="1"/>
  <c r="E35" i="1"/>
  <c r="E3" i="1"/>
  <c r="K14" i="1"/>
  <c r="E14" i="1"/>
  <c r="E5" i="1"/>
  <c r="K28" i="1"/>
  <c r="E28" i="1"/>
  <c r="E24" i="1"/>
  <c r="E19" i="1"/>
  <c r="K19" i="1"/>
  <c r="K25" i="1"/>
  <c r="K4" i="1"/>
  <c r="E4" i="1"/>
  <c r="E39" i="1"/>
  <c r="K34" i="1"/>
  <c r="K11" i="1"/>
  <c r="K41" i="1"/>
  <c r="E41" i="1"/>
  <c r="E8" i="1"/>
  <c r="K32" i="1"/>
  <c r="E32" i="1"/>
  <c r="E27" i="1"/>
  <c r="K22" i="1"/>
  <c r="K33" i="1"/>
  <c r="E33" i="1"/>
  <c r="E6" i="1"/>
  <c r="E23" i="1"/>
  <c r="K15" i="1"/>
  <c r="K29" i="1"/>
  <c r="E29" i="1"/>
  <c r="K12" i="1"/>
  <c r="E12" i="1"/>
  <c r="E20" i="1"/>
  <c r="K36" i="1"/>
  <c r="E31" i="1"/>
  <c r="E26" i="1"/>
  <c r="K42" i="1"/>
  <c r="E34" i="1" l="1"/>
  <c r="E15" i="1"/>
  <c r="E42" i="1"/>
  <c r="E22" i="1"/>
  <c r="K38" i="1"/>
  <c r="E25" i="1"/>
  <c r="K24" i="1"/>
  <c r="E11" i="1"/>
  <c r="J23" i="1"/>
  <c r="K27" i="1"/>
  <c r="J7" i="1"/>
  <c r="J31" i="1"/>
  <c r="J47" i="1"/>
  <c r="J10" i="1"/>
  <c r="J39" i="1"/>
  <c r="J13" i="1"/>
  <c r="J18" i="1"/>
  <c r="J21" i="1"/>
  <c r="J26" i="1"/>
  <c r="J6" i="1"/>
  <c r="J44" i="1"/>
  <c r="J15" i="1"/>
  <c r="J19" i="1"/>
  <c r="J16" i="1"/>
  <c r="J42" i="1"/>
  <c r="J24" i="1"/>
  <c r="J32" i="1"/>
  <c r="J34" i="1"/>
  <c r="J41" i="1"/>
  <c r="J3" i="1"/>
  <c r="J29" i="1"/>
  <c r="J38" i="1"/>
  <c r="F46" i="1"/>
  <c r="I46" i="1"/>
  <c r="H46" i="1"/>
  <c r="G46" i="1"/>
  <c r="J37" i="1" l="1"/>
  <c r="J9" i="1"/>
  <c r="J5" i="1"/>
  <c r="J14" i="1"/>
  <c r="J8" i="1"/>
  <c r="J4" i="1"/>
  <c r="J22" i="1"/>
  <c r="J27" i="1"/>
  <c r="J25" i="1"/>
  <c r="J43" i="1"/>
  <c r="J30" i="1"/>
  <c r="J35" i="1"/>
  <c r="J48" i="1"/>
  <c r="J40" i="1"/>
  <c r="J45" i="1"/>
  <c r="J36" i="1"/>
  <c r="J28" i="1"/>
  <c r="J33" i="1"/>
  <c r="J17" i="1"/>
  <c r="J20" i="1"/>
  <c r="J12" i="1"/>
  <c r="J11" i="1"/>
  <c r="E46" i="1"/>
  <c r="K46" i="1"/>
  <c r="J46" i="1" l="1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sz val="10"/>
            <rFont val="等线"/>
            <family val="3"/>
            <charset val="134"/>
          </rPr>
          <t>UEsDBBQACAgIAFl2ClcAAAAAAAAAAAAAAAABAAAAMMWda3OlSXHneb2foqNfT0bUvSr1brh48TJclhnMC4djI6sqq0eBWupVq8ETBBGLzaw95upgMJgxxqzNGhZzs/Fy8TJ8GdSXb7FZR+qZ7tG5Pa156gkCjfro6Ojor6zK/FfVL+sD73/ve/7Te97zns/e5D+9c3J69r6T43Z46+bBZ29WbnTv6OwFOr51j27xzYOb5fjmczfr4d07R/TKh09qf6jefj+d8V15/PDu83fLzYNGR3e5/+uDh5Xfe0THn7p5cHZ6Tx66d5dfuHdMp5fP+dxzlz/xpcOzI/7onbPDk+P+Y+noaPXIB474Nh+f3X3rJcvJveOz01fe+nflu+X08PL7Ln5EO+X/fo+PyyuPH5D3cHx22A759PEjd+n2nSN+60Xu8hGXM66rH/khfuWFw7tnNw/++OYp3z07OeWP0G2+efG68p97x4dnN/sbkV/9T+R7T+6dlrdf6ozy0cU3PH6kP//uW7/+nSpKdbXeFuA2n50eimh//Nmb/02+Su8/vLX6DvPczcy3Do8vnn3TKK2UNa7/7Jflz8Ef53JyWuX7/uTy3RzcfFHp4KJP8hw+vngXN1/48AduvMBUD268eHZSPnVw46WTMzo6uPHJk9OjunriJ/pvdHDz7KT/ZeXPQceV61vvn//07JTK2Ut060mBbx7o527eOj25d2f1hcvnfopF9Js2kCdSBVw2AZyxDVDHBNk19qgpEXn5Scdvvb9HX3/14Pw3Xz//8bcOzr/2lw9/8r2D81d/8OBrfy5PuvwTPKWmfNP5135w83PPbRdMIybRzO8hGO4j2AfunZ7c4VkUKxnZa0ZQnFkU0w6QuIIuXtVQStZa7VDs/r/88/1f/OsoxYLaR7Hn7x7SPBGmvM+NNSgXHDg0DbIOCiynijFjSqXs0Ov3v/n2SL30Pnp9RCbCl288f5tlPphHOOOTbz4yGOctOFU85KQruJItlqwMVbdraH7pmw/e/Mq1tdt/OgtmH+3+M5/epuNXZhqeXSS0ELWX4al1BIwmA9ksoZejlkDYpdqbvzx/47fDJLN7hRufvcynkp3r3XlkM8mZihm0KSJbljyQq1fgfQm2ZV1r2ZUHHn75l+ev/myYbG4f2T7x4vOzyEVZ+1qDhZA99kmtADXvQOlSTKOgW92VBGRgjowyv49cL36Gpf6aRTH02IpKBBV7tZGyghywgDXZktIcGrZdiv3135+/+qthioW9AuxDs6gViquVilRk5GXGZ3KQmqqgaos2EjNZ3jUcv/jzkfEV91HrvXx06/De7XmGpPOUlLVQfZJ0aThAUuxl9o/GaO1DwbyrLvvp6+d/+cP73/y/w1Tbq/p/8Q4dzjQore6jMkCR6qiHGUJGV0Am/chKBM0q7Aqz7//uwVd//OC1vx2m2V4G4MXD41t0p7+ZWUozKfYzWpnvnYkyRqsG+X8AU51EYDEs4bYr1v7mZ+d/9Q/n3/neKN3iXjbgD+XjPIWZtaa40Cw0a5RUGEgSa7Ubz1iKsinHuqswu/+Fr57/0z/LEB2m2V5W4MN0RK/MZZ9CsqY2FcGQFtkwB8AknrNRtr5lmfKU3SHbox/+y/3vfF8GqvioYcrtZQS6WFxvPH9K+cYHbh+eXq5Mvfsq+uhrMz6CJAIJOVcVJDYGjMx+qE3wpGmXit/63cPPv/7o1S9eW0KrtTHbJPyYFqOqzIaJ7g+PP83H8uNfeUvGl+jwM3T83I33vXx4PE8UokkyeDmD4kbgrLJAWsrfkqL8D6stSu8y8b/6sdQj51/92f1fvzksCrd7q8ty5ODG88dnn+HTO/M4Ky8CxVghyAwoAzhkqUsygtXOiI3IVpeNhe9bBcnB+U9ee/Dar8+//KP7f/uTYeptt1jirURCOjo7vD1Xnk1kcrVNQSWpgB1lyRmlJdCcYqg52Gg2DtsLf3Vw/stfnP/s9Qff/sL9vx6XNrabrVU916U7LXx0MtOIZcmwWKSgs2TFQTi0gCwD2BtxrIkyl7gx7N6q6Vbqfe/vH/z2m4/+7B+HqbfdeD1W7/Ao08k81V0NHCXyJOos96izYlVjhKjR9myRnd7oJN6W7v5PvyGBJwI++sKfDZNuuwu7XHcT8U77Vs08Q9YmYxHFryJJ3IUgDswgin2tUuFJAWhWpmd9plgtvEmm+PLDr/z8/v96dZhs223YaqKT3Fro1jwBVxOmXGMGGa8ScNUlUU97qCq2Jo6CmDauJl1Ocw//6jvdTnz9+8M0227DVpq9n89OT1Y7cO++ZrqYSJEd+NpX4Gow4vRrAJu5qVxLZd5owR6nht98o+fUN69f0e2pWdpuwdZVwyLivUyHMw3VIA5MShHPRori5jVkzxFKsTHLV5pJGx3ZW9XwwcPf/Z/7X/y7YRJud2Qr+9onuuOTedKqWNWsk0ScalLIOecdEKECFcRBSGItYiU2VnOP7evBgz//sSTUgXYsbbdjF+u+otvJ2ct8nO+d3ppFvJwcxpSlfhOZwKko85x2CFm1XiM3m3hjbrhY/D2QGa5niX8YtmyStluIt1LqB+n2bLqRt2IHDUnxxrYvmFBPp1ZKu0JVSZXntdmRU+///LV3QzStool7iLbdOTwOtw/y0d3D41v5ZCbduLE1qiYIJNZfdKtSA6cgybVq6xz1sNsRbw///UdSxT18842RIbfdPnziQ6LcvaOjedIqo8IQHbSSmtS+WtQiibfYkmOjkSxtnN8udhwuJRsm1na38Hht7uDGfzl5+eR0Lr/QGqsmebT2Ew6SE7B4BTqhjyXrym3j8Hxybe7g/ndf//1v3xim3HazcJlKX+Bbots8XoFk/FWfNFRXjRQgUoqkXAhss2xsSuRpYwHydjIV/X7/mx8MU22HV5DB+cLhp/n0zsnJPCMUVfJBal9JBuITnDZeRqgM0xhqJCncnCobzcLlCBXVHrz2w/v//r+HibaHWXjh5PjWjfcylZdnkS2mwpTJQPQksjUjhVtEAzZRUGJQsZiN6+iXfuHRN353/q/DhifuMAsXmt298by8yNFMy+aucsTGGbS1UrC14vvapYZICnWyTG1zNrgU7f4v3rj/ndcefHfYnipudwgr3T58kg+P5lmy5BrRZ5n9WQyUDE+uIDVaBa6GYhFHjzt96cOv/Kgv/I7LobjdHawk+wh/5sZHT4+YjmfaoTGtZtMMtBxSP1YZIDeZ5bJJScUg2WDn+Oxbqt//fi/XXvvpMOm224O3y4+PnZye3fjQkbzYLPJZbZUSKwDORil1kxeLIMWH2NRsrRH5DO9Xg5z/8hcPXv/u/V+NU3C7V3ji4NvBjY+fnJ3xaaV5TpBkV7QJRoOVMSwaBg3ZRga2Up4kxbW2zbXv6vDbwaNf/+7Ba7/+/a9+PUy9HVsNj49BzH0iovY9BZWDaGdk2lMh9hOXBXxFGdkqypvaXMo9Pgox/lAEbncPq5nvxTPJs/cO55n2cnLO2mKBMIl3yK7JtGciWOti1dgk6jbuNTxexvy7f3z4y5/e/9bX7//NuEG73Ttc7tG8dHLEdZ4l82jJocwdwCqLbrpEwJpVr0w4IItxbRvPqz6xR/Patx5+5efn/zRsHQ63u4dLz/XS6aG8mXkGKvVEy0rLyJRi2OXQgLJufaZzSheWPLGxPnliAfPbX3j0F1969MarEnMy4Q2Tb4ePEPP10ivHfENEuvFJpnnsfnSRXYkVYqsdmZE0Qc0QNCbjgknNh43n8i8N2P1/+9n9z/8Qzn/w+XFVXlLbDcVTifaPjg7v9qW5mTYJZWYLVrIpGNeq+Iq+OY3KgG6Yc2J2vPn83GWmPf9/35RAfPjmGyLktRXceSLno9F6F+yGYu/JEzlPHsU5uPEhOnn57uG9mYo+U6trTUu910jsmZMBLWmYoBbD0blUfd6YPJ48jnPw6EffevTGF4YF4gaH9r6jkx5zFwF54+T4xifp9JSOzwZgcDF7l2xfwrMt9h1YBixRQ6sSpkU5i/VqOrn/bz84/59f+v1/fP38y994N2G4CUpuMG47lZyRj5PawDWTDAQtWcap5oESe4glIWddalrDx62T8t2g5CZIuWFs75RyNnDOOxncxlspcVpfsYoGMhNDsVLg6IzJ8tUzd+uEfDfwuQlCbvBzO4Wcn6iLHEu01YFv0XeDpwCNFr+XncfWEiJdTTtrR/lgri6pDTZvp6hzonY5qlaICyjrpRBKtUBqLYCW8giTiWrd+YG1co4E7pLa4Pl2B+jMDB7n6sW4eMimb4+nvjPOXGUiTdU4U5R1V9P5Oj2HknhJbfCCO/WcC87TLpcYfITQWCwO2QCoEcGbFD1iFne4XwYaiugltcEb7tRxRmrP+eRV3yaJqXudKuM8o+8HOJRtOXgd95VyJLuX1AafuDsk58H5uKGhihqKWO+OH3iQYkicjzGkbcre8NXDuGtH9kio76JQexYZ5+T8MFAKVksxFHI/1JFUZ9ayBCcZaw1rildXutfWl4Npv6Sf1ffMBwDayJJ1lJepsqCIKTGZk5ScxCmXZkqpePWEzNrAHIwBJv2s1mfedXCVY6v9KK/EZev9VJy4H+X6/NkZGp+cuQruro3OwUvhST+rAZoPGaydfkarJX0nyT7sIiQphiA4F5JNZLzaryAaDQ4m/awmaFaW0FQRzmUZ7Vwk+WRqUrCLslYr9t5FU/J+o30BojDpZ7VAwyBDZsMxkQWVgsgbvZZ5NDsImTKp2jytOd66Vt5xqOEL2oYQzLNqOz95mFk147IGrh3rZ9XJTZQKlCKGQCLpnhPqAvxh0pOt5hAkUSolkhjNYtxlCnDWeEBVNDSUGCWZIWrdoemiYGLSkx3nAFax9VY+pW9iVClOXW8OluWdgg7FaG+CaBq3i7ocsZj0ZO85BGJUAUO1yUOzvTwNkqsoEYIEsA5iAirlul3TRVHGpCf70PnpRplNa1M2QkgqgSuqnx9VnUeuncDwWa/pk7JB0wUYx2Qmm9IR2KOR+kkp36Bl3XtasJSqziKoaANV56PPV88OPZ2mloEfk5nsSmfnIbVTFGtkqft17p0pI2TbMpSs+n5n07XuKKQWoiKTmexKZwclI2kTVQlinViSvc/iTZUmsDEGVJFKdDvm0IVwyYsDn9PEHExQmoyqNTGoungv+SkqQCslgDM6FYXGoduxRbcQR5nMZIM6O1pZVTI5pQiYVe+px73fZUdCvFKkoy3R7EhMywGWabqDGsRcNlWiTsGAyf0IvwudgfMVogtNZ2MM79qOX4i8TGayeRoCY5ZgjPUqQF4Z0pCKGFJJ95xSphiYgrnaz3Zdph+KZCYz2TONojSVQxUoJCBJRr10kgTVUTCXg61ZN3ZrgKZ1EboAq5nMZOM0K77pI4dcSObQYnIv7gmylgo/uuhjMSrTmjauTxf3C0CcaVOrq80qjuA6RTCtmpRKZVWGFl61RUcx+C5GEbnVuqOmX47uTHayTRoAfDqjggRlBmxZvGeinowsQ8ViI9qWQt1xAGch7DPZ6S5pdhK0tqqsJQuteNdP2snEGYL8MwTnMOZ+EnmvwT6aB0322WzSzIhoLjYEnyQRYWx9/b5B0s2D1Ege0Xlf6o6d5SVA0bTpVPJOMedlR1nrFnsTgepFQ2fFIKXoEgQZ5dqh5bym7906NUcTpMlO9kZzQ6VIWmPqy8qro6CYe7Mjz8CukYullEj7aTkaLU12si8aQ5u6qmpqDLq51m9UkODUyYHXpjTO1ZZ9g3M8c5rsZGM0DEPFpkOyXIF76elQfGdyUUMJ3tQaPRW7IyUtCqMmO9klDeRTyblWsJD4zSL5PsqHbDVCqp6DZW5Z78r3y1CqyU7fXhoFrrpY0RgXRNQmdr6YCmLjfb8Ho7VAnTHcMRMsh68mO9k3DSBam8Sj/AKguSesvs2cUiCIOWcvWSzrchWPW7vePJ5rTW6ya5ofdTU+xJBrd6C9Sb/zYpqy9uCVZSNf1Jx3HLNfDnhNbrJvGsDAFtcPOwWZOaNXsGI5kdIKiW2u6KBL2hGiS5OwyU13UEPgWNY2i3FiMKlPpygFv1SqFlQw1im2zazphbXOky6CyLrJVmokNetjablGAyqnAi4oJ0Vrv9oKc4k6KC/RvFf+H8zOGtSSAaaf1x2J0jov9ZNNAXIxGhyRhtxU76rVWrFklNu1k/euA7UaMUrg6j3Cdl/D+j46LnwkmWogWlusZs6rWxdCrwdig+QtQXbZi5FVPqxp8ibKPnr9fyyJ1rp9jetmTeeEbEvSWnGCYjqvzNw7RjuGZqmkohMqvfaw2RVRx0K2bl/nulnU2XBb1Vw2WUKUfEJwxllAVwLoKPaqcGVHa7efr0g6Frd1+zrWzZLOD96mHJBXKy2ZRduWIqScufd9zFZq2ca8ds/06hwwGrx1+zrXzfLOetulJRe0raAV9l4kRSbXmHoj+Zi8fCIebO2SwFVhhyK4bl/fuiVoZ4ZxjW5UpSCUPNV7a3CfDoxTvc1mdqr65P3andQryo6Fcf2+BnazsnNhuRl1QU0Oak3ddfXlK99NgjjYVLC2UvfLWWOxXL+vg92s6IyArlRXtpAYLG9r7wZrlcysHsEEUlIGcPR5vzAdC+j6fd3AljCdB9U1pEuLvQObJpJUZbWYLGLIxhWNqkYf9xz3Q1Fdv69z3SzonNBuRTbVpgpNd1TXGTFaXiHE7D0iq4prOhWtrVdHQ7v++t5qPnw3toyWVi0qQ7vwVohJg6VkpWbV2a5fEbgarKPxXX99ezXvvoDMpM5jP9enWeaBKB8woO9KK+OMD+uuRl0bsaM3Bfz1TdZ8SK9TUaeqzMUFR64f+8tK8hUji4ulRC6tPdp/VdbRSK+/vtGaF+4l76j3hzJJ9e4xpkjARitWwFXOpp/C2G8uWALu9de3WcMw3yg1bNJOQ7PitBx1Z1Cs5DJXldixjviv3T24KvQ4zPfjseNym9rwT1B5fuDXliJJLWSQCrZIRVtl4nU6g5QL7OWzKEXYfuswCwC//hoKD0F/fVHG6CLqJhtF3X6jZr+PWRP6hiSFWdqR1pZFf8M1/O0ACJhti75oBaX31HXcD7iqfsm1WIfUWktiybbLuyAEHK7hdIfgwMFlh1HmW2P73ZJM/WLOfrSAVEOlDMf1BzTfVndZHHjvPbAtAs8HBkvaij4ZqRj6rq0Uat2jGQafmstS9Jaw5rLdDeouAQaHa1jgEYiwyoYksQWQibYfiI0eiHQCsZhFMVtxyLs2whZChMM1PPDssHBLugVO1DNa7RnNANVgobqYVT/ZWfjqxSHrptzhsHC4hgeeHRtuTSoFL8UX97ZLDg1CzqVfYJ6b4n6Sg3bMtUthw+Ea/nc0QJyKxxSTAtKhNwbsq40oU7DKrdSWI6ddXmIpgDhcww7PjhJnz6pFHSFY1y+WKwkwSxnGTiXV3WZYfwrpiSp3OZQ4XMMLD4KKObOh4Av0O9XAxb6e06veoERgDEFdrJZsmxwWgorDNQzaELwYsxMHjA5s8ZLOqN+RW+RDqd4WZ1rMuGsZZwm8OF7Dl40CjTVXjRKxq1b04LL3gN0AV+9ZpLUqrG8ldiVqlwCN4zXM2azIccFSjEoapCjQMhdI/ZWCODPnYyBuVoewQ9VFkON4DS82Aj5ONlOWMQ+G+uXsRvIY9ruyUw3VEiub1Y6ydkH4OF7Dig3AkGuk2pRmsLU3CDelAvYpIcg8UHNs4tJ2LDEuhSHH6zix2YHk3lgsrLBZanm15iWeIfXrCDVLQSvTQlzL0lyZCoYDyfG6Vmzu22tzcYVD7+vg+oVJIm+S2gB01lZRv6R11yS7CJocr2PFRkDKofSLzcV69VlVZgIJVqqia6bqUs0Fedehz6Ug5XgN/zU3rpyN09mVBoW8FFrFJcg+IJAiU6uutuF+awfDceV4De81BFzOup9EjhGs8qsGL9hvZM7QL2qOlFzEXYuIC4LL8RrmaxjCzDr7qqTcIkwNHOoCvSkmRI8+uSKf0o7iYFmEOV3DiY28bNejSaFV0L2hq3PRATZKYAldMC2gzTuOhC8FM6frbJONwpqLCWy9DZ216fcD+t5Ck6RqsNZolEnYuV0rYMthzeka3mx+wFkETOy4ty4Kq51d6oBzg1acNtpa582OE6ILAs7pGs5sftQ51ZRb5tKxu9W9oCJtNxDRUdCIkvLUjuy2IOqcruHNBkDP3dYa7xVErj2vNS2TQSHwaEvQzrOlHWG7OPScruPShuDPJWdqzTtofRfHuT7jZpRagjKJa2sqmv0c8CL4c7qGXRsJQucYMBiHYL2mfo9JhVxaAezXvOXkrFTBe9UOY0Ho/+qV9epawN5IJFo5zpiKg2ixQ3tRJgyTC7CJEik6c647YnnBO4bTtgvqb7yfj/pCmEh7kdBmRqApMK76whNLlDqOFtCyVAytJNv3KhmvruWev/p9kXEZ+Dltu6Z+vXozws6mODY2S0HQeVwXCgM5VIDZhxa0rybukm8s5rzpnO0W+WbDmottLbF2YErv/6yC63doZcguKbLBS+Zfc0f4U+KNBZpx2zX168WbH2CuaPvNrBqqZu7t3XVff1VgFRnKtqiYrraHeMcIHo0u4wafukXIWW8LzsV7Ez1w7Bvbrd87opwFZaPiFpg5X93YfoeEQyFl3OBCtwXizFAy5eBXa6ra9lZQRq8uxGugTJUXTmwyXaVnntZwLI6MG+zmFg3nwo+T8VR645Hkal9wUn0xRFQksZqxVdGyXT3e+rR2Y8Fj3OAnt2g3I2icUja25Qho+ulVEwtIBYiQo27eMym3pu39O+QbihjjBrO4LfTmQYptiC72S0CZWOoXHSqkyAhJW6uT0inS1dNS7xi1Q2Fi3OADt0g3JzwcKNbcVWudbBe7lwGDtsDNNqWK1DdhV+gNx4Zxuv+YDxOu2rKixGCC6ZfSpr4sjFISNp2yTQXVmoNP7wjA0YAwTrcg866o52KjyY4gGs7Ql/uAJKVIKBavtM8qrbnh6x1ROHohHacbkfnQX8vON6MriF+TGrpJ3UImFLBFV0tB9Mu7aujR0C+q6WZkVsg3KdM7/hjQWHofhdYb1rkIjIF9TaaVskvDBfBeVNOtyDCc14qIJfeLUqqYExexn/6wCYwh0ZNbrObqnsM7JB0H8n7QKI/xGSbH+cHdlJ2NLSDEYnunryoTpA8BqgpBqZas56ursu9YaRiP7Eru21/LIYiu6R0Ro8uQ9aqBsmcxKs1CRCTjClIwG5e7FoVzUU1weyNgXBkqTd4WsPjj3trbSsldNVgsjDkXHfHqAvalkMthuKgm+L4h2G3EqshGBY6QREfbr+hrksctWwwyvOOaC7oudVwUuEU1wQPOD9gSU5IxIp45dGomxwgX7FfBqLyqSa05HntFxwXQWlQTDOEIlDa1mKhfgqCDkSkyowdM/ZqJWJU2NjkxOxtTzTIQLaoJjnB+aLZ4g7opsH1FzFGQXF2KOOyAhC0HlGS+Y2ocjcuimlD0zI7HqpaVMcb11LyqGuUzcTPQWBXJ361ftbcrtwwGY1FNcIOjQViZ/shmydVudTqFNV3cUuyCJ0o+lqg3blMthMCinmAOZ0denfbG9/u1Uuv9SqmY3nkkgdTe2CjaaOvGRbLlYFfUE5zhILjVSrCFJJVOyL0BkfUVsvMETEVZohj9mj4Yj4f2Mlgr6gkmZgjGmmVutKwLBFelcNQSjmT7aV/x1yzlTqS0ebdvAYAV9QTvMuxmXI0UvfLgsxIRrW6SbtiD7vcMF061reHUno7EBVBV1BMMzKxoavSNiosWWDcHzksQJqsd+JJSqNq3mq4eeXxccC8ApaKe4FdGQKgtqBxbQUBq/aBdJaDIDMFGDmJXDNWN+83L4aeoJ9iVEbfeKjKZCPt19n1hrCP9TQfAftWkbc2FuHH/byHQFPUUtzI7WJqt8tyXHCz3EjGWAtiBsmyq45idSnS1a93TA3k0Uop6ql2ZGSEtqflWCoHxFntZ02+zxhUgElLoTdi3lDULwKOop9iVEbCo5N+mJIGALSrJOO63WFRUYCQPZw6NdNi4+bIQJopmgkeZGwvt61/VSTZJhTqBgAikpZzpZzuZyKPfbFEWAkLRTPAnQwDQoiJbMhUw9F2W5JwM436ek0uqpAlt3VjTLId+oplgUIahnlSSLT5b0KZGcMU3WN2yLFml5Soldl7TanZdeTMa8kQzwa0MhDpN0lZZbGAk11w06EzaGYhGFeRSYtMb68WFcE40U7ZbRuGbyEkHZknWbtVjWpI1sentNGywiKoH7MaScTFwE80E/zI/qKlNlCEclZQ4/SqPfm42GQlJasaV0ts95Y0bqcshmmgmuJcBSGZTNbP2oPrFsy700rtygqpSZJdYJ73PptVgGBPNBP8yAL7UysfaREV58710FB+YbWpgq3HBGkZac73k1dXZRbBLNFOczBDMEsXy2daPMYa+Le2wL4xVD7XGbHXNhvTmHenlAEs0EyzNSKDShJBTqw2U6jv8gZUUQr4Ae5bPa3LoNm4HLoJSfjwavGRu9j0GNRKdNOSD58ySeYIMd9vbCvV7ZT1r13TtqMtGp7McNIl2T7N4cm/ExbGqRetCsh04lUGeMABi7RVlbrmnSW/XpO+/+M1S1CTaPcPxSflmxCaLjt5R94e6dmKjOCCLGoxqxkv2LraumSSf0m8oNol2T4/4pH6zcZORbKp920oSd29r6RjIJA8cHBtJNq2saQP0tHpDuUm0e1rCJ9WbH5yMUfUGP/24Uw/CvmiLLDHpWs3FSpkW1rQRf8cgHgxOot3TET6p5JzkpM3sFdVOTpYVP8SAqxONbLwvmLVua85GPK3hSHIS7Z428KlQnBmdLCoFjJ1+1rb0e4j79VgmQIhNU9YFL+5N2ybiUHQS7Z428EkR52Ina3aRcvd/nXx23blgaRE0SSmTayzFrVl0fEq8oewk2j3t35PizQhP9o6y7KMkk9VpMa8zoPcGUgvBlsitxDX272n9RsKTaPe0fE8F3zz0pMais84etI+9RaeRWtopGbiUUnGOWlzHjT89cEfSk2j3NHlPajcnPtkoYmq5QCyKe0NDEVD8SY/FjJlTVnGNGXm6DhyMT6J7Bicy4zWrqD21JIO2t25xTifAKqm4FGIbivd5d+4YzE+iewYzMu+atiMshFggJBm+rsmQloHcgIkKGYPO251xOHpB2z2DJZmPoExW57iywL5IGg6qQJLog96PiYiTKzunwuEEpXsGWzLvPalaymju9K7T4kOybZAbe/ClX3SGrTW/y9gtgVC6ZzAlwxhKVTgYp6vkFIpilo2XCTIEaJHciidIay7me4em4xjK94qFUsk9Q309P0RpcrNFFUnWuacaTLZfwuehJrRNc3YUd3m9JSBKN8XxDaIoa4qm9UNOpfUGuAyko4fgY2xYq7VxDdZ7IeSyFOWkwByAUWJvFixBKdG46ndLLIPbi322rZiQMYqn2aTkghjlpj6La2UcwlGSvG/VpAZXXoa1S1YMYN+6Qpk+lSuW8roORBdCLstRuil2cMBNpVVX48QIhmT69WNZJklOHgoRZpVJ27BxbC8LUrop3nAESVmjry5qiUnsO3+NV2xvBC/hyTFVrLw5cy9EUvop5nAAStnvCFAZQu1nnqrVkJXql5YrhalXI2v6Kj89PQ5HKf0Uczj/VaNaLCCSFDlY+3CuCBiyExkTlhAreb2G5n06wYxmKf0UYzgaphSbqPXqjDJpydg1EFBmglpdk3CMyG3j/LgUTOmn+MTZaUrbjEEr0yL5xpKqe8vZZvo1rWicKzFj2+i0F6Qp/RSTOOqu0H5q3hdJ1qovWsTQILWswSdkMdy6pc27V0vhlH6KnRnCUyrUHJRtUEvqLaS9ASy5QFOmRcw++7KxdlyEp/RTXMwooNJE1tR74AXDoqJjC70jB1BpUSfOKaw75/RULC4BVPopVmZWotIWmRBJih10ZMQL6k5UKgVVlFOVgk9u47y4CFHppziXEUglYb+RpxnQwXemd3U1tSngDSuDSpW4ueBeEKn0U4zLAKYyNizep7aCr/qWjAayxUBohUqROlKpjSN5KaYyTPIts0OV2HSwklTAN1S9iU4/k6xYwpFN4tLYx83LEQtBlWGycZn7Ys7WEkXL0KgfE7MykpO1ucP6JFOipVY37uwvQlWGScZlBFZJUTyeCv0wvHxwkSvkmCpwzY2tikFtScoLYZVhiluZm6usRUdVOALHfjoHJTNn7AcmrI3sFeuLa4O3rkCM5irDFKcyBKys2mbSMUE0tW9POyduLyFg8xSrb9qvubT0HWG4AFgZpliVYWRlUzonZoZO5kt6ThowtX4HoU5aZ8W0ZQViUbIyTPEtA9FKWzlIMnEQVgs7sTmZJbt/IdfhDeKQNobnUmhlmLQFM4ytNNYmMYCgo+mNEJQoWT2BQhurqcWbsLHuWZCtDFOczPxwpeNosq8eculdsmKUwsfpAJSqro2MDmZX4bMEXBmm+Jj56UopETOisxAZKzivJN9gQ/EyUkT2bmPVbjxZtiBdGac4mQF4pQliV5QMaWV6FV506WkbQamggvNYrdo4OS6OV8ZJnmYIXxm0vPUSNWjq53lqwM5XMhQXLIWoErs10O9T1nARvjJOMTcjAcvolTKhE6q610MY+q5/iFC8jHakKr/iruw9FrD8GBplzDSQYyRh6Vqs2bgAvtnUrw83MnHmDOQNOeU5qbZR0OmEpehydnib/+BUXu5FPjuTQLl58FlRj8un/oiODt/+TY7o7tlH84Xm/fOXXrnT38BRf5BPP01nhycr/3KS7/7B6cnt1V/DKBVXf3558MUzOj17/uzir5Qk8PXF4y+dXDzVXD71Dp8entTLV79z9sLlj/3c5/4/UEsHCBOY/v+LJQAAHyQBAA==</t>
        </r>
      </text>
    </comment>
  </commentList>
</comments>
</file>

<file path=xl/sharedStrings.xml><?xml version="1.0" encoding="utf-8"?>
<sst xmlns="http://schemas.openxmlformats.org/spreadsheetml/2006/main" count="1248" uniqueCount="773">
  <si>
    <t>期末库存</t>
    <phoneticPr fontId="1" type="noConversion"/>
  </si>
  <si>
    <t>注册仓单</t>
    <phoneticPr fontId="1" type="noConversion"/>
  </si>
  <si>
    <t>注销仓单</t>
    <phoneticPr fontId="1" type="noConversion"/>
  </si>
  <si>
    <t>入仓</t>
    <phoneticPr fontId="1" type="noConversion"/>
  </si>
  <si>
    <t>出仓</t>
    <phoneticPr fontId="1" type="noConversion"/>
  </si>
  <si>
    <t>库存变动</t>
    <phoneticPr fontId="1" type="noConversion"/>
  </si>
  <si>
    <t>期初库存</t>
    <phoneticPr fontId="1" type="noConversion"/>
  </si>
  <si>
    <t>全球</t>
  </si>
  <si>
    <t>欧洲</t>
  </si>
  <si>
    <t>德国</t>
  </si>
  <si>
    <t>德国:不莱梅</t>
  </si>
  <si>
    <t>德国:汉堡</t>
  </si>
  <si>
    <t>比利时</t>
  </si>
  <si>
    <t>比利时:安特卫普</t>
  </si>
  <si>
    <t>瑞典</t>
  </si>
  <si>
    <t>瑞典:哥德堡</t>
  </si>
  <si>
    <t>瑞典:赫尔辛堡</t>
  </si>
  <si>
    <t>西班牙</t>
  </si>
  <si>
    <t>西班牙:巴塞罗那</t>
  </si>
  <si>
    <t>西班牙:毕尔巴鄂</t>
  </si>
  <si>
    <t>西班牙:托莱多</t>
  </si>
  <si>
    <t>荷兰</t>
  </si>
  <si>
    <t>荷兰:弗利辛恩</t>
  </si>
  <si>
    <t>荷兰:鹿特丹</t>
  </si>
  <si>
    <t>意大利</t>
  </si>
  <si>
    <t>意大利:的里雅斯特</t>
  </si>
  <si>
    <t>意大利:来亨</t>
  </si>
  <si>
    <t>意大利:热那亚</t>
  </si>
  <si>
    <t>英国</t>
  </si>
  <si>
    <t>英国:赫尔</t>
  </si>
  <si>
    <t>英国:利物浦</t>
  </si>
  <si>
    <t>英国:泰恩-威尔</t>
  </si>
  <si>
    <t>北美洲</t>
  </si>
  <si>
    <t>美国</t>
  </si>
  <si>
    <t>美国:巴尔的摩</t>
  </si>
  <si>
    <t>美国:底特律</t>
  </si>
  <si>
    <t>美国:洛杉矶</t>
  </si>
  <si>
    <t>美国:莫比尔</t>
  </si>
  <si>
    <t>美国:圣路易斯</t>
  </si>
  <si>
    <t>美国:新奥尔良</t>
  </si>
  <si>
    <t>美国:长岛</t>
  </si>
  <si>
    <t>美国:芝加哥</t>
  </si>
  <si>
    <t>亚洲</t>
  </si>
  <si>
    <t>马来西亚</t>
  </si>
  <si>
    <t>马来西亚:巴生港</t>
  </si>
  <si>
    <t>马来西亚:柔佛</t>
  </si>
  <si>
    <t>新加坡</t>
  </si>
  <si>
    <t>新加坡:新加坡</t>
  </si>
  <si>
    <t>中国台湾</t>
  </si>
  <si>
    <t>中国台湾:高雄</t>
  </si>
  <si>
    <t>中东</t>
  </si>
  <si>
    <t>阿联酋</t>
  </si>
  <si>
    <t>阿联酋:迪拜</t>
    <phoneticPr fontId="1" type="noConversion"/>
  </si>
  <si>
    <t>合计:全球</t>
  </si>
  <si>
    <t>LME铅:入仓:合计:全球</t>
    <phoneticPr fontId="1" type="noConversion"/>
  </si>
  <si>
    <t>合计:欧洲</t>
  </si>
  <si>
    <t>LME铅:库存:合计:欧洲</t>
  </si>
  <si>
    <t>LME铅:注册仓单:合计:欧洲</t>
  </si>
  <si>
    <t>LME铅:注销仓单:合计:欧洲</t>
  </si>
  <si>
    <t>LME铅:入仓:合计:欧洲</t>
    <phoneticPr fontId="1" type="noConversion"/>
  </si>
  <si>
    <t>合计:德国</t>
  </si>
  <si>
    <t>LME铅:库存:合计:德国</t>
  </si>
  <si>
    <t>LME铅:注册仓单:合计:德国</t>
  </si>
  <si>
    <t>LME铅:注销仓单:合计:德国</t>
  </si>
  <si>
    <t>LME铅:入仓:合计:德国</t>
  </si>
  <si>
    <t>LME铅:出仓:合计:德国</t>
  </si>
  <si>
    <t>LME铅:库存:德国:不莱梅</t>
  </si>
  <si>
    <t>LME铅:注册仓单:德国:不莱梅</t>
  </si>
  <si>
    <t>LME铅:注销仓单:德国:不莱梅</t>
  </si>
  <si>
    <t>LME铅:入仓:德国:不莱梅</t>
  </si>
  <si>
    <t>LME铅:出仓:德国:不莱梅</t>
  </si>
  <si>
    <t>LME铅:库存:德国:汉堡</t>
  </si>
  <si>
    <t>LME铅:注册仓单:德国:汉堡</t>
  </si>
  <si>
    <t>LME铅:注销仓单:德国:汉堡</t>
  </si>
  <si>
    <t>LME铅:入仓:德国:汉堡</t>
  </si>
  <si>
    <t>LME铅:出仓:德国:汉堡</t>
  </si>
  <si>
    <t>合计:比利时</t>
  </si>
  <si>
    <t>LME铅:库存:合计:比利时</t>
  </si>
  <si>
    <t>LME铅:注册仓单:合计:比利时</t>
  </si>
  <si>
    <t>LME铅:注销仓单:合计:比利时</t>
  </si>
  <si>
    <t>LME铅:入仓:合计:比利时</t>
  </si>
  <si>
    <t>LME铅:出仓:合计:比利时</t>
  </si>
  <si>
    <t>LME铅:库存:比利时:安特卫普</t>
  </si>
  <si>
    <t>LME铅:注册仓单:比利时:安特卫普</t>
  </si>
  <si>
    <t>LME铅:注销仓单:比利时:安特卫普</t>
  </si>
  <si>
    <t>LME铅:入仓:比利时:安特卫普</t>
  </si>
  <si>
    <t>LME铅:出仓:比利时:安特卫普</t>
  </si>
  <si>
    <t>合计:瑞典</t>
  </si>
  <si>
    <t>LME铅:库存:合计:瑞典</t>
  </si>
  <si>
    <t>LME铅:注册仓单:合计:瑞典</t>
  </si>
  <si>
    <t>LME铅:注销仓单:合计:瑞典</t>
  </si>
  <si>
    <t>LME铅:入仓:合计:瑞典</t>
  </si>
  <si>
    <t>LME铅:出仓:合计:瑞典</t>
  </si>
  <si>
    <t>LME铅:库存:瑞典:哥德堡</t>
  </si>
  <si>
    <t>LME铅:注册仓单:瑞典:哥德堡</t>
  </si>
  <si>
    <t>LME铅:注销仓单:瑞典:哥德堡</t>
  </si>
  <si>
    <t>LME铅:入仓:瑞典:哥德堡</t>
  </si>
  <si>
    <t>LME铅:出仓:瑞典:哥德堡</t>
  </si>
  <si>
    <t>LME铅:库存:瑞典:赫尔辛堡</t>
  </si>
  <si>
    <t>LME铅:注册仓单:瑞典:赫尔辛堡</t>
  </si>
  <si>
    <t>LME铅:注销仓单:瑞典:赫尔辛堡</t>
  </si>
  <si>
    <t>LME铅:入仓:瑞典:赫尔辛堡</t>
  </si>
  <si>
    <t>LME铅:出仓:瑞典:赫尔辛堡</t>
  </si>
  <si>
    <t>合计:西班牙</t>
  </si>
  <si>
    <t>LME铅:库存:合计:西班牙</t>
  </si>
  <si>
    <t>LME铅:注册仓单:合计:西班牙</t>
  </si>
  <si>
    <t>LME铅:注销仓单:合计:西班牙</t>
  </si>
  <si>
    <t>LME铅:入仓:合计:西班牙</t>
  </si>
  <si>
    <t>LME铅:出仓:合计:西班牙</t>
  </si>
  <si>
    <t>LME铅:库存:西班牙:巴塞罗那</t>
  </si>
  <si>
    <t>LME铅:注册仓单:西班牙:巴塞罗那</t>
  </si>
  <si>
    <t>LME铅:注销仓单:西班牙:巴塞罗那</t>
  </si>
  <si>
    <t>LME铅:入仓:西班牙:巴塞罗那</t>
  </si>
  <si>
    <t>LME铅:出仓:西班牙:巴塞罗那</t>
  </si>
  <si>
    <t>LME铅:库存:西班牙:毕尔巴鄂</t>
  </si>
  <si>
    <t>LME铅:注册仓单:西班牙:毕尔巴鄂</t>
  </si>
  <si>
    <t>LME铅:注销仓单:西班牙:毕尔巴鄂</t>
  </si>
  <si>
    <t>LME铅:入仓:西班牙:毕尔巴鄂</t>
  </si>
  <si>
    <t>LME铅:出仓:西班牙:毕尔巴鄂</t>
  </si>
  <si>
    <t>LME铅:库存:西班牙:托莱多</t>
  </si>
  <si>
    <t>LME铅:注册仓单:西班牙:托莱多</t>
  </si>
  <si>
    <t>LME铅:注销仓单:西班牙:托莱多</t>
  </si>
  <si>
    <t>LME铅:入仓:西班牙:托莱多</t>
  </si>
  <si>
    <t>LME铅:出仓:西班牙:托莱多</t>
  </si>
  <si>
    <t>合计:荷兰</t>
  </si>
  <si>
    <t>LME铅:库存:合计:荷兰</t>
  </si>
  <si>
    <t>LME铅:注册仓单:合计:荷兰</t>
  </si>
  <si>
    <t>LME铅:注销仓单:合计:荷兰</t>
  </si>
  <si>
    <t>LME铅:入仓:合计:荷兰</t>
  </si>
  <si>
    <t>LME铅:出仓:合计:荷兰</t>
  </si>
  <si>
    <t>LME铅:库存:荷兰:弗利辛恩</t>
  </si>
  <si>
    <t>LME铅:注册仓单:荷兰:弗利辛恩</t>
  </si>
  <si>
    <t>LME铅:注销仓单:荷兰:弗利辛恩</t>
  </si>
  <si>
    <t>LME铅:入仓:荷兰:弗利辛恩</t>
  </si>
  <si>
    <t>LME铅:出仓:荷兰:弗利辛恩</t>
  </si>
  <si>
    <t>LME铅:库存:荷兰:鹿特丹</t>
  </si>
  <si>
    <t>LME铅:注册仓单:荷兰:鹿特丹</t>
  </si>
  <si>
    <t>LME铅:注销仓单:荷兰:鹿特丹</t>
  </si>
  <si>
    <t>LME铅:入仓:荷兰:鹿特丹</t>
  </si>
  <si>
    <t>LME铅:出仓:荷兰:鹿特丹</t>
  </si>
  <si>
    <t>合计:意大利</t>
  </si>
  <si>
    <t>LME铅:库存:合计:意大利</t>
  </si>
  <si>
    <t>LME铅:注册仓单:合计:意大利</t>
  </si>
  <si>
    <t>LME铅:注销仓单:合计:意大利</t>
  </si>
  <si>
    <t>LME铅:入仓:合计:意大利</t>
  </si>
  <si>
    <t>LME铅:出仓:合计:意大利</t>
  </si>
  <si>
    <t>LME铅:库存:意大利:的里雅斯特</t>
  </si>
  <si>
    <t>LME铅:注册仓单:意大利:的里雅斯特</t>
  </si>
  <si>
    <t>LME铅:注销仓单:意大利:的里雅斯特</t>
  </si>
  <si>
    <t>LME铅:入仓:意大利:的里雅斯特</t>
  </si>
  <si>
    <t>LME铅:出仓:意大利:的里雅斯特</t>
  </si>
  <si>
    <t>LME铅:库存:意大利:来亨</t>
  </si>
  <si>
    <t>LME铅:注册仓单:意大利:来亨</t>
  </si>
  <si>
    <t>LME铅:注销仓单:意大利:来亨</t>
  </si>
  <si>
    <t>LME铅:入仓:意大利:来亨</t>
  </si>
  <si>
    <t>LME铅:出仓:意大利:来亨</t>
  </si>
  <si>
    <t>LME铅:库存:意大利:热那亚</t>
  </si>
  <si>
    <t>LME铅:注册仓单:意大利:热那亚</t>
  </si>
  <si>
    <t>LME铅:注销仓单:意大利:热那亚</t>
  </si>
  <si>
    <t>LME铅:入仓:意大利:热那亚</t>
  </si>
  <si>
    <t>LME铅:出仓:意大利:热那亚</t>
  </si>
  <si>
    <t>合计:英国</t>
  </si>
  <si>
    <t>LME铅:库存:合计:英国</t>
  </si>
  <si>
    <t>LME铅:注册仓单:合计:英国</t>
  </si>
  <si>
    <t>LME铅:注销仓单:合计:英国</t>
  </si>
  <si>
    <t>LME铅:入仓:合计:英国</t>
  </si>
  <si>
    <t>LME铅:出仓:合计:英国</t>
  </si>
  <si>
    <t>LME铅:库存:英国:赫尔</t>
  </si>
  <si>
    <t>LME铅:注册仓单:英国:赫尔</t>
  </si>
  <si>
    <t>LME铅:注销仓单:英国:赫尔</t>
  </si>
  <si>
    <t>LME铅:入仓:英国:赫尔</t>
  </si>
  <si>
    <t>LME铅:出仓:英国:赫尔</t>
  </si>
  <si>
    <t>LME铅:库存:英国:利物浦</t>
  </si>
  <si>
    <t>LME铅:注册仓单:英国:利物浦</t>
  </si>
  <si>
    <t>LME铅:注销仓单:英国:利物浦</t>
  </si>
  <si>
    <t>LME铅:入仓:英国:利物浦</t>
  </si>
  <si>
    <t>LME铅:出仓:英国:利物浦</t>
  </si>
  <si>
    <t>LME铅:库存:英国:泰恩-威尔</t>
    <phoneticPr fontId="1" type="noConversion"/>
  </si>
  <si>
    <t>LME铅:注册仓单:英国:泰恩-威尔</t>
    <phoneticPr fontId="1" type="noConversion"/>
  </si>
  <si>
    <t>合计:北美洲</t>
  </si>
  <si>
    <t>LME铅:库存:合计:北美洲</t>
  </si>
  <si>
    <t>LME铅:注册仓单:合计:北美洲</t>
  </si>
  <si>
    <t>LME铅:注销仓单:合计:北美洲</t>
  </si>
  <si>
    <t>LME铅:入仓:合计:北美洲</t>
  </si>
  <si>
    <t>LME铅:出仓:合计:北美洲</t>
  </si>
  <si>
    <t>合计:美国</t>
  </si>
  <si>
    <t>LME铅:库存:合计:美国</t>
  </si>
  <si>
    <t>LME铅:注册仓单:合计:美国</t>
  </si>
  <si>
    <t>LME铅:注销仓单:合计:美国</t>
  </si>
  <si>
    <t>LME铅:入仓:合计:美国</t>
  </si>
  <si>
    <t>LME铅:出仓:合计:美国</t>
  </si>
  <si>
    <t>LME铅:库存:美国:巴尔的摩</t>
  </si>
  <si>
    <t>LME铅:注册仓单:美国:巴尔的摩</t>
  </si>
  <si>
    <t>LME铅:注销仓单:美国:巴尔的摩</t>
  </si>
  <si>
    <t>LME铅:入仓:美国:巴尔的摩</t>
  </si>
  <si>
    <t>LME铅:出仓:美国:巴尔的摩</t>
  </si>
  <si>
    <t>LME铅:库存:美国:底特律</t>
  </si>
  <si>
    <t>LME铅:注册仓单:美国:底特律</t>
  </si>
  <si>
    <t>LME铅:注销仓单:美国:底特律</t>
  </si>
  <si>
    <t>LME铅:入仓:美国:底特律</t>
  </si>
  <si>
    <t>LME铅:出仓:美国:底特律</t>
  </si>
  <si>
    <t>LME铅:库存:美国:洛杉矶</t>
  </si>
  <si>
    <t>LME铅:注册仓单:美国:洛杉矶</t>
  </si>
  <si>
    <t>LME铅:注销仓单:美国:洛杉矶</t>
  </si>
  <si>
    <t>LME铅:入仓:美国:洛杉矶</t>
  </si>
  <si>
    <t>LME铅:出仓:美国:洛杉矶</t>
  </si>
  <si>
    <t>LME铅:库存:美国:莫比尔</t>
  </si>
  <si>
    <t>LME铅:注册仓单:美国:莫比尔</t>
  </si>
  <si>
    <t>LME铅:注销仓单:美国:莫比尔</t>
  </si>
  <si>
    <t>LME铅:入仓:美国:莫比尔</t>
  </si>
  <si>
    <t>LME铅:出仓:美国:莫比尔</t>
  </si>
  <si>
    <t>LME铅:库存:美国:圣路易斯</t>
  </si>
  <si>
    <t>LME铅:注册仓单:美国:圣路易斯</t>
  </si>
  <si>
    <t>LME铅:注销仓单:美国:圣路易斯</t>
  </si>
  <si>
    <t>LME铅:入仓:美国:圣路易斯</t>
  </si>
  <si>
    <t>LME铅:出仓:美国:圣路易斯</t>
  </si>
  <si>
    <t>LME铅:库存:美国:新奥尔良</t>
  </si>
  <si>
    <t>LME铅:注册仓单:美国:新奥尔良</t>
  </si>
  <si>
    <t>LME铅:注销仓单:美国:新奥尔良</t>
  </si>
  <si>
    <t>LME铅:入仓:美国:新奥尔良</t>
  </si>
  <si>
    <t>LME铅:出仓:美国:新奥尔良</t>
  </si>
  <si>
    <t>LME铅:库存:美国:长岛</t>
  </si>
  <si>
    <t>LME铅:注册仓单:美国:长岛</t>
  </si>
  <si>
    <t>LME铅:注销仓单:美国:长岛</t>
  </si>
  <si>
    <t>LME铅:入仓:美国:长岛</t>
  </si>
  <si>
    <t>LME铅:出仓:美国:长岛</t>
  </si>
  <si>
    <t>LME铅:库存:美国:芝加哥</t>
  </si>
  <si>
    <t>LME铅:注册仓单:美国:芝加哥</t>
  </si>
  <si>
    <t>LME铅:注销仓单:美国:芝加哥</t>
  </si>
  <si>
    <t>LME铅:入仓:美国:芝加哥</t>
  </si>
  <si>
    <t>LME铅:出仓:美国:芝加哥</t>
  </si>
  <si>
    <t>合计:亚洲</t>
  </si>
  <si>
    <t>LME铅:库存:合计:亚洲</t>
  </si>
  <si>
    <t>LME铅:注册仓单:合计:亚洲</t>
  </si>
  <si>
    <t>LME铅:注销仓单:合计:亚洲</t>
  </si>
  <si>
    <t>LME铅:入仓:合计:亚洲</t>
  </si>
  <si>
    <t>LME铅:出仓:合计:亚洲</t>
  </si>
  <si>
    <t>合计:马来西亚</t>
  </si>
  <si>
    <t>LME铅:库存:合计:马来西亚</t>
  </si>
  <si>
    <t>LME铅:注册仓单:合计:马来西亚</t>
  </si>
  <si>
    <t>LME铅:注销仓单:合计:马来西亚</t>
  </si>
  <si>
    <t>LME铅:入仓:合计:马来西亚</t>
  </si>
  <si>
    <t>LME铅:出仓:合计:马来西亚</t>
  </si>
  <si>
    <t>LME铅:库存:马来西亚:巴生港</t>
  </si>
  <si>
    <t>LME铅:注册仓单:马来西亚:巴生港</t>
  </si>
  <si>
    <t>LME铅:注销仓单:马来西亚:巴生港</t>
  </si>
  <si>
    <t>LME铅:入仓:马来西亚:巴生港</t>
  </si>
  <si>
    <t>LME铅:出仓:马来西亚:巴生港</t>
  </si>
  <si>
    <t>LME铅:库存:马来西亚:柔佛</t>
  </si>
  <si>
    <t>LME铅:注册仓单:马来西亚:柔佛</t>
  </si>
  <si>
    <t>LME铅:注销仓单:马来西亚:柔佛</t>
  </si>
  <si>
    <t>LME铅:入仓:马来西亚:柔佛</t>
  </si>
  <si>
    <t>LME铅:出仓:马来西亚:柔佛</t>
  </si>
  <si>
    <t>合计:新加坡</t>
  </si>
  <si>
    <t>LME铅:库存:合计:新加坡</t>
  </si>
  <si>
    <t>LME铅:注册仓单:合计:新加坡</t>
  </si>
  <si>
    <t>LME铅:注销仓单:合计:新加坡</t>
  </si>
  <si>
    <t>LME铅:入仓:合计:新加坡</t>
  </si>
  <si>
    <t>LME铅:出仓:合计:新加坡</t>
  </si>
  <si>
    <t>LME铅:库存:新加坡:新加坡</t>
  </si>
  <si>
    <t>LME铅:注册仓单:新加坡:新加坡</t>
  </si>
  <si>
    <t>LME铅:注销仓单:新加坡:新加坡</t>
  </si>
  <si>
    <t>LME铅:入仓:新加坡:新加坡</t>
  </si>
  <si>
    <t>LME铅:出仓:新加坡:新加坡</t>
  </si>
  <si>
    <t>合计:中国台湾</t>
  </si>
  <si>
    <t>LME铅:库存:合计:中国台湾</t>
  </si>
  <si>
    <t>LME铅:注册仓单:合计:中国台湾</t>
  </si>
  <si>
    <t>LME铅:注销仓单:合计:中国台湾</t>
  </si>
  <si>
    <t>LME铅:入仓:合计:中国台湾</t>
  </si>
  <si>
    <t>LME铅:出仓:合计:中国台湾</t>
  </si>
  <si>
    <t>LME铅:库存:中国台湾:高雄</t>
  </si>
  <si>
    <t>LME铅:注册仓单:中国台湾:高雄</t>
  </si>
  <si>
    <t>LME铅:注销仓单:中国台湾:高雄</t>
  </si>
  <si>
    <t>LME铅:入仓:中国台湾:高雄</t>
  </si>
  <si>
    <t>LME铅:出仓:中国台湾:高雄</t>
  </si>
  <si>
    <t>合计：中东</t>
    <phoneticPr fontId="1" type="noConversion"/>
  </si>
  <si>
    <t>LME铅:库存:合计:中东</t>
  </si>
  <si>
    <t>LME铅:注册仓单:合计:中东</t>
  </si>
  <si>
    <t>LME铅:注销仓单:合计:中东</t>
  </si>
  <si>
    <t>LME铅:入仓:合计:中东</t>
  </si>
  <si>
    <t>LME铅:出仓:合计:中东</t>
  </si>
  <si>
    <t>合计:阿联酋</t>
  </si>
  <si>
    <t>LME铅:库存:合计:阿联酋</t>
  </si>
  <si>
    <t>LME铅:注册仓单:合计:阿联酋</t>
  </si>
  <si>
    <t>LME铅:注销仓单:合计:阿联酋</t>
  </si>
  <si>
    <t>LME铅:入仓:合计:阿联酋</t>
  </si>
  <si>
    <t>LME铅:出仓:合计:阿联酋</t>
  </si>
  <si>
    <t>阿联酋:迪拜</t>
    <phoneticPr fontId="1" type="noConversion"/>
  </si>
  <si>
    <t>LME铅:库存:阿联酋:迪拜</t>
  </si>
  <si>
    <t>LME铅:注册仓单:阿联酋:迪拜</t>
  </si>
  <si>
    <t>LME铅:注销仓单:阿联酋:迪拜</t>
  </si>
  <si>
    <t>LME铅:入仓:阿联酋:迪拜</t>
  </si>
  <si>
    <t>LME铅:出仓:阿联酋:迪拜</t>
  </si>
  <si>
    <t>最近更新：</t>
    <phoneticPr fontId="5" type="noConversion"/>
  </si>
  <si>
    <t>LME铅分仓库库存</t>
    <phoneticPr fontId="1" type="noConversion"/>
  </si>
  <si>
    <t>期末库存</t>
    <phoneticPr fontId="1" type="noConversion"/>
  </si>
  <si>
    <t>注册仓单</t>
    <phoneticPr fontId="1" type="noConversion"/>
  </si>
  <si>
    <t>入仓</t>
    <phoneticPr fontId="1" type="noConversion"/>
  </si>
  <si>
    <t>出仓</t>
    <phoneticPr fontId="1" type="noConversion"/>
  </si>
  <si>
    <t>期末库存</t>
    <phoneticPr fontId="1" type="noConversion"/>
  </si>
  <si>
    <t>注销仓单</t>
    <phoneticPr fontId="1" type="noConversion"/>
  </si>
  <si>
    <t>期初库存</t>
    <phoneticPr fontId="1" type="noConversion"/>
  </si>
  <si>
    <t>LME铅:库存:合计:全球</t>
    <phoneticPr fontId="1" type="noConversion"/>
  </si>
  <si>
    <t>LME铅:注册仓单:合计:全球</t>
    <phoneticPr fontId="1" type="noConversion"/>
  </si>
  <si>
    <t>LME铅:注销仓单:合计:全球</t>
    <phoneticPr fontId="1" type="noConversion"/>
  </si>
  <si>
    <t>LME铅:出仓:合计:全球</t>
    <phoneticPr fontId="1" type="noConversion"/>
  </si>
  <si>
    <t>LME铅:出仓:合计:欧洲</t>
    <phoneticPr fontId="1" type="noConversion"/>
  </si>
  <si>
    <t>英国:泰恩-威尔</t>
    <phoneticPr fontId="1" type="noConversion"/>
  </si>
  <si>
    <t>LME铅:注销仓单:英国:泰恩-威尔</t>
    <phoneticPr fontId="1" type="noConversion"/>
  </si>
  <si>
    <t>LME铅:入仓:英国:泰恩-威尔</t>
    <phoneticPr fontId="1" type="noConversion"/>
  </si>
  <si>
    <t>LME铅:出仓:英国:泰恩-威尔</t>
    <phoneticPr fontId="1" type="noConversion"/>
  </si>
  <si>
    <t>指标名称</t>
    <phoneticPr fontId="1" type="noConversion"/>
  </si>
  <si>
    <t>吨</t>
    <phoneticPr fontId="1" type="noConversion"/>
  </si>
  <si>
    <t>LME铅:库存:合计:瑞典</t>
    <phoneticPr fontId="1" type="noConversion"/>
  </si>
  <si>
    <t>频率</t>
    <phoneticPr fontId="1" type="noConversion"/>
  </si>
  <si>
    <t>单位</t>
    <phoneticPr fontId="1" type="noConversion"/>
  </si>
  <si>
    <t>指标ID</t>
    <phoneticPr fontId="1" type="noConversion"/>
  </si>
  <si>
    <t>LME铅:库存:合计:全球</t>
    <phoneticPr fontId="1" type="noConversion"/>
  </si>
  <si>
    <t>日</t>
    <phoneticPr fontId="1" type="noConversion"/>
  </si>
  <si>
    <t>吨</t>
    <phoneticPr fontId="1" type="noConversion"/>
  </si>
  <si>
    <t>S0164758</t>
    <phoneticPr fontId="1" type="noConversion"/>
  </si>
  <si>
    <t>LME铅:库存:合计:欧洲</t>
    <phoneticPr fontId="1" type="noConversion"/>
  </si>
  <si>
    <t>S0164759</t>
    <phoneticPr fontId="1" type="noConversion"/>
  </si>
  <si>
    <t>LME铅:库存:合计:亚洲</t>
    <phoneticPr fontId="1" type="noConversion"/>
  </si>
  <si>
    <t>日</t>
    <phoneticPr fontId="1" type="noConversion"/>
  </si>
  <si>
    <t>S0164760</t>
    <phoneticPr fontId="1" type="noConversion"/>
  </si>
  <si>
    <t>LME铅:库存:合计:北美洲</t>
    <phoneticPr fontId="1" type="noConversion"/>
  </si>
  <si>
    <t>S0164761</t>
    <phoneticPr fontId="1" type="noConversion"/>
  </si>
  <si>
    <t>LME铅:库存:合计:德国</t>
    <phoneticPr fontId="1" type="noConversion"/>
  </si>
  <si>
    <t>吨</t>
    <phoneticPr fontId="1" type="noConversion"/>
  </si>
  <si>
    <t>S0164762</t>
    <phoneticPr fontId="1" type="noConversion"/>
  </si>
  <si>
    <t>LME铅:库存:合计:荷兰</t>
    <phoneticPr fontId="1" type="noConversion"/>
  </si>
  <si>
    <t>S0164763</t>
    <phoneticPr fontId="1" type="noConversion"/>
  </si>
  <si>
    <t>LME铅:库存:合计:美国</t>
    <phoneticPr fontId="1" type="noConversion"/>
  </si>
  <si>
    <t>S0164764</t>
    <phoneticPr fontId="1" type="noConversion"/>
  </si>
  <si>
    <t>S0164765</t>
    <phoneticPr fontId="1" type="noConversion"/>
  </si>
  <si>
    <t>LME铅:库存:合计:英国</t>
    <phoneticPr fontId="1" type="noConversion"/>
  </si>
  <si>
    <t>S0164766</t>
    <phoneticPr fontId="1" type="noConversion"/>
  </si>
  <si>
    <t>LME铅:库存:合计:比利时</t>
    <phoneticPr fontId="1" type="noConversion"/>
  </si>
  <si>
    <t>S0164767</t>
    <phoneticPr fontId="1" type="noConversion"/>
  </si>
  <si>
    <t>LME铅:库存:合计:西班牙</t>
    <phoneticPr fontId="1" type="noConversion"/>
  </si>
  <si>
    <t>S0164768</t>
    <phoneticPr fontId="1" type="noConversion"/>
  </si>
  <si>
    <t>LME铅:库存:合计:新加坡</t>
    <phoneticPr fontId="1" type="noConversion"/>
  </si>
  <si>
    <t>S0164769</t>
    <phoneticPr fontId="1" type="noConversion"/>
  </si>
  <si>
    <t>LME铅:库存:合计:意大利</t>
    <phoneticPr fontId="1" type="noConversion"/>
  </si>
  <si>
    <t>S0164770</t>
    <phoneticPr fontId="1" type="noConversion"/>
  </si>
  <si>
    <t>LME铅:库存:合计:马来西亚</t>
    <phoneticPr fontId="1" type="noConversion"/>
  </si>
  <si>
    <t>S0164771</t>
    <phoneticPr fontId="1" type="noConversion"/>
  </si>
  <si>
    <t>LME铅:库存:合计:阿联酋</t>
    <phoneticPr fontId="1" type="noConversion"/>
  </si>
  <si>
    <t>S0164772</t>
    <phoneticPr fontId="1" type="noConversion"/>
  </si>
  <si>
    <t>LME铅:库存:合计:中国台湾</t>
    <phoneticPr fontId="1" type="noConversion"/>
  </si>
  <si>
    <t>吨</t>
    <phoneticPr fontId="1" type="noConversion"/>
  </si>
  <si>
    <t>P1105029</t>
    <phoneticPr fontId="1" type="noConversion"/>
  </si>
  <si>
    <t>LME铅:库存:比利时:安特卫普</t>
    <phoneticPr fontId="1" type="noConversion"/>
  </si>
  <si>
    <t>S0164773</t>
    <phoneticPr fontId="1" type="noConversion"/>
  </si>
  <si>
    <t>LME铅:库存:美国:巴尔的摩</t>
    <phoneticPr fontId="1" type="noConversion"/>
  </si>
  <si>
    <t>S0164774</t>
    <phoneticPr fontId="1" type="noConversion"/>
  </si>
  <si>
    <t>LME铅:库存:西班牙:巴塞罗那</t>
    <phoneticPr fontId="1" type="noConversion"/>
  </si>
  <si>
    <t>S0164775</t>
    <phoneticPr fontId="1" type="noConversion"/>
  </si>
  <si>
    <t>LME铅:库存:西班牙:毕尔巴鄂</t>
    <phoneticPr fontId="1" type="noConversion"/>
  </si>
  <si>
    <t>S0164776</t>
    <phoneticPr fontId="1" type="noConversion"/>
  </si>
  <si>
    <t>LME铅:库存:德国:不莱梅</t>
    <phoneticPr fontId="1" type="noConversion"/>
  </si>
  <si>
    <t>S0164777</t>
    <phoneticPr fontId="1" type="noConversion"/>
  </si>
  <si>
    <t>LME铅:库存:美国:芝加哥</t>
    <phoneticPr fontId="1" type="noConversion"/>
  </si>
  <si>
    <t>S0164778</t>
    <phoneticPr fontId="1" type="noConversion"/>
  </si>
  <si>
    <t>LME铅:库存:美国:底特律</t>
    <phoneticPr fontId="1" type="noConversion"/>
  </si>
  <si>
    <t>S0164779</t>
    <phoneticPr fontId="1" type="noConversion"/>
  </si>
  <si>
    <t>LME铅:库存:阿联酋:迪拜</t>
    <phoneticPr fontId="1" type="noConversion"/>
  </si>
  <si>
    <t>S0164780</t>
    <phoneticPr fontId="1" type="noConversion"/>
  </si>
  <si>
    <t>LME铅:库存:意大利:热那亚</t>
    <phoneticPr fontId="1" type="noConversion"/>
  </si>
  <si>
    <t>S0164781</t>
    <phoneticPr fontId="1" type="noConversion"/>
  </si>
  <si>
    <t>LME铅:库存:瑞典:哥德堡</t>
    <phoneticPr fontId="1" type="noConversion"/>
  </si>
  <si>
    <t>S0164782</t>
    <phoneticPr fontId="1" type="noConversion"/>
  </si>
  <si>
    <t>LME铅:库存:德国:汉堡</t>
    <phoneticPr fontId="1" type="noConversion"/>
  </si>
  <si>
    <t>S0164783</t>
    <phoneticPr fontId="1" type="noConversion"/>
  </si>
  <si>
    <t>LME铅:库存:瑞典:赫尔辛堡</t>
    <phoneticPr fontId="1" type="noConversion"/>
  </si>
  <si>
    <t>S0164784</t>
    <phoneticPr fontId="1" type="noConversion"/>
  </si>
  <si>
    <t>LME铅:库存:英国:赫尔</t>
    <phoneticPr fontId="1" type="noConversion"/>
  </si>
  <si>
    <t>S0164785</t>
    <phoneticPr fontId="1" type="noConversion"/>
  </si>
  <si>
    <t>LME铅:库存:马来西亚:柔佛</t>
    <phoneticPr fontId="1" type="noConversion"/>
  </si>
  <si>
    <t>日</t>
    <phoneticPr fontId="1" type="noConversion"/>
  </si>
  <si>
    <t>S0164786</t>
    <phoneticPr fontId="1" type="noConversion"/>
  </si>
  <si>
    <t>LME铅:库存:意大利:来亨</t>
    <phoneticPr fontId="1" type="noConversion"/>
  </si>
  <si>
    <t>S0164787</t>
    <phoneticPr fontId="1" type="noConversion"/>
  </si>
  <si>
    <t>LME铅:库存:英国:利物浦</t>
    <phoneticPr fontId="1" type="noConversion"/>
  </si>
  <si>
    <t>S0164788</t>
    <phoneticPr fontId="1" type="noConversion"/>
  </si>
  <si>
    <t>LME铅:库存:美国:长岛</t>
    <phoneticPr fontId="1" type="noConversion"/>
  </si>
  <si>
    <t>S0164789</t>
    <phoneticPr fontId="1" type="noConversion"/>
  </si>
  <si>
    <t>LME铅:库存:美国:洛杉矶</t>
    <phoneticPr fontId="1" type="noConversion"/>
  </si>
  <si>
    <t>S0164790</t>
    <phoneticPr fontId="1" type="noConversion"/>
  </si>
  <si>
    <t>LME铅:库存:美国:莫比尔</t>
    <phoneticPr fontId="1" type="noConversion"/>
  </si>
  <si>
    <t>S0164791</t>
    <phoneticPr fontId="1" type="noConversion"/>
  </si>
  <si>
    <t>LME铅:库存:美国:新奥尔良</t>
    <phoneticPr fontId="1" type="noConversion"/>
  </si>
  <si>
    <t>S0164792</t>
    <phoneticPr fontId="1" type="noConversion"/>
  </si>
  <si>
    <t>LME铅:库存:马来西亚:巴生港</t>
    <phoneticPr fontId="1" type="noConversion"/>
  </si>
  <si>
    <t>S0164793</t>
    <phoneticPr fontId="1" type="noConversion"/>
  </si>
  <si>
    <t>LME铅:库存:荷兰:鹿特丹</t>
    <phoneticPr fontId="1" type="noConversion"/>
  </si>
  <si>
    <t>S0164794</t>
    <phoneticPr fontId="1" type="noConversion"/>
  </si>
  <si>
    <t>LME铅:库存:新加坡:新加坡</t>
    <phoneticPr fontId="1" type="noConversion"/>
  </si>
  <si>
    <t>S0164795</t>
    <phoneticPr fontId="1" type="noConversion"/>
  </si>
  <si>
    <t>LME铅:库存:美国:圣路易斯</t>
    <phoneticPr fontId="1" type="noConversion"/>
  </si>
  <si>
    <t>S0164796</t>
    <phoneticPr fontId="1" type="noConversion"/>
  </si>
  <si>
    <t>LME铅:库存:西班牙:托莱多</t>
    <phoneticPr fontId="1" type="noConversion"/>
  </si>
  <si>
    <t>S0164797</t>
    <phoneticPr fontId="1" type="noConversion"/>
  </si>
  <si>
    <t>LME铅:库存:意大利:的里雅斯特</t>
    <phoneticPr fontId="1" type="noConversion"/>
  </si>
  <si>
    <t>S0164798</t>
    <phoneticPr fontId="1" type="noConversion"/>
  </si>
  <si>
    <t>LME铅:库存:英国:泰恩-威尔</t>
    <phoneticPr fontId="1" type="noConversion"/>
  </si>
  <si>
    <t>S0164799</t>
    <phoneticPr fontId="1" type="noConversion"/>
  </si>
  <si>
    <t>LME铅:库存:荷兰:弗利辛恩</t>
    <phoneticPr fontId="1" type="noConversion"/>
  </si>
  <si>
    <t>S0164800</t>
    <phoneticPr fontId="1" type="noConversion"/>
  </si>
  <si>
    <t>LME铅:库存:中国台湾:高雄</t>
    <phoneticPr fontId="1" type="noConversion"/>
  </si>
  <si>
    <t>O7354633</t>
    <phoneticPr fontId="1" type="noConversion"/>
  </si>
  <si>
    <t>LME铅:注册仓单:合计:全球</t>
    <phoneticPr fontId="1" type="noConversion"/>
  </si>
  <si>
    <t>S0164801</t>
    <phoneticPr fontId="1" type="noConversion"/>
  </si>
  <si>
    <t>LME铅:注册仓单:合计:欧洲</t>
    <phoneticPr fontId="1" type="noConversion"/>
  </si>
  <si>
    <t>S0164802</t>
    <phoneticPr fontId="1" type="noConversion"/>
  </si>
  <si>
    <t>LME铅:注册仓单:合计:亚洲</t>
    <phoneticPr fontId="1" type="noConversion"/>
  </si>
  <si>
    <t>S0164803</t>
    <phoneticPr fontId="1" type="noConversion"/>
  </si>
  <si>
    <t>LME铅:注册仓单:合计:北美洲</t>
    <phoneticPr fontId="1" type="noConversion"/>
  </si>
  <si>
    <t>S0164804</t>
    <phoneticPr fontId="1" type="noConversion"/>
  </si>
  <si>
    <t>LME铅:注册仓单:合计:德国</t>
    <phoneticPr fontId="1" type="noConversion"/>
  </si>
  <si>
    <t>S0164805</t>
    <phoneticPr fontId="1" type="noConversion"/>
  </si>
  <si>
    <t>LME铅:注册仓单:合计:荷兰</t>
    <phoneticPr fontId="1" type="noConversion"/>
  </si>
  <si>
    <t>S0164806</t>
    <phoneticPr fontId="1" type="noConversion"/>
  </si>
  <si>
    <t>LME铅:注册仓单:合计:美国</t>
    <phoneticPr fontId="1" type="noConversion"/>
  </si>
  <si>
    <t>S0164807</t>
    <phoneticPr fontId="1" type="noConversion"/>
  </si>
  <si>
    <t>LME铅:注册仓单:合计:瑞典</t>
    <phoneticPr fontId="1" type="noConversion"/>
  </si>
  <si>
    <t>S0164808</t>
    <phoneticPr fontId="1" type="noConversion"/>
  </si>
  <si>
    <t>LME铅:注册仓单:合计:英国</t>
    <phoneticPr fontId="1" type="noConversion"/>
  </si>
  <si>
    <t>S0164809</t>
    <phoneticPr fontId="1" type="noConversion"/>
  </si>
  <si>
    <t>LME铅:注册仓单:合计:比利时</t>
    <phoneticPr fontId="1" type="noConversion"/>
  </si>
  <si>
    <t>S0164810</t>
    <phoneticPr fontId="1" type="noConversion"/>
  </si>
  <si>
    <t>LME铅:注册仓单:合计:西班牙</t>
    <phoneticPr fontId="1" type="noConversion"/>
  </si>
  <si>
    <t>S0164811</t>
    <phoneticPr fontId="1" type="noConversion"/>
  </si>
  <si>
    <t>LME铅:注册仓单:合计:新加坡</t>
    <phoneticPr fontId="1" type="noConversion"/>
  </si>
  <si>
    <t>S0164812</t>
    <phoneticPr fontId="1" type="noConversion"/>
  </si>
  <si>
    <t>LME铅:注册仓单:合计:意大利</t>
    <phoneticPr fontId="1" type="noConversion"/>
  </si>
  <si>
    <t>S0164813</t>
    <phoneticPr fontId="1" type="noConversion"/>
  </si>
  <si>
    <t>LME铅:注册仓单:合计:马来西亚</t>
    <phoneticPr fontId="1" type="noConversion"/>
  </si>
  <si>
    <t>S0164814</t>
    <phoneticPr fontId="1" type="noConversion"/>
  </si>
  <si>
    <t>LME铅:注册仓单:合计:阿联酋</t>
    <phoneticPr fontId="1" type="noConversion"/>
  </si>
  <si>
    <t>S0164815</t>
    <phoneticPr fontId="1" type="noConversion"/>
  </si>
  <si>
    <t>LME铅:注册仓单:合计:中国台湾</t>
    <phoneticPr fontId="1" type="noConversion"/>
  </si>
  <si>
    <t>L1366625</t>
    <phoneticPr fontId="1" type="noConversion"/>
  </si>
  <si>
    <t>LME铅:注册仓单:比利时:安特卫普</t>
    <phoneticPr fontId="1" type="noConversion"/>
  </si>
  <si>
    <t>S0164816</t>
    <phoneticPr fontId="1" type="noConversion"/>
  </si>
  <si>
    <t>LME铅:注册仓单:美国:巴尔的摩</t>
    <phoneticPr fontId="1" type="noConversion"/>
  </si>
  <si>
    <t>S0164817</t>
    <phoneticPr fontId="1" type="noConversion"/>
  </si>
  <si>
    <t>LME铅:注册仓单:西班牙:巴塞罗那</t>
    <phoneticPr fontId="1" type="noConversion"/>
  </si>
  <si>
    <t>S0164818</t>
    <phoneticPr fontId="1" type="noConversion"/>
  </si>
  <si>
    <t>LME铅:注册仓单:西班牙:毕尔巴鄂</t>
    <phoneticPr fontId="1" type="noConversion"/>
  </si>
  <si>
    <t>S0164819</t>
    <phoneticPr fontId="1" type="noConversion"/>
  </si>
  <si>
    <t>LME铅:注册仓单:德国:不莱梅</t>
    <phoneticPr fontId="1" type="noConversion"/>
  </si>
  <si>
    <t>S0164820</t>
    <phoneticPr fontId="1" type="noConversion"/>
  </si>
  <si>
    <t>LME铅:注册仓单:美国:芝加哥</t>
    <phoneticPr fontId="1" type="noConversion"/>
  </si>
  <si>
    <t>S0164821</t>
    <phoneticPr fontId="1" type="noConversion"/>
  </si>
  <si>
    <t>LME铅:注册仓单:美国:底特律</t>
    <phoneticPr fontId="1" type="noConversion"/>
  </si>
  <si>
    <t>S0164822</t>
    <phoneticPr fontId="1" type="noConversion"/>
  </si>
  <si>
    <t>LME铅:注册仓单:阿联酋:迪拜</t>
    <phoneticPr fontId="1" type="noConversion"/>
  </si>
  <si>
    <t>S0164823</t>
    <phoneticPr fontId="1" type="noConversion"/>
  </si>
  <si>
    <t>LME铅:注册仓单:意大利:热那亚</t>
    <phoneticPr fontId="1" type="noConversion"/>
  </si>
  <si>
    <t>S0164824</t>
    <phoneticPr fontId="1" type="noConversion"/>
  </si>
  <si>
    <t>LME铅:注册仓单:瑞典:哥德堡</t>
    <phoneticPr fontId="1" type="noConversion"/>
  </si>
  <si>
    <t>S0164825</t>
    <phoneticPr fontId="1" type="noConversion"/>
  </si>
  <si>
    <t>LME铅:注册仓单:德国:汉堡</t>
    <phoneticPr fontId="1" type="noConversion"/>
  </si>
  <si>
    <t>S0164826</t>
    <phoneticPr fontId="1" type="noConversion"/>
  </si>
  <si>
    <t>LME铅:注册仓单:瑞典:赫尔辛堡</t>
    <phoneticPr fontId="1" type="noConversion"/>
  </si>
  <si>
    <t>S0164827</t>
    <phoneticPr fontId="1" type="noConversion"/>
  </si>
  <si>
    <t>LME铅:注册仓单:英国:赫尔</t>
    <phoneticPr fontId="1" type="noConversion"/>
  </si>
  <si>
    <t>S0164828</t>
    <phoneticPr fontId="1" type="noConversion"/>
  </si>
  <si>
    <t>LME铅:注册仓单:马来西亚:柔佛</t>
    <phoneticPr fontId="1" type="noConversion"/>
  </si>
  <si>
    <t>S0164829</t>
    <phoneticPr fontId="1" type="noConversion"/>
  </si>
  <si>
    <t>LME铅:注册仓单:意大利:来亨</t>
    <phoneticPr fontId="1" type="noConversion"/>
  </si>
  <si>
    <t>S0164830</t>
    <phoneticPr fontId="1" type="noConversion"/>
  </si>
  <si>
    <t>LME铅:注册仓单:英国:利物浦</t>
    <phoneticPr fontId="1" type="noConversion"/>
  </si>
  <si>
    <t>S0164831</t>
    <phoneticPr fontId="1" type="noConversion"/>
  </si>
  <si>
    <t>LME铅:注册仓单:美国:长岛</t>
    <phoneticPr fontId="1" type="noConversion"/>
  </si>
  <si>
    <t>S0164832</t>
    <phoneticPr fontId="1" type="noConversion"/>
  </si>
  <si>
    <t>LME铅:注册仓单:美国:洛杉矶</t>
    <phoneticPr fontId="1" type="noConversion"/>
  </si>
  <si>
    <t>S0164833</t>
    <phoneticPr fontId="1" type="noConversion"/>
  </si>
  <si>
    <t>LME铅:注册仓单:美国:莫比尔</t>
    <phoneticPr fontId="1" type="noConversion"/>
  </si>
  <si>
    <t>S0164834</t>
    <phoneticPr fontId="1" type="noConversion"/>
  </si>
  <si>
    <t>LME铅:注册仓单:美国:新奥尔良</t>
    <phoneticPr fontId="1" type="noConversion"/>
  </si>
  <si>
    <t>S0164835</t>
    <phoneticPr fontId="1" type="noConversion"/>
  </si>
  <si>
    <t>LME铅:注册仓单:马来西亚:巴生港</t>
    <phoneticPr fontId="1" type="noConversion"/>
  </si>
  <si>
    <t>S0164836</t>
    <phoneticPr fontId="1" type="noConversion"/>
  </si>
  <si>
    <t>LME铅:注册仓单:荷兰:鹿特丹</t>
    <phoneticPr fontId="1" type="noConversion"/>
  </si>
  <si>
    <t>S0164837</t>
    <phoneticPr fontId="1" type="noConversion"/>
  </si>
  <si>
    <t>LME铅:注册仓单:新加坡:新加坡</t>
    <phoneticPr fontId="1" type="noConversion"/>
  </si>
  <si>
    <t>S0164838</t>
    <phoneticPr fontId="1" type="noConversion"/>
  </si>
  <si>
    <t>LME铅:注册仓单:美国:圣路易斯</t>
    <phoneticPr fontId="1" type="noConversion"/>
  </si>
  <si>
    <t>S0164839</t>
    <phoneticPr fontId="1" type="noConversion"/>
  </si>
  <si>
    <t>LME铅:注册仓单:西班牙:托莱多</t>
    <phoneticPr fontId="1" type="noConversion"/>
  </si>
  <si>
    <t>S0164840</t>
    <phoneticPr fontId="1" type="noConversion"/>
  </si>
  <si>
    <t>LME铅:注册仓单:意大利:的里雅斯特</t>
    <phoneticPr fontId="1" type="noConversion"/>
  </si>
  <si>
    <t>S0164841</t>
    <phoneticPr fontId="1" type="noConversion"/>
  </si>
  <si>
    <t>LME铅:注册仓单:英国:泰恩-威尔</t>
    <phoneticPr fontId="1" type="noConversion"/>
  </si>
  <si>
    <t>S0164842</t>
    <phoneticPr fontId="1" type="noConversion"/>
  </si>
  <si>
    <t>LME铅:注册仓单:荷兰:弗利辛恩</t>
    <phoneticPr fontId="1" type="noConversion"/>
  </si>
  <si>
    <t>S0164843</t>
    <phoneticPr fontId="1" type="noConversion"/>
  </si>
  <si>
    <t>LME铅:注册仓单:中国台湾:高雄</t>
    <phoneticPr fontId="1" type="noConversion"/>
  </si>
  <si>
    <t>O2918862</t>
    <phoneticPr fontId="1" type="noConversion"/>
  </si>
  <si>
    <t>LME铅:注销仓单:合计:全球</t>
    <phoneticPr fontId="1" type="noConversion"/>
  </si>
  <si>
    <t>S0164844</t>
    <phoneticPr fontId="1" type="noConversion"/>
  </si>
  <si>
    <t>LME铅:注销仓单:合计:欧洲</t>
    <phoneticPr fontId="1" type="noConversion"/>
  </si>
  <si>
    <t>S0164845</t>
    <phoneticPr fontId="1" type="noConversion"/>
  </si>
  <si>
    <t>LME铅:注销仓单:合计:亚洲</t>
    <phoneticPr fontId="1" type="noConversion"/>
  </si>
  <si>
    <t>S0164846</t>
    <phoneticPr fontId="1" type="noConversion"/>
  </si>
  <si>
    <t>LME铅:注销仓单:合计:北美洲</t>
    <phoneticPr fontId="1" type="noConversion"/>
  </si>
  <si>
    <t>S0164847</t>
    <phoneticPr fontId="1" type="noConversion"/>
  </si>
  <si>
    <t>LME铅:注销仓单:合计:德国</t>
    <phoneticPr fontId="1" type="noConversion"/>
  </si>
  <si>
    <t>S0164848</t>
    <phoneticPr fontId="1" type="noConversion"/>
  </si>
  <si>
    <t>LME铅:注销仓单:合计:荷兰</t>
    <phoneticPr fontId="1" type="noConversion"/>
  </si>
  <si>
    <t>S0164849</t>
    <phoneticPr fontId="1" type="noConversion"/>
  </si>
  <si>
    <t>LME铅:注销仓单:合计:美国</t>
    <phoneticPr fontId="1" type="noConversion"/>
  </si>
  <si>
    <t>S0164850</t>
    <phoneticPr fontId="1" type="noConversion"/>
  </si>
  <si>
    <t>LME铅:注销仓单:合计:瑞典</t>
    <phoneticPr fontId="1" type="noConversion"/>
  </si>
  <si>
    <t>S0164851</t>
    <phoneticPr fontId="1" type="noConversion"/>
  </si>
  <si>
    <t>LME铅:注销仓单:合计:英国</t>
    <phoneticPr fontId="1" type="noConversion"/>
  </si>
  <si>
    <t>S0164852</t>
    <phoneticPr fontId="1" type="noConversion"/>
  </si>
  <si>
    <t>LME铅:注销仓单:合计:比利时</t>
    <phoneticPr fontId="1" type="noConversion"/>
  </si>
  <si>
    <t>S0164853</t>
    <phoneticPr fontId="1" type="noConversion"/>
  </si>
  <si>
    <t>LME铅:注销仓单:合计:西班牙</t>
    <phoneticPr fontId="1" type="noConversion"/>
  </si>
  <si>
    <t>S0164854</t>
    <phoneticPr fontId="1" type="noConversion"/>
  </si>
  <si>
    <t>LME铅:注销仓单:合计:新加坡</t>
    <phoneticPr fontId="1" type="noConversion"/>
  </si>
  <si>
    <t>S0164855</t>
    <phoneticPr fontId="1" type="noConversion"/>
  </si>
  <si>
    <t>LME铅:注销仓单:合计:意大利</t>
    <phoneticPr fontId="1" type="noConversion"/>
  </si>
  <si>
    <t>S0164856</t>
    <phoneticPr fontId="1" type="noConversion"/>
  </si>
  <si>
    <t>LME铅:注销仓单:合计:马来西亚</t>
    <phoneticPr fontId="1" type="noConversion"/>
  </si>
  <si>
    <t>S0164857</t>
    <phoneticPr fontId="1" type="noConversion"/>
  </si>
  <si>
    <t>LME铅:注销仓单:合计:阿联酋</t>
    <phoneticPr fontId="1" type="noConversion"/>
  </si>
  <si>
    <t>S0164858</t>
    <phoneticPr fontId="1" type="noConversion"/>
  </si>
  <si>
    <t>LME铅:注销仓单:合计:中国台湾</t>
    <phoneticPr fontId="1" type="noConversion"/>
  </si>
  <si>
    <t>R7663189</t>
    <phoneticPr fontId="1" type="noConversion"/>
  </si>
  <si>
    <t>LME铅:注销仓单:比利时:安特卫普</t>
    <phoneticPr fontId="1" type="noConversion"/>
  </si>
  <si>
    <t>S0164859</t>
    <phoneticPr fontId="1" type="noConversion"/>
  </si>
  <si>
    <t>LME铅:注销仓单:美国:巴尔的摩</t>
    <phoneticPr fontId="1" type="noConversion"/>
  </si>
  <si>
    <t>S0164860</t>
    <phoneticPr fontId="1" type="noConversion"/>
  </si>
  <si>
    <t>LME铅:注销仓单:西班牙:巴塞罗那</t>
    <phoneticPr fontId="1" type="noConversion"/>
  </si>
  <si>
    <t>S0164861</t>
    <phoneticPr fontId="1" type="noConversion"/>
  </si>
  <si>
    <t>LME铅:注销仓单:西班牙:毕尔巴鄂</t>
    <phoneticPr fontId="1" type="noConversion"/>
  </si>
  <si>
    <t>S0164862</t>
    <phoneticPr fontId="1" type="noConversion"/>
  </si>
  <si>
    <t>LME铅:注销仓单:德国:不莱梅</t>
    <phoneticPr fontId="1" type="noConversion"/>
  </si>
  <si>
    <t>S0164863</t>
    <phoneticPr fontId="1" type="noConversion"/>
  </si>
  <si>
    <t>LME铅:注销仓单:美国:芝加哥</t>
    <phoneticPr fontId="1" type="noConversion"/>
  </si>
  <si>
    <t>S0164864</t>
    <phoneticPr fontId="1" type="noConversion"/>
  </si>
  <si>
    <t>LME铅:注销仓单:美国:底特律</t>
    <phoneticPr fontId="1" type="noConversion"/>
  </si>
  <si>
    <t>S0164865</t>
    <phoneticPr fontId="1" type="noConversion"/>
  </si>
  <si>
    <t>LME铅:注销仓单:阿联酋:迪拜</t>
    <phoneticPr fontId="1" type="noConversion"/>
  </si>
  <si>
    <t>S0164866</t>
    <phoneticPr fontId="1" type="noConversion"/>
  </si>
  <si>
    <t>LME铅:注销仓单:意大利:热那亚</t>
    <phoneticPr fontId="1" type="noConversion"/>
  </si>
  <si>
    <t>S0164867</t>
    <phoneticPr fontId="1" type="noConversion"/>
  </si>
  <si>
    <t>LME铅:注销仓单:瑞典:哥德堡</t>
    <phoneticPr fontId="1" type="noConversion"/>
  </si>
  <si>
    <t>S0164868</t>
    <phoneticPr fontId="1" type="noConversion"/>
  </si>
  <si>
    <t>LME铅:注销仓单:德国:汉堡</t>
    <phoneticPr fontId="1" type="noConversion"/>
  </si>
  <si>
    <t>S0164869</t>
    <phoneticPr fontId="1" type="noConversion"/>
  </si>
  <si>
    <t>LME铅:注销仓单:瑞典:赫尔辛堡</t>
    <phoneticPr fontId="1" type="noConversion"/>
  </si>
  <si>
    <t>S0164870</t>
    <phoneticPr fontId="1" type="noConversion"/>
  </si>
  <si>
    <t>LME铅:注销仓单:英国:赫尔</t>
    <phoneticPr fontId="1" type="noConversion"/>
  </si>
  <si>
    <t>S0164871</t>
    <phoneticPr fontId="1" type="noConversion"/>
  </si>
  <si>
    <t>LME铅:注销仓单:马来西亚:柔佛</t>
    <phoneticPr fontId="1" type="noConversion"/>
  </si>
  <si>
    <t>S0164872</t>
    <phoneticPr fontId="1" type="noConversion"/>
  </si>
  <si>
    <t>LME铅:注销仓单:意大利:来亨</t>
    <phoneticPr fontId="1" type="noConversion"/>
  </si>
  <si>
    <t>S0164873</t>
    <phoneticPr fontId="1" type="noConversion"/>
  </si>
  <si>
    <t>LME铅:注销仓单:英国:利物浦</t>
    <phoneticPr fontId="1" type="noConversion"/>
  </si>
  <si>
    <t>S0164874</t>
    <phoneticPr fontId="1" type="noConversion"/>
  </si>
  <si>
    <t>LME铅:注销仓单:美国:长岛</t>
    <phoneticPr fontId="1" type="noConversion"/>
  </si>
  <si>
    <t>S0164875</t>
    <phoneticPr fontId="1" type="noConversion"/>
  </si>
  <si>
    <t>LME铅:注销仓单:美国:洛杉矶</t>
    <phoneticPr fontId="1" type="noConversion"/>
  </si>
  <si>
    <t>S0164876</t>
    <phoneticPr fontId="1" type="noConversion"/>
  </si>
  <si>
    <t>LME铅:注销仓单:美国:莫比尔</t>
    <phoneticPr fontId="1" type="noConversion"/>
  </si>
  <si>
    <t>S0164877</t>
    <phoneticPr fontId="1" type="noConversion"/>
  </si>
  <si>
    <t>LME铅:注销仓单:美国:新奥尔良</t>
    <phoneticPr fontId="1" type="noConversion"/>
  </si>
  <si>
    <t>S0164878</t>
    <phoneticPr fontId="1" type="noConversion"/>
  </si>
  <si>
    <t>LME铅:注销仓单:马来西亚:巴生港</t>
    <phoneticPr fontId="1" type="noConversion"/>
  </si>
  <si>
    <t>S0164879</t>
    <phoneticPr fontId="1" type="noConversion"/>
  </si>
  <si>
    <t>LME铅:注销仓单:荷兰:鹿特丹</t>
    <phoneticPr fontId="1" type="noConversion"/>
  </si>
  <si>
    <t>S0164880</t>
    <phoneticPr fontId="1" type="noConversion"/>
  </si>
  <si>
    <t>LME铅:注销仓单:新加坡:新加坡</t>
    <phoneticPr fontId="1" type="noConversion"/>
  </si>
  <si>
    <t>S0164881</t>
    <phoneticPr fontId="1" type="noConversion"/>
  </si>
  <si>
    <t>LME铅:注销仓单:美国:圣路易斯</t>
    <phoneticPr fontId="1" type="noConversion"/>
  </si>
  <si>
    <t>S0164882</t>
    <phoneticPr fontId="1" type="noConversion"/>
  </si>
  <si>
    <t>LME铅:注销仓单:西班牙:托莱多</t>
    <phoneticPr fontId="1" type="noConversion"/>
  </si>
  <si>
    <t>S0164883</t>
    <phoneticPr fontId="1" type="noConversion"/>
  </si>
  <si>
    <t>LME铅:注销仓单:意大利:的里雅斯特</t>
    <phoneticPr fontId="1" type="noConversion"/>
  </si>
  <si>
    <t>S0164884</t>
    <phoneticPr fontId="1" type="noConversion"/>
  </si>
  <si>
    <t>LME铅:注销仓单:英国:泰恩-威尔</t>
    <phoneticPr fontId="1" type="noConversion"/>
  </si>
  <si>
    <t>S0164885</t>
    <phoneticPr fontId="1" type="noConversion"/>
  </si>
  <si>
    <t>LME铅:注销仓单:荷兰:弗利辛恩</t>
    <phoneticPr fontId="1" type="noConversion"/>
  </si>
  <si>
    <t>S0164886</t>
    <phoneticPr fontId="1" type="noConversion"/>
  </si>
  <si>
    <t>LME铅:注销仓单:中国台湾:高雄</t>
    <phoneticPr fontId="1" type="noConversion"/>
  </si>
  <si>
    <t>Q5035047</t>
    <phoneticPr fontId="1" type="noConversion"/>
  </si>
  <si>
    <t>LME铅:入仓:合计:全球</t>
    <phoneticPr fontId="1" type="noConversion"/>
  </si>
  <si>
    <t>S0164887</t>
    <phoneticPr fontId="1" type="noConversion"/>
  </si>
  <si>
    <t>LME铅:入仓:合计:欧洲</t>
    <phoneticPr fontId="1" type="noConversion"/>
  </si>
  <si>
    <t>S0164888</t>
    <phoneticPr fontId="1" type="noConversion"/>
  </si>
  <si>
    <t>LME铅:入仓:合计:亚洲</t>
    <phoneticPr fontId="1" type="noConversion"/>
  </si>
  <si>
    <t>S0164889</t>
    <phoneticPr fontId="1" type="noConversion"/>
  </si>
  <si>
    <t>LME铅:入仓:合计:北美洲</t>
    <phoneticPr fontId="1" type="noConversion"/>
  </si>
  <si>
    <t>S0164890</t>
    <phoneticPr fontId="1" type="noConversion"/>
  </si>
  <si>
    <t>LME铅:入仓:合计:德国</t>
    <phoneticPr fontId="1" type="noConversion"/>
  </si>
  <si>
    <t>S0164891</t>
    <phoneticPr fontId="1" type="noConversion"/>
  </si>
  <si>
    <t>LME铅:入仓:合计:荷兰</t>
    <phoneticPr fontId="1" type="noConversion"/>
  </si>
  <si>
    <t>S0164892</t>
    <phoneticPr fontId="1" type="noConversion"/>
  </si>
  <si>
    <t>LME铅:入仓:合计:美国</t>
    <phoneticPr fontId="1" type="noConversion"/>
  </si>
  <si>
    <t>S0164893</t>
    <phoneticPr fontId="1" type="noConversion"/>
  </si>
  <si>
    <t>LME铅:入仓:合计:瑞典</t>
    <phoneticPr fontId="1" type="noConversion"/>
  </si>
  <si>
    <t>S0164894</t>
    <phoneticPr fontId="1" type="noConversion"/>
  </si>
  <si>
    <t>LME铅:入仓:合计:英国</t>
    <phoneticPr fontId="1" type="noConversion"/>
  </si>
  <si>
    <t>S0164895</t>
    <phoneticPr fontId="1" type="noConversion"/>
  </si>
  <si>
    <t>LME铅:入仓:合计:比利时</t>
    <phoneticPr fontId="1" type="noConversion"/>
  </si>
  <si>
    <t>S0164896</t>
    <phoneticPr fontId="1" type="noConversion"/>
  </si>
  <si>
    <t>LME铅:入仓:合计:西班牙</t>
    <phoneticPr fontId="1" type="noConversion"/>
  </si>
  <si>
    <t>S0164897</t>
    <phoneticPr fontId="1" type="noConversion"/>
  </si>
  <si>
    <t>LME铅:入仓:合计:新加坡</t>
    <phoneticPr fontId="1" type="noConversion"/>
  </si>
  <si>
    <t>S0164898</t>
    <phoneticPr fontId="1" type="noConversion"/>
  </si>
  <si>
    <t>LME铅:入仓:合计:意大利</t>
    <phoneticPr fontId="1" type="noConversion"/>
  </si>
  <si>
    <t>S0164899</t>
    <phoneticPr fontId="1" type="noConversion"/>
  </si>
  <si>
    <t>LME铅:入仓:合计:马来西亚</t>
    <phoneticPr fontId="1" type="noConversion"/>
  </si>
  <si>
    <t>S0164900</t>
    <phoneticPr fontId="1" type="noConversion"/>
  </si>
  <si>
    <t>LME铅:入仓:合计:阿联酋</t>
    <phoneticPr fontId="1" type="noConversion"/>
  </si>
  <si>
    <t>S0164901</t>
    <phoneticPr fontId="1" type="noConversion"/>
  </si>
  <si>
    <t>LME铅:入仓:合计:中国台湾</t>
    <phoneticPr fontId="1" type="noConversion"/>
  </si>
  <si>
    <t>H2059798</t>
    <phoneticPr fontId="1" type="noConversion"/>
  </si>
  <si>
    <t>LME铅:入仓:比利时:安特卫普</t>
    <phoneticPr fontId="1" type="noConversion"/>
  </si>
  <si>
    <t>S0164902</t>
    <phoneticPr fontId="1" type="noConversion"/>
  </si>
  <si>
    <t>LME铅:入仓:美国:巴尔的摩</t>
    <phoneticPr fontId="1" type="noConversion"/>
  </si>
  <si>
    <t>S0164903</t>
    <phoneticPr fontId="1" type="noConversion"/>
  </si>
  <si>
    <t>LME铅:入仓:西班牙:巴塞罗那</t>
    <phoneticPr fontId="1" type="noConversion"/>
  </si>
  <si>
    <t>S0164904</t>
    <phoneticPr fontId="1" type="noConversion"/>
  </si>
  <si>
    <t>LME铅:入仓:西班牙:毕尔巴鄂</t>
    <phoneticPr fontId="1" type="noConversion"/>
  </si>
  <si>
    <t>S0164905</t>
    <phoneticPr fontId="1" type="noConversion"/>
  </si>
  <si>
    <t>LME铅:入仓:德国:不莱梅</t>
    <phoneticPr fontId="1" type="noConversion"/>
  </si>
  <si>
    <t>S0164906</t>
    <phoneticPr fontId="1" type="noConversion"/>
  </si>
  <si>
    <t>LME铅:入仓:美国:芝加哥</t>
    <phoneticPr fontId="1" type="noConversion"/>
  </si>
  <si>
    <t>S0164907</t>
    <phoneticPr fontId="1" type="noConversion"/>
  </si>
  <si>
    <t>LME铅:入仓:美国:底特律</t>
    <phoneticPr fontId="1" type="noConversion"/>
  </si>
  <si>
    <t>S0164908</t>
    <phoneticPr fontId="1" type="noConversion"/>
  </si>
  <si>
    <t>LME铅:入仓:阿联酋:迪拜</t>
    <phoneticPr fontId="1" type="noConversion"/>
  </si>
  <si>
    <t>S0164909</t>
    <phoneticPr fontId="1" type="noConversion"/>
  </si>
  <si>
    <t>LME铅:入仓:意大利:热那亚</t>
    <phoneticPr fontId="1" type="noConversion"/>
  </si>
  <si>
    <t>S0164910</t>
    <phoneticPr fontId="1" type="noConversion"/>
  </si>
  <si>
    <t>LME铅:入仓:瑞典:哥德堡</t>
    <phoneticPr fontId="1" type="noConversion"/>
  </si>
  <si>
    <t>S0164911</t>
    <phoneticPr fontId="1" type="noConversion"/>
  </si>
  <si>
    <t>LME铅:入仓:德国:汉堡</t>
    <phoneticPr fontId="1" type="noConversion"/>
  </si>
  <si>
    <t>S0164912</t>
    <phoneticPr fontId="1" type="noConversion"/>
  </si>
  <si>
    <t>LME铅:入仓:瑞典:赫尔辛堡</t>
    <phoneticPr fontId="1" type="noConversion"/>
  </si>
  <si>
    <t>S0164913</t>
    <phoneticPr fontId="1" type="noConversion"/>
  </si>
  <si>
    <t>LME铅:入仓:英国:赫尔</t>
    <phoneticPr fontId="1" type="noConversion"/>
  </si>
  <si>
    <t>S0164914</t>
    <phoneticPr fontId="1" type="noConversion"/>
  </si>
  <si>
    <t>LME铅:入仓:马来西亚:柔佛</t>
    <phoneticPr fontId="1" type="noConversion"/>
  </si>
  <si>
    <t>S0164915</t>
    <phoneticPr fontId="1" type="noConversion"/>
  </si>
  <si>
    <t>LME铅:入仓:意大利:来亨</t>
    <phoneticPr fontId="1" type="noConversion"/>
  </si>
  <si>
    <t>S0164916</t>
    <phoneticPr fontId="1" type="noConversion"/>
  </si>
  <si>
    <t>LME铅:入仓:英国:利物浦</t>
    <phoneticPr fontId="1" type="noConversion"/>
  </si>
  <si>
    <t>S0164917</t>
    <phoneticPr fontId="1" type="noConversion"/>
  </si>
  <si>
    <t>LME铅:入仓:美国:长岛</t>
    <phoneticPr fontId="1" type="noConversion"/>
  </si>
  <si>
    <t>S0164918</t>
    <phoneticPr fontId="1" type="noConversion"/>
  </si>
  <si>
    <t>LME铅:入仓:美国:洛杉矶</t>
    <phoneticPr fontId="1" type="noConversion"/>
  </si>
  <si>
    <t>S0164919</t>
    <phoneticPr fontId="1" type="noConversion"/>
  </si>
  <si>
    <t>LME铅:入仓:美国:莫比尔</t>
    <phoneticPr fontId="1" type="noConversion"/>
  </si>
  <si>
    <t>S0164920</t>
    <phoneticPr fontId="1" type="noConversion"/>
  </si>
  <si>
    <t>LME铅:入仓:美国:新奥尔良</t>
    <phoneticPr fontId="1" type="noConversion"/>
  </si>
  <si>
    <t>S0164921</t>
    <phoneticPr fontId="1" type="noConversion"/>
  </si>
  <si>
    <t>LME铅:入仓:马来西亚:巴生港</t>
    <phoneticPr fontId="1" type="noConversion"/>
  </si>
  <si>
    <t>S0164922</t>
    <phoneticPr fontId="1" type="noConversion"/>
  </si>
  <si>
    <t>LME铅:入仓:荷兰:鹿特丹</t>
    <phoneticPr fontId="1" type="noConversion"/>
  </si>
  <si>
    <t>S0164923</t>
    <phoneticPr fontId="1" type="noConversion"/>
  </si>
  <si>
    <t>LME铅:入仓:新加坡:新加坡</t>
    <phoneticPr fontId="1" type="noConversion"/>
  </si>
  <si>
    <t>S0164924</t>
    <phoneticPr fontId="1" type="noConversion"/>
  </si>
  <si>
    <t>LME铅:入仓:美国:圣路易斯</t>
    <phoneticPr fontId="1" type="noConversion"/>
  </si>
  <si>
    <t>S0164925</t>
    <phoneticPr fontId="1" type="noConversion"/>
  </si>
  <si>
    <t>LME铅:入仓:西班牙:托莱多</t>
    <phoneticPr fontId="1" type="noConversion"/>
  </si>
  <si>
    <t>S0164926</t>
    <phoneticPr fontId="1" type="noConversion"/>
  </si>
  <si>
    <t>LME铅:入仓:意大利:的里雅斯特</t>
    <phoneticPr fontId="1" type="noConversion"/>
  </si>
  <si>
    <t>S0164927</t>
    <phoneticPr fontId="1" type="noConversion"/>
  </si>
  <si>
    <t>LME铅:入仓:英国:泰恩-威尔</t>
    <phoneticPr fontId="1" type="noConversion"/>
  </si>
  <si>
    <t>S0164928</t>
    <phoneticPr fontId="1" type="noConversion"/>
  </si>
  <si>
    <t>LME铅:入仓:荷兰:弗利辛恩</t>
    <phoneticPr fontId="1" type="noConversion"/>
  </si>
  <si>
    <t>S0164929</t>
    <phoneticPr fontId="1" type="noConversion"/>
  </si>
  <si>
    <t>LME铅:入仓:中国台湾:高雄</t>
    <phoneticPr fontId="1" type="noConversion"/>
  </si>
  <si>
    <t>R7290781</t>
    <phoneticPr fontId="1" type="noConversion"/>
  </si>
  <si>
    <t>LME铅:出仓:合计:全球</t>
    <phoneticPr fontId="1" type="noConversion"/>
  </si>
  <si>
    <t>S0164930</t>
    <phoneticPr fontId="1" type="noConversion"/>
  </si>
  <si>
    <t>LME铅:出仓:合计:欧洲</t>
    <phoneticPr fontId="1" type="noConversion"/>
  </si>
  <si>
    <t>S0164931</t>
    <phoneticPr fontId="1" type="noConversion"/>
  </si>
  <si>
    <t>LME铅:出仓:合计:亚洲</t>
    <phoneticPr fontId="1" type="noConversion"/>
  </si>
  <si>
    <t>S0164932</t>
    <phoneticPr fontId="1" type="noConversion"/>
  </si>
  <si>
    <t>LME铅:出仓:合计:北美洲</t>
    <phoneticPr fontId="1" type="noConversion"/>
  </si>
  <si>
    <t>S0164933</t>
    <phoneticPr fontId="1" type="noConversion"/>
  </si>
  <si>
    <t>LME铅:出仓:合计:德国</t>
    <phoneticPr fontId="1" type="noConversion"/>
  </si>
  <si>
    <t>S0164934</t>
    <phoneticPr fontId="1" type="noConversion"/>
  </si>
  <si>
    <t>LME铅:出仓:合计:荷兰</t>
    <phoneticPr fontId="1" type="noConversion"/>
  </si>
  <si>
    <t>S0164935</t>
    <phoneticPr fontId="1" type="noConversion"/>
  </si>
  <si>
    <t>LME铅:出仓:合计:美国</t>
    <phoneticPr fontId="1" type="noConversion"/>
  </si>
  <si>
    <t>S0164936</t>
    <phoneticPr fontId="1" type="noConversion"/>
  </si>
  <si>
    <t>LME铅:出仓:合计:瑞典</t>
    <phoneticPr fontId="1" type="noConversion"/>
  </si>
  <si>
    <t>S0164937</t>
    <phoneticPr fontId="1" type="noConversion"/>
  </si>
  <si>
    <t>LME铅:出仓:合计:英国</t>
    <phoneticPr fontId="1" type="noConversion"/>
  </si>
  <si>
    <t>S0164938</t>
    <phoneticPr fontId="1" type="noConversion"/>
  </si>
  <si>
    <t>LME铅:出仓:合计:比利时</t>
    <phoneticPr fontId="1" type="noConversion"/>
  </si>
  <si>
    <t>S0164939</t>
    <phoneticPr fontId="1" type="noConversion"/>
  </si>
  <si>
    <t>LME铅:出仓:合计:西班牙</t>
    <phoneticPr fontId="1" type="noConversion"/>
  </si>
  <si>
    <t>S0164940</t>
    <phoneticPr fontId="1" type="noConversion"/>
  </si>
  <si>
    <t>LME铅:出仓:合计:新加坡</t>
    <phoneticPr fontId="1" type="noConversion"/>
  </si>
  <si>
    <t>S0164941</t>
    <phoneticPr fontId="1" type="noConversion"/>
  </si>
  <si>
    <t>LME铅:出仓:合计:意大利</t>
    <phoneticPr fontId="1" type="noConversion"/>
  </si>
  <si>
    <t>S0164942</t>
    <phoneticPr fontId="1" type="noConversion"/>
  </si>
  <si>
    <t>LME铅:出仓:合计:马来西亚</t>
    <phoneticPr fontId="1" type="noConversion"/>
  </si>
  <si>
    <t>S0164943</t>
    <phoneticPr fontId="1" type="noConversion"/>
  </si>
  <si>
    <t>LME铅:出仓:合计:阿联酋</t>
    <phoneticPr fontId="1" type="noConversion"/>
  </si>
  <si>
    <t>S0164944</t>
    <phoneticPr fontId="1" type="noConversion"/>
  </si>
  <si>
    <t>LME铅:出仓:合计:中国台湾</t>
    <phoneticPr fontId="1" type="noConversion"/>
  </si>
  <si>
    <t>B4160846</t>
    <phoneticPr fontId="1" type="noConversion"/>
  </si>
  <si>
    <t>LME铅:出仓:比利时:安特卫普</t>
    <phoneticPr fontId="1" type="noConversion"/>
  </si>
  <si>
    <t>S0164945</t>
    <phoneticPr fontId="1" type="noConversion"/>
  </si>
  <si>
    <t>LME铅:出仓:美国:巴尔的摩</t>
    <phoneticPr fontId="1" type="noConversion"/>
  </si>
  <si>
    <t>S0164946</t>
    <phoneticPr fontId="1" type="noConversion"/>
  </si>
  <si>
    <t>LME铅:出仓:西班牙:巴塞罗那</t>
    <phoneticPr fontId="1" type="noConversion"/>
  </si>
  <si>
    <t>S0164947</t>
    <phoneticPr fontId="1" type="noConversion"/>
  </si>
  <si>
    <t>LME铅:出仓:西班牙:毕尔巴鄂</t>
    <phoneticPr fontId="1" type="noConversion"/>
  </si>
  <si>
    <t>S0164948</t>
    <phoneticPr fontId="1" type="noConversion"/>
  </si>
  <si>
    <t>LME铅:出仓:德国:不莱梅</t>
    <phoneticPr fontId="1" type="noConversion"/>
  </si>
  <si>
    <t>S0164949</t>
    <phoneticPr fontId="1" type="noConversion"/>
  </si>
  <si>
    <t>LME铅:出仓:美国:芝加哥</t>
    <phoneticPr fontId="1" type="noConversion"/>
  </si>
  <si>
    <t>S0164950</t>
    <phoneticPr fontId="1" type="noConversion"/>
  </si>
  <si>
    <t>LME铅:出仓:美国:底特律</t>
    <phoneticPr fontId="1" type="noConversion"/>
  </si>
  <si>
    <t>S0164951</t>
    <phoneticPr fontId="1" type="noConversion"/>
  </si>
  <si>
    <t>LME铅:出仓:阿联酋:迪拜</t>
    <phoneticPr fontId="1" type="noConversion"/>
  </si>
  <si>
    <t>S0164952</t>
    <phoneticPr fontId="1" type="noConversion"/>
  </si>
  <si>
    <t>LME铅:出仓:意大利:热那亚</t>
    <phoneticPr fontId="1" type="noConversion"/>
  </si>
  <si>
    <t>S0164953</t>
    <phoneticPr fontId="1" type="noConversion"/>
  </si>
  <si>
    <t>LME铅:出仓:瑞典:哥德堡</t>
    <phoneticPr fontId="1" type="noConversion"/>
  </si>
  <si>
    <t>S0164954</t>
    <phoneticPr fontId="1" type="noConversion"/>
  </si>
  <si>
    <t>LME铅:出仓:德国:汉堡</t>
    <phoneticPr fontId="1" type="noConversion"/>
  </si>
  <si>
    <t>S0164955</t>
    <phoneticPr fontId="1" type="noConversion"/>
  </si>
  <si>
    <t>LME铅:出仓:瑞典:赫尔辛堡</t>
    <phoneticPr fontId="1" type="noConversion"/>
  </si>
  <si>
    <t>S0164956</t>
    <phoneticPr fontId="1" type="noConversion"/>
  </si>
  <si>
    <t>LME铅:出仓:英国:赫尔</t>
    <phoneticPr fontId="1" type="noConversion"/>
  </si>
  <si>
    <t>S0164957</t>
    <phoneticPr fontId="1" type="noConversion"/>
  </si>
  <si>
    <t>LME铅:出仓:马来西亚:柔佛</t>
    <phoneticPr fontId="1" type="noConversion"/>
  </si>
  <si>
    <t>S0164958</t>
    <phoneticPr fontId="1" type="noConversion"/>
  </si>
  <si>
    <t>LME铅:出仓:意大利:来亨</t>
    <phoneticPr fontId="1" type="noConversion"/>
  </si>
  <si>
    <t>S0164959</t>
    <phoneticPr fontId="1" type="noConversion"/>
  </si>
  <si>
    <t>LME铅:出仓:英国:利物浦</t>
    <phoneticPr fontId="1" type="noConversion"/>
  </si>
  <si>
    <t>S0164960</t>
    <phoneticPr fontId="1" type="noConversion"/>
  </si>
  <si>
    <t>LME铅:出仓:美国:长岛</t>
    <phoneticPr fontId="1" type="noConversion"/>
  </si>
  <si>
    <t>S0164961</t>
    <phoneticPr fontId="1" type="noConversion"/>
  </si>
  <si>
    <t>LME铅:出仓:美国:洛杉矶</t>
    <phoneticPr fontId="1" type="noConversion"/>
  </si>
  <si>
    <t>S0164962</t>
    <phoneticPr fontId="1" type="noConversion"/>
  </si>
  <si>
    <t>LME铅:出仓:美国:莫比尔</t>
    <phoneticPr fontId="1" type="noConversion"/>
  </si>
  <si>
    <t>S0164963</t>
    <phoneticPr fontId="1" type="noConversion"/>
  </si>
  <si>
    <t>LME铅:出仓:美国:新奥尔良</t>
    <phoneticPr fontId="1" type="noConversion"/>
  </si>
  <si>
    <t>S0164964</t>
    <phoneticPr fontId="1" type="noConversion"/>
  </si>
  <si>
    <t>LME铅:出仓:马来西亚:巴生港</t>
    <phoneticPr fontId="1" type="noConversion"/>
  </si>
  <si>
    <t>S0164965</t>
    <phoneticPr fontId="1" type="noConversion"/>
  </si>
  <si>
    <t>LME铅:出仓:荷兰:鹿特丹</t>
    <phoneticPr fontId="1" type="noConversion"/>
  </si>
  <si>
    <t>S0164966</t>
    <phoneticPr fontId="1" type="noConversion"/>
  </si>
  <si>
    <t>LME铅:出仓:新加坡:新加坡</t>
    <phoneticPr fontId="1" type="noConversion"/>
  </si>
  <si>
    <t>S0164967</t>
    <phoneticPr fontId="1" type="noConversion"/>
  </si>
  <si>
    <t>LME铅:出仓:美国:圣路易斯</t>
    <phoneticPr fontId="1" type="noConversion"/>
  </si>
  <si>
    <t>S0164968</t>
    <phoneticPr fontId="1" type="noConversion"/>
  </si>
  <si>
    <t>LME铅:出仓:西班牙:托莱多</t>
    <phoneticPr fontId="1" type="noConversion"/>
  </si>
  <si>
    <t>S0164969</t>
    <phoneticPr fontId="1" type="noConversion"/>
  </si>
  <si>
    <t>LME铅:出仓:意大利:的里雅斯特</t>
    <phoneticPr fontId="1" type="noConversion"/>
  </si>
  <si>
    <t>S0164970</t>
    <phoneticPr fontId="1" type="noConversion"/>
  </si>
  <si>
    <t>LME铅:出仓:英国:泰恩-威尔</t>
    <phoneticPr fontId="1" type="noConversion"/>
  </si>
  <si>
    <t>S0164971</t>
    <phoneticPr fontId="1" type="noConversion"/>
  </si>
  <si>
    <t>LME铅:出仓:荷兰:弗利辛恩</t>
    <phoneticPr fontId="1" type="noConversion"/>
  </si>
  <si>
    <t>S0164972</t>
    <phoneticPr fontId="1" type="noConversion"/>
  </si>
  <si>
    <t>LME铅:出仓:中国台湾:高雄</t>
    <phoneticPr fontId="1" type="noConversion"/>
  </si>
  <si>
    <t>P9202235</t>
    <phoneticPr fontId="1" type="noConversion"/>
  </si>
  <si>
    <t>LME分仓库库存-铝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</si>
</sst>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#,##0.00_ "/>
    <numFmt numFmtId="177" formatCode="yyyy\-mm\-dd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</font>
    <font>
      <sz val="11"/>
      <color theme="1"/>
      <name val="等线"/>
      <family val="2"/>
      <scheme val="minor"/>
    </font>
    <font>
      <sz val="12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2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等线"/>
      <family val="2"/>
      <scheme val="minor"/>
    </font>
    <font>
      <b/>
      <sz val="16"/>
      <color rgb="FF21212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indexed="10"/>
      <name val="等线"/>
      <family val="3"/>
      <charset val="134"/>
    </font>
    <font>
      <sz val="1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C65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4" fontId="6" fillId="2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14" fontId="10" fillId="4" borderId="0" xfId="0" applyNumberFormat="1" applyFont="1" applyFill="1"/>
    <xf numFmtId="0" fontId="11" fillId="5" borderId="0" xfId="0" applyFont="1" applyFill="1"/>
    <xf numFmtId="0" fontId="9" fillId="5" borderId="0" xfId="0" applyFont="1" applyFill="1"/>
    <xf numFmtId="0" fontId="11" fillId="3" borderId="0" xfId="0" applyFont="1" applyFill="1"/>
    <xf numFmtId="0" fontId="9" fillId="3" borderId="0" xfId="0" applyFont="1" applyFill="1"/>
    <xf numFmtId="0" fontId="11" fillId="4" borderId="0" xfId="0" applyFont="1" applyFill="1"/>
    <xf numFmtId="0" fontId="9" fillId="4" borderId="0" xfId="0" applyFont="1" applyFill="1"/>
    <xf numFmtId="43" fontId="12" fillId="5" borderId="0" xfId="1" applyFont="1" applyFill="1" applyAlignment="1"/>
    <xf numFmtId="43" fontId="12" fillId="3" borderId="0" xfId="1" applyFont="1" applyFill="1" applyAlignment="1"/>
    <xf numFmtId="43" fontId="12" fillId="4" borderId="0" xfId="1" applyFont="1" applyFill="1" applyAlignment="1"/>
    <xf numFmtId="43" fontId="13" fillId="0" borderId="0" xfId="1" applyFont="1" applyAlignment="1"/>
    <xf numFmtId="0" fontId="10" fillId="4" borderId="0" xfId="0" applyNumberFormat="1" applyFont="1" applyFill="1"/>
    <xf numFmtId="0" fontId="4" fillId="2" borderId="1" xfId="1" applyNumberFormat="1" applyFont="1" applyFill="1" applyBorder="1" applyAlignment="1">
      <alignment horizontal="right" vertical="center"/>
    </xf>
    <xf numFmtId="0" fontId="14" fillId="0" borderId="0" xfId="0" applyFont="1"/>
    <xf numFmtId="14" fontId="13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0" fillId="0" borderId="0" xfId="0" applyFill="1"/>
    <xf numFmtId="0" fontId="8" fillId="0" borderId="0" xfId="0" applyFont="1" applyFill="1"/>
    <xf numFmtId="43" fontId="13" fillId="0" borderId="0" xfId="1" applyFont="1" applyFill="1" applyAlignment="1"/>
    <xf numFmtId="43" fontId="13" fillId="0" borderId="0" xfId="1" applyFont="1" applyFill="1" applyAlignment="1">
      <alignment horizontal="left"/>
    </xf>
    <xf numFmtId="43" fontId="7" fillId="2" borderId="2" xfId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</cellXfs>
  <cellStyles count="2">
    <cellStyle name="常规" xfId="0" builtinId="0"/>
    <cellStyle name="千位分隔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26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76200</xdr:rowOff>
    </xdr:from>
    <xdr:to>
      <xdr:col>2</xdr:col>
      <xdr:colOff>607152</xdr:colOff>
      <xdr:row>0</xdr:row>
      <xdr:rowOff>295800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6200"/>
          <a:ext cx="607152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2626C"/>
  </sheetPr>
  <dimension ref="A1:M52"/>
  <sheetViews>
    <sheetView showGridLines="0" tabSelected="1" workbookViewId="0">
      <pane ySplit="1" topLeftCell="A2" activePane="bottomLeft" state="frozen"/>
      <selection pane="bottomLeft" activeCell="C64" sqref="C64"/>
    </sheetView>
  </sheetViews>
  <sheetFormatPr defaultRowHeight="14.25" outlineLevelRow="2" x14ac:dyDescent="0.2"/>
  <cols>
    <col min="1" max="2" width="2.5" customWidth="1"/>
    <col min="3" max="3" width="24.75" bestFit="1" customWidth="1"/>
    <col min="4" max="4" width="6.375" customWidth="1"/>
    <col min="5" max="11" width="17.5" customWidth="1"/>
    <col min="12" max="13" width="2.5" customWidth="1"/>
  </cols>
  <sheetData>
    <row r="1" spans="1:13" ht="27.75" x14ac:dyDescent="0.2">
      <c r="A1" s="1"/>
      <c r="B1" s="1"/>
      <c r="C1" s="1"/>
      <c r="D1" s="30" t="s">
        <v>294</v>
      </c>
      <c r="E1" s="30"/>
      <c r="F1" s="30"/>
      <c r="G1" s="30"/>
      <c r="H1" s="30"/>
      <c r="I1" s="30"/>
      <c r="J1" s="22" t="s">
        <v>293</v>
      </c>
      <c r="K1" s="7">
        <f ca="1">WORKDAY(TODAY(),-1)</f>
        <v>45208</v>
      </c>
      <c r="L1" s="1"/>
      <c r="M1" s="1"/>
    </row>
    <row r="2" spans="1:13" ht="22.5" x14ac:dyDescent="0.4">
      <c r="A2" s="2"/>
      <c r="B2" s="3"/>
      <c r="C2" s="9"/>
      <c r="D2" s="10"/>
      <c r="E2" s="21" t="s">
        <v>0</v>
      </c>
      <c r="F2" s="21" t="s">
        <v>1</v>
      </c>
      <c r="G2" s="21" t="s">
        <v>2</v>
      </c>
      <c r="H2" s="21" t="s">
        <v>3</v>
      </c>
      <c r="I2" s="21" t="s">
        <v>4</v>
      </c>
      <c r="J2" s="21" t="s">
        <v>5</v>
      </c>
      <c r="K2" s="21" t="s">
        <v>6</v>
      </c>
      <c r="L2" s="3"/>
      <c r="M2" s="2"/>
    </row>
    <row r="3" spans="1:13" ht="22.5" x14ac:dyDescent="0.4">
      <c r="A3" s="2"/>
      <c r="B3" s="3"/>
      <c r="C3" s="11" t="s">
        <v>7</v>
      </c>
      <c r="D3" s="12"/>
      <c r="E3" s="17">
        <f>铅模板!G2</f>
        <v>85300</v>
      </c>
      <c r="F3" s="17">
        <f>铅模板!H2</f>
        <v>81950</v>
      </c>
      <c r="G3" s="17">
        <f>铅模板!I2</f>
        <v>3350</v>
      </c>
      <c r="H3" s="17">
        <f>铅模板!J2</f>
        <v>400</v>
      </c>
      <c r="I3" s="17">
        <f>铅模板!K2</f>
        <v>0</v>
      </c>
      <c r="J3" s="17">
        <f>铅模板!L2</f>
        <v>400</v>
      </c>
      <c r="K3" s="17">
        <f>铅模板!M2</f>
        <v>84900</v>
      </c>
      <c r="L3" s="3"/>
      <c r="M3" s="2"/>
    </row>
    <row r="4" spans="1:13" ht="22.5" x14ac:dyDescent="0.4">
      <c r="A4" s="2"/>
      <c r="B4" s="3"/>
      <c r="C4" s="11" t="s">
        <v>8</v>
      </c>
      <c r="D4" s="12"/>
      <c r="E4" s="17">
        <f>铅模板!G3</f>
        <v>1650</v>
      </c>
      <c r="F4" s="17">
        <f>铅模板!H3</f>
        <v>600</v>
      </c>
      <c r="G4" s="17">
        <f>铅模板!I3</f>
        <v>1050</v>
      </c>
      <c r="H4" s="17">
        <f>铅模板!J3</f>
        <v>0</v>
      </c>
      <c r="I4" s="17">
        <f>铅模板!K3</f>
        <v>0</v>
      </c>
      <c r="J4" s="17">
        <f>铅模板!L3</f>
        <v>0</v>
      </c>
      <c r="K4" s="17">
        <f>铅模板!M3</f>
        <v>1650</v>
      </c>
      <c r="L4" s="3"/>
      <c r="M4" s="2"/>
    </row>
    <row r="5" spans="1:13" ht="22.5" outlineLevel="1" x14ac:dyDescent="0.4">
      <c r="A5" s="2"/>
      <c r="B5" s="3"/>
      <c r="C5" s="13" t="s">
        <v>9</v>
      </c>
      <c r="D5" s="14"/>
      <c r="E5" s="18">
        <f>铅模板!G4</f>
        <v>0</v>
      </c>
      <c r="F5" s="18">
        <f>铅模板!H4</f>
        <v>0</v>
      </c>
      <c r="G5" s="18">
        <f>铅模板!I4</f>
        <v>0</v>
      </c>
      <c r="H5" s="18">
        <f>铅模板!J4</f>
        <v>0</v>
      </c>
      <c r="I5" s="18">
        <f>铅模板!K4</f>
        <v>0</v>
      </c>
      <c r="J5" s="18">
        <f>铅模板!L4</f>
        <v>0</v>
      </c>
      <c r="K5" s="18">
        <f>铅模板!M4</f>
        <v>0</v>
      </c>
      <c r="L5" s="3"/>
      <c r="M5" s="2"/>
    </row>
    <row r="6" spans="1:13" ht="22.5" hidden="1" outlineLevel="2" x14ac:dyDescent="0.4">
      <c r="A6" s="2"/>
      <c r="B6" s="3"/>
      <c r="C6" s="15" t="s">
        <v>10</v>
      </c>
      <c r="D6" s="16"/>
      <c r="E6" s="19">
        <f>铅模板!G5</f>
        <v>0</v>
      </c>
      <c r="F6" s="19">
        <f>铅模板!H5</f>
        <v>0</v>
      </c>
      <c r="G6" s="19">
        <f>铅模板!I5</f>
        <v>0</v>
      </c>
      <c r="H6" s="19">
        <f>铅模板!J5</f>
        <v>0</v>
      </c>
      <c r="I6" s="19">
        <f>铅模板!K5</f>
        <v>0</v>
      </c>
      <c r="J6" s="19">
        <f>铅模板!L5</f>
        <v>0</v>
      </c>
      <c r="K6" s="19">
        <f>铅模板!M5</f>
        <v>0</v>
      </c>
      <c r="L6" s="3"/>
      <c r="M6" s="2"/>
    </row>
    <row r="7" spans="1:13" ht="22.5" hidden="1" outlineLevel="2" x14ac:dyDescent="0.4">
      <c r="A7" s="2"/>
      <c r="B7" s="3"/>
      <c r="C7" s="13" t="s">
        <v>11</v>
      </c>
      <c r="D7" s="14"/>
      <c r="E7" s="18">
        <f>铅模板!G6</f>
        <v>0</v>
      </c>
      <c r="F7" s="18">
        <f>铅模板!H6</f>
        <v>0</v>
      </c>
      <c r="G7" s="18">
        <f>铅模板!I6</f>
        <v>0</v>
      </c>
      <c r="H7" s="18">
        <f>铅模板!J6</f>
        <v>0</v>
      </c>
      <c r="I7" s="18">
        <f>铅模板!K6</f>
        <v>0</v>
      </c>
      <c r="J7" s="18">
        <f>铅模板!L6</f>
        <v>0</v>
      </c>
      <c r="K7" s="18">
        <f>铅模板!M6</f>
        <v>0</v>
      </c>
      <c r="L7" s="3"/>
      <c r="M7" s="2"/>
    </row>
    <row r="8" spans="1:13" ht="22.5" outlineLevel="1" collapsed="1" x14ac:dyDescent="0.4">
      <c r="A8" s="2"/>
      <c r="B8" s="3"/>
      <c r="C8" s="15" t="s">
        <v>12</v>
      </c>
      <c r="D8" s="16"/>
      <c r="E8" s="19">
        <f>铅模板!G7</f>
        <v>900</v>
      </c>
      <c r="F8" s="19">
        <f>铅模板!H7</f>
        <v>0</v>
      </c>
      <c r="G8" s="19">
        <f>铅模板!I7</f>
        <v>900</v>
      </c>
      <c r="H8" s="19">
        <f>铅模板!J7</f>
        <v>0</v>
      </c>
      <c r="I8" s="19">
        <f>铅模板!K7</f>
        <v>0</v>
      </c>
      <c r="J8" s="19">
        <f>铅模板!L7</f>
        <v>0</v>
      </c>
      <c r="K8" s="19">
        <f>铅模板!M7</f>
        <v>900</v>
      </c>
      <c r="L8" s="3"/>
      <c r="M8" s="2"/>
    </row>
    <row r="9" spans="1:13" ht="22.5" hidden="1" outlineLevel="2" x14ac:dyDescent="0.4">
      <c r="A9" s="2"/>
      <c r="B9" s="3"/>
      <c r="C9" s="13" t="s">
        <v>13</v>
      </c>
      <c r="D9" s="14"/>
      <c r="E9" s="18">
        <f>铅模板!G8</f>
        <v>900</v>
      </c>
      <c r="F9" s="18">
        <f>铅模板!H8</f>
        <v>0</v>
      </c>
      <c r="G9" s="18">
        <f>铅模板!I8</f>
        <v>900</v>
      </c>
      <c r="H9" s="18">
        <f>铅模板!J8</f>
        <v>0</v>
      </c>
      <c r="I9" s="18">
        <f>铅模板!K8</f>
        <v>0</v>
      </c>
      <c r="J9" s="18">
        <f>铅模板!L8</f>
        <v>0</v>
      </c>
      <c r="K9" s="18">
        <f>铅模板!M8</f>
        <v>900</v>
      </c>
      <c r="L9" s="3"/>
      <c r="M9" s="2"/>
    </row>
    <row r="10" spans="1:13" ht="22.5" outlineLevel="1" collapsed="1" x14ac:dyDescent="0.4">
      <c r="A10" s="2"/>
      <c r="B10" s="3"/>
      <c r="C10" s="15" t="s">
        <v>14</v>
      </c>
      <c r="D10" s="16"/>
      <c r="E10" s="19">
        <f>铅模板!G9</f>
        <v>0</v>
      </c>
      <c r="F10" s="19">
        <f>铅模板!H9</f>
        <v>0</v>
      </c>
      <c r="G10" s="19">
        <f>铅模板!I9</f>
        <v>0</v>
      </c>
      <c r="H10" s="19">
        <f>铅模板!J9</f>
        <v>0</v>
      </c>
      <c r="I10" s="19">
        <f>铅模板!K9</f>
        <v>0</v>
      </c>
      <c r="J10" s="19">
        <f>铅模板!L9</f>
        <v>0</v>
      </c>
      <c r="K10" s="19">
        <f>铅模板!M9</f>
        <v>0</v>
      </c>
      <c r="L10" s="3"/>
      <c r="M10" s="2"/>
    </row>
    <row r="11" spans="1:13" ht="22.5" hidden="1" outlineLevel="2" x14ac:dyDescent="0.4">
      <c r="A11" s="2"/>
      <c r="B11" s="3"/>
      <c r="C11" s="13" t="s">
        <v>15</v>
      </c>
      <c r="D11" s="14"/>
      <c r="E11" s="18">
        <f>铅模板!G10</f>
        <v>0</v>
      </c>
      <c r="F11" s="18">
        <f>铅模板!H10</f>
        <v>0</v>
      </c>
      <c r="G11" s="18">
        <f>铅模板!I10</f>
        <v>0</v>
      </c>
      <c r="H11" s="18">
        <f>铅模板!J10</f>
        <v>0</v>
      </c>
      <c r="I11" s="18">
        <f>铅模板!K10</f>
        <v>0</v>
      </c>
      <c r="J11" s="18">
        <f>铅模板!L10</f>
        <v>0</v>
      </c>
      <c r="K11" s="18">
        <f>铅模板!M10</f>
        <v>0</v>
      </c>
      <c r="L11" s="3"/>
      <c r="M11" s="2"/>
    </row>
    <row r="12" spans="1:13" ht="22.5" hidden="1" outlineLevel="2" x14ac:dyDescent="0.4">
      <c r="A12" s="2"/>
      <c r="B12" s="3"/>
      <c r="C12" s="15" t="s">
        <v>16</v>
      </c>
      <c r="D12" s="16"/>
      <c r="E12" s="19">
        <f>铅模板!G11</f>
        <v>0</v>
      </c>
      <c r="F12" s="19">
        <f>铅模板!H11</f>
        <v>0</v>
      </c>
      <c r="G12" s="19">
        <f>铅模板!I11</f>
        <v>0</v>
      </c>
      <c r="H12" s="19">
        <f>铅模板!J11</f>
        <v>0</v>
      </c>
      <c r="I12" s="19">
        <f>铅模板!K11</f>
        <v>0</v>
      </c>
      <c r="J12" s="19">
        <f>铅模板!L11</f>
        <v>0</v>
      </c>
      <c r="K12" s="19">
        <f>铅模板!M11</f>
        <v>0</v>
      </c>
      <c r="L12" s="3"/>
      <c r="M12" s="2"/>
    </row>
    <row r="13" spans="1:13" ht="22.5" outlineLevel="1" collapsed="1" x14ac:dyDescent="0.4">
      <c r="A13" s="2"/>
      <c r="B13" s="3"/>
      <c r="C13" s="13" t="s">
        <v>17</v>
      </c>
      <c r="D13" s="14"/>
      <c r="E13" s="18">
        <f>铅模板!G12</f>
        <v>0</v>
      </c>
      <c r="F13" s="18">
        <f>铅模板!H12</f>
        <v>0</v>
      </c>
      <c r="G13" s="18">
        <f>铅模板!I12</f>
        <v>0</v>
      </c>
      <c r="H13" s="18">
        <f>铅模板!J12</f>
        <v>0</v>
      </c>
      <c r="I13" s="18">
        <f>铅模板!K12</f>
        <v>0</v>
      </c>
      <c r="J13" s="18">
        <f>铅模板!L12</f>
        <v>0</v>
      </c>
      <c r="K13" s="18">
        <f>铅模板!M12</f>
        <v>0</v>
      </c>
      <c r="L13" s="3"/>
      <c r="M13" s="2"/>
    </row>
    <row r="14" spans="1:13" ht="22.5" hidden="1" outlineLevel="2" x14ac:dyDescent="0.4">
      <c r="A14" s="2"/>
      <c r="B14" s="3"/>
      <c r="C14" s="15" t="s">
        <v>18</v>
      </c>
      <c r="D14" s="16"/>
      <c r="E14" s="19">
        <f>铅模板!G13</f>
        <v>0</v>
      </c>
      <c r="F14" s="19">
        <f>铅模板!H13</f>
        <v>0</v>
      </c>
      <c r="G14" s="19">
        <f>铅模板!I13</f>
        <v>0</v>
      </c>
      <c r="H14" s="19">
        <f>铅模板!J13</f>
        <v>0</v>
      </c>
      <c r="I14" s="19">
        <f>铅模板!K13</f>
        <v>0</v>
      </c>
      <c r="J14" s="19">
        <f>铅模板!L13</f>
        <v>0</v>
      </c>
      <c r="K14" s="19">
        <f>铅模板!M13</f>
        <v>0</v>
      </c>
      <c r="L14" s="3"/>
      <c r="M14" s="2"/>
    </row>
    <row r="15" spans="1:13" ht="22.5" hidden="1" outlineLevel="2" x14ac:dyDescent="0.4">
      <c r="A15" s="2"/>
      <c r="B15" s="3"/>
      <c r="C15" s="13" t="s">
        <v>19</v>
      </c>
      <c r="D15" s="14"/>
      <c r="E15" s="18">
        <f>铅模板!G14</f>
        <v>0</v>
      </c>
      <c r="F15" s="18">
        <f>铅模板!H14</f>
        <v>0</v>
      </c>
      <c r="G15" s="18">
        <f>铅模板!I14</f>
        <v>0</v>
      </c>
      <c r="H15" s="18">
        <f>铅模板!J14</f>
        <v>0</v>
      </c>
      <c r="I15" s="18">
        <f>铅模板!K14</f>
        <v>0</v>
      </c>
      <c r="J15" s="18">
        <f>铅模板!L14</f>
        <v>0</v>
      </c>
      <c r="K15" s="18">
        <f>铅模板!M14</f>
        <v>0</v>
      </c>
      <c r="L15" s="3"/>
      <c r="M15" s="2"/>
    </row>
    <row r="16" spans="1:13" ht="22.5" hidden="1" outlineLevel="2" x14ac:dyDescent="0.4">
      <c r="A16" s="2"/>
      <c r="B16" s="3"/>
      <c r="C16" s="15" t="s">
        <v>20</v>
      </c>
      <c r="D16" s="16"/>
      <c r="E16" s="19">
        <f>铅模板!G15</f>
        <v>0</v>
      </c>
      <c r="F16" s="19">
        <f>铅模板!H15</f>
        <v>0</v>
      </c>
      <c r="G16" s="19">
        <f>铅模板!I15</f>
        <v>0</v>
      </c>
      <c r="H16" s="19">
        <f>铅模板!J15</f>
        <v>0</v>
      </c>
      <c r="I16" s="19">
        <f>铅模板!K15</f>
        <v>0</v>
      </c>
      <c r="J16" s="19">
        <f>铅模板!L15</f>
        <v>0</v>
      </c>
      <c r="K16" s="19">
        <f>铅模板!M15</f>
        <v>0</v>
      </c>
      <c r="L16" s="3"/>
      <c r="M16" s="2"/>
    </row>
    <row r="17" spans="1:13" ht="22.5" outlineLevel="1" collapsed="1" x14ac:dyDescent="0.4">
      <c r="A17" s="2"/>
      <c r="B17" s="3"/>
      <c r="C17" s="13" t="s">
        <v>21</v>
      </c>
      <c r="D17" s="14"/>
      <c r="E17" s="18">
        <f>铅模板!G16</f>
        <v>0</v>
      </c>
      <c r="F17" s="18">
        <f>铅模板!H16</f>
        <v>0</v>
      </c>
      <c r="G17" s="18">
        <f>铅模板!I16</f>
        <v>0</v>
      </c>
      <c r="H17" s="18">
        <f>铅模板!J16</f>
        <v>0</v>
      </c>
      <c r="I17" s="18">
        <f>铅模板!K16</f>
        <v>0</v>
      </c>
      <c r="J17" s="18">
        <f>铅模板!L16</f>
        <v>0</v>
      </c>
      <c r="K17" s="18">
        <f>铅模板!M16</f>
        <v>0</v>
      </c>
      <c r="L17" s="3"/>
      <c r="M17" s="2"/>
    </row>
    <row r="18" spans="1:13" ht="22.5" hidden="1" outlineLevel="2" x14ac:dyDescent="0.4">
      <c r="A18" s="2"/>
      <c r="B18" s="3"/>
      <c r="C18" s="15" t="s">
        <v>22</v>
      </c>
      <c r="D18" s="16"/>
      <c r="E18" s="19">
        <f>铅模板!G17</f>
        <v>0</v>
      </c>
      <c r="F18" s="19">
        <f>铅模板!H17</f>
        <v>0</v>
      </c>
      <c r="G18" s="19">
        <f>铅模板!I17</f>
        <v>0</v>
      </c>
      <c r="H18" s="19">
        <f>铅模板!J17</f>
        <v>0</v>
      </c>
      <c r="I18" s="19">
        <f>铅模板!K17</f>
        <v>0</v>
      </c>
      <c r="J18" s="19">
        <f>铅模板!L17</f>
        <v>0</v>
      </c>
      <c r="K18" s="19">
        <f>铅模板!M17</f>
        <v>0</v>
      </c>
      <c r="L18" s="3"/>
      <c r="M18" s="2"/>
    </row>
    <row r="19" spans="1:13" ht="22.5" hidden="1" outlineLevel="2" x14ac:dyDescent="0.4">
      <c r="A19" s="2"/>
      <c r="B19" s="3"/>
      <c r="C19" s="13" t="s">
        <v>23</v>
      </c>
      <c r="D19" s="14"/>
      <c r="E19" s="18">
        <f>铅模板!G18</f>
        <v>0</v>
      </c>
      <c r="F19" s="18">
        <f>铅模板!H18</f>
        <v>0</v>
      </c>
      <c r="G19" s="18">
        <f>铅模板!I18</f>
        <v>0</v>
      </c>
      <c r="H19" s="18">
        <f>铅模板!J18</f>
        <v>0</v>
      </c>
      <c r="I19" s="18">
        <f>铅模板!K18</f>
        <v>0</v>
      </c>
      <c r="J19" s="18">
        <f>铅模板!L18</f>
        <v>0</v>
      </c>
      <c r="K19" s="18">
        <f>铅模板!M18</f>
        <v>0</v>
      </c>
      <c r="L19" s="3"/>
      <c r="M19" s="2"/>
    </row>
    <row r="20" spans="1:13" ht="22.5" outlineLevel="1" collapsed="1" x14ac:dyDescent="0.4">
      <c r="A20" s="2"/>
      <c r="B20" s="3"/>
      <c r="C20" s="15" t="s">
        <v>24</v>
      </c>
      <c r="D20" s="16"/>
      <c r="E20" s="19">
        <f>铅模板!G19</f>
        <v>750</v>
      </c>
      <c r="F20" s="19">
        <f>铅模板!H19</f>
        <v>600</v>
      </c>
      <c r="G20" s="19">
        <f>铅模板!I19</f>
        <v>150</v>
      </c>
      <c r="H20" s="19">
        <f>铅模板!J19</f>
        <v>0</v>
      </c>
      <c r="I20" s="19">
        <f>铅模板!K19</f>
        <v>0</v>
      </c>
      <c r="J20" s="19">
        <f>铅模板!L19</f>
        <v>0</v>
      </c>
      <c r="K20" s="19">
        <f>铅模板!M19</f>
        <v>750</v>
      </c>
      <c r="L20" s="3"/>
      <c r="M20" s="2"/>
    </row>
    <row r="21" spans="1:13" ht="22.5" hidden="1" outlineLevel="2" x14ac:dyDescent="0.4">
      <c r="A21" s="2"/>
      <c r="B21" s="3"/>
      <c r="C21" s="13" t="s">
        <v>25</v>
      </c>
      <c r="D21" s="14"/>
      <c r="E21" s="18">
        <f>铅模板!G20</f>
        <v>450</v>
      </c>
      <c r="F21" s="18">
        <f>铅模板!H20</f>
        <v>300</v>
      </c>
      <c r="G21" s="18">
        <f>铅模板!I20</f>
        <v>150</v>
      </c>
      <c r="H21" s="18">
        <f>铅模板!J20</f>
        <v>0</v>
      </c>
      <c r="I21" s="18">
        <f>铅模板!K20</f>
        <v>0</v>
      </c>
      <c r="J21" s="18">
        <f>铅模板!L20</f>
        <v>0</v>
      </c>
      <c r="K21" s="18">
        <f>铅模板!M20</f>
        <v>450</v>
      </c>
      <c r="L21" s="3"/>
      <c r="M21" s="2"/>
    </row>
    <row r="22" spans="1:13" ht="22.5" hidden="1" outlineLevel="2" x14ac:dyDescent="0.4">
      <c r="A22" s="2"/>
      <c r="B22" s="3"/>
      <c r="C22" s="15" t="s">
        <v>26</v>
      </c>
      <c r="D22" s="16"/>
      <c r="E22" s="19">
        <f>铅模板!G21</f>
        <v>300</v>
      </c>
      <c r="F22" s="19">
        <f>铅模板!H21</f>
        <v>300</v>
      </c>
      <c r="G22" s="19">
        <f>铅模板!I21</f>
        <v>0</v>
      </c>
      <c r="H22" s="19">
        <f>铅模板!J21</f>
        <v>0</v>
      </c>
      <c r="I22" s="19">
        <f>铅模板!K21</f>
        <v>0</v>
      </c>
      <c r="J22" s="19">
        <f>铅模板!L21</f>
        <v>0</v>
      </c>
      <c r="K22" s="19">
        <f>铅模板!M21</f>
        <v>300</v>
      </c>
      <c r="L22" s="3"/>
      <c r="M22" s="2"/>
    </row>
    <row r="23" spans="1:13" ht="22.5" hidden="1" outlineLevel="2" collapsed="1" x14ac:dyDescent="0.4">
      <c r="A23" s="2"/>
      <c r="B23" s="3"/>
      <c r="C23" s="13" t="s">
        <v>27</v>
      </c>
      <c r="D23" s="14"/>
      <c r="E23" s="18">
        <f>铅模板!G22</f>
        <v>0</v>
      </c>
      <c r="F23" s="18">
        <f>铅模板!H22</f>
        <v>0</v>
      </c>
      <c r="G23" s="18">
        <f>铅模板!I22</f>
        <v>0</v>
      </c>
      <c r="H23" s="18">
        <f>铅模板!J22</f>
        <v>0</v>
      </c>
      <c r="I23" s="18">
        <f>铅模板!K22</f>
        <v>0</v>
      </c>
      <c r="J23" s="18">
        <f>铅模板!L22</f>
        <v>0</v>
      </c>
      <c r="K23" s="18">
        <f>铅模板!M22</f>
        <v>0</v>
      </c>
      <c r="L23" s="3"/>
      <c r="M23" s="2"/>
    </row>
    <row r="24" spans="1:13" ht="22.5" outlineLevel="1" collapsed="1" x14ac:dyDescent="0.4">
      <c r="A24" s="2"/>
      <c r="B24" s="3"/>
      <c r="C24" s="15" t="s">
        <v>28</v>
      </c>
      <c r="D24" s="16"/>
      <c r="E24" s="19">
        <f>铅模板!G23</f>
        <v>0</v>
      </c>
      <c r="F24" s="19">
        <f>铅模板!H23</f>
        <v>0</v>
      </c>
      <c r="G24" s="19">
        <f>铅模板!I23</f>
        <v>0</v>
      </c>
      <c r="H24" s="19">
        <f>铅模板!J23</f>
        <v>0</v>
      </c>
      <c r="I24" s="19">
        <f>铅模板!K23</f>
        <v>0</v>
      </c>
      <c r="J24" s="19">
        <f>铅模板!L23</f>
        <v>0</v>
      </c>
      <c r="K24" s="19">
        <f>铅模板!M23</f>
        <v>0</v>
      </c>
      <c r="L24" s="3"/>
      <c r="M24" s="2"/>
    </row>
    <row r="25" spans="1:13" ht="22.5" hidden="1" outlineLevel="2" x14ac:dyDescent="0.4">
      <c r="A25" s="2"/>
      <c r="B25" s="3"/>
      <c r="C25" s="13" t="s">
        <v>29</v>
      </c>
      <c r="D25" s="14"/>
      <c r="E25" s="18">
        <f>铅模板!G24</f>
        <v>0</v>
      </c>
      <c r="F25" s="18">
        <f>铅模板!H24</f>
        <v>0</v>
      </c>
      <c r="G25" s="18">
        <f>铅模板!I24</f>
        <v>0</v>
      </c>
      <c r="H25" s="18">
        <f>铅模板!J24</f>
        <v>0</v>
      </c>
      <c r="I25" s="18">
        <f>铅模板!K24</f>
        <v>0</v>
      </c>
      <c r="J25" s="18">
        <f>铅模板!L24</f>
        <v>0</v>
      </c>
      <c r="K25" s="18">
        <f>铅模板!M24</f>
        <v>0</v>
      </c>
      <c r="L25" s="3"/>
      <c r="M25" s="2"/>
    </row>
    <row r="26" spans="1:13" ht="22.5" hidden="1" outlineLevel="2" x14ac:dyDescent="0.4">
      <c r="A26" s="2"/>
      <c r="B26" s="3"/>
      <c r="C26" s="15" t="s">
        <v>30</v>
      </c>
      <c r="D26" s="16"/>
      <c r="E26" s="19">
        <f>铅模板!G25</f>
        <v>0</v>
      </c>
      <c r="F26" s="19">
        <f>铅模板!H25</f>
        <v>0</v>
      </c>
      <c r="G26" s="19">
        <f>铅模板!I25</f>
        <v>0</v>
      </c>
      <c r="H26" s="19">
        <f>铅模板!J25</f>
        <v>0</v>
      </c>
      <c r="I26" s="19">
        <f>铅模板!K25</f>
        <v>0</v>
      </c>
      <c r="J26" s="19">
        <f>铅模板!L25</f>
        <v>0</v>
      </c>
      <c r="K26" s="19">
        <f>铅模板!M25</f>
        <v>0</v>
      </c>
      <c r="L26" s="3"/>
      <c r="M26" s="2"/>
    </row>
    <row r="27" spans="1:13" ht="22.5" hidden="1" outlineLevel="2" x14ac:dyDescent="0.4">
      <c r="A27" s="2"/>
      <c r="B27" s="3"/>
      <c r="C27" s="13" t="s">
        <v>31</v>
      </c>
      <c r="D27" s="14"/>
      <c r="E27" s="18">
        <f>铅模板!G26</f>
        <v>0</v>
      </c>
      <c r="F27" s="18">
        <f>铅模板!H26</f>
        <v>0</v>
      </c>
      <c r="G27" s="18">
        <f>铅模板!I26</f>
        <v>0</v>
      </c>
      <c r="H27" s="18">
        <f>铅模板!J26</f>
        <v>0</v>
      </c>
      <c r="I27" s="18">
        <f>铅模板!K26</f>
        <v>0</v>
      </c>
      <c r="J27" s="18">
        <f>铅模板!L26</f>
        <v>0</v>
      </c>
      <c r="K27" s="18">
        <f>铅模板!M26</f>
        <v>0</v>
      </c>
      <c r="L27" s="3"/>
      <c r="M27" s="2"/>
    </row>
    <row r="28" spans="1:13" ht="22.5" collapsed="1" x14ac:dyDescent="0.4">
      <c r="A28" s="2"/>
      <c r="B28" s="3"/>
      <c r="C28" s="11" t="s">
        <v>32</v>
      </c>
      <c r="D28" s="12"/>
      <c r="E28" s="17">
        <f>铅模板!G27</f>
        <v>0</v>
      </c>
      <c r="F28" s="17">
        <f>铅模板!H27</f>
        <v>0</v>
      </c>
      <c r="G28" s="17">
        <f>铅模板!I27</f>
        <v>0</v>
      </c>
      <c r="H28" s="17">
        <f>铅模板!J27</f>
        <v>0</v>
      </c>
      <c r="I28" s="17">
        <f>铅模板!K27</f>
        <v>0</v>
      </c>
      <c r="J28" s="17">
        <f>铅模板!L27</f>
        <v>0</v>
      </c>
      <c r="K28" s="17">
        <f>铅模板!M27</f>
        <v>0</v>
      </c>
      <c r="L28" s="3"/>
      <c r="M28" s="2"/>
    </row>
    <row r="29" spans="1:13" ht="22.5" outlineLevel="1" x14ac:dyDescent="0.4">
      <c r="A29" s="2"/>
      <c r="B29" s="3"/>
      <c r="C29" s="13" t="s">
        <v>33</v>
      </c>
      <c r="D29" s="14"/>
      <c r="E29" s="18">
        <f>铅模板!G28</f>
        <v>0</v>
      </c>
      <c r="F29" s="18">
        <f>铅模板!H28</f>
        <v>0</v>
      </c>
      <c r="G29" s="18">
        <f>铅模板!I28</f>
        <v>0</v>
      </c>
      <c r="H29" s="18">
        <f>铅模板!J28</f>
        <v>0</v>
      </c>
      <c r="I29" s="18">
        <f>铅模板!K28</f>
        <v>0</v>
      </c>
      <c r="J29" s="18">
        <f>铅模板!L28</f>
        <v>0</v>
      </c>
      <c r="K29" s="18">
        <f>铅模板!M28</f>
        <v>0</v>
      </c>
      <c r="L29" s="3"/>
      <c r="M29" s="2"/>
    </row>
    <row r="30" spans="1:13" ht="22.5" hidden="1" outlineLevel="2" x14ac:dyDescent="0.4">
      <c r="A30" s="2"/>
      <c r="B30" s="3"/>
      <c r="C30" s="15" t="s">
        <v>34</v>
      </c>
      <c r="D30" s="16"/>
      <c r="E30" s="19">
        <f>铅模板!G29</f>
        <v>0</v>
      </c>
      <c r="F30" s="19">
        <f>铅模板!H29</f>
        <v>0</v>
      </c>
      <c r="G30" s="19">
        <f>铅模板!I29</f>
        <v>0</v>
      </c>
      <c r="H30" s="19">
        <f>铅模板!J29</f>
        <v>0</v>
      </c>
      <c r="I30" s="19">
        <f>铅模板!K29</f>
        <v>0</v>
      </c>
      <c r="J30" s="19">
        <f>铅模板!L29</f>
        <v>0</v>
      </c>
      <c r="K30" s="19">
        <f>铅模板!M29</f>
        <v>0</v>
      </c>
      <c r="L30" s="3"/>
      <c r="M30" s="2"/>
    </row>
    <row r="31" spans="1:13" ht="22.5" hidden="1" outlineLevel="2" x14ac:dyDescent="0.4">
      <c r="A31" s="2"/>
      <c r="B31" s="3"/>
      <c r="C31" s="13" t="s">
        <v>35</v>
      </c>
      <c r="D31" s="14"/>
      <c r="E31" s="18">
        <f>铅模板!G30</f>
        <v>0</v>
      </c>
      <c r="F31" s="18">
        <f>铅模板!H30</f>
        <v>0</v>
      </c>
      <c r="G31" s="18">
        <f>铅模板!I30</f>
        <v>0</v>
      </c>
      <c r="H31" s="18">
        <f>铅模板!J30</f>
        <v>0</v>
      </c>
      <c r="I31" s="18">
        <f>铅模板!K30</f>
        <v>0</v>
      </c>
      <c r="J31" s="18">
        <f>铅模板!L30</f>
        <v>0</v>
      </c>
      <c r="K31" s="18">
        <f>铅模板!M30</f>
        <v>0</v>
      </c>
      <c r="L31" s="3"/>
      <c r="M31" s="2"/>
    </row>
    <row r="32" spans="1:13" ht="22.5" hidden="1" outlineLevel="2" x14ac:dyDescent="0.4">
      <c r="A32" s="2"/>
      <c r="B32" s="3"/>
      <c r="C32" s="15" t="s">
        <v>36</v>
      </c>
      <c r="D32" s="16"/>
      <c r="E32" s="19">
        <f>铅模板!G31</f>
        <v>0</v>
      </c>
      <c r="F32" s="19">
        <f>铅模板!H31</f>
        <v>0</v>
      </c>
      <c r="G32" s="19">
        <f>铅模板!I31</f>
        <v>0</v>
      </c>
      <c r="H32" s="19">
        <f>铅模板!J31</f>
        <v>0</v>
      </c>
      <c r="I32" s="19">
        <f>铅模板!K31</f>
        <v>0</v>
      </c>
      <c r="J32" s="19">
        <f>铅模板!L31</f>
        <v>0</v>
      </c>
      <c r="K32" s="19">
        <f>铅模板!M31</f>
        <v>0</v>
      </c>
      <c r="L32" s="3"/>
      <c r="M32" s="2"/>
    </row>
    <row r="33" spans="1:13" ht="22.5" hidden="1" outlineLevel="2" x14ac:dyDescent="0.4">
      <c r="A33" s="2"/>
      <c r="B33" s="3"/>
      <c r="C33" s="13" t="s">
        <v>37</v>
      </c>
      <c r="D33" s="14"/>
      <c r="E33" s="18">
        <f>铅模板!G32</f>
        <v>0</v>
      </c>
      <c r="F33" s="18">
        <f>铅模板!H32</f>
        <v>0</v>
      </c>
      <c r="G33" s="18">
        <f>铅模板!I32</f>
        <v>0</v>
      </c>
      <c r="H33" s="18">
        <f>铅模板!J32</f>
        <v>0</v>
      </c>
      <c r="I33" s="18">
        <f>铅模板!K32</f>
        <v>0</v>
      </c>
      <c r="J33" s="18">
        <f>铅模板!L32</f>
        <v>0</v>
      </c>
      <c r="K33" s="18">
        <f>铅模板!M32</f>
        <v>0</v>
      </c>
      <c r="L33" s="3"/>
      <c r="M33" s="2"/>
    </row>
    <row r="34" spans="1:13" ht="22.5" hidden="1" outlineLevel="2" x14ac:dyDescent="0.4">
      <c r="A34" s="2"/>
      <c r="B34" s="3"/>
      <c r="C34" s="15" t="s">
        <v>38</v>
      </c>
      <c r="D34" s="16"/>
      <c r="E34" s="19">
        <f>铅模板!G33</f>
        <v>0</v>
      </c>
      <c r="F34" s="19">
        <f>铅模板!H33</f>
        <v>0</v>
      </c>
      <c r="G34" s="19">
        <f>铅模板!I33</f>
        <v>0</v>
      </c>
      <c r="H34" s="19">
        <f>铅模板!J33</f>
        <v>0</v>
      </c>
      <c r="I34" s="19">
        <f>铅模板!K33</f>
        <v>0</v>
      </c>
      <c r="J34" s="19">
        <f>铅模板!L33</f>
        <v>0</v>
      </c>
      <c r="K34" s="19">
        <f>铅模板!M33</f>
        <v>0</v>
      </c>
      <c r="L34" s="3"/>
      <c r="M34" s="2"/>
    </row>
    <row r="35" spans="1:13" ht="22.5" hidden="1" outlineLevel="2" x14ac:dyDescent="0.4">
      <c r="A35" s="2"/>
      <c r="B35" s="3"/>
      <c r="C35" s="13" t="s">
        <v>39</v>
      </c>
      <c r="D35" s="14"/>
      <c r="E35" s="18">
        <f>铅模板!G34</f>
        <v>0</v>
      </c>
      <c r="F35" s="18">
        <f>铅模板!H34</f>
        <v>0</v>
      </c>
      <c r="G35" s="18">
        <f>铅模板!I34</f>
        <v>0</v>
      </c>
      <c r="H35" s="18">
        <f>铅模板!J34</f>
        <v>0</v>
      </c>
      <c r="I35" s="18">
        <f>铅模板!K34</f>
        <v>0</v>
      </c>
      <c r="J35" s="18">
        <f>铅模板!L34</f>
        <v>0</v>
      </c>
      <c r="K35" s="18">
        <f>铅模板!M34</f>
        <v>0</v>
      </c>
      <c r="L35" s="3"/>
      <c r="M35" s="2"/>
    </row>
    <row r="36" spans="1:13" ht="22.5" hidden="1" outlineLevel="2" x14ac:dyDescent="0.4">
      <c r="A36" s="2"/>
      <c r="B36" s="3"/>
      <c r="C36" s="15" t="s">
        <v>40</v>
      </c>
      <c r="D36" s="16"/>
      <c r="E36" s="19">
        <f>铅模板!G35</f>
        <v>0</v>
      </c>
      <c r="F36" s="19">
        <f>铅模板!H35</f>
        <v>0</v>
      </c>
      <c r="G36" s="19">
        <f>铅模板!I35</f>
        <v>0</v>
      </c>
      <c r="H36" s="19">
        <f>铅模板!J35</f>
        <v>0</v>
      </c>
      <c r="I36" s="19">
        <f>铅模板!K35</f>
        <v>0</v>
      </c>
      <c r="J36" s="19">
        <f>铅模板!L35</f>
        <v>0</v>
      </c>
      <c r="K36" s="19">
        <f>铅模板!M35</f>
        <v>0</v>
      </c>
      <c r="L36" s="3"/>
      <c r="M36" s="2"/>
    </row>
    <row r="37" spans="1:13" ht="22.5" hidden="1" outlineLevel="2" x14ac:dyDescent="0.4">
      <c r="A37" s="2"/>
      <c r="B37" s="3"/>
      <c r="C37" s="13" t="s">
        <v>41</v>
      </c>
      <c r="D37" s="14"/>
      <c r="E37" s="18">
        <f>铅模板!G36</f>
        <v>0</v>
      </c>
      <c r="F37" s="18">
        <f>铅模板!H36</f>
        <v>0</v>
      </c>
      <c r="G37" s="18">
        <f>铅模板!I36</f>
        <v>0</v>
      </c>
      <c r="H37" s="18">
        <f>铅模板!J36</f>
        <v>0</v>
      </c>
      <c r="I37" s="18">
        <f>铅模板!K36</f>
        <v>0</v>
      </c>
      <c r="J37" s="18">
        <f>铅模板!L36</f>
        <v>0</v>
      </c>
      <c r="K37" s="18">
        <f>铅模板!M36</f>
        <v>0</v>
      </c>
      <c r="L37" s="3"/>
      <c r="M37" s="2"/>
    </row>
    <row r="38" spans="1:13" ht="22.5" collapsed="1" x14ac:dyDescent="0.4">
      <c r="A38" s="2"/>
      <c r="B38" s="3"/>
      <c r="C38" s="11" t="s">
        <v>42</v>
      </c>
      <c r="D38" s="12"/>
      <c r="E38" s="17">
        <f>铅模板!G37</f>
        <v>83650</v>
      </c>
      <c r="F38" s="17">
        <f>铅模板!H37</f>
        <v>81350</v>
      </c>
      <c r="G38" s="17">
        <f>铅模板!I37</f>
        <v>2300</v>
      </c>
      <c r="H38" s="17">
        <f>铅模板!J37</f>
        <v>400</v>
      </c>
      <c r="I38" s="17">
        <f>铅模板!K37</f>
        <v>0</v>
      </c>
      <c r="J38" s="17">
        <f>铅模板!L37</f>
        <v>400</v>
      </c>
      <c r="K38" s="17">
        <f>铅模板!M37</f>
        <v>83250</v>
      </c>
      <c r="L38" s="3"/>
      <c r="M38" s="2"/>
    </row>
    <row r="39" spans="1:13" ht="22.5" outlineLevel="1" x14ac:dyDescent="0.4">
      <c r="A39" s="2"/>
      <c r="B39" s="3"/>
      <c r="C39" s="13" t="s">
        <v>43</v>
      </c>
      <c r="D39" s="14"/>
      <c r="E39" s="18">
        <f>铅模板!G38</f>
        <v>25</v>
      </c>
      <c r="F39" s="18">
        <f>铅模板!H38</f>
        <v>0</v>
      </c>
      <c r="G39" s="18">
        <f>铅模板!I38</f>
        <v>25</v>
      </c>
      <c r="H39" s="18">
        <f>铅模板!J38</f>
        <v>0</v>
      </c>
      <c r="I39" s="18">
        <f>铅模板!K38</f>
        <v>0</v>
      </c>
      <c r="J39" s="18">
        <f>铅模板!L38</f>
        <v>0</v>
      </c>
      <c r="K39" s="18">
        <f>铅模板!M38</f>
        <v>25</v>
      </c>
      <c r="L39" s="3"/>
      <c r="M39" s="2"/>
    </row>
    <row r="40" spans="1:13" ht="22.5" hidden="1" outlineLevel="2" x14ac:dyDescent="0.4">
      <c r="A40" s="2"/>
      <c r="B40" s="3"/>
      <c r="C40" s="15" t="s">
        <v>44</v>
      </c>
      <c r="D40" s="16"/>
      <c r="E40" s="19">
        <f>铅模板!G39</f>
        <v>25</v>
      </c>
      <c r="F40" s="19">
        <f>铅模板!H39</f>
        <v>0</v>
      </c>
      <c r="G40" s="19">
        <f>铅模板!I39</f>
        <v>25</v>
      </c>
      <c r="H40" s="19">
        <f>铅模板!J39</f>
        <v>0</v>
      </c>
      <c r="I40" s="19">
        <f>铅模板!K39</f>
        <v>0</v>
      </c>
      <c r="J40" s="19">
        <f>铅模板!L39</f>
        <v>0</v>
      </c>
      <c r="K40" s="19">
        <f>铅模板!M39</f>
        <v>25</v>
      </c>
      <c r="L40" s="3"/>
      <c r="M40" s="2"/>
    </row>
    <row r="41" spans="1:13" ht="22.5" hidden="1" outlineLevel="2" x14ac:dyDescent="0.4">
      <c r="A41" s="2"/>
      <c r="B41" s="3"/>
      <c r="C41" s="13" t="s">
        <v>45</v>
      </c>
      <c r="D41" s="14"/>
      <c r="E41" s="18">
        <f>铅模板!G40</f>
        <v>0</v>
      </c>
      <c r="F41" s="18">
        <f>铅模板!H40</f>
        <v>0</v>
      </c>
      <c r="G41" s="18">
        <f>铅模板!I40</f>
        <v>0</v>
      </c>
      <c r="H41" s="18">
        <f>铅模板!J40</f>
        <v>0</v>
      </c>
      <c r="I41" s="18">
        <f>铅模板!K40</f>
        <v>0</v>
      </c>
      <c r="J41" s="18">
        <f>铅模板!L40</f>
        <v>0</v>
      </c>
      <c r="K41" s="18">
        <f>铅模板!M40</f>
        <v>0</v>
      </c>
      <c r="L41" s="3"/>
      <c r="M41" s="2"/>
    </row>
    <row r="42" spans="1:13" ht="22.5" outlineLevel="1" collapsed="1" x14ac:dyDescent="0.4">
      <c r="A42" s="2"/>
      <c r="B42" s="3"/>
      <c r="C42" s="15" t="s">
        <v>46</v>
      </c>
      <c r="D42" s="16"/>
      <c r="E42" s="19">
        <f>铅模板!G41</f>
        <v>28825</v>
      </c>
      <c r="F42" s="19">
        <f>铅模板!H41</f>
        <v>28825</v>
      </c>
      <c r="G42" s="19">
        <f>铅模板!I41</f>
        <v>0</v>
      </c>
      <c r="H42" s="19">
        <f>铅模板!J41</f>
        <v>400</v>
      </c>
      <c r="I42" s="19">
        <f>铅模板!K41</f>
        <v>0</v>
      </c>
      <c r="J42" s="19">
        <f>铅模板!L41</f>
        <v>400</v>
      </c>
      <c r="K42" s="19">
        <f>铅模板!M41</f>
        <v>28425</v>
      </c>
      <c r="L42" s="3"/>
      <c r="M42" s="2"/>
    </row>
    <row r="43" spans="1:13" ht="22.5" hidden="1" outlineLevel="2" x14ac:dyDescent="0.4">
      <c r="A43" s="2"/>
      <c r="B43" s="3"/>
      <c r="C43" s="13" t="s">
        <v>47</v>
      </c>
      <c r="D43" s="14"/>
      <c r="E43" s="18">
        <f>铅模板!G42</f>
        <v>28825</v>
      </c>
      <c r="F43" s="18">
        <f>铅模板!H42</f>
        <v>28825</v>
      </c>
      <c r="G43" s="18">
        <f>铅模板!I42</f>
        <v>0</v>
      </c>
      <c r="H43" s="18">
        <f>铅模板!J42</f>
        <v>400</v>
      </c>
      <c r="I43" s="18">
        <f>铅模板!K42</f>
        <v>0</v>
      </c>
      <c r="J43" s="18">
        <f>铅模板!L42</f>
        <v>400</v>
      </c>
      <c r="K43" s="18">
        <f>铅模板!M42</f>
        <v>28425</v>
      </c>
      <c r="L43" s="2"/>
      <c r="M43" s="2"/>
    </row>
    <row r="44" spans="1:13" ht="22.5" outlineLevel="1" collapsed="1" x14ac:dyDescent="0.4">
      <c r="A44" s="2"/>
      <c r="B44" s="3"/>
      <c r="C44" s="15" t="s">
        <v>48</v>
      </c>
      <c r="D44" s="16"/>
      <c r="E44" s="19">
        <f>铅模板!G43</f>
        <v>43750</v>
      </c>
      <c r="F44" s="19">
        <f>铅模板!H43</f>
        <v>41875</v>
      </c>
      <c r="G44" s="19">
        <f>铅模板!I43</f>
        <v>1875</v>
      </c>
      <c r="H44" s="19">
        <f>铅模板!J43</f>
        <v>0</v>
      </c>
      <c r="I44" s="19">
        <f>铅模板!K43</f>
        <v>0</v>
      </c>
      <c r="J44" s="19">
        <f>铅模板!L43</f>
        <v>0</v>
      </c>
      <c r="K44" s="19">
        <f>铅模板!M43</f>
        <v>43750</v>
      </c>
      <c r="L44" s="3"/>
      <c r="M44" s="2"/>
    </row>
    <row r="45" spans="1:13" ht="22.5" hidden="1" outlineLevel="2" x14ac:dyDescent="0.4">
      <c r="A45" s="2"/>
      <c r="B45" s="3"/>
      <c r="C45" s="13" t="s">
        <v>49</v>
      </c>
      <c r="D45" s="14"/>
      <c r="E45" s="18">
        <f>铅模板!G44</f>
        <v>43750</v>
      </c>
      <c r="F45" s="18">
        <f>铅模板!H44</f>
        <v>41875</v>
      </c>
      <c r="G45" s="18">
        <f>铅模板!I44</f>
        <v>1875</v>
      </c>
      <c r="H45" s="18">
        <f>铅模板!J44</f>
        <v>0</v>
      </c>
      <c r="I45" s="18">
        <f>铅模板!K44</f>
        <v>0</v>
      </c>
      <c r="J45" s="18">
        <f>铅模板!L44</f>
        <v>0</v>
      </c>
      <c r="K45" s="18">
        <f>铅模板!M44</f>
        <v>43750</v>
      </c>
      <c r="L45" s="3"/>
      <c r="M45" s="2"/>
    </row>
    <row r="46" spans="1:13" ht="22.5" outlineLevel="1" collapsed="1" x14ac:dyDescent="0.4">
      <c r="A46" s="2"/>
      <c r="B46" s="3"/>
      <c r="C46" s="15" t="s">
        <v>50</v>
      </c>
      <c r="D46" s="16"/>
      <c r="E46" s="19">
        <f>E47</f>
        <v>0</v>
      </c>
      <c r="F46" s="19">
        <f t="shared" ref="F46:K46" si="0">F47</f>
        <v>0</v>
      </c>
      <c r="G46" s="19">
        <f t="shared" si="0"/>
        <v>0</v>
      </c>
      <c r="H46" s="19">
        <f t="shared" si="0"/>
        <v>0</v>
      </c>
      <c r="I46" s="19">
        <f t="shared" si="0"/>
        <v>0</v>
      </c>
      <c r="J46" s="19">
        <f t="shared" si="0"/>
        <v>0</v>
      </c>
      <c r="K46" s="19">
        <f t="shared" si="0"/>
        <v>0</v>
      </c>
      <c r="L46" s="3"/>
      <c r="M46" s="2"/>
    </row>
    <row r="47" spans="1:13" ht="22.5" outlineLevel="1" x14ac:dyDescent="0.4">
      <c r="A47" s="2"/>
      <c r="B47" s="3"/>
      <c r="C47" s="13" t="s">
        <v>51</v>
      </c>
      <c r="D47" s="14"/>
      <c r="E47" s="18">
        <f>铅模板!G46</f>
        <v>0</v>
      </c>
      <c r="F47" s="18">
        <f>铅模板!H46</f>
        <v>0</v>
      </c>
      <c r="G47" s="18">
        <f>铅模板!I46</f>
        <v>0</v>
      </c>
      <c r="H47" s="18">
        <f>铅模板!J46</f>
        <v>0</v>
      </c>
      <c r="I47" s="18">
        <f>铅模板!K46</f>
        <v>0</v>
      </c>
      <c r="J47" s="18">
        <f>铅模板!L46</f>
        <v>0</v>
      </c>
      <c r="K47" s="18">
        <f>铅模板!M46</f>
        <v>0</v>
      </c>
      <c r="L47" s="3"/>
      <c r="M47" s="2"/>
    </row>
    <row r="48" spans="1:13" ht="22.5" hidden="1" outlineLevel="2" x14ac:dyDescent="0.4">
      <c r="A48" s="2"/>
      <c r="B48" s="3"/>
      <c r="C48" s="15" t="s">
        <v>52</v>
      </c>
      <c r="D48" s="16"/>
      <c r="E48" s="19">
        <f>铅模板!G47</f>
        <v>0</v>
      </c>
      <c r="F48" s="19">
        <f>铅模板!H47</f>
        <v>0</v>
      </c>
      <c r="G48" s="19">
        <f>铅模板!I47</f>
        <v>0</v>
      </c>
      <c r="H48" s="19">
        <f>铅模板!J47</f>
        <v>0</v>
      </c>
      <c r="I48" s="19">
        <f>铅模板!K47</f>
        <v>0</v>
      </c>
      <c r="J48" s="19">
        <f>铅模板!L47</f>
        <v>0</v>
      </c>
      <c r="K48" s="19">
        <f>铅模板!M47</f>
        <v>0</v>
      </c>
      <c r="L48" s="3"/>
      <c r="M48" s="2"/>
    </row>
    <row r="49" spans="1:13" ht="22.5" collapsed="1" x14ac:dyDescent="0.4">
      <c r="A49" s="2"/>
      <c r="B49" s="3"/>
      <c r="C49" s="15"/>
      <c r="D49" s="16"/>
      <c r="E49" s="19"/>
      <c r="F49" s="19"/>
      <c r="G49" s="19"/>
      <c r="H49" s="19"/>
      <c r="I49" s="19"/>
      <c r="J49" s="19"/>
      <c r="K49" s="19"/>
      <c r="L49" s="3"/>
      <c r="M49" s="2"/>
    </row>
    <row r="50" spans="1:13" ht="22.5" x14ac:dyDescent="0.4">
      <c r="A50" s="2"/>
      <c r="B50" s="2"/>
      <c r="C50" s="13"/>
      <c r="D50" s="14"/>
      <c r="E50" s="18"/>
      <c r="F50" s="18"/>
      <c r="G50" s="18"/>
      <c r="H50" s="18"/>
      <c r="I50" s="18"/>
      <c r="J50" s="18"/>
      <c r="K50" s="18"/>
      <c r="L50" s="2"/>
      <c r="M50" s="2"/>
    </row>
    <row r="51" spans="1:13" ht="16.5" x14ac:dyDescent="0.3">
      <c r="C51" s="8"/>
      <c r="E51" s="20"/>
      <c r="F51" s="20"/>
      <c r="G51" s="20"/>
      <c r="H51" s="20"/>
      <c r="I51" s="20"/>
      <c r="J51" s="20"/>
      <c r="K51" s="20"/>
    </row>
    <row r="52" spans="1:13" ht="16.5" x14ac:dyDescent="0.3">
      <c r="C52" s="8"/>
    </row>
  </sheetData>
  <mergeCells count="1">
    <mergeCell ref="D1:I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62626C"/>
  </sheetPr>
  <dimension ref="A1:M51"/>
  <sheetViews>
    <sheetView topLeftCell="B1" workbookViewId="0">
      <selection activeCell="C14" sqref="C14"/>
    </sheetView>
  </sheetViews>
  <sheetFormatPr defaultRowHeight="16.5" x14ac:dyDescent="0.3"/>
  <cols>
    <col min="1" max="1" width="17.625" style="27" bestFit="1" customWidth="1"/>
    <col min="2" max="2" width="28.625" style="27" bestFit="1" customWidth="1"/>
    <col min="3" max="4" width="32.75" style="27" bestFit="1" customWidth="1"/>
    <col min="5" max="6" width="28.625" style="27" bestFit="1" customWidth="1"/>
    <col min="7" max="9" width="11.625" style="26" bestFit="1" customWidth="1"/>
    <col min="10" max="10" width="7.625" style="26" bestFit="1" customWidth="1"/>
    <col min="11" max="11" width="9.5" style="26" bestFit="1" customWidth="1"/>
    <col min="12" max="12" width="10.375" style="26" bestFit="1" customWidth="1"/>
    <col min="13" max="13" width="11.625" style="26" bestFit="1" customWidth="1"/>
    <col min="14" max="16384" width="9" style="26"/>
  </cols>
  <sheetData>
    <row r="1" spans="1:13" x14ac:dyDescent="0.3">
      <c r="A1" s="24">
        <f ca="1">铅!K1</f>
        <v>45208</v>
      </c>
      <c r="B1" s="25" t="s">
        <v>295</v>
      </c>
      <c r="C1" s="25" t="s">
        <v>296</v>
      </c>
      <c r="D1" s="25" t="s">
        <v>2</v>
      </c>
      <c r="E1" s="25" t="s">
        <v>297</v>
      </c>
      <c r="F1" s="25" t="s">
        <v>298</v>
      </c>
      <c r="G1" s="25" t="s">
        <v>299</v>
      </c>
      <c r="H1" s="25" t="s">
        <v>296</v>
      </c>
      <c r="I1" s="25" t="s">
        <v>300</v>
      </c>
      <c r="J1" s="25" t="s">
        <v>297</v>
      </c>
      <c r="K1" s="25" t="s">
        <v>298</v>
      </c>
      <c r="L1" s="25" t="s">
        <v>5</v>
      </c>
      <c r="M1" s="25" t="s">
        <v>301</v>
      </c>
    </row>
    <row r="2" spans="1:13" x14ac:dyDescent="0.3">
      <c r="A2" s="27" t="s">
        <v>53</v>
      </c>
      <c r="B2" s="27" t="s">
        <v>302</v>
      </c>
      <c r="C2" s="27" t="s">
        <v>303</v>
      </c>
      <c r="D2" s="27" t="s">
        <v>304</v>
      </c>
      <c r="E2" s="27" t="s">
        <v>54</v>
      </c>
      <c r="F2" s="27" t="s">
        <v>305</v>
      </c>
      <c r="G2" s="28">
        <f>_xlfn.IFNA(VLOOKUP(B2,铅原始数据!$A:$E,5,0),)</f>
        <v>85300</v>
      </c>
      <c r="H2" s="28">
        <f>_xlfn.IFNA(VLOOKUP(C2,铅原始数据!$A:$E,5,0),)</f>
        <v>81950</v>
      </c>
      <c r="I2" s="28">
        <f>_xlfn.IFNA(VLOOKUP(D2,铅原始数据!$A:$E,5,0),)</f>
        <v>3350</v>
      </c>
      <c r="J2" s="28">
        <f>_xlfn.IFNA(VLOOKUP(E2,铅原始数据!$A:$E,5,0),)</f>
        <v>400</v>
      </c>
      <c r="K2" s="28">
        <f>_xlfn.IFNA(VLOOKUP(F2,铅原始数据!$A:$E,5,0),)</f>
        <v>0</v>
      </c>
      <c r="L2" s="28">
        <f>_xlfn.IFNA(G2-M2,)</f>
        <v>400</v>
      </c>
      <c r="M2" s="28">
        <f>_xlfn.IFNA(VLOOKUP(B2,铅原始数据!$A:$F,6,0),)</f>
        <v>84900</v>
      </c>
    </row>
    <row r="3" spans="1:13" x14ac:dyDescent="0.3">
      <c r="A3" s="27" t="s">
        <v>55</v>
      </c>
      <c r="B3" s="27" t="s">
        <v>56</v>
      </c>
      <c r="C3" s="27" t="s">
        <v>57</v>
      </c>
      <c r="D3" s="27" t="s">
        <v>58</v>
      </c>
      <c r="E3" s="27" t="s">
        <v>59</v>
      </c>
      <c r="F3" s="27" t="s">
        <v>306</v>
      </c>
      <c r="G3" s="28">
        <f>_xlfn.IFNA(VLOOKUP(B3,铅原始数据!$A:$E,5,0),)</f>
        <v>1650</v>
      </c>
      <c r="H3" s="28">
        <f>_xlfn.IFNA(VLOOKUP(C3,铅原始数据!$A:$E,5,0),)</f>
        <v>600</v>
      </c>
      <c r="I3" s="28">
        <f>_xlfn.IFNA(VLOOKUP(D3,铅原始数据!$A:$E,5,0),)</f>
        <v>1050</v>
      </c>
      <c r="J3" s="28">
        <f>_xlfn.IFNA(VLOOKUP(E3,铅原始数据!$A:$E,5,0),)</f>
        <v>0</v>
      </c>
      <c r="K3" s="28">
        <f>_xlfn.IFNA(VLOOKUP(F3,铅原始数据!$A:$E,5,0),)</f>
        <v>0</v>
      </c>
      <c r="L3" s="28">
        <f t="shared" ref="L3:L47" si="0">_xlfn.IFNA(G3-M3,)</f>
        <v>0</v>
      </c>
      <c r="M3" s="28">
        <f>_xlfn.IFNA(VLOOKUP(B3,铅原始数据!$A:$F,6,0),)</f>
        <v>1650</v>
      </c>
    </row>
    <row r="4" spans="1:13" x14ac:dyDescent="0.3">
      <c r="A4" s="27" t="s">
        <v>60</v>
      </c>
      <c r="B4" s="27" t="s">
        <v>61</v>
      </c>
      <c r="C4" s="27" t="s">
        <v>62</v>
      </c>
      <c r="D4" s="27" t="s">
        <v>63</v>
      </c>
      <c r="E4" s="27" t="s">
        <v>64</v>
      </c>
      <c r="F4" s="27" t="s">
        <v>65</v>
      </c>
      <c r="G4" s="28">
        <f>_xlfn.IFNA(VLOOKUP(B4,铅原始数据!$A:$E,5,0),)</f>
        <v>0</v>
      </c>
      <c r="H4" s="28">
        <f>_xlfn.IFNA(VLOOKUP(C4,铅原始数据!$A:$E,5,0),)</f>
        <v>0</v>
      </c>
      <c r="I4" s="28">
        <f>_xlfn.IFNA(VLOOKUP(D4,铅原始数据!$A:$E,5,0),)</f>
        <v>0</v>
      </c>
      <c r="J4" s="28">
        <f>_xlfn.IFNA(VLOOKUP(E4,铅原始数据!$A:$E,5,0),)</f>
        <v>0</v>
      </c>
      <c r="K4" s="28">
        <f>_xlfn.IFNA(VLOOKUP(F4,铅原始数据!$A:$E,5,0),)</f>
        <v>0</v>
      </c>
      <c r="L4" s="28">
        <f t="shared" si="0"/>
        <v>0</v>
      </c>
      <c r="M4" s="28">
        <f>_xlfn.IFNA(VLOOKUP(B4,铅原始数据!$A:$F,6,0),)</f>
        <v>0</v>
      </c>
    </row>
    <row r="5" spans="1:13" x14ac:dyDescent="0.3">
      <c r="A5" s="27" t="s">
        <v>10</v>
      </c>
      <c r="B5" s="27" t="s">
        <v>66</v>
      </c>
      <c r="C5" s="27" t="s">
        <v>67</v>
      </c>
      <c r="D5" s="27" t="s">
        <v>68</v>
      </c>
      <c r="E5" s="27" t="s">
        <v>69</v>
      </c>
      <c r="F5" s="27" t="s">
        <v>70</v>
      </c>
      <c r="G5" s="28">
        <f>_xlfn.IFNA(VLOOKUP(B5,铅原始数据!$A:$E,5,0),)</f>
        <v>0</v>
      </c>
      <c r="H5" s="28">
        <f>_xlfn.IFNA(VLOOKUP(C5,铅原始数据!$A:$E,5,0),)</f>
        <v>0</v>
      </c>
      <c r="I5" s="28">
        <f>_xlfn.IFNA(VLOOKUP(D5,铅原始数据!$A:$E,5,0),)</f>
        <v>0</v>
      </c>
      <c r="J5" s="28">
        <f>_xlfn.IFNA(VLOOKUP(E5,铅原始数据!$A:$E,5,0),)</f>
        <v>0</v>
      </c>
      <c r="K5" s="28">
        <f>_xlfn.IFNA(VLOOKUP(F5,铅原始数据!$A:$E,5,0),)</f>
        <v>0</v>
      </c>
      <c r="L5" s="28">
        <f t="shared" si="0"/>
        <v>0</v>
      </c>
      <c r="M5" s="28">
        <f>_xlfn.IFNA(VLOOKUP(B5,铅原始数据!$A:$F,6,0),)</f>
        <v>0</v>
      </c>
    </row>
    <row r="6" spans="1:13" x14ac:dyDescent="0.3">
      <c r="A6" s="27" t="s">
        <v>11</v>
      </c>
      <c r="B6" s="27" t="s">
        <v>71</v>
      </c>
      <c r="C6" s="27" t="s">
        <v>72</v>
      </c>
      <c r="D6" s="27" t="s">
        <v>73</v>
      </c>
      <c r="E6" s="27" t="s">
        <v>74</v>
      </c>
      <c r="F6" s="27" t="s">
        <v>75</v>
      </c>
      <c r="G6" s="28">
        <f>_xlfn.IFNA(VLOOKUP(B6,铅原始数据!$A:$E,5,0),)</f>
        <v>0</v>
      </c>
      <c r="H6" s="28">
        <f>_xlfn.IFNA(VLOOKUP(C6,铅原始数据!$A:$E,5,0),)</f>
        <v>0</v>
      </c>
      <c r="I6" s="28">
        <f>_xlfn.IFNA(VLOOKUP(D6,铅原始数据!$A:$E,5,0),)</f>
        <v>0</v>
      </c>
      <c r="J6" s="28">
        <f>_xlfn.IFNA(VLOOKUP(E6,铅原始数据!$A:$E,5,0),)</f>
        <v>0</v>
      </c>
      <c r="K6" s="28">
        <f>_xlfn.IFNA(VLOOKUP(F6,铅原始数据!$A:$E,5,0),)</f>
        <v>0</v>
      </c>
      <c r="L6" s="28">
        <f t="shared" si="0"/>
        <v>0</v>
      </c>
      <c r="M6" s="28">
        <f>_xlfn.IFNA(VLOOKUP(B6,铅原始数据!$A:$F,6,0),)</f>
        <v>0</v>
      </c>
    </row>
    <row r="7" spans="1:13" x14ac:dyDescent="0.3">
      <c r="A7" s="27" t="s">
        <v>76</v>
      </c>
      <c r="B7" s="27" t="s">
        <v>77</v>
      </c>
      <c r="C7" s="27" t="s">
        <v>78</v>
      </c>
      <c r="D7" s="27" t="s">
        <v>79</v>
      </c>
      <c r="E7" s="27" t="s">
        <v>80</v>
      </c>
      <c r="F7" s="27" t="s">
        <v>81</v>
      </c>
      <c r="G7" s="28">
        <f>_xlfn.IFNA(VLOOKUP(B7,铅原始数据!$A:$E,5,0),)</f>
        <v>900</v>
      </c>
      <c r="H7" s="28">
        <f>_xlfn.IFNA(VLOOKUP(C7,铅原始数据!$A:$E,5,0),)</f>
        <v>0</v>
      </c>
      <c r="I7" s="28">
        <f>_xlfn.IFNA(VLOOKUP(D7,铅原始数据!$A:$E,5,0),)</f>
        <v>900</v>
      </c>
      <c r="J7" s="28">
        <f>_xlfn.IFNA(VLOOKUP(E7,铅原始数据!$A:$E,5,0),)</f>
        <v>0</v>
      </c>
      <c r="K7" s="28">
        <f>_xlfn.IFNA(VLOOKUP(F7,铅原始数据!$A:$E,5,0),)</f>
        <v>0</v>
      </c>
      <c r="L7" s="28">
        <f t="shared" si="0"/>
        <v>0</v>
      </c>
      <c r="M7" s="28">
        <f>_xlfn.IFNA(VLOOKUP(B7,铅原始数据!$A:$F,6,0),)</f>
        <v>900</v>
      </c>
    </row>
    <row r="8" spans="1:13" x14ac:dyDescent="0.3">
      <c r="A8" s="27" t="s">
        <v>13</v>
      </c>
      <c r="B8" s="27" t="s">
        <v>82</v>
      </c>
      <c r="C8" s="27" t="s">
        <v>83</v>
      </c>
      <c r="D8" s="27" t="s">
        <v>84</v>
      </c>
      <c r="E8" s="27" t="s">
        <v>85</v>
      </c>
      <c r="F8" s="27" t="s">
        <v>86</v>
      </c>
      <c r="G8" s="28">
        <f>_xlfn.IFNA(VLOOKUP(B8,铅原始数据!$A:$E,5,0),)</f>
        <v>900</v>
      </c>
      <c r="H8" s="28">
        <f>_xlfn.IFNA(VLOOKUP(C8,铅原始数据!$A:$E,5,0),)</f>
        <v>0</v>
      </c>
      <c r="I8" s="28">
        <f>_xlfn.IFNA(VLOOKUP(D8,铅原始数据!$A:$E,5,0),)</f>
        <v>900</v>
      </c>
      <c r="J8" s="28">
        <f>_xlfn.IFNA(VLOOKUP(E8,铅原始数据!$A:$E,5,0),)</f>
        <v>0</v>
      </c>
      <c r="K8" s="28">
        <f>_xlfn.IFNA(VLOOKUP(F8,铅原始数据!$A:$E,5,0),)</f>
        <v>0</v>
      </c>
      <c r="L8" s="28">
        <f t="shared" si="0"/>
        <v>0</v>
      </c>
      <c r="M8" s="28">
        <f>_xlfn.IFNA(VLOOKUP(B8,铅原始数据!$A:$F,6,0),)</f>
        <v>900</v>
      </c>
    </row>
    <row r="9" spans="1:13" x14ac:dyDescent="0.3">
      <c r="A9" s="27" t="s">
        <v>87</v>
      </c>
      <c r="B9" s="27" t="s">
        <v>88</v>
      </c>
      <c r="C9" s="27" t="s">
        <v>89</v>
      </c>
      <c r="D9" s="27" t="s">
        <v>90</v>
      </c>
      <c r="E9" s="27" t="s">
        <v>91</v>
      </c>
      <c r="F9" s="27" t="s">
        <v>92</v>
      </c>
      <c r="G9" s="28">
        <f>_xlfn.IFNA(VLOOKUP(B9,铅原始数据!$A:$E,5,0),)</f>
        <v>0</v>
      </c>
      <c r="H9" s="28">
        <f>_xlfn.IFNA(VLOOKUP(C9,铅原始数据!$A:$E,5,0),)</f>
        <v>0</v>
      </c>
      <c r="I9" s="28">
        <f>_xlfn.IFNA(VLOOKUP(D9,铅原始数据!$A:$E,5,0),)</f>
        <v>0</v>
      </c>
      <c r="J9" s="28">
        <f>_xlfn.IFNA(VLOOKUP(E9,铅原始数据!$A:$E,5,0),)</f>
        <v>0</v>
      </c>
      <c r="K9" s="28">
        <f>_xlfn.IFNA(VLOOKUP(F9,铅原始数据!$A:$E,5,0),)</f>
        <v>0</v>
      </c>
      <c r="L9" s="28">
        <f t="shared" si="0"/>
        <v>0</v>
      </c>
      <c r="M9" s="28">
        <f>_xlfn.IFNA(VLOOKUP(B9,铅原始数据!$A:$F,6,0),)</f>
        <v>0</v>
      </c>
    </row>
    <row r="10" spans="1:13" x14ac:dyDescent="0.3">
      <c r="A10" s="27" t="s">
        <v>15</v>
      </c>
      <c r="B10" s="27" t="s">
        <v>93</v>
      </c>
      <c r="C10" s="27" t="s">
        <v>94</v>
      </c>
      <c r="D10" s="27" t="s">
        <v>95</v>
      </c>
      <c r="E10" s="27" t="s">
        <v>96</v>
      </c>
      <c r="F10" s="27" t="s">
        <v>97</v>
      </c>
      <c r="G10" s="28">
        <f>_xlfn.IFNA(VLOOKUP(B10,铅原始数据!$A:$E,5,0),)</f>
        <v>0</v>
      </c>
      <c r="H10" s="28">
        <f>_xlfn.IFNA(VLOOKUP(C10,铅原始数据!$A:$E,5,0),)</f>
        <v>0</v>
      </c>
      <c r="I10" s="28">
        <f>_xlfn.IFNA(VLOOKUP(D10,铅原始数据!$A:$E,5,0),)</f>
        <v>0</v>
      </c>
      <c r="J10" s="28">
        <f>_xlfn.IFNA(VLOOKUP(E10,铅原始数据!$A:$E,5,0),)</f>
        <v>0</v>
      </c>
      <c r="K10" s="28">
        <f>_xlfn.IFNA(VLOOKUP(F10,铅原始数据!$A:$E,5,0),)</f>
        <v>0</v>
      </c>
      <c r="L10" s="28">
        <f t="shared" si="0"/>
        <v>0</v>
      </c>
      <c r="M10" s="28">
        <f>_xlfn.IFNA(VLOOKUP(B10,铅原始数据!$A:$F,6,0),)</f>
        <v>0</v>
      </c>
    </row>
    <row r="11" spans="1:13" x14ac:dyDescent="0.3">
      <c r="A11" s="27" t="s">
        <v>16</v>
      </c>
      <c r="B11" s="27" t="s">
        <v>98</v>
      </c>
      <c r="C11" s="27" t="s">
        <v>99</v>
      </c>
      <c r="D11" s="27" t="s">
        <v>100</v>
      </c>
      <c r="E11" s="27" t="s">
        <v>101</v>
      </c>
      <c r="F11" s="27" t="s">
        <v>102</v>
      </c>
      <c r="G11" s="28">
        <f>_xlfn.IFNA(VLOOKUP(B11,铅原始数据!$A:$E,5,0),)</f>
        <v>0</v>
      </c>
      <c r="H11" s="28">
        <f>_xlfn.IFNA(VLOOKUP(C11,铅原始数据!$A:$E,5,0),)</f>
        <v>0</v>
      </c>
      <c r="I11" s="28">
        <f>_xlfn.IFNA(VLOOKUP(D11,铅原始数据!$A:$E,5,0),)</f>
        <v>0</v>
      </c>
      <c r="J11" s="28">
        <f>_xlfn.IFNA(VLOOKUP(E11,铅原始数据!$A:$E,5,0),)</f>
        <v>0</v>
      </c>
      <c r="K11" s="28">
        <f>_xlfn.IFNA(VLOOKUP(F11,铅原始数据!$A:$E,5,0),)</f>
        <v>0</v>
      </c>
      <c r="L11" s="28">
        <f t="shared" si="0"/>
        <v>0</v>
      </c>
      <c r="M11" s="28">
        <f>_xlfn.IFNA(VLOOKUP(B11,铅原始数据!$A:$F,6,0),)</f>
        <v>0</v>
      </c>
    </row>
    <row r="12" spans="1:13" x14ac:dyDescent="0.3">
      <c r="A12" s="27" t="s">
        <v>103</v>
      </c>
      <c r="B12" s="27" t="s">
        <v>104</v>
      </c>
      <c r="C12" s="27" t="s">
        <v>105</v>
      </c>
      <c r="D12" s="27" t="s">
        <v>106</v>
      </c>
      <c r="E12" s="27" t="s">
        <v>107</v>
      </c>
      <c r="F12" s="27" t="s">
        <v>108</v>
      </c>
      <c r="G12" s="28">
        <f>_xlfn.IFNA(VLOOKUP(B12,铅原始数据!$A:$E,5,0),)</f>
        <v>0</v>
      </c>
      <c r="H12" s="28">
        <f>_xlfn.IFNA(VLOOKUP(C12,铅原始数据!$A:$E,5,0),)</f>
        <v>0</v>
      </c>
      <c r="I12" s="28">
        <f>_xlfn.IFNA(VLOOKUP(D12,铅原始数据!$A:$E,5,0),)</f>
        <v>0</v>
      </c>
      <c r="J12" s="28">
        <f>_xlfn.IFNA(VLOOKUP(E12,铅原始数据!$A:$E,5,0),)</f>
        <v>0</v>
      </c>
      <c r="K12" s="28">
        <f>_xlfn.IFNA(VLOOKUP(F12,铅原始数据!$A:$E,5,0),)</f>
        <v>0</v>
      </c>
      <c r="L12" s="28">
        <f t="shared" si="0"/>
        <v>0</v>
      </c>
      <c r="M12" s="28">
        <f>_xlfn.IFNA(VLOOKUP(B12,铅原始数据!$A:$F,6,0),)</f>
        <v>0</v>
      </c>
    </row>
    <row r="13" spans="1:13" x14ac:dyDescent="0.3">
      <c r="A13" s="27" t="s">
        <v>18</v>
      </c>
      <c r="B13" s="27" t="s">
        <v>109</v>
      </c>
      <c r="C13" s="27" t="s">
        <v>110</v>
      </c>
      <c r="D13" s="27" t="s">
        <v>111</v>
      </c>
      <c r="E13" s="27" t="s">
        <v>112</v>
      </c>
      <c r="F13" s="27" t="s">
        <v>113</v>
      </c>
      <c r="G13" s="28">
        <f>_xlfn.IFNA(VLOOKUP(B13,铅原始数据!$A:$E,5,0),)</f>
        <v>0</v>
      </c>
      <c r="H13" s="28">
        <f>_xlfn.IFNA(VLOOKUP(C13,铅原始数据!$A:$E,5,0),)</f>
        <v>0</v>
      </c>
      <c r="I13" s="28">
        <f>_xlfn.IFNA(VLOOKUP(D13,铅原始数据!$A:$E,5,0),)</f>
        <v>0</v>
      </c>
      <c r="J13" s="28">
        <f>_xlfn.IFNA(VLOOKUP(E13,铅原始数据!$A:$E,5,0),)</f>
        <v>0</v>
      </c>
      <c r="K13" s="28">
        <f>_xlfn.IFNA(VLOOKUP(F13,铅原始数据!$A:$E,5,0),)</f>
        <v>0</v>
      </c>
      <c r="L13" s="28">
        <f t="shared" si="0"/>
        <v>0</v>
      </c>
      <c r="M13" s="28">
        <f>_xlfn.IFNA(VLOOKUP(B13,铅原始数据!$A:$F,6,0),)</f>
        <v>0</v>
      </c>
    </row>
    <row r="14" spans="1:13" x14ac:dyDescent="0.3">
      <c r="A14" s="27" t="s">
        <v>19</v>
      </c>
      <c r="B14" s="27" t="s">
        <v>114</v>
      </c>
      <c r="C14" s="27" t="s">
        <v>115</v>
      </c>
      <c r="D14" s="27" t="s">
        <v>116</v>
      </c>
      <c r="E14" s="27" t="s">
        <v>117</v>
      </c>
      <c r="F14" s="27" t="s">
        <v>118</v>
      </c>
      <c r="G14" s="28">
        <f>_xlfn.IFNA(VLOOKUP(B14,铅原始数据!$A:$E,5,0),)</f>
        <v>0</v>
      </c>
      <c r="H14" s="28">
        <f>_xlfn.IFNA(VLOOKUP(C14,铅原始数据!$A:$E,5,0),)</f>
        <v>0</v>
      </c>
      <c r="I14" s="28">
        <f>_xlfn.IFNA(VLOOKUP(D14,铅原始数据!$A:$E,5,0),)</f>
        <v>0</v>
      </c>
      <c r="J14" s="28">
        <f>_xlfn.IFNA(VLOOKUP(E14,铅原始数据!$A:$E,5,0),)</f>
        <v>0</v>
      </c>
      <c r="K14" s="28">
        <f>_xlfn.IFNA(VLOOKUP(F14,铅原始数据!$A:$E,5,0),)</f>
        <v>0</v>
      </c>
      <c r="L14" s="28">
        <f t="shared" si="0"/>
        <v>0</v>
      </c>
      <c r="M14" s="28">
        <f>_xlfn.IFNA(VLOOKUP(B14,铅原始数据!$A:$F,6,0),)</f>
        <v>0</v>
      </c>
    </row>
    <row r="15" spans="1:13" x14ac:dyDescent="0.3">
      <c r="A15" s="27" t="s">
        <v>20</v>
      </c>
      <c r="B15" s="27" t="s">
        <v>119</v>
      </c>
      <c r="C15" s="27" t="s">
        <v>120</v>
      </c>
      <c r="D15" s="27" t="s">
        <v>121</v>
      </c>
      <c r="E15" s="27" t="s">
        <v>122</v>
      </c>
      <c r="F15" s="27" t="s">
        <v>123</v>
      </c>
      <c r="G15" s="28">
        <f>_xlfn.IFNA(VLOOKUP(B15,铅原始数据!$A:$E,5,0),)</f>
        <v>0</v>
      </c>
      <c r="H15" s="28">
        <f>_xlfn.IFNA(VLOOKUP(C15,铅原始数据!$A:$E,5,0),)</f>
        <v>0</v>
      </c>
      <c r="I15" s="28">
        <f>_xlfn.IFNA(VLOOKUP(D15,铅原始数据!$A:$E,5,0),)</f>
        <v>0</v>
      </c>
      <c r="J15" s="28">
        <f>_xlfn.IFNA(VLOOKUP(E15,铅原始数据!$A:$E,5,0),)</f>
        <v>0</v>
      </c>
      <c r="K15" s="28">
        <f>_xlfn.IFNA(VLOOKUP(F15,铅原始数据!$A:$E,5,0),)</f>
        <v>0</v>
      </c>
      <c r="L15" s="28">
        <f t="shared" si="0"/>
        <v>0</v>
      </c>
      <c r="M15" s="28">
        <f>_xlfn.IFNA(VLOOKUP(B15,铅原始数据!$A:$F,6,0),)</f>
        <v>0</v>
      </c>
    </row>
    <row r="16" spans="1:13" x14ac:dyDescent="0.3">
      <c r="A16" s="27" t="s">
        <v>124</v>
      </c>
      <c r="B16" s="27" t="s">
        <v>125</v>
      </c>
      <c r="C16" s="27" t="s">
        <v>126</v>
      </c>
      <c r="D16" s="27" t="s">
        <v>127</v>
      </c>
      <c r="E16" s="27" t="s">
        <v>128</v>
      </c>
      <c r="F16" s="27" t="s">
        <v>129</v>
      </c>
      <c r="G16" s="28">
        <f>_xlfn.IFNA(VLOOKUP(B16,铅原始数据!$A:$E,5,0),)</f>
        <v>0</v>
      </c>
      <c r="H16" s="28">
        <f>_xlfn.IFNA(VLOOKUP(C16,铅原始数据!$A:$E,5,0),)</f>
        <v>0</v>
      </c>
      <c r="I16" s="28">
        <f>_xlfn.IFNA(VLOOKUP(D16,铅原始数据!$A:$E,5,0),)</f>
        <v>0</v>
      </c>
      <c r="J16" s="28">
        <f>_xlfn.IFNA(VLOOKUP(E16,铅原始数据!$A:$E,5,0),)</f>
        <v>0</v>
      </c>
      <c r="K16" s="28">
        <f>_xlfn.IFNA(VLOOKUP(F16,铅原始数据!$A:$E,5,0),)</f>
        <v>0</v>
      </c>
      <c r="L16" s="28">
        <f t="shared" si="0"/>
        <v>0</v>
      </c>
      <c r="M16" s="28">
        <f>_xlfn.IFNA(VLOOKUP(B16,铅原始数据!$A:$F,6,0),)</f>
        <v>0</v>
      </c>
    </row>
    <row r="17" spans="1:13" x14ac:dyDescent="0.3">
      <c r="A17" s="27" t="s">
        <v>22</v>
      </c>
      <c r="B17" s="27" t="s">
        <v>130</v>
      </c>
      <c r="C17" s="27" t="s">
        <v>131</v>
      </c>
      <c r="D17" s="27" t="s">
        <v>132</v>
      </c>
      <c r="E17" s="27" t="s">
        <v>133</v>
      </c>
      <c r="F17" s="27" t="s">
        <v>134</v>
      </c>
      <c r="G17" s="28">
        <f>_xlfn.IFNA(VLOOKUP(B17,铅原始数据!$A:$E,5,0),)</f>
        <v>0</v>
      </c>
      <c r="H17" s="28">
        <f>_xlfn.IFNA(VLOOKUP(C17,铅原始数据!$A:$E,5,0),)</f>
        <v>0</v>
      </c>
      <c r="I17" s="28">
        <f>_xlfn.IFNA(VLOOKUP(D17,铅原始数据!$A:$E,5,0),)</f>
        <v>0</v>
      </c>
      <c r="J17" s="28">
        <f>_xlfn.IFNA(VLOOKUP(E17,铅原始数据!$A:$E,5,0),)</f>
        <v>0</v>
      </c>
      <c r="K17" s="28">
        <f>_xlfn.IFNA(VLOOKUP(F17,铅原始数据!$A:$E,5,0),)</f>
        <v>0</v>
      </c>
      <c r="L17" s="28">
        <f t="shared" si="0"/>
        <v>0</v>
      </c>
      <c r="M17" s="28">
        <f>_xlfn.IFNA(VLOOKUP(B17,铅原始数据!$A:$F,6,0),)</f>
        <v>0</v>
      </c>
    </row>
    <row r="18" spans="1:13" x14ac:dyDescent="0.3">
      <c r="A18" s="27" t="s">
        <v>23</v>
      </c>
      <c r="B18" s="27" t="s">
        <v>135</v>
      </c>
      <c r="C18" s="27" t="s">
        <v>136</v>
      </c>
      <c r="D18" s="27" t="s">
        <v>137</v>
      </c>
      <c r="E18" s="27" t="s">
        <v>138</v>
      </c>
      <c r="F18" s="27" t="s">
        <v>139</v>
      </c>
      <c r="G18" s="28">
        <f>_xlfn.IFNA(VLOOKUP(B18,铅原始数据!$A:$E,5,0),)</f>
        <v>0</v>
      </c>
      <c r="H18" s="28">
        <f>_xlfn.IFNA(VLOOKUP(C18,铅原始数据!$A:$E,5,0),)</f>
        <v>0</v>
      </c>
      <c r="I18" s="28">
        <f>_xlfn.IFNA(VLOOKUP(D18,铅原始数据!$A:$E,5,0),)</f>
        <v>0</v>
      </c>
      <c r="J18" s="28">
        <f>_xlfn.IFNA(VLOOKUP(E18,铅原始数据!$A:$E,5,0),)</f>
        <v>0</v>
      </c>
      <c r="K18" s="28">
        <f>_xlfn.IFNA(VLOOKUP(F18,铅原始数据!$A:$E,5,0),)</f>
        <v>0</v>
      </c>
      <c r="L18" s="28">
        <f t="shared" si="0"/>
        <v>0</v>
      </c>
      <c r="M18" s="28">
        <f>_xlfn.IFNA(VLOOKUP(B18,铅原始数据!$A:$F,6,0),)</f>
        <v>0</v>
      </c>
    </row>
    <row r="19" spans="1:13" x14ac:dyDescent="0.3">
      <c r="A19" s="27" t="s">
        <v>140</v>
      </c>
      <c r="B19" s="27" t="s">
        <v>141</v>
      </c>
      <c r="C19" s="27" t="s">
        <v>142</v>
      </c>
      <c r="D19" s="27" t="s">
        <v>143</v>
      </c>
      <c r="E19" s="27" t="s">
        <v>144</v>
      </c>
      <c r="F19" s="27" t="s">
        <v>145</v>
      </c>
      <c r="G19" s="28">
        <f>_xlfn.IFNA(VLOOKUP(B19,铅原始数据!$A:$E,5,0),)</f>
        <v>750</v>
      </c>
      <c r="H19" s="28">
        <f>_xlfn.IFNA(VLOOKUP(C19,铅原始数据!$A:$E,5,0),)</f>
        <v>600</v>
      </c>
      <c r="I19" s="28">
        <f>_xlfn.IFNA(VLOOKUP(D19,铅原始数据!$A:$E,5,0),)</f>
        <v>150</v>
      </c>
      <c r="J19" s="28">
        <f>_xlfn.IFNA(VLOOKUP(E19,铅原始数据!$A:$E,5,0),)</f>
        <v>0</v>
      </c>
      <c r="K19" s="28">
        <f>_xlfn.IFNA(VLOOKUP(F19,铅原始数据!$A:$E,5,0),)</f>
        <v>0</v>
      </c>
      <c r="L19" s="28">
        <f t="shared" si="0"/>
        <v>0</v>
      </c>
      <c r="M19" s="28">
        <f>_xlfn.IFNA(VLOOKUP(B19,铅原始数据!$A:$F,6,0),)</f>
        <v>750</v>
      </c>
    </row>
    <row r="20" spans="1:13" x14ac:dyDescent="0.3">
      <c r="A20" s="27" t="s">
        <v>25</v>
      </c>
      <c r="B20" s="27" t="s">
        <v>146</v>
      </c>
      <c r="C20" s="27" t="s">
        <v>147</v>
      </c>
      <c r="D20" s="27" t="s">
        <v>148</v>
      </c>
      <c r="E20" s="27" t="s">
        <v>149</v>
      </c>
      <c r="F20" s="27" t="s">
        <v>150</v>
      </c>
      <c r="G20" s="28">
        <f>_xlfn.IFNA(VLOOKUP(B20,铅原始数据!$A:$E,5,0),)</f>
        <v>450</v>
      </c>
      <c r="H20" s="28">
        <f>_xlfn.IFNA(VLOOKUP(C20,铅原始数据!$A:$E,5,0),)</f>
        <v>300</v>
      </c>
      <c r="I20" s="28">
        <f>_xlfn.IFNA(VLOOKUP(D20,铅原始数据!$A:$E,5,0),)</f>
        <v>150</v>
      </c>
      <c r="J20" s="28">
        <f>_xlfn.IFNA(VLOOKUP(E20,铅原始数据!$A:$E,5,0),)</f>
        <v>0</v>
      </c>
      <c r="K20" s="28">
        <f>_xlfn.IFNA(VLOOKUP(F20,铅原始数据!$A:$E,5,0),)</f>
        <v>0</v>
      </c>
      <c r="L20" s="28">
        <f t="shared" si="0"/>
        <v>0</v>
      </c>
      <c r="M20" s="28">
        <f>_xlfn.IFNA(VLOOKUP(B20,铅原始数据!$A:$F,6,0),)</f>
        <v>450</v>
      </c>
    </row>
    <row r="21" spans="1:13" x14ac:dyDescent="0.3">
      <c r="A21" s="27" t="s">
        <v>26</v>
      </c>
      <c r="B21" s="27" t="s">
        <v>151</v>
      </c>
      <c r="C21" s="27" t="s">
        <v>152</v>
      </c>
      <c r="D21" s="27" t="s">
        <v>153</v>
      </c>
      <c r="E21" s="27" t="s">
        <v>154</v>
      </c>
      <c r="F21" s="27" t="s">
        <v>155</v>
      </c>
      <c r="G21" s="28">
        <f>_xlfn.IFNA(VLOOKUP(B21,铅原始数据!$A:$E,5,0),)</f>
        <v>300</v>
      </c>
      <c r="H21" s="28">
        <f>_xlfn.IFNA(VLOOKUP(C21,铅原始数据!$A:$E,5,0),)</f>
        <v>300</v>
      </c>
      <c r="I21" s="28">
        <f>_xlfn.IFNA(VLOOKUP(D21,铅原始数据!$A:$E,5,0),)</f>
        <v>0</v>
      </c>
      <c r="J21" s="28">
        <f>_xlfn.IFNA(VLOOKUP(E21,铅原始数据!$A:$E,5,0),)</f>
        <v>0</v>
      </c>
      <c r="K21" s="28">
        <f>_xlfn.IFNA(VLOOKUP(F21,铅原始数据!$A:$E,5,0),)</f>
        <v>0</v>
      </c>
      <c r="L21" s="28">
        <f t="shared" si="0"/>
        <v>0</v>
      </c>
      <c r="M21" s="28">
        <f>_xlfn.IFNA(VLOOKUP(B21,铅原始数据!$A:$F,6,0),)</f>
        <v>300</v>
      </c>
    </row>
    <row r="22" spans="1:13" x14ac:dyDescent="0.3">
      <c r="A22" s="27" t="s">
        <v>27</v>
      </c>
      <c r="B22" s="27" t="s">
        <v>156</v>
      </c>
      <c r="C22" s="27" t="s">
        <v>157</v>
      </c>
      <c r="D22" s="27" t="s">
        <v>158</v>
      </c>
      <c r="E22" s="27" t="s">
        <v>159</v>
      </c>
      <c r="F22" s="27" t="s">
        <v>160</v>
      </c>
      <c r="G22" s="28">
        <f>_xlfn.IFNA(VLOOKUP(B22,铅原始数据!$A:$E,5,0),)</f>
        <v>0</v>
      </c>
      <c r="H22" s="28">
        <f>_xlfn.IFNA(VLOOKUP(C22,铅原始数据!$A:$E,5,0),)</f>
        <v>0</v>
      </c>
      <c r="I22" s="28">
        <f>_xlfn.IFNA(VLOOKUP(D22,铅原始数据!$A:$E,5,0),)</f>
        <v>0</v>
      </c>
      <c r="J22" s="28">
        <f>_xlfn.IFNA(VLOOKUP(E22,铅原始数据!$A:$E,5,0),)</f>
        <v>0</v>
      </c>
      <c r="K22" s="28">
        <f>_xlfn.IFNA(VLOOKUP(F22,铅原始数据!$A:$E,5,0),)</f>
        <v>0</v>
      </c>
      <c r="L22" s="28">
        <f t="shared" si="0"/>
        <v>0</v>
      </c>
      <c r="M22" s="28">
        <f>_xlfn.IFNA(VLOOKUP(B22,铅原始数据!$A:$F,6,0),)</f>
        <v>0</v>
      </c>
    </row>
    <row r="23" spans="1:13" x14ac:dyDescent="0.3">
      <c r="A23" s="27" t="s">
        <v>161</v>
      </c>
      <c r="B23" s="27" t="s">
        <v>162</v>
      </c>
      <c r="C23" s="27" t="s">
        <v>163</v>
      </c>
      <c r="D23" s="27" t="s">
        <v>164</v>
      </c>
      <c r="E23" s="27" t="s">
        <v>165</v>
      </c>
      <c r="F23" s="27" t="s">
        <v>166</v>
      </c>
      <c r="G23" s="28">
        <f>_xlfn.IFNA(VLOOKUP(B23,铅原始数据!$A:$E,5,0),)</f>
        <v>0</v>
      </c>
      <c r="H23" s="28">
        <f>_xlfn.IFNA(VLOOKUP(C23,铅原始数据!$A:$E,5,0),)</f>
        <v>0</v>
      </c>
      <c r="I23" s="28">
        <f>_xlfn.IFNA(VLOOKUP(D23,铅原始数据!$A:$E,5,0),)</f>
        <v>0</v>
      </c>
      <c r="J23" s="28">
        <f>_xlfn.IFNA(VLOOKUP(E23,铅原始数据!$A:$E,5,0),)</f>
        <v>0</v>
      </c>
      <c r="K23" s="28">
        <f>_xlfn.IFNA(VLOOKUP(F23,铅原始数据!$A:$E,5,0),)</f>
        <v>0</v>
      </c>
      <c r="L23" s="28">
        <f t="shared" si="0"/>
        <v>0</v>
      </c>
      <c r="M23" s="28">
        <f>_xlfn.IFNA(VLOOKUP(B23,铅原始数据!$A:$F,6,0),)</f>
        <v>0</v>
      </c>
    </row>
    <row r="24" spans="1:13" x14ac:dyDescent="0.3">
      <c r="A24" s="27" t="s">
        <v>29</v>
      </c>
      <c r="B24" s="27" t="s">
        <v>167</v>
      </c>
      <c r="C24" s="27" t="s">
        <v>168</v>
      </c>
      <c r="D24" s="27" t="s">
        <v>169</v>
      </c>
      <c r="E24" s="27" t="s">
        <v>170</v>
      </c>
      <c r="F24" s="27" t="s">
        <v>171</v>
      </c>
      <c r="G24" s="28">
        <f>_xlfn.IFNA(VLOOKUP(B24,铅原始数据!$A:$E,5,0),)</f>
        <v>0</v>
      </c>
      <c r="H24" s="28">
        <f>_xlfn.IFNA(VLOOKUP(C24,铅原始数据!$A:$E,5,0),)</f>
        <v>0</v>
      </c>
      <c r="I24" s="28">
        <f>_xlfn.IFNA(VLOOKUP(D24,铅原始数据!$A:$E,5,0),)</f>
        <v>0</v>
      </c>
      <c r="J24" s="28">
        <f>_xlfn.IFNA(VLOOKUP(E24,铅原始数据!$A:$E,5,0),)</f>
        <v>0</v>
      </c>
      <c r="K24" s="28">
        <f>_xlfn.IFNA(VLOOKUP(F24,铅原始数据!$A:$E,5,0),)</f>
        <v>0</v>
      </c>
      <c r="L24" s="28">
        <f t="shared" si="0"/>
        <v>0</v>
      </c>
      <c r="M24" s="28">
        <f>_xlfn.IFNA(VLOOKUP(B24,铅原始数据!$A:$F,6,0),)</f>
        <v>0</v>
      </c>
    </row>
    <row r="25" spans="1:13" x14ac:dyDescent="0.3">
      <c r="A25" s="27" t="s">
        <v>30</v>
      </c>
      <c r="B25" s="27" t="s">
        <v>172</v>
      </c>
      <c r="C25" s="27" t="s">
        <v>173</v>
      </c>
      <c r="D25" s="27" t="s">
        <v>174</v>
      </c>
      <c r="E25" s="27" t="s">
        <v>175</v>
      </c>
      <c r="F25" s="27" t="s">
        <v>176</v>
      </c>
      <c r="G25" s="28">
        <f>_xlfn.IFNA(VLOOKUP(B25,铅原始数据!$A:$E,5,0),)</f>
        <v>0</v>
      </c>
      <c r="H25" s="28">
        <f>_xlfn.IFNA(VLOOKUP(C25,铅原始数据!$A:$E,5,0),)</f>
        <v>0</v>
      </c>
      <c r="I25" s="28">
        <f>_xlfn.IFNA(VLOOKUP(D25,铅原始数据!$A:$E,5,0),)</f>
        <v>0</v>
      </c>
      <c r="J25" s="28">
        <f>_xlfn.IFNA(VLOOKUP(E25,铅原始数据!$A:$E,5,0),)</f>
        <v>0</v>
      </c>
      <c r="K25" s="28">
        <f>_xlfn.IFNA(VLOOKUP(F25,铅原始数据!$A:$E,5,0),)</f>
        <v>0</v>
      </c>
      <c r="L25" s="28">
        <f t="shared" si="0"/>
        <v>0</v>
      </c>
      <c r="M25" s="28">
        <f>_xlfn.IFNA(VLOOKUP(B25,铅原始数据!$A:$F,6,0),)</f>
        <v>0</v>
      </c>
    </row>
    <row r="26" spans="1:13" x14ac:dyDescent="0.3">
      <c r="A26" s="27" t="s">
        <v>307</v>
      </c>
      <c r="B26" s="27" t="s">
        <v>177</v>
      </c>
      <c r="C26" s="27" t="s">
        <v>178</v>
      </c>
      <c r="D26" s="27" t="s">
        <v>308</v>
      </c>
      <c r="E26" s="27" t="s">
        <v>309</v>
      </c>
      <c r="F26" s="27" t="s">
        <v>310</v>
      </c>
      <c r="G26" s="28">
        <f>_xlfn.IFNA(VLOOKUP(B26,铅原始数据!$A:$E,5,0),)</f>
        <v>0</v>
      </c>
      <c r="H26" s="28">
        <f>_xlfn.IFNA(VLOOKUP(C26,铅原始数据!$A:$E,5,0),)</f>
        <v>0</v>
      </c>
      <c r="I26" s="28">
        <f>_xlfn.IFNA(VLOOKUP(D26,铅原始数据!$A:$E,5,0),)</f>
        <v>0</v>
      </c>
      <c r="J26" s="28">
        <f>_xlfn.IFNA(VLOOKUP(E26,铅原始数据!$A:$E,5,0),)</f>
        <v>0</v>
      </c>
      <c r="K26" s="28">
        <f>_xlfn.IFNA(VLOOKUP(F26,铅原始数据!$A:$E,5,0),)</f>
        <v>0</v>
      </c>
      <c r="L26" s="28">
        <f t="shared" si="0"/>
        <v>0</v>
      </c>
      <c r="M26" s="28">
        <f>_xlfn.IFNA(VLOOKUP(B26,铅原始数据!$A:$F,6,0),)</f>
        <v>0</v>
      </c>
    </row>
    <row r="27" spans="1:13" x14ac:dyDescent="0.3">
      <c r="A27" s="27" t="s">
        <v>179</v>
      </c>
      <c r="B27" s="27" t="s">
        <v>180</v>
      </c>
      <c r="C27" s="27" t="s">
        <v>181</v>
      </c>
      <c r="D27" s="27" t="s">
        <v>182</v>
      </c>
      <c r="E27" s="27" t="s">
        <v>183</v>
      </c>
      <c r="F27" s="27" t="s">
        <v>184</v>
      </c>
      <c r="G27" s="28">
        <f>_xlfn.IFNA(VLOOKUP(B27,铅原始数据!$A:$E,5,0),)</f>
        <v>0</v>
      </c>
      <c r="H27" s="28">
        <f>_xlfn.IFNA(VLOOKUP(C27,铅原始数据!$A:$E,5,0),)</f>
        <v>0</v>
      </c>
      <c r="I27" s="28">
        <f>_xlfn.IFNA(VLOOKUP(D27,铅原始数据!$A:$E,5,0),)</f>
        <v>0</v>
      </c>
      <c r="J27" s="28">
        <f>_xlfn.IFNA(VLOOKUP(E27,铅原始数据!$A:$E,5,0),)</f>
        <v>0</v>
      </c>
      <c r="K27" s="28">
        <f>_xlfn.IFNA(VLOOKUP(F27,铅原始数据!$A:$E,5,0),)</f>
        <v>0</v>
      </c>
      <c r="L27" s="28">
        <f t="shared" si="0"/>
        <v>0</v>
      </c>
      <c r="M27" s="28">
        <f>_xlfn.IFNA(VLOOKUP(B27,铅原始数据!$A:$F,6,0),)</f>
        <v>0</v>
      </c>
    </row>
    <row r="28" spans="1:13" x14ac:dyDescent="0.3">
      <c r="A28" s="27" t="s">
        <v>185</v>
      </c>
      <c r="B28" s="27" t="s">
        <v>186</v>
      </c>
      <c r="C28" s="27" t="s">
        <v>187</v>
      </c>
      <c r="D28" s="27" t="s">
        <v>188</v>
      </c>
      <c r="E28" s="27" t="s">
        <v>189</v>
      </c>
      <c r="F28" s="27" t="s">
        <v>190</v>
      </c>
      <c r="G28" s="28">
        <f>_xlfn.IFNA(VLOOKUP(B28,铅原始数据!$A:$E,5,0),)</f>
        <v>0</v>
      </c>
      <c r="H28" s="28">
        <f>_xlfn.IFNA(VLOOKUP(C28,铅原始数据!$A:$E,5,0),)</f>
        <v>0</v>
      </c>
      <c r="I28" s="28">
        <f>_xlfn.IFNA(VLOOKUP(D28,铅原始数据!$A:$E,5,0),)</f>
        <v>0</v>
      </c>
      <c r="J28" s="28">
        <f>_xlfn.IFNA(VLOOKUP(E28,铅原始数据!$A:$E,5,0),)</f>
        <v>0</v>
      </c>
      <c r="K28" s="28">
        <f>_xlfn.IFNA(VLOOKUP(F28,铅原始数据!$A:$E,5,0),)</f>
        <v>0</v>
      </c>
      <c r="L28" s="28">
        <f t="shared" si="0"/>
        <v>0</v>
      </c>
      <c r="M28" s="28">
        <f>_xlfn.IFNA(VLOOKUP(B28,铅原始数据!$A:$F,6,0),)</f>
        <v>0</v>
      </c>
    </row>
    <row r="29" spans="1:13" x14ac:dyDescent="0.3">
      <c r="A29" s="27" t="s">
        <v>34</v>
      </c>
      <c r="B29" s="27" t="s">
        <v>191</v>
      </c>
      <c r="C29" s="27" t="s">
        <v>192</v>
      </c>
      <c r="D29" s="27" t="s">
        <v>193</v>
      </c>
      <c r="E29" s="27" t="s">
        <v>194</v>
      </c>
      <c r="F29" s="27" t="s">
        <v>195</v>
      </c>
      <c r="G29" s="28">
        <f>_xlfn.IFNA(VLOOKUP(B29,铅原始数据!$A:$E,5,0),)</f>
        <v>0</v>
      </c>
      <c r="H29" s="28">
        <f>_xlfn.IFNA(VLOOKUP(C29,铅原始数据!$A:$E,5,0),)</f>
        <v>0</v>
      </c>
      <c r="I29" s="28">
        <f>_xlfn.IFNA(VLOOKUP(D29,铅原始数据!$A:$E,5,0),)</f>
        <v>0</v>
      </c>
      <c r="J29" s="28">
        <f>_xlfn.IFNA(VLOOKUP(E29,铅原始数据!$A:$E,5,0),)</f>
        <v>0</v>
      </c>
      <c r="K29" s="28">
        <f>_xlfn.IFNA(VLOOKUP(F29,铅原始数据!$A:$E,5,0),)</f>
        <v>0</v>
      </c>
      <c r="L29" s="28">
        <f t="shared" si="0"/>
        <v>0</v>
      </c>
      <c r="M29" s="28">
        <f>_xlfn.IFNA(VLOOKUP(B29,铅原始数据!$A:$F,6,0),)</f>
        <v>0</v>
      </c>
    </row>
    <row r="30" spans="1:13" x14ac:dyDescent="0.3">
      <c r="A30" s="27" t="s">
        <v>35</v>
      </c>
      <c r="B30" s="27" t="s">
        <v>196</v>
      </c>
      <c r="C30" s="27" t="s">
        <v>197</v>
      </c>
      <c r="D30" s="27" t="s">
        <v>198</v>
      </c>
      <c r="E30" s="27" t="s">
        <v>199</v>
      </c>
      <c r="F30" s="27" t="s">
        <v>200</v>
      </c>
      <c r="G30" s="28">
        <f>_xlfn.IFNA(VLOOKUP(B30,铅原始数据!$A:$E,5,0),)</f>
        <v>0</v>
      </c>
      <c r="H30" s="28">
        <f>_xlfn.IFNA(VLOOKUP(C30,铅原始数据!$A:$E,5,0),)</f>
        <v>0</v>
      </c>
      <c r="I30" s="28">
        <f>_xlfn.IFNA(VLOOKUP(D30,铅原始数据!$A:$E,5,0),)</f>
        <v>0</v>
      </c>
      <c r="J30" s="28">
        <f>_xlfn.IFNA(VLOOKUP(E30,铅原始数据!$A:$E,5,0),)</f>
        <v>0</v>
      </c>
      <c r="K30" s="28">
        <f>_xlfn.IFNA(VLOOKUP(F30,铅原始数据!$A:$E,5,0),)</f>
        <v>0</v>
      </c>
      <c r="L30" s="28">
        <f t="shared" si="0"/>
        <v>0</v>
      </c>
      <c r="M30" s="28">
        <f>_xlfn.IFNA(VLOOKUP(B30,铅原始数据!$A:$F,6,0),)</f>
        <v>0</v>
      </c>
    </row>
    <row r="31" spans="1:13" x14ac:dyDescent="0.3">
      <c r="A31" s="27" t="s">
        <v>36</v>
      </c>
      <c r="B31" s="27" t="s">
        <v>201</v>
      </c>
      <c r="C31" s="27" t="s">
        <v>202</v>
      </c>
      <c r="D31" s="27" t="s">
        <v>203</v>
      </c>
      <c r="E31" s="27" t="s">
        <v>204</v>
      </c>
      <c r="F31" s="27" t="s">
        <v>205</v>
      </c>
      <c r="G31" s="28">
        <f>_xlfn.IFNA(VLOOKUP(B31,铅原始数据!$A:$E,5,0),)</f>
        <v>0</v>
      </c>
      <c r="H31" s="28">
        <f>_xlfn.IFNA(VLOOKUP(C31,铅原始数据!$A:$E,5,0),)</f>
        <v>0</v>
      </c>
      <c r="I31" s="28">
        <f>_xlfn.IFNA(VLOOKUP(D31,铅原始数据!$A:$E,5,0),)</f>
        <v>0</v>
      </c>
      <c r="J31" s="28">
        <f>_xlfn.IFNA(VLOOKUP(E31,铅原始数据!$A:$E,5,0),)</f>
        <v>0</v>
      </c>
      <c r="K31" s="28">
        <f>_xlfn.IFNA(VLOOKUP(F31,铅原始数据!$A:$E,5,0),)</f>
        <v>0</v>
      </c>
      <c r="L31" s="28">
        <f t="shared" si="0"/>
        <v>0</v>
      </c>
      <c r="M31" s="28">
        <f>_xlfn.IFNA(VLOOKUP(B31,铅原始数据!$A:$F,6,0),)</f>
        <v>0</v>
      </c>
    </row>
    <row r="32" spans="1:13" x14ac:dyDescent="0.3">
      <c r="A32" s="27" t="s">
        <v>37</v>
      </c>
      <c r="B32" s="27" t="s">
        <v>206</v>
      </c>
      <c r="C32" s="27" t="s">
        <v>207</v>
      </c>
      <c r="D32" s="27" t="s">
        <v>208</v>
      </c>
      <c r="E32" s="27" t="s">
        <v>209</v>
      </c>
      <c r="F32" s="27" t="s">
        <v>210</v>
      </c>
      <c r="G32" s="28">
        <f>_xlfn.IFNA(VLOOKUP(B32,铅原始数据!$A:$E,5,0),)</f>
        <v>0</v>
      </c>
      <c r="H32" s="28">
        <f>_xlfn.IFNA(VLOOKUP(C32,铅原始数据!$A:$E,5,0),)</f>
        <v>0</v>
      </c>
      <c r="I32" s="28">
        <f>_xlfn.IFNA(VLOOKUP(D32,铅原始数据!$A:$E,5,0),)</f>
        <v>0</v>
      </c>
      <c r="J32" s="28">
        <f>_xlfn.IFNA(VLOOKUP(E32,铅原始数据!$A:$E,5,0),)</f>
        <v>0</v>
      </c>
      <c r="K32" s="28">
        <f>_xlfn.IFNA(VLOOKUP(F32,铅原始数据!$A:$E,5,0),)</f>
        <v>0</v>
      </c>
      <c r="L32" s="28">
        <f t="shared" si="0"/>
        <v>0</v>
      </c>
      <c r="M32" s="28">
        <f>_xlfn.IFNA(VLOOKUP(B32,铅原始数据!$A:$F,6,0),)</f>
        <v>0</v>
      </c>
    </row>
    <row r="33" spans="1:13" x14ac:dyDescent="0.3">
      <c r="A33" s="27" t="s">
        <v>38</v>
      </c>
      <c r="B33" s="27" t="s">
        <v>211</v>
      </c>
      <c r="C33" s="27" t="s">
        <v>212</v>
      </c>
      <c r="D33" s="27" t="s">
        <v>213</v>
      </c>
      <c r="E33" s="27" t="s">
        <v>214</v>
      </c>
      <c r="F33" s="27" t="s">
        <v>215</v>
      </c>
      <c r="G33" s="28">
        <f>_xlfn.IFNA(VLOOKUP(B33,铅原始数据!$A:$E,5,0),)</f>
        <v>0</v>
      </c>
      <c r="H33" s="28">
        <f>_xlfn.IFNA(VLOOKUP(C33,铅原始数据!$A:$E,5,0),)</f>
        <v>0</v>
      </c>
      <c r="I33" s="28">
        <f>_xlfn.IFNA(VLOOKUP(D33,铅原始数据!$A:$E,5,0),)</f>
        <v>0</v>
      </c>
      <c r="J33" s="28">
        <f>_xlfn.IFNA(VLOOKUP(E33,铅原始数据!$A:$E,5,0),)</f>
        <v>0</v>
      </c>
      <c r="K33" s="28">
        <f>_xlfn.IFNA(VLOOKUP(F33,铅原始数据!$A:$E,5,0),)</f>
        <v>0</v>
      </c>
      <c r="L33" s="28">
        <f t="shared" si="0"/>
        <v>0</v>
      </c>
      <c r="M33" s="28">
        <f>_xlfn.IFNA(VLOOKUP(B33,铅原始数据!$A:$F,6,0),)</f>
        <v>0</v>
      </c>
    </row>
    <row r="34" spans="1:13" x14ac:dyDescent="0.3">
      <c r="A34" s="27" t="s">
        <v>39</v>
      </c>
      <c r="B34" s="27" t="s">
        <v>216</v>
      </c>
      <c r="C34" s="27" t="s">
        <v>217</v>
      </c>
      <c r="D34" s="27" t="s">
        <v>218</v>
      </c>
      <c r="E34" s="27" t="s">
        <v>219</v>
      </c>
      <c r="F34" s="27" t="s">
        <v>220</v>
      </c>
      <c r="G34" s="28">
        <f>_xlfn.IFNA(VLOOKUP(B34,铅原始数据!$A:$E,5,0),)</f>
        <v>0</v>
      </c>
      <c r="H34" s="28">
        <f>_xlfn.IFNA(VLOOKUP(C34,铅原始数据!$A:$E,5,0),)</f>
        <v>0</v>
      </c>
      <c r="I34" s="28">
        <f>_xlfn.IFNA(VLOOKUP(D34,铅原始数据!$A:$E,5,0),)</f>
        <v>0</v>
      </c>
      <c r="J34" s="28">
        <f>_xlfn.IFNA(VLOOKUP(E34,铅原始数据!$A:$E,5,0),)</f>
        <v>0</v>
      </c>
      <c r="K34" s="28">
        <f>_xlfn.IFNA(VLOOKUP(F34,铅原始数据!$A:$E,5,0),)</f>
        <v>0</v>
      </c>
      <c r="L34" s="28">
        <f t="shared" si="0"/>
        <v>0</v>
      </c>
      <c r="M34" s="28">
        <f>_xlfn.IFNA(VLOOKUP(B34,铅原始数据!$A:$F,6,0),)</f>
        <v>0</v>
      </c>
    </row>
    <row r="35" spans="1:13" x14ac:dyDescent="0.3">
      <c r="A35" s="27" t="s">
        <v>40</v>
      </c>
      <c r="B35" s="27" t="s">
        <v>221</v>
      </c>
      <c r="C35" s="27" t="s">
        <v>222</v>
      </c>
      <c r="D35" s="27" t="s">
        <v>223</v>
      </c>
      <c r="E35" s="27" t="s">
        <v>224</v>
      </c>
      <c r="F35" s="27" t="s">
        <v>225</v>
      </c>
      <c r="G35" s="28">
        <f>_xlfn.IFNA(VLOOKUP(B35,铅原始数据!$A:$E,5,0),)</f>
        <v>0</v>
      </c>
      <c r="H35" s="28">
        <f>_xlfn.IFNA(VLOOKUP(C35,铅原始数据!$A:$E,5,0),)</f>
        <v>0</v>
      </c>
      <c r="I35" s="28">
        <f>_xlfn.IFNA(VLOOKUP(D35,铅原始数据!$A:$E,5,0),)</f>
        <v>0</v>
      </c>
      <c r="J35" s="28">
        <f>_xlfn.IFNA(VLOOKUP(E35,铅原始数据!$A:$E,5,0),)</f>
        <v>0</v>
      </c>
      <c r="K35" s="28">
        <f>_xlfn.IFNA(VLOOKUP(F35,铅原始数据!$A:$E,5,0),)</f>
        <v>0</v>
      </c>
      <c r="L35" s="28">
        <f t="shared" si="0"/>
        <v>0</v>
      </c>
      <c r="M35" s="28">
        <f>_xlfn.IFNA(VLOOKUP(B35,铅原始数据!$A:$F,6,0),)</f>
        <v>0</v>
      </c>
    </row>
    <row r="36" spans="1:13" x14ac:dyDescent="0.3">
      <c r="A36" s="27" t="s">
        <v>41</v>
      </c>
      <c r="B36" s="27" t="s">
        <v>226</v>
      </c>
      <c r="C36" s="27" t="s">
        <v>227</v>
      </c>
      <c r="D36" s="27" t="s">
        <v>228</v>
      </c>
      <c r="E36" s="27" t="s">
        <v>229</v>
      </c>
      <c r="F36" s="27" t="s">
        <v>230</v>
      </c>
      <c r="G36" s="28">
        <f>_xlfn.IFNA(VLOOKUP(B36,铅原始数据!$A:$E,5,0),)</f>
        <v>0</v>
      </c>
      <c r="H36" s="28">
        <f>_xlfn.IFNA(VLOOKUP(C36,铅原始数据!$A:$E,5,0),)</f>
        <v>0</v>
      </c>
      <c r="I36" s="28">
        <f>_xlfn.IFNA(VLOOKUP(D36,铅原始数据!$A:$E,5,0),)</f>
        <v>0</v>
      </c>
      <c r="J36" s="28">
        <f>_xlfn.IFNA(VLOOKUP(E36,铅原始数据!$A:$E,5,0),)</f>
        <v>0</v>
      </c>
      <c r="K36" s="28">
        <f>_xlfn.IFNA(VLOOKUP(F36,铅原始数据!$A:$E,5,0),)</f>
        <v>0</v>
      </c>
      <c r="L36" s="28">
        <f t="shared" si="0"/>
        <v>0</v>
      </c>
      <c r="M36" s="28">
        <f>_xlfn.IFNA(VLOOKUP(B36,铅原始数据!$A:$F,6,0),)</f>
        <v>0</v>
      </c>
    </row>
    <row r="37" spans="1:13" x14ac:dyDescent="0.3">
      <c r="A37" s="27" t="s">
        <v>231</v>
      </c>
      <c r="B37" s="27" t="s">
        <v>232</v>
      </c>
      <c r="C37" s="27" t="s">
        <v>233</v>
      </c>
      <c r="D37" s="27" t="s">
        <v>234</v>
      </c>
      <c r="E37" s="27" t="s">
        <v>235</v>
      </c>
      <c r="F37" s="27" t="s">
        <v>236</v>
      </c>
      <c r="G37" s="28">
        <f>_xlfn.IFNA(VLOOKUP(B37,铅原始数据!$A:$E,5,0),)</f>
        <v>83650</v>
      </c>
      <c r="H37" s="28">
        <f>_xlfn.IFNA(VLOOKUP(C37,铅原始数据!$A:$E,5,0),)</f>
        <v>81350</v>
      </c>
      <c r="I37" s="28">
        <f>_xlfn.IFNA(VLOOKUP(D37,铅原始数据!$A:$E,5,0),)</f>
        <v>2300</v>
      </c>
      <c r="J37" s="28">
        <f>_xlfn.IFNA(VLOOKUP(E37,铅原始数据!$A:$E,5,0),)</f>
        <v>400</v>
      </c>
      <c r="K37" s="28">
        <f>_xlfn.IFNA(VLOOKUP(F37,铅原始数据!$A:$E,5,0),)</f>
        <v>0</v>
      </c>
      <c r="L37" s="28">
        <f t="shared" si="0"/>
        <v>400</v>
      </c>
      <c r="M37" s="28">
        <f>_xlfn.IFNA(VLOOKUP(B37,铅原始数据!$A:$F,6,0),)</f>
        <v>83250</v>
      </c>
    </row>
    <row r="38" spans="1:13" x14ac:dyDescent="0.3">
      <c r="A38" s="27" t="s">
        <v>237</v>
      </c>
      <c r="B38" s="27" t="s">
        <v>238</v>
      </c>
      <c r="C38" s="27" t="s">
        <v>239</v>
      </c>
      <c r="D38" s="27" t="s">
        <v>240</v>
      </c>
      <c r="E38" s="27" t="s">
        <v>241</v>
      </c>
      <c r="F38" s="27" t="s">
        <v>242</v>
      </c>
      <c r="G38" s="28">
        <f>_xlfn.IFNA(VLOOKUP(B38,铅原始数据!$A:$E,5,0),)</f>
        <v>25</v>
      </c>
      <c r="H38" s="28">
        <f>_xlfn.IFNA(VLOOKUP(C38,铅原始数据!$A:$E,5,0),)</f>
        <v>0</v>
      </c>
      <c r="I38" s="28">
        <f>_xlfn.IFNA(VLOOKUP(D38,铅原始数据!$A:$E,5,0),)</f>
        <v>25</v>
      </c>
      <c r="J38" s="28">
        <f>_xlfn.IFNA(VLOOKUP(E38,铅原始数据!$A:$E,5,0),)</f>
        <v>0</v>
      </c>
      <c r="K38" s="28">
        <f>_xlfn.IFNA(VLOOKUP(F38,铅原始数据!$A:$E,5,0),)</f>
        <v>0</v>
      </c>
      <c r="L38" s="28">
        <f t="shared" si="0"/>
        <v>0</v>
      </c>
      <c r="M38" s="28">
        <f>_xlfn.IFNA(VLOOKUP(B38,铅原始数据!$A:$F,6,0),)</f>
        <v>25</v>
      </c>
    </row>
    <row r="39" spans="1:13" x14ac:dyDescent="0.3">
      <c r="A39" s="27" t="s">
        <v>44</v>
      </c>
      <c r="B39" s="27" t="s">
        <v>243</v>
      </c>
      <c r="C39" s="27" t="s">
        <v>244</v>
      </c>
      <c r="D39" s="27" t="s">
        <v>245</v>
      </c>
      <c r="E39" s="27" t="s">
        <v>246</v>
      </c>
      <c r="F39" s="27" t="s">
        <v>247</v>
      </c>
      <c r="G39" s="28">
        <f>_xlfn.IFNA(VLOOKUP(B39,铅原始数据!$A:$E,5,0),)</f>
        <v>25</v>
      </c>
      <c r="H39" s="28">
        <f>_xlfn.IFNA(VLOOKUP(C39,铅原始数据!$A:$E,5,0),)</f>
        <v>0</v>
      </c>
      <c r="I39" s="28">
        <f>_xlfn.IFNA(VLOOKUP(D39,铅原始数据!$A:$E,5,0),)</f>
        <v>25</v>
      </c>
      <c r="J39" s="28">
        <f>_xlfn.IFNA(VLOOKUP(E39,铅原始数据!$A:$E,5,0),)</f>
        <v>0</v>
      </c>
      <c r="K39" s="28">
        <f>_xlfn.IFNA(VLOOKUP(F39,铅原始数据!$A:$E,5,0),)</f>
        <v>0</v>
      </c>
      <c r="L39" s="28">
        <f t="shared" si="0"/>
        <v>0</v>
      </c>
      <c r="M39" s="28">
        <f>_xlfn.IFNA(VLOOKUP(B39,铅原始数据!$A:$F,6,0),)</f>
        <v>25</v>
      </c>
    </row>
    <row r="40" spans="1:13" x14ac:dyDescent="0.3">
      <c r="A40" s="27" t="s">
        <v>45</v>
      </c>
      <c r="B40" s="27" t="s">
        <v>248</v>
      </c>
      <c r="C40" s="27" t="s">
        <v>249</v>
      </c>
      <c r="D40" s="27" t="s">
        <v>250</v>
      </c>
      <c r="E40" s="27" t="s">
        <v>251</v>
      </c>
      <c r="F40" s="27" t="s">
        <v>252</v>
      </c>
      <c r="G40" s="28">
        <f>_xlfn.IFNA(VLOOKUP(B40,铅原始数据!$A:$E,5,0),)</f>
        <v>0</v>
      </c>
      <c r="H40" s="28">
        <f>_xlfn.IFNA(VLOOKUP(C40,铅原始数据!$A:$E,5,0),)</f>
        <v>0</v>
      </c>
      <c r="I40" s="28">
        <f>_xlfn.IFNA(VLOOKUP(D40,铅原始数据!$A:$E,5,0),)</f>
        <v>0</v>
      </c>
      <c r="J40" s="28">
        <f>_xlfn.IFNA(VLOOKUP(E40,铅原始数据!$A:$E,5,0),)</f>
        <v>0</v>
      </c>
      <c r="K40" s="28">
        <f>_xlfn.IFNA(VLOOKUP(F40,铅原始数据!$A:$E,5,0),)</f>
        <v>0</v>
      </c>
      <c r="L40" s="28">
        <f t="shared" si="0"/>
        <v>0</v>
      </c>
      <c r="M40" s="28">
        <f>_xlfn.IFNA(VLOOKUP(B40,铅原始数据!$A:$F,6,0),)</f>
        <v>0</v>
      </c>
    </row>
    <row r="41" spans="1:13" x14ac:dyDescent="0.3">
      <c r="A41" s="27" t="s">
        <v>253</v>
      </c>
      <c r="B41" s="27" t="s">
        <v>254</v>
      </c>
      <c r="C41" s="27" t="s">
        <v>255</v>
      </c>
      <c r="D41" s="27" t="s">
        <v>256</v>
      </c>
      <c r="E41" s="27" t="s">
        <v>257</v>
      </c>
      <c r="F41" s="27" t="s">
        <v>258</v>
      </c>
      <c r="G41" s="28">
        <f>_xlfn.IFNA(VLOOKUP(B41,铅原始数据!$A:$E,5,0),)</f>
        <v>28825</v>
      </c>
      <c r="H41" s="28">
        <f>_xlfn.IFNA(VLOOKUP(C41,铅原始数据!$A:$E,5,0),)</f>
        <v>28825</v>
      </c>
      <c r="I41" s="28">
        <f>_xlfn.IFNA(VLOOKUP(D41,铅原始数据!$A:$E,5,0),)</f>
        <v>0</v>
      </c>
      <c r="J41" s="28">
        <f>_xlfn.IFNA(VLOOKUP(E41,铅原始数据!$A:$E,5,0),)</f>
        <v>400</v>
      </c>
      <c r="K41" s="28">
        <f>_xlfn.IFNA(VLOOKUP(F41,铅原始数据!$A:$E,5,0),)</f>
        <v>0</v>
      </c>
      <c r="L41" s="28">
        <f t="shared" si="0"/>
        <v>400</v>
      </c>
      <c r="M41" s="28">
        <f>_xlfn.IFNA(VLOOKUP(B41,铅原始数据!$A:$F,6,0),)</f>
        <v>28425</v>
      </c>
    </row>
    <row r="42" spans="1:13" x14ac:dyDescent="0.3">
      <c r="A42" s="27" t="s">
        <v>47</v>
      </c>
      <c r="B42" s="27" t="s">
        <v>259</v>
      </c>
      <c r="C42" s="27" t="s">
        <v>260</v>
      </c>
      <c r="D42" s="27" t="s">
        <v>261</v>
      </c>
      <c r="E42" s="27" t="s">
        <v>262</v>
      </c>
      <c r="F42" s="27" t="s">
        <v>263</v>
      </c>
      <c r="G42" s="28">
        <f>_xlfn.IFNA(VLOOKUP(B42,铅原始数据!$A:$E,5,0),)</f>
        <v>28825</v>
      </c>
      <c r="H42" s="28">
        <f>_xlfn.IFNA(VLOOKUP(C42,铅原始数据!$A:$E,5,0),)</f>
        <v>28825</v>
      </c>
      <c r="I42" s="28">
        <f>_xlfn.IFNA(VLOOKUP(D42,铅原始数据!$A:$E,5,0),)</f>
        <v>0</v>
      </c>
      <c r="J42" s="28">
        <f>_xlfn.IFNA(VLOOKUP(E42,铅原始数据!$A:$E,5,0),)</f>
        <v>400</v>
      </c>
      <c r="K42" s="28">
        <f>_xlfn.IFNA(VLOOKUP(F42,铅原始数据!$A:$E,5,0),)</f>
        <v>0</v>
      </c>
      <c r="L42" s="28">
        <f t="shared" si="0"/>
        <v>400</v>
      </c>
      <c r="M42" s="28">
        <f>_xlfn.IFNA(VLOOKUP(B42,铅原始数据!$A:$F,6,0),)</f>
        <v>28425</v>
      </c>
    </row>
    <row r="43" spans="1:13" x14ac:dyDescent="0.3">
      <c r="A43" s="27" t="s">
        <v>264</v>
      </c>
      <c r="B43" s="27" t="s">
        <v>265</v>
      </c>
      <c r="C43" s="27" t="s">
        <v>266</v>
      </c>
      <c r="D43" s="27" t="s">
        <v>267</v>
      </c>
      <c r="E43" s="27" t="s">
        <v>268</v>
      </c>
      <c r="F43" s="27" t="s">
        <v>269</v>
      </c>
      <c r="G43" s="28">
        <f>_xlfn.IFNA(VLOOKUP(B43,铅原始数据!$A:$E,5,0),)</f>
        <v>43750</v>
      </c>
      <c r="H43" s="28">
        <f>_xlfn.IFNA(VLOOKUP(C43,铅原始数据!$A:$E,5,0),)</f>
        <v>41875</v>
      </c>
      <c r="I43" s="28">
        <f>_xlfn.IFNA(VLOOKUP(D43,铅原始数据!$A:$E,5,0),)</f>
        <v>1875</v>
      </c>
      <c r="J43" s="28">
        <f>_xlfn.IFNA(VLOOKUP(E43,铅原始数据!$A:$E,5,0),)</f>
        <v>0</v>
      </c>
      <c r="K43" s="28">
        <f>_xlfn.IFNA(VLOOKUP(F43,铅原始数据!$A:$E,5,0),)</f>
        <v>0</v>
      </c>
      <c r="L43" s="28">
        <f t="shared" si="0"/>
        <v>0</v>
      </c>
      <c r="M43" s="28">
        <f>_xlfn.IFNA(VLOOKUP(B43,铅原始数据!$A:$F,6,0),)</f>
        <v>43750</v>
      </c>
    </row>
    <row r="44" spans="1:13" x14ac:dyDescent="0.3">
      <c r="A44" s="27" t="s">
        <v>49</v>
      </c>
      <c r="B44" s="27" t="s">
        <v>270</v>
      </c>
      <c r="C44" s="27" t="s">
        <v>271</v>
      </c>
      <c r="D44" s="27" t="s">
        <v>272</v>
      </c>
      <c r="E44" s="27" t="s">
        <v>273</v>
      </c>
      <c r="F44" s="27" t="s">
        <v>274</v>
      </c>
      <c r="G44" s="28">
        <f>_xlfn.IFNA(VLOOKUP(B44,铅原始数据!$A:$E,5,0),)</f>
        <v>43750</v>
      </c>
      <c r="H44" s="28">
        <f>_xlfn.IFNA(VLOOKUP(C44,铅原始数据!$A:$E,5,0),)</f>
        <v>41875</v>
      </c>
      <c r="I44" s="28">
        <f>_xlfn.IFNA(VLOOKUP(D44,铅原始数据!$A:$E,5,0),)</f>
        <v>1875</v>
      </c>
      <c r="J44" s="28">
        <f>_xlfn.IFNA(VLOOKUP(E44,铅原始数据!$A:$E,5,0),)</f>
        <v>0</v>
      </c>
      <c r="K44" s="28">
        <f>_xlfn.IFNA(VLOOKUP(F44,铅原始数据!$A:$E,5,0),)</f>
        <v>0</v>
      </c>
      <c r="L44" s="28">
        <f t="shared" si="0"/>
        <v>0</v>
      </c>
      <c r="M44" s="28">
        <f>_xlfn.IFNA(VLOOKUP(B44,铅原始数据!$A:$F,6,0),)</f>
        <v>43750</v>
      </c>
    </row>
    <row r="45" spans="1:13" x14ac:dyDescent="0.3">
      <c r="A45" s="27" t="s">
        <v>275</v>
      </c>
      <c r="B45" s="27" t="s">
        <v>276</v>
      </c>
      <c r="C45" s="27" t="s">
        <v>277</v>
      </c>
      <c r="D45" s="27" t="s">
        <v>278</v>
      </c>
      <c r="E45" s="27" t="s">
        <v>279</v>
      </c>
      <c r="F45" s="27" t="s">
        <v>280</v>
      </c>
      <c r="G45" s="28">
        <f>_xlfn.IFNA(VLOOKUP(B45,铅原始数据!$A:$E,5,0),)</f>
        <v>0</v>
      </c>
      <c r="H45" s="28">
        <f>_xlfn.IFNA(VLOOKUP(C45,铅原始数据!$A:$E,5,0),)</f>
        <v>0</v>
      </c>
      <c r="I45" s="28">
        <f>_xlfn.IFNA(VLOOKUP(D45,铅原始数据!$A:$E,5,0),)</f>
        <v>0</v>
      </c>
      <c r="J45" s="28">
        <f>_xlfn.IFNA(VLOOKUP(E45,铅原始数据!$A:$E,5,0),)</f>
        <v>0</v>
      </c>
      <c r="K45" s="28">
        <f>_xlfn.IFNA(VLOOKUP(F45,铅原始数据!$A:$E,5,0),)</f>
        <v>0</v>
      </c>
      <c r="L45" s="28">
        <f t="shared" si="0"/>
        <v>0</v>
      </c>
      <c r="M45" s="28">
        <f>_xlfn.IFNA(VLOOKUP(B45,铅原始数据!$A:$F,6,0),)</f>
        <v>0</v>
      </c>
    </row>
    <row r="46" spans="1:13" x14ac:dyDescent="0.3">
      <c r="A46" s="27" t="s">
        <v>281</v>
      </c>
      <c r="B46" s="27" t="s">
        <v>282</v>
      </c>
      <c r="C46" s="27" t="s">
        <v>283</v>
      </c>
      <c r="D46" s="27" t="s">
        <v>284</v>
      </c>
      <c r="E46" s="27" t="s">
        <v>285</v>
      </c>
      <c r="F46" s="27" t="s">
        <v>286</v>
      </c>
      <c r="G46" s="28">
        <f>_xlfn.IFNA(VLOOKUP(B46,铅原始数据!$A:$E,5,0),)</f>
        <v>0</v>
      </c>
      <c r="H46" s="28">
        <f>_xlfn.IFNA(VLOOKUP(C46,铅原始数据!$A:$E,5,0),)</f>
        <v>0</v>
      </c>
      <c r="I46" s="28">
        <f>_xlfn.IFNA(VLOOKUP(D46,铅原始数据!$A:$E,5,0),)</f>
        <v>0</v>
      </c>
      <c r="J46" s="28">
        <f>_xlfn.IFNA(VLOOKUP(E46,铅原始数据!$A:$E,5,0),)</f>
        <v>0</v>
      </c>
      <c r="K46" s="28">
        <f>_xlfn.IFNA(VLOOKUP(F46,铅原始数据!$A:$E,5,0),)</f>
        <v>0</v>
      </c>
      <c r="L46" s="28">
        <f t="shared" si="0"/>
        <v>0</v>
      </c>
      <c r="M46" s="28">
        <f>_xlfn.IFNA(VLOOKUP(B46,铅原始数据!$A:$F,6,0),)</f>
        <v>0</v>
      </c>
    </row>
    <row r="47" spans="1:13" x14ac:dyDescent="0.3">
      <c r="A47" s="27" t="s">
        <v>287</v>
      </c>
      <c r="B47" s="27" t="s">
        <v>288</v>
      </c>
      <c r="C47" s="27" t="s">
        <v>289</v>
      </c>
      <c r="D47" s="27" t="s">
        <v>290</v>
      </c>
      <c r="E47" s="27" t="s">
        <v>291</v>
      </c>
      <c r="F47" s="27" t="s">
        <v>292</v>
      </c>
      <c r="G47" s="28">
        <f>_xlfn.IFNA(VLOOKUP(B47,铅原始数据!$A:$E,5,0),)</f>
        <v>0</v>
      </c>
      <c r="H47" s="28">
        <f>_xlfn.IFNA(VLOOKUP(C47,铅原始数据!$A:$E,5,0),)</f>
        <v>0</v>
      </c>
      <c r="I47" s="28">
        <f>_xlfn.IFNA(VLOOKUP(D47,铅原始数据!$A:$E,5,0),)</f>
        <v>0</v>
      </c>
      <c r="J47" s="28">
        <f>_xlfn.IFNA(VLOOKUP(E47,铅原始数据!$A:$E,5,0),)</f>
        <v>0</v>
      </c>
      <c r="K47" s="28">
        <f>_xlfn.IFNA(VLOOKUP(F47,铅原始数据!$A:$E,5,0),)</f>
        <v>0</v>
      </c>
      <c r="L47" s="28">
        <f t="shared" si="0"/>
        <v>0</v>
      </c>
      <c r="M47" s="28">
        <f>_xlfn.IFNA(VLOOKUP(B47,铅原始数据!$A:$F,6,0),)</f>
        <v>0</v>
      </c>
    </row>
    <row r="48" spans="1:13" x14ac:dyDescent="0.3">
      <c r="G48" s="29"/>
      <c r="H48" s="29"/>
      <c r="I48" s="29"/>
      <c r="J48" s="29"/>
      <c r="K48" s="29"/>
      <c r="L48" s="29"/>
      <c r="M48" s="29"/>
    </row>
    <row r="49" spans="7:13" x14ac:dyDescent="0.3">
      <c r="G49" s="29"/>
      <c r="H49" s="29"/>
      <c r="I49" s="29"/>
      <c r="J49" s="29"/>
      <c r="K49" s="29"/>
      <c r="L49" s="29"/>
      <c r="M49" s="29"/>
    </row>
    <row r="50" spans="7:13" x14ac:dyDescent="0.3">
      <c r="G50" s="29"/>
      <c r="H50" s="29"/>
      <c r="I50" s="29"/>
      <c r="J50" s="29"/>
      <c r="K50" s="29"/>
      <c r="L50" s="29"/>
      <c r="M50" s="29"/>
    </row>
    <row r="51" spans="7:13" x14ac:dyDescent="0.3">
      <c r="G51" s="29"/>
      <c r="H51" s="29"/>
      <c r="I51" s="29"/>
      <c r="J51" s="29"/>
      <c r="K51" s="29"/>
      <c r="L51" s="29"/>
      <c r="M51" s="29"/>
    </row>
  </sheetData>
  <phoneticPr fontId="1" type="noConversion"/>
  <conditionalFormatting sqref="A50:A51">
    <cfRule type="duplicateValues" dxfId="3" priority="4"/>
  </conditionalFormatting>
  <conditionalFormatting sqref="B1:F1">
    <cfRule type="duplicateValues" dxfId="2" priority="3"/>
  </conditionalFormatting>
  <conditionalFormatting sqref="G1:J1">
    <cfRule type="duplicateValues" dxfId="1" priority="2"/>
  </conditionalFormatting>
  <conditionalFormatting sqref="K1:M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2626C"/>
  </sheetPr>
  <dimension ref="A1:L227"/>
  <sheetViews>
    <sheetView workbookViewId="0">
      <selection activeCell="A3" sqref="A3"/>
    </sheetView>
  </sheetViews>
  <sheetFormatPr defaultRowHeight="14.25" x14ac:dyDescent="0.2"/>
  <cols>
    <col min="1" max="1" width="32.75" bestFit="1" customWidth="1"/>
    <col min="2" max="3" width="5.25" bestFit="1" customWidth="1"/>
    <col min="4" max="4" width="9.875" bestFit="1" customWidth="1"/>
    <col min="5" max="11" width="11.625" bestFit="1" customWidth="1"/>
  </cols>
  <sheetData>
    <row r="1" spans="1:12" x14ac:dyDescent="0.2">
      <c r="A1" s="23" t="str">
        <f>[1]!edb()</f>
        <v>Wind</v>
      </c>
    </row>
    <row r="2" spans="1:12" x14ac:dyDescent="0.2">
      <c r="A2" s="4" t="s">
        <v>311</v>
      </c>
      <c r="B2" s="4" t="s">
        <v>314</v>
      </c>
      <c r="C2" s="4" t="s">
        <v>315</v>
      </c>
      <c r="D2" s="4" t="s">
        <v>316</v>
      </c>
      <c r="E2" s="6">
        <v>45209</v>
      </c>
      <c r="F2" s="6">
        <v>45208</v>
      </c>
      <c r="G2" s="6"/>
      <c r="H2" s="6"/>
      <c r="I2" s="6"/>
      <c r="J2" s="6"/>
      <c r="K2" s="6"/>
      <c r="L2" s="6"/>
    </row>
    <row r="3" spans="1:12" x14ac:dyDescent="0.2">
      <c r="A3" s="4" t="s">
        <v>317</v>
      </c>
      <c r="B3" s="4" t="s">
        <v>318</v>
      </c>
      <c r="C3" s="4" t="s">
        <v>319</v>
      </c>
      <c r="D3" s="4" t="s">
        <v>320</v>
      </c>
      <c r="E3" s="5">
        <v>85300</v>
      </c>
      <c r="F3" s="5">
        <v>84900</v>
      </c>
      <c r="G3" s="5"/>
      <c r="H3" s="5"/>
      <c r="I3" s="5"/>
      <c r="J3" s="5"/>
      <c r="K3" s="5"/>
      <c r="L3" s="5"/>
    </row>
    <row r="4" spans="1:12" x14ac:dyDescent="0.2">
      <c r="A4" s="4" t="s">
        <v>321</v>
      </c>
      <c r="B4" s="4" t="s">
        <v>318</v>
      </c>
      <c r="C4" s="4" t="s">
        <v>319</v>
      </c>
      <c r="D4" s="4" t="s">
        <v>322</v>
      </c>
      <c r="E4" s="5">
        <v>1650</v>
      </c>
      <c r="F4" s="5">
        <v>1650</v>
      </c>
      <c r="G4" s="5"/>
      <c r="H4" s="5"/>
      <c r="I4" s="5"/>
      <c r="J4" s="5"/>
      <c r="K4" s="5"/>
      <c r="L4" s="5"/>
    </row>
    <row r="5" spans="1:12" x14ac:dyDescent="0.2">
      <c r="A5" s="4" t="s">
        <v>323</v>
      </c>
      <c r="B5" s="4" t="s">
        <v>324</v>
      </c>
      <c r="C5" s="4" t="s">
        <v>312</v>
      </c>
      <c r="D5" s="4" t="s">
        <v>325</v>
      </c>
      <c r="E5" s="5">
        <v>83650</v>
      </c>
      <c r="F5" s="5">
        <v>83250</v>
      </c>
      <c r="G5" s="5"/>
      <c r="H5" s="5"/>
      <c r="I5" s="5"/>
      <c r="J5" s="5"/>
      <c r="K5" s="5"/>
      <c r="L5" s="5"/>
    </row>
    <row r="6" spans="1:12" x14ac:dyDescent="0.2">
      <c r="A6" s="4" t="s">
        <v>326</v>
      </c>
      <c r="B6" s="4" t="s">
        <v>318</v>
      </c>
      <c r="C6" s="4" t="s">
        <v>319</v>
      </c>
      <c r="D6" s="4" t="s">
        <v>327</v>
      </c>
      <c r="E6" s="5">
        <v>0</v>
      </c>
      <c r="F6" s="5">
        <v>0</v>
      </c>
      <c r="G6" s="5"/>
      <c r="H6" s="5"/>
      <c r="I6" s="5"/>
      <c r="J6" s="5"/>
      <c r="K6" s="5"/>
      <c r="L6" s="5"/>
    </row>
    <row r="7" spans="1:12" x14ac:dyDescent="0.2">
      <c r="A7" s="4" t="s">
        <v>328</v>
      </c>
      <c r="B7" s="4" t="s">
        <v>324</v>
      </c>
      <c r="C7" s="4" t="s">
        <v>329</v>
      </c>
      <c r="D7" s="4" t="s">
        <v>330</v>
      </c>
      <c r="E7" s="5">
        <v>0</v>
      </c>
      <c r="F7" s="5">
        <v>0</v>
      </c>
      <c r="G7" s="5"/>
      <c r="H7" s="5"/>
      <c r="I7" s="5"/>
      <c r="J7" s="5"/>
      <c r="K7" s="5"/>
      <c r="L7" s="5"/>
    </row>
    <row r="8" spans="1:12" x14ac:dyDescent="0.2">
      <c r="A8" s="4" t="s">
        <v>331</v>
      </c>
      <c r="B8" s="4" t="s">
        <v>324</v>
      </c>
      <c r="C8" s="4" t="s">
        <v>319</v>
      </c>
      <c r="D8" s="4" t="s">
        <v>332</v>
      </c>
      <c r="E8" s="5">
        <v>0</v>
      </c>
      <c r="F8" s="5">
        <v>0</v>
      </c>
      <c r="G8" s="5"/>
      <c r="H8" s="5"/>
      <c r="I8" s="5"/>
      <c r="J8" s="5"/>
      <c r="K8" s="5"/>
      <c r="L8" s="5"/>
    </row>
    <row r="9" spans="1:12" x14ac:dyDescent="0.2">
      <c r="A9" s="4" t="s">
        <v>333</v>
      </c>
      <c r="B9" s="4" t="s">
        <v>324</v>
      </c>
      <c r="C9" s="4" t="s">
        <v>319</v>
      </c>
      <c r="D9" s="4" t="s">
        <v>334</v>
      </c>
      <c r="E9" s="5">
        <v>0</v>
      </c>
      <c r="F9" s="5">
        <v>0</v>
      </c>
      <c r="G9" s="5"/>
      <c r="H9" s="5"/>
      <c r="I9" s="5"/>
      <c r="J9" s="5"/>
      <c r="K9" s="5"/>
      <c r="L9" s="5"/>
    </row>
    <row r="10" spans="1:12" x14ac:dyDescent="0.2">
      <c r="A10" s="4" t="s">
        <v>313</v>
      </c>
      <c r="B10" s="4" t="s">
        <v>324</v>
      </c>
      <c r="C10" s="4" t="s">
        <v>319</v>
      </c>
      <c r="D10" s="4" t="s">
        <v>335</v>
      </c>
      <c r="E10" s="5">
        <v>0</v>
      </c>
      <c r="F10" s="5">
        <v>0</v>
      </c>
      <c r="G10" s="5"/>
      <c r="H10" s="5"/>
      <c r="I10" s="5"/>
      <c r="J10" s="5"/>
      <c r="K10" s="5"/>
      <c r="L10" s="5"/>
    </row>
    <row r="11" spans="1:12" x14ac:dyDescent="0.2">
      <c r="A11" s="4" t="s">
        <v>336</v>
      </c>
      <c r="B11" s="4" t="s">
        <v>324</v>
      </c>
      <c r="C11" s="4" t="s">
        <v>319</v>
      </c>
      <c r="D11" s="4" t="s">
        <v>337</v>
      </c>
      <c r="E11" s="5">
        <v>0</v>
      </c>
      <c r="F11" s="5">
        <v>0</v>
      </c>
      <c r="G11" s="5"/>
      <c r="H11" s="5"/>
      <c r="I11" s="5"/>
      <c r="J11" s="5"/>
      <c r="K11" s="5"/>
      <c r="L11" s="5"/>
    </row>
    <row r="12" spans="1:12" x14ac:dyDescent="0.2">
      <c r="A12" s="4" t="s">
        <v>338</v>
      </c>
      <c r="B12" s="4" t="s">
        <v>318</v>
      </c>
      <c r="C12" s="4" t="s">
        <v>319</v>
      </c>
      <c r="D12" s="4" t="s">
        <v>339</v>
      </c>
      <c r="E12" s="5">
        <v>900</v>
      </c>
      <c r="F12" s="5">
        <v>900</v>
      </c>
      <c r="G12" s="5"/>
      <c r="H12" s="5"/>
      <c r="I12" s="5"/>
      <c r="J12" s="5"/>
      <c r="K12" s="5"/>
      <c r="L12" s="5"/>
    </row>
    <row r="13" spans="1:12" x14ac:dyDescent="0.2">
      <c r="A13" s="4" t="s">
        <v>340</v>
      </c>
      <c r="B13" s="4" t="s">
        <v>324</v>
      </c>
      <c r="C13" s="4" t="s">
        <v>319</v>
      </c>
      <c r="D13" s="4" t="s">
        <v>341</v>
      </c>
      <c r="E13" s="5">
        <v>0</v>
      </c>
      <c r="F13" s="5">
        <v>0</v>
      </c>
      <c r="G13" s="5"/>
      <c r="H13" s="5"/>
      <c r="I13" s="5"/>
      <c r="J13" s="5"/>
      <c r="K13" s="5"/>
      <c r="L13" s="5"/>
    </row>
    <row r="14" spans="1:12" x14ac:dyDescent="0.2">
      <c r="A14" s="4" t="s">
        <v>342</v>
      </c>
      <c r="B14" s="4" t="s">
        <v>318</v>
      </c>
      <c r="C14" s="4" t="s">
        <v>319</v>
      </c>
      <c r="D14" s="4" t="s">
        <v>343</v>
      </c>
      <c r="E14" s="5">
        <v>28825</v>
      </c>
      <c r="F14" s="5">
        <v>28425</v>
      </c>
      <c r="G14" s="5"/>
      <c r="H14" s="5"/>
      <c r="I14" s="5"/>
      <c r="J14" s="5"/>
      <c r="K14" s="5"/>
      <c r="L14" s="5"/>
    </row>
    <row r="15" spans="1:12" x14ac:dyDescent="0.2">
      <c r="A15" s="4" t="s">
        <v>344</v>
      </c>
      <c r="B15" s="4" t="s">
        <v>324</v>
      </c>
      <c r="C15" s="4" t="s">
        <v>319</v>
      </c>
      <c r="D15" s="4" t="s">
        <v>345</v>
      </c>
      <c r="E15" s="5">
        <v>750</v>
      </c>
      <c r="F15" s="5">
        <v>750</v>
      </c>
      <c r="G15" s="5"/>
      <c r="H15" s="5"/>
      <c r="I15" s="5"/>
      <c r="J15" s="5"/>
      <c r="K15" s="5"/>
      <c r="L15" s="5"/>
    </row>
    <row r="16" spans="1:12" x14ac:dyDescent="0.2">
      <c r="A16" s="4" t="s">
        <v>346</v>
      </c>
      <c r="B16" s="4" t="s">
        <v>318</v>
      </c>
      <c r="C16" s="4" t="s">
        <v>319</v>
      </c>
      <c r="D16" s="4" t="s">
        <v>347</v>
      </c>
      <c r="E16" s="5">
        <v>25</v>
      </c>
      <c r="F16" s="5">
        <v>25</v>
      </c>
      <c r="G16" s="5"/>
      <c r="H16" s="5"/>
      <c r="I16" s="5"/>
      <c r="J16" s="5"/>
      <c r="K16" s="5"/>
      <c r="L16" s="5"/>
    </row>
    <row r="17" spans="1:12" x14ac:dyDescent="0.2">
      <c r="A17" s="4" t="s">
        <v>348</v>
      </c>
      <c r="B17" s="4" t="s">
        <v>324</v>
      </c>
      <c r="C17" s="4" t="s">
        <v>319</v>
      </c>
      <c r="D17" s="4" t="s">
        <v>349</v>
      </c>
      <c r="E17" s="5">
        <v>0</v>
      </c>
      <c r="F17" s="5">
        <v>0</v>
      </c>
      <c r="G17" s="5"/>
      <c r="H17" s="5"/>
      <c r="I17" s="5"/>
      <c r="J17" s="5"/>
      <c r="K17" s="5"/>
      <c r="L17" s="5"/>
    </row>
    <row r="18" spans="1:12" x14ac:dyDescent="0.2">
      <c r="A18" s="4" t="s">
        <v>350</v>
      </c>
      <c r="B18" s="4" t="s">
        <v>324</v>
      </c>
      <c r="C18" s="4" t="s">
        <v>351</v>
      </c>
      <c r="D18" s="4" t="s">
        <v>352</v>
      </c>
      <c r="E18" s="5">
        <v>43750</v>
      </c>
      <c r="F18" s="5">
        <v>43750</v>
      </c>
      <c r="G18" s="5"/>
      <c r="H18" s="5"/>
      <c r="I18" s="5"/>
      <c r="J18" s="5"/>
      <c r="K18" s="5"/>
      <c r="L18" s="5"/>
    </row>
    <row r="19" spans="1:12" x14ac:dyDescent="0.2">
      <c r="A19" s="4" t="s">
        <v>353</v>
      </c>
      <c r="B19" s="4" t="s">
        <v>324</v>
      </c>
      <c r="C19" s="4" t="s">
        <v>319</v>
      </c>
      <c r="D19" s="4" t="s">
        <v>354</v>
      </c>
      <c r="E19" s="5">
        <v>900</v>
      </c>
      <c r="F19" s="5">
        <v>900</v>
      </c>
      <c r="G19" s="5"/>
      <c r="H19" s="5"/>
      <c r="I19" s="5"/>
      <c r="J19" s="5"/>
      <c r="K19" s="5"/>
      <c r="L19" s="5"/>
    </row>
    <row r="20" spans="1:12" x14ac:dyDescent="0.2">
      <c r="A20" s="4" t="s">
        <v>355</v>
      </c>
      <c r="B20" s="4" t="s">
        <v>324</v>
      </c>
      <c r="C20" s="4" t="s">
        <v>319</v>
      </c>
      <c r="D20" s="4" t="s">
        <v>356</v>
      </c>
      <c r="E20" s="5">
        <v>0</v>
      </c>
      <c r="F20" s="5">
        <v>0</v>
      </c>
      <c r="G20" s="5"/>
      <c r="H20" s="5"/>
      <c r="I20" s="5"/>
      <c r="J20" s="5"/>
      <c r="K20" s="5"/>
      <c r="L20" s="5"/>
    </row>
    <row r="21" spans="1:12" x14ac:dyDescent="0.2">
      <c r="A21" s="4" t="s">
        <v>357</v>
      </c>
      <c r="B21" s="4" t="s">
        <v>318</v>
      </c>
      <c r="C21" s="4" t="s">
        <v>319</v>
      </c>
      <c r="D21" s="4" t="s">
        <v>358</v>
      </c>
      <c r="E21" s="5">
        <v>0</v>
      </c>
      <c r="F21" s="5">
        <v>0</v>
      </c>
      <c r="G21" s="5"/>
      <c r="H21" s="5"/>
      <c r="I21" s="5"/>
      <c r="J21" s="5"/>
      <c r="K21" s="5"/>
      <c r="L21" s="5"/>
    </row>
    <row r="22" spans="1:12" x14ac:dyDescent="0.2">
      <c r="A22" s="4" t="s">
        <v>359</v>
      </c>
      <c r="B22" s="4" t="s">
        <v>324</v>
      </c>
      <c r="C22" s="4" t="s">
        <v>351</v>
      </c>
      <c r="D22" s="4" t="s">
        <v>360</v>
      </c>
      <c r="E22" s="5">
        <v>0</v>
      </c>
      <c r="F22" s="5">
        <v>0</v>
      </c>
      <c r="G22" s="5"/>
      <c r="H22" s="5"/>
      <c r="I22" s="5"/>
      <c r="J22" s="5"/>
      <c r="K22" s="5"/>
      <c r="L22" s="5"/>
    </row>
    <row r="23" spans="1:12" x14ac:dyDescent="0.2">
      <c r="A23" s="4" t="s">
        <v>361</v>
      </c>
      <c r="B23" s="4" t="s">
        <v>318</v>
      </c>
      <c r="C23" s="4" t="s">
        <v>319</v>
      </c>
      <c r="D23" s="4" t="s">
        <v>362</v>
      </c>
      <c r="E23" s="5">
        <v>0</v>
      </c>
      <c r="F23" s="5">
        <v>0</v>
      </c>
      <c r="G23" s="5"/>
      <c r="H23" s="5"/>
      <c r="I23" s="5"/>
      <c r="J23" s="5"/>
      <c r="K23" s="5"/>
      <c r="L23" s="5"/>
    </row>
    <row r="24" spans="1:12" x14ac:dyDescent="0.2">
      <c r="A24" s="4" t="s">
        <v>363</v>
      </c>
      <c r="B24" s="4" t="s">
        <v>324</v>
      </c>
      <c r="C24" s="4" t="s">
        <v>319</v>
      </c>
      <c r="D24" s="4" t="s">
        <v>364</v>
      </c>
      <c r="E24" s="5">
        <v>0</v>
      </c>
      <c r="F24" s="5">
        <v>0</v>
      </c>
      <c r="G24" s="5"/>
      <c r="H24" s="5"/>
      <c r="I24" s="5"/>
      <c r="J24" s="5"/>
      <c r="K24" s="5"/>
      <c r="L24" s="5"/>
    </row>
    <row r="25" spans="1:12" x14ac:dyDescent="0.2">
      <c r="A25" s="4" t="s">
        <v>365</v>
      </c>
      <c r="B25" s="4" t="s">
        <v>324</v>
      </c>
      <c r="C25" s="4" t="s">
        <v>319</v>
      </c>
      <c r="D25" s="4" t="s">
        <v>366</v>
      </c>
      <c r="E25" s="5">
        <v>0</v>
      </c>
      <c r="F25" s="5">
        <v>0</v>
      </c>
      <c r="G25" s="5"/>
      <c r="H25" s="5"/>
      <c r="I25" s="5"/>
      <c r="J25" s="5"/>
      <c r="K25" s="5"/>
      <c r="L25" s="5"/>
    </row>
    <row r="26" spans="1:12" x14ac:dyDescent="0.2">
      <c r="A26" s="4" t="s">
        <v>367</v>
      </c>
      <c r="B26" s="4" t="s">
        <v>324</v>
      </c>
      <c r="C26" s="4" t="s">
        <v>319</v>
      </c>
      <c r="D26" s="4" t="s">
        <v>368</v>
      </c>
      <c r="E26" s="5">
        <v>0</v>
      </c>
      <c r="F26" s="5">
        <v>0</v>
      </c>
      <c r="G26" s="5"/>
      <c r="H26" s="5"/>
      <c r="I26" s="5"/>
      <c r="J26" s="5"/>
      <c r="K26" s="5"/>
      <c r="L26" s="5"/>
    </row>
    <row r="27" spans="1:12" x14ac:dyDescent="0.2">
      <c r="A27" s="4" t="s">
        <v>369</v>
      </c>
      <c r="B27" s="4" t="s">
        <v>324</v>
      </c>
      <c r="C27" s="4" t="s">
        <v>319</v>
      </c>
      <c r="D27" s="4" t="s">
        <v>370</v>
      </c>
      <c r="E27" s="5">
        <v>0</v>
      </c>
      <c r="F27" s="5">
        <v>0</v>
      </c>
      <c r="G27" s="5"/>
      <c r="H27" s="5"/>
      <c r="I27" s="5"/>
      <c r="J27" s="5"/>
      <c r="K27" s="5"/>
      <c r="L27" s="5"/>
    </row>
    <row r="28" spans="1:12" x14ac:dyDescent="0.2">
      <c r="A28" s="4" t="s">
        <v>371</v>
      </c>
      <c r="B28" s="4" t="s">
        <v>324</v>
      </c>
      <c r="C28" s="4" t="s">
        <v>319</v>
      </c>
      <c r="D28" s="4" t="s">
        <v>372</v>
      </c>
      <c r="E28" s="5">
        <v>0</v>
      </c>
      <c r="F28" s="5">
        <v>0</v>
      </c>
      <c r="G28" s="5"/>
      <c r="H28" s="5"/>
      <c r="I28" s="5"/>
      <c r="J28" s="5"/>
      <c r="K28" s="5"/>
      <c r="L28" s="5"/>
    </row>
    <row r="29" spans="1:12" x14ac:dyDescent="0.2">
      <c r="A29" s="4" t="s">
        <v>373</v>
      </c>
      <c r="B29" s="4" t="s">
        <v>324</v>
      </c>
      <c r="C29" s="4" t="s">
        <v>319</v>
      </c>
      <c r="D29" s="4" t="s">
        <v>374</v>
      </c>
      <c r="E29" s="5">
        <v>0</v>
      </c>
      <c r="F29" s="5">
        <v>0</v>
      </c>
      <c r="G29" s="5"/>
      <c r="H29" s="5"/>
      <c r="I29" s="5"/>
      <c r="J29" s="5"/>
      <c r="K29" s="5"/>
      <c r="L29" s="5"/>
    </row>
    <row r="30" spans="1:12" x14ac:dyDescent="0.2">
      <c r="A30" s="4" t="s">
        <v>375</v>
      </c>
      <c r="B30" s="4" t="s">
        <v>324</v>
      </c>
      <c r="C30" s="4" t="s">
        <v>319</v>
      </c>
      <c r="D30" s="4" t="s">
        <v>376</v>
      </c>
      <c r="E30" s="5">
        <v>0</v>
      </c>
      <c r="F30" s="5">
        <v>0</v>
      </c>
      <c r="G30" s="5"/>
      <c r="H30" s="5"/>
      <c r="I30" s="5"/>
      <c r="J30" s="5"/>
      <c r="K30" s="5"/>
      <c r="L30" s="5"/>
    </row>
    <row r="31" spans="1:12" x14ac:dyDescent="0.2">
      <c r="A31" s="4" t="s">
        <v>377</v>
      </c>
      <c r="B31" s="4" t="s">
        <v>324</v>
      </c>
      <c r="C31" s="4" t="s">
        <v>319</v>
      </c>
      <c r="D31" s="4" t="s">
        <v>378</v>
      </c>
      <c r="E31" s="5">
        <v>0</v>
      </c>
      <c r="F31" s="5">
        <v>0</v>
      </c>
      <c r="G31" s="5"/>
      <c r="H31" s="5"/>
      <c r="I31" s="5"/>
      <c r="J31" s="5"/>
      <c r="K31" s="5"/>
      <c r="L31" s="5"/>
    </row>
    <row r="32" spans="1:12" x14ac:dyDescent="0.2">
      <c r="A32" s="4" t="s">
        <v>379</v>
      </c>
      <c r="B32" s="4" t="s">
        <v>380</v>
      </c>
      <c r="C32" s="4" t="s">
        <v>319</v>
      </c>
      <c r="D32" s="4" t="s">
        <v>381</v>
      </c>
      <c r="E32" s="5">
        <v>0</v>
      </c>
      <c r="F32" s="5">
        <v>0</v>
      </c>
      <c r="G32" s="5"/>
      <c r="H32" s="5"/>
      <c r="I32" s="5"/>
      <c r="J32" s="5"/>
      <c r="K32" s="5"/>
      <c r="L32" s="5"/>
    </row>
    <row r="33" spans="1:12" x14ac:dyDescent="0.2">
      <c r="A33" s="4" t="s">
        <v>382</v>
      </c>
      <c r="B33" s="4" t="s">
        <v>324</v>
      </c>
      <c r="C33" s="4" t="s">
        <v>319</v>
      </c>
      <c r="D33" s="4" t="s">
        <v>383</v>
      </c>
      <c r="E33" s="5">
        <v>300</v>
      </c>
      <c r="F33" s="5">
        <v>300</v>
      </c>
      <c r="G33" s="5"/>
      <c r="H33" s="5"/>
      <c r="I33" s="5"/>
      <c r="J33" s="5"/>
      <c r="K33" s="5"/>
      <c r="L33" s="5"/>
    </row>
    <row r="34" spans="1:12" x14ac:dyDescent="0.2">
      <c r="A34" s="4" t="s">
        <v>384</v>
      </c>
      <c r="B34" s="4" t="s">
        <v>324</v>
      </c>
      <c r="C34" s="4" t="s">
        <v>319</v>
      </c>
      <c r="D34" s="4" t="s">
        <v>385</v>
      </c>
      <c r="E34" s="5">
        <v>0</v>
      </c>
      <c r="F34" s="5">
        <v>0</v>
      </c>
      <c r="G34" s="5"/>
      <c r="H34" s="5"/>
      <c r="I34" s="5"/>
      <c r="J34" s="5"/>
      <c r="K34" s="5"/>
      <c r="L34" s="5"/>
    </row>
    <row r="35" spans="1:12" x14ac:dyDescent="0.2">
      <c r="A35" s="4" t="s">
        <v>386</v>
      </c>
      <c r="B35" s="4" t="s">
        <v>324</v>
      </c>
      <c r="C35" s="4" t="s">
        <v>319</v>
      </c>
      <c r="D35" s="4" t="s">
        <v>387</v>
      </c>
      <c r="E35" s="5">
        <v>0</v>
      </c>
      <c r="F35" s="5">
        <v>0</v>
      </c>
      <c r="G35" s="5"/>
      <c r="H35" s="5"/>
      <c r="I35" s="5"/>
      <c r="J35" s="5"/>
      <c r="K35" s="5"/>
      <c r="L35" s="5"/>
    </row>
    <row r="36" spans="1:12" x14ac:dyDescent="0.2">
      <c r="A36" s="4" t="s">
        <v>388</v>
      </c>
      <c r="B36" s="4" t="s">
        <v>324</v>
      </c>
      <c r="C36" s="4" t="s">
        <v>319</v>
      </c>
      <c r="D36" s="4" t="s">
        <v>389</v>
      </c>
      <c r="E36" s="5">
        <v>0</v>
      </c>
      <c r="F36" s="5">
        <v>0</v>
      </c>
      <c r="G36" s="5"/>
      <c r="H36" s="5"/>
      <c r="I36" s="5"/>
      <c r="J36" s="5"/>
      <c r="K36" s="5"/>
      <c r="L36" s="5"/>
    </row>
    <row r="37" spans="1:12" x14ac:dyDescent="0.2">
      <c r="A37" s="4" t="s">
        <v>390</v>
      </c>
      <c r="B37" s="4" t="s">
        <v>324</v>
      </c>
      <c r="C37" s="4" t="s">
        <v>319</v>
      </c>
      <c r="D37" s="4" t="s">
        <v>391</v>
      </c>
      <c r="E37" s="5">
        <v>0</v>
      </c>
      <c r="F37" s="5">
        <v>0</v>
      </c>
      <c r="G37" s="5"/>
      <c r="H37" s="5"/>
      <c r="I37" s="5"/>
      <c r="J37" s="5"/>
      <c r="K37" s="5"/>
      <c r="L37" s="5"/>
    </row>
    <row r="38" spans="1:12" x14ac:dyDescent="0.2">
      <c r="A38" s="4" t="s">
        <v>392</v>
      </c>
      <c r="B38" s="4" t="s">
        <v>324</v>
      </c>
      <c r="C38" s="4" t="s">
        <v>319</v>
      </c>
      <c r="D38" s="4" t="s">
        <v>393</v>
      </c>
      <c r="E38" s="5">
        <v>0</v>
      </c>
      <c r="F38" s="5">
        <v>0</v>
      </c>
      <c r="G38" s="5"/>
      <c r="H38" s="5"/>
      <c r="I38" s="5"/>
      <c r="J38" s="5"/>
      <c r="K38" s="5"/>
      <c r="L38" s="5"/>
    </row>
    <row r="39" spans="1:12" x14ac:dyDescent="0.2">
      <c r="A39" s="4" t="s">
        <v>394</v>
      </c>
      <c r="B39" s="4" t="s">
        <v>324</v>
      </c>
      <c r="C39" s="4" t="s">
        <v>319</v>
      </c>
      <c r="D39" s="4" t="s">
        <v>395</v>
      </c>
      <c r="E39" s="5">
        <v>25</v>
      </c>
      <c r="F39" s="5">
        <v>25</v>
      </c>
      <c r="G39" s="5"/>
      <c r="H39" s="5"/>
      <c r="I39" s="5"/>
      <c r="J39" s="5"/>
      <c r="K39" s="5"/>
      <c r="L39" s="5"/>
    </row>
    <row r="40" spans="1:12" x14ac:dyDescent="0.2">
      <c r="A40" s="4" t="s">
        <v>396</v>
      </c>
      <c r="B40" s="4" t="s">
        <v>324</v>
      </c>
      <c r="C40" s="4" t="s">
        <v>319</v>
      </c>
      <c r="D40" s="4" t="s">
        <v>397</v>
      </c>
      <c r="E40" s="5">
        <v>0</v>
      </c>
      <c r="F40" s="5">
        <v>0</v>
      </c>
      <c r="G40" s="5"/>
      <c r="H40" s="5"/>
      <c r="I40" s="5"/>
      <c r="J40" s="5"/>
      <c r="K40" s="5"/>
      <c r="L40" s="5"/>
    </row>
    <row r="41" spans="1:12" x14ac:dyDescent="0.2">
      <c r="A41" s="4" t="s">
        <v>398</v>
      </c>
      <c r="B41" s="4" t="s">
        <v>324</v>
      </c>
      <c r="C41" s="4" t="s">
        <v>319</v>
      </c>
      <c r="D41" s="4" t="s">
        <v>399</v>
      </c>
      <c r="E41" s="5">
        <v>28825</v>
      </c>
      <c r="F41" s="5">
        <v>28425</v>
      </c>
      <c r="G41" s="5"/>
      <c r="H41" s="5"/>
      <c r="I41" s="5"/>
      <c r="J41" s="5"/>
      <c r="K41" s="5"/>
      <c r="L41" s="5"/>
    </row>
    <row r="42" spans="1:12" x14ac:dyDescent="0.2">
      <c r="A42" s="4" t="s">
        <v>400</v>
      </c>
      <c r="B42" s="4" t="s">
        <v>324</v>
      </c>
      <c r="C42" s="4" t="s">
        <v>319</v>
      </c>
      <c r="D42" s="4" t="s">
        <v>401</v>
      </c>
      <c r="E42" s="5">
        <v>0</v>
      </c>
      <c r="F42" s="5">
        <v>0</v>
      </c>
      <c r="G42" s="5"/>
      <c r="H42" s="5"/>
      <c r="I42" s="5"/>
      <c r="J42" s="5"/>
      <c r="K42" s="5"/>
      <c r="L42" s="5"/>
    </row>
    <row r="43" spans="1:12" x14ac:dyDescent="0.2">
      <c r="A43" s="4" t="s">
        <v>402</v>
      </c>
      <c r="B43" s="4" t="s">
        <v>324</v>
      </c>
      <c r="C43" s="4" t="s">
        <v>319</v>
      </c>
      <c r="D43" s="4" t="s">
        <v>403</v>
      </c>
      <c r="E43" s="5">
        <v>0</v>
      </c>
      <c r="F43" s="5">
        <v>0</v>
      </c>
      <c r="G43" s="5"/>
      <c r="H43" s="5"/>
      <c r="I43" s="5"/>
      <c r="J43" s="5"/>
      <c r="K43" s="5"/>
      <c r="L43" s="5"/>
    </row>
    <row r="44" spans="1:12" x14ac:dyDescent="0.2">
      <c r="A44" s="4" t="s">
        <v>404</v>
      </c>
      <c r="B44" s="4" t="s">
        <v>324</v>
      </c>
      <c r="C44" s="4" t="s">
        <v>319</v>
      </c>
      <c r="D44" s="4" t="s">
        <v>405</v>
      </c>
      <c r="E44" s="5">
        <v>450</v>
      </c>
      <c r="F44" s="5">
        <v>450</v>
      </c>
      <c r="G44" s="5"/>
      <c r="H44" s="5"/>
      <c r="I44" s="5"/>
      <c r="J44" s="5"/>
      <c r="K44" s="5"/>
      <c r="L44" s="5"/>
    </row>
    <row r="45" spans="1:12" x14ac:dyDescent="0.2">
      <c r="A45" s="4" t="s">
        <v>406</v>
      </c>
      <c r="B45" s="4" t="s">
        <v>324</v>
      </c>
      <c r="C45" s="4" t="s">
        <v>319</v>
      </c>
      <c r="D45" s="4" t="s">
        <v>407</v>
      </c>
      <c r="E45" s="5">
        <v>0</v>
      </c>
      <c r="F45" s="5">
        <v>0</v>
      </c>
      <c r="G45" s="5"/>
      <c r="H45" s="5"/>
      <c r="I45" s="5"/>
      <c r="J45" s="5"/>
      <c r="K45" s="5"/>
      <c r="L45" s="5"/>
    </row>
    <row r="46" spans="1:12" x14ac:dyDescent="0.2">
      <c r="A46" s="4" t="s">
        <v>408</v>
      </c>
      <c r="B46" s="4" t="s">
        <v>324</v>
      </c>
      <c r="C46" s="4" t="s">
        <v>319</v>
      </c>
      <c r="D46" s="4" t="s">
        <v>409</v>
      </c>
      <c r="E46" s="5">
        <v>0</v>
      </c>
      <c r="F46" s="5">
        <v>0</v>
      </c>
      <c r="G46" s="5"/>
      <c r="H46" s="5"/>
      <c r="I46" s="5"/>
      <c r="J46" s="5"/>
      <c r="K46" s="5"/>
      <c r="L46" s="5"/>
    </row>
    <row r="47" spans="1:12" x14ac:dyDescent="0.2">
      <c r="A47" s="4" t="s">
        <v>410</v>
      </c>
      <c r="B47" s="4" t="s">
        <v>324</v>
      </c>
      <c r="C47" s="4" t="s">
        <v>319</v>
      </c>
      <c r="D47" s="4" t="s">
        <v>411</v>
      </c>
      <c r="E47" s="5">
        <v>43750</v>
      </c>
      <c r="F47" s="5">
        <v>43750</v>
      </c>
      <c r="G47" s="5"/>
      <c r="H47" s="5"/>
      <c r="I47" s="5"/>
      <c r="J47" s="5"/>
      <c r="K47" s="5"/>
      <c r="L47" s="5"/>
    </row>
    <row r="48" spans="1:12" x14ac:dyDescent="0.2">
      <c r="A48" s="4" t="s">
        <v>412</v>
      </c>
      <c r="B48" s="4" t="s">
        <v>324</v>
      </c>
      <c r="C48" s="4" t="s">
        <v>319</v>
      </c>
      <c r="D48" s="4" t="s">
        <v>413</v>
      </c>
      <c r="E48" s="5">
        <v>81950</v>
      </c>
      <c r="F48" s="5">
        <v>81550</v>
      </c>
      <c r="G48" s="5"/>
      <c r="H48" s="5"/>
      <c r="I48" s="5"/>
      <c r="J48" s="5"/>
      <c r="K48" s="5"/>
      <c r="L48" s="5"/>
    </row>
    <row r="49" spans="1:12" x14ac:dyDescent="0.2">
      <c r="A49" s="4" t="s">
        <v>414</v>
      </c>
      <c r="B49" s="4" t="s">
        <v>324</v>
      </c>
      <c r="C49" s="4" t="s">
        <v>319</v>
      </c>
      <c r="D49" s="4" t="s">
        <v>415</v>
      </c>
      <c r="E49" s="5">
        <v>600</v>
      </c>
      <c r="F49" s="5">
        <v>600</v>
      </c>
      <c r="G49" s="5"/>
      <c r="H49" s="5"/>
      <c r="I49" s="5"/>
      <c r="J49" s="5"/>
      <c r="K49" s="5"/>
      <c r="L49" s="5"/>
    </row>
    <row r="50" spans="1:12" x14ac:dyDescent="0.2">
      <c r="A50" s="4" t="s">
        <v>416</v>
      </c>
      <c r="B50" s="4" t="s">
        <v>324</v>
      </c>
      <c r="C50" s="4" t="s">
        <v>319</v>
      </c>
      <c r="D50" s="4" t="s">
        <v>417</v>
      </c>
      <c r="E50" s="5">
        <v>81350</v>
      </c>
      <c r="F50" s="5">
        <v>80950</v>
      </c>
      <c r="G50" s="5"/>
      <c r="H50" s="5"/>
      <c r="I50" s="5"/>
      <c r="J50" s="5"/>
      <c r="K50" s="5"/>
      <c r="L50" s="5"/>
    </row>
    <row r="51" spans="1:12" x14ac:dyDescent="0.2">
      <c r="A51" s="4" t="s">
        <v>418</v>
      </c>
      <c r="B51" s="4" t="s">
        <v>324</v>
      </c>
      <c r="C51" s="4" t="s">
        <v>319</v>
      </c>
      <c r="D51" s="4" t="s">
        <v>419</v>
      </c>
      <c r="E51" s="5">
        <v>0</v>
      </c>
      <c r="F51" s="5">
        <v>0</v>
      </c>
      <c r="G51" s="5"/>
      <c r="H51" s="5"/>
      <c r="I51" s="5"/>
      <c r="J51" s="5"/>
      <c r="K51" s="5"/>
      <c r="L51" s="5"/>
    </row>
    <row r="52" spans="1:12" x14ac:dyDescent="0.2">
      <c r="A52" s="4" t="s">
        <v>420</v>
      </c>
      <c r="B52" s="4" t="s">
        <v>324</v>
      </c>
      <c r="C52" s="4" t="s">
        <v>319</v>
      </c>
      <c r="D52" s="4" t="s">
        <v>421</v>
      </c>
      <c r="E52" s="5">
        <v>0</v>
      </c>
      <c r="F52" s="5">
        <v>0</v>
      </c>
      <c r="G52" s="5"/>
      <c r="H52" s="5"/>
      <c r="I52" s="5"/>
      <c r="J52" s="5"/>
      <c r="K52" s="5"/>
      <c r="L52" s="5"/>
    </row>
    <row r="53" spans="1:12" x14ac:dyDescent="0.2">
      <c r="A53" s="4" t="s">
        <v>422</v>
      </c>
      <c r="B53" s="4" t="s">
        <v>324</v>
      </c>
      <c r="C53" s="4" t="s">
        <v>319</v>
      </c>
      <c r="D53" s="4" t="s">
        <v>423</v>
      </c>
      <c r="E53" s="5">
        <v>0</v>
      </c>
      <c r="F53" s="5">
        <v>0</v>
      </c>
      <c r="G53" s="5"/>
      <c r="H53" s="5"/>
      <c r="I53" s="5"/>
      <c r="J53" s="5"/>
      <c r="K53" s="5"/>
      <c r="L53" s="5"/>
    </row>
    <row r="54" spans="1:12" x14ac:dyDescent="0.2">
      <c r="A54" s="4" t="s">
        <v>424</v>
      </c>
      <c r="B54" s="4" t="s">
        <v>324</v>
      </c>
      <c r="C54" s="4" t="s">
        <v>319</v>
      </c>
      <c r="D54" s="4" t="s">
        <v>425</v>
      </c>
      <c r="E54" s="5">
        <v>0</v>
      </c>
      <c r="F54" s="5">
        <v>0</v>
      </c>
      <c r="G54" s="5"/>
      <c r="H54" s="5"/>
      <c r="I54" s="5"/>
      <c r="J54" s="5"/>
      <c r="K54" s="5"/>
      <c r="L54" s="5"/>
    </row>
    <row r="55" spans="1:12" x14ac:dyDescent="0.2">
      <c r="A55" s="4" t="s">
        <v>426</v>
      </c>
      <c r="B55" s="4" t="s">
        <v>324</v>
      </c>
      <c r="C55" s="4" t="s">
        <v>319</v>
      </c>
      <c r="D55" s="4" t="s">
        <v>427</v>
      </c>
      <c r="E55" s="5">
        <v>0</v>
      </c>
      <c r="F55" s="5">
        <v>0</v>
      </c>
      <c r="G55" s="5"/>
      <c r="H55" s="5"/>
      <c r="I55" s="5"/>
      <c r="J55" s="5"/>
      <c r="K55" s="5"/>
      <c r="L55" s="5"/>
    </row>
    <row r="56" spans="1:12" x14ac:dyDescent="0.2">
      <c r="A56" s="4" t="s">
        <v>428</v>
      </c>
      <c r="B56" s="4" t="s">
        <v>324</v>
      </c>
      <c r="C56" s="4" t="s">
        <v>319</v>
      </c>
      <c r="D56" s="4" t="s">
        <v>429</v>
      </c>
      <c r="E56" s="5">
        <v>0</v>
      </c>
      <c r="F56" s="5">
        <v>0</v>
      </c>
      <c r="G56" s="5"/>
      <c r="H56" s="5"/>
      <c r="I56" s="5"/>
      <c r="J56" s="5"/>
      <c r="K56" s="5"/>
      <c r="L56" s="5"/>
    </row>
    <row r="57" spans="1:12" x14ac:dyDescent="0.2">
      <c r="A57" s="4" t="s">
        <v>430</v>
      </c>
      <c r="B57" s="4" t="s">
        <v>324</v>
      </c>
      <c r="C57" s="4" t="s">
        <v>319</v>
      </c>
      <c r="D57" s="4" t="s">
        <v>431</v>
      </c>
      <c r="E57" s="5">
        <v>0</v>
      </c>
      <c r="F57" s="5">
        <v>0</v>
      </c>
      <c r="G57" s="5"/>
      <c r="H57" s="5"/>
      <c r="I57" s="5"/>
      <c r="J57" s="5"/>
      <c r="K57" s="5"/>
      <c r="L57" s="5"/>
    </row>
    <row r="58" spans="1:12" x14ac:dyDescent="0.2">
      <c r="A58" s="4" t="s">
        <v>432</v>
      </c>
      <c r="B58" s="4" t="s">
        <v>324</v>
      </c>
      <c r="C58" s="4" t="s">
        <v>319</v>
      </c>
      <c r="D58" s="4" t="s">
        <v>433</v>
      </c>
      <c r="E58" s="5">
        <v>0</v>
      </c>
      <c r="F58" s="5">
        <v>0</v>
      </c>
      <c r="G58" s="5"/>
      <c r="H58" s="5"/>
      <c r="I58" s="5"/>
      <c r="J58" s="5"/>
      <c r="K58" s="5"/>
      <c r="L58" s="5"/>
    </row>
    <row r="59" spans="1:12" x14ac:dyDescent="0.2">
      <c r="A59" s="4" t="s">
        <v>434</v>
      </c>
      <c r="B59" s="4" t="s">
        <v>324</v>
      </c>
      <c r="C59" s="4" t="s">
        <v>319</v>
      </c>
      <c r="D59" s="4" t="s">
        <v>435</v>
      </c>
      <c r="E59" s="5">
        <v>28825</v>
      </c>
      <c r="F59" s="5">
        <v>28425</v>
      </c>
      <c r="G59" s="5"/>
      <c r="H59" s="5"/>
      <c r="I59" s="5"/>
      <c r="J59" s="5"/>
      <c r="K59" s="5"/>
      <c r="L59" s="5"/>
    </row>
    <row r="60" spans="1:12" x14ac:dyDescent="0.2">
      <c r="A60" s="4" t="s">
        <v>436</v>
      </c>
      <c r="B60" s="4" t="s">
        <v>324</v>
      </c>
      <c r="C60" s="4" t="s">
        <v>319</v>
      </c>
      <c r="D60" s="4" t="s">
        <v>437</v>
      </c>
      <c r="E60" s="5">
        <v>600</v>
      </c>
      <c r="F60" s="5">
        <v>600</v>
      </c>
      <c r="G60" s="5"/>
      <c r="H60" s="5"/>
      <c r="I60" s="5"/>
      <c r="J60" s="5"/>
      <c r="K60" s="5"/>
      <c r="L60" s="5"/>
    </row>
    <row r="61" spans="1:12" x14ac:dyDescent="0.2">
      <c r="A61" s="4" t="s">
        <v>438</v>
      </c>
      <c r="B61" s="4" t="s">
        <v>324</v>
      </c>
      <c r="C61" s="4" t="s">
        <v>319</v>
      </c>
      <c r="D61" s="4" t="s">
        <v>439</v>
      </c>
      <c r="E61" s="5">
        <v>0</v>
      </c>
      <c r="F61" s="5">
        <v>0</v>
      </c>
      <c r="G61" s="5"/>
      <c r="H61" s="5"/>
      <c r="I61" s="5"/>
      <c r="J61" s="5"/>
      <c r="K61" s="5"/>
      <c r="L61" s="5"/>
    </row>
    <row r="62" spans="1:12" x14ac:dyDescent="0.2">
      <c r="A62" s="4" t="s">
        <v>440</v>
      </c>
      <c r="B62" s="4" t="s">
        <v>380</v>
      </c>
      <c r="C62" s="4" t="s">
        <v>319</v>
      </c>
      <c r="D62" s="4" t="s">
        <v>441</v>
      </c>
      <c r="E62" s="5">
        <v>0</v>
      </c>
      <c r="F62" s="5">
        <v>0</v>
      </c>
      <c r="G62" s="5"/>
      <c r="H62" s="5"/>
      <c r="I62" s="5"/>
      <c r="J62" s="5"/>
      <c r="K62" s="5"/>
      <c r="L62" s="5"/>
    </row>
    <row r="63" spans="1:12" x14ac:dyDescent="0.2">
      <c r="A63" s="4" t="s">
        <v>442</v>
      </c>
      <c r="B63" s="4" t="s">
        <v>324</v>
      </c>
      <c r="C63" s="4" t="s">
        <v>319</v>
      </c>
      <c r="D63" s="4" t="s">
        <v>443</v>
      </c>
      <c r="E63" s="5">
        <v>41875</v>
      </c>
      <c r="F63" s="5">
        <v>41875</v>
      </c>
      <c r="G63" s="5"/>
      <c r="H63" s="5"/>
      <c r="I63" s="5"/>
      <c r="J63" s="5"/>
      <c r="K63" s="5"/>
      <c r="L63" s="5"/>
    </row>
    <row r="64" spans="1:12" x14ac:dyDescent="0.2">
      <c r="A64" s="4" t="s">
        <v>444</v>
      </c>
      <c r="B64" s="4" t="s">
        <v>324</v>
      </c>
      <c r="C64" s="4" t="s">
        <v>319</v>
      </c>
      <c r="D64" s="4" t="s">
        <v>445</v>
      </c>
      <c r="E64" s="5">
        <v>0</v>
      </c>
      <c r="F64" s="5">
        <v>0</v>
      </c>
      <c r="G64" s="5"/>
      <c r="H64" s="5"/>
      <c r="I64" s="5"/>
      <c r="J64" s="5"/>
      <c r="K64" s="5"/>
      <c r="L64" s="5"/>
    </row>
    <row r="65" spans="1:12" x14ac:dyDescent="0.2">
      <c r="A65" s="4" t="s">
        <v>446</v>
      </c>
      <c r="B65" s="4" t="s">
        <v>324</v>
      </c>
      <c r="C65" s="4" t="s">
        <v>319</v>
      </c>
      <c r="D65" s="4" t="s">
        <v>447</v>
      </c>
      <c r="E65" s="5">
        <v>0</v>
      </c>
      <c r="F65" s="5">
        <v>0</v>
      </c>
      <c r="G65" s="5"/>
      <c r="H65" s="5"/>
      <c r="I65" s="5"/>
      <c r="J65" s="5"/>
      <c r="K65" s="5"/>
      <c r="L65" s="5"/>
    </row>
    <row r="66" spans="1:12" x14ac:dyDescent="0.2">
      <c r="A66" s="4" t="s">
        <v>448</v>
      </c>
      <c r="B66" s="4" t="s">
        <v>324</v>
      </c>
      <c r="C66" s="4" t="s">
        <v>319</v>
      </c>
      <c r="D66" s="4" t="s">
        <v>449</v>
      </c>
      <c r="E66" s="5">
        <v>0</v>
      </c>
      <c r="F66" s="5">
        <v>0</v>
      </c>
      <c r="G66" s="5"/>
      <c r="H66" s="5"/>
      <c r="I66" s="5"/>
      <c r="J66" s="5"/>
      <c r="K66" s="5"/>
      <c r="L66" s="5"/>
    </row>
    <row r="67" spans="1:12" x14ac:dyDescent="0.2">
      <c r="A67" s="4" t="s">
        <v>450</v>
      </c>
      <c r="B67" s="4" t="s">
        <v>324</v>
      </c>
      <c r="C67" s="4" t="s">
        <v>319</v>
      </c>
      <c r="D67" s="4" t="s">
        <v>451</v>
      </c>
      <c r="E67" s="5">
        <v>0</v>
      </c>
      <c r="F67" s="5">
        <v>0</v>
      </c>
      <c r="G67" s="5"/>
      <c r="H67" s="5"/>
      <c r="I67" s="5"/>
      <c r="J67" s="5"/>
      <c r="K67" s="5"/>
      <c r="L67" s="5"/>
    </row>
    <row r="68" spans="1:12" x14ac:dyDescent="0.2">
      <c r="A68" s="4" t="s">
        <v>452</v>
      </c>
      <c r="B68" s="4" t="s">
        <v>324</v>
      </c>
      <c r="C68" s="4" t="s">
        <v>319</v>
      </c>
      <c r="D68" s="4" t="s">
        <v>453</v>
      </c>
      <c r="E68" s="5">
        <v>0</v>
      </c>
      <c r="F68" s="5">
        <v>0</v>
      </c>
      <c r="G68" s="5"/>
      <c r="H68" s="5"/>
      <c r="I68" s="5"/>
      <c r="J68" s="5"/>
      <c r="K68" s="5"/>
      <c r="L68" s="5"/>
    </row>
    <row r="69" spans="1:12" x14ac:dyDescent="0.2">
      <c r="A69" s="4" t="s">
        <v>454</v>
      </c>
      <c r="B69" s="4" t="s">
        <v>324</v>
      </c>
      <c r="C69" s="4" t="s">
        <v>319</v>
      </c>
      <c r="D69" s="4" t="s">
        <v>455</v>
      </c>
      <c r="E69" s="5">
        <v>0</v>
      </c>
      <c r="F69" s="5">
        <v>0</v>
      </c>
      <c r="G69" s="5"/>
      <c r="H69" s="5"/>
      <c r="I69" s="5"/>
      <c r="J69" s="5"/>
      <c r="K69" s="5"/>
      <c r="L69" s="5"/>
    </row>
    <row r="70" spans="1:12" x14ac:dyDescent="0.2">
      <c r="A70" s="4" t="s">
        <v>456</v>
      </c>
      <c r="B70" s="4" t="s">
        <v>324</v>
      </c>
      <c r="C70" s="4" t="s">
        <v>319</v>
      </c>
      <c r="D70" s="4" t="s">
        <v>457</v>
      </c>
      <c r="E70" s="5">
        <v>0</v>
      </c>
      <c r="F70" s="5">
        <v>0</v>
      </c>
      <c r="G70" s="5"/>
      <c r="H70" s="5"/>
      <c r="I70" s="5"/>
      <c r="J70" s="5"/>
      <c r="K70" s="5"/>
      <c r="L70" s="5"/>
    </row>
    <row r="71" spans="1:12" x14ac:dyDescent="0.2">
      <c r="A71" s="4" t="s">
        <v>458</v>
      </c>
      <c r="B71" s="4" t="s">
        <v>324</v>
      </c>
      <c r="C71" s="4" t="s">
        <v>319</v>
      </c>
      <c r="D71" s="4" t="s">
        <v>459</v>
      </c>
      <c r="E71" s="5">
        <v>0</v>
      </c>
      <c r="F71" s="5">
        <v>0</v>
      </c>
      <c r="G71" s="5"/>
      <c r="H71" s="5"/>
      <c r="I71" s="5"/>
      <c r="J71" s="5"/>
      <c r="K71" s="5"/>
      <c r="L71" s="5"/>
    </row>
    <row r="72" spans="1:12" x14ac:dyDescent="0.2">
      <c r="A72" s="4" t="s">
        <v>460</v>
      </c>
      <c r="B72" s="4" t="s">
        <v>324</v>
      </c>
      <c r="C72" s="4" t="s">
        <v>319</v>
      </c>
      <c r="D72" s="4" t="s">
        <v>461</v>
      </c>
      <c r="E72" s="5">
        <v>0</v>
      </c>
      <c r="F72" s="5">
        <v>0</v>
      </c>
      <c r="G72" s="5"/>
      <c r="H72" s="5"/>
      <c r="I72" s="5"/>
      <c r="J72" s="5"/>
      <c r="K72" s="5"/>
      <c r="L72" s="5"/>
    </row>
    <row r="73" spans="1:12" x14ac:dyDescent="0.2">
      <c r="A73" s="4" t="s">
        <v>462</v>
      </c>
      <c r="B73" s="4" t="s">
        <v>324</v>
      </c>
      <c r="C73" s="4" t="s">
        <v>319</v>
      </c>
      <c r="D73" s="4" t="s">
        <v>463</v>
      </c>
      <c r="E73" s="5">
        <v>0</v>
      </c>
      <c r="F73" s="5">
        <v>0</v>
      </c>
      <c r="G73" s="5"/>
      <c r="H73" s="5"/>
      <c r="I73" s="5"/>
      <c r="J73" s="5"/>
      <c r="K73" s="5"/>
      <c r="L73" s="5"/>
    </row>
    <row r="74" spans="1:12" x14ac:dyDescent="0.2">
      <c r="A74" s="4" t="s">
        <v>464</v>
      </c>
      <c r="B74" s="4" t="s">
        <v>324</v>
      </c>
      <c r="C74" s="4" t="s">
        <v>319</v>
      </c>
      <c r="D74" s="4" t="s">
        <v>465</v>
      </c>
      <c r="E74" s="5">
        <v>0</v>
      </c>
      <c r="F74" s="5">
        <v>0</v>
      </c>
      <c r="G74" s="5"/>
      <c r="H74" s="5"/>
      <c r="I74" s="5"/>
      <c r="J74" s="5"/>
      <c r="K74" s="5"/>
      <c r="L74" s="5"/>
    </row>
    <row r="75" spans="1:12" x14ac:dyDescent="0.2">
      <c r="A75" s="4" t="s">
        <v>466</v>
      </c>
      <c r="B75" s="4" t="s">
        <v>324</v>
      </c>
      <c r="C75" s="4" t="s">
        <v>319</v>
      </c>
      <c r="D75" s="4" t="s">
        <v>467</v>
      </c>
      <c r="E75" s="5">
        <v>0</v>
      </c>
      <c r="F75" s="5">
        <v>0</v>
      </c>
      <c r="G75" s="5"/>
      <c r="H75" s="5"/>
      <c r="I75" s="5"/>
      <c r="J75" s="5"/>
      <c r="K75" s="5"/>
      <c r="L75" s="5"/>
    </row>
    <row r="76" spans="1:12" x14ac:dyDescent="0.2">
      <c r="A76" s="4" t="s">
        <v>468</v>
      </c>
      <c r="B76" s="4" t="s">
        <v>324</v>
      </c>
      <c r="C76" s="4" t="s">
        <v>319</v>
      </c>
      <c r="D76" s="4" t="s">
        <v>469</v>
      </c>
      <c r="E76" s="5">
        <v>0</v>
      </c>
      <c r="F76" s="5">
        <v>0</v>
      </c>
      <c r="G76" s="5"/>
      <c r="H76" s="5"/>
      <c r="I76" s="5"/>
      <c r="J76" s="5"/>
      <c r="K76" s="5"/>
      <c r="L76" s="5"/>
    </row>
    <row r="77" spans="1:12" x14ac:dyDescent="0.2">
      <c r="A77" s="4" t="s">
        <v>470</v>
      </c>
      <c r="B77" s="4" t="s">
        <v>324</v>
      </c>
      <c r="C77" s="4" t="s">
        <v>319</v>
      </c>
      <c r="D77" s="4" t="s">
        <v>471</v>
      </c>
      <c r="E77" s="5">
        <v>0</v>
      </c>
      <c r="F77" s="5">
        <v>0</v>
      </c>
      <c r="G77" s="5"/>
      <c r="H77" s="5"/>
      <c r="I77" s="5"/>
      <c r="J77" s="5"/>
      <c r="K77" s="5"/>
      <c r="L77" s="5"/>
    </row>
    <row r="78" spans="1:12" x14ac:dyDescent="0.2">
      <c r="A78" s="4" t="s">
        <v>472</v>
      </c>
      <c r="B78" s="4" t="s">
        <v>324</v>
      </c>
      <c r="C78" s="4" t="s">
        <v>319</v>
      </c>
      <c r="D78" s="4" t="s">
        <v>473</v>
      </c>
      <c r="E78" s="5">
        <v>300</v>
      </c>
      <c r="F78" s="5">
        <v>300</v>
      </c>
      <c r="G78" s="5"/>
      <c r="H78" s="5"/>
      <c r="I78" s="5"/>
      <c r="J78" s="5"/>
      <c r="K78" s="5"/>
      <c r="L78" s="5"/>
    </row>
    <row r="79" spans="1:12" x14ac:dyDescent="0.2">
      <c r="A79" s="4" t="s">
        <v>474</v>
      </c>
      <c r="B79" s="4" t="s">
        <v>324</v>
      </c>
      <c r="C79" s="4" t="s">
        <v>319</v>
      </c>
      <c r="D79" s="4" t="s">
        <v>475</v>
      </c>
      <c r="E79" s="5">
        <v>0</v>
      </c>
      <c r="F79" s="5">
        <v>0</v>
      </c>
      <c r="G79" s="5"/>
      <c r="H79" s="5"/>
      <c r="I79" s="5"/>
      <c r="J79" s="5"/>
      <c r="K79" s="5"/>
      <c r="L79" s="5"/>
    </row>
    <row r="80" spans="1:12" x14ac:dyDescent="0.2">
      <c r="A80" s="4" t="s">
        <v>476</v>
      </c>
      <c r="B80" s="4" t="s">
        <v>324</v>
      </c>
      <c r="C80" s="4" t="s">
        <v>319</v>
      </c>
      <c r="D80" s="4" t="s">
        <v>477</v>
      </c>
      <c r="E80" s="5">
        <v>0</v>
      </c>
      <c r="F80" s="5">
        <v>0</v>
      </c>
      <c r="G80" s="5"/>
      <c r="H80" s="5"/>
      <c r="I80" s="5"/>
      <c r="J80" s="5"/>
      <c r="K80" s="5"/>
      <c r="L80" s="5"/>
    </row>
    <row r="81" spans="1:12" x14ac:dyDescent="0.2">
      <c r="A81" s="4" t="s">
        <v>478</v>
      </c>
      <c r="B81" s="4" t="s">
        <v>324</v>
      </c>
      <c r="C81" s="4" t="s">
        <v>319</v>
      </c>
      <c r="D81" s="4" t="s">
        <v>479</v>
      </c>
      <c r="E81" s="5">
        <v>0</v>
      </c>
      <c r="F81" s="5">
        <v>0</v>
      </c>
      <c r="G81" s="5"/>
      <c r="H81" s="5"/>
      <c r="I81" s="5"/>
      <c r="J81" s="5"/>
      <c r="K81" s="5"/>
      <c r="L81" s="5"/>
    </row>
    <row r="82" spans="1:12" x14ac:dyDescent="0.2">
      <c r="A82" s="4" t="s">
        <v>480</v>
      </c>
      <c r="B82" s="4" t="s">
        <v>324</v>
      </c>
      <c r="C82" s="4" t="s">
        <v>319</v>
      </c>
      <c r="D82" s="4" t="s">
        <v>481</v>
      </c>
      <c r="E82" s="5">
        <v>0</v>
      </c>
      <c r="F82" s="5">
        <v>0</v>
      </c>
      <c r="G82" s="5"/>
      <c r="H82" s="5"/>
      <c r="I82" s="5"/>
      <c r="J82" s="5"/>
      <c r="K82" s="5"/>
      <c r="L82" s="5"/>
    </row>
    <row r="83" spans="1:12" x14ac:dyDescent="0.2">
      <c r="A83" s="4" t="s">
        <v>482</v>
      </c>
      <c r="B83" s="4" t="s">
        <v>324</v>
      </c>
      <c r="C83" s="4" t="s">
        <v>319</v>
      </c>
      <c r="D83" s="4" t="s">
        <v>483</v>
      </c>
      <c r="E83" s="5">
        <v>0</v>
      </c>
      <c r="F83" s="5">
        <v>0</v>
      </c>
      <c r="G83" s="5"/>
      <c r="H83" s="5"/>
      <c r="I83" s="5"/>
      <c r="J83" s="5"/>
      <c r="K83" s="5"/>
      <c r="L83" s="5"/>
    </row>
    <row r="84" spans="1:12" x14ac:dyDescent="0.2">
      <c r="A84" s="4" t="s">
        <v>484</v>
      </c>
      <c r="B84" s="4" t="s">
        <v>324</v>
      </c>
      <c r="C84" s="4" t="s">
        <v>319</v>
      </c>
      <c r="D84" s="4" t="s">
        <v>485</v>
      </c>
      <c r="E84" s="5">
        <v>0</v>
      </c>
      <c r="F84" s="5">
        <v>0</v>
      </c>
      <c r="G84" s="5"/>
      <c r="H84" s="5"/>
      <c r="I84" s="5"/>
      <c r="J84" s="5"/>
      <c r="K84" s="5"/>
      <c r="L84" s="5"/>
    </row>
    <row r="85" spans="1:12" x14ac:dyDescent="0.2">
      <c r="A85" s="4" t="s">
        <v>486</v>
      </c>
      <c r="B85" s="4" t="s">
        <v>324</v>
      </c>
      <c r="C85" s="4" t="s">
        <v>319</v>
      </c>
      <c r="D85" s="4" t="s">
        <v>487</v>
      </c>
      <c r="E85" s="5">
        <v>0</v>
      </c>
      <c r="F85" s="5">
        <v>0</v>
      </c>
      <c r="G85" s="5"/>
      <c r="H85" s="5"/>
      <c r="I85" s="5"/>
      <c r="J85" s="5"/>
      <c r="K85" s="5"/>
      <c r="L85" s="5"/>
    </row>
    <row r="86" spans="1:12" x14ac:dyDescent="0.2">
      <c r="A86" s="4" t="s">
        <v>488</v>
      </c>
      <c r="B86" s="4" t="s">
        <v>324</v>
      </c>
      <c r="C86" s="4" t="s">
        <v>319</v>
      </c>
      <c r="D86" s="4" t="s">
        <v>489</v>
      </c>
      <c r="E86" s="5">
        <v>28825</v>
      </c>
      <c r="F86" s="5">
        <v>28425</v>
      </c>
      <c r="G86" s="5"/>
      <c r="H86" s="5"/>
      <c r="I86" s="5"/>
      <c r="J86" s="5"/>
      <c r="K86" s="5"/>
      <c r="L86" s="5"/>
    </row>
    <row r="87" spans="1:12" x14ac:dyDescent="0.2">
      <c r="A87" s="4" t="s">
        <v>490</v>
      </c>
      <c r="B87" s="4" t="s">
        <v>324</v>
      </c>
      <c r="C87" s="4" t="s">
        <v>319</v>
      </c>
      <c r="D87" s="4" t="s">
        <v>491</v>
      </c>
      <c r="E87" s="5">
        <v>0</v>
      </c>
      <c r="F87" s="5">
        <v>0</v>
      </c>
      <c r="G87" s="5"/>
      <c r="H87" s="5"/>
      <c r="I87" s="5"/>
      <c r="J87" s="5"/>
      <c r="K87" s="5"/>
      <c r="L87" s="5"/>
    </row>
    <row r="88" spans="1:12" x14ac:dyDescent="0.2">
      <c r="A88" s="4" t="s">
        <v>492</v>
      </c>
      <c r="B88" s="4" t="s">
        <v>324</v>
      </c>
      <c r="C88" s="4" t="s">
        <v>319</v>
      </c>
      <c r="D88" s="4" t="s">
        <v>493</v>
      </c>
      <c r="E88" s="5">
        <v>0</v>
      </c>
      <c r="F88" s="5">
        <v>0</v>
      </c>
      <c r="G88" s="5"/>
      <c r="H88" s="5"/>
      <c r="I88" s="5"/>
      <c r="J88" s="5"/>
      <c r="K88" s="5"/>
      <c r="L88" s="5"/>
    </row>
    <row r="89" spans="1:12" x14ac:dyDescent="0.2">
      <c r="A89" s="4" t="s">
        <v>494</v>
      </c>
      <c r="B89" s="4" t="s">
        <v>324</v>
      </c>
      <c r="C89" s="4" t="s">
        <v>319</v>
      </c>
      <c r="D89" s="4" t="s">
        <v>495</v>
      </c>
      <c r="E89" s="5">
        <v>300</v>
      </c>
      <c r="F89" s="5">
        <v>300</v>
      </c>
      <c r="G89" s="5"/>
      <c r="H89" s="5"/>
      <c r="I89" s="5"/>
      <c r="J89" s="5"/>
      <c r="K89" s="5"/>
      <c r="L89" s="5"/>
    </row>
    <row r="90" spans="1:12" x14ac:dyDescent="0.2">
      <c r="A90" s="4" t="s">
        <v>496</v>
      </c>
      <c r="B90" s="4" t="s">
        <v>324</v>
      </c>
      <c r="C90" s="4" t="s">
        <v>319</v>
      </c>
      <c r="D90" s="4" t="s">
        <v>497</v>
      </c>
      <c r="E90" s="5">
        <v>0</v>
      </c>
      <c r="F90" s="5">
        <v>0</v>
      </c>
      <c r="G90" s="5"/>
      <c r="H90" s="5"/>
      <c r="I90" s="5"/>
      <c r="J90" s="5"/>
      <c r="K90" s="5"/>
      <c r="L90" s="5"/>
    </row>
    <row r="91" spans="1:12" x14ac:dyDescent="0.2">
      <c r="A91" s="4" t="s">
        <v>498</v>
      </c>
      <c r="B91" s="4" t="s">
        <v>324</v>
      </c>
      <c r="C91" s="4" t="s">
        <v>319</v>
      </c>
      <c r="D91" s="4" t="s">
        <v>499</v>
      </c>
      <c r="E91" s="5">
        <v>0</v>
      </c>
      <c r="F91" s="5">
        <v>0</v>
      </c>
      <c r="G91" s="5"/>
      <c r="H91" s="5"/>
      <c r="I91" s="5"/>
      <c r="J91" s="5"/>
      <c r="K91" s="5"/>
      <c r="L91" s="5"/>
    </row>
    <row r="92" spans="1:12" x14ac:dyDescent="0.2">
      <c r="A92" s="4" t="s">
        <v>500</v>
      </c>
      <c r="B92" s="4" t="s">
        <v>324</v>
      </c>
      <c r="C92" s="4" t="s">
        <v>319</v>
      </c>
      <c r="D92" s="4" t="s">
        <v>501</v>
      </c>
      <c r="E92" s="5">
        <v>41875</v>
      </c>
      <c r="F92" s="5">
        <v>41875</v>
      </c>
      <c r="G92" s="5"/>
      <c r="H92" s="5"/>
      <c r="I92" s="5"/>
      <c r="J92" s="5"/>
      <c r="K92" s="5"/>
      <c r="L92" s="5"/>
    </row>
    <row r="93" spans="1:12" x14ac:dyDescent="0.2">
      <c r="A93" s="4" t="s">
        <v>502</v>
      </c>
      <c r="B93" s="4" t="s">
        <v>324</v>
      </c>
      <c r="C93" s="4" t="s">
        <v>319</v>
      </c>
      <c r="D93" s="4" t="s">
        <v>503</v>
      </c>
      <c r="E93" s="5">
        <v>3350</v>
      </c>
      <c r="F93" s="5">
        <v>3350</v>
      </c>
      <c r="G93" s="5"/>
      <c r="H93" s="5"/>
      <c r="I93" s="5"/>
      <c r="J93" s="5"/>
      <c r="K93" s="5"/>
      <c r="L93" s="5"/>
    </row>
    <row r="94" spans="1:12" x14ac:dyDescent="0.2">
      <c r="A94" s="4" t="s">
        <v>504</v>
      </c>
      <c r="B94" s="4" t="s">
        <v>324</v>
      </c>
      <c r="C94" s="4" t="s">
        <v>319</v>
      </c>
      <c r="D94" s="4" t="s">
        <v>505</v>
      </c>
      <c r="E94" s="5">
        <v>1050</v>
      </c>
      <c r="F94" s="5">
        <v>1050</v>
      </c>
      <c r="G94" s="5"/>
      <c r="H94" s="5"/>
      <c r="I94" s="5"/>
      <c r="J94" s="5"/>
      <c r="K94" s="5"/>
      <c r="L94" s="5"/>
    </row>
    <row r="95" spans="1:12" x14ac:dyDescent="0.2">
      <c r="A95" s="4" t="s">
        <v>506</v>
      </c>
      <c r="B95" s="4" t="s">
        <v>324</v>
      </c>
      <c r="C95" s="4" t="s">
        <v>319</v>
      </c>
      <c r="D95" s="4" t="s">
        <v>507</v>
      </c>
      <c r="E95" s="5">
        <v>2300</v>
      </c>
      <c r="F95" s="5">
        <v>2300</v>
      </c>
      <c r="G95" s="5"/>
      <c r="H95" s="5"/>
      <c r="I95" s="5"/>
      <c r="J95" s="5"/>
      <c r="K95" s="5"/>
      <c r="L95" s="5"/>
    </row>
    <row r="96" spans="1:12" x14ac:dyDescent="0.2">
      <c r="A96" s="4" t="s">
        <v>508</v>
      </c>
      <c r="B96" s="4" t="s">
        <v>324</v>
      </c>
      <c r="C96" s="4" t="s">
        <v>319</v>
      </c>
      <c r="D96" s="4" t="s">
        <v>509</v>
      </c>
      <c r="E96" s="5">
        <v>0</v>
      </c>
      <c r="F96" s="5">
        <v>0</v>
      </c>
      <c r="G96" s="5"/>
      <c r="H96" s="5"/>
      <c r="I96" s="5"/>
      <c r="J96" s="5"/>
      <c r="K96" s="5"/>
      <c r="L96" s="5"/>
    </row>
    <row r="97" spans="1:12" x14ac:dyDescent="0.2">
      <c r="A97" s="4" t="s">
        <v>510</v>
      </c>
      <c r="B97" s="4" t="s">
        <v>324</v>
      </c>
      <c r="C97" s="4" t="s">
        <v>319</v>
      </c>
      <c r="D97" s="4" t="s">
        <v>511</v>
      </c>
      <c r="E97" s="5">
        <v>0</v>
      </c>
      <c r="F97" s="5">
        <v>0</v>
      </c>
      <c r="G97" s="5"/>
      <c r="H97" s="5"/>
      <c r="I97" s="5"/>
      <c r="J97" s="5"/>
      <c r="K97" s="5"/>
      <c r="L97" s="5"/>
    </row>
    <row r="98" spans="1:12" x14ac:dyDescent="0.2">
      <c r="A98" s="4" t="s">
        <v>512</v>
      </c>
      <c r="B98" s="4" t="s">
        <v>324</v>
      </c>
      <c r="C98" s="4" t="s">
        <v>319</v>
      </c>
      <c r="D98" s="4" t="s">
        <v>513</v>
      </c>
      <c r="E98" s="5">
        <v>0</v>
      </c>
      <c r="F98" s="5">
        <v>0</v>
      </c>
      <c r="G98" s="5"/>
      <c r="H98" s="5"/>
      <c r="I98" s="5"/>
      <c r="J98" s="5"/>
      <c r="K98" s="5"/>
      <c r="L98" s="5"/>
    </row>
    <row r="99" spans="1:12" x14ac:dyDescent="0.2">
      <c r="A99" s="4" t="s">
        <v>514</v>
      </c>
      <c r="B99" s="4" t="s">
        <v>324</v>
      </c>
      <c r="C99" s="4" t="s">
        <v>319</v>
      </c>
      <c r="D99" s="4" t="s">
        <v>515</v>
      </c>
      <c r="E99" s="5">
        <v>0</v>
      </c>
      <c r="F99" s="5">
        <v>0</v>
      </c>
      <c r="G99" s="5"/>
      <c r="H99" s="5"/>
      <c r="I99" s="5"/>
      <c r="J99" s="5"/>
      <c r="K99" s="5"/>
      <c r="L99" s="5"/>
    </row>
    <row r="100" spans="1:12" x14ac:dyDescent="0.2">
      <c r="A100" s="4" t="s">
        <v>516</v>
      </c>
      <c r="B100" s="4" t="s">
        <v>324</v>
      </c>
      <c r="C100" s="4" t="s">
        <v>319</v>
      </c>
      <c r="D100" s="4" t="s">
        <v>517</v>
      </c>
      <c r="E100" s="5">
        <v>0</v>
      </c>
      <c r="F100" s="5">
        <v>0</v>
      </c>
      <c r="G100" s="5"/>
      <c r="H100" s="5"/>
      <c r="I100" s="5"/>
      <c r="J100" s="5"/>
      <c r="K100" s="5"/>
      <c r="L100" s="5"/>
    </row>
    <row r="101" spans="1:12" x14ac:dyDescent="0.2">
      <c r="A101" s="4" t="s">
        <v>518</v>
      </c>
      <c r="B101" s="4" t="s">
        <v>324</v>
      </c>
      <c r="C101" s="4" t="s">
        <v>319</v>
      </c>
      <c r="D101" s="4" t="s">
        <v>519</v>
      </c>
      <c r="E101" s="5">
        <v>0</v>
      </c>
      <c r="F101" s="5">
        <v>0</v>
      </c>
      <c r="G101" s="5"/>
      <c r="H101" s="5"/>
      <c r="I101" s="5"/>
      <c r="J101" s="5"/>
      <c r="K101" s="5"/>
      <c r="L101" s="5"/>
    </row>
    <row r="102" spans="1:12" x14ac:dyDescent="0.2">
      <c r="A102" s="4" t="s">
        <v>520</v>
      </c>
      <c r="B102" s="4" t="s">
        <v>324</v>
      </c>
      <c r="C102" s="4" t="s">
        <v>319</v>
      </c>
      <c r="D102" s="4" t="s">
        <v>521</v>
      </c>
      <c r="E102" s="5">
        <v>900</v>
      </c>
      <c r="F102" s="5">
        <v>900</v>
      </c>
      <c r="G102" s="5"/>
      <c r="H102" s="5"/>
      <c r="I102" s="5"/>
      <c r="J102" s="5"/>
      <c r="K102" s="5"/>
      <c r="L102" s="5"/>
    </row>
    <row r="103" spans="1:12" x14ac:dyDescent="0.2">
      <c r="A103" s="4" t="s">
        <v>522</v>
      </c>
      <c r="B103" s="4" t="s">
        <v>324</v>
      </c>
      <c r="C103" s="4" t="s">
        <v>319</v>
      </c>
      <c r="D103" s="4" t="s">
        <v>523</v>
      </c>
      <c r="E103" s="5">
        <v>0</v>
      </c>
      <c r="F103" s="5">
        <v>0</v>
      </c>
      <c r="G103" s="5"/>
      <c r="H103" s="5"/>
      <c r="I103" s="5"/>
      <c r="J103" s="5"/>
      <c r="K103" s="5"/>
      <c r="L103" s="5"/>
    </row>
    <row r="104" spans="1:12" x14ac:dyDescent="0.2">
      <c r="A104" s="4" t="s">
        <v>524</v>
      </c>
      <c r="B104" s="4" t="s">
        <v>324</v>
      </c>
      <c r="C104" s="4" t="s">
        <v>319</v>
      </c>
      <c r="D104" s="4" t="s">
        <v>525</v>
      </c>
      <c r="E104" s="5">
        <v>0</v>
      </c>
      <c r="F104" s="5">
        <v>0</v>
      </c>
      <c r="G104" s="5"/>
      <c r="H104" s="5"/>
      <c r="I104" s="5"/>
      <c r="J104" s="5"/>
      <c r="K104" s="5"/>
      <c r="L104" s="5"/>
    </row>
    <row r="105" spans="1:12" x14ac:dyDescent="0.2">
      <c r="A105" s="4" t="s">
        <v>526</v>
      </c>
      <c r="B105" s="4" t="s">
        <v>324</v>
      </c>
      <c r="C105" s="4" t="s">
        <v>319</v>
      </c>
      <c r="D105" s="4" t="s">
        <v>527</v>
      </c>
      <c r="E105" s="5">
        <v>150</v>
      </c>
      <c r="F105" s="5">
        <v>150</v>
      </c>
      <c r="G105" s="5"/>
      <c r="H105" s="5"/>
      <c r="I105" s="5"/>
      <c r="J105" s="5"/>
      <c r="K105" s="5"/>
      <c r="L105" s="5"/>
    </row>
    <row r="106" spans="1:12" x14ac:dyDescent="0.2">
      <c r="A106" s="4" t="s">
        <v>528</v>
      </c>
      <c r="B106" s="4" t="s">
        <v>324</v>
      </c>
      <c r="C106" s="4" t="s">
        <v>319</v>
      </c>
      <c r="D106" s="4" t="s">
        <v>529</v>
      </c>
      <c r="E106" s="5">
        <v>25</v>
      </c>
      <c r="F106" s="5">
        <v>25</v>
      </c>
      <c r="G106" s="5"/>
      <c r="H106" s="5"/>
      <c r="I106" s="5"/>
      <c r="J106" s="5"/>
      <c r="K106" s="5"/>
      <c r="L106" s="5"/>
    </row>
    <row r="107" spans="1:12" x14ac:dyDescent="0.2">
      <c r="A107" s="4" t="s">
        <v>530</v>
      </c>
      <c r="B107" s="4" t="s">
        <v>324</v>
      </c>
      <c r="C107" s="4" t="s">
        <v>319</v>
      </c>
      <c r="D107" s="4" t="s">
        <v>531</v>
      </c>
      <c r="E107" s="5">
        <v>0</v>
      </c>
      <c r="F107" s="5">
        <v>0</v>
      </c>
      <c r="G107" s="5"/>
      <c r="H107" s="5"/>
      <c r="I107" s="5"/>
      <c r="J107" s="5"/>
      <c r="K107" s="5"/>
      <c r="L107" s="5"/>
    </row>
    <row r="108" spans="1:12" x14ac:dyDescent="0.2">
      <c r="A108" s="4" t="s">
        <v>532</v>
      </c>
      <c r="B108" s="4" t="s">
        <v>324</v>
      </c>
      <c r="C108" s="4" t="s">
        <v>319</v>
      </c>
      <c r="D108" s="4" t="s">
        <v>533</v>
      </c>
      <c r="E108" s="5">
        <v>1875</v>
      </c>
      <c r="F108" s="5">
        <v>1875</v>
      </c>
      <c r="G108" s="5"/>
      <c r="H108" s="5"/>
      <c r="I108" s="5"/>
      <c r="J108" s="5"/>
      <c r="K108" s="5"/>
      <c r="L108" s="5"/>
    </row>
    <row r="109" spans="1:12" x14ac:dyDescent="0.2">
      <c r="A109" s="4" t="s">
        <v>534</v>
      </c>
      <c r="B109" s="4" t="s">
        <v>324</v>
      </c>
      <c r="C109" s="4" t="s">
        <v>319</v>
      </c>
      <c r="D109" s="4" t="s">
        <v>535</v>
      </c>
      <c r="E109" s="5">
        <v>900</v>
      </c>
      <c r="F109" s="5">
        <v>900</v>
      </c>
      <c r="G109" s="5"/>
      <c r="H109" s="5"/>
      <c r="I109" s="5"/>
      <c r="J109" s="5"/>
      <c r="K109" s="5"/>
      <c r="L109" s="5"/>
    </row>
    <row r="110" spans="1:12" x14ac:dyDescent="0.2">
      <c r="A110" s="4" t="s">
        <v>536</v>
      </c>
      <c r="B110" s="4" t="s">
        <v>324</v>
      </c>
      <c r="C110" s="4" t="s">
        <v>319</v>
      </c>
      <c r="D110" s="4" t="s">
        <v>537</v>
      </c>
      <c r="E110" s="5">
        <v>0</v>
      </c>
      <c r="F110" s="5">
        <v>0</v>
      </c>
      <c r="G110" s="5"/>
      <c r="H110" s="5"/>
      <c r="I110" s="5"/>
      <c r="J110" s="5"/>
      <c r="K110" s="5"/>
      <c r="L110" s="5"/>
    </row>
    <row r="111" spans="1:12" x14ac:dyDescent="0.2">
      <c r="A111" s="4" t="s">
        <v>538</v>
      </c>
      <c r="B111" s="4" t="s">
        <v>324</v>
      </c>
      <c r="C111" s="4" t="s">
        <v>319</v>
      </c>
      <c r="D111" s="4" t="s">
        <v>539</v>
      </c>
      <c r="E111" s="5">
        <v>0</v>
      </c>
      <c r="F111" s="5">
        <v>0</v>
      </c>
      <c r="G111" s="5"/>
      <c r="H111" s="5"/>
      <c r="I111" s="5"/>
      <c r="J111" s="5"/>
      <c r="K111" s="5"/>
      <c r="L111" s="5"/>
    </row>
    <row r="112" spans="1:12" x14ac:dyDescent="0.2">
      <c r="A112" s="4" t="s">
        <v>540</v>
      </c>
      <c r="B112" s="4" t="s">
        <v>324</v>
      </c>
      <c r="C112" s="4" t="s">
        <v>319</v>
      </c>
      <c r="D112" s="4" t="s">
        <v>541</v>
      </c>
      <c r="E112" s="5">
        <v>0</v>
      </c>
      <c r="F112" s="5">
        <v>0</v>
      </c>
      <c r="G112" s="5"/>
      <c r="H112" s="5"/>
      <c r="I112" s="5"/>
      <c r="J112" s="5"/>
      <c r="K112" s="5"/>
      <c r="L112" s="5"/>
    </row>
    <row r="113" spans="1:12" x14ac:dyDescent="0.2">
      <c r="A113" s="4" t="s">
        <v>542</v>
      </c>
      <c r="B113" s="4" t="s">
        <v>324</v>
      </c>
      <c r="C113" s="4" t="s">
        <v>319</v>
      </c>
      <c r="D113" s="4" t="s">
        <v>543</v>
      </c>
      <c r="E113" s="5">
        <v>0</v>
      </c>
      <c r="F113" s="5">
        <v>0</v>
      </c>
      <c r="G113" s="5"/>
      <c r="H113" s="5"/>
      <c r="I113" s="5"/>
      <c r="J113" s="5"/>
      <c r="K113" s="5"/>
      <c r="L113" s="5"/>
    </row>
    <row r="114" spans="1:12" x14ac:dyDescent="0.2">
      <c r="A114" s="4" t="s">
        <v>544</v>
      </c>
      <c r="B114" s="4" t="s">
        <v>324</v>
      </c>
      <c r="C114" s="4" t="s">
        <v>319</v>
      </c>
      <c r="D114" s="4" t="s">
        <v>545</v>
      </c>
      <c r="E114" s="5">
        <v>0</v>
      </c>
      <c r="F114" s="5">
        <v>0</v>
      </c>
      <c r="G114" s="5"/>
      <c r="H114" s="5"/>
      <c r="I114" s="5"/>
      <c r="J114" s="5"/>
      <c r="K114" s="5"/>
      <c r="L114" s="5"/>
    </row>
    <row r="115" spans="1:12" x14ac:dyDescent="0.2">
      <c r="A115" s="4" t="s">
        <v>546</v>
      </c>
      <c r="B115" s="4" t="s">
        <v>324</v>
      </c>
      <c r="C115" s="4" t="s">
        <v>319</v>
      </c>
      <c r="D115" s="4" t="s">
        <v>547</v>
      </c>
      <c r="E115" s="5">
        <v>0</v>
      </c>
      <c r="F115" s="5">
        <v>0</v>
      </c>
      <c r="G115" s="5"/>
      <c r="H115" s="5"/>
      <c r="I115" s="5"/>
      <c r="J115" s="5"/>
      <c r="K115" s="5"/>
      <c r="L115" s="5"/>
    </row>
    <row r="116" spans="1:12" x14ac:dyDescent="0.2">
      <c r="A116" s="4" t="s">
        <v>548</v>
      </c>
      <c r="B116" s="4" t="s">
        <v>324</v>
      </c>
      <c r="C116" s="4" t="s">
        <v>319</v>
      </c>
      <c r="D116" s="4" t="s">
        <v>549</v>
      </c>
      <c r="E116" s="5">
        <v>0</v>
      </c>
      <c r="F116" s="5">
        <v>0</v>
      </c>
      <c r="G116" s="5"/>
      <c r="H116" s="5"/>
      <c r="I116" s="5"/>
      <c r="J116" s="5"/>
      <c r="K116" s="5"/>
      <c r="L116" s="5"/>
    </row>
    <row r="117" spans="1:12" x14ac:dyDescent="0.2">
      <c r="A117" s="4" t="s">
        <v>550</v>
      </c>
      <c r="B117" s="4" t="s">
        <v>324</v>
      </c>
      <c r="C117" s="4" t="s">
        <v>319</v>
      </c>
      <c r="D117" s="4" t="s">
        <v>551</v>
      </c>
      <c r="E117" s="5">
        <v>0</v>
      </c>
      <c r="F117" s="5">
        <v>0</v>
      </c>
      <c r="G117" s="5"/>
      <c r="H117" s="5"/>
      <c r="I117" s="5"/>
      <c r="J117" s="5"/>
      <c r="K117" s="5"/>
      <c r="L117" s="5"/>
    </row>
    <row r="118" spans="1:12" x14ac:dyDescent="0.2">
      <c r="A118" s="4" t="s">
        <v>552</v>
      </c>
      <c r="B118" s="4" t="s">
        <v>324</v>
      </c>
      <c r="C118" s="4" t="s">
        <v>319</v>
      </c>
      <c r="D118" s="4" t="s">
        <v>553</v>
      </c>
      <c r="E118" s="5">
        <v>0</v>
      </c>
      <c r="F118" s="5">
        <v>0</v>
      </c>
      <c r="G118" s="5"/>
      <c r="H118" s="5"/>
      <c r="I118" s="5"/>
      <c r="J118" s="5"/>
      <c r="K118" s="5"/>
      <c r="L118" s="5"/>
    </row>
    <row r="119" spans="1:12" x14ac:dyDescent="0.2">
      <c r="A119" s="4" t="s">
        <v>554</v>
      </c>
      <c r="B119" s="4" t="s">
        <v>324</v>
      </c>
      <c r="C119" s="4" t="s">
        <v>319</v>
      </c>
      <c r="D119" s="4" t="s">
        <v>555</v>
      </c>
      <c r="E119" s="5">
        <v>0</v>
      </c>
      <c r="F119" s="5">
        <v>0</v>
      </c>
      <c r="G119" s="5"/>
      <c r="H119" s="5"/>
      <c r="I119" s="5"/>
      <c r="J119" s="5"/>
      <c r="K119" s="5"/>
      <c r="L119" s="5"/>
    </row>
    <row r="120" spans="1:12" x14ac:dyDescent="0.2">
      <c r="A120" s="4" t="s">
        <v>556</v>
      </c>
      <c r="B120" s="4" t="s">
        <v>324</v>
      </c>
      <c r="C120" s="4" t="s">
        <v>319</v>
      </c>
      <c r="D120" s="4" t="s">
        <v>557</v>
      </c>
      <c r="E120" s="5">
        <v>0</v>
      </c>
      <c r="F120" s="5">
        <v>0</v>
      </c>
      <c r="G120" s="5"/>
      <c r="H120" s="5"/>
      <c r="I120" s="5"/>
      <c r="J120" s="5"/>
      <c r="K120" s="5"/>
      <c r="L120" s="5"/>
    </row>
    <row r="121" spans="1:12" x14ac:dyDescent="0.2">
      <c r="A121" s="4" t="s">
        <v>558</v>
      </c>
      <c r="B121" s="4" t="s">
        <v>324</v>
      </c>
      <c r="C121" s="4" t="s">
        <v>319</v>
      </c>
      <c r="D121" s="4" t="s">
        <v>559</v>
      </c>
      <c r="E121" s="5">
        <v>0</v>
      </c>
      <c r="F121" s="5">
        <v>0</v>
      </c>
      <c r="G121" s="5"/>
      <c r="H121" s="5"/>
      <c r="I121" s="5"/>
      <c r="J121" s="5"/>
      <c r="K121" s="5"/>
      <c r="L121" s="5"/>
    </row>
    <row r="122" spans="1:12" x14ac:dyDescent="0.2">
      <c r="A122" s="4" t="s">
        <v>560</v>
      </c>
      <c r="B122" s="4" t="s">
        <v>324</v>
      </c>
      <c r="C122" s="4" t="s">
        <v>319</v>
      </c>
      <c r="D122" s="4" t="s">
        <v>561</v>
      </c>
      <c r="E122" s="5">
        <v>0</v>
      </c>
      <c r="F122" s="5">
        <v>0</v>
      </c>
      <c r="G122" s="5"/>
      <c r="H122" s="5"/>
      <c r="I122" s="5"/>
      <c r="J122" s="5"/>
      <c r="K122" s="5"/>
      <c r="L122" s="5"/>
    </row>
    <row r="123" spans="1:12" x14ac:dyDescent="0.2">
      <c r="A123" s="4" t="s">
        <v>562</v>
      </c>
      <c r="B123" s="4" t="s">
        <v>324</v>
      </c>
      <c r="C123" s="4" t="s">
        <v>319</v>
      </c>
      <c r="D123" s="4" t="s">
        <v>563</v>
      </c>
      <c r="E123" s="5">
        <v>0</v>
      </c>
      <c r="F123" s="5">
        <v>0</v>
      </c>
      <c r="G123" s="5"/>
      <c r="H123" s="5"/>
      <c r="I123" s="5"/>
      <c r="J123" s="5"/>
      <c r="K123" s="5"/>
      <c r="L123" s="5"/>
    </row>
    <row r="124" spans="1:12" x14ac:dyDescent="0.2">
      <c r="A124" s="4" t="s">
        <v>564</v>
      </c>
      <c r="B124" s="4" t="s">
        <v>324</v>
      </c>
      <c r="C124" s="4" t="s">
        <v>319</v>
      </c>
      <c r="D124" s="4" t="s">
        <v>565</v>
      </c>
      <c r="E124" s="5">
        <v>0</v>
      </c>
      <c r="F124" s="5">
        <v>0</v>
      </c>
      <c r="G124" s="5"/>
      <c r="H124" s="5"/>
      <c r="I124" s="5"/>
      <c r="J124" s="5"/>
      <c r="K124" s="5"/>
      <c r="L124" s="5"/>
    </row>
    <row r="125" spans="1:12" x14ac:dyDescent="0.2">
      <c r="A125" s="4" t="s">
        <v>566</v>
      </c>
      <c r="B125" s="4" t="s">
        <v>324</v>
      </c>
      <c r="C125" s="4" t="s">
        <v>319</v>
      </c>
      <c r="D125" s="4" t="s">
        <v>567</v>
      </c>
      <c r="E125" s="5">
        <v>0</v>
      </c>
      <c r="F125" s="5">
        <v>0</v>
      </c>
      <c r="G125" s="5"/>
      <c r="H125" s="5"/>
      <c r="I125" s="5"/>
      <c r="J125" s="5"/>
      <c r="K125" s="5"/>
      <c r="L125" s="5"/>
    </row>
    <row r="126" spans="1:12" x14ac:dyDescent="0.2">
      <c r="A126" s="4" t="s">
        <v>568</v>
      </c>
      <c r="B126" s="4" t="s">
        <v>324</v>
      </c>
      <c r="C126" s="4" t="s">
        <v>319</v>
      </c>
      <c r="D126" s="4" t="s">
        <v>569</v>
      </c>
      <c r="E126" s="5">
        <v>0</v>
      </c>
      <c r="F126" s="5">
        <v>0</v>
      </c>
      <c r="G126" s="5"/>
      <c r="H126" s="5"/>
      <c r="I126" s="5"/>
      <c r="J126" s="5"/>
      <c r="K126" s="5"/>
      <c r="L126" s="5"/>
    </row>
    <row r="127" spans="1:12" x14ac:dyDescent="0.2">
      <c r="A127" s="4" t="s">
        <v>570</v>
      </c>
      <c r="B127" s="4" t="s">
        <v>324</v>
      </c>
      <c r="C127" s="4" t="s">
        <v>319</v>
      </c>
      <c r="D127" s="4" t="s">
        <v>571</v>
      </c>
      <c r="E127" s="5">
        <v>0</v>
      </c>
      <c r="F127" s="5">
        <v>0</v>
      </c>
      <c r="G127" s="5"/>
      <c r="H127" s="5"/>
      <c r="I127" s="5"/>
      <c r="J127" s="5"/>
      <c r="K127" s="5"/>
      <c r="L127" s="5"/>
    </row>
    <row r="128" spans="1:12" x14ac:dyDescent="0.2">
      <c r="A128" s="4" t="s">
        <v>572</v>
      </c>
      <c r="B128" s="4" t="s">
        <v>324</v>
      </c>
      <c r="C128" s="4" t="s">
        <v>319</v>
      </c>
      <c r="D128" s="4" t="s">
        <v>573</v>
      </c>
      <c r="E128" s="5">
        <v>0</v>
      </c>
      <c r="F128" s="5">
        <v>0</v>
      </c>
      <c r="G128" s="5"/>
      <c r="H128" s="5"/>
      <c r="I128" s="5"/>
      <c r="J128" s="5"/>
      <c r="K128" s="5"/>
      <c r="L128" s="5"/>
    </row>
    <row r="129" spans="1:12" x14ac:dyDescent="0.2">
      <c r="A129" s="4" t="s">
        <v>574</v>
      </c>
      <c r="B129" s="4" t="s">
        <v>324</v>
      </c>
      <c r="C129" s="4" t="s">
        <v>319</v>
      </c>
      <c r="D129" s="4" t="s">
        <v>575</v>
      </c>
      <c r="E129" s="5">
        <v>25</v>
      </c>
      <c r="F129" s="5">
        <v>25</v>
      </c>
      <c r="G129" s="5"/>
      <c r="H129" s="5"/>
      <c r="I129" s="5"/>
      <c r="J129" s="5"/>
      <c r="K129" s="5"/>
      <c r="L129" s="5"/>
    </row>
    <row r="130" spans="1:12" x14ac:dyDescent="0.2">
      <c r="A130" s="4" t="s">
        <v>576</v>
      </c>
      <c r="B130" s="4" t="s">
        <v>324</v>
      </c>
      <c r="C130" s="4" t="s">
        <v>319</v>
      </c>
      <c r="D130" s="4" t="s">
        <v>577</v>
      </c>
      <c r="E130" s="5">
        <v>0</v>
      </c>
      <c r="F130" s="5">
        <v>0</v>
      </c>
      <c r="G130" s="5"/>
      <c r="H130" s="5"/>
      <c r="I130" s="5"/>
      <c r="J130" s="5"/>
      <c r="K130" s="5"/>
      <c r="L130" s="5"/>
    </row>
    <row r="131" spans="1:12" x14ac:dyDescent="0.2">
      <c r="A131" s="4" t="s">
        <v>578</v>
      </c>
      <c r="B131" s="4" t="s">
        <v>324</v>
      </c>
      <c r="C131" s="4" t="s">
        <v>319</v>
      </c>
      <c r="D131" s="4" t="s">
        <v>579</v>
      </c>
      <c r="E131" s="5">
        <v>0</v>
      </c>
      <c r="F131" s="5">
        <v>0</v>
      </c>
      <c r="G131" s="5"/>
      <c r="H131" s="5"/>
      <c r="I131" s="5"/>
      <c r="J131" s="5"/>
      <c r="K131" s="5"/>
      <c r="L131" s="5"/>
    </row>
    <row r="132" spans="1:12" x14ac:dyDescent="0.2">
      <c r="A132" s="4" t="s">
        <v>580</v>
      </c>
      <c r="B132" s="4" t="s">
        <v>324</v>
      </c>
      <c r="C132" s="4" t="s">
        <v>319</v>
      </c>
      <c r="D132" s="4" t="s">
        <v>581</v>
      </c>
      <c r="E132" s="5">
        <v>0</v>
      </c>
      <c r="F132" s="5">
        <v>0</v>
      </c>
      <c r="G132" s="5"/>
      <c r="H132" s="5"/>
      <c r="I132" s="5"/>
      <c r="J132" s="5"/>
      <c r="K132" s="5"/>
      <c r="L132" s="5"/>
    </row>
    <row r="133" spans="1:12" x14ac:dyDescent="0.2">
      <c r="A133" s="4" t="s">
        <v>582</v>
      </c>
      <c r="B133" s="4" t="s">
        <v>324</v>
      </c>
      <c r="C133" s="4" t="s">
        <v>319</v>
      </c>
      <c r="D133" s="4" t="s">
        <v>583</v>
      </c>
      <c r="E133" s="5">
        <v>0</v>
      </c>
      <c r="F133" s="5">
        <v>0</v>
      </c>
      <c r="G133" s="5"/>
      <c r="H133" s="5"/>
      <c r="I133" s="5"/>
      <c r="J133" s="5"/>
      <c r="K133" s="5"/>
      <c r="L133" s="5"/>
    </row>
    <row r="134" spans="1:12" x14ac:dyDescent="0.2">
      <c r="A134" s="4" t="s">
        <v>584</v>
      </c>
      <c r="B134" s="4" t="s">
        <v>324</v>
      </c>
      <c r="C134" s="4" t="s">
        <v>319</v>
      </c>
      <c r="D134" s="4" t="s">
        <v>585</v>
      </c>
      <c r="E134" s="5">
        <v>150</v>
      </c>
      <c r="F134" s="5">
        <v>150</v>
      </c>
      <c r="G134" s="5"/>
      <c r="H134" s="5"/>
      <c r="I134" s="5"/>
      <c r="J134" s="5"/>
      <c r="K134" s="5"/>
      <c r="L134" s="5"/>
    </row>
    <row r="135" spans="1:12" x14ac:dyDescent="0.2">
      <c r="A135" s="4" t="s">
        <v>586</v>
      </c>
      <c r="B135" s="4" t="s">
        <v>324</v>
      </c>
      <c r="C135" s="4" t="s">
        <v>319</v>
      </c>
      <c r="D135" s="4" t="s">
        <v>587</v>
      </c>
      <c r="E135" s="5">
        <v>0</v>
      </c>
      <c r="F135" s="5">
        <v>0</v>
      </c>
      <c r="G135" s="5"/>
      <c r="H135" s="5"/>
      <c r="I135" s="5"/>
      <c r="J135" s="5"/>
      <c r="K135" s="5"/>
      <c r="L135" s="5"/>
    </row>
    <row r="136" spans="1:12" x14ac:dyDescent="0.2">
      <c r="A136" s="4" t="s">
        <v>588</v>
      </c>
      <c r="B136" s="4" t="s">
        <v>324</v>
      </c>
      <c r="C136" s="4" t="s">
        <v>319</v>
      </c>
      <c r="D136" s="4" t="s">
        <v>589</v>
      </c>
      <c r="E136" s="5">
        <v>0</v>
      </c>
      <c r="F136" s="5">
        <v>0</v>
      </c>
      <c r="G136" s="5"/>
      <c r="H136" s="5"/>
      <c r="I136" s="5"/>
      <c r="J136" s="5"/>
      <c r="K136" s="5"/>
      <c r="L136" s="5"/>
    </row>
    <row r="137" spans="1:12" x14ac:dyDescent="0.2">
      <c r="A137" s="4" t="s">
        <v>590</v>
      </c>
      <c r="B137" s="4" t="s">
        <v>324</v>
      </c>
      <c r="C137" s="4" t="s">
        <v>319</v>
      </c>
      <c r="D137" s="4" t="s">
        <v>591</v>
      </c>
      <c r="E137" s="5">
        <v>1875</v>
      </c>
      <c r="F137" s="5">
        <v>1875</v>
      </c>
      <c r="G137" s="5"/>
      <c r="H137" s="5"/>
      <c r="I137" s="5"/>
      <c r="J137" s="5"/>
      <c r="K137" s="5"/>
      <c r="L137" s="5"/>
    </row>
    <row r="138" spans="1:12" x14ac:dyDescent="0.2">
      <c r="A138" s="4" t="s">
        <v>592</v>
      </c>
      <c r="B138" s="4" t="s">
        <v>324</v>
      </c>
      <c r="C138" s="4" t="s">
        <v>319</v>
      </c>
      <c r="D138" s="4" t="s">
        <v>593</v>
      </c>
      <c r="E138" s="5">
        <v>400</v>
      </c>
      <c r="F138" s="5">
        <v>675</v>
      </c>
      <c r="G138" s="5"/>
      <c r="H138" s="5"/>
      <c r="I138" s="5"/>
      <c r="J138" s="5"/>
      <c r="K138" s="5"/>
      <c r="L138" s="5"/>
    </row>
    <row r="139" spans="1:12" x14ac:dyDescent="0.2">
      <c r="A139" s="4" t="s">
        <v>594</v>
      </c>
      <c r="B139" s="4" t="s">
        <v>324</v>
      </c>
      <c r="C139" s="4" t="s">
        <v>319</v>
      </c>
      <c r="D139" s="4" t="s">
        <v>595</v>
      </c>
      <c r="E139" s="5">
        <v>0</v>
      </c>
      <c r="F139" s="5">
        <v>0</v>
      </c>
      <c r="G139" s="5"/>
      <c r="H139" s="5"/>
      <c r="I139" s="5"/>
      <c r="J139" s="5"/>
      <c r="K139" s="5"/>
      <c r="L139" s="5"/>
    </row>
    <row r="140" spans="1:12" x14ac:dyDescent="0.2">
      <c r="A140" s="4" t="s">
        <v>596</v>
      </c>
      <c r="B140" s="4" t="s">
        <v>324</v>
      </c>
      <c r="C140" s="4" t="s">
        <v>319</v>
      </c>
      <c r="D140" s="4" t="s">
        <v>597</v>
      </c>
      <c r="E140" s="5">
        <v>400</v>
      </c>
      <c r="F140" s="5">
        <v>675</v>
      </c>
      <c r="G140" s="5"/>
      <c r="H140" s="5"/>
      <c r="I140" s="5"/>
      <c r="J140" s="5"/>
      <c r="K140" s="5"/>
      <c r="L140" s="5"/>
    </row>
    <row r="141" spans="1:12" x14ac:dyDescent="0.2">
      <c r="A141" s="4" t="s">
        <v>598</v>
      </c>
      <c r="B141" s="4" t="s">
        <v>324</v>
      </c>
      <c r="C141" s="4" t="s">
        <v>319</v>
      </c>
      <c r="D141" s="4" t="s">
        <v>599</v>
      </c>
      <c r="E141" s="5">
        <v>0</v>
      </c>
      <c r="F141" s="5">
        <v>0</v>
      </c>
      <c r="G141" s="5"/>
      <c r="H141" s="5"/>
      <c r="I141" s="5"/>
      <c r="J141" s="5"/>
      <c r="K141" s="5"/>
      <c r="L141" s="5"/>
    </row>
    <row r="142" spans="1:12" x14ac:dyDescent="0.2">
      <c r="A142" s="4" t="s">
        <v>600</v>
      </c>
      <c r="B142" s="4" t="s">
        <v>324</v>
      </c>
      <c r="C142" s="4" t="s">
        <v>319</v>
      </c>
      <c r="D142" s="4" t="s">
        <v>601</v>
      </c>
      <c r="E142" s="5">
        <v>0</v>
      </c>
      <c r="F142" s="5">
        <v>0</v>
      </c>
      <c r="G142" s="5"/>
      <c r="H142" s="5"/>
      <c r="I142" s="5"/>
      <c r="J142" s="5"/>
      <c r="K142" s="5"/>
      <c r="L142" s="5"/>
    </row>
    <row r="143" spans="1:12" x14ac:dyDescent="0.2">
      <c r="A143" s="4" t="s">
        <v>602</v>
      </c>
      <c r="B143" s="4" t="s">
        <v>324</v>
      </c>
      <c r="C143" s="4" t="s">
        <v>319</v>
      </c>
      <c r="D143" s="4" t="s">
        <v>603</v>
      </c>
      <c r="E143" s="5">
        <v>0</v>
      </c>
      <c r="F143" s="5">
        <v>0</v>
      </c>
      <c r="G143" s="5"/>
      <c r="H143" s="5"/>
      <c r="I143" s="5"/>
      <c r="J143" s="5"/>
      <c r="K143" s="5"/>
      <c r="L143" s="5"/>
    </row>
    <row r="144" spans="1:12" x14ac:dyDescent="0.2">
      <c r="A144" s="4" t="s">
        <v>604</v>
      </c>
      <c r="B144" s="4" t="s">
        <v>324</v>
      </c>
      <c r="C144" s="4" t="s">
        <v>319</v>
      </c>
      <c r="D144" s="4" t="s">
        <v>605</v>
      </c>
      <c r="E144" s="5">
        <v>0</v>
      </c>
      <c r="F144" s="5">
        <v>0</v>
      </c>
      <c r="G144" s="5"/>
      <c r="H144" s="5"/>
      <c r="I144" s="5"/>
      <c r="J144" s="5"/>
      <c r="K144" s="5"/>
      <c r="L144" s="5"/>
    </row>
    <row r="145" spans="1:12" x14ac:dyDescent="0.2">
      <c r="A145" s="4" t="s">
        <v>606</v>
      </c>
      <c r="B145" s="4" t="s">
        <v>324</v>
      </c>
      <c r="C145" s="4" t="s">
        <v>319</v>
      </c>
      <c r="D145" s="4" t="s">
        <v>607</v>
      </c>
      <c r="E145" s="5">
        <v>0</v>
      </c>
      <c r="F145" s="5">
        <v>0</v>
      </c>
      <c r="G145" s="5"/>
      <c r="H145" s="5"/>
      <c r="I145" s="5"/>
      <c r="J145" s="5"/>
      <c r="K145" s="5"/>
      <c r="L145" s="5"/>
    </row>
    <row r="146" spans="1:12" x14ac:dyDescent="0.2">
      <c r="A146" s="4" t="s">
        <v>608</v>
      </c>
      <c r="B146" s="4" t="s">
        <v>324</v>
      </c>
      <c r="C146" s="4" t="s">
        <v>319</v>
      </c>
      <c r="D146" s="4" t="s">
        <v>609</v>
      </c>
      <c r="E146" s="5">
        <v>0</v>
      </c>
      <c r="F146" s="5">
        <v>0</v>
      </c>
      <c r="G146" s="5"/>
      <c r="H146" s="5"/>
      <c r="I146" s="5"/>
      <c r="J146" s="5"/>
      <c r="K146" s="5"/>
      <c r="L146" s="5"/>
    </row>
    <row r="147" spans="1:12" x14ac:dyDescent="0.2">
      <c r="A147" s="4" t="s">
        <v>610</v>
      </c>
      <c r="B147" s="4" t="s">
        <v>324</v>
      </c>
      <c r="C147" s="4" t="s">
        <v>319</v>
      </c>
      <c r="D147" s="4" t="s">
        <v>611</v>
      </c>
      <c r="E147" s="5">
        <v>0</v>
      </c>
      <c r="F147" s="5">
        <v>0</v>
      </c>
      <c r="G147" s="5"/>
      <c r="H147" s="5"/>
      <c r="I147" s="5"/>
      <c r="J147" s="5"/>
      <c r="K147" s="5"/>
      <c r="L147" s="5"/>
    </row>
    <row r="148" spans="1:12" x14ac:dyDescent="0.2">
      <c r="A148" s="4" t="s">
        <v>612</v>
      </c>
      <c r="B148" s="4" t="s">
        <v>324</v>
      </c>
      <c r="C148" s="4" t="s">
        <v>319</v>
      </c>
      <c r="D148" s="4" t="s">
        <v>613</v>
      </c>
      <c r="E148" s="5">
        <v>0</v>
      </c>
      <c r="F148" s="5">
        <v>0</v>
      </c>
      <c r="G148" s="5"/>
      <c r="H148" s="5"/>
      <c r="I148" s="5"/>
      <c r="J148" s="5"/>
      <c r="K148" s="5"/>
      <c r="L148" s="5"/>
    </row>
    <row r="149" spans="1:12" x14ac:dyDescent="0.2">
      <c r="A149" s="4" t="s">
        <v>614</v>
      </c>
      <c r="B149" s="4" t="s">
        <v>324</v>
      </c>
      <c r="C149" s="4" t="s">
        <v>319</v>
      </c>
      <c r="D149" s="4" t="s">
        <v>615</v>
      </c>
      <c r="E149" s="5">
        <v>400</v>
      </c>
      <c r="F149" s="5">
        <v>0</v>
      </c>
      <c r="G149" s="5"/>
      <c r="H149" s="5"/>
      <c r="I149" s="5"/>
      <c r="J149" s="5"/>
      <c r="K149" s="5"/>
      <c r="L149" s="5"/>
    </row>
    <row r="150" spans="1:12" x14ac:dyDescent="0.2">
      <c r="A150" s="4" t="s">
        <v>616</v>
      </c>
      <c r="B150" s="4" t="s">
        <v>324</v>
      </c>
      <c r="C150" s="4" t="s">
        <v>319</v>
      </c>
      <c r="D150" s="4" t="s">
        <v>617</v>
      </c>
      <c r="E150" s="5">
        <v>0</v>
      </c>
      <c r="F150" s="5">
        <v>0</v>
      </c>
      <c r="G150" s="5"/>
      <c r="H150" s="5"/>
      <c r="I150" s="5"/>
      <c r="J150" s="5"/>
      <c r="K150" s="5"/>
      <c r="L150" s="5"/>
    </row>
    <row r="151" spans="1:12" x14ac:dyDescent="0.2">
      <c r="A151" s="4" t="s">
        <v>618</v>
      </c>
      <c r="B151" s="4" t="s">
        <v>324</v>
      </c>
      <c r="C151" s="4" t="s">
        <v>319</v>
      </c>
      <c r="D151" s="4" t="s">
        <v>619</v>
      </c>
      <c r="E151" s="5">
        <v>0</v>
      </c>
      <c r="F151" s="5">
        <v>0</v>
      </c>
      <c r="G151" s="5"/>
      <c r="H151" s="5"/>
      <c r="I151" s="5"/>
      <c r="J151" s="5"/>
      <c r="K151" s="5"/>
      <c r="L151" s="5"/>
    </row>
    <row r="152" spans="1:12" x14ac:dyDescent="0.2">
      <c r="A152" s="4" t="s">
        <v>620</v>
      </c>
      <c r="B152" s="4" t="s">
        <v>324</v>
      </c>
      <c r="C152" s="4" t="s">
        <v>319</v>
      </c>
      <c r="D152" s="4" t="s">
        <v>621</v>
      </c>
      <c r="E152" s="5">
        <v>0</v>
      </c>
      <c r="F152" s="5">
        <v>0</v>
      </c>
      <c r="G152" s="5"/>
      <c r="H152" s="5"/>
      <c r="I152" s="5"/>
      <c r="J152" s="5"/>
      <c r="K152" s="5"/>
      <c r="L152" s="5"/>
    </row>
    <row r="153" spans="1:12" x14ac:dyDescent="0.2">
      <c r="A153" s="4" t="s">
        <v>622</v>
      </c>
      <c r="B153" s="4" t="s">
        <v>324</v>
      </c>
      <c r="C153" s="4" t="s">
        <v>319</v>
      </c>
      <c r="D153" s="4" t="s">
        <v>623</v>
      </c>
      <c r="E153" s="5">
        <v>0</v>
      </c>
      <c r="F153" s="5">
        <v>675</v>
      </c>
      <c r="G153" s="5"/>
      <c r="H153" s="5"/>
      <c r="I153" s="5"/>
      <c r="J153" s="5"/>
      <c r="K153" s="5"/>
      <c r="L153" s="5"/>
    </row>
    <row r="154" spans="1:12" x14ac:dyDescent="0.2">
      <c r="A154" s="4" t="s">
        <v>624</v>
      </c>
      <c r="B154" s="4" t="s">
        <v>324</v>
      </c>
      <c r="C154" s="4" t="s">
        <v>319</v>
      </c>
      <c r="D154" s="4" t="s">
        <v>625</v>
      </c>
      <c r="E154" s="5">
        <v>0</v>
      </c>
      <c r="F154" s="5">
        <v>0</v>
      </c>
      <c r="G154" s="5"/>
      <c r="H154" s="5"/>
      <c r="I154" s="5"/>
      <c r="J154" s="5"/>
      <c r="K154" s="5"/>
      <c r="L154" s="5"/>
    </row>
    <row r="155" spans="1:12" x14ac:dyDescent="0.2">
      <c r="A155" s="4" t="s">
        <v>626</v>
      </c>
      <c r="B155" s="4" t="s">
        <v>324</v>
      </c>
      <c r="C155" s="4" t="s">
        <v>319</v>
      </c>
      <c r="D155" s="4" t="s">
        <v>627</v>
      </c>
      <c r="E155" s="5">
        <v>0</v>
      </c>
      <c r="F155" s="5">
        <v>0</v>
      </c>
      <c r="G155" s="5"/>
      <c r="H155" s="5"/>
      <c r="I155" s="5"/>
      <c r="J155" s="5"/>
      <c r="K155" s="5"/>
      <c r="L155" s="5"/>
    </row>
    <row r="156" spans="1:12" x14ac:dyDescent="0.2">
      <c r="A156" s="4" t="s">
        <v>628</v>
      </c>
      <c r="B156" s="4" t="s">
        <v>324</v>
      </c>
      <c r="C156" s="4" t="s">
        <v>319</v>
      </c>
      <c r="D156" s="4" t="s">
        <v>629</v>
      </c>
      <c r="E156" s="5">
        <v>0</v>
      </c>
      <c r="F156" s="5">
        <v>0</v>
      </c>
      <c r="G156" s="5"/>
      <c r="H156" s="5"/>
      <c r="I156" s="5"/>
      <c r="J156" s="5"/>
      <c r="K156" s="5"/>
      <c r="L156" s="5"/>
    </row>
    <row r="157" spans="1:12" x14ac:dyDescent="0.2">
      <c r="A157" s="4" t="s">
        <v>630</v>
      </c>
      <c r="B157" s="4" t="s">
        <v>324</v>
      </c>
      <c r="C157" s="4" t="s">
        <v>319</v>
      </c>
      <c r="D157" s="4" t="s">
        <v>631</v>
      </c>
      <c r="E157" s="5">
        <v>0</v>
      </c>
      <c r="F157" s="5">
        <v>0</v>
      </c>
      <c r="G157" s="5"/>
      <c r="H157" s="5"/>
      <c r="I157" s="5"/>
      <c r="J157" s="5"/>
      <c r="K157" s="5"/>
      <c r="L157" s="5"/>
    </row>
    <row r="158" spans="1:12" x14ac:dyDescent="0.2">
      <c r="A158" s="4" t="s">
        <v>632</v>
      </c>
      <c r="B158" s="4" t="s">
        <v>324</v>
      </c>
      <c r="C158" s="4" t="s">
        <v>319</v>
      </c>
      <c r="D158" s="4" t="s">
        <v>633</v>
      </c>
      <c r="E158" s="5">
        <v>0</v>
      </c>
      <c r="F158" s="5">
        <v>0</v>
      </c>
      <c r="G158" s="5"/>
      <c r="H158" s="5"/>
      <c r="I158" s="5"/>
      <c r="J158" s="5"/>
      <c r="K158" s="5"/>
      <c r="L158" s="5"/>
    </row>
    <row r="159" spans="1:12" x14ac:dyDescent="0.2">
      <c r="A159" s="4" t="s">
        <v>634</v>
      </c>
      <c r="B159" s="4" t="s">
        <v>324</v>
      </c>
      <c r="C159" s="4" t="s">
        <v>319</v>
      </c>
      <c r="D159" s="4" t="s">
        <v>635</v>
      </c>
      <c r="E159" s="5">
        <v>0</v>
      </c>
      <c r="F159" s="5">
        <v>0</v>
      </c>
      <c r="G159" s="5"/>
      <c r="H159" s="5"/>
      <c r="I159" s="5"/>
      <c r="J159" s="5"/>
      <c r="K159" s="5"/>
      <c r="L159" s="5"/>
    </row>
    <row r="160" spans="1:12" x14ac:dyDescent="0.2">
      <c r="A160" s="4" t="s">
        <v>636</v>
      </c>
      <c r="B160" s="4" t="s">
        <v>324</v>
      </c>
      <c r="C160" s="4" t="s">
        <v>319</v>
      </c>
      <c r="D160" s="4" t="s">
        <v>637</v>
      </c>
      <c r="E160" s="5">
        <v>0</v>
      </c>
      <c r="F160" s="5">
        <v>0</v>
      </c>
      <c r="G160" s="5"/>
      <c r="H160" s="5"/>
      <c r="I160" s="5"/>
      <c r="J160" s="5"/>
      <c r="K160" s="5"/>
      <c r="L160" s="5"/>
    </row>
    <row r="161" spans="1:12" x14ac:dyDescent="0.2">
      <c r="A161" s="4" t="s">
        <v>638</v>
      </c>
      <c r="B161" s="4" t="s">
        <v>324</v>
      </c>
      <c r="C161" s="4" t="s">
        <v>319</v>
      </c>
      <c r="D161" s="4" t="s">
        <v>639</v>
      </c>
      <c r="E161" s="5">
        <v>0</v>
      </c>
      <c r="F161" s="5">
        <v>0</v>
      </c>
      <c r="G161" s="5"/>
      <c r="H161" s="5"/>
      <c r="I161" s="5"/>
      <c r="J161" s="5"/>
      <c r="K161" s="5"/>
      <c r="L161" s="5"/>
    </row>
    <row r="162" spans="1:12" x14ac:dyDescent="0.2">
      <c r="A162" s="4" t="s">
        <v>640</v>
      </c>
      <c r="B162" s="4" t="s">
        <v>324</v>
      </c>
      <c r="C162" s="4" t="s">
        <v>319</v>
      </c>
      <c r="D162" s="4" t="s">
        <v>641</v>
      </c>
      <c r="E162" s="5">
        <v>0</v>
      </c>
      <c r="F162" s="5">
        <v>0</v>
      </c>
      <c r="G162" s="5"/>
      <c r="H162" s="5"/>
      <c r="I162" s="5"/>
      <c r="J162" s="5"/>
      <c r="K162" s="5"/>
      <c r="L162" s="5"/>
    </row>
    <row r="163" spans="1:12" x14ac:dyDescent="0.2">
      <c r="A163" s="4" t="s">
        <v>642</v>
      </c>
      <c r="B163" s="4" t="s">
        <v>324</v>
      </c>
      <c r="C163" s="4" t="s">
        <v>319</v>
      </c>
      <c r="D163" s="4" t="s">
        <v>643</v>
      </c>
      <c r="E163" s="5">
        <v>0</v>
      </c>
      <c r="F163" s="5">
        <v>0</v>
      </c>
      <c r="G163" s="5"/>
      <c r="H163" s="5"/>
      <c r="I163" s="5"/>
      <c r="J163" s="5"/>
      <c r="K163" s="5"/>
      <c r="L163" s="5"/>
    </row>
    <row r="164" spans="1:12" x14ac:dyDescent="0.2">
      <c r="A164" s="4" t="s">
        <v>644</v>
      </c>
      <c r="B164" s="4" t="s">
        <v>324</v>
      </c>
      <c r="C164" s="4" t="s">
        <v>319</v>
      </c>
      <c r="D164" s="4" t="s">
        <v>645</v>
      </c>
      <c r="E164" s="5">
        <v>0</v>
      </c>
      <c r="F164" s="5">
        <v>0</v>
      </c>
      <c r="G164" s="5"/>
      <c r="H164" s="5"/>
      <c r="I164" s="5"/>
      <c r="J164" s="5"/>
      <c r="K164" s="5"/>
      <c r="L164" s="5"/>
    </row>
    <row r="165" spans="1:12" x14ac:dyDescent="0.2">
      <c r="A165" s="4" t="s">
        <v>646</v>
      </c>
      <c r="B165" s="4" t="s">
        <v>324</v>
      </c>
      <c r="C165" s="4" t="s">
        <v>319</v>
      </c>
      <c r="D165" s="4" t="s">
        <v>647</v>
      </c>
      <c r="E165" s="5">
        <v>0</v>
      </c>
      <c r="F165" s="5">
        <v>0</v>
      </c>
      <c r="G165" s="5"/>
      <c r="H165" s="5"/>
      <c r="I165" s="5"/>
      <c r="J165" s="5"/>
      <c r="K165" s="5"/>
      <c r="L165" s="5"/>
    </row>
    <row r="166" spans="1:12" x14ac:dyDescent="0.2">
      <c r="A166" s="4" t="s">
        <v>648</v>
      </c>
      <c r="B166" s="4" t="s">
        <v>324</v>
      </c>
      <c r="C166" s="4" t="s">
        <v>319</v>
      </c>
      <c r="D166" s="4" t="s">
        <v>649</v>
      </c>
      <c r="E166" s="5">
        <v>0</v>
      </c>
      <c r="F166" s="5">
        <v>0</v>
      </c>
      <c r="G166" s="5"/>
      <c r="H166" s="5"/>
      <c r="I166" s="5"/>
      <c r="J166" s="5"/>
      <c r="K166" s="5"/>
      <c r="L166" s="5"/>
    </row>
    <row r="167" spans="1:12" x14ac:dyDescent="0.2">
      <c r="A167" s="4" t="s">
        <v>650</v>
      </c>
      <c r="B167" s="4" t="s">
        <v>324</v>
      </c>
      <c r="C167" s="4" t="s">
        <v>319</v>
      </c>
      <c r="D167" s="4" t="s">
        <v>651</v>
      </c>
      <c r="E167" s="5">
        <v>0</v>
      </c>
      <c r="F167" s="5">
        <v>0</v>
      </c>
      <c r="G167" s="5"/>
      <c r="H167" s="5"/>
      <c r="I167" s="5"/>
      <c r="J167" s="5"/>
      <c r="K167" s="5"/>
      <c r="L167" s="5"/>
    </row>
    <row r="168" spans="1:12" x14ac:dyDescent="0.2">
      <c r="A168" s="4" t="s">
        <v>652</v>
      </c>
      <c r="B168" s="4" t="s">
        <v>324</v>
      </c>
      <c r="C168" s="4" t="s">
        <v>319</v>
      </c>
      <c r="D168" s="4" t="s">
        <v>653</v>
      </c>
      <c r="E168" s="5">
        <v>0</v>
      </c>
      <c r="F168" s="5">
        <v>0</v>
      </c>
      <c r="G168" s="5"/>
      <c r="H168" s="5"/>
      <c r="I168" s="5"/>
      <c r="J168" s="5"/>
      <c r="K168" s="5"/>
      <c r="L168" s="5"/>
    </row>
    <row r="169" spans="1:12" x14ac:dyDescent="0.2">
      <c r="A169" s="4" t="s">
        <v>654</v>
      </c>
      <c r="B169" s="4" t="s">
        <v>324</v>
      </c>
      <c r="C169" s="4" t="s">
        <v>319</v>
      </c>
      <c r="D169" s="4" t="s">
        <v>655</v>
      </c>
      <c r="E169" s="5">
        <v>0</v>
      </c>
      <c r="F169" s="5">
        <v>0</v>
      </c>
      <c r="G169" s="5"/>
      <c r="H169" s="5"/>
      <c r="I169" s="5"/>
      <c r="J169" s="5"/>
      <c r="K169" s="5"/>
      <c r="L169" s="5"/>
    </row>
    <row r="170" spans="1:12" x14ac:dyDescent="0.2">
      <c r="A170" s="4" t="s">
        <v>656</v>
      </c>
      <c r="B170" s="4" t="s">
        <v>324</v>
      </c>
      <c r="C170" s="4" t="s">
        <v>319</v>
      </c>
      <c r="D170" s="4" t="s">
        <v>657</v>
      </c>
      <c r="E170" s="5">
        <v>0</v>
      </c>
      <c r="F170" s="5">
        <v>0</v>
      </c>
      <c r="G170" s="5"/>
      <c r="H170" s="5"/>
      <c r="I170" s="5"/>
      <c r="J170" s="5"/>
      <c r="K170" s="5"/>
      <c r="L170" s="5"/>
    </row>
    <row r="171" spans="1:12" x14ac:dyDescent="0.2">
      <c r="A171" s="4" t="s">
        <v>658</v>
      </c>
      <c r="B171" s="4" t="s">
        <v>324</v>
      </c>
      <c r="C171" s="4" t="s">
        <v>319</v>
      </c>
      <c r="D171" s="4" t="s">
        <v>659</v>
      </c>
      <c r="E171" s="5">
        <v>0</v>
      </c>
      <c r="F171" s="5">
        <v>0</v>
      </c>
      <c r="G171" s="5"/>
      <c r="H171" s="5"/>
      <c r="I171" s="5"/>
      <c r="J171" s="5"/>
      <c r="K171" s="5"/>
      <c r="L171" s="5"/>
    </row>
    <row r="172" spans="1:12" x14ac:dyDescent="0.2">
      <c r="A172" s="4" t="s">
        <v>660</v>
      </c>
      <c r="B172" s="4" t="s">
        <v>324</v>
      </c>
      <c r="C172" s="4" t="s">
        <v>319</v>
      </c>
      <c r="D172" s="4" t="s">
        <v>661</v>
      </c>
      <c r="E172" s="5">
        <v>0</v>
      </c>
      <c r="F172" s="5">
        <v>0</v>
      </c>
      <c r="G172" s="5"/>
      <c r="H172" s="5"/>
      <c r="I172" s="5"/>
      <c r="J172" s="5"/>
      <c r="K172" s="5"/>
      <c r="L172" s="5"/>
    </row>
    <row r="173" spans="1:12" x14ac:dyDescent="0.2">
      <c r="A173" s="4" t="s">
        <v>662</v>
      </c>
      <c r="B173" s="4" t="s">
        <v>324</v>
      </c>
      <c r="C173" s="4" t="s">
        <v>319</v>
      </c>
      <c r="D173" s="4" t="s">
        <v>663</v>
      </c>
      <c r="E173" s="5">
        <v>0</v>
      </c>
      <c r="F173" s="5">
        <v>0</v>
      </c>
      <c r="G173" s="5"/>
      <c r="H173" s="5"/>
      <c r="I173" s="5"/>
      <c r="J173" s="5"/>
      <c r="K173" s="5"/>
      <c r="L173" s="5"/>
    </row>
    <row r="174" spans="1:12" x14ac:dyDescent="0.2">
      <c r="A174" s="4" t="s">
        <v>664</v>
      </c>
      <c r="B174" s="4" t="s">
        <v>324</v>
      </c>
      <c r="C174" s="4" t="s">
        <v>319</v>
      </c>
      <c r="D174" s="4" t="s">
        <v>665</v>
      </c>
      <c r="E174" s="5">
        <v>0</v>
      </c>
      <c r="F174" s="5">
        <v>0</v>
      </c>
      <c r="G174" s="5"/>
      <c r="H174" s="5"/>
      <c r="I174" s="5"/>
      <c r="J174" s="5"/>
      <c r="K174" s="5"/>
      <c r="L174" s="5"/>
    </row>
    <row r="175" spans="1:12" x14ac:dyDescent="0.2">
      <c r="A175" s="4" t="s">
        <v>666</v>
      </c>
      <c r="B175" s="4" t="s">
        <v>324</v>
      </c>
      <c r="C175" s="4" t="s">
        <v>319</v>
      </c>
      <c r="D175" s="4" t="s">
        <v>667</v>
      </c>
      <c r="E175" s="5">
        <v>0</v>
      </c>
      <c r="F175" s="5">
        <v>0</v>
      </c>
      <c r="G175" s="5"/>
      <c r="H175" s="5"/>
      <c r="I175" s="5"/>
      <c r="J175" s="5"/>
      <c r="K175" s="5"/>
      <c r="L175" s="5"/>
    </row>
    <row r="176" spans="1:12" x14ac:dyDescent="0.2">
      <c r="A176" s="4" t="s">
        <v>668</v>
      </c>
      <c r="B176" s="4" t="s">
        <v>324</v>
      </c>
      <c r="C176" s="4" t="s">
        <v>319</v>
      </c>
      <c r="D176" s="4" t="s">
        <v>669</v>
      </c>
      <c r="E176" s="5">
        <v>400</v>
      </c>
      <c r="F176" s="5">
        <v>0</v>
      </c>
      <c r="G176" s="5"/>
      <c r="H176" s="5"/>
      <c r="I176" s="5"/>
      <c r="J176" s="5"/>
      <c r="K176" s="5"/>
      <c r="L176" s="5"/>
    </row>
    <row r="177" spans="1:12" x14ac:dyDescent="0.2">
      <c r="A177" s="4" t="s">
        <v>670</v>
      </c>
      <c r="B177" s="4" t="s">
        <v>324</v>
      </c>
      <c r="C177" s="4" t="s">
        <v>319</v>
      </c>
      <c r="D177" s="4" t="s">
        <v>671</v>
      </c>
      <c r="E177" s="5">
        <v>0</v>
      </c>
      <c r="F177" s="5">
        <v>0</v>
      </c>
      <c r="G177" s="5"/>
      <c r="H177" s="5"/>
      <c r="I177" s="5"/>
      <c r="J177" s="5"/>
      <c r="K177" s="5"/>
      <c r="L177" s="5"/>
    </row>
    <row r="178" spans="1:12" x14ac:dyDescent="0.2">
      <c r="A178" s="4" t="s">
        <v>672</v>
      </c>
      <c r="B178" s="4" t="s">
        <v>324</v>
      </c>
      <c r="C178" s="4" t="s">
        <v>319</v>
      </c>
      <c r="D178" s="4" t="s">
        <v>673</v>
      </c>
      <c r="E178" s="5">
        <v>0</v>
      </c>
      <c r="F178" s="5">
        <v>0</v>
      </c>
      <c r="G178" s="5"/>
      <c r="H178" s="5"/>
      <c r="I178" s="5"/>
      <c r="J178" s="5"/>
      <c r="K178" s="5"/>
      <c r="L178" s="5"/>
    </row>
    <row r="179" spans="1:12" x14ac:dyDescent="0.2">
      <c r="A179" s="4" t="s">
        <v>674</v>
      </c>
      <c r="B179" s="4" t="s">
        <v>324</v>
      </c>
      <c r="C179" s="4" t="s">
        <v>319</v>
      </c>
      <c r="D179" s="4" t="s">
        <v>675</v>
      </c>
      <c r="E179" s="5">
        <v>0</v>
      </c>
      <c r="F179" s="5">
        <v>0</v>
      </c>
      <c r="G179" s="5"/>
      <c r="H179" s="5"/>
      <c r="I179" s="5"/>
      <c r="J179" s="5"/>
      <c r="K179" s="5"/>
      <c r="L179" s="5"/>
    </row>
    <row r="180" spans="1:12" x14ac:dyDescent="0.2">
      <c r="A180" s="4" t="s">
        <v>676</v>
      </c>
      <c r="B180" s="4" t="s">
        <v>324</v>
      </c>
      <c r="C180" s="4" t="s">
        <v>319</v>
      </c>
      <c r="D180" s="4" t="s">
        <v>677</v>
      </c>
      <c r="E180" s="5">
        <v>0</v>
      </c>
      <c r="F180" s="5">
        <v>0</v>
      </c>
      <c r="G180" s="5"/>
      <c r="H180" s="5"/>
      <c r="I180" s="5"/>
      <c r="J180" s="5"/>
      <c r="K180" s="5"/>
      <c r="L180" s="5"/>
    </row>
    <row r="181" spans="1:12" x14ac:dyDescent="0.2">
      <c r="A181" s="4" t="s">
        <v>678</v>
      </c>
      <c r="B181" s="4" t="s">
        <v>324</v>
      </c>
      <c r="C181" s="4" t="s">
        <v>319</v>
      </c>
      <c r="D181" s="4" t="s">
        <v>679</v>
      </c>
      <c r="E181" s="5">
        <v>0</v>
      </c>
      <c r="F181" s="5">
        <v>0</v>
      </c>
      <c r="G181" s="5"/>
      <c r="H181" s="5"/>
      <c r="I181" s="5"/>
      <c r="J181" s="5"/>
      <c r="K181" s="5"/>
      <c r="L181" s="5"/>
    </row>
    <row r="182" spans="1:12" x14ac:dyDescent="0.2">
      <c r="A182" s="4" t="s">
        <v>680</v>
      </c>
      <c r="B182" s="4" t="s">
        <v>324</v>
      </c>
      <c r="C182" s="4" t="s">
        <v>319</v>
      </c>
      <c r="D182" s="4" t="s">
        <v>681</v>
      </c>
      <c r="E182" s="5">
        <v>0</v>
      </c>
      <c r="F182" s="5">
        <v>675</v>
      </c>
      <c r="G182" s="5"/>
      <c r="H182" s="5"/>
      <c r="I182" s="5"/>
      <c r="J182" s="5"/>
      <c r="K182" s="5"/>
      <c r="L182" s="5"/>
    </row>
    <row r="183" spans="1:12" x14ac:dyDescent="0.2">
      <c r="A183" s="4" t="s">
        <v>682</v>
      </c>
      <c r="B183" s="4" t="s">
        <v>324</v>
      </c>
      <c r="C183" s="4" t="s">
        <v>319</v>
      </c>
      <c r="D183" s="4" t="s">
        <v>683</v>
      </c>
      <c r="E183" s="5">
        <v>0</v>
      </c>
      <c r="F183" s="5">
        <v>375</v>
      </c>
      <c r="G183" s="5"/>
      <c r="H183" s="5"/>
      <c r="I183" s="5"/>
      <c r="J183" s="5"/>
      <c r="K183" s="5"/>
      <c r="L183" s="5"/>
    </row>
    <row r="184" spans="1:12" x14ac:dyDescent="0.2">
      <c r="A184" s="4" t="s">
        <v>684</v>
      </c>
      <c r="B184" s="4" t="s">
        <v>324</v>
      </c>
      <c r="C184" s="4" t="s">
        <v>319</v>
      </c>
      <c r="D184" s="4" t="s">
        <v>685</v>
      </c>
      <c r="E184" s="5">
        <v>0</v>
      </c>
      <c r="F184" s="5">
        <v>0</v>
      </c>
      <c r="G184" s="5"/>
      <c r="H184" s="5"/>
      <c r="I184" s="5"/>
      <c r="J184" s="5"/>
      <c r="K184" s="5"/>
      <c r="L184" s="5"/>
    </row>
    <row r="185" spans="1:12" x14ac:dyDescent="0.2">
      <c r="A185" s="4" t="s">
        <v>686</v>
      </c>
      <c r="B185" s="4" t="s">
        <v>324</v>
      </c>
      <c r="C185" s="4" t="s">
        <v>319</v>
      </c>
      <c r="D185" s="4" t="s">
        <v>687</v>
      </c>
      <c r="E185" s="5">
        <v>0</v>
      </c>
      <c r="F185" s="5">
        <v>375</v>
      </c>
      <c r="G185" s="5"/>
      <c r="H185" s="5"/>
      <c r="I185" s="5"/>
      <c r="J185" s="5"/>
      <c r="K185" s="5"/>
      <c r="L185" s="5"/>
    </row>
    <row r="186" spans="1:12" x14ac:dyDescent="0.2">
      <c r="A186" s="4" t="s">
        <v>688</v>
      </c>
      <c r="B186" s="4" t="s">
        <v>324</v>
      </c>
      <c r="C186" s="4" t="s">
        <v>319</v>
      </c>
      <c r="D186" s="4" t="s">
        <v>689</v>
      </c>
      <c r="E186" s="5">
        <v>0</v>
      </c>
      <c r="F186" s="5">
        <v>0</v>
      </c>
      <c r="G186" s="5"/>
      <c r="H186" s="5"/>
      <c r="I186" s="5"/>
      <c r="J186" s="5"/>
      <c r="K186" s="5"/>
      <c r="L186" s="5"/>
    </row>
    <row r="187" spans="1:12" x14ac:dyDescent="0.2">
      <c r="A187" s="4" t="s">
        <v>690</v>
      </c>
      <c r="B187" s="4" t="s">
        <v>324</v>
      </c>
      <c r="C187" s="4" t="s">
        <v>319</v>
      </c>
      <c r="D187" s="4" t="s">
        <v>691</v>
      </c>
      <c r="E187" s="5">
        <v>0</v>
      </c>
      <c r="F187" s="5">
        <v>0</v>
      </c>
      <c r="G187" s="5"/>
      <c r="H187" s="5"/>
      <c r="I187" s="5"/>
      <c r="J187" s="5"/>
      <c r="K187" s="5"/>
      <c r="L187" s="5"/>
    </row>
    <row r="188" spans="1:12" x14ac:dyDescent="0.2">
      <c r="A188" s="4" t="s">
        <v>692</v>
      </c>
      <c r="B188" s="4" t="s">
        <v>324</v>
      </c>
      <c r="C188" s="4" t="s">
        <v>319</v>
      </c>
      <c r="D188" s="4" t="s">
        <v>693</v>
      </c>
      <c r="E188" s="5">
        <v>0</v>
      </c>
      <c r="F188" s="5">
        <v>0</v>
      </c>
      <c r="G188" s="5"/>
      <c r="H188" s="5"/>
      <c r="I188" s="5"/>
      <c r="J188" s="5"/>
      <c r="K188" s="5"/>
      <c r="L188" s="5"/>
    </row>
    <row r="189" spans="1:12" x14ac:dyDescent="0.2">
      <c r="A189" s="4" t="s">
        <v>694</v>
      </c>
      <c r="B189" s="4" t="s">
        <v>324</v>
      </c>
      <c r="C189" s="4" t="s">
        <v>319</v>
      </c>
      <c r="D189" s="4" t="s">
        <v>695</v>
      </c>
      <c r="E189" s="5">
        <v>0</v>
      </c>
      <c r="F189" s="5">
        <v>0</v>
      </c>
      <c r="G189" s="5"/>
      <c r="H189" s="5"/>
      <c r="I189" s="5"/>
      <c r="J189" s="5"/>
      <c r="K189" s="5"/>
      <c r="L189" s="5"/>
    </row>
    <row r="190" spans="1:12" x14ac:dyDescent="0.2">
      <c r="A190" s="4" t="s">
        <v>696</v>
      </c>
      <c r="B190" s="4" t="s">
        <v>324</v>
      </c>
      <c r="C190" s="4" t="s">
        <v>319</v>
      </c>
      <c r="D190" s="4" t="s">
        <v>697</v>
      </c>
      <c r="E190" s="5">
        <v>0</v>
      </c>
      <c r="F190" s="5">
        <v>0</v>
      </c>
      <c r="G190" s="5"/>
      <c r="H190" s="5"/>
      <c r="I190" s="5"/>
      <c r="J190" s="5"/>
      <c r="K190" s="5"/>
      <c r="L190" s="5"/>
    </row>
    <row r="191" spans="1:12" x14ac:dyDescent="0.2">
      <c r="A191" s="4" t="s">
        <v>698</v>
      </c>
      <c r="B191" s="4" t="s">
        <v>324</v>
      </c>
      <c r="C191" s="4" t="s">
        <v>319</v>
      </c>
      <c r="D191" s="4" t="s">
        <v>699</v>
      </c>
      <c r="E191" s="5">
        <v>0</v>
      </c>
      <c r="F191" s="5">
        <v>0</v>
      </c>
      <c r="G191" s="5"/>
      <c r="H191" s="5"/>
      <c r="I191" s="5"/>
      <c r="J191" s="5"/>
      <c r="K191" s="5"/>
      <c r="L191" s="5"/>
    </row>
    <row r="192" spans="1:12" x14ac:dyDescent="0.2">
      <c r="A192" s="4" t="s">
        <v>700</v>
      </c>
      <c r="B192" s="4" t="s">
        <v>324</v>
      </c>
      <c r="C192" s="4" t="s">
        <v>319</v>
      </c>
      <c r="D192" s="4" t="s">
        <v>701</v>
      </c>
      <c r="E192" s="5">
        <v>0</v>
      </c>
      <c r="F192" s="5">
        <v>0</v>
      </c>
      <c r="G192" s="5"/>
      <c r="H192" s="5"/>
      <c r="I192" s="5"/>
      <c r="J192" s="5"/>
      <c r="K192" s="5"/>
      <c r="L192" s="5"/>
    </row>
    <row r="193" spans="1:12" x14ac:dyDescent="0.2">
      <c r="A193" s="4" t="s">
        <v>702</v>
      </c>
      <c r="B193" s="4" t="s">
        <v>324</v>
      </c>
      <c r="C193" s="4" t="s">
        <v>319</v>
      </c>
      <c r="D193" s="4" t="s">
        <v>703</v>
      </c>
      <c r="E193" s="5">
        <v>0</v>
      </c>
      <c r="F193" s="5">
        <v>0</v>
      </c>
      <c r="G193" s="5"/>
      <c r="H193" s="5"/>
      <c r="I193" s="5"/>
      <c r="J193" s="5"/>
      <c r="K193" s="5"/>
      <c r="L193" s="5"/>
    </row>
    <row r="194" spans="1:12" x14ac:dyDescent="0.2">
      <c r="A194" s="4" t="s">
        <v>704</v>
      </c>
      <c r="B194" s="4" t="s">
        <v>324</v>
      </c>
      <c r="C194" s="4" t="s">
        <v>319</v>
      </c>
      <c r="D194" s="4" t="s">
        <v>705</v>
      </c>
      <c r="E194" s="5">
        <v>0</v>
      </c>
      <c r="F194" s="5">
        <v>0</v>
      </c>
      <c r="G194" s="5"/>
      <c r="H194" s="5"/>
      <c r="I194" s="5"/>
      <c r="J194" s="5"/>
      <c r="K194" s="5"/>
      <c r="L194" s="5"/>
    </row>
    <row r="195" spans="1:12" x14ac:dyDescent="0.2">
      <c r="A195" s="4" t="s">
        <v>706</v>
      </c>
      <c r="B195" s="4" t="s">
        <v>324</v>
      </c>
      <c r="C195" s="4" t="s">
        <v>319</v>
      </c>
      <c r="D195" s="4" t="s">
        <v>707</v>
      </c>
      <c r="E195" s="5">
        <v>0</v>
      </c>
      <c r="F195" s="5">
        <v>0</v>
      </c>
      <c r="G195" s="5"/>
      <c r="H195" s="5"/>
      <c r="I195" s="5"/>
      <c r="J195" s="5"/>
      <c r="K195" s="5"/>
      <c r="L195" s="5"/>
    </row>
    <row r="196" spans="1:12" x14ac:dyDescent="0.2">
      <c r="A196" s="4" t="s">
        <v>708</v>
      </c>
      <c r="B196" s="4" t="s">
        <v>324</v>
      </c>
      <c r="C196" s="4" t="s">
        <v>319</v>
      </c>
      <c r="D196" s="4" t="s">
        <v>709</v>
      </c>
      <c r="E196" s="5">
        <v>0</v>
      </c>
      <c r="F196" s="5">
        <v>0</v>
      </c>
      <c r="G196" s="5"/>
      <c r="H196" s="5"/>
      <c r="I196" s="5"/>
      <c r="J196" s="5"/>
      <c r="K196" s="5"/>
      <c r="L196" s="5"/>
    </row>
    <row r="197" spans="1:12" x14ac:dyDescent="0.2">
      <c r="A197" s="4" t="s">
        <v>710</v>
      </c>
      <c r="B197" s="4" t="s">
        <v>324</v>
      </c>
      <c r="C197" s="4" t="s">
        <v>319</v>
      </c>
      <c r="D197" s="4" t="s">
        <v>711</v>
      </c>
      <c r="E197" s="5">
        <v>0</v>
      </c>
      <c r="F197" s="5">
        <v>0</v>
      </c>
      <c r="G197" s="5"/>
      <c r="H197" s="5"/>
      <c r="I197" s="5"/>
      <c r="J197" s="5"/>
      <c r="K197" s="5"/>
      <c r="L197" s="5"/>
    </row>
    <row r="198" spans="1:12" x14ac:dyDescent="0.2">
      <c r="A198" s="4" t="s">
        <v>712</v>
      </c>
      <c r="B198" s="4" t="s">
        <v>324</v>
      </c>
      <c r="C198" s="4" t="s">
        <v>319</v>
      </c>
      <c r="D198" s="4" t="s">
        <v>713</v>
      </c>
      <c r="E198" s="5">
        <v>0</v>
      </c>
      <c r="F198" s="5">
        <v>225</v>
      </c>
      <c r="G198" s="5"/>
      <c r="H198" s="5"/>
      <c r="I198" s="5"/>
      <c r="J198" s="5"/>
      <c r="K198" s="5"/>
      <c r="L198" s="5"/>
    </row>
    <row r="199" spans="1:12" x14ac:dyDescent="0.2">
      <c r="A199" s="4" t="s">
        <v>714</v>
      </c>
      <c r="B199" s="4" t="s">
        <v>324</v>
      </c>
      <c r="C199" s="4" t="s">
        <v>319</v>
      </c>
      <c r="D199" s="4" t="s">
        <v>715</v>
      </c>
      <c r="E199" s="5">
        <v>0</v>
      </c>
      <c r="F199" s="5">
        <v>0</v>
      </c>
      <c r="G199" s="5"/>
      <c r="H199" s="5"/>
      <c r="I199" s="5"/>
      <c r="J199" s="5"/>
      <c r="K199" s="5"/>
      <c r="L199" s="5"/>
    </row>
    <row r="200" spans="1:12" x14ac:dyDescent="0.2">
      <c r="A200" s="4" t="s">
        <v>716</v>
      </c>
      <c r="B200" s="4" t="s">
        <v>324</v>
      </c>
      <c r="C200" s="4" t="s">
        <v>319</v>
      </c>
      <c r="D200" s="4" t="s">
        <v>717</v>
      </c>
      <c r="E200" s="5">
        <v>0</v>
      </c>
      <c r="F200" s="5">
        <v>0</v>
      </c>
      <c r="G200" s="5"/>
      <c r="H200" s="5"/>
      <c r="I200" s="5"/>
      <c r="J200" s="5"/>
      <c r="K200" s="5"/>
      <c r="L200" s="5"/>
    </row>
    <row r="201" spans="1:12" x14ac:dyDescent="0.2">
      <c r="A201" s="4" t="s">
        <v>718</v>
      </c>
      <c r="B201" s="4" t="s">
        <v>324</v>
      </c>
      <c r="C201" s="4" t="s">
        <v>319</v>
      </c>
      <c r="D201" s="4" t="s">
        <v>719</v>
      </c>
      <c r="E201" s="5">
        <v>0</v>
      </c>
      <c r="F201" s="5">
        <v>0</v>
      </c>
      <c r="G201" s="5"/>
      <c r="H201" s="5"/>
      <c r="I201" s="5"/>
      <c r="J201" s="5"/>
      <c r="K201" s="5"/>
      <c r="L201" s="5"/>
    </row>
    <row r="202" spans="1:12" x14ac:dyDescent="0.2">
      <c r="A202" s="4" t="s">
        <v>720</v>
      </c>
      <c r="B202" s="4" t="s">
        <v>324</v>
      </c>
      <c r="C202" s="4" t="s">
        <v>319</v>
      </c>
      <c r="D202" s="4" t="s">
        <v>721</v>
      </c>
      <c r="E202" s="5">
        <v>0</v>
      </c>
      <c r="F202" s="5">
        <v>0</v>
      </c>
      <c r="G202" s="5"/>
      <c r="H202" s="5"/>
      <c r="I202" s="5"/>
      <c r="J202" s="5"/>
      <c r="K202" s="5"/>
      <c r="L202" s="5"/>
    </row>
    <row r="203" spans="1:12" x14ac:dyDescent="0.2">
      <c r="A203" s="4" t="s">
        <v>722</v>
      </c>
      <c r="B203" s="4" t="s">
        <v>324</v>
      </c>
      <c r="C203" s="4" t="s">
        <v>319</v>
      </c>
      <c r="D203" s="4" t="s">
        <v>723</v>
      </c>
      <c r="E203" s="5">
        <v>0</v>
      </c>
      <c r="F203" s="5">
        <v>0</v>
      </c>
      <c r="G203" s="5"/>
      <c r="H203" s="5"/>
      <c r="I203" s="5"/>
      <c r="J203" s="5"/>
      <c r="K203" s="5"/>
      <c r="L203" s="5"/>
    </row>
    <row r="204" spans="1:12" x14ac:dyDescent="0.2">
      <c r="A204" s="4" t="s">
        <v>724</v>
      </c>
      <c r="B204" s="4" t="s">
        <v>324</v>
      </c>
      <c r="C204" s="4" t="s">
        <v>319</v>
      </c>
      <c r="D204" s="4" t="s">
        <v>725</v>
      </c>
      <c r="E204" s="5">
        <v>0</v>
      </c>
      <c r="F204" s="5">
        <v>0</v>
      </c>
      <c r="G204" s="5"/>
      <c r="H204" s="5"/>
      <c r="I204" s="5"/>
      <c r="J204" s="5"/>
      <c r="K204" s="5"/>
      <c r="L204" s="5"/>
    </row>
    <row r="205" spans="1:12" x14ac:dyDescent="0.2">
      <c r="A205" s="4" t="s">
        <v>726</v>
      </c>
      <c r="B205" s="4" t="s">
        <v>324</v>
      </c>
      <c r="C205" s="4" t="s">
        <v>319</v>
      </c>
      <c r="D205" s="4" t="s">
        <v>727</v>
      </c>
      <c r="E205" s="5">
        <v>0</v>
      </c>
      <c r="F205" s="5">
        <v>0</v>
      </c>
      <c r="G205" s="5"/>
      <c r="H205" s="5"/>
      <c r="I205" s="5"/>
      <c r="J205" s="5"/>
      <c r="K205" s="5"/>
      <c r="L205" s="5"/>
    </row>
    <row r="206" spans="1:12" x14ac:dyDescent="0.2">
      <c r="A206" s="4" t="s">
        <v>728</v>
      </c>
      <c r="B206" s="4" t="s">
        <v>324</v>
      </c>
      <c r="C206" s="4" t="s">
        <v>319</v>
      </c>
      <c r="D206" s="4" t="s">
        <v>729</v>
      </c>
      <c r="E206" s="5">
        <v>0</v>
      </c>
      <c r="F206" s="5">
        <v>0</v>
      </c>
      <c r="G206" s="5"/>
      <c r="H206" s="5"/>
      <c r="I206" s="5"/>
      <c r="J206" s="5"/>
      <c r="K206" s="5"/>
      <c r="L206" s="5"/>
    </row>
    <row r="207" spans="1:12" x14ac:dyDescent="0.2">
      <c r="A207" s="4" t="s">
        <v>730</v>
      </c>
      <c r="B207" s="4" t="s">
        <v>324</v>
      </c>
      <c r="C207" s="4" t="s">
        <v>319</v>
      </c>
      <c r="D207" s="4" t="s">
        <v>731</v>
      </c>
      <c r="E207" s="5">
        <v>0</v>
      </c>
      <c r="F207" s="5">
        <v>0</v>
      </c>
      <c r="G207" s="5"/>
      <c r="H207" s="5"/>
      <c r="I207" s="5"/>
      <c r="J207" s="5"/>
      <c r="K207" s="5"/>
      <c r="L207" s="5"/>
    </row>
    <row r="208" spans="1:12" x14ac:dyDescent="0.2">
      <c r="A208" s="4" t="s">
        <v>732</v>
      </c>
      <c r="B208" s="4" t="s">
        <v>324</v>
      </c>
      <c r="C208" s="4" t="s">
        <v>319</v>
      </c>
      <c r="D208" s="4" t="s">
        <v>733</v>
      </c>
      <c r="E208" s="5">
        <v>0</v>
      </c>
      <c r="F208" s="5">
        <v>0</v>
      </c>
      <c r="G208" s="5"/>
      <c r="H208" s="5"/>
      <c r="I208" s="5"/>
      <c r="J208" s="5"/>
      <c r="K208" s="5"/>
      <c r="L208" s="5"/>
    </row>
    <row r="209" spans="1:12" x14ac:dyDescent="0.2">
      <c r="A209" s="4" t="s">
        <v>734</v>
      </c>
      <c r="B209" s="4" t="s">
        <v>324</v>
      </c>
      <c r="C209" s="4" t="s">
        <v>319</v>
      </c>
      <c r="D209" s="4" t="s">
        <v>735</v>
      </c>
      <c r="E209" s="5">
        <v>0</v>
      </c>
      <c r="F209" s="5">
        <v>0</v>
      </c>
      <c r="G209" s="5"/>
      <c r="H209" s="5"/>
      <c r="I209" s="5"/>
      <c r="J209" s="5"/>
      <c r="K209" s="5"/>
      <c r="L209" s="5"/>
    </row>
    <row r="210" spans="1:12" x14ac:dyDescent="0.2">
      <c r="A210" s="4" t="s">
        <v>736</v>
      </c>
      <c r="B210" s="4" t="s">
        <v>324</v>
      </c>
      <c r="C210" s="4" t="s">
        <v>319</v>
      </c>
      <c r="D210" s="4" t="s">
        <v>737</v>
      </c>
      <c r="E210" s="5">
        <v>0</v>
      </c>
      <c r="F210" s="5">
        <v>0</v>
      </c>
      <c r="G210" s="5"/>
      <c r="H210" s="5"/>
      <c r="I210" s="5"/>
      <c r="J210" s="5"/>
      <c r="K210" s="5"/>
      <c r="L210" s="5"/>
    </row>
    <row r="211" spans="1:12" x14ac:dyDescent="0.2">
      <c r="A211" s="4" t="s">
        <v>738</v>
      </c>
      <c r="B211" s="4" t="s">
        <v>324</v>
      </c>
      <c r="C211" s="4" t="s">
        <v>319</v>
      </c>
      <c r="D211" s="4" t="s">
        <v>739</v>
      </c>
      <c r="E211" s="5">
        <v>0</v>
      </c>
      <c r="F211" s="5">
        <v>0</v>
      </c>
      <c r="G211" s="5"/>
      <c r="H211" s="5"/>
      <c r="I211" s="5"/>
      <c r="J211" s="5"/>
      <c r="K211" s="5"/>
      <c r="L211" s="5"/>
    </row>
    <row r="212" spans="1:12" x14ac:dyDescent="0.2">
      <c r="A212" s="4" t="s">
        <v>740</v>
      </c>
      <c r="B212" s="4" t="s">
        <v>324</v>
      </c>
      <c r="C212" s="4" t="s">
        <v>319</v>
      </c>
      <c r="D212" s="4" t="s">
        <v>741</v>
      </c>
      <c r="E212" s="5">
        <v>0</v>
      </c>
      <c r="F212" s="5">
        <v>0</v>
      </c>
      <c r="G212" s="5"/>
      <c r="H212" s="5"/>
      <c r="I212" s="5"/>
      <c r="J212" s="5"/>
      <c r="K212" s="5"/>
      <c r="L212" s="5"/>
    </row>
    <row r="213" spans="1:12" x14ac:dyDescent="0.2">
      <c r="A213" s="4" t="s">
        <v>742</v>
      </c>
      <c r="B213" s="4" t="s">
        <v>324</v>
      </c>
      <c r="C213" s="4" t="s">
        <v>319</v>
      </c>
      <c r="D213" s="4" t="s">
        <v>743</v>
      </c>
      <c r="E213" s="5">
        <v>0</v>
      </c>
      <c r="F213" s="5">
        <v>0</v>
      </c>
      <c r="G213" s="5"/>
      <c r="H213" s="5"/>
      <c r="I213" s="5"/>
      <c r="J213" s="5"/>
      <c r="K213" s="5"/>
      <c r="L213" s="5"/>
    </row>
    <row r="214" spans="1:12" x14ac:dyDescent="0.2">
      <c r="A214" s="4" t="s">
        <v>744</v>
      </c>
      <c r="B214" s="4" t="s">
        <v>324</v>
      </c>
      <c r="C214" s="4" t="s">
        <v>319</v>
      </c>
      <c r="D214" s="4" t="s">
        <v>745</v>
      </c>
      <c r="E214" s="5">
        <v>0</v>
      </c>
      <c r="F214" s="5">
        <v>0</v>
      </c>
      <c r="G214" s="5"/>
      <c r="H214" s="5"/>
      <c r="I214" s="5"/>
      <c r="J214" s="5"/>
      <c r="K214" s="5"/>
      <c r="L214" s="5"/>
    </row>
    <row r="215" spans="1:12" x14ac:dyDescent="0.2">
      <c r="A215" s="4" t="s">
        <v>746</v>
      </c>
      <c r="B215" s="4" t="s">
        <v>324</v>
      </c>
      <c r="C215" s="4" t="s">
        <v>319</v>
      </c>
      <c r="D215" s="4" t="s">
        <v>747</v>
      </c>
      <c r="E215" s="5">
        <v>0</v>
      </c>
      <c r="F215" s="5">
        <v>0</v>
      </c>
      <c r="G215" s="5"/>
      <c r="H215" s="5"/>
      <c r="I215" s="5"/>
      <c r="J215" s="5"/>
      <c r="K215" s="5"/>
      <c r="L215" s="5"/>
    </row>
    <row r="216" spans="1:12" x14ac:dyDescent="0.2">
      <c r="A216" s="4" t="s">
        <v>748</v>
      </c>
      <c r="B216" s="4" t="s">
        <v>324</v>
      </c>
      <c r="C216" s="4" t="s">
        <v>319</v>
      </c>
      <c r="D216" s="4" t="s">
        <v>749</v>
      </c>
      <c r="E216" s="5">
        <v>0</v>
      </c>
      <c r="F216" s="5">
        <v>0</v>
      </c>
      <c r="G216" s="5"/>
      <c r="H216" s="5"/>
      <c r="I216" s="5"/>
      <c r="J216" s="5"/>
      <c r="K216" s="5"/>
      <c r="L216" s="5"/>
    </row>
    <row r="217" spans="1:12" x14ac:dyDescent="0.2">
      <c r="A217" s="4" t="s">
        <v>750</v>
      </c>
      <c r="B217" s="4" t="s">
        <v>324</v>
      </c>
      <c r="C217" s="4" t="s">
        <v>319</v>
      </c>
      <c r="D217" s="4" t="s">
        <v>751</v>
      </c>
      <c r="E217" s="5">
        <v>0</v>
      </c>
      <c r="F217" s="5">
        <v>0</v>
      </c>
      <c r="G217" s="5"/>
      <c r="H217" s="5"/>
      <c r="I217" s="5"/>
      <c r="J217" s="5"/>
      <c r="K217" s="5"/>
      <c r="L217" s="5"/>
    </row>
    <row r="218" spans="1:12" x14ac:dyDescent="0.2">
      <c r="A218" s="4" t="s">
        <v>752</v>
      </c>
      <c r="B218" s="4" t="s">
        <v>324</v>
      </c>
      <c r="C218" s="4" t="s">
        <v>319</v>
      </c>
      <c r="D218" s="4" t="s">
        <v>753</v>
      </c>
      <c r="E218" s="5">
        <v>0</v>
      </c>
      <c r="F218" s="5">
        <v>0</v>
      </c>
      <c r="G218" s="5"/>
      <c r="H218" s="5"/>
      <c r="I218" s="5"/>
      <c r="J218" s="5"/>
      <c r="K218" s="5"/>
      <c r="L218" s="5"/>
    </row>
    <row r="219" spans="1:12" x14ac:dyDescent="0.2">
      <c r="A219" s="4" t="s">
        <v>754</v>
      </c>
      <c r="B219" s="4" t="s">
        <v>324</v>
      </c>
      <c r="C219" s="4" t="s">
        <v>319</v>
      </c>
      <c r="D219" s="4" t="s">
        <v>755</v>
      </c>
      <c r="E219" s="5">
        <v>0</v>
      </c>
      <c r="F219" s="5">
        <v>0</v>
      </c>
      <c r="G219" s="5"/>
      <c r="H219" s="5"/>
      <c r="I219" s="5"/>
      <c r="J219" s="5"/>
      <c r="K219" s="5"/>
      <c r="L219" s="5"/>
    </row>
    <row r="220" spans="1:12" x14ac:dyDescent="0.2">
      <c r="A220" s="4" t="s">
        <v>756</v>
      </c>
      <c r="B220" s="4" t="s">
        <v>324</v>
      </c>
      <c r="C220" s="4" t="s">
        <v>319</v>
      </c>
      <c r="D220" s="4" t="s">
        <v>757</v>
      </c>
      <c r="E220" s="5">
        <v>0</v>
      </c>
      <c r="F220" s="5">
        <v>0</v>
      </c>
      <c r="G220" s="5"/>
      <c r="H220" s="5"/>
      <c r="I220" s="5"/>
      <c r="J220" s="5"/>
      <c r="K220" s="5"/>
      <c r="L220" s="5"/>
    </row>
    <row r="221" spans="1:12" x14ac:dyDescent="0.2">
      <c r="A221" s="4" t="s">
        <v>758</v>
      </c>
      <c r="B221" s="4" t="s">
        <v>324</v>
      </c>
      <c r="C221" s="4" t="s">
        <v>319</v>
      </c>
      <c r="D221" s="4" t="s">
        <v>759</v>
      </c>
      <c r="E221" s="5">
        <v>0</v>
      </c>
      <c r="F221" s="5">
        <v>0</v>
      </c>
      <c r="G221" s="5"/>
      <c r="H221" s="5"/>
      <c r="I221" s="5"/>
      <c r="J221" s="5"/>
      <c r="K221" s="5"/>
      <c r="L221" s="5"/>
    </row>
    <row r="222" spans="1:12" x14ac:dyDescent="0.2">
      <c r="A222" s="4" t="s">
        <v>760</v>
      </c>
      <c r="B222" s="4" t="s">
        <v>324</v>
      </c>
      <c r="C222" s="4" t="s">
        <v>319</v>
      </c>
      <c r="D222" s="4" t="s">
        <v>761</v>
      </c>
      <c r="E222" s="5">
        <v>0</v>
      </c>
      <c r="F222" s="5">
        <v>0</v>
      </c>
      <c r="G222" s="5"/>
      <c r="H222" s="5"/>
      <c r="I222" s="5"/>
      <c r="J222" s="5"/>
      <c r="K222" s="5"/>
      <c r="L222" s="5"/>
    </row>
    <row r="223" spans="1:12" x14ac:dyDescent="0.2">
      <c r="A223" s="4" t="s">
        <v>762</v>
      </c>
      <c r="B223" s="4" t="s">
        <v>324</v>
      </c>
      <c r="C223" s="4" t="s">
        <v>319</v>
      </c>
      <c r="D223" s="4" t="s">
        <v>763</v>
      </c>
      <c r="E223" s="5">
        <v>0</v>
      </c>
      <c r="F223" s="5">
        <v>0</v>
      </c>
      <c r="G223" s="5"/>
      <c r="H223" s="5"/>
      <c r="I223" s="5"/>
      <c r="J223" s="5"/>
      <c r="K223" s="5"/>
      <c r="L223" s="5"/>
    </row>
    <row r="224" spans="1:12" x14ac:dyDescent="0.2">
      <c r="A224" s="4" t="s">
        <v>764</v>
      </c>
      <c r="B224" s="4" t="s">
        <v>324</v>
      </c>
      <c r="C224" s="4" t="s">
        <v>319</v>
      </c>
      <c r="D224" s="4" t="s">
        <v>765</v>
      </c>
      <c r="E224" s="5">
        <v>0</v>
      </c>
      <c r="F224" s="5">
        <v>0</v>
      </c>
      <c r="G224" s="5"/>
      <c r="H224" s="5"/>
      <c r="I224" s="5"/>
      <c r="J224" s="5"/>
      <c r="K224" s="5"/>
      <c r="L224" s="5"/>
    </row>
    <row r="225" spans="1:12" x14ac:dyDescent="0.2">
      <c r="A225" s="4" t="s">
        <v>766</v>
      </c>
      <c r="B225" s="4" t="s">
        <v>324</v>
      </c>
      <c r="C225" s="4" t="s">
        <v>319</v>
      </c>
      <c r="D225" s="4" t="s">
        <v>767</v>
      </c>
      <c r="E225" s="5">
        <v>0</v>
      </c>
      <c r="F225" s="5">
        <v>0</v>
      </c>
      <c r="G225" s="5"/>
      <c r="H225" s="5"/>
      <c r="I225" s="5"/>
      <c r="J225" s="5"/>
      <c r="K225" s="5"/>
      <c r="L225" s="5"/>
    </row>
    <row r="226" spans="1:12" x14ac:dyDescent="0.2">
      <c r="A226" s="4" t="s">
        <v>768</v>
      </c>
      <c r="B226" s="4" t="s">
        <v>324</v>
      </c>
      <c r="C226" s="4" t="s">
        <v>319</v>
      </c>
      <c r="D226" s="4" t="s">
        <v>769</v>
      </c>
      <c r="E226" s="5">
        <v>0</v>
      </c>
      <c r="F226" s="5">
        <v>0</v>
      </c>
      <c r="G226" s="5"/>
      <c r="H226" s="5"/>
      <c r="I226" s="5"/>
      <c r="J226" s="5"/>
      <c r="K226" s="5"/>
      <c r="L226" s="5"/>
    </row>
    <row r="227" spans="1:12" x14ac:dyDescent="0.2">
      <c r="A227" s="4" t="s">
        <v>770</v>
      </c>
      <c r="B227" s="4" t="s">
        <v>324</v>
      </c>
      <c r="C227" s="4" t="s">
        <v>319</v>
      </c>
      <c r="D227" s="4" t="s">
        <v>771</v>
      </c>
      <c r="E227" s="5">
        <v>0</v>
      </c>
      <c r="F227" s="5">
        <v>225</v>
      </c>
      <c r="G227" s="5"/>
      <c r="H227" s="5"/>
      <c r="I227" s="5"/>
      <c r="J227" s="5"/>
      <c r="K227" s="5"/>
      <c r="L227" s="5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25" x14ac:dyDescent="0.2"/>
  <sheetData>
    <row r="1" spans="1:1" ht="17.25" x14ac:dyDescent="0.2">
      <c r="A1" s="31" t="s">
        <v>772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铅</vt:lpstr>
      <vt:lpstr>铅模板</vt:lpstr>
      <vt:lpstr>铅原始数据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2023-10-10T09:20:01Z</dcterms:modified>
</cp:coreProperties>
</file>