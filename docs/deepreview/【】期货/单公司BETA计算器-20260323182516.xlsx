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0" documentId="13_ncr:1_{7F3DA444-A790-42D3-9B26-EFD5B9B7BEC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单公司Beta计算器" sheetId="1" r:id="rId1"/>
    <sheet name="data" sheetId="3" state="hidden" r:id="rId2"/>
    <sheet name="Wind模板" sheetId="2" state="veryHidden" r:id="rId3"/>
  </sheets>
  <externalReferences>
    <externalReference r:id="rId4"/>
    <externalReference r:id="rId5"/>
  </externalReferences>
  <definedNames>
    <definedName name="nmS2_EndDate">单公司Beta计算器!$C$8</definedName>
    <definedName name="nmS6_IndexMatrix">[1]Cache!$D$1:$E$16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A15" i="3" s="1"/>
  <c r="A14" i="3" s="1"/>
  <c r="A13" i="3" s="1"/>
  <c r="A12" i="3" s="1"/>
  <c r="A11" i="3" s="1"/>
  <c r="A10" i="3" s="1"/>
  <c r="A9" i="3" s="1"/>
  <c r="A8" i="3" s="1"/>
  <c r="A7" i="3" s="1"/>
  <c r="A6" i="3" s="1"/>
  <c r="A5" i="3" s="1"/>
  <c r="A4" i="3" s="1"/>
  <c r="A3" i="3" s="1"/>
  <c r="D5" i="1"/>
  <c r="C14" i="3"/>
  <c r="C12" i="3"/>
  <c r="G8" i="3"/>
  <c r="D15" i="3"/>
  <c r="C9" i="3"/>
  <c r="C2" i="3"/>
  <c r="G9" i="3"/>
  <c r="G4" i="3"/>
  <c r="F5" i="3"/>
  <c r="D8" i="3"/>
  <c r="D13" i="3"/>
  <c r="G12" i="3"/>
  <c r="C7" i="3"/>
  <c r="F10" i="3"/>
  <c r="C13" i="3"/>
  <c r="G10" i="3"/>
  <c r="G2" i="3"/>
  <c r="D3" i="3"/>
  <c r="F11" i="3"/>
  <c r="G13" i="3"/>
  <c r="C6" i="3"/>
  <c r="F12" i="3"/>
  <c r="F2" i="3"/>
  <c r="F6" i="3"/>
  <c r="G15" i="3"/>
  <c r="F15" i="3"/>
  <c r="I2" i="3"/>
  <c r="D4" i="3"/>
  <c r="F13" i="3"/>
  <c r="D12" i="3"/>
  <c r="C8" i="3"/>
  <c r="C5" i="3"/>
  <c r="D2" i="3"/>
  <c r="F4" i="3"/>
  <c r="F8" i="3"/>
  <c r="D14" i="3"/>
  <c r="C3" i="3"/>
  <c r="D9" i="3"/>
  <c r="D10" i="3"/>
  <c r="G7" i="3"/>
  <c r="F9" i="3"/>
  <c r="D11" i="3"/>
  <c r="C15" i="3"/>
  <c r="D6" i="3"/>
  <c r="C11" i="3"/>
  <c r="F3" i="3"/>
  <c r="G11" i="3"/>
  <c r="J2" i="3"/>
  <c r="G5" i="3"/>
  <c r="D5" i="3"/>
  <c r="C10" i="3"/>
  <c r="C4" i="3"/>
  <c r="F14" i="3"/>
  <c r="D7" i="3"/>
  <c r="F7" i="3"/>
  <c r="G3" i="3"/>
  <c r="G14" i="3"/>
  <c r="G6" i="3"/>
  <c r="I10" i="3" l="1"/>
  <c r="I12" i="3"/>
  <c r="I15" i="3"/>
  <c r="I3" i="3"/>
  <c r="I8" i="3"/>
  <c r="I13" i="3"/>
  <c r="I6" i="3"/>
  <c r="I11" i="3"/>
  <c r="I5" i="3"/>
  <c r="I4" i="3"/>
  <c r="I9" i="3"/>
  <c r="I14" i="3"/>
  <c r="I7" i="3"/>
  <c r="J15" i="3"/>
  <c r="J3" i="3"/>
  <c r="J8" i="3"/>
  <c r="J13" i="3"/>
  <c r="J12" i="3"/>
  <c r="J10" i="3"/>
  <c r="J6" i="3"/>
  <c r="J11" i="3"/>
  <c r="J4" i="3"/>
  <c r="J9" i="3"/>
  <c r="J14" i="3"/>
  <c r="J7" i="3"/>
  <c r="J5" i="3"/>
  <c r="K15" i="1"/>
  <c r="K14" i="1"/>
  <c r="K13" i="1"/>
  <c r="K12" i="1"/>
  <c r="K11" i="1"/>
  <c r="H12" i="1"/>
  <c r="H11" i="1"/>
  <c r="D12" i="1"/>
  <c r="O29" i="1"/>
  <c r="D7" i="1"/>
  <c r="D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O29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<sst xmlns="http://schemas.openxmlformats.org/spreadsheetml/2006/main" count="35" uniqueCount="35">
  <si>
    <t>计算周期:</t>
    <phoneticPr fontId="2" type="noConversion"/>
  </si>
  <si>
    <t>Wind代码：</t>
    <phoneticPr fontId="8" type="noConversion"/>
  </si>
  <si>
    <t>公司简称：</t>
    <phoneticPr fontId="2" type="noConversion"/>
  </si>
  <si>
    <t>截止日期：</t>
    <phoneticPr fontId="2" type="noConversion"/>
  </si>
  <si>
    <t>开始日期:</t>
  </si>
  <si>
    <t>收益率计算方法:</t>
    <phoneticPr fontId="2" type="noConversion"/>
  </si>
  <si>
    <t>剔除财务杠杆:</t>
    <phoneticPr fontId="8" type="noConversion"/>
  </si>
  <si>
    <t>原始Beta</t>
    <phoneticPr fontId="8" type="noConversion"/>
  </si>
  <si>
    <t>调整Beta</t>
    <phoneticPr fontId="2" type="noConversion"/>
  </si>
  <si>
    <t>剔除杠杆原始Beta</t>
    <phoneticPr fontId="8" type="noConversion"/>
  </si>
  <si>
    <t>剔除杠杆调整Beta</t>
    <phoneticPr fontId="2" type="noConversion"/>
  </si>
  <si>
    <t>Alpha</t>
    <phoneticPr fontId="8" type="noConversion"/>
  </si>
  <si>
    <t>R-Square</t>
    <phoneticPr fontId="2" type="noConversion"/>
  </si>
  <si>
    <t>误差值标准偏差</t>
    <phoneticPr fontId="2" type="noConversion"/>
  </si>
  <si>
    <t>Beta标准偏差</t>
    <phoneticPr fontId="2" type="noConversion"/>
  </si>
  <si>
    <t>观察值点数</t>
    <phoneticPr fontId="8" type="noConversion"/>
  </si>
  <si>
    <t>输出结果</t>
    <phoneticPr fontId="8" type="noConversion"/>
  </si>
  <si>
    <t>Beta</t>
    <phoneticPr fontId="19" type="noConversion"/>
  </si>
  <si>
    <t>剔除杠杆Beta</t>
    <phoneticPr fontId="19" type="noConversion"/>
  </si>
  <si>
    <t>其他系数</t>
    <phoneticPr fontId="2" type="noConversion"/>
  </si>
  <si>
    <t>标的指数：</t>
    <phoneticPr fontId="8" type="noConversion"/>
  </si>
  <si>
    <t>指数简称：</t>
    <phoneticPr fontId="2" type="noConversion"/>
  </si>
  <si>
    <t>按账面价值比</t>
  </si>
  <si>
    <t>月</t>
  </si>
  <si>
    <t>普通收益率</t>
  </si>
  <si>
    <t>单公司BETA计算器</t>
  </si>
  <si>
    <t>收盘价</t>
    <phoneticPr fontId="8" type="noConversion"/>
  </si>
  <si>
    <t>日期</t>
    <phoneticPr fontId="8" type="noConversion"/>
  </si>
  <si>
    <r>
      <t>收益率</t>
    </r>
    <r>
      <rPr>
        <sz val="10"/>
        <color theme="1"/>
        <rFont val="Arial"/>
        <family val="2"/>
      </rPr>
      <t>(%)</t>
    </r>
    <phoneticPr fontId="8" type="noConversion"/>
  </si>
  <si>
    <r>
      <t>累积涨跌幅</t>
    </r>
    <r>
      <rPr>
        <sz val="10"/>
        <color theme="1"/>
        <rFont val="Arial"/>
        <family val="2"/>
      </rPr>
      <t>(%)</t>
    </r>
    <phoneticPr fontId="8" type="noConversion"/>
  </si>
  <si>
    <t>单公司BETA计算器 V1.1</t>
    <phoneticPr fontId="2" type="noConversion"/>
  </si>
  <si>
    <t>标的指数与个股收益率</t>
    <phoneticPr fontId="8" type="noConversion"/>
  </si>
  <si>
    <t>收益率散点图</t>
    <phoneticPr fontId="8" type="noConversion"/>
  </si>
  <si>
    <t>000852.SH</t>
    <phoneticPr fontId="2" type="noConversion"/>
  </si>
  <si>
    <t>002192.SZ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</si>
</sst>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yyyy/mm/dd"/>
    <numFmt numFmtId="177" formatCode="_ * #,##0.0000_ ;_ * \-#,##0.0000_ ;_ * &quot;-&quot;??_ ;_ @_ "/>
    <numFmt numFmtId="178" formatCode="#,##0.##"/>
    <numFmt numFmtId="179" formatCode="yyyy\-mm\-dd"/>
  </numFmts>
  <fonts count="27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12"/>
      <color theme="1"/>
      <name val="等线"/>
      <family val="2"/>
      <scheme val="minor"/>
    </font>
    <font>
      <sz val="16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4"/>
      <color theme="1"/>
      <name val="等线"/>
      <family val="2"/>
      <scheme val="minor"/>
    </font>
    <font>
      <sz val="9"/>
      <name val="宋体"/>
      <family val="3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name val="Arial"/>
      <family val="2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等线"/>
      <family val="2"/>
      <scheme val="minor"/>
    </font>
    <font>
      <sz val="10"/>
      <color theme="1"/>
      <name val="Arial 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404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7" fillId="0" borderId="0" xfId="0" applyFont="1"/>
    <xf numFmtId="0" fontId="10" fillId="0" borderId="0" xfId="0" applyFont="1"/>
    <xf numFmtId="0" fontId="13" fillId="0" borderId="0" xfId="0" applyFont="1"/>
    <xf numFmtId="0" fontId="1" fillId="0" borderId="0" xfId="0" applyFont="1"/>
    <xf numFmtId="3" fontId="0" fillId="0" borderId="0" xfId="0" applyNumberFormat="1" applyAlignment="1">
      <alignment horizontal="right"/>
    </xf>
    <xf numFmtId="0" fontId="3" fillId="2" borderId="0" xfId="0" applyFont="1" applyFill="1" applyAlignment="1">
      <alignment horizontal="center" vertical="center"/>
    </xf>
    <xf numFmtId="178" fontId="0" fillId="0" borderId="0" xfId="0" applyNumberFormat="1" applyAlignment="1">
      <alignment horizontal="right"/>
    </xf>
    <xf numFmtId="178" fontId="10" fillId="0" borderId="0" xfId="0" applyNumberFormat="1" applyFont="1" applyAlignment="1">
      <alignment horizontal="right"/>
    </xf>
    <xf numFmtId="0" fontId="5" fillId="3" borderId="0" xfId="0" applyFont="1" applyFill="1"/>
    <xf numFmtId="0" fontId="15" fillId="5" borderId="0" xfId="0" applyFont="1" applyFill="1" applyBorder="1" applyAlignment="1"/>
    <xf numFmtId="0" fontId="15" fillId="6" borderId="0" xfId="0" applyFont="1" applyFill="1" applyAlignment="1"/>
    <xf numFmtId="0" fontId="16" fillId="7" borderId="1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7" fillId="7" borderId="0" xfId="0" applyFont="1" applyFill="1" applyBorder="1" applyAlignment="1">
      <alignment vertical="center"/>
    </xf>
    <xf numFmtId="177" fontId="9" fillId="0" borderId="0" xfId="1" applyNumberFormat="1" applyFont="1" applyBorder="1" applyAlignment="1"/>
    <xf numFmtId="43" fontId="9" fillId="0" borderId="0" xfId="1" applyNumberFormat="1" applyFont="1" applyBorder="1" applyAlignment="1"/>
    <xf numFmtId="0" fontId="3" fillId="2" borderId="0" xfId="0" applyFont="1" applyFill="1" applyAlignment="1">
      <alignment vertical="center"/>
    </xf>
    <xf numFmtId="3" fontId="10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right"/>
    </xf>
    <xf numFmtId="178" fontId="13" fillId="0" borderId="0" xfId="0" applyNumberFormat="1" applyFont="1" applyAlignment="1">
      <alignment horizontal="right"/>
    </xf>
    <xf numFmtId="0" fontId="20" fillId="0" borderId="0" xfId="0" applyFont="1" applyAlignment="1"/>
    <xf numFmtId="0" fontId="7" fillId="7" borderId="0" xfId="0" applyFont="1" applyFill="1"/>
    <xf numFmtId="0" fontId="21" fillId="7" borderId="2" xfId="0" applyFont="1" applyFill="1" applyBorder="1" applyAlignment="1">
      <alignment vertical="center"/>
    </xf>
    <xf numFmtId="0" fontId="0" fillId="7" borderId="0" xfId="0" applyFont="1" applyFill="1"/>
    <xf numFmtId="0" fontId="21" fillId="7" borderId="3" xfId="0" applyFont="1" applyFill="1" applyBorder="1" applyAlignment="1">
      <alignment vertical="center"/>
    </xf>
    <xf numFmtId="0" fontId="22" fillId="7" borderId="3" xfId="0" applyFont="1" applyFill="1" applyBorder="1" applyAlignment="1">
      <alignment vertical="center"/>
    </xf>
    <xf numFmtId="0" fontId="21" fillId="7" borderId="4" xfId="0" applyFont="1" applyFill="1" applyBorder="1" applyAlignment="1">
      <alignment vertical="center"/>
    </xf>
    <xf numFmtId="0" fontId="22" fillId="7" borderId="2" xfId="0" applyFont="1" applyFill="1" applyBorder="1" applyAlignment="1">
      <alignment vertical="center"/>
    </xf>
    <xf numFmtId="0" fontId="21" fillId="7" borderId="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179" fontId="23" fillId="7" borderId="7" xfId="0" applyNumberFormat="1" applyFont="1" applyFill="1" applyBorder="1" applyAlignment="1">
      <alignment horizontal="center" vertical="center"/>
    </xf>
    <xf numFmtId="2" fontId="23" fillId="7" borderId="7" xfId="0" applyNumberFormat="1" applyFont="1" applyFill="1" applyBorder="1" applyAlignment="1">
      <alignment horizontal="center" vertical="center"/>
    </xf>
    <xf numFmtId="2" fontId="0" fillId="7" borderId="0" xfId="0" applyNumberFormat="1" applyFont="1" applyFill="1"/>
    <xf numFmtId="0" fontId="0" fillId="8" borderId="0" xfId="0" applyFill="1"/>
    <xf numFmtId="0" fontId="24" fillId="0" borderId="0" xfId="0" applyFont="1"/>
    <xf numFmtId="49" fontId="22" fillId="4" borderId="0" xfId="0" applyNumberFormat="1" applyFont="1" applyFill="1" applyAlignment="1" applyProtection="1">
      <alignment horizontal="right" vertical="center"/>
      <protection locked="0"/>
    </xf>
    <xf numFmtId="176" fontId="22" fillId="4" borderId="0" xfId="0" applyNumberFormat="1" applyFont="1" applyFill="1" applyAlignment="1" applyProtection="1">
      <alignment horizontal="right"/>
      <protection locked="0"/>
    </xf>
    <xf numFmtId="43" fontId="25" fillId="6" borderId="0" xfId="1" applyFont="1" applyFill="1" applyAlignment="1">
      <alignment horizontal="right"/>
    </xf>
    <xf numFmtId="49" fontId="15" fillId="4" borderId="0" xfId="0" applyNumberFormat="1" applyFont="1" applyFill="1" applyAlignment="1" applyProtection="1">
      <alignment horizontal="right" vertical="center"/>
      <protection locked="0"/>
    </xf>
    <xf numFmtId="0" fontId="15" fillId="3" borderId="0" xfId="0" applyFont="1" applyFill="1" applyAlignment="1" applyProtection="1">
      <alignment horizontal="right"/>
    </xf>
    <xf numFmtId="0" fontId="26" fillId="7" borderId="1" xfId="0" applyFont="1" applyFill="1" applyBorder="1" applyAlignment="1">
      <alignment vertical="center"/>
    </xf>
    <xf numFmtId="177" fontId="22" fillId="5" borderId="0" xfId="1" applyNumberFormat="1" applyFont="1" applyFill="1" applyBorder="1" applyAlignment="1"/>
    <xf numFmtId="177" fontId="22" fillId="6" borderId="0" xfId="1" applyNumberFormat="1" applyFont="1" applyFill="1" applyAlignment="1"/>
    <xf numFmtId="0" fontId="22" fillId="5" borderId="0" xfId="0" applyFont="1" applyFill="1" applyBorder="1" applyAlignment="1"/>
    <xf numFmtId="0" fontId="22" fillId="6" borderId="0" xfId="0" applyFont="1" applyFill="1" applyAlignment="1"/>
    <xf numFmtId="43" fontId="22" fillId="5" borderId="0" xfId="1" applyFont="1" applyFill="1" applyBorder="1" applyAlignment="1"/>
    <xf numFmtId="43" fontId="22" fillId="6" borderId="0" xfId="1" applyFont="1" applyFill="1" applyAlignment="1"/>
    <xf numFmtId="43" fontId="22" fillId="6" borderId="0" xfId="1" applyNumberFormat="1" applyFont="1" applyFill="1" applyAlignment="1"/>
    <xf numFmtId="43" fontId="22" fillId="5" borderId="0" xfId="1" applyNumberFormat="1" applyFont="1" applyFill="1" applyBorder="1" applyAlignment="1"/>
    <xf numFmtId="0" fontId="3" fillId="2" borderId="0" xfId="0" applyFont="1" applyFill="1" applyAlignment="1">
      <alignment horizontal="center" vertical="center"/>
    </xf>
  </cellXfs>
  <cellStyles count="3">
    <cellStyle name="常规" xfId="0" builtinId="0"/>
    <cellStyle name="常规 10" xfId="2" xr:uid="{00000000-0005-0000-0000-000001000000}"/>
    <cellStyle name="千位分隔" xfId="1" builtinId="3"/>
  </cellStyles>
  <dxfs count="0"/>
  <tableStyles count="0" defaultTableStyle="TableStyleMedium2" defaultPivotStyle="PivotStyleLight16"/>
  <colors>
    <mruColors>
      <color rgb="FF404040"/>
      <color rgb="FF62626C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data!$I$2</c:f>
              <c:strCache>
                <c:ptCount val="1"/>
                <c:pt idx="0">
                  <c:v>中证1000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data!$A$3:$A$15</c:f>
              <c:numCache>
                <c:formatCode>yyyy\-mm\-dd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45876</c:v>
                </c:pt>
              </c:numCache>
            </c:numRef>
          </c:cat>
          <c:val>
            <c:numRef>
              <c:f>data!$I$3:$I$15</c:f>
              <c:numCache>
                <c:formatCode>0.00</c:formatCode>
                <c:ptCount val="13"/>
                <c:pt idx="0">
                  <c:v>-5.3130888185175751</c:v>
                </c:pt>
                <c:pt idx="1">
                  <c:v>18.005809347832802</c:v>
                </c:pt>
                <c:pt idx="2">
                  <c:v>25.149789814008528</c:v>
                </c:pt>
                <c:pt idx="3">
                  <c:v>26.334494572642278</c:v>
                </c:pt>
                <c:pt idx="4">
                  <c:v>22.595512038173286</c:v>
                </c:pt>
                <c:pt idx="5">
                  <c:v>20.721495594425324</c:v>
                </c:pt>
                <c:pt idx="6">
                  <c:v>27.980219859138892</c:v>
                </c:pt>
                <c:pt idx="7">
                  <c:v>27.28218352708285</c:v>
                </c:pt>
                <c:pt idx="8">
                  <c:v>22.841080312782402</c:v>
                </c:pt>
                <c:pt idx="9">
                  <c:v>24.125818096673669</c:v>
                </c:pt>
                <c:pt idx="10">
                  <c:v>29.595289629216047</c:v>
                </c:pt>
                <c:pt idx="11">
                  <c:v>34.393845328059932</c:v>
                </c:pt>
                <c:pt idx="12">
                  <c:v>37.050184524823422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B-4EFE-BC7B-219D6F9C2FE5}"/>
            </c:ext>
          </c:extLst>
        </c:ser>
        <c:ser>
          <c:idx val="1"/>
          <c:order val="1"/>
          <c:tx>
            <c:strRef>
              <c:f>data!$J$2</c:f>
              <c:strCache>
                <c:ptCount val="1"/>
                <c:pt idx="0">
                  <c:v>融捷股份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data!$A$3:$A$15</c:f>
              <c:numCache>
                <c:formatCode>yyyy\-mm\-dd</c:formatCode>
                <c:ptCount val="13"/>
                <c:pt idx="0">
                  <c:v>45535</c:v>
                </c:pt>
                <c:pt idx="1">
                  <c:v>45565</c:v>
                </c:pt>
                <c:pt idx="2">
                  <c:v>45596</c:v>
                </c:pt>
                <c:pt idx="3">
                  <c:v>45626</c:v>
                </c:pt>
                <c:pt idx="4">
                  <c:v>45657</c:v>
                </c:pt>
                <c:pt idx="5">
                  <c:v>45688</c:v>
                </c:pt>
                <c:pt idx="6">
                  <c:v>45716</c:v>
                </c:pt>
                <c:pt idx="7">
                  <c:v>45747</c:v>
                </c:pt>
                <c:pt idx="8">
                  <c:v>45777</c:v>
                </c:pt>
                <c:pt idx="9">
                  <c:v>45808</c:v>
                </c:pt>
                <c:pt idx="10">
                  <c:v>45838</c:v>
                </c:pt>
                <c:pt idx="11">
                  <c:v>45869</c:v>
                </c:pt>
                <c:pt idx="12">
                  <c:v>45876</c:v>
                </c:pt>
              </c:numCache>
            </c:numRef>
          </c:cat>
          <c:val>
            <c:numRef>
              <c:f>data!$J$3:$J$15</c:f>
              <c:numCache>
                <c:formatCode>0.00</c:formatCode>
                <c:ptCount val="13"/>
                <c:pt idx="0">
                  <c:v>-5.4755944931163869</c:v>
                </c:pt>
                <c:pt idx="1">
                  <c:v>19.913349565142479</c:v>
                </c:pt>
                <c:pt idx="2">
                  <c:v>12.020002152259689</c:v>
                </c:pt>
                <c:pt idx="3">
                  <c:v>21.277669105541406</c:v>
                </c:pt>
                <c:pt idx="4">
                  <c:v>4.9607750866536762</c:v>
                </c:pt>
                <c:pt idx="5">
                  <c:v>0.79149608978848729</c:v>
                </c:pt>
                <c:pt idx="6">
                  <c:v>4.7169131653527732</c:v>
                </c:pt>
                <c:pt idx="7">
                  <c:v>-0.82290427248166509</c:v>
                </c:pt>
                <c:pt idx="8">
                  <c:v>-10.253094209169436</c:v>
                </c:pt>
                <c:pt idx="9">
                  <c:v>-6.8682524137316046</c:v>
                </c:pt>
                <c:pt idx="10">
                  <c:v>2.1708934937416968</c:v>
                </c:pt>
                <c:pt idx="11">
                  <c:v>15.412194611599272</c:v>
                </c:pt>
                <c:pt idx="12">
                  <c:v>20.830913823421959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B-4EFE-BC7B-219D6F9C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208671"/>
        <c:axId val="236230303"/>
      </c:lineChart>
      <c:dateAx>
        <c:axId val="23620867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36230303"/>
        <c:crosses val="autoZero"/>
        <c:auto val="1"/>
        <c:lblOffset val="100"/>
        <c:baseTimeUnit val="days"/>
        <c:majorUnit val="3"/>
        <c:majorTimeUnit val="months"/>
      </c:dateAx>
      <c:valAx>
        <c:axId val="2362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3620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40404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ED7D3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data!$F$3:$F$15</c:f>
              <c:numCache>
                <c:formatCode>0.00</c:formatCode>
                <c:ptCount val="13"/>
                <c:pt idx="0">
                  <c:v>-5.3130888185175751</c:v>
                </c:pt>
                <c:pt idx="1">
                  <c:v>23.318898166350376</c:v>
                </c:pt>
                <c:pt idx="2">
                  <c:v>7.1439804661757256</c:v>
                </c:pt>
                <c:pt idx="3">
                  <c:v>1.1847047586337478</c:v>
                </c:pt>
                <c:pt idx="4">
                  <c:v>-3.7389825344689931</c:v>
                </c:pt>
                <c:pt idx="5">
                  <c:v>-1.8740164437479612</c:v>
                </c:pt>
                <c:pt idx="6">
                  <c:v>7.2587242647135675</c:v>
                </c:pt>
                <c:pt idx="7">
                  <c:v>-0.6980363320560401</c:v>
                </c:pt>
                <c:pt idx="8">
                  <c:v>-4.4411032143004459</c:v>
                </c:pt>
                <c:pt idx="9">
                  <c:v>1.2847377838912655</c:v>
                </c:pt>
                <c:pt idx="10">
                  <c:v>5.4694715325423804</c:v>
                </c:pt>
                <c:pt idx="11">
                  <c:v>4.7985556988438871</c:v>
                </c:pt>
                <c:pt idx="12">
                  <c:v>2.6563391967634908</c:v>
                </c:pt>
              </c:numCache>
            </c:numRef>
          </c:xVal>
          <c:yVal>
            <c:numRef>
              <c:f>data!$G$3:$G$15</c:f>
              <c:numCache>
                <c:formatCode>0.00</c:formatCode>
                <c:ptCount val="13"/>
                <c:pt idx="0">
                  <c:v>-5.4755944931163869</c:v>
                </c:pt>
                <c:pt idx="1">
                  <c:v>25.388944058258865</c:v>
                </c:pt>
                <c:pt idx="2">
                  <c:v>-7.8933474128827896</c:v>
                </c:pt>
                <c:pt idx="3">
                  <c:v>9.2576669532817171</c:v>
                </c:pt>
                <c:pt idx="4">
                  <c:v>-16.31689401888773</c:v>
                </c:pt>
                <c:pt idx="5">
                  <c:v>-4.1692789968651889</c:v>
                </c:pt>
                <c:pt idx="6">
                  <c:v>3.9254170755642859</c:v>
                </c:pt>
                <c:pt idx="7">
                  <c:v>-5.5398174378344383</c:v>
                </c:pt>
                <c:pt idx="8">
                  <c:v>-9.4301899366877713</c:v>
                </c:pt>
                <c:pt idx="9">
                  <c:v>3.3848417954378318</c:v>
                </c:pt>
                <c:pt idx="10">
                  <c:v>9.0391459074733014</c:v>
                </c:pt>
                <c:pt idx="11">
                  <c:v>13.241301117857574</c:v>
                </c:pt>
                <c:pt idx="12">
                  <c:v>5.4187192118226868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9E-40C5-BAA9-87604296B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389151"/>
        <c:axId val="337389983"/>
      </c:scatterChart>
      <c:valAx>
        <c:axId val="33738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%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37389983"/>
        <c:crosses val="autoZero"/>
        <c:crossBetween val="midCat"/>
      </c:valAx>
      <c:valAx>
        <c:axId val="3373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%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3738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404040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6200"/>
          <a:ext cx="607152" cy="219075"/>
        </a:xfrm>
        <a:prstGeom prst="rect">
          <a:avLst/>
        </a:prstGeom>
      </xdr:spPr>
    </xdr:pic>
    <xdr:clientData/>
  </xdr:oneCellAnchor>
  <xdr:twoCellAnchor>
    <xdr:from>
      <xdr:col>2</xdr:col>
      <xdr:colOff>46828</xdr:colOff>
      <xdr:row>17</xdr:row>
      <xdr:rowOff>38100</xdr:rowOff>
    </xdr:from>
    <xdr:to>
      <xdr:col>5</xdr:col>
      <xdr:colOff>1313325</xdr:colOff>
      <xdr:row>25</xdr:row>
      <xdr:rowOff>161193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128026</xdr:colOff>
      <xdr:row>17</xdr:row>
      <xdr:rowOff>45022</xdr:rowOff>
    </xdr:from>
    <xdr:to>
      <xdr:col>10</xdr:col>
      <xdr:colOff>1205679</xdr:colOff>
      <xdr:row>25</xdr:row>
      <xdr:rowOff>161193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yqcui/SVN/WindRes/Management/API/QntProduct/PT/yqcui/Excel&#25554;&#20214;&#27169;&#26495;&#24211;&#39033;&#30446;/&#27169;&#26495;&#30740;&#31350;/&#30740;&#31350;&#27169;&#26495;/20240115%20Excel&#27169;&#26495;&#21333;&#20844;&#21496;Beta&#35745;&#31639;&#22120;/&#21333;&#20844;&#21496;Beta&#35745;&#31639;&#22120;%20V1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单公司Beta"/>
      <sheetName val="Cache"/>
      <sheetName val="Help"/>
    </sheetNames>
    <sheetDataSet>
      <sheetData sheetId="0"/>
      <sheetData sheetId="1">
        <row r="1">
          <cell r="D1" t="str">
            <v>上证综合指数</v>
          </cell>
          <cell r="E1" t="str">
            <v>000001.SH</v>
          </cell>
        </row>
        <row r="2">
          <cell r="D2" t="str">
            <v>深证成份指数</v>
          </cell>
          <cell r="E2" t="str">
            <v>399001.SZ</v>
          </cell>
        </row>
        <row r="3">
          <cell r="D3" t="str">
            <v>沪深300</v>
          </cell>
          <cell r="E3" t="str">
            <v>000300.SH</v>
          </cell>
        </row>
        <row r="4">
          <cell r="D4" t="str">
            <v>中小板指</v>
          </cell>
          <cell r="E4" t="str">
            <v>399005.SZ</v>
          </cell>
        </row>
        <row r="5">
          <cell r="D5" t="str">
            <v>深证综合指数</v>
          </cell>
          <cell r="E5" t="str">
            <v>399106.SZ</v>
          </cell>
        </row>
        <row r="6">
          <cell r="D6" t="str">
            <v>中小板综</v>
          </cell>
          <cell r="E6" t="str">
            <v>399101.SZ</v>
          </cell>
        </row>
        <row r="7">
          <cell r="D7" t="str">
            <v>上证A股指数</v>
          </cell>
          <cell r="E7" t="str">
            <v>000002.SH</v>
          </cell>
        </row>
        <row r="8">
          <cell r="D8" t="str">
            <v>深证A股指数</v>
          </cell>
          <cell r="E8" t="str">
            <v>399107.SZ</v>
          </cell>
        </row>
        <row r="9">
          <cell r="D9" t="str">
            <v>上证180指数</v>
          </cell>
          <cell r="E9" t="str">
            <v>000010.SH</v>
          </cell>
        </row>
        <row r="10">
          <cell r="D10" t="str">
            <v>上证50指数</v>
          </cell>
          <cell r="E10" t="str">
            <v>000016.SH</v>
          </cell>
        </row>
        <row r="11">
          <cell r="D11" t="str">
            <v>深证100指数</v>
          </cell>
          <cell r="E11" t="str">
            <v>399004.SZ</v>
          </cell>
        </row>
        <row r="12">
          <cell r="D12" t="str">
            <v>上证央企50指数</v>
          </cell>
          <cell r="E12" t="str">
            <v>000042.SZ</v>
          </cell>
        </row>
        <row r="13">
          <cell r="D13" t="str">
            <v>上证民企指数</v>
          </cell>
          <cell r="E13" t="str">
            <v>000049.SZ</v>
          </cell>
        </row>
        <row r="14">
          <cell r="D14" t="str">
            <v>中证100</v>
          </cell>
          <cell r="E14" t="str">
            <v>000903.SH</v>
          </cell>
        </row>
        <row r="15">
          <cell r="D15" t="str">
            <v>中证500</v>
          </cell>
          <cell r="E15" t="str">
            <v>000905.SZ</v>
          </cell>
        </row>
        <row r="16">
          <cell r="D16" t="str">
            <v>中证800</v>
          </cell>
          <cell r="E16" t="str">
            <v>000906.SZ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info_name"/>
      <definedName name="s_dq_close"/>
      <definedName name="S_INFO_NAME"/>
      <definedName name="s_mq_pctchange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2626C"/>
  </sheetPr>
  <dimension ref="A1:Y35"/>
  <sheetViews>
    <sheetView showGridLines="0" tabSelected="1" zoomScaleNormal="100" workbookViewId="0">
      <pane ySplit="1" topLeftCell="A2" activePane="bottomLeft" state="frozen"/>
      <selection pane="bottomLeft" activeCell="A37" sqref="A37"/>
    </sheetView>
  </sheetViews>
  <sheetFormatPr defaultRowHeight="18.75"/>
  <cols>
    <col min="1" max="1" width="3.625" customWidth="1"/>
    <col min="2" max="2" width="1.625" customWidth="1"/>
    <col min="3" max="3" width="21.625" customWidth="1"/>
    <col min="4" max="4" width="25.625" style="4" customWidth="1"/>
    <col min="5" max="5" width="1.625" style="4" customWidth="1"/>
    <col min="6" max="6" width="21.625" customWidth="1"/>
    <col min="7" max="7" width="2.75" customWidth="1"/>
    <col min="8" max="8" width="21.625" customWidth="1"/>
    <col min="9" max="9" width="1.625" customWidth="1"/>
    <col min="10" max="11" width="22.625" customWidth="1"/>
    <col min="12" max="12" width="1.625" customWidth="1"/>
    <col min="13" max="13" width="3.625" customWidth="1"/>
    <col min="14" max="14" width="2.625" customWidth="1"/>
    <col min="15" max="15" width="8.625" style="6" customWidth="1"/>
    <col min="16" max="16" width="6.5" style="6" customWidth="1"/>
    <col min="17" max="17" width="8.625" style="6" customWidth="1"/>
    <col min="18" max="18" width="12.625" style="6" customWidth="1"/>
    <col min="19" max="19" width="7.625" style="6" customWidth="1"/>
    <col min="20" max="20" width="6.5" style="6" customWidth="1"/>
    <col min="21" max="21" width="12.625" style="6" customWidth="1"/>
    <col min="22" max="22" width="10.625" customWidth="1"/>
    <col min="23" max="23" width="12.625" customWidth="1"/>
    <col min="24" max="24" width="10.625" customWidth="1"/>
    <col min="25" max="25" width="5.875" customWidth="1"/>
    <col min="26" max="26" width="9" customWidth="1"/>
  </cols>
  <sheetData>
    <row r="1" spans="1:25" ht="27.75">
      <c r="A1" s="1"/>
      <c r="B1" s="1"/>
      <c r="C1" s="1"/>
      <c r="D1" s="54" t="s">
        <v>30</v>
      </c>
      <c r="E1" s="54"/>
      <c r="F1" s="54"/>
      <c r="G1" s="54"/>
      <c r="H1" s="54"/>
      <c r="I1" s="54"/>
      <c r="J1" s="54"/>
      <c r="K1" s="21"/>
      <c r="L1" s="9"/>
      <c r="M1" s="1"/>
    </row>
    <row r="2" spans="1:25" ht="12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2"/>
    </row>
    <row r="3" spans="1:25" ht="10.5" customHeight="1">
      <c r="A3" s="12"/>
      <c r="D3"/>
      <c r="E3"/>
      <c r="M3" s="2"/>
    </row>
    <row r="4" spans="1:25" ht="15" customHeight="1">
      <c r="A4" s="3"/>
      <c r="C4" s="13" t="s">
        <v>1</v>
      </c>
      <c r="D4" s="40" t="s">
        <v>34</v>
      </c>
      <c r="E4" s="39"/>
      <c r="F4" s="13" t="s">
        <v>4</v>
      </c>
      <c r="G4" s="13"/>
      <c r="H4" s="41">
        <v>43863</v>
      </c>
      <c r="I4" s="39"/>
      <c r="J4" s="13" t="s">
        <v>0</v>
      </c>
      <c r="K4" s="40" t="s">
        <v>23</v>
      </c>
      <c r="M4" s="3"/>
    </row>
    <row r="5" spans="1:25" ht="15" customHeight="1">
      <c r="A5" s="3"/>
      <c r="C5" s="14" t="s">
        <v>2</v>
      </c>
      <c r="D5" s="42" t="str">
        <f>[2]!S_INFO_NAME(D4)</f>
        <v>融捷股份</v>
      </c>
      <c r="E5" s="39"/>
      <c r="F5" s="14" t="s">
        <v>3</v>
      </c>
      <c r="G5" s="14"/>
      <c r="H5" s="41">
        <f ca="1">TODAY()-1</f>
        <v>45876</v>
      </c>
      <c r="I5" s="39"/>
      <c r="J5" s="14" t="s">
        <v>5</v>
      </c>
      <c r="K5" s="43" t="s">
        <v>24</v>
      </c>
      <c r="M5" s="3"/>
    </row>
    <row r="6" spans="1:25" ht="15" customHeight="1">
      <c r="A6" s="3"/>
      <c r="C6" s="13" t="s">
        <v>20</v>
      </c>
      <c r="D6" s="40" t="s">
        <v>33</v>
      </c>
      <c r="E6" s="39"/>
      <c r="F6" s="39"/>
      <c r="G6" s="39"/>
      <c r="H6" s="39"/>
      <c r="I6" s="39"/>
      <c r="J6" s="13" t="s">
        <v>6</v>
      </c>
      <c r="K6" s="43" t="s">
        <v>22</v>
      </c>
      <c r="M6" s="3"/>
    </row>
    <row r="7" spans="1:25" ht="15" customHeight="1">
      <c r="A7" s="3"/>
      <c r="C7" s="14" t="s">
        <v>21</v>
      </c>
      <c r="D7" s="44" t="str">
        <f>[2]!b_info_name(D6)</f>
        <v>中证1000</v>
      </c>
      <c r="E7" s="39"/>
      <c r="F7" s="39"/>
      <c r="G7" s="39"/>
      <c r="H7" s="39"/>
      <c r="I7" s="39"/>
      <c r="J7" s="39"/>
      <c r="K7" s="39"/>
      <c r="M7" s="3"/>
    </row>
    <row r="8" spans="1:25" ht="9.9499999999999993" customHeight="1">
      <c r="A8" s="3"/>
      <c r="C8" s="39"/>
      <c r="D8" s="39"/>
      <c r="E8" s="39"/>
      <c r="F8" s="39"/>
      <c r="G8" s="39"/>
      <c r="H8" s="39"/>
      <c r="I8" s="39"/>
      <c r="J8" s="39"/>
      <c r="K8" s="39"/>
      <c r="M8" s="3"/>
    </row>
    <row r="9" spans="1:25" ht="16.5" customHeight="1">
      <c r="A9" s="3"/>
      <c r="C9" s="15" t="s">
        <v>16</v>
      </c>
      <c r="D9" s="15"/>
      <c r="E9" s="15"/>
      <c r="F9" s="15"/>
      <c r="G9" s="15"/>
      <c r="H9" s="45"/>
      <c r="I9" s="45"/>
      <c r="J9" s="45"/>
      <c r="K9" s="45"/>
      <c r="L9" s="18"/>
      <c r="M9" s="2"/>
    </row>
    <row r="10" spans="1:25" ht="15.75" customHeight="1">
      <c r="A10" s="3"/>
      <c r="C10" s="16" t="s">
        <v>17</v>
      </c>
      <c r="D10" s="16"/>
      <c r="E10" s="39"/>
      <c r="F10" s="16" t="s">
        <v>18</v>
      </c>
      <c r="G10" s="16"/>
      <c r="H10" s="16"/>
      <c r="I10" s="39"/>
      <c r="J10" s="16" t="s">
        <v>19</v>
      </c>
      <c r="K10" s="16"/>
      <c r="L10" s="17"/>
      <c r="M10" s="3"/>
    </row>
    <row r="11" spans="1:25" ht="15" customHeight="1">
      <c r="A11" s="3"/>
      <c r="C11" s="13" t="s">
        <v>7</v>
      </c>
      <c r="D11" s="46">
        <f ca="1">$O$29</f>
        <v>1.3857333700953758</v>
      </c>
      <c r="E11" s="39"/>
      <c r="F11" s="13" t="s">
        <v>9</v>
      </c>
      <c r="G11" s="13"/>
      <c r="H11" s="50">
        <f>$Q$29</f>
        <v>1.1179719131360928</v>
      </c>
      <c r="I11" s="39"/>
      <c r="J11" s="13" t="s">
        <v>11</v>
      </c>
      <c r="K11" s="46">
        <f>$S$29</f>
        <v>2.5291916518032753</v>
      </c>
      <c r="L11" s="19"/>
      <c r="M11" s="3"/>
    </row>
    <row r="12" spans="1:25" ht="15" customHeight="1">
      <c r="A12" s="3"/>
      <c r="C12" s="14" t="s">
        <v>8</v>
      </c>
      <c r="D12" s="47">
        <f>$P$29</f>
        <v>1.2584413579639018</v>
      </c>
      <c r="E12" s="39"/>
      <c r="F12" s="14" t="s">
        <v>10</v>
      </c>
      <c r="G12" s="14"/>
      <c r="H12" s="51">
        <f>$R$29</f>
        <v>1.015276187247806</v>
      </c>
      <c r="I12" s="39"/>
      <c r="J12" s="14" t="s">
        <v>12</v>
      </c>
      <c r="K12" s="47">
        <f>$U$29</f>
        <v>21.987569191869756</v>
      </c>
      <c r="L12" s="19"/>
      <c r="M12" s="3"/>
    </row>
    <row r="13" spans="1:25" ht="15" customHeight="1">
      <c r="A13" s="3"/>
      <c r="C13" s="13"/>
      <c r="D13" s="48"/>
      <c r="E13" s="39"/>
      <c r="F13" s="13"/>
      <c r="G13" s="13"/>
      <c r="H13" s="48"/>
      <c r="I13" s="39"/>
      <c r="J13" s="13" t="s">
        <v>13</v>
      </c>
      <c r="K13" s="46">
        <f>$V$29</f>
        <v>0.39981771592551879</v>
      </c>
      <c r="L13" s="19"/>
      <c r="M13" s="3"/>
      <c r="Q13" s="7"/>
      <c r="R13" s="7"/>
      <c r="S13" s="7"/>
      <c r="T13" s="7"/>
      <c r="U13" s="7"/>
      <c r="V13" s="5"/>
      <c r="W13" s="5"/>
      <c r="X13" s="5"/>
      <c r="Y13" s="5"/>
    </row>
    <row r="14" spans="1:25" ht="15" customHeight="1">
      <c r="A14" s="3"/>
      <c r="C14" s="14"/>
      <c r="D14" s="49"/>
      <c r="E14" s="39"/>
      <c r="F14" s="14"/>
      <c r="G14" s="14"/>
      <c r="H14" s="49"/>
      <c r="I14" s="39"/>
      <c r="J14" s="14" t="s">
        <v>14</v>
      </c>
      <c r="K14" s="52">
        <f>$X$29</f>
        <v>877</v>
      </c>
      <c r="L14" s="20"/>
      <c r="M14" s="3"/>
      <c r="Q14" s="7"/>
      <c r="R14" s="7"/>
      <c r="S14" s="7"/>
      <c r="T14" s="7"/>
      <c r="U14" s="7"/>
      <c r="V14" s="5"/>
      <c r="W14" s="5"/>
      <c r="X14" s="5"/>
      <c r="Y14" s="5"/>
    </row>
    <row r="15" spans="1:25" ht="15" customHeight="1">
      <c r="A15" s="3"/>
      <c r="C15" s="13"/>
      <c r="D15" s="48"/>
      <c r="E15" s="39"/>
      <c r="F15" s="13"/>
      <c r="G15" s="13"/>
      <c r="H15" s="48"/>
      <c r="I15" s="39"/>
      <c r="J15" s="13" t="s">
        <v>15</v>
      </c>
      <c r="K15" s="53">
        <f>$Y$29</f>
        <v>76</v>
      </c>
      <c r="L15" s="20"/>
      <c r="M15" s="3"/>
      <c r="Q15" s="7"/>
      <c r="R15" s="7"/>
      <c r="S15" s="7"/>
      <c r="T15" s="7"/>
      <c r="U15" s="7"/>
      <c r="V15" s="5"/>
      <c r="W15" s="5"/>
      <c r="X15" s="5"/>
      <c r="Y15" s="5"/>
    </row>
    <row r="16" spans="1:25" ht="9.9499999999999993" customHeight="1">
      <c r="A16" s="3"/>
      <c r="D16"/>
      <c r="E16"/>
      <c r="M16" s="3"/>
      <c r="Q16" s="7"/>
      <c r="R16" s="7"/>
      <c r="S16" s="7"/>
      <c r="T16" s="7"/>
      <c r="U16" s="7"/>
      <c r="V16" s="5"/>
      <c r="W16" s="5"/>
      <c r="X16" s="5"/>
      <c r="Y16" s="5"/>
    </row>
    <row r="17" spans="1:25" ht="16.5" customHeight="1">
      <c r="A17" s="3"/>
      <c r="C17" s="15" t="s">
        <v>31</v>
      </c>
      <c r="D17" s="15"/>
      <c r="E17" s="15"/>
      <c r="F17" s="15"/>
      <c r="H17" s="15" t="s">
        <v>32</v>
      </c>
      <c r="I17" s="15"/>
      <c r="J17" s="15"/>
      <c r="K17" s="15"/>
      <c r="M17" s="3"/>
      <c r="Q17" s="7"/>
      <c r="R17" s="7"/>
      <c r="S17" s="7"/>
      <c r="T17" s="7"/>
      <c r="U17" s="7"/>
      <c r="V17" s="5"/>
      <c r="W17" s="5"/>
      <c r="X17" s="5"/>
      <c r="Y17" s="5"/>
    </row>
    <row r="18" spans="1:25" ht="24.95" customHeight="1">
      <c r="A18" s="3"/>
      <c r="C18" s="38"/>
      <c r="D18" s="38"/>
      <c r="E18" s="38"/>
      <c r="F18" s="38"/>
      <c r="H18" s="38"/>
      <c r="I18" s="38"/>
      <c r="J18" s="38"/>
      <c r="K18" s="38"/>
      <c r="M18" s="3"/>
      <c r="Q18" s="7"/>
      <c r="R18" s="7"/>
      <c r="S18" s="7"/>
      <c r="T18" s="7"/>
      <c r="U18" s="7"/>
      <c r="V18" s="5"/>
      <c r="W18" s="5"/>
      <c r="X18" s="5"/>
      <c r="Y18" s="5"/>
    </row>
    <row r="19" spans="1:25" ht="24.95" customHeight="1">
      <c r="A19" s="3"/>
      <c r="C19" s="38"/>
      <c r="D19" s="38"/>
      <c r="E19" s="38"/>
      <c r="F19" s="38"/>
      <c r="H19" s="38"/>
      <c r="I19" s="38"/>
      <c r="J19" s="38"/>
      <c r="K19" s="38"/>
      <c r="M19" s="3"/>
      <c r="Q19" s="7"/>
      <c r="R19" s="7"/>
      <c r="S19" s="7"/>
      <c r="T19" s="7"/>
      <c r="U19" s="7"/>
      <c r="V19" s="5"/>
      <c r="W19" s="5"/>
      <c r="X19" s="5"/>
      <c r="Y19" s="5"/>
    </row>
    <row r="20" spans="1:25" ht="24.95" customHeight="1">
      <c r="A20" s="3"/>
      <c r="C20" s="38"/>
      <c r="D20" s="38"/>
      <c r="E20" s="38"/>
      <c r="F20" s="38"/>
      <c r="H20" s="38"/>
      <c r="I20" s="38"/>
      <c r="J20" s="38"/>
      <c r="K20" s="38"/>
      <c r="M20" s="3"/>
      <c r="Q20" s="7"/>
      <c r="R20" s="7"/>
      <c r="S20" s="7"/>
      <c r="T20" s="7"/>
      <c r="U20" s="7"/>
      <c r="V20" s="5"/>
      <c r="W20" s="5"/>
      <c r="X20" s="5"/>
      <c r="Y20" s="5"/>
    </row>
    <row r="21" spans="1:25" ht="24.95" customHeight="1">
      <c r="A21" s="3"/>
      <c r="C21" s="38"/>
      <c r="D21" s="38"/>
      <c r="E21" s="38"/>
      <c r="F21" s="38"/>
      <c r="H21" s="38"/>
      <c r="I21" s="38"/>
      <c r="J21" s="38"/>
      <c r="K21" s="38"/>
      <c r="M21" s="3"/>
      <c r="Q21" s="7"/>
      <c r="R21" s="7"/>
      <c r="S21" s="7"/>
      <c r="T21" s="7"/>
      <c r="U21" s="7"/>
      <c r="V21" s="5"/>
      <c r="W21" s="5"/>
      <c r="X21" s="5"/>
      <c r="Y21" s="5"/>
    </row>
    <row r="22" spans="1:25" ht="24.95" customHeight="1">
      <c r="A22" s="3"/>
      <c r="C22" s="38"/>
      <c r="D22" s="38"/>
      <c r="E22" s="38"/>
      <c r="F22" s="38"/>
      <c r="H22" s="38"/>
      <c r="I22" s="38"/>
      <c r="J22" s="38"/>
      <c r="K22" s="38"/>
      <c r="M22" s="3"/>
      <c r="Q22" s="7"/>
      <c r="R22" s="7"/>
      <c r="S22" s="7"/>
      <c r="T22" s="7"/>
      <c r="U22" s="7"/>
      <c r="V22" s="5"/>
      <c r="W22" s="5"/>
      <c r="X22" s="5"/>
      <c r="Y22" s="5"/>
    </row>
    <row r="23" spans="1:25" ht="24.95" customHeight="1">
      <c r="A23" s="3"/>
      <c r="C23" s="38"/>
      <c r="D23" s="38"/>
      <c r="E23" s="38"/>
      <c r="F23" s="38"/>
      <c r="H23" s="38"/>
      <c r="I23" s="38"/>
      <c r="J23" s="38"/>
      <c r="K23" s="38"/>
      <c r="M23" s="3"/>
      <c r="Q23" s="7"/>
      <c r="R23" s="7"/>
      <c r="S23" s="7"/>
      <c r="T23" s="7"/>
      <c r="U23" s="7"/>
      <c r="V23" s="5"/>
      <c r="W23" s="5"/>
      <c r="X23" s="5"/>
      <c r="Y23" s="5"/>
    </row>
    <row r="24" spans="1:25" ht="24.95" customHeight="1">
      <c r="A24" s="3"/>
      <c r="C24" s="38"/>
      <c r="D24" s="38"/>
      <c r="E24" s="38"/>
      <c r="F24" s="38"/>
      <c r="H24" s="38"/>
      <c r="I24" s="38"/>
      <c r="J24" s="38"/>
      <c r="K24" s="38"/>
      <c r="M24" s="3"/>
      <c r="Q24" s="7"/>
      <c r="R24" s="7"/>
      <c r="S24" s="7"/>
      <c r="T24" s="7"/>
      <c r="U24" s="7"/>
      <c r="V24" s="5"/>
      <c r="W24" s="5"/>
      <c r="X24" s="5"/>
      <c r="Y24" s="5"/>
    </row>
    <row r="25" spans="1:25" ht="24.95" customHeight="1">
      <c r="A25" s="3"/>
      <c r="C25" s="38"/>
      <c r="D25" s="38"/>
      <c r="E25" s="38"/>
      <c r="F25" s="38"/>
      <c r="H25" s="38"/>
      <c r="I25" s="38"/>
      <c r="J25" s="38"/>
      <c r="K25" s="38"/>
      <c r="M25" s="3"/>
      <c r="Q25" s="7"/>
      <c r="R25" s="7"/>
      <c r="S25" s="7"/>
      <c r="T25" s="7"/>
      <c r="U25" s="7"/>
      <c r="V25" s="5"/>
      <c r="W25" s="5"/>
      <c r="X25" s="5"/>
      <c r="Y25" s="5"/>
    </row>
    <row r="26" spans="1:25" ht="24.95" customHeight="1">
      <c r="A26" s="3"/>
      <c r="C26" s="38"/>
      <c r="D26" s="38"/>
      <c r="E26" s="38"/>
      <c r="F26" s="38"/>
      <c r="H26" s="38"/>
      <c r="I26" s="38"/>
      <c r="J26" s="38"/>
      <c r="K26" s="38"/>
      <c r="M26" s="3"/>
    </row>
    <row r="27" spans="1:25" ht="9.9499999999999993" customHeight="1">
      <c r="A27" s="3"/>
      <c r="D27"/>
      <c r="E27"/>
      <c r="M27" s="3"/>
    </row>
    <row r="28" spans="1:25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5" ht="18" hidden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O29" s="10">
        <f ca="1">[2]!wset("betacalculator","windCode="&amp;$D$4,"indexCode="&amp;$D$6,"startDate="&amp;TEXT($H$4,"YYYYMMDD"),"endDate="&amp;TEXT($H$5,"YYYYMMDD"),"period="&amp;$K$4,"calcType="&amp;$K$5,"unleveragedType="&amp;$K$6,"field=Beta,BetaAdjusted,BetaUnleveraged,BetaUnleveragedAdjusted,Alpha,RSquare,BetaESD,BetaRSR,ObservePoints","cols=9;rows=1")</f>
        <v>1.3857333700953758</v>
      </c>
      <c r="P29" s="11">
        <v>1.2584413579639018</v>
      </c>
      <c r="Q29" s="11">
        <v>1.1179719131360928</v>
      </c>
      <c r="R29" s="11">
        <v>1.015276187247806</v>
      </c>
      <c r="S29" s="11">
        <v>2.5291916518032753</v>
      </c>
      <c r="T29" s="11">
        <v>0.16014055967367208</v>
      </c>
      <c r="U29" s="11">
        <v>21.987569191869756</v>
      </c>
      <c r="V29" s="11">
        <v>0.39981771592551879</v>
      </c>
      <c r="W29" s="22">
        <v>65</v>
      </c>
      <c r="X29" s="8">
        <v>877</v>
      </c>
      <c r="Y29" s="8">
        <v>76</v>
      </c>
    </row>
    <row r="30" spans="1:25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5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O31" s="10"/>
      <c r="P31" s="24"/>
      <c r="Q31" s="23"/>
      <c r="R31" s="23"/>
      <c r="S31" s="24"/>
      <c r="T31" s="24"/>
      <c r="U31" s="24"/>
      <c r="V31" s="10"/>
      <c r="W31" s="8"/>
    </row>
    <row r="32" spans="1:25" ht="16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6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6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6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</sheetData>
  <mergeCells count="1">
    <mergeCell ref="D1:J1"/>
  </mergeCells>
  <phoneticPr fontId="8" type="noConversion"/>
  <dataValidations count="3">
    <dataValidation type="list" allowBlank="1" showInputMessage="1" showErrorMessage="1" sqref="K6" xr:uid="{00000000-0002-0000-0000-000000000000}">
      <formula1>"不剔除,按账面价值比,按市场价值比,用户自定义"</formula1>
    </dataValidation>
    <dataValidation type="list" allowBlank="1" showInputMessage="1" showErrorMessage="1" sqref="K4" xr:uid="{00000000-0002-0000-0000-000001000000}">
      <formula1>"日,周,月,年"</formula1>
    </dataValidation>
    <dataValidation type="list" allowBlank="1" showInputMessage="1" showErrorMessage="1" sqref="K5" xr:uid="{00000000-0002-0000-0000-000002000000}">
      <formula1>"普通收益率,对数收益率"</formula1>
    </dataValidation>
  </dataValidations>
  <pageMargins left="0.7" right="0.7" top="0.75" bottom="0.75" header="0.3" footer="0.3"/>
  <pageSetup paperSize="9" orientation="portrait" r:id="rId1"/>
  <ignoredErrors>
    <ignoredError sqref="H5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U23" sqref="U23"/>
    </sheetView>
  </sheetViews>
  <sheetFormatPr defaultRowHeight="14.25"/>
  <sheetData>
    <row r="1" spans="1:10" ht="18">
      <c r="A1" s="27"/>
      <c r="B1" s="28"/>
      <c r="C1" s="27" t="s">
        <v>26</v>
      </c>
      <c r="D1" s="29"/>
      <c r="E1" s="26"/>
      <c r="F1" s="27" t="s">
        <v>28</v>
      </c>
      <c r="G1" s="30"/>
      <c r="H1" s="28"/>
      <c r="I1" s="31" t="s">
        <v>29</v>
      </c>
      <c r="J1" s="32"/>
    </row>
    <row r="2" spans="1:10" ht="18">
      <c r="A2" s="33" t="s">
        <v>27</v>
      </c>
      <c r="B2" s="28"/>
      <c r="C2" s="34" t="str">
        <f>[2]!S_INFO_NAME(单公司Beta计算器!$D$6)</f>
        <v>中证1000</v>
      </c>
      <c r="D2" s="34" t="str">
        <f>[2]!S_INFO_NAME(单公司Beta计算器!$D$4)</f>
        <v>融捷股份</v>
      </c>
      <c r="E2" s="26"/>
      <c r="F2" s="34" t="str">
        <f>[2]!S_INFO_NAME(单公司Beta计算器!$D$6)</f>
        <v>中证1000</v>
      </c>
      <c r="G2" s="34" t="str">
        <f>[2]!S_INFO_NAME(单公司Beta计算器!$D$4)</f>
        <v>融捷股份</v>
      </c>
      <c r="H2" s="28"/>
      <c r="I2" s="34" t="str">
        <f>[2]!S_INFO_NAME(单公司Beta计算器!$D$6)</f>
        <v>中证1000</v>
      </c>
      <c r="J2" s="34" t="str">
        <f>[2]!S_INFO_NAME(单公司Beta计算器!$D$4)</f>
        <v>融捷股份</v>
      </c>
    </row>
    <row r="3" spans="1:10" ht="18">
      <c r="A3" s="35">
        <f t="shared" ref="A3:A14" ca="1" si="0">DATE(YEAR(A4),MONTH(A4),0)</f>
        <v>45535</v>
      </c>
      <c r="B3" s="28"/>
      <c r="C3" s="36">
        <f ca="1">[2]!s_dq_close(单公司Beta计算器!$D$6,A3)</f>
        <v>4629.3194999999996</v>
      </c>
      <c r="D3" s="36">
        <f>[2]!s_dq_close(单公司Beta计算器!$D$4,B3)</f>
        <v>36.380000000000003</v>
      </c>
      <c r="E3" s="26"/>
      <c r="F3" s="36">
        <f ca="1">[2]!s_mq_pctchange(单公司Beta计算器!$D$6,A3)</f>
        <v>-5.3130888185175751</v>
      </c>
      <c r="G3" s="36">
        <f ca="1">[2]!s_mq_pctchange(单公司Beta计算器!$D$4,A3)</f>
        <v>-5.4755944931163869</v>
      </c>
      <c r="H3" s="37"/>
      <c r="I3" s="36">
        <f ca="1">SUM(F$3:F3)</f>
        <v>-5.3130888185175751</v>
      </c>
      <c r="J3" s="36">
        <f ca="1">SUM(G$3:G3)</f>
        <v>-5.4755944931163869</v>
      </c>
    </row>
    <row r="4" spans="1:10" ht="18">
      <c r="A4" s="35">
        <f t="shared" ca="1" si="0"/>
        <v>45565</v>
      </c>
      <c r="B4" s="28"/>
      <c r="C4" s="36">
        <f ca="1">[2]!s_dq_close(单公司Beta计算器!$D$6,A4)</f>
        <v>5708.8257999999996</v>
      </c>
      <c r="D4" s="36">
        <f>[2]!s_dq_close(单公司Beta计算器!$D$4,B4)</f>
        <v>36.380000000000003</v>
      </c>
      <c r="E4" s="26"/>
      <c r="F4" s="36">
        <f ca="1">[2]!s_mq_pctchange(单公司Beta计算器!$D$6,A4)</f>
        <v>23.318898166350376</v>
      </c>
      <c r="G4" s="36">
        <f ca="1">[2]!s_mq_pctchange(单公司Beta计算器!$D$4,A4)</f>
        <v>25.388944058258865</v>
      </c>
      <c r="H4" s="37"/>
      <c r="I4" s="36">
        <f ca="1">SUM(F$3:F4)</f>
        <v>18.005809347832802</v>
      </c>
      <c r="J4" s="36">
        <f ca="1">SUM(G$3:G4)</f>
        <v>19.913349565142479</v>
      </c>
    </row>
    <row r="5" spans="1:10" ht="18">
      <c r="A5" s="35">
        <f t="shared" ca="1" si="0"/>
        <v>45596</v>
      </c>
      <c r="B5" s="28"/>
      <c r="C5" s="36">
        <f ca="1">[2]!s_dq_close(单公司Beta计算器!$D$6,A5)</f>
        <v>6116.6632</v>
      </c>
      <c r="D5" s="36">
        <f>[2]!s_dq_close(单公司Beta计算器!$D$4,B5)</f>
        <v>36.380000000000003</v>
      </c>
      <c r="E5" s="26"/>
      <c r="F5" s="36">
        <f ca="1">[2]!s_mq_pctchange(单公司Beta计算器!$D$6,A5)</f>
        <v>7.1439804661757256</v>
      </c>
      <c r="G5" s="36">
        <f ca="1">[2]!s_mq_pctchange(单公司Beta计算器!$D$4,A5)</f>
        <v>-7.8933474128827896</v>
      </c>
      <c r="H5" s="37"/>
      <c r="I5" s="36">
        <f ca="1">SUM(F$3:F5)</f>
        <v>25.149789814008528</v>
      </c>
      <c r="J5" s="36">
        <f ca="1">SUM(G$3:G5)</f>
        <v>12.020002152259689</v>
      </c>
    </row>
    <row r="6" spans="1:10" ht="18">
      <c r="A6" s="35">
        <f t="shared" ca="1" si="0"/>
        <v>45626</v>
      </c>
      <c r="B6" s="28"/>
      <c r="C6" s="36">
        <f ca="1">[2]!s_dq_close(单公司Beta计算器!$D$6,A6)</f>
        <v>6189.1275999999998</v>
      </c>
      <c r="D6" s="36">
        <f>[2]!s_dq_close(单公司Beta计算器!$D$4,B6)</f>
        <v>36.380000000000003</v>
      </c>
      <c r="E6" s="26"/>
      <c r="F6" s="36">
        <f ca="1">[2]!s_mq_pctchange(单公司Beta计算器!$D$6,A6)</f>
        <v>1.1847047586337478</v>
      </c>
      <c r="G6" s="36">
        <f ca="1">[2]!s_mq_pctchange(单公司Beta计算器!$D$4,A6)</f>
        <v>9.2576669532817171</v>
      </c>
      <c r="H6" s="37"/>
      <c r="I6" s="36">
        <f ca="1">SUM(F$3:F6)</f>
        <v>26.334494572642278</v>
      </c>
      <c r="J6" s="36">
        <f ca="1">SUM(G$3:G6)</f>
        <v>21.277669105541406</v>
      </c>
    </row>
    <row r="7" spans="1:10" ht="18">
      <c r="A7" s="35">
        <f t="shared" ca="1" si="0"/>
        <v>45657</v>
      </c>
      <c r="B7" s="28"/>
      <c r="C7" s="36">
        <f ca="1">[2]!s_dq_close(单公司Beta计算器!$D$6,A7)</f>
        <v>5957.7172</v>
      </c>
      <c r="D7" s="36">
        <f>[2]!s_dq_close(单公司Beta计算器!$D$4,B7)</f>
        <v>36.380000000000003</v>
      </c>
      <c r="E7" s="26"/>
      <c r="F7" s="36">
        <f ca="1">[2]!s_mq_pctchange(单公司Beta计算器!$D$6,A7)</f>
        <v>-3.7389825344689931</v>
      </c>
      <c r="G7" s="36">
        <f ca="1">[2]!s_mq_pctchange(单公司Beta计算器!$D$4,A7)</f>
        <v>-16.31689401888773</v>
      </c>
      <c r="H7" s="37"/>
      <c r="I7" s="36">
        <f ca="1">SUM(F$3:F7)</f>
        <v>22.595512038173286</v>
      </c>
      <c r="J7" s="36">
        <f ca="1">SUM(G$3:G7)</f>
        <v>4.9607750866536762</v>
      </c>
    </row>
    <row r="8" spans="1:10" ht="18">
      <c r="A8" s="35">
        <f t="shared" ca="1" si="0"/>
        <v>45688</v>
      </c>
      <c r="B8" s="28"/>
      <c r="C8" s="36">
        <f ca="1">[2]!s_dq_close(单公司Beta计算器!$D$6,A8)</f>
        <v>5846.0685999999996</v>
      </c>
      <c r="D8" s="36">
        <f>[2]!s_dq_close(单公司Beta计算器!$D$4,B8)</f>
        <v>36.380000000000003</v>
      </c>
      <c r="E8" s="26"/>
      <c r="F8" s="36">
        <f ca="1">[2]!s_mq_pctchange(单公司Beta计算器!$D$6,A8)</f>
        <v>-1.8740164437479612</v>
      </c>
      <c r="G8" s="36">
        <f ca="1">[2]!s_mq_pctchange(单公司Beta计算器!$D$4,A8)</f>
        <v>-4.1692789968651889</v>
      </c>
      <c r="H8" s="37"/>
      <c r="I8" s="36">
        <f ca="1">SUM(F$3:F8)</f>
        <v>20.721495594425324</v>
      </c>
      <c r="J8" s="36">
        <f ca="1">SUM(G$3:G8)</f>
        <v>0.79149608978848729</v>
      </c>
    </row>
    <row r="9" spans="1:10" ht="18">
      <c r="A9" s="35">
        <f t="shared" ca="1" si="0"/>
        <v>45716</v>
      </c>
      <c r="B9" s="28"/>
      <c r="C9" s="36">
        <f ca="1">[2]!s_dq_close(单公司Beta计算器!$D$6,A9)</f>
        <v>6270.4186</v>
      </c>
      <c r="D9" s="36">
        <f>[2]!s_dq_close(单公司Beta计算器!$D$4,B9)</f>
        <v>36.380000000000003</v>
      </c>
      <c r="E9" s="26"/>
      <c r="F9" s="36">
        <f ca="1">[2]!s_mq_pctchange(单公司Beta计算器!$D$6,A9)</f>
        <v>7.2587242647135675</v>
      </c>
      <c r="G9" s="36">
        <f ca="1">[2]!s_mq_pctchange(单公司Beta计算器!$D$4,A9)</f>
        <v>3.9254170755642859</v>
      </c>
      <c r="H9" s="37"/>
      <c r="I9" s="36">
        <f ca="1">SUM(F$3:F9)</f>
        <v>27.980219859138892</v>
      </c>
      <c r="J9" s="36">
        <f ca="1">SUM(G$3:G9)</f>
        <v>4.7169131653527732</v>
      </c>
    </row>
    <row r="10" spans="1:10" ht="18">
      <c r="A10" s="35">
        <f t="shared" ca="1" si="0"/>
        <v>45747</v>
      </c>
      <c r="B10" s="28"/>
      <c r="C10" s="36">
        <f ca="1">[2]!s_dq_close(单公司Beta计算器!$D$6,A10)</f>
        <v>6226.6487999999999</v>
      </c>
      <c r="D10" s="36">
        <f>[2]!s_dq_close(单公司Beta计算器!$D$4,B10)</f>
        <v>36.380000000000003</v>
      </c>
      <c r="E10" s="26"/>
      <c r="F10" s="36">
        <f ca="1">[2]!s_mq_pctchange(单公司Beta计算器!$D$6,A10)</f>
        <v>-0.6980363320560401</v>
      </c>
      <c r="G10" s="36">
        <f ca="1">[2]!s_mq_pctchange(单公司Beta计算器!$D$4,A10)</f>
        <v>-5.5398174378344383</v>
      </c>
      <c r="H10" s="37"/>
      <c r="I10" s="36">
        <f ca="1">SUM(F$3:F10)</f>
        <v>27.28218352708285</v>
      </c>
      <c r="J10" s="36">
        <f ca="1">SUM(G$3:G10)</f>
        <v>-0.82290427248166509</v>
      </c>
    </row>
    <row r="11" spans="1:10" ht="18">
      <c r="A11" s="35">
        <f t="shared" ca="1" si="0"/>
        <v>45777</v>
      </c>
      <c r="B11" s="28"/>
      <c r="C11" s="36">
        <f ca="1">[2]!s_dq_close(单公司Beta计算器!$D$6,A11)</f>
        <v>5950.1169</v>
      </c>
      <c r="D11" s="36">
        <f>[2]!s_dq_close(单公司Beta计算器!$D$4,B11)</f>
        <v>36.380000000000003</v>
      </c>
      <c r="E11" s="26"/>
      <c r="F11" s="36">
        <f ca="1">[2]!s_mq_pctchange(单公司Beta计算器!$D$6,A11)</f>
        <v>-4.4411032143004459</v>
      </c>
      <c r="G11" s="36">
        <f ca="1">[2]!s_mq_pctchange(单公司Beta计算器!$D$4,A11)</f>
        <v>-9.4301899366877713</v>
      </c>
      <c r="H11" s="37"/>
      <c r="I11" s="36">
        <f ca="1">SUM(F$3:F11)</f>
        <v>22.841080312782402</v>
      </c>
      <c r="J11" s="36">
        <f ca="1">SUM(G$3:G11)</f>
        <v>-10.253094209169436</v>
      </c>
    </row>
    <row r="12" spans="1:10" ht="18">
      <c r="A12" s="35">
        <f t="shared" ca="1" si="0"/>
        <v>45808</v>
      </c>
      <c r="B12" s="28"/>
      <c r="C12" s="36">
        <f ca="1">[2]!s_dq_close(单公司Beta计算器!$D$6,A12)</f>
        <v>6026.5603000000001</v>
      </c>
      <c r="D12" s="36">
        <f>[2]!s_dq_close(单公司Beta计算器!$D$4,B12)</f>
        <v>36.380000000000003</v>
      </c>
      <c r="E12" s="26"/>
      <c r="F12" s="36">
        <f ca="1">[2]!s_mq_pctchange(单公司Beta计算器!$D$6,A12)</f>
        <v>1.2847377838912655</v>
      </c>
      <c r="G12" s="36">
        <f ca="1">[2]!s_mq_pctchange(单公司Beta计算器!$D$4,A12)</f>
        <v>3.3848417954378318</v>
      </c>
      <c r="H12" s="37"/>
      <c r="I12" s="36">
        <f ca="1">SUM(F$3:F12)</f>
        <v>24.125818096673669</v>
      </c>
      <c r="J12" s="36">
        <f ca="1">SUM(G$3:G12)</f>
        <v>-6.8682524137316046</v>
      </c>
    </row>
    <row r="13" spans="1:10" ht="18">
      <c r="A13" s="35">
        <f t="shared" ca="1" si="0"/>
        <v>45838</v>
      </c>
      <c r="B13" s="28"/>
      <c r="C13" s="36">
        <f ca="1">[2]!s_dq_close(单公司Beta计算器!$D$6,A13)</f>
        <v>6356.1813000000002</v>
      </c>
      <c r="D13" s="36">
        <f>[2]!s_dq_close(单公司Beta计算器!$D$4,B13)</f>
        <v>36.380000000000003</v>
      </c>
      <c r="E13" s="26"/>
      <c r="F13" s="36">
        <f ca="1">[2]!s_mq_pctchange(单公司Beta计算器!$D$6,A13)</f>
        <v>5.4694715325423804</v>
      </c>
      <c r="G13" s="36">
        <f ca="1">[2]!s_mq_pctchange(单公司Beta计算器!$D$4,A13)</f>
        <v>9.0391459074733014</v>
      </c>
      <c r="H13" s="37"/>
      <c r="I13" s="36">
        <f ca="1">SUM(F$3:F13)</f>
        <v>29.595289629216047</v>
      </c>
      <c r="J13" s="36">
        <f ca="1">SUM(G$3:G13)</f>
        <v>2.1708934937416968</v>
      </c>
    </row>
    <row r="14" spans="1:10" ht="18">
      <c r="A14" s="35">
        <f t="shared" ca="1" si="0"/>
        <v>45869</v>
      </c>
      <c r="B14" s="28"/>
      <c r="C14" s="36">
        <f ca="1">[2]!s_dq_close(单公司Beta计算器!$D$6,A14)</f>
        <v>6661.1862000000001</v>
      </c>
      <c r="D14" s="36">
        <f>[2]!s_dq_close(单公司Beta计算器!$D$4,B14)</f>
        <v>36.380000000000003</v>
      </c>
      <c r="E14" s="26"/>
      <c r="F14" s="36">
        <f ca="1">[2]!s_mq_pctchange(单公司Beta计算器!$D$6,A14)</f>
        <v>4.7985556988438871</v>
      </c>
      <c r="G14" s="36">
        <f ca="1">[2]!s_mq_pctchange(单公司Beta计算器!$D$4,A14)</f>
        <v>13.241301117857574</v>
      </c>
      <c r="H14" s="37"/>
      <c r="I14" s="36">
        <f ca="1">SUM(F$3:F14)</f>
        <v>34.393845328059932</v>
      </c>
      <c r="J14" s="36">
        <f ca="1">SUM(G$3:G14)</f>
        <v>15.412194611599272</v>
      </c>
    </row>
    <row r="15" spans="1:10" ht="18">
      <c r="A15" s="35">
        <f ca="1">单公司Beta计算器!H5</f>
        <v>45876</v>
      </c>
      <c r="B15" s="28"/>
      <c r="C15" s="36">
        <f ca="1">[2]!s_dq_close(单公司Beta计算器!$D$6,A15)</f>
        <v>6862.1496999999999</v>
      </c>
      <c r="D15" s="36">
        <f>[2]!s_dq_close(单公司Beta计算器!$D$4,B15)</f>
        <v>36.380000000000003</v>
      </c>
      <c r="E15" s="26"/>
      <c r="F15" s="36">
        <f ca="1">[2]!s_mq_pctchange(单公司Beta计算器!$D$6,A15)</f>
        <v>2.6563391967634908</v>
      </c>
      <c r="G15" s="36">
        <f ca="1">[2]!s_mq_pctchange(单公司Beta计算器!$D$4,A15)</f>
        <v>5.4187192118226868</v>
      </c>
      <c r="H15" s="37"/>
      <c r="I15" s="36">
        <f ca="1">SUM(F$3:F15)</f>
        <v>37.050184524823422</v>
      </c>
      <c r="J15" s="36">
        <f ca="1">SUM(G$3:G15)</f>
        <v>20.830913823421959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/>
  </sheetViews>
  <sheetFormatPr defaultRowHeight="14.25"/>
  <sheetData>
    <row r="1" spans="1:1" ht="17.25">
      <c r="A1" s="25" t="s">
        <v>25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单公司Beta计算器</vt:lpstr>
      <vt:lpstr>data</vt:lpstr>
      <vt:lpstr>nmS2_EndDate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2025-08-08T08:19:01Z</dcterms:modified>
</cp:coreProperties>
</file>