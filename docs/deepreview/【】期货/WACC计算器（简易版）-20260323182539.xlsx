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/>
  </bookViews>
  <sheets>
    <sheet name="WACC计算器简易版" sheetId="1" r:id="rId1"/>
    <sheet name="Wind模板" sheetId="2" state="veryHidden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1" l="1"/>
  <c r="D18" i="1"/>
  <c r="D16" i="1"/>
  <c r="G12" i="1"/>
  <c r="D12" i="1"/>
  <c r="G24" i="1"/>
  <c r="D24" i="1"/>
  <c r="G20" i="1"/>
  <c r="G19" i="1"/>
  <c r="G18" i="1"/>
  <c r="G17" i="1"/>
  <c r="G16" i="1"/>
  <c r="D20" i="1"/>
  <c r="G11" i="1"/>
  <c r="D5" i="1"/>
  <c r="G4" i="1" l="1"/>
  <c r="K56" i="1"/>
  <c r="D11" i="1" l="1"/>
</calcChain>
</file>

<file path=xl/sharedStrings.xml><?xml version="1.0" encoding="utf-8"?>
<sst xmlns="http://schemas.openxmlformats.org/spreadsheetml/2006/main" count="34" uniqueCount="34">
  <si>
    <t>无风险收益率(%)：</t>
    <phoneticPr fontId="5" type="noConversion"/>
  </si>
  <si>
    <t>Beta：</t>
    <phoneticPr fontId="5" type="noConversion"/>
  </si>
  <si>
    <t>Wind代码：</t>
    <phoneticPr fontId="5" type="noConversion"/>
  </si>
  <si>
    <t>资本结构</t>
    <phoneticPr fontId="5" type="noConversion"/>
  </si>
  <si>
    <t>成本结构</t>
    <phoneticPr fontId="5" type="noConversion"/>
  </si>
  <si>
    <t>结果</t>
    <phoneticPr fontId="5" type="noConversion"/>
  </si>
  <si>
    <t>股权资本E(万元）</t>
    <phoneticPr fontId="11" type="noConversion"/>
  </si>
  <si>
    <t>债务资本D(万元）</t>
    <phoneticPr fontId="11" type="noConversion"/>
  </si>
  <si>
    <t>普通股价值(万元)：</t>
    <phoneticPr fontId="5" type="noConversion"/>
  </si>
  <si>
    <t>优先股价值(万元)：</t>
    <phoneticPr fontId="5" type="noConversion"/>
  </si>
  <si>
    <t>短期债务(万元)：</t>
    <phoneticPr fontId="5" type="noConversion"/>
  </si>
  <si>
    <t>长期债务(万元)：</t>
    <phoneticPr fontId="5" type="noConversion"/>
  </si>
  <si>
    <t>市场收益率(%)：</t>
    <phoneticPr fontId="5" type="noConversion"/>
  </si>
  <si>
    <t>短期利率(%)：</t>
    <phoneticPr fontId="5" type="noConversion"/>
  </si>
  <si>
    <t>长期利率(%)：</t>
    <phoneticPr fontId="5" type="noConversion"/>
  </si>
  <si>
    <t>债券调整系数：</t>
    <phoneticPr fontId="5" type="noConversion"/>
  </si>
  <si>
    <t>所得税率(%)：</t>
    <phoneticPr fontId="5" type="noConversion"/>
  </si>
  <si>
    <t>股权成本Ke=</t>
    <phoneticPr fontId="5" type="noConversion"/>
  </si>
  <si>
    <t>债务成本Kd=</t>
    <phoneticPr fontId="5" type="noConversion"/>
  </si>
  <si>
    <t>加权平均资本成本WACC(%)</t>
    <phoneticPr fontId="5" type="noConversion"/>
  </si>
  <si>
    <t>总资本(万元)</t>
    <phoneticPr fontId="5" type="noConversion"/>
  </si>
  <si>
    <t>WACC计算器(简易版）</t>
    <phoneticPr fontId="1" type="noConversion"/>
  </si>
  <si>
    <t>报告年份：</t>
    <phoneticPr fontId="5" type="noConversion"/>
  </si>
  <si>
    <t>2023</t>
    <phoneticPr fontId="1" type="noConversion"/>
  </si>
  <si>
    <t>一季报</t>
    <phoneticPr fontId="5" type="noConversion"/>
  </si>
  <si>
    <t>中报</t>
    <phoneticPr fontId="5" type="noConversion"/>
  </si>
  <si>
    <t>三季报</t>
    <phoneticPr fontId="5" type="noConversion"/>
  </si>
  <si>
    <t>年报</t>
    <phoneticPr fontId="5" type="noConversion"/>
  </si>
  <si>
    <t>中报</t>
  </si>
  <si>
    <t>报告类型：</t>
    <phoneticPr fontId="5" type="noConversion"/>
  </si>
  <si>
    <t>截止日期：</t>
    <phoneticPr fontId="5" type="noConversion"/>
  </si>
  <si>
    <t>002123.SZ</t>
    <phoneticPr fontId="1" type="noConversion"/>
  </si>
  <si>
    <t>公司简称：</t>
    <phoneticPr fontId="1" type="noConversion"/>
  </si>
  <si>
    <t>WACC计算器（简易版）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</si>
</sst>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76" formatCode="#,##0.####"/>
    <numFmt numFmtId="177" formatCode="#,##0.######"/>
    <numFmt numFmtId="178" formatCode="#,##0.##"/>
  </numFmts>
  <fonts count="2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0"/>
      <color theme="0"/>
      <name val="微软雅黑"/>
      <family val="2"/>
      <charset val="134"/>
    </font>
    <font>
      <sz val="16"/>
      <color theme="1"/>
      <name val="微软雅黑"/>
      <family val="2"/>
      <charset val="134"/>
    </font>
    <font>
      <sz val="14"/>
      <color theme="1"/>
      <name val="等线"/>
      <family val="2"/>
      <scheme val="minor"/>
    </font>
    <font>
      <sz val="9"/>
      <name val="宋体"/>
      <family val="3"/>
      <charset val="134"/>
    </font>
    <font>
      <sz val="11"/>
      <color theme="1"/>
      <name val="等线"/>
      <family val="2"/>
      <scheme val="minor"/>
    </font>
    <font>
      <b/>
      <sz val="14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4"/>
      <color theme="1"/>
      <name val="Arial"/>
      <family val="2"/>
    </font>
    <font>
      <b/>
      <sz val="14"/>
      <name val="微软雅黑"/>
      <family val="2"/>
      <charset val="134"/>
    </font>
    <font>
      <b/>
      <sz val="14"/>
      <name val="Arial"/>
      <family val="2"/>
    </font>
    <font>
      <b/>
      <sz val="14"/>
      <color theme="1"/>
      <name val="Arial"/>
      <family val="2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sz val="14"/>
      <color theme="1"/>
      <name val="Arial "/>
    </font>
    <font>
      <b/>
      <sz val="14"/>
      <name val="Arial "/>
    </font>
    <font>
      <sz val="14"/>
      <color theme="1"/>
      <name val="Arial "/>
      <family val="2"/>
    </font>
    <font>
      <b/>
      <sz val="14"/>
      <name val="Arial "/>
      <family val="2"/>
    </font>
    <font>
      <sz val="11"/>
      <color theme="0"/>
      <name val="等线"/>
      <family val="2"/>
      <scheme val="minor"/>
    </font>
    <font>
      <sz val="12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E4C658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0" fillId="2" borderId="0" xfId="0" applyFill="1"/>
    <xf numFmtId="0" fontId="4" fillId="0" borderId="0" xfId="0" applyFont="1"/>
    <xf numFmtId="176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2" fillId="2" borderId="0" xfId="0" applyFont="1" applyFill="1" applyAlignment="1">
      <alignment vertical="center"/>
    </xf>
    <xf numFmtId="0" fontId="4" fillId="0" borderId="0" xfId="0" applyFont="1" applyAlignment="1">
      <alignment horizontal="right"/>
    </xf>
    <xf numFmtId="49" fontId="4" fillId="0" borderId="0" xfId="0" applyNumberFormat="1" applyFont="1" applyAlignment="1">
      <alignment horizontal="right"/>
    </xf>
    <xf numFmtId="176" fontId="4" fillId="0" borderId="0" xfId="0" applyNumberFormat="1" applyFont="1" applyAlignment="1">
      <alignment horizontal="right"/>
    </xf>
    <xf numFmtId="177" fontId="0" fillId="0" borderId="0" xfId="0" applyNumberFormat="1" applyAlignment="1">
      <alignment horizontal="right"/>
    </xf>
    <xf numFmtId="0" fontId="3" fillId="3" borderId="0" xfId="0" applyFont="1" applyFill="1"/>
    <xf numFmtId="49" fontId="3" fillId="3" borderId="0" xfId="0" applyNumberFormat="1" applyFont="1" applyFill="1" applyAlignment="1">
      <alignment horizontal="right"/>
    </xf>
    <xf numFmtId="0" fontId="8" fillId="6" borderId="0" xfId="0" applyFont="1" applyFill="1" applyBorder="1" applyAlignment="1"/>
    <xf numFmtId="0" fontId="8" fillId="4" borderId="0" xfId="0" applyFont="1" applyFill="1" applyAlignment="1"/>
    <xf numFmtId="0" fontId="9" fillId="7" borderId="1" xfId="0" applyFont="1" applyFill="1" applyBorder="1" applyAlignment="1">
      <alignment vertical="center"/>
    </xf>
    <xf numFmtId="0" fontId="10" fillId="7" borderId="0" xfId="0" applyFont="1" applyFill="1" applyAlignment="1">
      <alignment vertical="center"/>
    </xf>
    <xf numFmtId="49" fontId="12" fillId="5" borderId="0" xfId="0" applyNumberFormat="1" applyFont="1" applyFill="1" applyAlignment="1">
      <alignment horizontal="right" vertical="center"/>
    </xf>
    <xf numFmtId="0" fontId="13" fillId="7" borderId="1" xfId="0" applyFont="1" applyFill="1" applyBorder="1" applyAlignment="1">
      <alignment vertical="center"/>
    </xf>
    <xf numFmtId="0" fontId="7" fillId="7" borderId="0" xfId="0" applyFont="1" applyFill="1" applyAlignment="1">
      <alignment vertical="center"/>
    </xf>
    <xf numFmtId="0" fontId="12" fillId="0" borderId="0" xfId="0" applyFont="1"/>
    <xf numFmtId="0" fontId="14" fillId="7" borderId="1" xfId="0" applyFont="1" applyFill="1" applyBorder="1" applyAlignment="1">
      <alignment vertical="center"/>
    </xf>
    <xf numFmtId="0" fontId="15" fillId="7" borderId="0" xfId="0" applyFont="1" applyFill="1" applyAlignment="1">
      <alignment vertical="center"/>
    </xf>
    <xf numFmtId="43" fontId="12" fillId="3" borderId="0" xfId="1" applyFont="1" applyFill="1" applyAlignment="1"/>
    <xf numFmtId="0" fontId="16" fillId="0" borderId="0" xfId="0" applyFont="1"/>
    <xf numFmtId="177" fontId="16" fillId="0" borderId="0" xfId="0" applyNumberFormat="1" applyFont="1" applyAlignment="1">
      <alignment horizontal="right"/>
    </xf>
    <xf numFmtId="14" fontId="12" fillId="5" borderId="0" xfId="0" applyNumberFormat="1" applyFont="1" applyFill="1" applyAlignment="1">
      <alignment horizontal="right" vertical="center"/>
    </xf>
    <xf numFmtId="3" fontId="16" fillId="0" borderId="0" xfId="0" applyNumberFormat="1" applyFont="1" applyAlignment="1">
      <alignment horizontal="right"/>
    </xf>
    <xf numFmtId="177" fontId="17" fillId="0" borderId="0" xfId="0" applyNumberFormat="1" applyFont="1" applyAlignment="1">
      <alignment horizontal="right"/>
    </xf>
    <xf numFmtId="3" fontId="17" fillId="0" borderId="0" xfId="0" applyNumberFormat="1" applyFont="1" applyAlignment="1">
      <alignment horizontal="right"/>
    </xf>
    <xf numFmtId="43" fontId="12" fillId="6" borderId="0" xfId="1" applyFont="1" applyFill="1" applyBorder="1" applyAlignment="1"/>
    <xf numFmtId="43" fontId="12" fillId="4" borderId="0" xfId="1" applyFont="1" applyFill="1" applyAlignment="1"/>
    <xf numFmtId="43" fontId="12" fillId="0" borderId="0" xfId="1" applyFont="1" applyAlignment="1"/>
    <xf numFmtId="43" fontId="14" fillId="7" borderId="1" xfId="1" applyFont="1" applyFill="1" applyBorder="1" applyAlignment="1">
      <alignment vertical="center"/>
    </xf>
    <xf numFmtId="43" fontId="18" fillId="6" borderId="0" xfId="1" applyFont="1" applyFill="1" applyBorder="1" applyAlignment="1">
      <alignment horizontal="right"/>
    </xf>
    <xf numFmtId="43" fontId="18" fillId="4" borderId="0" xfId="1" applyFont="1" applyFill="1" applyAlignment="1">
      <alignment horizontal="right"/>
    </xf>
    <xf numFmtId="43" fontId="18" fillId="0" borderId="0" xfId="1" applyFont="1" applyAlignment="1">
      <alignment horizontal="right"/>
    </xf>
    <xf numFmtId="43" fontId="19" fillId="7" borderId="1" xfId="1" applyFont="1" applyFill="1" applyBorder="1" applyAlignment="1">
      <alignment horizontal="right" vertical="center"/>
    </xf>
    <xf numFmtId="43" fontId="20" fillId="4" borderId="0" xfId="1" applyFont="1" applyFill="1" applyAlignment="1">
      <alignment horizontal="right"/>
    </xf>
    <xf numFmtId="43" fontId="20" fillId="6" borderId="0" xfId="1" applyFont="1" applyFill="1" applyBorder="1" applyAlignment="1">
      <alignment horizontal="right"/>
    </xf>
    <xf numFmtId="43" fontId="20" fillId="3" borderId="0" xfId="1" applyFont="1" applyFill="1" applyAlignment="1">
      <alignment horizontal="right"/>
    </xf>
    <xf numFmtId="43" fontId="20" fillId="0" borderId="0" xfId="1" applyFont="1" applyAlignment="1">
      <alignment horizontal="right"/>
    </xf>
    <xf numFmtId="43" fontId="21" fillId="7" borderId="1" xfId="1" applyFont="1" applyFill="1" applyBorder="1" applyAlignment="1">
      <alignment horizontal="right" vertical="center"/>
    </xf>
    <xf numFmtId="3" fontId="22" fillId="0" borderId="0" xfId="0" applyNumberFormat="1" applyFont="1" applyAlignment="1">
      <alignment horizontal="right"/>
    </xf>
    <xf numFmtId="178" fontId="0" fillId="0" borderId="0" xfId="0" applyNumberFormat="1" applyAlignment="1">
      <alignment horizontal="right"/>
    </xf>
    <xf numFmtId="178" fontId="22" fillId="0" borderId="0" xfId="0" applyNumberFormat="1" applyFont="1" applyAlignment="1">
      <alignment horizontal="right"/>
    </xf>
    <xf numFmtId="0" fontId="23" fillId="0" borderId="0" xfId="0" applyFont="1" applyAlignment="1"/>
    <xf numFmtId="0" fontId="2" fillId="2" borderId="0" xfId="0" applyFont="1" applyFill="1" applyAlignment="1">
      <alignment horizontal="center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colors>
    <mruColors>
      <color rgb="FF636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76200</xdr:rowOff>
    </xdr:from>
    <xdr:ext cx="607152" cy="219075"/>
    <xdr:pic>
      <xdr:nvPicPr>
        <xdr:cNvPr id="2" name="图片 1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76200"/>
          <a:ext cx="607152" cy="2190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S_INFO_NAME"/>
      <definedName name="wse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63636D"/>
  </sheetPr>
  <dimension ref="A1:Y65"/>
  <sheetViews>
    <sheetView showGridLines="0" tabSelected="1" zoomScaleNormal="100" workbookViewId="0">
      <selection activeCell="A35" sqref="A35"/>
    </sheetView>
  </sheetViews>
  <sheetFormatPr defaultRowHeight="18"/>
  <cols>
    <col min="1" max="1" width="3.625" customWidth="1"/>
    <col min="2" max="2" width="1.625" customWidth="1"/>
    <col min="3" max="4" width="35.625" style="2" customWidth="1"/>
    <col min="5" max="5" width="1.625" customWidth="1"/>
    <col min="6" max="7" width="35.625" customWidth="1"/>
    <col min="8" max="8" width="1.625" customWidth="1"/>
    <col min="9" max="9" width="3.625" customWidth="1"/>
    <col min="10" max="10" width="13.625" style="23" hidden="1" customWidth="1"/>
    <col min="11" max="11" width="17.625" style="23" customWidth="1"/>
    <col min="12" max="12" width="7.625" style="23" customWidth="1"/>
    <col min="13" max="13" width="14.625" style="23" customWidth="1"/>
    <col min="14" max="14" width="13.625" style="23" customWidth="1"/>
    <col min="15" max="15" width="3.875" style="23" customWidth="1"/>
    <col min="16" max="18" width="8.625" style="23" customWidth="1"/>
    <col min="19" max="19" width="3.875" style="23" customWidth="1"/>
    <col min="20" max="20" width="4.875" style="23" customWidth="1"/>
    <col min="21" max="21" width="2.5" style="23" customWidth="1"/>
    <col min="22" max="22" width="3.5" style="23" customWidth="1"/>
    <col min="23" max="24" width="8.625" style="23" customWidth="1"/>
    <col min="25" max="25" width="18.625" customWidth="1"/>
  </cols>
  <sheetData>
    <row r="1" spans="1:20" ht="27.75">
      <c r="A1" s="1"/>
      <c r="B1" s="1"/>
      <c r="C1" s="46" t="s">
        <v>21</v>
      </c>
      <c r="D1" s="46"/>
      <c r="E1" s="46"/>
      <c r="F1" s="46"/>
      <c r="G1" s="46"/>
      <c r="H1" s="5"/>
      <c r="I1" s="5"/>
    </row>
    <row r="2" spans="1:20" ht="12" customHeight="1">
      <c r="A2" s="10"/>
      <c r="B2" s="10"/>
      <c r="C2" s="10"/>
      <c r="D2" s="10"/>
      <c r="E2" s="10"/>
      <c r="F2" s="10"/>
      <c r="G2" s="10"/>
      <c r="H2" s="10"/>
      <c r="I2" s="10"/>
    </row>
    <row r="3" spans="1:20" ht="10.5" customHeight="1">
      <c r="A3" s="10"/>
      <c r="C3"/>
      <c r="D3"/>
      <c r="I3" s="10"/>
    </row>
    <row r="4" spans="1:20" ht="22.5">
      <c r="A4" s="10"/>
      <c r="C4" s="12" t="s">
        <v>2</v>
      </c>
      <c r="D4" s="16" t="s">
        <v>31</v>
      </c>
      <c r="F4" s="12" t="s">
        <v>30</v>
      </c>
      <c r="G4" s="25">
        <f ca="1">TODAY()</f>
        <v>45399</v>
      </c>
      <c r="I4" s="11"/>
    </row>
    <row r="5" spans="1:20" ht="22.5">
      <c r="A5" s="10"/>
      <c r="C5" s="13" t="s">
        <v>32</v>
      </c>
      <c r="D5" s="34" t="str">
        <f>[1]!S_INFO_NAME(D4)</f>
        <v>梦网科技</v>
      </c>
      <c r="F5" s="13" t="s">
        <v>29</v>
      </c>
      <c r="G5" s="16" t="s">
        <v>28</v>
      </c>
      <c r="I5" s="11"/>
    </row>
    <row r="6" spans="1:20" ht="22.5">
      <c r="A6" s="10"/>
      <c r="F6" s="12" t="s">
        <v>22</v>
      </c>
      <c r="G6" s="16" t="s">
        <v>23</v>
      </c>
      <c r="I6" s="11"/>
      <c r="J6"/>
      <c r="K6"/>
      <c r="L6"/>
      <c r="M6"/>
      <c r="N6"/>
      <c r="O6"/>
      <c r="P6"/>
      <c r="Q6"/>
      <c r="R6"/>
      <c r="S6"/>
      <c r="T6"/>
    </row>
    <row r="7" spans="1:20" ht="10.5" customHeight="1">
      <c r="A7" s="10"/>
      <c r="C7"/>
      <c r="G7" s="19"/>
      <c r="I7" s="10"/>
    </row>
    <row r="8" spans="1:20" ht="22.5">
      <c r="A8" s="10"/>
      <c r="C8" s="14" t="s">
        <v>3</v>
      </c>
      <c r="D8" s="17"/>
      <c r="E8" s="14"/>
      <c r="F8" s="14"/>
      <c r="G8" s="20"/>
      <c r="I8" s="11"/>
    </row>
    <row r="9" spans="1:20" ht="10.5" customHeight="1">
      <c r="A9" s="10"/>
      <c r="C9"/>
      <c r="G9" s="19"/>
      <c r="I9" s="11"/>
    </row>
    <row r="10" spans="1:20" ht="22.5">
      <c r="A10" s="10"/>
      <c r="C10" s="15" t="s">
        <v>6</v>
      </c>
      <c r="D10" s="18"/>
      <c r="F10" s="15" t="s">
        <v>7</v>
      </c>
      <c r="G10" s="21"/>
      <c r="I10" s="11"/>
    </row>
    <row r="11" spans="1:20" ht="22.5">
      <c r="A11" s="10"/>
      <c r="C11" s="12" t="s">
        <v>8</v>
      </c>
      <c r="D11" s="33">
        <f ca="1">VALUE(K56)</f>
        <v>616307.76899999997</v>
      </c>
      <c r="F11" s="12" t="s">
        <v>10</v>
      </c>
      <c r="G11" s="29">
        <f>VALUE(M56)</f>
        <v>180956.25370599999</v>
      </c>
      <c r="I11" s="11"/>
      <c r="J11" s="24"/>
      <c r="K11" s="24"/>
    </row>
    <row r="12" spans="1:20" ht="22.5">
      <c r="A12" s="10"/>
      <c r="C12" s="13" t="s">
        <v>9</v>
      </c>
      <c r="D12" s="34">
        <f>VALUE(L56)</f>
        <v>0</v>
      </c>
      <c r="F12" s="13" t="s">
        <v>11</v>
      </c>
      <c r="G12" s="30">
        <f>VALUE(N56)</f>
        <v>21889.115234000001</v>
      </c>
      <c r="I12" s="11"/>
    </row>
    <row r="13" spans="1:20" ht="10.5" customHeight="1">
      <c r="A13" s="10"/>
      <c r="C13"/>
      <c r="D13" s="35"/>
      <c r="G13" s="31"/>
      <c r="I13" s="10"/>
    </row>
    <row r="14" spans="1:20" ht="22.5">
      <c r="A14" s="10"/>
      <c r="C14" s="14" t="s">
        <v>4</v>
      </c>
      <c r="D14" s="36"/>
      <c r="E14" s="14"/>
      <c r="F14" s="14"/>
      <c r="G14" s="32"/>
      <c r="I14" s="11"/>
    </row>
    <row r="15" spans="1:20" ht="10.5" customHeight="1">
      <c r="A15" s="10"/>
      <c r="C15"/>
      <c r="D15" s="35"/>
      <c r="G15" s="31"/>
      <c r="I15" s="11"/>
    </row>
    <row r="16" spans="1:20" ht="22.5">
      <c r="A16" s="10"/>
      <c r="C16" s="12" t="s">
        <v>0</v>
      </c>
      <c r="D16" s="33" t="str">
        <f>"一年定存利率(税前)    "&amp;TEXT(O56,"0.00")</f>
        <v>一年定存利率(税前)    1.50</v>
      </c>
      <c r="F16" s="12" t="s">
        <v>13</v>
      </c>
      <c r="G16" s="29">
        <f>VALUE(S56)</f>
        <v>1.5</v>
      </c>
      <c r="I16" s="11"/>
    </row>
    <row r="17" spans="1:21" ht="22.5">
      <c r="A17" s="10"/>
      <c r="C17" s="13" t="s">
        <v>1</v>
      </c>
      <c r="D17" s="37" t="str">
        <f>TEXT(P56,"0.00")</f>
        <v>1.37</v>
      </c>
      <c r="F17" s="13" t="s">
        <v>14</v>
      </c>
      <c r="G17" s="30">
        <f>VALUE(T56)</f>
        <v>4.75</v>
      </c>
      <c r="I17" s="11"/>
      <c r="J17" s="26"/>
      <c r="K17" s="24"/>
      <c r="L17" s="24"/>
      <c r="M17" s="24"/>
      <c r="N17" s="24"/>
      <c r="O17" s="24"/>
      <c r="P17" s="24"/>
      <c r="Q17" s="26"/>
      <c r="R17" s="26"/>
      <c r="S17" s="24"/>
      <c r="T17" s="24"/>
      <c r="U17" s="24"/>
    </row>
    <row r="18" spans="1:21" ht="22.5">
      <c r="A18" s="10"/>
      <c r="C18" s="12" t="s">
        <v>12</v>
      </c>
      <c r="D18" s="38" t="str">
        <f>"10年沪深指数平均收益    "&amp;TEXT(Q56,"0.00")</f>
        <v>10年沪深指数平均收益    5.26</v>
      </c>
      <c r="F18" s="12" t="s">
        <v>15</v>
      </c>
      <c r="G18" s="29">
        <f>VALUE(U56)</f>
        <v>2</v>
      </c>
      <c r="I18" s="11"/>
    </row>
    <row r="19" spans="1:21" ht="22.5">
      <c r="A19" s="10"/>
      <c r="C19" s="13"/>
      <c r="D19" s="37"/>
      <c r="F19" s="13" t="s">
        <v>16</v>
      </c>
      <c r="G19" s="30">
        <f>VALUE(V56)</f>
        <v>25</v>
      </c>
      <c r="I19" s="11"/>
    </row>
    <row r="20" spans="1:21" ht="22.5">
      <c r="A20" s="10"/>
      <c r="C20" s="12" t="s">
        <v>17</v>
      </c>
      <c r="D20" s="39">
        <f>VALUE(R56)</f>
        <v>6.6406248443817288</v>
      </c>
      <c r="F20" s="12" t="s">
        <v>18</v>
      </c>
      <c r="G20" s="22">
        <f>VALUE(W56)</f>
        <v>2.7760629676850739</v>
      </c>
      <c r="I20" s="11"/>
    </row>
    <row r="21" spans="1:21" ht="10.5" customHeight="1">
      <c r="A21" s="10"/>
      <c r="C21"/>
      <c r="D21" s="40"/>
      <c r="G21" s="31"/>
      <c r="I21" s="10"/>
    </row>
    <row r="22" spans="1:21" ht="22.5">
      <c r="A22" s="10"/>
      <c r="C22" s="14" t="s">
        <v>5</v>
      </c>
      <c r="D22" s="41"/>
      <c r="E22" s="14"/>
      <c r="F22" s="14"/>
      <c r="G22" s="32"/>
      <c r="I22" s="11"/>
    </row>
    <row r="23" spans="1:21" ht="10.5" customHeight="1">
      <c r="A23" s="10"/>
      <c r="C23"/>
      <c r="D23" s="40"/>
      <c r="G23" s="31"/>
      <c r="I23" s="11"/>
    </row>
    <row r="24" spans="1:21" ht="22.5">
      <c r="A24" s="10"/>
      <c r="C24" s="12" t="s">
        <v>19</v>
      </c>
      <c r="D24" s="39">
        <f>VALUE(X56)</f>
        <v>5.6836505701436311</v>
      </c>
      <c r="F24" s="12" t="s">
        <v>20</v>
      </c>
      <c r="G24" s="22">
        <f>VALUE(Y56)</f>
        <v>819153.13793999993</v>
      </c>
      <c r="I24" s="11"/>
    </row>
    <row r="25" spans="1:21" ht="10.5" customHeight="1">
      <c r="A25" s="10"/>
      <c r="C25"/>
      <c r="D25"/>
      <c r="I25" s="10"/>
    </row>
    <row r="26" spans="1:21" ht="22.5">
      <c r="A26" s="10"/>
      <c r="B26" s="10"/>
      <c r="C26" s="10"/>
      <c r="D26" s="10"/>
      <c r="E26" s="10"/>
      <c r="F26" s="10"/>
      <c r="G26" s="10"/>
      <c r="H26" s="10"/>
      <c r="I26" s="10"/>
    </row>
    <row r="27" spans="1:21" ht="22.5">
      <c r="A27" s="10"/>
      <c r="B27" s="10"/>
      <c r="C27" s="10"/>
      <c r="D27" s="10"/>
      <c r="E27" s="10"/>
      <c r="F27" s="10"/>
      <c r="G27" s="10"/>
      <c r="H27" s="10"/>
      <c r="I27" s="10"/>
    </row>
    <row r="28" spans="1:21" ht="22.5">
      <c r="A28" s="10"/>
      <c r="B28" s="10"/>
      <c r="C28" s="10"/>
      <c r="D28" s="10"/>
      <c r="E28" s="10"/>
      <c r="F28" s="10"/>
      <c r="G28" s="10"/>
      <c r="H28" s="10"/>
      <c r="I28" s="10"/>
    </row>
    <row r="29" spans="1:21" ht="22.5">
      <c r="A29" s="10"/>
      <c r="B29" s="10"/>
      <c r="C29" s="10"/>
      <c r="D29" s="10"/>
      <c r="E29" s="10"/>
      <c r="F29" s="10"/>
      <c r="G29" s="10"/>
      <c r="H29" s="10"/>
      <c r="I29" s="10"/>
    </row>
    <row r="30" spans="1:21" ht="22.5">
      <c r="A30" s="10"/>
      <c r="B30" s="10"/>
      <c r="C30" s="10"/>
      <c r="D30" s="10"/>
      <c r="E30" s="10"/>
      <c r="F30" s="10"/>
      <c r="G30" s="10"/>
      <c r="H30" s="10"/>
      <c r="I30" s="10"/>
    </row>
    <row r="34" spans="4:16">
      <c r="D34" s="6"/>
    </row>
    <row r="35" spans="4:16">
      <c r="D35" s="7"/>
    </row>
    <row r="36" spans="4:16">
      <c r="D36" s="7"/>
    </row>
    <row r="37" spans="4:16">
      <c r="D37" s="7"/>
    </row>
    <row r="38" spans="4:16">
      <c r="D38" s="7"/>
    </row>
    <row r="39" spans="4:16">
      <c r="D39" s="7"/>
    </row>
    <row r="40" spans="4:16">
      <c r="D40" s="7"/>
    </row>
    <row r="41" spans="4:16">
      <c r="D41" s="7"/>
    </row>
    <row r="42" spans="4:16">
      <c r="D42" s="7"/>
    </row>
    <row r="43" spans="4:16">
      <c r="D43" s="7"/>
    </row>
    <row r="44" spans="4:16">
      <c r="D44" s="7"/>
    </row>
    <row r="45" spans="4:16">
      <c r="D45" s="7"/>
    </row>
    <row r="46" spans="4:16">
      <c r="D46" s="7"/>
    </row>
    <row r="47" spans="4:16">
      <c r="D47" s="7"/>
    </row>
    <row r="48" spans="4:16">
      <c r="D48" s="7"/>
      <c r="J48" s="23" t="s">
        <v>24</v>
      </c>
      <c r="M48" s="24"/>
      <c r="N48" s="27"/>
      <c r="O48" s="27"/>
      <c r="P48" s="27"/>
    </row>
    <row r="49" spans="4:25">
      <c r="J49" s="23" t="s">
        <v>25</v>
      </c>
    </row>
    <row r="50" spans="4:25">
      <c r="D50" s="8"/>
      <c r="E50" s="3"/>
      <c r="F50" s="4"/>
      <c r="G50" s="4"/>
      <c r="J50" s="23" t="s">
        <v>26</v>
      </c>
    </row>
    <row r="51" spans="4:25">
      <c r="J51" s="23" t="s">
        <v>27</v>
      </c>
    </row>
    <row r="55" spans="4:25">
      <c r="L55" s="28"/>
      <c r="M55" s="28"/>
      <c r="N55" s="28"/>
      <c r="O55" s="24"/>
      <c r="P55" s="24"/>
      <c r="Q55" s="24"/>
      <c r="R55" s="24"/>
      <c r="S55" s="24"/>
      <c r="T55" s="24"/>
      <c r="U55" s="26"/>
      <c r="V55" s="26"/>
      <c r="W55" s="24"/>
      <c r="X55" s="24"/>
      <c r="Y55" s="9"/>
    </row>
    <row r="56" spans="4:25">
      <c r="K56" s="43">
        <f ca="1">[1]!wset("waccparamsettings","windCode="&amp;D4,"endDate="&amp;TEXT(G4,"YYYYMMDD"),"year="&amp;G6,"period="&amp;G5,"field=common_stock_price,preference_stock_price,short_term_debt,long_term_debt,risk_free_yield,beta,market_yield,ke,short_term_yield,long_term_yield,bond_adjust_param,income_tax,kd,wacc,total_capital","cols=15;rows=1")</f>
        <v>616307.76899999997</v>
      </c>
      <c r="L56" s="42">
        <v>0</v>
      </c>
      <c r="M56" s="44">
        <v>180956.25370599999</v>
      </c>
      <c r="N56" s="44">
        <v>21889.115234000001</v>
      </c>
      <c r="O56" s="44">
        <v>1.5</v>
      </c>
      <c r="P56" s="44">
        <v>1.3673845715780217</v>
      </c>
      <c r="Q56" s="44">
        <v>5.2594579836813731</v>
      </c>
      <c r="R56" s="44">
        <v>6.6406248443817288</v>
      </c>
      <c r="S56" s="44">
        <v>1.5</v>
      </c>
      <c r="T56" s="44">
        <v>4.75</v>
      </c>
      <c r="U56" s="42">
        <v>2</v>
      </c>
      <c r="V56" s="42">
        <v>25</v>
      </c>
      <c r="W56" s="44">
        <v>2.7760629676850739</v>
      </c>
      <c r="X56" s="44">
        <v>5.6836505701436311</v>
      </c>
      <c r="Y56" s="44">
        <v>819153.13793999993</v>
      </c>
    </row>
    <row r="65" spans="4:4">
      <c r="D65"/>
    </row>
  </sheetData>
  <mergeCells count="1">
    <mergeCell ref="C1:G1"/>
  </mergeCells>
  <phoneticPr fontId="1" type="noConversion"/>
  <dataValidations count="1">
    <dataValidation type="list" allowBlank="1" showInputMessage="1" showErrorMessage="1" sqref="G5">
      <formula1>$J$48:$J$51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/>
  <sheetData>
    <row r="1" spans="1:1" ht="17.25">
      <c r="A1" s="45" t="s">
        <v>33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WACC计算器简易版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2024-04-17T08:10:05Z</dcterms:modified>
</cp:coreProperties>
</file>