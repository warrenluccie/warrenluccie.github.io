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-120" yWindow="-120" windowWidth="29040" windowHeight="15840"/>
  </bookViews>
  <sheets>
    <sheet name="成交持仓情况汇总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" i="1" l="1"/>
  <c r="D3" i="1"/>
  <c r="I3" i="1"/>
  <c r="J3" i="1"/>
  <c r="H3" i="1"/>
  <c r="G3" i="1" l="1"/>
  <c r="K3" i="1"/>
  <c r="H81" i="1"/>
  <c r="H80" i="1"/>
  <c r="I77" i="1"/>
  <c r="H27" i="1"/>
  <c r="K19" i="1"/>
  <c r="E77" i="1"/>
  <c r="J39" i="1"/>
  <c r="J85" i="1"/>
  <c r="E42" i="1"/>
  <c r="E11" i="1"/>
  <c r="J28" i="1"/>
  <c r="G77" i="1"/>
  <c r="I51" i="1"/>
  <c r="K80" i="1"/>
  <c r="F20" i="1"/>
  <c r="J42" i="1"/>
  <c r="J10" i="1"/>
  <c r="I30" i="1"/>
  <c r="I74" i="1"/>
  <c r="I79" i="1"/>
  <c r="J30" i="1"/>
  <c r="K42" i="1"/>
  <c r="F49" i="1"/>
  <c r="G21" i="1"/>
  <c r="I56" i="1"/>
  <c r="G86" i="1"/>
  <c r="K14" i="1"/>
  <c r="I59" i="1"/>
  <c r="K81" i="1"/>
  <c r="E79" i="1"/>
  <c r="K69" i="1"/>
  <c r="I10" i="1"/>
  <c r="E73" i="1"/>
  <c r="K40" i="1"/>
  <c r="H54" i="1"/>
  <c r="H57" i="1"/>
  <c r="I14" i="1"/>
  <c r="H86" i="1"/>
  <c r="F54" i="1"/>
  <c r="E78" i="1"/>
  <c r="F26" i="1"/>
  <c r="F73" i="1"/>
  <c r="K59" i="1"/>
  <c r="E49" i="1"/>
  <c r="H19" i="1"/>
  <c r="F79" i="1"/>
  <c r="K39" i="1"/>
  <c r="J48" i="1"/>
  <c r="E71" i="1"/>
  <c r="I12" i="1"/>
  <c r="G56" i="1"/>
  <c r="G12" i="1"/>
  <c r="K21" i="1"/>
  <c r="H30" i="1"/>
  <c r="J69" i="1"/>
  <c r="E84" i="1"/>
  <c r="I26" i="1"/>
  <c r="E50" i="1"/>
  <c r="I48" i="1"/>
  <c r="F14" i="1"/>
  <c r="K18" i="1"/>
  <c r="I57" i="1"/>
  <c r="K43" i="1"/>
  <c r="K11" i="1"/>
  <c r="H28" i="1"/>
  <c r="G50" i="1"/>
  <c r="E70" i="1"/>
  <c r="J27" i="1"/>
  <c r="H70" i="1"/>
  <c r="E14" i="1"/>
  <c r="G85" i="1"/>
  <c r="I19" i="1"/>
  <c r="G39" i="1"/>
  <c r="F19" i="1"/>
  <c r="K70" i="1"/>
  <c r="K25" i="1"/>
  <c r="H42" i="1"/>
  <c r="G19" i="1"/>
  <c r="H44" i="1"/>
  <c r="G54" i="1"/>
  <c r="J41" i="1"/>
  <c r="K28" i="1"/>
  <c r="G43" i="1"/>
  <c r="K74" i="1"/>
  <c r="E41" i="1"/>
  <c r="H18" i="1"/>
  <c r="J26" i="1"/>
  <c r="G47" i="1"/>
  <c r="E48" i="1"/>
  <c r="G78" i="1"/>
  <c r="K56" i="1"/>
  <c r="H77" i="1"/>
  <c r="I11" i="1"/>
  <c r="J71" i="1"/>
  <c r="J87" i="1"/>
  <c r="G40" i="1"/>
  <c r="J47" i="1"/>
  <c r="J14" i="1"/>
  <c r="J57" i="1"/>
  <c r="I47" i="1"/>
  <c r="K73" i="1"/>
  <c r="H84" i="1"/>
  <c r="H72" i="1"/>
  <c r="H12" i="1"/>
  <c r="K22" i="1"/>
  <c r="G42" i="1"/>
  <c r="F48" i="1"/>
  <c r="H74" i="1"/>
  <c r="E47" i="1"/>
  <c r="E10" i="1"/>
  <c r="G80" i="1"/>
  <c r="G70" i="1"/>
  <c r="I49" i="1"/>
  <c r="I69" i="1"/>
  <c r="H11" i="1"/>
  <c r="E54" i="1"/>
  <c r="H69" i="1"/>
  <c r="I22" i="1"/>
  <c r="G79" i="1"/>
  <c r="G72" i="1"/>
  <c r="F42" i="1"/>
  <c r="J49" i="1"/>
  <c r="H15" i="1"/>
  <c r="J18" i="1"/>
  <c r="H71" i="1"/>
  <c r="E12" i="1"/>
  <c r="H39" i="1"/>
  <c r="K79" i="1"/>
  <c r="J22" i="1"/>
  <c r="E85" i="1"/>
  <c r="J72" i="1"/>
  <c r="K86" i="1"/>
  <c r="H85" i="1"/>
  <c r="J44" i="1"/>
  <c r="F39" i="1"/>
  <c r="H59" i="1"/>
  <c r="H10" i="1"/>
  <c r="G49" i="1"/>
  <c r="F71" i="1"/>
  <c r="E19" i="1"/>
  <c r="K77" i="1"/>
  <c r="E43" i="1"/>
  <c r="E40" i="1"/>
  <c r="G25" i="1"/>
  <c r="E39" i="1"/>
  <c r="E27" i="1"/>
  <c r="J74" i="1"/>
  <c r="J43" i="1"/>
  <c r="I81" i="1"/>
  <c r="E20" i="1"/>
  <c r="K41" i="1"/>
  <c r="J59" i="1"/>
  <c r="H26" i="1"/>
  <c r="G73" i="1"/>
  <c r="F80" i="1"/>
  <c r="J19" i="1"/>
  <c r="F86" i="1"/>
  <c r="I43" i="1"/>
  <c r="I13" i="1"/>
  <c r="I89" i="1"/>
  <c r="K15" i="1"/>
  <c r="K87" i="1"/>
  <c r="H49" i="1"/>
  <c r="I71" i="1"/>
  <c r="G18" i="1"/>
  <c r="J79" i="1"/>
  <c r="G41" i="1"/>
  <c r="I39" i="1"/>
  <c r="G10" i="1"/>
  <c r="I55" i="1"/>
  <c r="J56" i="1"/>
  <c r="K57" i="1"/>
  <c r="K71" i="1"/>
  <c r="I73" i="1"/>
  <c r="I18" i="1"/>
  <c r="K44" i="1"/>
  <c r="H40" i="1"/>
  <c r="K55" i="1"/>
  <c r="F10" i="1"/>
  <c r="H43" i="1"/>
  <c r="I27" i="1"/>
  <c r="J54" i="1"/>
  <c r="I86" i="1"/>
  <c r="J12" i="1"/>
  <c r="I85" i="1"/>
  <c r="J40" i="1"/>
  <c r="K50" i="1"/>
  <c r="I40" i="1"/>
  <c r="I21" i="1"/>
  <c r="F47" i="1"/>
  <c r="E72" i="1"/>
  <c r="J81" i="1"/>
  <c r="K47" i="1"/>
  <c r="H22" i="1"/>
  <c r="F40" i="1"/>
  <c r="K85" i="1"/>
  <c r="F55" i="1"/>
  <c r="F11" i="1"/>
  <c r="G27" i="1"/>
  <c r="H48" i="1"/>
  <c r="I70" i="1"/>
  <c r="G55" i="1"/>
  <c r="G11" i="1"/>
  <c r="G71" i="1"/>
  <c r="H14" i="1"/>
  <c r="E56" i="1"/>
  <c r="I20" i="1"/>
  <c r="E86" i="1"/>
  <c r="K10" i="1"/>
  <c r="J78" i="1"/>
  <c r="H41" i="1"/>
  <c r="K26" i="1"/>
  <c r="H56" i="1"/>
  <c r="G84" i="1"/>
  <c r="I41" i="1"/>
  <c r="K78" i="1"/>
  <c r="E80" i="1"/>
  <c r="H89" i="1"/>
  <c r="F69" i="1"/>
  <c r="I78" i="1"/>
  <c r="I50" i="1"/>
  <c r="J15" i="1"/>
  <c r="J77" i="1"/>
  <c r="J25" i="1"/>
  <c r="F25" i="1"/>
  <c r="H87" i="1"/>
  <c r="F77" i="1"/>
  <c r="F56" i="1"/>
  <c r="J84" i="1"/>
  <c r="J13" i="1"/>
  <c r="H51" i="1"/>
  <c r="J73" i="1"/>
  <c r="J20" i="1"/>
  <c r="H50" i="1"/>
  <c r="J80" i="1"/>
  <c r="K13" i="1"/>
  <c r="F50" i="1"/>
  <c r="F72" i="1"/>
  <c r="I87" i="1"/>
  <c r="G26" i="1"/>
  <c r="K48" i="1"/>
  <c r="G14" i="1"/>
  <c r="J50" i="1"/>
  <c r="K49" i="1"/>
  <c r="E26" i="1"/>
  <c r="H21" i="1"/>
  <c r="F13" i="1"/>
  <c r="G48" i="1"/>
  <c r="F85" i="1"/>
  <c r="K12" i="1"/>
  <c r="I28" i="1"/>
  <c r="H78" i="1"/>
  <c r="H73" i="1"/>
  <c r="H25" i="1"/>
  <c r="J51" i="1"/>
  <c r="K30" i="1"/>
  <c r="J21" i="1"/>
  <c r="G69" i="1"/>
  <c r="K51" i="1"/>
  <c r="H20" i="1"/>
  <c r="I44" i="1"/>
  <c r="I42" i="1"/>
  <c r="F41" i="1"/>
  <c r="J55" i="1"/>
  <c r="I54" i="1"/>
  <c r="F27" i="1"/>
  <c r="J11" i="1"/>
  <c r="F43" i="1"/>
  <c r="K89" i="1"/>
  <c r="I15" i="1"/>
  <c r="F70" i="1"/>
  <c r="F84" i="1"/>
  <c r="F21" i="1"/>
  <c r="G13" i="1"/>
  <c r="F12" i="1"/>
  <c r="J86" i="1"/>
  <c r="K20" i="1"/>
  <c r="F18" i="1"/>
  <c r="H55" i="1"/>
  <c r="E21" i="1"/>
  <c r="J70" i="1"/>
  <c r="I25" i="1"/>
  <c r="I80" i="1"/>
  <c r="I72" i="1"/>
  <c r="E69" i="1"/>
  <c r="H79" i="1"/>
  <c r="F78" i="1"/>
  <c r="G20" i="1"/>
  <c r="E13" i="1"/>
  <c r="I84" i="1"/>
  <c r="E18" i="1"/>
  <c r="J89" i="1"/>
  <c r="K54" i="1"/>
  <c r="K72" i="1"/>
  <c r="H47" i="1"/>
  <c r="K27" i="1"/>
  <c r="H13" i="1"/>
  <c r="E55" i="1"/>
  <c r="K84" i="1"/>
  <c r="G74" i="1" l="1"/>
  <c r="G15" i="1"/>
  <c r="F15" i="1"/>
  <c r="F74" i="1"/>
  <c r="E74" i="1"/>
  <c r="G44" i="1"/>
  <c r="F44" i="1"/>
  <c r="E44" i="1"/>
  <c r="E15" i="1"/>
  <c r="G87" i="1"/>
  <c r="F87" i="1"/>
  <c r="E87" i="1"/>
  <c r="G81" i="1"/>
  <c r="F81" i="1"/>
  <c r="E81" i="1"/>
  <c r="G57" i="1"/>
  <c r="F57" i="1"/>
  <c r="E57" i="1"/>
  <c r="G51" i="1"/>
  <c r="F51" i="1"/>
  <c r="E51" i="1"/>
  <c r="E28" i="1"/>
  <c r="G28" i="1"/>
  <c r="F28" i="1"/>
  <c r="G22" i="1"/>
  <c r="F22" i="1"/>
  <c r="E22" i="1"/>
  <c r="G89" i="1" l="1"/>
  <c r="F89" i="1"/>
  <c r="E89" i="1"/>
  <c r="E59" i="1"/>
  <c r="G59" i="1"/>
  <c r="E30" i="1"/>
  <c r="F30" i="1"/>
  <c r="F59" i="1"/>
  <c r="G30" i="1"/>
</calcChain>
</file>

<file path=xl/comments1.xml><?xml version="1.0" encoding="utf-8"?>
<comments xmlns="http://schemas.openxmlformats.org/spreadsheetml/2006/main">
  <authors>
    <author>Zhai Shuai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输入日期格式：
yyyy-mm-dd</t>
        </r>
      </text>
    </comment>
    <comment ref="H8" authorId="0" shapeId="0">
      <text>
        <r>
          <rPr>
            <b/>
            <sz val="9"/>
            <color indexed="81"/>
            <rFont val="宋体"/>
            <family val="3"/>
            <charset val="134"/>
          </rPr>
          <t>与前一个的交易日的数据对比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8" authorId="0" shapeId="0">
      <text>
        <r>
          <rPr>
            <sz val="9"/>
            <color indexed="81"/>
            <rFont val="宋体"/>
            <family val="3"/>
            <charset val="134"/>
          </rPr>
          <t xml:space="preserve">与一周前的交易日数据对比
</t>
        </r>
      </text>
    </comment>
    <comment ref="J8" authorId="0" shapeId="0">
      <text>
        <r>
          <rPr>
            <b/>
            <sz val="9"/>
            <color indexed="81"/>
            <rFont val="宋体"/>
            <family val="3"/>
            <charset val="134"/>
          </rPr>
          <t>与一月前的交易日数据对比</t>
        </r>
      </text>
    </comment>
    <comment ref="K8" authorId="0" shapeId="0">
      <text>
        <r>
          <rPr>
            <b/>
            <sz val="9"/>
            <color indexed="81"/>
            <rFont val="宋体"/>
            <family val="3"/>
            <charset val="134"/>
          </rPr>
          <t>与一年前的交易日数据对比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<sst xmlns="http://schemas.openxmlformats.org/spreadsheetml/2006/main" count="127" uniqueCount="70">
  <si>
    <t>标的名称</t>
    <phoneticPr fontId="3" type="noConversion"/>
  </si>
  <si>
    <t>上证50ETF</t>
  </si>
  <si>
    <t>中证500ETF</t>
  </si>
  <si>
    <t>创业板ETF</t>
  </si>
  <si>
    <t>深证100ETF</t>
  </si>
  <si>
    <t>沪深300</t>
  </si>
  <si>
    <t>中证1000</t>
  </si>
  <si>
    <t>上证50</t>
  </si>
  <si>
    <t>上交所</t>
    <phoneticPr fontId="1" type="noConversion"/>
  </si>
  <si>
    <t>沪300ETF</t>
    <phoneticPr fontId="1" type="noConversion"/>
  </si>
  <si>
    <t>沪500ETF</t>
    <phoneticPr fontId="1" type="noConversion"/>
  </si>
  <si>
    <t>深交所</t>
    <phoneticPr fontId="1" type="noConversion"/>
  </si>
  <si>
    <t>中金所</t>
    <phoneticPr fontId="1" type="noConversion"/>
  </si>
  <si>
    <t>510050.SH</t>
  </si>
  <si>
    <t>510300.SH</t>
  </si>
  <si>
    <t>510500.SH</t>
  </si>
  <si>
    <t>159919.SZ</t>
  </si>
  <si>
    <t>159922.SZ</t>
  </si>
  <si>
    <t>159915.SZ</t>
  </si>
  <si>
    <t>159901.SZ</t>
  </si>
  <si>
    <t>000300.SH</t>
  </si>
  <si>
    <t>000852.SH</t>
  </si>
  <si>
    <t>000016.SH</t>
  </si>
  <si>
    <t>日期</t>
    <phoneticPr fontId="3" type="noConversion"/>
  </si>
  <si>
    <t>标的代码</t>
    <phoneticPr fontId="1" type="noConversion"/>
  </si>
  <si>
    <t>期权成交量</t>
    <phoneticPr fontId="3" type="noConversion"/>
  </si>
  <si>
    <t>期权持仓量</t>
    <phoneticPr fontId="3" type="noConversion"/>
  </si>
  <si>
    <t>期权成交额</t>
    <phoneticPr fontId="3" type="noConversion"/>
  </si>
  <si>
    <t>认购成交额（亿元）</t>
    <phoneticPr fontId="1" type="noConversion"/>
  </si>
  <si>
    <t>金融类期权 -成交持仓情况汇总</t>
    <phoneticPr fontId="3" type="noConversion"/>
  </si>
  <si>
    <t>总计</t>
    <phoneticPr fontId="1" type="noConversion"/>
  </si>
  <si>
    <t>年初至今(%)</t>
    <phoneticPr fontId="1" type="noConversion"/>
  </si>
  <si>
    <t>1月增减(%)</t>
    <phoneticPr fontId="1" type="noConversion"/>
  </si>
  <si>
    <t>1周增减(%)</t>
    <phoneticPr fontId="1" type="noConversion"/>
  </si>
  <si>
    <t>1日增减(%)</t>
    <phoneticPr fontId="1" type="noConversion"/>
  </si>
  <si>
    <t>全市场总计</t>
    <phoneticPr fontId="1" type="noConversion"/>
  </si>
  <si>
    <t>深交所</t>
    <phoneticPr fontId="1" type="noConversion"/>
  </si>
  <si>
    <t>沪深300ETF</t>
    <phoneticPr fontId="1" type="noConversion"/>
  </si>
  <si>
    <t>总计</t>
    <phoneticPr fontId="1" type="noConversion"/>
  </si>
  <si>
    <t>上交所</t>
    <phoneticPr fontId="1" type="noConversion"/>
  </si>
  <si>
    <t>沪深300ETF</t>
    <phoneticPr fontId="1" type="noConversion"/>
  </si>
  <si>
    <t>总计</t>
    <phoneticPr fontId="1" type="noConversion"/>
  </si>
  <si>
    <t>标的代码</t>
    <phoneticPr fontId="1" type="noConversion"/>
  </si>
  <si>
    <t>总持仓量（万张）</t>
    <phoneticPr fontId="1" type="noConversion"/>
  </si>
  <si>
    <t>1日增减(%)</t>
    <phoneticPr fontId="1" type="noConversion"/>
  </si>
  <si>
    <t>1周增减(%)</t>
    <phoneticPr fontId="1" type="noConversion"/>
  </si>
  <si>
    <t>年初至今(%)</t>
    <phoneticPr fontId="1" type="noConversion"/>
  </si>
  <si>
    <t>全市场总计</t>
    <phoneticPr fontId="1" type="noConversion"/>
  </si>
  <si>
    <t>标的名称</t>
    <phoneticPr fontId="3" type="noConversion"/>
  </si>
  <si>
    <t>认沽成交额（亿元）</t>
    <phoneticPr fontId="1" type="noConversion"/>
  </si>
  <si>
    <t>总成交额（亿元）</t>
    <phoneticPr fontId="1" type="noConversion"/>
  </si>
  <si>
    <t>年初至今(%)</t>
    <phoneticPr fontId="1" type="noConversion"/>
  </si>
  <si>
    <t>上交所</t>
    <phoneticPr fontId="1" type="noConversion"/>
  </si>
  <si>
    <t>沪300ETF</t>
    <phoneticPr fontId="1" type="noConversion"/>
  </si>
  <si>
    <t>沪500ETF</t>
    <phoneticPr fontId="1" type="noConversion"/>
  </si>
  <si>
    <t>总计</t>
    <phoneticPr fontId="1" type="noConversion"/>
  </si>
  <si>
    <t>沪深300ETF</t>
    <phoneticPr fontId="1" type="noConversion"/>
  </si>
  <si>
    <t>中金所</t>
    <phoneticPr fontId="1" type="noConversion"/>
  </si>
  <si>
    <t>全市场总计</t>
    <phoneticPr fontId="1" type="noConversion"/>
  </si>
  <si>
    <t>最近更新：</t>
    <phoneticPr fontId="1" type="noConversion"/>
  </si>
  <si>
    <t>认购成交量（万张）</t>
    <phoneticPr fontId="1" type="noConversion"/>
  </si>
  <si>
    <t>认沽成交量（万张）</t>
    <phoneticPr fontId="1" type="noConversion"/>
  </si>
  <si>
    <t>总成交量（万张）</t>
    <phoneticPr fontId="1" type="noConversion"/>
  </si>
  <si>
    <t>认购持仓量（万张）</t>
    <phoneticPr fontId="1" type="noConversion"/>
  </si>
  <si>
    <t>认沽持仓量（万张）</t>
    <phoneticPr fontId="1" type="noConversion"/>
  </si>
  <si>
    <t>科创50ETF易方达</t>
    <phoneticPr fontId="1" type="noConversion"/>
  </si>
  <si>
    <t>588000.SH</t>
    <phoneticPr fontId="1" type="noConversion"/>
  </si>
  <si>
    <t>588080.SH</t>
    <phoneticPr fontId="1" type="noConversion"/>
  </si>
  <si>
    <t>科创50ETF</t>
    <phoneticPr fontId="1" type="noConversion"/>
  </si>
  <si>
    <t>金融类期权-成交持仓统计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</si>
</sst>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"/>
    <numFmt numFmtId="177" formatCode="0.00_ "/>
    <numFmt numFmtId="178" formatCode="0.00_);[Red]\(0.00\)"/>
  </numFmts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0"/>
      <color theme="1"/>
      <name val="Arial"/>
      <family val="2"/>
    </font>
    <font>
      <sz val="11"/>
      <color theme="6" tint="0.79998168889431442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0"/>
      <color rgb="FF0093AD"/>
      <name val="微软雅黑"/>
      <family val="2"/>
      <charset val="134"/>
    </font>
    <font>
      <sz val="10"/>
      <color rgb="FF0093AD"/>
      <name val="Arial"/>
      <family val="2"/>
    </font>
    <font>
      <b/>
      <sz val="10"/>
      <color rgb="FF0093AD"/>
      <name val="Arial"/>
      <family val="2"/>
    </font>
    <font>
      <sz val="11"/>
      <color rgb="FF0093AD"/>
      <name val="等线"/>
      <family val="2"/>
      <charset val="134"/>
      <scheme val="minor"/>
    </font>
    <font>
      <sz val="11"/>
      <color theme="2"/>
      <name val="等线"/>
      <family val="2"/>
      <charset val="134"/>
      <scheme val="minor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5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7" fillId="4" borderId="0" xfId="0" applyFont="1" applyFill="1" applyAlignment="1"/>
    <xf numFmtId="0" fontId="6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8" borderId="0" xfId="0" applyFont="1" applyFill="1" applyAlignment="1"/>
    <xf numFmtId="14" fontId="10" fillId="3" borderId="0" xfId="0" applyNumberFormat="1" applyFont="1" applyFill="1" applyAlignment="1"/>
    <xf numFmtId="0" fontId="6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12" fillId="4" borderId="0" xfId="0" applyFont="1" applyFill="1" applyAlignment="1"/>
    <xf numFmtId="0" fontId="7" fillId="6" borderId="0" xfId="0" applyFont="1" applyFill="1" applyAlignment="1">
      <alignment horizontal="left"/>
    </xf>
    <xf numFmtId="177" fontId="8" fillId="6" borderId="0" xfId="0" applyNumberFormat="1" applyFont="1" applyFill="1" applyAlignment="1">
      <alignment horizontal="right" vertical="center"/>
    </xf>
    <xf numFmtId="177" fontId="8" fillId="4" borderId="0" xfId="0" applyNumberFormat="1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13" fillId="6" borderId="0" xfId="0" applyFont="1" applyFill="1" applyAlignment="1"/>
    <xf numFmtId="0" fontId="14" fillId="6" borderId="0" xfId="0" applyFont="1" applyFill="1" applyAlignment="1"/>
    <xf numFmtId="177" fontId="15" fillId="6" borderId="0" xfId="0" applyNumberFormat="1" applyFont="1" applyFill="1" applyAlignment="1">
      <alignment horizontal="right" vertical="center"/>
    </xf>
    <xf numFmtId="0" fontId="15" fillId="6" borderId="0" xfId="0" applyFont="1" applyFill="1" applyAlignment="1"/>
    <xf numFmtId="0" fontId="13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177" fontId="15" fillId="4" borderId="0" xfId="0" applyNumberFormat="1" applyFont="1" applyFill="1" applyAlignment="1">
      <alignment horizontal="right" vertical="center"/>
    </xf>
    <xf numFmtId="0" fontId="13" fillId="6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178" fontId="15" fillId="6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4" fontId="10" fillId="3" borderId="0" xfId="0" applyNumberFormat="1" applyFont="1" applyFill="1" applyAlignment="1">
      <alignment horizontal="left"/>
    </xf>
    <xf numFmtId="14" fontId="16" fillId="3" borderId="0" xfId="0" applyNumberFormat="1" applyFont="1" applyFill="1" applyAlignment="1"/>
    <xf numFmtId="176" fontId="17" fillId="3" borderId="0" xfId="0" applyNumberFormat="1" applyFont="1" applyFill="1" applyAlignment="1">
      <alignment horizontal="right"/>
    </xf>
    <xf numFmtId="176" fontId="8" fillId="7" borderId="0" xfId="0" applyNumberFormat="1" applyFont="1" applyFill="1" applyBorder="1" applyAlignment="1">
      <alignment horizontal="right"/>
    </xf>
    <xf numFmtId="176" fontId="4" fillId="2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23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0093AD"/>
      <color rgb="FFC52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407127</xdr:colOff>
      <xdr:row>0</xdr:row>
      <xdr:rowOff>304800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07152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allamount"/>
      <definedName name="s_dq_calloi"/>
      <definedName name="s_dq_callvolume"/>
      <definedName name="s_dq_optionamount"/>
      <definedName name="s_dq_optionoi"/>
      <definedName name="s_dq_optionvolume"/>
      <definedName name="s_dq_putamount"/>
      <definedName name="s_dq_putoi"/>
      <definedName name="s_dq_putvolum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R92"/>
  <sheetViews>
    <sheetView showGridLines="0" tabSelected="1" workbookViewId="0">
      <pane ySplit="1" topLeftCell="A2" activePane="bottomLeft" state="frozen"/>
      <selection pane="bottomLeft" activeCell="C96" sqref="C96"/>
    </sheetView>
  </sheetViews>
  <sheetFormatPr defaultRowHeight="14.25" x14ac:dyDescent="0.2"/>
  <cols>
    <col min="1" max="1" width="4.5" customWidth="1"/>
    <col min="2" max="2" width="5.75" customWidth="1"/>
    <col min="3" max="11" width="15.625" customWidth="1"/>
    <col min="12" max="12" width="6.625" customWidth="1"/>
  </cols>
  <sheetData>
    <row r="1" spans="1:15" ht="30.75" customHeight="1" x14ac:dyDescent="0.2">
      <c r="A1" s="1"/>
      <c r="B1" s="1"/>
      <c r="C1" s="1"/>
      <c r="D1" s="2" t="s">
        <v>29</v>
      </c>
      <c r="E1" s="2"/>
      <c r="F1" s="2"/>
      <c r="G1" s="1"/>
      <c r="H1" s="1"/>
      <c r="I1" s="1"/>
      <c r="J1" s="32" t="s">
        <v>59</v>
      </c>
      <c r="K1" s="37">
        <f ca="1">TODAY()</f>
        <v>45254</v>
      </c>
      <c r="L1" s="1"/>
      <c r="M1" s="1"/>
    </row>
    <row r="2" spans="1:1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3"/>
      <c r="L2" s="3"/>
      <c r="M2" s="3"/>
    </row>
    <row r="3" spans="1:15" ht="16.5" x14ac:dyDescent="0.35">
      <c r="A3" s="3"/>
      <c r="B3" s="3"/>
      <c r="C3" s="12" t="s">
        <v>23</v>
      </c>
      <c r="D3" s="36">
        <f ca="1">[1]!TDaysOffset(TODAY()-1,"Offset=0")</f>
        <v>45253</v>
      </c>
      <c r="E3" s="13"/>
      <c r="F3" s="13"/>
      <c r="G3" s="13">
        <f ca="1">D3</f>
        <v>45253</v>
      </c>
      <c r="H3" s="35">
        <f ca="1">[1]!TDaysOffset($D$3,"Offset=-1")</f>
        <v>45252</v>
      </c>
      <c r="I3" s="35">
        <f ca="1">[1]!TDaysOffset($D$3,"Period=W","Offset=-1")</f>
        <v>45246</v>
      </c>
      <c r="J3" s="35">
        <f ca="1">[1]!TDaysOffset($D$3,"Period=M","Offset=-1")</f>
        <v>45222</v>
      </c>
      <c r="K3" s="35">
        <f ca="1">[1]!TDaysOffset(DATE(YEAR($D$3),1,1),"Offset=1")</f>
        <v>44929</v>
      </c>
      <c r="L3" s="34"/>
      <c r="M3" s="3"/>
    </row>
    <row r="4" spans="1:1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5" x14ac:dyDescent="0.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/>
    </row>
    <row r="6" spans="1:15" ht="17.25" x14ac:dyDescent="0.2">
      <c r="A6" s="3"/>
      <c r="B6" s="4"/>
      <c r="C6" s="5" t="s">
        <v>25</v>
      </c>
      <c r="D6" s="6"/>
      <c r="E6" s="6"/>
      <c r="F6" s="6"/>
      <c r="G6" s="6"/>
      <c r="H6" s="6"/>
      <c r="I6" s="6"/>
      <c r="J6" s="6"/>
      <c r="K6" s="6"/>
      <c r="L6" s="4"/>
      <c r="M6" s="3"/>
    </row>
    <row r="7" spans="1:15" x14ac:dyDescent="0.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/>
    </row>
    <row r="8" spans="1:15" ht="16.5" x14ac:dyDescent="0.35">
      <c r="A8" s="3"/>
      <c r="B8" s="4"/>
      <c r="C8" s="8" t="s">
        <v>0</v>
      </c>
      <c r="D8" s="8" t="s">
        <v>24</v>
      </c>
      <c r="E8" s="8" t="s">
        <v>60</v>
      </c>
      <c r="F8" s="8" t="s">
        <v>61</v>
      </c>
      <c r="G8" s="8" t="s">
        <v>62</v>
      </c>
      <c r="H8" s="8" t="s">
        <v>34</v>
      </c>
      <c r="I8" s="8" t="s">
        <v>33</v>
      </c>
      <c r="J8" s="8" t="s">
        <v>32</v>
      </c>
      <c r="K8" s="8" t="s">
        <v>31</v>
      </c>
      <c r="L8" s="4"/>
      <c r="M8" s="3"/>
    </row>
    <row r="9" spans="1:15" ht="17.25" x14ac:dyDescent="0.35">
      <c r="A9" s="3"/>
      <c r="B9" s="4"/>
      <c r="C9" s="14" t="s">
        <v>8</v>
      </c>
      <c r="D9" s="16"/>
      <c r="E9" s="16"/>
      <c r="F9" s="16"/>
      <c r="G9" s="7"/>
      <c r="H9" s="7"/>
      <c r="I9" s="7"/>
      <c r="J9" s="7"/>
      <c r="K9" s="17"/>
      <c r="L9" s="4"/>
      <c r="M9" s="3"/>
    </row>
    <row r="10" spans="1:15" ht="16.5" x14ac:dyDescent="0.35">
      <c r="A10" s="3"/>
      <c r="B10" s="4"/>
      <c r="C10" s="18" t="s">
        <v>1</v>
      </c>
      <c r="D10" s="9" t="s">
        <v>13</v>
      </c>
      <c r="E10" s="19">
        <f ca="1">[1]!s_dq_callvolume(D10,$G$3,10000)</f>
        <v>70.785499999999999</v>
      </c>
      <c r="F10" s="19">
        <f ca="1">[1]!s_dq_putvolume(D10,$G$3,10000)</f>
        <v>56.999899999999997</v>
      </c>
      <c r="G10" s="19">
        <f ca="1">[1]!s_dq_optionvolume(D10,$G$3,10000)</f>
        <v>127.7854</v>
      </c>
      <c r="H10" s="19">
        <f ca="1">IF(ISNUMBER(100*[1]!s_dq_optionvolume($D10,$G$3,10000)/[1]!s_dq_optionvolume($D10,$H$3,10000)-100),100*[1]!s_dq_optionvolume($D10,$G$3,10000)/[1]!s_dq_optionvolume($D10,$H$3,10000)-100,"-")</f>
        <v>-17.11444896540138</v>
      </c>
      <c r="I10" s="19">
        <f ca="1">IF(ISNUMBER(100*[1]!s_dq_optionvolume($D10,$G$3,10000)/[1]!s_dq_optionvolume($D10,I$3,10000)-100),100*[1]!s_dq_optionvolume($D10,$G$3,10000)/[1]!s_dq_optionvolume($D10,I$3,10000)-100,"-")</f>
        <v>-23.046849829666002</v>
      </c>
      <c r="J10" s="19">
        <f ca="1">IF(ISNUMBER(100*[1]!s_dq_optionvolume($D10,$G$3,10000)/[1]!s_dq_optionvolume($D10,J$3,10000)-100),100*[1]!s_dq_optionvolume($D10,$G$3,10000)/[1]!s_dq_optionvolume($D10,J$3,10000)-100,"-")</f>
        <v>-52.307153139522001</v>
      </c>
      <c r="K10" s="19">
        <f ca="1">IF(ISNUMBER(100*[1]!s_dq_optionvolume($D10,$G$3,10000)/[1]!s_dq_optionvolume($D10,K$3,10000)-100),100*[1]!s_dq_optionvolume($D10,$G$3,10000)/[1]!s_dq_optionvolume($D10,K$3,10000)-100,"-")</f>
        <v>-32.035007565825353</v>
      </c>
      <c r="L10" s="4"/>
      <c r="M10" s="3"/>
    </row>
    <row r="11" spans="1:15" ht="16.5" x14ac:dyDescent="0.35">
      <c r="A11" s="3"/>
      <c r="B11" s="4"/>
      <c r="C11" s="16" t="s">
        <v>9</v>
      </c>
      <c r="D11" s="10" t="s">
        <v>14</v>
      </c>
      <c r="E11" s="20">
        <f ca="1">[1]!s_dq_callvolume(D11,$G$3,10000)</f>
        <v>56.6126</v>
      </c>
      <c r="F11" s="20">
        <f ca="1">[1]!s_dq_putvolume(D11,$G$3,10000)</f>
        <v>47.6295</v>
      </c>
      <c r="G11" s="20">
        <f ca="1">[1]!s_dq_optionvolume(D11,$G$3,10000)</f>
        <v>104.24209999999999</v>
      </c>
      <c r="H11" s="20">
        <f ca="1">IF(ISNUMBER(100*[1]!s_dq_optionvolume($D11,$G$3,10000)/[1]!s_dq_optionvolume($D11,$H$3,10000)-100),100*[1]!s_dq_optionvolume($D11,$G$3,10000)/[1]!s_dq_optionvolume($D11,$H$3,10000)-100,"-")</f>
        <v>-5.7665309782672693</v>
      </c>
      <c r="I11" s="20">
        <f ca="1">IF(ISNUMBER(100*[1]!s_dq_optionvolume($D11,$G$3,10000)/[1]!s_dq_optionvolume($D11,$I$3,10000)-100),100*[1]!s_dq_optionvolume($D11,$G$3,10000)/[1]!s_dq_optionvolume($D11,$I$3,10000)-100,"-")</f>
        <v>-8.2263586829726592</v>
      </c>
      <c r="J11" s="20">
        <f ca="1">IF(ISNUMBER(100*[1]!s_dq_optionvolume($D11,$G$3,10000)/[1]!s_dq_optionvolume($D11,J$3,10000)-100),100*[1]!s_dq_optionvolume($D11,$G$3,10000)/[1]!s_dq_optionvolume($D11,J$3,10000)-100,"-")</f>
        <v>-47.832024906403312</v>
      </c>
      <c r="K11" s="20">
        <f ca="1">IF(ISNUMBER(100*[1]!s_dq_optionvolume($D11,$G$3,10000)/[1]!s_dq_optionvolume($D11,K$3,10000)-100),100*[1]!s_dq_optionvolume($D11,$G$3,10000)/[1]!s_dq_optionvolume($D11,K$3,10000)-100,"-")</f>
        <v>-6.9476332110989318</v>
      </c>
      <c r="L11" s="4"/>
      <c r="M11" s="3"/>
    </row>
    <row r="12" spans="1:15" ht="16.5" x14ac:dyDescent="0.35">
      <c r="A12" s="3"/>
      <c r="B12" s="4"/>
      <c r="C12" s="18" t="s">
        <v>10</v>
      </c>
      <c r="D12" s="9" t="s">
        <v>15</v>
      </c>
      <c r="E12" s="19">
        <f ca="1">[1]!s_dq_callvolume(D12,$G$3,10000)</f>
        <v>31.088999999999999</v>
      </c>
      <c r="F12" s="19">
        <f ca="1">[1]!s_dq_putvolume(D12,$G$3,10000)</f>
        <v>27.2898</v>
      </c>
      <c r="G12" s="19">
        <f ca="1">[1]!s_dq_optionvolume(D12,$G$3,10000)</f>
        <v>58.378799999999998</v>
      </c>
      <c r="H12" s="19">
        <f ca="1">IF(ISNUMBER(100*[1]!s_dq_optionvolume($D12,$G$3,10000)/[1]!s_dq_optionvolume($D12,$H$3,10000)-100),100*[1]!s_dq_optionvolume($D12,$G$3,10000)/[1]!s_dq_optionvolume($D12,$H$3,10000)-100,"-")</f>
        <v>6.8060528333092378</v>
      </c>
      <c r="I12" s="19">
        <f ca="1">IF(ISNUMBER(100*[1]!s_dq_optionvolume($D12,$G$3,10000)/[1]!s_dq_optionvolume($D12,$I$3,10000)-100),100*[1]!s_dq_optionvolume($D12,$G$3,10000)/[1]!s_dq_optionvolume($D12,$I$3,10000)-100,"-")</f>
        <v>8.6539696365656624</v>
      </c>
      <c r="J12" s="19">
        <f ca="1">IF(ISNUMBER(100*[1]!s_dq_optionvolume($D12,$G$3,10000)/[1]!s_dq_optionvolume($D12,J$3,10000)-100),100*[1]!s_dq_optionvolume($D12,$G$3,10000)/[1]!s_dq_optionvolume($D12,J$3,10000)-100,"-")</f>
        <v>-46.120663399507158</v>
      </c>
      <c r="K12" s="19">
        <f ca="1">IF(ISNUMBER(100*[1]!s_dq_optionvolume($D12,$G$3,10000)/[1]!s_dq_optionvolume($D12,K$3,10000)-100),100*[1]!s_dq_optionvolume($D12,$G$3,10000)/[1]!s_dq_optionvolume($D12,K$3,10000)-100,"-")</f>
        <v>13.544738090977702</v>
      </c>
      <c r="L12" s="4"/>
      <c r="M12" s="3"/>
    </row>
    <row r="13" spans="1:15" ht="16.5" x14ac:dyDescent="0.35">
      <c r="A13" s="3"/>
      <c r="B13" s="4"/>
      <c r="C13" s="16" t="s">
        <v>68</v>
      </c>
      <c r="D13" s="10" t="s">
        <v>66</v>
      </c>
      <c r="E13" s="20">
        <f ca="1">[1]!s_dq_callvolume(D13,$G$3,10000)</f>
        <v>29.052499999999998</v>
      </c>
      <c r="F13" s="20">
        <f ca="1">[1]!s_dq_putvolume(D13,$G$3,10000)</f>
        <v>16.887599999999999</v>
      </c>
      <c r="G13" s="20">
        <f ca="1">[1]!s_dq_optionvolume(D13,$G$3,10000)</f>
        <v>45.940100000000001</v>
      </c>
      <c r="H13" s="20">
        <f ca="1">IF(ISNUMBER(100*[1]!s_dq_optionvolume($D13,$G$3,10000)/[1]!s_dq_optionvolume($D13,$H$3,10000)-100),100*[1]!s_dq_optionvolume($D13,$G$3,10000)/[1]!s_dq_optionvolume($D13,$H$3,10000)-100,"-")</f>
        <v>8.0203907442198528</v>
      </c>
      <c r="I13" s="20">
        <f ca="1">IF(ISNUMBER(100*[1]!s_dq_optionvolume($D13,$G$3,10000)/[1]!s_dq_optionvolume($D13,$I$3,10000)-100),100*[1]!s_dq_optionvolume($D13,$G$3,10000)/[1]!s_dq_optionvolume($D13,$I$3,10000)-100,"-")</f>
        <v>-16.514743456943577</v>
      </c>
      <c r="J13" s="20">
        <f ca="1">IF(ISNUMBER(100*[1]!s_dq_optionvolume($D13,$G$3,10000)/[1]!s_dq_optionvolume($D13,J$3,10000)-100),100*[1]!s_dq_optionvolume($D13,$G$3,10000)/[1]!s_dq_optionvolume($D13,J$3,10000)-100,"-")</f>
        <v>-49.4920632128431</v>
      </c>
      <c r="K13" s="20" t="str">
        <f ca="1">IF(ISNUMBER(100*[1]!s_dq_optionvolume($D13,$G$3,10000)/[1]!s_dq_optionvolume($D13,K$3,10000)-100),100*[1]!s_dq_optionvolume($D13,$G$3,10000)/[1]!s_dq_optionvolume($D13,K$3,10000)-100,"-")</f>
        <v>-</v>
      </c>
      <c r="L13" s="20"/>
      <c r="M13" s="3"/>
      <c r="N13" s="20"/>
      <c r="O13" s="20"/>
    </row>
    <row r="14" spans="1:15" ht="16.5" x14ac:dyDescent="0.35">
      <c r="A14" s="3"/>
      <c r="B14" s="4"/>
      <c r="C14" s="18" t="s">
        <v>65</v>
      </c>
      <c r="D14" s="9" t="s">
        <v>67</v>
      </c>
      <c r="E14" s="19">
        <f ca="1">[1]!s_dq_callvolume(D14,$G$3,10000)</f>
        <v>14.306699999999999</v>
      </c>
      <c r="F14" s="19">
        <f ca="1">[1]!s_dq_putvolume(D14,$G$3,10000)</f>
        <v>9.2012</v>
      </c>
      <c r="G14" s="19">
        <f ca="1">[1]!s_dq_optionvolume(D14,$G$3,10000)</f>
        <v>23.507899999999999</v>
      </c>
      <c r="H14" s="19">
        <f ca="1">IF(ISNUMBER(100*[1]!s_dq_optionvolume($D14,$G$3,10000)/[1]!s_dq_optionvolume($D14,$H$3,10000)-100),100*[1]!s_dq_optionvolume($D14,$G$3,10000)/[1]!s_dq_optionvolume($D14,$H$3,10000)-100,"-")</f>
        <v>-0.22283153087384733</v>
      </c>
      <c r="I14" s="19">
        <f ca="1">IF(ISNUMBER(100*[1]!s_dq_optionvolume($D14,$G$3,10000)/[1]!s_dq_optionvolume($D14,$I$3,10000)-100),100*[1]!s_dq_optionvolume($D14,$G$3,10000)/[1]!s_dq_optionvolume($D14,$I$3,10000)-100,"-")</f>
        <v>6.4134425175749499</v>
      </c>
      <c r="J14" s="19">
        <f ca="1">IF(ISNUMBER(100*[1]!s_dq_optionvolume($D14,$G$3,10000)/[1]!s_dq_optionvolume($D14,J$3,10000)-100),100*[1]!s_dq_optionvolume($D14,$G$3,10000)/[1]!s_dq_optionvolume($D14,J$3,10000)-100,"-")</f>
        <v>-45.08718859131735</v>
      </c>
      <c r="K14" s="19" t="str">
        <f ca="1">IF(ISNUMBER(100*[1]!s_dq_optionvolume($D14,$G$3,10000)/[1]!s_dq_optionvolume($D14,K$3,10000)-100),100*[1]!s_dq_optionvolume($D14,$G$3,10000)/[1]!s_dq_optionvolume($D14,K$3,10000)-100,"-")</f>
        <v>-</v>
      </c>
      <c r="L14" s="4"/>
      <c r="M14" s="3"/>
    </row>
    <row r="15" spans="1:15" ht="16.5" x14ac:dyDescent="0.35">
      <c r="A15" s="3"/>
      <c r="B15" s="4"/>
      <c r="C15" s="26" t="s">
        <v>41</v>
      </c>
      <c r="D15" s="27"/>
      <c r="E15" s="28">
        <f ca="1">SUM(E10:E14)</f>
        <v>201.84630000000001</v>
      </c>
      <c r="F15" s="28">
        <f t="shared" ref="F15:G15" ca="1" si="0">SUM(F10:F14)</f>
        <v>158.00799999999998</v>
      </c>
      <c r="G15" s="28">
        <f t="shared" ca="1" si="0"/>
        <v>359.85430000000002</v>
      </c>
      <c r="H15" s="20">
        <f ca="1">100*([1]!s_dq_optionvolume($D10,$G$3,10000) +[1]!s_dq_optionvolume($D11,$G$3,10000)+[1]!s_dq_optionvolume($D12,$G$3,10000))/([1]!s_dq_optionvolume($D10,H$3,10000) +[1]!s_dq_optionvolume($D11,H$3,10000)+[1]!s_dq_optionvolume($D12,H$3,10000))-100</f>
        <v>-9.0919819552751022</v>
      </c>
      <c r="I15" s="20">
        <f ca="1">100*([1]!s_dq_optionvolume($D10,$G$3,10000) +[1]!s_dq_optionvolume($D11,$G$3,10000)+[1]!s_dq_optionvolume($D12,$G$3,10000))/([1]!s_dq_optionvolume($D10,I$3,10000) +[1]!s_dq_optionvolume($D11,I$3,10000)+[1]!s_dq_optionvolume($D12,I$3,10000))-100</f>
        <v>-12.888032053149161</v>
      </c>
      <c r="J15" s="20">
        <f ca="1">100*([1]!s_dq_optionvolume($D10,$G$3,10000) +[1]!s_dq_optionvolume($D11,$G$3,10000)+[1]!s_dq_optionvolume($D12,$G$3,10000))/([1]!s_dq_optionvolume($D10,J$3,10000) +[1]!s_dq_optionvolume($D11,J$3,10000)+[1]!s_dq_optionvolume($D12,J$3,10000))-100</f>
        <v>-49.591446145599797</v>
      </c>
      <c r="K15" s="20">
        <f ca="1">100*([1]!s_dq_optionvolume($D10,$G$3,10000) +[1]!s_dq_optionvolume($D11,$G$3,10000)+[1]!s_dq_optionvolume($D12,$G$3,10000))/([1]!s_dq_optionvolume($D10,K$3,10000) +[1]!s_dq_optionvolume($D11,K$3,10000)+[1]!s_dq_optionvolume($D12,K$3,10000))-100</f>
        <v>-17.370627659468539</v>
      </c>
      <c r="L15" s="4"/>
      <c r="M15" s="3"/>
    </row>
    <row r="16" spans="1:15" ht="16.5" x14ac:dyDescent="0.35">
      <c r="A16" s="3"/>
      <c r="B16" s="4"/>
      <c r="C16" s="18"/>
      <c r="D16" s="9"/>
      <c r="E16" s="19"/>
      <c r="F16" s="19"/>
      <c r="G16" s="19"/>
      <c r="H16" s="19"/>
      <c r="I16" s="19"/>
      <c r="J16" s="19"/>
      <c r="K16" s="19"/>
      <c r="L16" s="4"/>
      <c r="M16" s="3"/>
    </row>
    <row r="17" spans="1:13" ht="16.5" x14ac:dyDescent="0.35">
      <c r="A17" s="3"/>
      <c r="B17" s="4"/>
      <c r="C17" s="14" t="s">
        <v>36</v>
      </c>
      <c r="D17" s="10"/>
      <c r="E17" s="20"/>
      <c r="F17" s="20"/>
      <c r="G17" s="20"/>
      <c r="H17" s="20"/>
      <c r="I17" s="20"/>
      <c r="J17" s="20"/>
      <c r="K17" s="20"/>
      <c r="L17" s="4"/>
      <c r="M17" s="3"/>
    </row>
    <row r="18" spans="1:13" ht="16.5" x14ac:dyDescent="0.35">
      <c r="A18" s="3"/>
      <c r="B18" s="4"/>
      <c r="C18" s="18" t="s">
        <v>37</v>
      </c>
      <c r="D18" s="9" t="s">
        <v>16</v>
      </c>
      <c r="E18" s="19">
        <f ca="1">[1]!s_dq_callvolume(D18,$G$3,10000)</f>
        <v>7.883</v>
      </c>
      <c r="F18" s="19">
        <f ca="1">[1]!s_dq_putvolume(D18,$G$3,10000)</f>
        <v>7.7567000000000004</v>
      </c>
      <c r="G18" s="19">
        <f ca="1">[1]!s_dq_optionvolume(D18,$G$3,10000)</f>
        <v>15.639699999999999</v>
      </c>
      <c r="H18" s="19">
        <f ca="1">IF(ISNUMBER(100*[1]!s_dq_optionvolume($D18,$G$3,10000)/[1]!s_dq_optionvolume($D18,$H$3,10000)-100),100*[1]!s_dq_optionvolume($D18,$G$3,10000)/[1]!s_dq_optionvolume($D18,$H$3,10000)-100,"-")</f>
        <v>-37.130625288927298</v>
      </c>
      <c r="I18" s="19">
        <f ca="1">IF(ISNUMBER(100*[1]!s_dq_optionvolume($D18,$G$3,10000)/[1]!s_dq_optionvolume($D18,$I$3,10000)-100),100*[1]!s_dq_optionvolume($D18,$G$3,10000)/[1]!s_dq_optionvolume($D18,$I$3,10000)-100,"-")</f>
        <v>-0.94057587312042301</v>
      </c>
      <c r="J18" s="19">
        <f ca="1">IF(ISNUMBER(100*[1]!s_dq_optionvolume($D18,$G$3,10000)/[1]!s_dq_optionvolume($D18,J$3,10000)-100),100*[1]!s_dq_optionvolume($D18,$G$3,10000)/[1]!s_dq_optionvolume($D18,J$3,10000)-100,"-")</f>
        <v>-53.068463142732824</v>
      </c>
      <c r="K18" s="19">
        <f ca="1">IF(ISNUMBER(100*[1]!s_dq_optionvolume($D18,$G$3,10000)/[1]!s_dq_optionvolume($D18,K$3,10000)-100),100*[1]!s_dq_optionvolume($D18,$G$3,10000)/[1]!s_dq_optionvolume($D18,K$3,10000)-100,"-")</f>
        <v>16.19563440764351</v>
      </c>
      <c r="L18" s="4"/>
      <c r="M18" s="3"/>
    </row>
    <row r="19" spans="1:13" ht="16.5" x14ac:dyDescent="0.35">
      <c r="A19" s="3"/>
      <c r="B19" s="4"/>
      <c r="C19" s="16" t="s">
        <v>2</v>
      </c>
      <c r="D19" s="11" t="s">
        <v>17</v>
      </c>
      <c r="E19" s="21">
        <f ca="1">[1]!s_dq_callvolume(D19,$G$3,10000)</f>
        <v>9.3432999999999993</v>
      </c>
      <c r="F19" s="21">
        <f ca="1">[1]!s_dq_putvolume(D19,$G$3,10000)</f>
        <v>5.8476999999999997</v>
      </c>
      <c r="G19" s="21">
        <f ca="1">[1]!s_dq_optionvolume(D19,$G$3,10000)</f>
        <v>15.191000000000001</v>
      </c>
      <c r="H19" s="20">
        <f ca="1">IF(ISNUMBER(100*[1]!s_dq_optionvolume($D19,$G$3,10000)/[1]!s_dq_optionvolume($D19,$H$3,10000)-100),100*[1]!s_dq_optionvolume($D19,$G$3,10000)/[1]!s_dq_optionvolume($D19,$H$3,10000)-100,"-")</f>
        <v>47.114080960681775</v>
      </c>
      <c r="I19" s="20">
        <f ca="1">IF(ISNUMBER(100*[1]!s_dq_optionvolume($D19,$G$3,10000)/[1]!s_dq_optionvolume($D19,$I$3,10000)-100),100*[1]!s_dq_optionvolume($D19,$G$3,10000)/[1]!s_dq_optionvolume($D19,$I$3,10000)-100,"-")</f>
        <v>22.618816995996397</v>
      </c>
      <c r="J19" s="20">
        <f ca="1">IF(ISNUMBER(100*[1]!s_dq_optionvolume($D19,$G$3,10000)/[1]!s_dq_optionvolume($D19,J$3,10000)-100),100*[1]!s_dq_optionvolume($D19,$G$3,10000)/[1]!s_dq_optionvolume($D19,J$3,10000)-100,"-")</f>
        <v>-47.476514661697024</v>
      </c>
      <c r="K19" s="20">
        <f ca="1">IF(ISNUMBER(100*[1]!s_dq_optionvolume($D19,$G$3,10000)/[1]!s_dq_optionvolume($D19,K$3,10000)-100),100*[1]!s_dq_optionvolume($D19,$G$3,10000)/[1]!s_dq_optionvolume($D19,K$3,10000)-100,"-")</f>
        <v>75.992863432040423</v>
      </c>
      <c r="L19" s="4"/>
      <c r="M19" s="3"/>
    </row>
    <row r="20" spans="1:13" ht="16.5" x14ac:dyDescent="0.35">
      <c r="A20" s="3"/>
      <c r="B20" s="4"/>
      <c r="C20" s="18" t="s">
        <v>3</v>
      </c>
      <c r="D20" s="9" t="s">
        <v>18</v>
      </c>
      <c r="E20" s="19">
        <f ca="1">[1]!s_dq_callvolume(D20,$G$3,10000)</f>
        <v>35.778100000000002</v>
      </c>
      <c r="F20" s="19">
        <f ca="1">[1]!s_dq_putvolume(D20,$G$3,10000)</f>
        <v>31.081199999999999</v>
      </c>
      <c r="G20" s="19">
        <f ca="1">[1]!s_dq_optionvolume(D20,$G$3,10000)</f>
        <v>66.859300000000005</v>
      </c>
      <c r="H20" s="19">
        <f ca="1">IF(ISNUMBER(100*[1]!s_dq_optionvolume($D20,$G$3,10000)/[1]!s_dq_optionvolume($D20,$H$3,10000)-100),100*[1]!s_dq_optionvolume($D20,$G$3,10000)/[1]!s_dq_optionvolume($D20,$H$3,10000)-100,"-")</f>
        <v>-11.572182639874413</v>
      </c>
      <c r="I20" s="19">
        <f ca="1">IF(ISNUMBER(100*[1]!s_dq_optionvolume($D20,$G$3,10000)/[1]!s_dq_optionvolume($D20,$I$3,10000)-100),100*[1]!s_dq_optionvolume($D20,$G$3,10000)/[1]!s_dq_optionvolume($D20,$I$3,10000)-100,"-")</f>
        <v>-24.272476959269127</v>
      </c>
      <c r="J20" s="19">
        <f ca="1">IF(ISNUMBER(100*[1]!s_dq_optionvolume($D20,$G$3,10000)/[1]!s_dq_optionvolume($D20,J$3,10000)-100),100*[1]!s_dq_optionvolume($D20,$G$3,10000)/[1]!s_dq_optionvolume($D20,J$3,10000)-100,"-")</f>
        <v>-40.499062000519721</v>
      </c>
      <c r="K20" s="19">
        <f ca="1">IF(ISNUMBER(100*[1]!s_dq_optionvolume($D20,$G$3,10000)/[1]!s_dq_optionvolume($D20,K$3,10000)-100),100*[1]!s_dq_optionvolume($D20,$G$3,10000)/[1]!s_dq_optionvolume($D20,K$3,10000)-100,"-")</f>
        <v>55.875708453886119</v>
      </c>
      <c r="L20" s="4"/>
      <c r="M20" s="3"/>
    </row>
    <row r="21" spans="1:13" ht="16.5" x14ac:dyDescent="0.35">
      <c r="A21" s="3"/>
      <c r="B21" s="4"/>
      <c r="C21" s="16" t="s">
        <v>4</v>
      </c>
      <c r="D21" s="10" t="s">
        <v>19</v>
      </c>
      <c r="E21" s="20">
        <f ca="1">[1]!s_dq_callvolume(D21,$G$3,10000)</f>
        <v>4.2861000000000002</v>
      </c>
      <c r="F21" s="20">
        <f ca="1">[1]!s_dq_putvolume(D21,$G$3,10000)</f>
        <v>3.0697999999999999</v>
      </c>
      <c r="G21" s="20">
        <f ca="1">[1]!s_dq_optionvolume(D21,$G$3,10000)</f>
        <v>7.3559000000000001</v>
      </c>
      <c r="H21" s="20">
        <f ca="1">IF(ISNUMBER(100*[1]!s_dq_optionvolume($D21,$G$3,10000)/[1]!s_dq_optionvolume($D21,$H$3,10000)-100),100*[1]!s_dq_optionvolume($D21,$G$3,10000)/[1]!s_dq_optionvolume($D21,$H$3,10000)-100,"-")</f>
        <v>-14.864239253720982</v>
      </c>
      <c r="I21" s="20">
        <f ca="1">IF(ISNUMBER(100*[1]!s_dq_optionvolume($D21,$G$3,10000)/[1]!s_dq_optionvolume($D21,$I$3,10000)-100),100*[1]!s_dq_optionvolume($D21,$G$3,10000)/[1]!s_dq_optionvolume($D21,$I$3,10000)-100,"-")</f>
        <v>-2.2250873951590364</v>
      </c>
      <c r="J21" s="20">
        <f ca="1">IF(ISNUMBER(100*[1]!s_dq_optionvolume($D21,$G$3,10000)/[1]!s_dq_optionvolume($D21,J$3,10000)-100),100*[1]!s_dq_optionvolume($D21,$G$3,10000)/[1]!s_dq_optionvolume($D21,J$3,10000)-100,"-")</f>
        <v>-41.823919267332052</v>
      </c>
      <c r="K21" s="20">
        <f ca="1">IF(ISNUMBER(100*[1]!s_dq_optionvolume($D21,$G$3,10000)/[1]!s_dq_optionvolume($D21,K$3,10000)-100),100*[1]!s_dq_optionvolume($D21,$G$3,10000)/[1]!s_dq_optionvolume($D21,K$3,10000)-100,"-")</f>
        <v>6.4606700919024576</v>
      </c>
      <c r="L21" s="4"/>
      <c r="M21" s="3"/>
    </row>
    <row r="22" spans="1:13" ht="16.5" x14ac:dyDescent="0.35">
      <c r="A22" s="3"/>
      <c r="B22" s="4"/>
      <c r="C22" s="29" t="s">
        <v>30</v>
      </c>
      <c r="D22" s="30"/>
      <c r="E22" s="31">
        <f ca="1">SUM(E19:E21)</f>
        <v>49.407499999999999</v>
      </c>
      <c r="F22" s="31">
        <f t="shared" ref="F22" ca="1" si="1">SUM(F19:F21)</f>
        <v>39.998699999999999</v>
      </c>
      <c r="G22" s="31">
        <f t="shared" ref="G22" ca="1" si="2">SUM(G19:G21)</f>
        <v>89.406200000000013</v>
      </c>
      <c r="H22" s="19">
        <f ca="1">100*([1]!s_dq_optionvolume($D18,$G$3,10000)+[1]!s_dq_optionvolume($D19,$G$3,10000) +[1]!s_dq_optionvolume($D20,$G$3,10000)+[1]!s_dq_optionvolume($D21,$G$3,10000))/([1]!s_dq_optionvolume($D18,H$3,10000)+[1]!s_dq_optionvolume($D19,H$3,10000) +[1]!s_dq_optionvolume($D20,H$3,10000)+[1]!s_dq_optionvolume($D21,H$3,10000))-100</f>
        <v>-12.059863576544814</v>
      </c>
      <c r="I22" s="19">
        <f ca="1">100*([1]!s_dq_optionvolume($D18,$G$3,10000)+[1]!s_dq_optionvolume($D19,$G$3,10000) +[1]!s_dq_optionvolume($D20,$G$3,10000)+[1]!s_dq_optionvolume($D21,$G$3,10000))/([1]!s_dq_optionvolume($D18,I$3,10000)+[1]!s_dq_optionvolume($D19,I$3,10000) +[1]!s_dq_optionvolume($D20,I$3,10000)+[1]!s_dq_optionvolume($D21,I$3,10000))-100</f>
        <v>-15.278458838483218</v>
      </c>
      <c r="J22" s="19">
        <f ca="1">100*([1]!s_dq_optionvolume($D18,$G$3,10000)+[1]!s_dq_optionvolume($D19,$G$3,10000) +[1]!s_dq_optionvolume($D20,$G$3,10000)+[1]!s_dq_optionvolume($D21,$G$3,10000))/([1]!s_dq_optionvolume($D18,J$3,10000)+[1]!s_dq_optionvolume($D19,J$3,10000) +[1]!s_dq_optionvolume($D20,J$3,10000)+[1]!s_dq_optionvolume($D21,J$3,10000))-100</f>
        <v>-43.903057709745603</v>
      </c>
      <c r="K22" s="19">
        <f ca="1">100*([1]!s_dq_optionvolume($D18,$G$3,10000)+[1]!s_dq_optionvolume($D19,$G$3,10000) +[1]!s_dq_optionvolume($D20,$G$3,10000)+[1]!s_dq_optionvolume($D21,$G$3,10000))/([1]!s_dq_optionvolume($D18,K$3,10000)+[1]!s_dq_optionvolume($D19,K$3,10000) +[1]!s_dq_optionvolume($D20,K$3,10000)+[1]!s_dq_optionvolume($D21,K$3,10000))-100</f>
        <v>46.113005886476714</v>
      </c>
      <c r="L22" s="4"/>
      <c r="M22" s="3"/>
    </row>
    <row r="23" spans="1:13" ht="16.5" x14ac:dyDescent="0.35">
      <c r="A23" s="3"/>
      <c r="B23" s="4"/>
      <c r="C23" s="16"/>
      <c r="D23" s="10"/>
      <c r="E23" s="20"/>
      <c r="F23" s="20"/>
      <c r="G23" s="20"/>
      <c r="H23" s="20"/>
      <c r="I23" s="20"/>
      <c r="J23" s="20"/>
      <c r="K23" s="20"/>
      <c r="L23" s="4"/>
      <c r="M23" s="3"/>
    </row>
    <row r="24" spans="1:13" ht="16.5" x14ac:dyDescent="0.35">
      <c r="A24" s="3"/>
      <c r="B24" s="4"/>
      <c r="C24" s="15" t="s">
        <v>12</v>
      </c>
      <c r="D24" s="9"/>
      <c r="E24" s="19"/>
      <c r="F24" s="19"/>
      <c r="G24" s="19"/>
      <c r="H24" s="19"/>
      <c r="I24" s="19"/>
      <c r="J24" s="19"/>
      <c r="K24" s="19"/>
      <c r="L24" s="4"/>
      <c r="M24" s="3"/>
    </row>
    <row r="25" spans="1:13" ht="16.5" x14ac:dyDescent="0.35">
      <c r="A25" s="3"/>
      <c r="B25" s="4"/>
      <c r="C25" s="16" t="s">
        <v>5</v>
      </c>
      <c r="D25" s="10" t="s">
        <v>20</v>
      </c>
      <c r="E25" s="20">
        <v>0</v>
      </c>
      <c r="F25" s="20">
        <f ca="1">[1]!s_dq_putvolume(D25,$G$3,10000)</f>
        <v>2.8610000000000002</v>
      </c>
      <c r="G25" s="20">
        <f ca="1">[1]!s_dq_optionvolume(D25,$G$3,10000)</f>
        <v>6.6557000000000004</v>
      </c>
      <c r="H25" s="20">
        <f ca="1">IF(ISNUMBER(100*[1]!s_dq_optionvolume($D25,$G$3,10000)/[1]!s_dq_optionvolume($D25,$H$3,10000)-100),100*[1]!s_dq_optionvolume($D25,$G$3,10000)/[1]!s_dq_optionvolume($D25,$H$3,10000)-100,"-")</f>
        <v>12.319219670249936</v>
      </c>
      <c r="I25" s="20">
        <f ca="1">IF(ISNUMBER(100*[1]!s_dq_optionvolume($D25,$G$3,10000)/[1]!s_dq_optionvolume($D25,$I$3,10000)-100),100*[1]!s_dq_optionvolume($D25,$G$3,10000)/[1]!s_dq_optionvolume($D25,$I$3,10000)-100,"-")</f>
        <v>-42.985026041666664</v>
      </c>
      <c r="J25" s="20">
        <f ca="1">IF(ISNUMBER(100*[1]!s_dq_optionvolume($D25,$G$3,10000)/[1]!s_dq_optionvolume($D25,J$3,10000)-100),100*[1]!s_dq_optionvolume($D25,$G$3,10000)/[1]!s_dq_optionvolume($D25,J$3,10000)-100,"-")</f>
        <v>-48.891158447621827</v>
      </c>
      <c r="K25" s="20">
        <f ca="1">IF(ISNUMBER(100*[1]!s_dq_optionvolume($D25,$G$3,10000)/[1]!s_dq_optionvolume($D25,K$3,10000)-100),100*[1]!s_dq_optionvolume($D25,$G$3,10000)/[1]!s_dq_optionvolume($D25,K$3,10000)-100,"-")</f>
        <v>-20.508073762660032</v>
      </c>
      <c r="L25" s="4"/>
      <c r="M25" s="3"/>
    </row>
    <row r="26" spans="1:13" ht="16.5" x14ac:dyDescent="0.35">
      <c r="A26" s="3"/>
      <c r="B26" s="4"/>
      <c r="C26" s="18" t="s">
        <v>6</v>
      </c>
      <c r="D26" s="9" t="s">
        <v>21</v>
      </c>
      <c r="E26" s="19">
        <f ca="1">[1]!s_dq_callvolume(D26,$G$3,10000)</f>
        <v>4.1734999999999998</v>
      </c>
      <c r="F26" s="19">
        <f ca="1">[1]!s_dq_putvolume(D26,$G$3,10000)</f>
        <v>3.6505999999999998</v>
      </c>
      <c r="G26" s="19">
        <f ca="1">[1]!s_dq_optionvolume(D26,$G$3,10000)</f>
        <v>7.8240999999999996</v>
      </c>
      <c r="H26" s="19">
        <f ca="1">IF(ISNUMBER(100*[1]!s_dq_optionvolume($D26,$G$3,10000)/[1]!s_dq_optionvolume($D26,$H$3,10000)-100),100*[1]!s_dq_optionvolume($D26,$G$3,10000)/[1]!s_dq_optionvolume($D26,$H$3,10000)-100,"-")</f>
        <v>26.529853159971523</v>
      </c>
      <c r="I26" s="19">
        <f ca="1">IF(ISNUMBER(100*[1]!s_dq_optionvolume($D26,$G$3,10000)/[1]!s_dq_optionvolume($D26,$I$3,10000)-100),100*[1]!s_dq_optionvolume($D26,$G$3,10000)/[1]!s_dq_optionvolume($D26,$I$3,10000)-100,"-")</f>
        <v>-22.874238511129079</v>
      </c>
      <c r="J26" s="19">
        <f ca="1">IF(ISNUMBER(100*[1]!s_dq_optionvolume($D26,$G$3,10000)/[1]!s_dq_optionvolume($D26,J$3,10000)-100),100*[1]!s_dq_optionvolume($D26,$G$3,10000)/[1]!s_dq_optionvolume($D26,J$3,10000)-100,"-")</f>
        <v>-26.744066289031423</v>
      </c>
      <c r="K26" s="19">
        <f ca="1">IF(ISNUMBER(100*[1]!s_dq_optionvolume($D26,$G$3,10000)/[1]!s_dq_optionvolume($D26,K$3,10000)-100),100*[1]!s_dq_optionvolume($D26,$G$3,10000)/[1]!s_dq_optionvolume($D26,K$3,10000)-100,"-")</f>
        <v>42.233089130869502</v>
      </c>
      <c r="L26" s="4"/>
      <c r="M26" s="3"/>
    </row>
    <row r="27" spans="1:13" ht="16.5" x14ac:dyDescent="0.35">
      <c r="A27" s="3"/>
      <c r="B27" s="4"/>
      <c r="C27" s="16" t="s">
        <v>7</v>
      </c>
      <c r="D27" s="10" t="s">
        <v>22</v>
      </c>
      <c r="E27" s="20">
        <f ca="1">[1]!s_dq_callvolume(D27,$G$3,10000)</f>
        <v>1.6079000000000001</v>
      </c>
      <c r="F27" s="20">
        <f ca="1">[1]!s_dq_putvolume(D27,$G$3,10000)</f>
        <v>0.97140000000000004</v>
      </c>
      <c r="G27" s="20">
        <f ca="1">[1]!s_dq_optionvolume(D27,$G$3,10000)</f>
        <v>2.5792999999999999</v>
      </c>
      <c r="H27" s="20">
        <f ca="1">IF(ISNUMBER(100*[1]!s_dq_optionvolume($D27,$G$3,10000)/[1]!s_dq_optionvolume($D27,$H$3,10000)-100),100*[1]!s_dq_optionvolume($D27,$G$3,10000)/[1]!s_dq_optionvolume($D27,$H$3,10000)-100,"-")</f>
        <v>4.4039668083383958</v>
      </c>
      <c r="I27" s="20">
        <f ca="1">IF(ISNUMBER(100*[1]!s_dq_optionvolume($D27,$G$3,10000)/[1]!s_dq_optionvolume($D27,$I$3,10000)-100),100*[1]!s_dq_optionvolume($D27,$G$3,10000)/[1]!s_dq_optionvolume($D27,$I$3,10000)-100,"-")</f>
        <v>-47.065221852809593</v>
      </c>
      <c r="J27" s="20">
        <f ca="1">IF(ISNUMBER(100*[1]!s_dq_optionvolume($D27,$G$3,10000)/[1]!s_dq_optionvolume($D27,J$3,10000)-100),100*[1]!s_dq_optionvolume($D27,$G$3,10000)/[1]!s_dq_optionvolume($D27,J$3,10000)-100,"-")</f>
        <v>-57.23263140441054</v>
      </c>
      <c r="K27" s="20">
        <f ca="1">IF(ISNUMBER(100*[1]!s_dq_optionvolume($D27,$G$3,10000)/[1]!s_dq_optionvolume($D27,K$3,10000)-100),100*[1]!s_dq_optionvolume($D27,$G$3,10000)/[1]!s_dq_optionvolume($D27,K$3,10000)-100,"-")</f>
        <v>10.543007757253676</v>
      </c>
      <c r="L27" s="4"/>
      <c r="M27" s="3"/>
    </row>
    <row r="28" spans="1:13" ht="16.5" x14ac:dyDescent="0.35">
      <c r="A28" s="3"/>
      <c r="B28" s="4"/>
      <c r="C28" s="22" t="s">
        <v>38</v>
      </c>
      <c r="D28" s="25"/>
      <c r="E28" s="31">
        <f ca="1">SUM(E25:E27)</f>
        <v>5.7813999999999997</v>
      </c>
      <c r="F28" s="31">
        <f t="shared" ref="F28" ca="1" si="3">SUM(F25:F27)</f>
        <v>7.4829999999999997</v>
      </c>
      <c r="G28" s="31">
        <f t="shared" ref="G28" ca="1" si="4">SUM(G25:G27)</f>
        <v>17.059100000000001</v>
      </c>
      <c r="H28" s="19">
        <f ca="1">100*([1]!s_dq_optionvolume($D25,$G$3,10000) +[1]!s_dq_optionvolume($D26,$G$3,10000)+[1]!s_dq_optionvolume($D27,$G$3,10000))/([1]!s_dq_optionvolume($D25,H$3,10000) +[1]!s_dq_optionvolume($D26,H$3,10000)+[1]!s_dq_optionvolume($D27,H$3,10000))-100</f>
        <v>17.005034362611283</v>
      </c>
      <c r="I28" s="19">
        <f ca="1">100*([1]!s_dq_optionvolume($D25,$G$3,10000) +[1]!s_dq_optionvolume($D26,$G$3,10000)+[1]!s_dq_optionvolume($D27,$G$3,10000))/([1]!s_dq_optionvolume($D25,I$3,10000) +[1]!s_dq_optionvolume($D26,I$3,10000)+[1]!s_dq_optionvolume($D27,I$3,10000))-100</f>
        <v>-36.086216973638862</v>
      </c>
      <c r="J28" s="19">
        <f ca="1">100*([1]!s_dq_optionvolume($D25,$G$3,10000) +[1]!s_dq_optionvolume($D26,$G$3,10000)+[1]!s_dq_optionvolume($D27,$G$3,10000))/([1]!s_dq_optionvolume($D25,J$3,10000) +[1]!s_dq_optionvolume($D26,J$3,10000)+[1]!s_dq_optionvolume($D27,J$3,10000))-100</f>
        <v>-42.627824618871927</v>
      </c>
      <c r="K28" s="19">
        <f ca="1">100*([1]!s_dq_optionvolume($D25,$G$3,10000) +[1]!s_dq_optionvolume($D26,$G$3,10000)+[1]!s_dq_optionvolume($D27,$G$3,10000))/([1]!s_dq_optionvolume($D25,K$3,10000) +[1]!s_dq_optionvolume($D26,K$3,10000)+[1]!s_dq_optionvolume($D27,K$3,10000))-100</f>
        <v>5.2576047386931606</v>
      </c>
      <c r="L28" s="4"/>
      <c r="M28" s="3"/>
    </row>
    <row r="29" spans="1:13" ht="16.5" x14ac:dyDescent="0.35">
      <c r="A29" s="3"/>
      <c r="B29" s="4"/>
      <c r="C29" s="16"/>
      <c r="D29" s="10"/>
      <c r="E29" s="20"/>
      <c r="F29" s="20"/>
      <c r="G29" s="20"/>
      <c r="H29" s="20"/>
      <c r="I29" s="20"/>
      <c r="J29" s="20"/>
      <c r="K29" s="20"/>
      <c r="L29" s="4"/>
      <c r="M29" s="3"/>
    </row>
    <row r="30" spans="1:13" ht="16.5" x14ac:dyDescent="0.35">
      <c r="A30" s="3"/>
      <c r="B30" s="4"/>
      <c r="C30" s="22" t="s">
        <v>35</v>
      </c>
      <c r="D30" s="23"/>
      <c r="E30" s="24">
        <f ca="1">E15+E22+E28</f>
        <v>257.03520000000003</v>
      </c>
      <c r="F30" s="24">
        <f t="shared" ref="F30:G30" ca="1" si="5">F15+F22+F28</f>
        <v>205.48969999999997</v>
      </c>
      <c r="G30" s="24">
        <f t="shared" ca="1" si="5"/>
        <v>466.31960000000004</v>
      </c>
      <c r="H30" s="19">
        <f ca="1">100*([1]!s_dq_optionvolume($D10,$G$3,10000)+[1]!s_dq_optionvolume($D11,$G$3,10000) +[1]!s_dq_optionvolume($D12,$G$3,10000)+[1]!s_dq_optionvolume($D18,$G$3,10000)+[1]!s_dq_optionvolume($D19,$G$3,10000)+[1]!s_dq_optionvolume($D20,$G$3,10000) +[1]!s_dq_optionvolume($D21,$G$3,10000)+[1]!s_dq_optionvolume($D25,$G$3,10000)+[1]!s_dq_optionvolume($D26,$G$3,10000)+[1]!s_dq_optionvolume($D27,$G$3,10000))/([1]!s_dq_optionvolume($D10,H$3,10000)+[1]!s_dq_optionvolume($D11,H$3,10000) +[1]!s_dq_optionvolume($D12,H$3,10000)+[1]!s_dq_optionvolume($D18,H$3,10000)+[1]!s_dq_optionvolume($D19,H$3,10000)+[1]!s_dq_optionvolume($D20,H$3,10000) +[1]!s_dq_optionvolume($D21,H$3,10000)+[1]!s_dq_optionvolume($D25,H$3,10000)+[1]!s_dq_optionvolume($D26,H$3,10000)+[1]!s_dq_optionvolume($D27,H$3,10000))-100</f>
        <v>-9.0347116236782199</v>
      </c>
      <c r="I30" s="19">
        <f ca="1">100*([1]!s_dq_optionvolume($D10,$G$3,10000)+[1]!s_dq_optionvolume($D11,$G$3,10000) +[1]!s_dq_optionvolume($D12,$G$3,10000)+[1]!s_dq_optionvolume($D18,$G$3,10000)+[1]!s_dq_optionvolume($D19,$G$3,10000)+[1]!s_dq_optionvolume($D20,$G$3,10000) +[1]!s_dq_optionvolume($D21,$G$3,10000)+[1]!s_dq_optionvolume($D25,$G$3,10000)+[1]!s_dq_optionvolume($D26,$G$3,10000)+[1]!s_dq_optionvolume($D27,$G$3,10000))/([1]!s_dq_optionvolume($D10,I$3,10000)+[1]!s_dq_optionvolume($D11,I$3,10000) +[1]!s_dq_optionvolume($D12,I$3,10000)+[1]!s_dq_optionvolume($D18,I$3,10000)+[1]!s_dq_optionvolume($D19,I$3,10000)+[1]!s_dq_optionvolume($D20,I$3,10000) +[1]!s_dq_optionvolume($D21,I$3,10000)+[1]!s_dq_optionvolume($D25,I$3,10000)+[1]!s_dq_optionvolume($D26,I$3,10000)+[1]!s_dq_optionvolume($D27,I$3,10000))-100</f>
        <v>-14.779495661310577</v>
      </c>
      <c r="J30" s="19">
        <f ca="1">100*([1]!s_dq_optionvolume($D10,$G$3,10000)+[1]!s_dq_optionvolume($D11,$G$3,10000) +[1]!s_dq_optionvolume($D12,$G$3,10000)+[1]!s_dq_optionvolume($D18,$G$3,10000)+[1]!s_dq_optionvolume($D19,$G$3,10000)+[1]!s_dq_optionvolume($D20,$G$3,10000) +[1]!s_dq_optionvolume($D21,$G$3,10000)+[1]!s_dq_optionvolume($D25,$G$3,10000)+[1]!s_dq_optionvolume($D26,$G$3,10000)+[1]!s_dq_optionvolume($D27,$G$3,10000))/([1]!s_dq_optionvolume($D10,J$3,10000)+[1]!s_dq_optionvolume($D11,J$3,10000) +[1]!s_dq_optionvolume($D12,J$3,10000)+[1]!s_dq_optionvolume($D18,J$3,10000)+[1]!s_dq_optionvolume($D19,J$3,10000)+[1]!s_dq_optionvolume($D20,J$3,10000) +[1]!s_dq_optionvolume($D21,J$3,10000)+[1]!s_dq_optionvolume($D25,J$3,10000)+[1]!s_dq_optionvolume($D26,J$3,10000)+[1]!s_dq_optionvolume($D27,J$3,10000))-100</f>
        <v>-47.987289324346278</v>
      </c>
      <c r="K30" s="19">
        <f ca="1">100*([1]!s_dq_optionvolume($D10,$G$3,10000)+[1]!s_dq_optionvolume($D11,$G$3,10000) +[1]!s_dq_optionvolume($D12,$G$3,10000)+[1]!s_dq_optionvolume($D18,$G$3,10000)+[1]!s_dq_optionvolume($D19,$G$3,10000)+[1]!s_dq_optionvolume($D20,$G$3,10000) +[1]!s_dq_optionvolume($D21,$G$3,10000)+[1]!s_dq_optionvolume($D25,$G$3,10000)+[1]!s_dq_optionvolume($D26,$G$3,10000)+[1]!s_dq_optionvolume($D27,$G$3,10000))/([1]!s_dq_optionvolume($D10,K$3,10000)+[1]!s_dq_optionvolume($D11,K$3,10000) +[1]!s_dq_optionvolume($D12,K$3,10000)+[1]!s_dq_optionvolume($D18,K$3,10000)+[1]!s_dq_optionvolume($D19,K$3,10000)+[1]!s_dq_optionvolume($D20,K$3,10000) +[1]!s_dq_optionvolume($D21,K$3,10000)+[1]!s_dq_optionvolume($D25,K$3,10000)+[1]!s_dq_optionvolume($D26,K$3,10000)+[1]!s_dq_optionvolume($D27,K$3,10000))-100</f>
        <v>-6.1529662471610607</v>
      </c>
      <c r="L30" s="4"/>
      <c r="M30" s="3"/>
    </row>
    <row r="31" spans="1:13" ht="16.5" x14ac:dyDescent="0.35">
      <c r="A31" s="3"/>
      <c r="B31" s="4"/>
      <c r="C31" s="7"/>
      <c r="D31" s="7"/>
      <c r="E31" s="7"/>
      <c r="F31" s="7"/>
      <c r="G31" s="7"/>
      <c r="H31" s="7"/>
      <c r="I31" s="7"/>
      <c r="J31" s="7"/>
      <c r="K31" s="4"/>
      <c r="L31" s="4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3"/>
    </row>
    <row r="35" spans="1:13" ht="17.25" x14ac:dyDescent="0.2">
      <c r="A35" s="3"/>
      <c r="B35" s="4"/>
      <c r="C35" s="5" t="s">
        <v>26</v>
      </c>
      <c r="D35" s="6"/>
      <c r="E35" s="6"/>
      <c r="F35" s="6"/>
      <c r="G35" s="6"/>
      <c r="H35" s="6"/>
      <c r="I35" s="6"/>
      <c r="J35" s="6"/>
      <c r="K35" s="6"/>
      <c r="L35" s="4"/>
      <c r="M35" s="3"/>
    </row>
    <row r="36" spans="1:13" x14ac:dyDescent="0.2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3"/>
    </row>
    <row r="37" spans="1:13" ht="16.5" x14ac:dyDescent="0.35">
      <c r="A37" s="3"/>
      <c r="B37" s="4"/>
      <c r="C37" s="8" t="s">
        <v>0</v>
      </c>
      <c r="D37" s="8" t="s">
        <v>42</v>
      </c>
      <c r="E37" s="8" t="s">
        <v>63</v>
      </c>
      <c r="F37" s="8" t="s">
        <v>64</v>
      </c>
      <c r="G37" s="8" t="s">
        <v>43</v>
      </c>
      <c r="H37" s="8" t="s">
        <v>44</v>
      </c>
      <c r="I37" s="8" t="s">
        <v>45</v>
      </c>
      <c r="J37" s="8" t="s">
        <v>32</v>
      </c>
      <c r="K37" s="8" t="s">
        <v>46</v>
      </c>
      <c r="L37" s="4"/>
      <c r="M37" s="3"/>
    </row>
    <row r="38" spans="1:13" ht="17.25" x14ac:dyDescent="0.35">
      <c r="A38" s="3"/>
      <c r="B38" s="4"/>
      <c r="C38" s="14" t="s">
        <v>52</v>
      </c>
      <c r="D38" s="16"/>
      <c r="E38" s="16"/>
      <c r="F38" s="16"/>
      <c r="G38" s="7"/>
      <c r="H38" s="7"/>
      <c r="I38" s="7"/>
      <c r="J38" s="7"/>
      <c r="K38" s="17"/>
      <c r="L38" s="4"/>
      <c r="M38" s="3"/>
    </row>
    <row r="39" spans="1:13" ht="16.5" x14ac:dyDescent="0.35">
      <c r="A39" s="3"/>
      <c r="B39" s="4"/>
      <c r="C39" s="18" t="s">
        <v>1</v>
      </c>
      <c r="D39" s="9" t="s">
        <v>13</v>
      </c>
      <c r="E39" s="19">
        <f ca="1">[1]!s_dq_calloi(D39,$G$3,10000)</f>
        <v>101.8211</v>
      </c>
      <c r="F39" s="19">
        <f ca="1">[1]!s_dq_putoi(D39,$G$3,10000)</f>
        <v>70.948499999999996</v>
      </c>
      <c r="G39" s="19">
        <f ca="1">[1]!s_dq_optionoi(D39,$G$3,10000)</f>
        <v>172.7696</v>
      </c>
      <c r="H39" s="19">
        <f ca="1">IF(ISNUMBER(100*[1]!s_dq_optionoi($D39,$G$3,10000)/[1]!s_dq_optionoi($D39,H$3,10000)-100),100*[1]!s_dq_optionoi($D39,$G$3,10000)/[1]!s_dq_optionoi($D39,H$3,10000)-100,"-")</f>
        <v>8.0174558913633263</v>
      </c>
      <c r="I39" s="19">
        <f ca="1">IF(ISNUMBER(100*[1]!s_dq_optionoi($D39,$G$3,10000)/[1]!s_dq_optionoi($D39,I$3,10000)-100),100*[1]!s_dq_optionoi($D39,$G$3,10000)/[1]!s_dq_optionoi($D39,I$3,10000)-100,"-")</f>
        <v>-30.47523388254686</v>
      </c>
      <c r="J39" s="19">
        <f ca="1">IF(ISNUMBER(100*[1]!s_dq_optionoi($D39,$G$3,10000)/[1]!s_dq_optionoi($D39,J$3,10000)-100),100*[1]!s_dq_optionoi($D39,$G$3,10000)/[1]!s_dq_optionoi($D39,J$3,10000)-100,"-")</f>
        <v>-34.894090071485905</v>
      </c>
      <c r="K39" s="19">
        <f ca="1">IF(ISNUMBER(100*[1]!s_dq_optionoi($D39,$G$3,10000)/[1]!s_dq_optionoi($D39,K$3,10000)-100),100*[1]!s_dq_optionoi($D39,$G$3,10000)/[1]!s_dq_optionoi($D39,K$3,10000)-100,"-")</f>
        <v>-0.39129815628056974</v>
      </c>
      <c r="L39" s="4"/>
      <c r="M39" s="3"/>
    </row>
    <row r="40" spans="1:13" ht="16.5" x14ac:dyDescent="0.35">
      <c r="A40" s="3"/>
      <c r="B40" s="4"/>
      <c r="C40" s="16" t="s">
        <v>53</v>
      </c>
      <c r="D40" s="10" t="s">
        <v>14</v>
      </c>
      <c r="E40" s="20">
        <f ca="1">[1]!s_dq_calloi(D40,$G$3,10000)</f>
        <v>80.688999999999993</v>
      </c>
      <c r="F40" s="20">
        <f ca="1">[1]!s_dq_putoi(D40,$G$3,10000)</f>
        <v>59.353299999999997</v>
      </c>
      <c r="G40" s="20">
        <f ca="1">[1]!s_dq_optionoi(D40,$G$3,10000)</f>
        <v>140.04230000000001</v>
      </c>
      <c r="H40" s="20">
        <f ca="1">IF(ISNUMBER(100*[1]!s_dq_optionoi($D40,$G$3,10000)/[1]!s_dq_optionoi($D40,H$3,10000)-100),100*[1]!s_dq_optionoi($D40,$G$3,10000)/[1]!s_dq_optionoi($D40,H$3,10000)-100,"-")</f>
        <v>5.6383266813862036</v>
      </c>
      <c r="I40" s="20">
        <f ca="1">IF(ISNUMBER(100*[1]!s_dq_optionoi($D40,$G$3,10000)/[1]!s_dq_optionoi($D40,I$3,10000)-100),100*[1]!s_dq_optionoi($D40,$G$3,10000)/[1]!s_dq_optionoi($D40,I$3,10000)-100,"-")</f>
        <v>-21.786537273654375</v>
      </c>
      <c r="J40" s="20">
        <f ca="1">IF(ISNUMBER(100*[1]!s_dq_optionoi($D40,$G$3,10000)/[1]!s_dq_optionoi($D40,J$3,10000)-100),100*[1]!s_dq_optionoi($D40,$G$3,10000)/[1]!s_dq_optionoi($D40,J$3,10000)-100,"-")</f>
        <v>-28.615113121064823</v>
      </c>
      <c r="K40" s="20">
        <f ca="1">IF(ISNUMBER(100*[1]!s_dq_optionoi($D40,$G$3,10000)/[1]!s_dq_optionoi($D40,K$3,10000)-100),100*[1]!s_dq_optionoi($D40,$G$3,10000)/[1]!s_dq_optionoi($D40,K$3,10000)-100,"-")</f>
        <v>13.264435438148396</v>
      </c>
      <c r="L40" s="4"/>
      <c r="M40" s="3"/>
    </row>
    <row r="41" spans="1:13" ht="16.5" x14ac:dyDescent="0.35">
      <c r="A41" s="3"/>
      <c r="B41" s="4"/>
      <c r="C41" s="18" t="s">
        <v>54</v>
      </c>
      <c r="D41" s="9" t="s">
        <v>15</v>
      </c>
      <c r="E41" s="19">
        <f ca="1">[1]!s_dq_calloi(D41,$G$3,10000)</f>
        <v>36.3566</v>
      </c>
      <c r="F41" s="19">
        <f ca="1">[1]!s_dq_putoi(D41,$G$3,10000)</f>
        <v>30.5929</v>
      </c>
      <c r="G41" s="19">
        <f ca="1">[1]!s_dq_optionoi(D41,$G$3,10000)</f>
        <v>66.9495</v>
      </c>
      <c r="H41" s="19">
        <f ca="1">IF(ISNUMBER(100*[1]!s_dq_optionoi($D41,$G$3,10000)/[1]!s_dq_optionoi($D41,H$3,10000)-100),100*[1]!s_dq_optionoi($D41,$G$3,10000)/[1]!s_dq_optionoi($D41,H$3,10000)-100,"-")</f>
        <v>5.9449904814954806</v>
      </c>
      <c r="I41" s="19">
        <f ca="1">IF(ISNUMBER(100*[1]!s_dq_optionoi($D41,$G$3,10000)/[1]!s_dq_optionoi($D41,I$3,10000)-100),100*[1]!s_dq_optionoi($D41,$G$3,10000)/[1]!s_dq_optionoi($D41,I$3,10000)-100,"-")</f>
        <v>-22.242792451164746</v>
      </c>
      <c r="J41" s="19">
        <f ca="1">IF(ISNUMBER(100*[1]!s_dq_optionoi($D41,$G$3,10000)/[1]!s_dq_optionoi($D41,J$3,10000)-100),100*[1]!s_dq_optionoi($D41,$G$3,10000)/[1]!s_dq_optionoi($D41,J$3,10000)-100,"-")</f>
        <v>-15.575465630950433</v>
      </c>
      <c r="K41" s="19">
        <f ca="1">IF(ISNUMBER(100*[1]!s_dq_optionoi($D41,$G$3,10000)/[1]!s_dq_optionoi($D41,K$3,10000)-100),100*[1]!s_dq_optionoi($D41,$G$3,10000)/[1]!s_dq_optionoi($D41,K$3,10000)-100,"-")</f>
        <v>25.953358342332294</v>
      </c>
      <c r="L41" s="4"/>
      <c r="M41" s="3"/>
    </row>
    <row r="42" spans="1:13" ht="16.5" x14ac:dyDescent="0.35">
      <c r="A42" s="3"/>
      <c r="B42" s="4"/>
      <c r="C42" s="16" t="s">
        <v>68</v>
      </c>
      <c r="D42" s="10" t="s">
        <v>66</v>
      </c>
      <c r="E42" s="20">
        <f ca="1">[1]!s_dq_calloi(D42,$G$3,10000)</f>
        <v>67.025199999999998</v>
      </c>
      <c r="F42" s="20">
        <f ca="1">[1]!s_dq_putoi(D42,$G$3,10000)</f>
        <v>27.800999999999998</v>
      </c>
      <c r="G42" s="20">
        <f ca="1">[1]!s_dq_optionoi(D42,$G$3,10000)</f>
        <v>94.8262</v>
      </c>
      <c r="H42" s="20">
        <f ca="1">IF(ISNUMBER(100*[1]!s_dq_optionoi($D42,$G$3,10000)/[1]!s_dq_optionoi($D42,H$3,10000)-100),100*[1]!s_dq_optionoi($D42,$G$3,10000)/[1]!s_dq_optionoi($D42,H$3,10000)-100,"-")</f>
        <v>6.4506061966771568</v>
      </c>
      <c r="I42" s="20">
        <f ca="1">IF(ISNUMBER(100*[1]!s_dq_optionoi($D42,$G$3,10000)/[1]!s_dq_optionoi($D42,I$3,10000)-100),100*[1]!s_dq_optionoi($D42,$G$3,10000)/[1]!s_dq_optionoi($D42,I$3,10000)-100,"-")</f>
        <v>-18.579309575020702</v>
      </c>
      <c r="J42" s="20">
        <f ca="1">IF(ISNUMBER(100*[1]!s_dq_optionoi($D42,$G$3,10000)/[1]!s_dq_optionoi($D42,J$3,10000)-100),100*[1]!s_dq_optionoi($D42,$G$3,10000)/[1]!s_dq_optionoi($D42,J$3,10000)-100,"-")</f>
        <v>-20.207235574374408</v>
      </c>
      <c r="K42" s="20" t="str">
        <f ca="1">IF(ISNUMBER(100*[1]!s_dq_optionoi($D42,$G$3,10000)/[1]!s_dq_optionoi($D42,K$3,10000)-100),100*[1]!s_dq_optionoi($D42,$G$3,10000)/[1]!s_dq_optionoi($D42,K$3,10000)-100,"-")</f>
        <v>-</v>
      </c>
      <c r="L42" s="4"/>
      <c r="M42" s="3"/>
    </row>
    <row r="43" spans="1:13" ht="16.5" x14ac:dyDescent="0.35">
      <c r="A43" s="3"/>
      <c r="B43" s="4"/>
      <c r="C43" s="18" t="s">
        <v>65</v>
      </c>
      <c r="D43" s="9" t="s">
        <v>67</v>
      </c>
      <c r="E43" s="19">
        <f ca="1">[1]!s_dq_calloi(D43,$G$3,10000)</f>
        <v>29.576499999999999</v>
      </c>
      <c r="F43" s="19">
        <f ca="1">[1]!s_dq_putoi(D43,$G$3,10000)</f>
        <v>12.694599999999999</v>
      </c>
      <c r="G43" s="19">
        <f ca="1">[1]!s_dq_optionoi(D43,$G$3,10000)</f>
        <v>42.271099999999997</v>
      </c>
      <c r="H43" s="19">
        <f ca="1">IF(ISNUMBER(100*[1]!s_dq_optionoi($D43,$G$3,10000)/[1]!s_dq_optionoi($D43,H$3,10000)-100),100*[1]!s_dq_optionoi($D43,$G$3,10000)/[1]!s_dq_optionoi($D43,H$3,10000)-100,"-")</f>
        <v>5.5323791477240007</v>
      </c>
      <c r="I43" s="19">
        <f ca="1">IF(ISNUMBER(100*[1]!s_dq_optionoi($D43,$G$3,10000)/[1]!s_dq_optionoi($D43,I$3,10000)-100),100*[1]!s_dq_optionoi($D43,$G$3,10000)/[1]!s_dq_optionoi($D43,I$3,10000)-100,"-")</f>
        <v>-17.468756284374919</v>
      </c>
      <c r="J43" s="19">
        <f ca="1">IF(ISNUMBER(100*[1]!s_dq_optionoi($D43,$G$3,10000)/[1]!s_dq_optionoi($D43,J$3,10000)-100),100*[1]!s_dq_optionoi($D43,$G$3,10000)/[1]!s_dq_optionoi($D43,J$3,10000)-100,"-")</f>
        <v>-12.563657048298694</v>
      </c>
      <c r="K43" s="19" t="str">
        <f ca="1">IF(ISNUMBER(100*[1]!s_dq_optionoi($D43,$G$3,10000)/[1]!s_dq_optionoi($D43,K$3,10000)-100),100*[1]!s_dq_optionoi($D43,$G$3,10000)/[1]!s_dq_optionoi($D43,K$3,10000)-100,"-")</f>
        <v>-</v>
      </c>
      <c r="L43" s="4"/>
      <c r="M43" s="3"/>
    </row>
    <row r="44" spans="1:13" ht="16.5" x14ac:dyDescent="0.35">
      <c r="A44" s="3"/>
      <c r="B44" s="4"/>
      <c r="C44" s="26" t="s">
        <v>55</v>
      </c>
      <c r="D44" s="27"/>
      <c r="E44" s="28">
        <f ca="1">SUM(E39:E43)</f>
        <v>315.46839999999997</v>
      </c>
      <c r="F44" s="28">
        <f ca="1">SUM(F39:F43)</f>
        <v>201.3903</v>
      </c>
      <c r="G44" s="28">
        <f ca="1">SUM(G39:G43)</f>
        <v>516.85870000000011</v>
      </c>
      <c r="H44" s="20">
        <f ca="1">100*([1]!s_dq_optionoi($D39,$G$3,10000) +[1]!s_dq_optionoi($D40,$G$3,10000)+[1]!s_dq_optionoi($D41,$G$3,10000))/([1]!s_dq_optionoi($D39,H$3,10000) +[1]!s_dq_optionoi($D40,H$3,10000)+[1]!s_dq_optionoi($D41,H$3,10000))-100</f>
        <v>6.76259971707006</v>
      </c>
      <c r="I44" s="20">
        <f ca="1">100*([1]!s_dq_optionoi($D39,$G$3,10000) +[1]!s_dq_optionoi($D40,$G$3,10000)+[1]!s_dq_optionoi($D41,$G$3,10000))/([1]!s_dq_optionoi($D39,I$3,10000) +[1]!s_dq_optionoi($D40,I$3,10000)+[1]!s_dq_optionoi($D41,I$3,10000))-100</f>
        <v>-26.0665324774765</v>
      </c>
      <c r="J44" s="20">
        <f ca="1">100*([1]!s_dq_optionoi($D39,$G$3,10000) +[1]!s_dq_optionoi($D40,$G$3,10000)+[1]!s_dq_optionoi($D41,$G$3,10000))/([1]!s_dq_optionoi($D39,J$3,10000) +[1]!s_dq_optionoi($D40,J$3,10000)+[1]!s_dq_optionoi($D41,J$3,10000))-100</f>
        <v>-29.783975954761331</v>
      </c>
      <c r="K44" s="20">
        <f ca="1">100*([1]!s_dq_optionoi($D39,$G$3,10000) +[1]!s_dq_optionoi($D40,$G$3,10000)+[1]!s_dq_optionoi($D41,$G$3,10000))/([1]!s_dq_optionoi($D39,K$3,10000) +[1]!s_dq_optionoi($D40,K$3,10000)+[1]!s_dq_optionoi($D41,K$3,10000))-100</f>
        <v>8.4275437380298115</v>
      </c>
      <c r="L44" s="4"/>
      <c r="M44" s="3"/>
    </row>
    <row r="45" spans="1:13" ht="16.5" x14ac:dyDescent="0.35">
      <c r="A45" s="3"/>
      <c r="B45" s="4"/>
      <c r="C45" s="18"/>
      <c r="D45" s="9"/>
      <c r="E45" s="19"/>
      <c r="F45" s="19"/>
      <c r="G45" s="19"/>
      <c r="H45" s="19"/>
      <c r="I45" s="19"/>
      <c r="J45" s="19"/>
      <c r="K45" s="19"/>
      <c r="L45" s="4"/>
      <c r="M45" s="3"/>
    </row>
    <row r="46" spans="1:13" ht="16.5" x14ac:dyDescent="0.35">
      <c r="A46" s="3"/>
      <c r="B46" s="4"/>
      <c r="C46" s="14" t="s">
        <v>11</v>
      </c>
      <c r="D46" s="10"/>
      <c r="E46" s="20"/>
      <c r="F46" s="20"/>
      <c r="G46" s="20"/>
      <c r="H46" s="20"/>
      <c r="I46" s="20"/>
      <c r="J46" s="20"/>
      <c r="K46" s="20"/>
      <c r="L46" s="4"/>
      <c r="M46" s="3"/>
    </row>
    <row r="47" spans="1:13" ht="16.5" x14ac:dyDescent="0.35">
      <c r="A47" s="3"/>
      <c r="B47" s="4"/>
      <c r="C47" s="18" t="s">
        <v>56</v>
      </c>
      <c r="D47" s="9" t="s">
        <v>16</v>
      </c>
      <c r="E47" s="19">
        <f ca="1">[1]!s_dq_calloi(D47,$G$3,10000)</f>
        <v>14.006600000000001</v>
      </c>
      <c r="F47" s="19">
        <f ca="1">[1]!s_dq_putoi(D47,$G$3,10000)</f>
        <v>10.099399999999999</v>
      </c>
      <c r="G47" s="19">
        <f ca="1">[1]!s_dq_optionoi(D47,$G$3,10000)</f>
        <v>24.106000000000002</v>
      </c>
      <c r="H47" s="19">
        <f ca="1">IF(ISNUMBER(100*[1]!s_dq_optionoi($D47,$G$3,10000)/[1]!s_dq_optionoi($D47,H$3,10000)-100),100*[1]!s_dq_optionoi($D47,$G$3,10000)/[1]!s_dq_optionoi($D47,H$3,10000)-100,"-")</f>
        <v>1.7053557113805908</v>
      </c>
      <c r="I47" s="19">
        <f ca="1">IF(ISNUMBER(100*[1]!s_dq_optionoi($D47,$G$3,10000)/[1]!s_dq_optionoi($D47,I$3,10000)-100),100*[1]!s_dq_optionoi($D47,$G$3,10000)/[1]!s_dq_optionoi($D47,I$3,10000)-100,"-")</f>
        <v>-19.087018544935802</v>
      </c>
      <c r="J47" s="19">
        <f ca="1">IF(ISNUMBER(100*[1]!s_dq_optionoi($D47,$G$3,10000)/[1]!s_dq_optionoi($D47,J$3,10000)-100),100*[1]!s_dq_optionoi($D47,$G$3,10000)/[1]!s_dq_optionoi($D47,J$3,10000)-100,"-")</f>
        <v>-28.552798491979743</v>
      </c>
      <c r="K47" s="19">
        <f ca="1">IF(ISNUMBER(100*[1]!s_dq_optionoi($D47,$G$3,10000)/[1]!s_dq_optionoi($D47,K$3,10000)-100),100*[1]!s_dq_optionoi($D47,$G$3,10000)/[1]!s_dq_optionoi($D47,K$3,10000)-100,"-")</f>
        <v>55.936062721150961</v>
      </c>
      <c r="L47" s="4"/>
      <c r="M47" s="3"/>
    </row>
    <row r="48" spans="1:13" ht="16.5" x14ac:dyDescent="0.35">
      <c r="A48" s="3"/>
      <c r="B48" s="4"/>
      <c r="C48" s="16" t="s">
        <v>2</v>
      </c>
      <c r="D48" s="11" t="s">
        <v>17</v>
      </c>
      <c r="E48" s="21">
        <f ca="1">[1]!s_dq_calloi(D48,$G$3,10000)</f>
        <v>10.1371</v>
      </c>
      <c r="F48" s="21">
        <f ca="1">[1]!s_dq_putoi(D48,$G$3,10000)</f>
        <v>8.8024000000000004</v>
      </c>
      <c r="G48" s="21">
        <f ca="1">[1]!s_dq_optionoi(D48,$G$3,10000)</f>
        <v>18.939499999999999</v>
      </c>
      <c r="H48" s="20">
        <f ca="1">IF(ISNUMBER(100*[1]!s_dq_optionoi($D48,$G$3,10000)/[1]!s_dq_optionoi($D48,H$3,10000)-100),100*[1]!s_dq_optionoi($D48,$G$3,10000)/[1]!s_dq_optionoi($D48,H$3,10000)-100,"-")</f>
        <v>6.5189759510472101</v>
      </c>
      <c r="I48" s="20">
        <f ca="1">IF(ISNUMBER(100*[1]!s_dq_optionoi($D48,$G$3,10000)/[1]!s_dq_optionoi($D48,I$3,10000)-100),100*[1]!s_dq_optionoi($D48,$G$3,10000)/[1]!s_dq_optionoi($D48,I$3,10000)-100,"-")</f>
        <v>-20.01528787232516</v>
      </c>
      <c r="J48" s="20">
        <f ca="1">IF(ISNUMBER(100*[1]!s_dq_optionoi($D48,$G$3,10000)/[1]!s_dq_optionoi($D48,J$3,10000)-100),100*[1]!s_dq_optionoi($D48,$G$3,10000)/[1]!s_dq_optionoi($D48,J$3,10000)-100,"-")</f>
        <v>-11.349360144540881</v>
      </c>
      <c r="K48" s="20">
        <f ca="1">IF(ISNUMBER(100*[1]!s_dq_optionoi($D48,$G$3,10000)/[1]!s_dq_optionoi($D48,K$3,10000)-100),100*[1]!s_dq_optionoi($D48,$G$3,10000)/[1]!s_dq_optionoi($D48,K$3,10000)-100,"-")</f>
        <v>41.892296857909173</v>
      </c>
      <c r="L48" s="4"/>
      <c r="M48" s="3"/>
    </row>
    <row r="49" spans="1:13" ht="16.5" x14ac:dyDescent="0.35">
      <c r="A49" s="3"/>
      <c r="B49" s="4"/>
      <c r="C49" s="18" t="s">
        <v>3</v>
      </c>
      <c r="D49" s="9" t="s">
        <v>18</v>
      </c>
      <c r="E49" s="19">
        <f ca="1">[1]!s_dq_calloi(D49,$G$3,10000)</f>
        <v>50.030299999999997</v>
      </c>
      <c r="F49" s="19">
        <f ca="1">[1]!s_dq_putoi(D49,$G$3,10000)</f>
        <v>31.5459</v>
      </c>
      <c r="G49" s="19">
        <f ca="1">[1]!s_dq_optionoi(D49,$G$3,10000)</f>
        <v>81.5762</v>
      </c>
      <c r="H49" s="19">
        <f ca="1">IF(ISNUMBER(100*[1]!s_dq_optionoi($D49,$G$3,10000)/[1]!s_dq_optionoi($D49,H$3,10000)-100),100*[1]!s_dq_optionoi($D49,$G$3,10000)/[1]!s_dq_optionoi($D49,H$3,10000)-100,"-")</f>
        <v>11.296173760002191</v>
      </c>
      <c r="I49" s="19">
        <f ca="1">IF(ISNUMBER(100*[1]!s_dq_optionoi($D49,$G$3,10000)/[1]!s_dq_optionoi($D49,I$3,10000)-100),100*[1]!s_dq_optionoi($D49,$G$3,10000)/[1]!s_dq_optionoi($D49,I$3,10000)-100,"-")</f>
        <v>-27.408649255677091</v>
      </c>
      <c r="J49" s="19">
        <f ca="1">IF(ISNUMBER(100*[1]!s_dq_optionoi($D49,$G$3,10000)/[1]!s_dq_optionoi($D49,J$3,10000)-100),100*[1]!s_dq_optionoi($D49,$G$3,10000)/[1]!s_dq_optionoi($D49,J$3,10000)-100,"-")</f>
        <v>-27.509343892568779</v>
      </c>
      <c r="K49" s="19">
        <f ca="1">IF(ISNUMBER(100*[1]!s_dq_optionoi($D49,$G$3,10000)/[1]!s_dq_optionoi($D49,K$3,10000)-100),100*[1]!s_dq_optionoi($D49,$G$3,10000)/[1]!s_dq_optionoi($D49,K$3,10000)-100,"-")</f>
        <v>64.854689524025076</v>
      </c>
      <c r="L49" s="4"/>
      <c r="M49" s="3"/>
    </row>
    <row r="50" spans="1:13" ht="16.5" x14ac:dyDescent="0.35">
      <c r="A50" s="3"/>
      <c r="B50" s="4"/>
      <c r="C50" s="16" t="s">
        <v>4</v>
      </c>
      <c r="D50" s="10" t="s">
        <v>19</v>
      </c>
      <c r="E50" s="20">
        <f ca="1">[1]!s_dq_calloi(D50,$G$3,10000)</f>
        <v>5.9196999999999997</v>
      </c>
      <c r="F50" s="20">
        <f ca="1">[1]!s_dq_putoi(D50,$G$3,10000)</f>
        <v>3.7700999999999998</v>
      </c>
      <c r="G50" s="20">
        <f ca="1">[1]!s_dq_optionoi(D50,$G$3,10000)</f>
        <v>9.6898</v>
      </c>
      <c r="H50" s="20">
        <f ca="1">IF(ISNUMBER(100*[1]!s_dq_optionoi($D50,$G$3,10000)/[1]!s_dq_optionoi($D50,H$3,10000)-100),100*[1]!s_dq_optionoi($D50,$G$3,10000)/[1]!s_dq_optionoi($D50,H$3,10000)-100,"-")</f>
        <v>4.9656606798535421</v>
      </c>
      <c r="I50" s="20">
        <f ca="1">IF(ISNUMBER(100*[1]!s_dq_optionoi($D50,$G$3,10000)/[1]!s_dq_optionoi($D50,I$3,10000)-100),100*[1]!s_dq_optionoi($D50,$G$3,10000)/[1]!s_dq_optionoi($D50,I$3,10000)-100,"-")</f>
        <v>-43.892623667494682</v>
      </c>
      <c r="J50" s="20">
        <f ca="1">IF(ISNUMBER(100*[1]!s_dq_optionoi($D50,$G$3,10000)/[1]!s_dq_optionoi($D50,J$3,10000)-100),100*[1]!s_dq_optionoi($D50,$G$3,10000)/[1]!s_dq_optionoi($D50,J$3,10000)-100,"-")</f>
        <v>-40.045415452391111</v>
      </c>
      <c r="K50" s="20">
        <f ca="1">IF(ISNUMBER(100*[1]!s_dq_optionoi($D50,$G$3,10000)/[1]!s_dq_optionoi($D50,K$3,10000)-100),100*[1]!s_dq_optionoi($D50,$G$3,10000)/[1]!s_dq_optionoi($D50,K$3,10000)-100,"-")</f>
        <v>4.2283821140835016</v>
      </c>
      <c r="L50" s="4"/>
      <c r="M50" s="3"/>
    </row>
    <row r="51" spans="1:13" ht="16.5" x14ac:dyDescent="0.35">
      <c r="A51" s="3"/>
      <c r="B51" s="4"/>
      <c r="C51" s="29" t="s">
        <v>55</v>
      </c>
      <c r="D51" s="30"/>
      <c r="E51" s="31">
        <f ca="1">SUM(E48:E50)</f>
        <v>66.087100000000007</v>
      </c>
      <c r="F51" s="31">
        <f t="shared" ref="F51" ca="1" si="6">SUM(F48:F50)</f>
        <v>44.118400000000001</v>
      </c>
      <c r="G51" s="31">
        <f t="shared" ref="G51" ca="1" si="7">SUM(G48:G50)</f>
        <v>110.2055</v>
      </c>
      <c r="H51" s="19">
        <f ca="1">100*([1]!s_dq_optionoi($D47,$G$3,10000)+[1]!s_dq_optionoi($D48,$G$3,10000) +[1]!s_dq_optionoi($D49,$G$3,10000)+[1]!s_dq_optionoi($D50,$G$3,10000))/([1]!s_dq_optionoi($D47,H$3,10000)+[1]!s_dq_optionoi($D48,H$3,10000) +[1]!s_dq_optionoi($D49,H$3,10000)+[1]!s_dq_optionoi($D50,H$3,10000))-100</f>
        <v>8.3069040344294507</v>
      </c>
      <c r="I51" s="19">
        <f ca="1">100*([1]!s_dq_optionoi($D47,$G$3,10000)+[1]!s_dq_optionoi($D48,$G$3,10000) +[1]!s_dq_optionoi($D49,$G$3,10000)+[1]!s_dq_optionoi($D50,$G$3,10000))/([1]!s_dq_optionoi($D47,I$3,10000)+[1]!s_dq_optionoi($D48,I$3,10000) +[1]!s_dq_optionoi($D49,I$3,10000)+[1]!s_dq_optionoi($D50,I$3,10000))-100</f>
        <v>-26.65335290532704</v>
      </c>
      <c r="J51" s="19">
        <f ca="1">100*([1]!s_dq_optionoi($D47,$G$3,10000)+[1]!s_dq_optionoi($D48,$G$3,10000) +[1]!s_dq_optionoi($D49,$G$3,10000)+[1]!s_dq_optionoi($D50,$G$3,10000))/([1]!s_dq_optionoi($D47,J$3,10000)+[1]!s_dq_optionoi($D48,J$3,10000) +[1]!s_dq_optionoi($D49,J$3,10000)+[1]!s_dq_optionoi($D50,J$3,10000))-100</f>
        <v>-26.92483260255355</v>
      </c>
      <c r="K51" s="19">
        <f ca="1">100*([1]!s_dq_optionoi($D47,$G$3,10000)+[1]!s_dq_optionoi($D48,$G$3,10000) +[1]!s_dq_optionoi($D49,$G$3,10000)+[1]!s_dq_optionoi($D50,$G$3,10000))/([1]!s_dq_optionoi($D47,K$3,10000)+[1]!s_dq_optionoi($D48,K$3,10000) +[1]!s_dq_optionoi($D49,K$3,10000)+[1]!s_dq_optionoi($D50,K$3,10000))-100</f>
        <v>53.34621194216956</v>
      </c>
      <c r="L51" s="4"/>
      <c r="M51" s="3"/>
    </row>
    <row r="52" spans="1:13" ht="16.5" x14ac:dyDescent="0.35">
      <c r="A52" s="3"/>
      <c r="B52" s="4"/>
      <c r="C52" s="16"/>
      <c r="D52" s="10"/>
      <c r="E52" s="20"/>
      <c r="F52" s="20"/>
      <c r="G52" s="20"/>
      <c r="H52" s="20"/>
      <c r="I52" s="20"/>
      <c r="J52" s="20"/>
      <c r="K52" s="20"/>
      <c r="L52" s="4"/>
      <c r="M52" s="3"/>
    </row>
    <row r="53" spans="1:13" ht="16.5" x14ac:dyDescent="0.35">
      <c r="A53" s="3"/>
      <c r="B53" s="4"/>
      <c r="C53" s="15" t="s">
        <v>57</v>
      </c>
      <c r="D53" s="9"/>
      <c r="E53" s="19"/>
      <c r="F53" s="19"/>
      <c r="G53" s="19"/>
      <c r="H53" s="19"/>
      <c r="I53" s="19"/>
      <c r="J53" s="19"/>
      <c r="K53" s="19"/>
      <c r="L53" s="4"/>
      <c r="M53" s="3"/>
    </row>
    <row r="54" spans="1:13" ht="16.5" x14ac:dyDescent="0.35">
      <c r="A54" s="3"/>
      <c r="B54" s="4"/>
      <c r="C54" s="16" t="s">
        <v>5</v>
      </c>
      <c r="D54" s="10" t="s">
        <v>20</v>
      </c>
      <c r="E54" s="20">
        <f ca="1">[1]!s_dq_calloi(D54,$G$3,10000)</f>
        <v>12.5595</v>
      </c>
      <c r="F54" s="20">
        <f ca="1">[1]!s_dq_putoi(D54,$G$3,10000)</f>
        <v>6.6571999999999996</v>
      </c>
      <c r="G54" s="20">
        <f ca="1">[1]!s_dq_optionoi(D54,$G$3,10000)</f>
        <v>19.216699999999999</v>
      </c>
      <c r="H54" s="20">
        <f ca="1">IF(ISNUMBER(100*[1]!s_dq_optionoi($D54,$G$3,10000)/[1]!s_dq_optionoi($D54,H$3,10000)-100),100*[1]!s_dq_optionoi($D54,$G$3,10000)/[1]!s_dq_optionoi($D54,H$3,10000)-100,"-")</f>
        <v>1.9853947968963865</v>
      </c>
      <c r="I54" s="20">
        <f ca="1">IF(ISNUMBER(100*[1]!s_dq_optionoi($D54,$G$3,10000)/[1]!s_dq_optionoi($D54,I$3,10000)-100),100*[1]!s_dq_optionoi($D54,$G$3,10000)/[1]!s_dq_optionoi($D54,I$3,10000)-100,"-")</f>
        <v>-16.048719326526964</v>
      </c>
      <c r="J54" s="20">
        <f ca="1">IF(ISNUMBER(100*[1]!s_dq_optionoi($D54,$G$3,10000)/[1]!s_dq_optionoi($D54,J$3,10000)-100),100*[1]!s_dq_optionoi($D54,$G$3,10000)/[1]!s_dq_optionoi($D54,J$3,10000)-100,"-")</f>
        <v>-3.5282010090614762</v>
      </c>
      <c r="K54" s="20">
        <f ca="1">IF(ISNUMBER(100*[1]!s_dq_optionoi($D54,$G$3,10000)/[1]!s_dq_optionoi($D54,K$3,10000)-100),100*[1]!s_dq_optionoi($D54,$G$3,10000)/[1]!s_dq_optionoi($D54,K$3,10000)-100,"-")</f>
        <v>31.924840729349739</v>
      </c>
      <c r="L54" s="4"/>
      <c r="M54" s="3"/>
    </row>
    <row r="55" spans="1:13" ht="16.5" x14ac:dyDescent="0.35">
      <c r="A55" s="3"/>
      <c r="B55" s="4"/>
      <c r="C55" s="18" t="s">
        <v>6</v>
      </c>
      <c r="D55" s="9" t="s">
        <v>21</v>
      </c>
      <c r="E55" s="19">
        <f ca="1">[1]!s_dq_calloi(D55,$G$3,10000)</f>
        <v>8.1691000000000003</v>
      </c>
      <c r="F55" s="19">
        <f ca="1">[1]!s_dq_putoi(D55,$G$3,10000)</f>
        <v>4.7378999999999998</v>
      </c>
      <c r="G55" s="19">
        <f ca="1">[1]!s_dq_optionoi(D55,$G$3,10000)</f>
        <v>12.907</v>
      </c>
      <c r="H55" s="19">
        <f ca="1">IF(ISNUMBER(100*[1]!s_dq_optionoi($D55,$G$3,10000)/[1]!s_dq_optionoi($D55,H$3,10000)-100),100*[1]!s_dq_optionoi($D55,$G$3,10000)/[1]!s_dq_optionoi($D55,H$3,10000)-100,"-")</f>
        <v>2.1899543957436123</v>
      </c>
      <c r="I55" s="19">
        <f ca="1">IF(ISNUMBER(100*[1]!s_dq_optionoi($D55,$G$3,10000)/[1]!s_dq_optionoi($D55,I$3,10000)-100),100*[1]!s_dq_optionoi($D55,$G$3,10000)/[1]!s_dq_optionoi($D55,I$3,10000)-100,"-")</f>
        <v>-14.61252464308869</v>
      </c>
      <c r="J55" s="19">
        <f ca="1">IF(ISNUMBER(100*[1]!s_dq_optionoi($D55,$G$3,10000)/[1]!s_dq_optionoi($D55,J$3,10000)-100),100*[1]!s_dq_optionoi($D55,$G$3,10000)/[1]!s_dq_optionoi($D55,J$3,10000)-100,"-")</f>
        <v>12.884605293078423</v>
      </c>
      <c r="K55" s="19">
        <f ca="1">IF(ISNUMBER(100*[1]!s_dq_optionoi($D55,$G$3,10000)/[1]!s_dq_optionoi($D55,K$3,10000)-100),100*[1]!s_dq_optionoi($D55,$G$3,10000)/[1]!s_dq_optionoi($D55,K$3,10000)-100,"-")</f>
        <v>95.196830149872198</v>
      </c>
      <c r="L55" s="4"/>
      <c r="M55" s="3"/>
    </row>
    <row r="56" spans="1:13" ht="16.5" x14ac:dyDescent="0.35">
      <c r="A56" s="3"/>
      <c r="B56" s="4"/>
      <c r="C56" s="16" t="s">
        <v>7</v>
      </c>
      <c r="D56" s="10" t="s">
        <v>22</v>
      </c>
      <c r="E56" s="20">
        <f ca="1">[1]!s_dq_calloi(D56,$G$3,10000)</f>
        <v>5.6683000000000003</v>
      </c>
      <c r="F56" s="20">
        <f ca="1">[1]!s_dq_putoi(D56,$G$3,10000)</f>
        <v>2.6459000000000001</v>
      </c>
      <c r="G56" s="20">
        <f ca="1">[1]!s_dq_optionoi(D56,$G$3,10000)</f>
        <v>8.3141999999999996</v>
      </c>
      <c r="H56" s="20">
        <f ca="1">IF(ISNUMBER(100*[1]!s_dq_optionoi($D56,$G$3,10000)/[1]!s_dq_optionoi($D56,H$3,10000)-100),100*[1]!s_dq_optionoi($D56,$G$3,10000)/[1]!s_dq_optionoi($D56,H$3,10000)-100,"-")</f>
        <v>3.9326966348317427</v>
      </c>
      <c r="I56" s="20">
        <f ca="1">IF(ISNUMBER(100*[1]!s_dq_optionoi($D56,$G$3,10000)/[1]!s_dq_optionoi($D56,I$3,10000)-100),100*[1]!s_dq_optionoi($D56,$G$3,10000)/[1]!s_dq_optionoi($D56,I$3,10000)-100,"-")</f>
        <v>-16.699729486023443</v>
      </c>
      <c r="J56" s="20">
        <f ca="1">IF(ISNUMBER(100*[1]!s_dq_optionoi($D56,$G$3,10000)/[1]!s_dq_optionoi($D56,J$3,10000)-100),100*[1]!s_dq_optionoi($D56,$G$3,10000)/[1]!s_dq_optionoi($D56,J$3,10000)-100,"-")</f>
        <v>-2.2606242285311424</v>
      </c>
      <c r="K56" s="20">
        <f ca="1">IF(ISNUMBER(100*[1]!s_dq_optionoi($D56,$G$3,10000)/[1]!s_dq_optionoi($D56,K$3,10000)-100),100*[1]!s_dq_optionoi($D56,$G$3,10000)/[1]!s_dq_optionoi($D56,K$3,10000)-100,"-")</f>
        <v>195.7001102535832</v>
      </c>
      <c r="L56" s="4"/>
      <c r="M56" s="3"/>
    </row>
    <row r="57" spans="1:13" ht="16.5" x14ac:dyDescent="0.35">
      <c r="A57" s="3"/>
      <c r="B57" s="4"/>
      <c r="C57" s="22" t="s">
        <v>55</v>
      </c>
      <c r="D57" s="25"/>
      <c r="E57" s="31">
        <f ca="1">SUM(E54:E56)</f>
        <v>26.396900000000002</v>
      </c>
      <c r="F57" s="31">
        <f t="shared" ref="F57" ca="1" si="8">SUM(F54:F56)</f>
        <v>14.041</v>
      </c>
      <c r="G57" s="31">
        <f t="shared" ref="G57" ca="1" si="9">SUM(G54:G56)</f>
        <v>40.437899999999999</v>
      </c>
      <c r="H57" s="19">
        <f ca="1">100*([1]!s_dq_optionoi($D54,$G$3,10000) +[1]!s_dq_optionoi($D55,$G$3,10000)+[1]!s_dq_optionoi($D56,$G$3,10000))/([1]!s_dq_optionoi($D54,H$3,10000) +[1]!s_dq_optionoi($D55,H$3,10000)+[1]!s_dq_optionoi($D56,H$3,10000))-100</f>
        <v>2.4454938362306962</v>
      </c>
      <c r="I57" s="19">
        <f ca="1">100*([1]!s_dq_optionoi($D54,$G$3,10000) +[1]!s_dq_optionoi($D55,$G$3,10000)+[1]!s_dq_optionoi($D56,$G$3,10000))/([1]!s_dq_optionoi($D54,I$3,10000) +[1]!s_dq_optionoi($D55,I$3,10000)+[1]!s_dq_optionoi($D56,I$3,10000))-100</f>
        <v>-15.73172790187364</v>
      </c>
      <c r="J57" s="19">
        <f ca="1">100*([1]!s_dq_optionoi($D54,$G$3,10000) +[1]!s_dq_optionoi($D55,$G$3,10000)+[1]!s_dq_optionoi($D56,$G$3,10000))/([1]!s_dq_optionoi($D54,J$3,10000) +[1]!s_dq_optionoi($D55,J$3,10000)+[1]!s_dq_optionoi($D56,J$3,10000))-100</f>
        <v>1.4503334186323116</v>
      </c>
      <c r="K57" s="19">
        <f ca="1">100*([1]!s_dq_optionoi($D54,$G$3,10000) +[1]!s_dq_optionoi($D55,$G$3,10000)+[1]!s_dq_optionoi($D56,$G$3,10000))/([1]!s_dq_optionoi($D54,K$3,10000) +[1]!s_dq_optionoi($D55,K$3,10000)+[1]!s_dq_optionoi($D56,K$3,10000))-100</f>
        <v>68.558673469387742</v>
      </c>
      <c r="L57" s="4"/>
      <c r="M57" s="3"/>
    </row>
    <row r="58" spans="1:13" ht="16.5" x14ac:dyDescent="0.35">
      <c r="A58" s="3"/>
      <c r="B58" s="4"/>
      <c r="C58" s="16"/>
      <c r="D58" s="10"/>
      <c r="E58" s="20"/>
      <c r="F58" s="20"/>
      <c r="G58" s="20"/>
      <c r="H58" s="20"/>
      <c r="I58" s="20"/>
      <c r="J58" s="20"/>
      <c r="K58" s="20"/>
      <c r="L58" s="4"/>
      <c r="M58" s="3"/>
    </row>
    <row r="59" spans="1:13" ht="16.5" x14ac:dyDescent="0.35">
      <c r="A59" s="3"/>
      <c r="B59" s="4"/>
      <c r="C59" s="22" t="s">
        <v>58</v>
      </c>
      <c r="D59" s="23"/>
      <c r="E59" s="24">
        <f ca="1">E44+E51+E57</f>
        <v>407.95240000000001</v>
      </c>
      <c r="F59" s="24">
        <f t="shared" ref="F59:G59" ca="1" si="10">F44+F51+F57</f>
        <v>259.54970000000003</v>
      </c>
      <c r="G59" s="24">
        <f t="shared" ca="1" si="10"/>
        <v>667.50210000000015</v>
      </c>
      <c r="H59" s="19">
        <f ca="1">100*([1]!s_dq_optionoi($D39,$G$3,10000)+[1]!s_dq_optionoi($D40,$G$3,10000) +[1]!s_dq_optionoi($D41,$G$3,10000)+[1]!s_dq_optionoi($D47,$G$3,10000)+[1]!s_dq_optionoi($D48,$G$3,10000)+[1]!s_dq_optionoi($D49,$G$3,10000) +[1]!s_dq_optionoi($D50,$G$3,10000)+[1]!s_dq_optionoi($D54,$G$3,10000)+[1]!s_dq_optionoi($D55,$G$3,10000)+[1]!s_dq_optionoi($D56,$G$3,10000))/([1]!s_dq_optionoi($D39,H$3,10000)+[1]!s_dq_optionoi($D40,H$3,10000) +[1]!s_dq_optionoi($D41,H$3,10000)+[1]!s_dq_optionoi($D47,H$3,10000)+[1]!s_dq_optionoi($D48,H$3,10000)+[1]!s_dq_optionoi($D49,H$3,10000) +[1]!s_dq_optionoi($D50,H$3,10000)+[1]!s_dq_optionoi($D54,H$3,10000)+[1]!s_dq_optionoi($D55,H$3,10000)+[1]!s_dq_optionoi($D56,H$3,10000))-100</f>
        <v>6.8032437506873862</v>
      </c>
      <c r="I59" s="19">
        <f ca="1">100*([1]!s_dq_optionoi($D39,$G$3,10000)+[1]!s_dq_optionoi($D40,$G$3,10000) +[1]!s_dq_optionoi($D41,$G$3,10000)+[1]!s_dq_optionoi($D47,$G$3,10000)+[1]!s_dq_optionoi($D48,$G$3,10000)+[1]!s_dq_optionoi($D49,$G$3,10000) +[1]!s_dq_optionoi($D50,$G$3,10000)+[1]!s_dq_optionoi($D54,$G$3,10000)+[1]!s_dq_optionoi($D55,$G$3,10000)+[1]!s_dq_optionoi($D56,$G$3,10000))/([1]!s_dq_optionoi($D39,I$3,10000)+[1]!s_dq_optionoi($D40,I$3,10000) +[1]!s_dq_optionoi($D41,I$3,10000)+[1]!s_dq_optionoi($D47,I$3,10000)+[1]!s_dq_optionoi($D48,I$3,10000)+[1]!s_dq_optionoi($D49,I$3,10000) +[1]!s_dq_optionoi($D50,I$3,10000)+[1]!s_dq_optionoi($D54,I$3,10000)+[1]!s_dq_optionoi($D55,I$3,10000)+[1]!s_dq_optionoi($D56,I$3,10000))-100</f>
        <v>-25.544914675731249</v>
      </c>
      <c r="J59" s="19">
        <f ca="1">100*([1]!s_dq_optionoi($D39,$G$3,10000)+[1]!s_dq_optionoi($D40,$G$3,10000) +[1]!s_dq_optionoi($D41,$G$3,10000)+[1]!s_dq_optionoi($D47,$G$3,10000)+[1]!s_dq_optionoi($D48,$G$3,10000)+[1]!s_dq_optionoi($D49,$G$3,10000) +[1]!s_dq_optionoi($D50,$G$3,10000)+[1]!s_dq_optionoi($D54,$G$3,10000)+[1]!s_dq_optionoi($D55,$G$3,10000)+[1]!s_dq_optionoi($D56,$G$3,10000))/([1]!s_dq_optionoi($D39,J$3,10000)+[1]!s_dq_optionoi($D40,J$3,10000) +[1]!s_dq_optionoi($D41,J$3,10000)+[1]!s_dq_optionoi($D47,J$3,10000)+[1]!s_dq_optionoi($D48,J$3,10000)+[1]!s_dq_optionoi($D49,J$3,10000) +[1]!s_dq_optionoi($D50,J$3,10000)+[1]!s_dq_optionoi($D54,J$3,10000)+[1]!s_dq_optionoi($D55,J$3,10000)+[1]!s_dq_optionoi($D56,J$3,10000))-100</f>
        <v>-27.468099992923527</v>
      </c>
      <c r="K59" s="19">
        <f ca="1">100*([1]!s_dq_optionoi($D39,$G$3,10000)+[1]!s_dq_optionoi($D40,$G$3,10000) +[1]!s_dq_optionoi($D41,$G$3,10000)+[1]!s_dq_optionoi($D47,$G$3,10000)+[1]!s_dq_optionoi($D48,$G$3,10000)+[1]!s_dq_optionoi($D49,$G$3,10000) +[1]!s_dq_optionoi($D50,$G$3,10000)+[1]!s_dq_optionoi($D54,$G$3,10000)+[1]!s_dq_optionoi($D55,$G$3,10000)+[1]!s_dq_optionoi($D56,$G$3,10000))/([1]!s_dq_optionoi($D39,K$3,10000)+[1]!s_dq_optionoi($D40,K$3,10000) +[1]!s_dq_optionoi($D41,K$3,10000)+[1]!s_dq_optionoi($D47,K$3,10000)+[1]!s_dq_optionoi($D48,K$3,10000)+[1]!s_dq_optionoi($D49,K$3,10000) +[1]!s_dq_optionoi($D50,K$3,10000)+[1]!s_dq_optionoi($D54,K$3,10000)+[1]!s_dq_optionoi($D55,K$3,10000)+[1]!s_dq_optionoi($D56,K$3,10000))-100</f>
        <v>20.070269512987593</v>
      </c>
      <c r="L59" s="4"/>
      <c r="M59" s="3"/>
    </row>
    <row r="60" spans="1:13" ht="16.5" x14ac:dyDescent="0.35">
      <c r="A60" s="3"/>
      <c r="B60" s="4"/>
      <c r="C60" s="7"/>
      <c r="D60" s="7"/>
      <c r="E60" s="7"/>
      <c r="F60" s="7"/>
      <c r="G60" s="7"/>
      <c r="H60" s="7"/>
      <c r="I60" s="7"/>
      <c r="J60" s="7"/>
      <c r="K60" s="4"/>
      <c r="L60" s="4"/>
      <c r="M60" s="3"/>
    </row>
    <row r="61" spans="1:13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3"/>
    </row>
    <row r="65" spans="1:18" ht="17.25" x14ac:dyDescent="0.2">
      <c r="A65" s="3"/>
      <c r="B65" s="4"/>
      <c r="C65" s="5" t="s">
        <v>27</v>
      </c>
      <c r="D65" s="6"/>
      <c r="E65" s="6"/>
      <c r="F65" s="6"/>
      <c r="G65" s="6"/>
      <c r="H65" s="6"/>
      <c r="I65" s="6"/>
      <c r="J65" s="6"/>
      <c r="K65" s="6"/>
      <c r="L65" s="4"/>
      <c r="M65" s="3"/>
    </row>
    <row r="66" spans="1:18" x14ac:dyDescent="0.2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3"/>
    </row>
    <row r="67" spans="1:18" ht="16.5" x14ac:dyDescent="0.35">
      <c r="A67" s="3"/>
      <c r="B67" s="4"/>
      <c r="C67" s="8" t="s">
        <v>48</v>
      </c>
      <c r="D67" s="8" t="s">
        <v>24</v>
      </c>
      <c r="E67" s="8" t="s">
        <v>28</v>
      </c>
      <c r="F67" s="8" t="s">
        <v>49</v>
      </c>
      <c r="G67" s="8" t="s">
        <v>50</v>
      </c>
      <c r="H67" s="8" t="s">
        <v>44</v>
      </c>
      <c r="I67" s="8" t="s">
        <v>45</v>
      </c>
      <c r="J67" s="8" t="s">
        <v>32</v>
      </c>
      <c r="K67" s="8" t="s">
        <v>51</v>
      </c>
      <c r="L67" s="4"/>
      <c r="M67" s="3"/>
    </row>
    <row r="68" spans="1:18" ht="17.25" x14ac:dyDescent="0.35">
      <c r="A68" s="3"/>
      <c r="B68" s="4"/>
      <c r="C68" s="14" t="s">
        <v>39</v>
      </c>
      <c r="D68" s="16"/>
      <c r="E68" s="16"/>
      <c r="F68" s="16"/>
      <c r="G68" s="7"/>
      <c r="H68" s="7"/>
      <c r="I68" s="7"/>
      <c r="J68" s="7"/>
      <c r="K68" s="17"/>
      <c r="L68" s="4"/>
      <c r="M68" s="3"/>
    </row>
    <row r="69" spans="1:18" ht="16.5" x14ac:dyDescent="0.35">
      <c r="A69" s="3"/>
      <c r="B69" s="4"/>
      <c r="C69" s="18" t="s">
        <v>1</v>
      </c>
      <c r="D69" s="9" t="s">
        <v>13</v>
      </c>
      <c r="E69" s="19">
        <f ca="1">[1]!s_dq_callamount(D69,$G$3,100000000)</f>
        <v>2.5689961299999999</v>
      </c>
      <c r="F69" s="19">
        <f ca="1">[1]!s_dq_putamount(D69,$G$3,100000000)</f>
        <v>2.3067591599999999</v>
      </c>
      <c r="G69" s="19">
        <f ca="1">[1]!s_dq_optionamount(D69,$G$3,100000000)</f>
        <v>4.8757552899999999</v>
      </c>
      <c r="H69" s="19">
        <f ca="1">IF(ISNUMBER(100*[1]!s_dq_optionamount($D69,$G$3,10000)/[1]!s_dq_optionamount($D69,H$3,10000)-100),100*[1]!s_dq_optionamount($D69,$G$3,10000)/[1]!s_dq_optionamount($D69,H$3,10000)-100,"-")</f>
        <v>-13.954127366625784</v>
      </c>
      <c r="I69" s="19">
        <f ca="1">IF(ISNUMBER(100*[1]!s_dq_optionamount($D69,$G$3,10000)/[1]!s_dq_optionamount($D69,I$3,10000)-100),100*[1]!s_dq_optionamount($D69,$G$3,10000)/[1]!s_dq_optionamount($D69,I$3,10000)-100,"-")</f>
        <v>-2.0899927888150529</v>
      </c>
      <c r="J69" s="19">
        <f ca="1">IF(ISNUMBER(100*[1]!s_dq_optionamount($D69,$G$3,10000)/[1]!s_dq_optionamount($D69,J$3,10000)-100),100*[1]!s_dq_optionamount($D69,$G$3,10000)/[1]!s_dq_optionamount($D69,J$3,10000)-100,"-")</f>
        <v>-47.05816629648703</v>
      </c>
      <c r="K69" s="19">
        <f ca="1">IF(ISNUMBER(100*[1]!s_dq_optionamount($D69,$G$3,10000)/[1]!s_dq_optionamount($D69,K$3,10000)-100),100*[1]!s_dq_optionamount($D69,$G$3,10000)/[1]!s_dq_optionamount($D69,K$3,10000)-100,"-")</f>
        <v>-43.272321169061726</v>
      </c>
      <c r="L69" s="4"/>
      <c r="M69" s="3"/>
    </row>
    <row r="70" spans="1:18" ht="16.5" x14ac:dyDescent="0.35">
      <c r="A70" s="3"/>
      <c r="B70" s="4"/>
      <c r="C70" s="16" t="s">
        <v>9</v>
      </c>
      <c r="D70" s="10" t="s">
        <v>14</v>
      </c>
      <c r="E70" s="20">
        <f ca="1">[1]!s_dq_callamount(D70,$G$3,100000000)</f>
        <v>2.5704713400000001</v>
      </c>
      <c r="F70" s="20">
        <f ca="1">[1]!s_dq_putamount(D70,$G$3,100000000)</f>
        <v>2.8259363199999998</v>
      </c>
      <c r="G70" s="20">
        <f ca="1">[1]!s_dq_optionamount(D70,$G$3,100000000)</f>
        <v>5.3964076600000004</v>
      </c>
      <c r="H70" s="20">
        <f ca="1">IF(ISNUMBER(100*[1]!s_dq_optionamount($D70,$G$3,10000)/[1]!s_dq_optionamount($D70,H$3,10000)-100),100*[1]!s_dq_optionamount($D70,$G$3,10000)/[1]!s_dq_optionamount($D70,H$3,10000)-100,"-")</f>
        <v>-13.456922651020406</v>
      </c>
      <c r="I70" s="20">
        <f ca="1">IF(ISNUMBER(100*[1]!s_dq_optionamount($D70,$G$3,10000)/[1]!s_dq_optionamount($D70,I$3,10000)-100),100*[1]!s_dq_optionamount($D70,$G$3,10000)/[1]!s_dq_optionamount($D70,I$3,10000)-100,"-")</f>
        <v>7.7440378178081062</v>
      </c>
      <c r="J70" s="20">
        <f ca="1">IF(ISNUMBER(100*[1]!s_dq_optionamount($D70,$G$3,10000)/[1]!s_dq_optionamount($D70,J$3,10000)-100),100*[1]!s_dq_optionamount($D70,$G$3,10000)/[1]!s_dq_optionamount($D70,J$3,10000)-100,"-")</f>
        <v>-53.889524784949778</v>
      </c>
      <c r="K70" s="20">
        <f ca="1">IF(ISNUMBER(100*[1]!s_dq_optionamount($D70,$G$3,10000)/[1]!s_dq_optionamount($D70,K$3,10000)-100),100*[1]!s_dq_optionamount($D70,$G$3,10000)/[1]!s_dq_optionamount($D70,K$3,10000)-100,"-")</f>
        <v>-19.737393033354223</v>
      </c>
      <c r="L70" s="4"/>
      <c r="M70" s="3"/>
    </row>
    <row r="71" spans="1:18" ht="16.5" x14ac:dyDescent="0.35">
      <c r="A71" s="3"/>
      <c r="B71" s="4"/>
      <c r="C71" s="18" t="s">
        <v>10</v>
      </c>
      <c r="D71" s="9" t="s">
        <v>15</v>
      </c>
      <c r="E71" s="19">
        <f ca="1">[1]!s_dq_callamount(D71,$G$3,100000000)</f>
        <v>2.1464648400000002</v>
      </c>
      <c r="F71" s="19">
        <f ca="1">[1]!s_dq_putamount(D71,$G$3,100000000)</f>
        <v>2.35634371</v>
      </c>
      <c r="G71" s="19">
        <f ca="1">[1]!s_dq_optionamount(D71,$G$3,100000000)</f>
        <v>4.5028085500000001</v>
      </c>
      <c r="H71" s="19">
        <f ca="1">IF(ISNUMBER(100*[1]!s_dq_optionamount($D71,$G$3,10000)/[1]!s_dq_optionamount($D71,H$3,10000)-100),100*[1]!s_dq_optionamount($D71,$G$3,10000)/[1]!s_dq_optionamount($D71,H$3,10000)-100,"-")</f>
        <v>8.4867128543849759</v>
      </c>
      <c r="I71" s="19">
        <f ca="1">IF(ISNUMBER(100*[1]!s_dq_optionamount($D71,$G$3,10000)/[1]!s_dq_optionamount($D71,I$3,10000)-100),100*[1]!s_dq_optionamount($D71,$G$3,10000)/[1]!s_dq_optionamount($D71,I$3,10000)-100,"-")</f>
        <v>29.93788341493584</v>
      </c>
      <c r="J71" s="19">
        <f ca="1">IF(ISNUMBER(100*[1]!s_dq_optionamount($D71,$G$3,10000)/[1]!s_dq_optionamount($D71,J$3,10000)-100),100*[1]!s_dq_optionamount($D71,$G$3,10000)/[1]!s_dq_optionamount($D71,J$3,10000)-100,"-")</f>
        <v>-52.14517868165963</v>
      </c>
      <c r="K71" s="19">
        <f ca="1">IF(ISNUMBER(100*[1]!s_dq_optionamount($D71,$G$3,10000)/[1]!s_dq_optionamount($D71,K$3,10000)-100),100*[1]!s_dq_optionamount($D71,$G$3,10000)/[1]!s_dq_optionamount($D71,K$3,10000)-100,"-")</f>
        <v>11.351374135739775</v>
      </c>
      <c r="L71" s="4"/>
      <c r="M71" s="3"/>
    </row>
    <row r="72" spans="1:18" ht="16.5" x14ac:dyDescent="0.35">
      <c r="A72" s="3"/>
      <c r="B72" s="4"/>
      <c r="C72" s="16" t="s">
        <v>68</v>
      </c>
      <c r="D72" s="10" t="s">
        <v>66</v>
      </c>
      <c r="E72" s="20">
        <f ca="1">[1]!s_dq_callamount(D72,$G$3,100000000)</f>
        <v>0.51939665000000002</v>
      </c>
      <c r="F72" s="20">
        <f ca="1">[1]!s_dq_putamount(D72,$G$3,100000000)</f>
        <v>0.46285531000000002</v>
      </c>
      <c r="G72" s="20">
        <f ca="1">[1]!s_dq_optionamount(D72,$G$3,100000000)</f>
        <v>0.98225196000000004</v>
      </c>
      <c r="H72" s="20">
        <f ca="1">IF(ISNUMBER(100*[1]!s_dq_optionamount($D72,$G$3,10000)/[1]!s_dq_optionamount($D72,H$3,10000)-100),100*[1]!s_dq_optionamount($D72,$G$3,10000)/[1]!s_dq_optionamount($D72,H$3,10000)-100,"-")</f>
        <v>-0.10866955050759941</v>
      </c>
      <c r="I72" s="20">
        <f ca="1">IF(ISNUMBER(100*[1]!s_dq_optionamount($D72,$G$3,10000)/[1]!s_dq_optionamount($D72,I$3,10000)-100),100*[1]!s_dq_optionamount($D72,$G$3,10000)/[1]!s_dq_optionamount($D72,I$3,10000)-100,"-")</f>
        <v>-23.838153052417681</v>
      </c>
      <c r="J72" s="20">
        <f ca="1">IF(ISNUMBER(100*[1]!s_dq_optionamount($D72,$G$3,10000)/[1]!s_dq_optionamount($D72,J$3,10000)-100),100*[1]!s_dq_optionamount($D72,$G$3,10000)/[1]!s_dq_optionamount($D72,J$3,10000)-100,"-")</f>
        <v>-54.927359453038164</v>
      </c>
      <c r="K72" s="20" t="str">
        <f ca="1">IF(ISNUMBER(100*[1]!s_dq_optionamount($D72,$G$3,10000)/[1]!s_dq_optionamount($D72,K$3,10000)-100),100*[1]!s_dq_optionamount($D72,$G$3,10000)/[1]!s_dq_optionamount($D72,K$3,10000)-100,"-")</f>
        <v>-</v>
      </c>
      <c r="L72" s="4"/>
      <c r="M72" s="3"/>
    </row>
    <row r="73" spans="1:18" ht="16.5" x14ac:dyDescent="0.35">
      <c r="A73" s="3"/>
      <c r="B73" s="4"/>
      <c r="C73" s="18" t="s">
        <v>65</v>
      </c>
      <c r="D73" s="9" t="s">
        <v>67</v>
      </c>
      <c r="E73" s="19">
        <f ca="1">[1]!s_dq_callamount(D73,$G$3,100000000)</f>
        <v>0.22575724</v>
      </c>
      <c r="F73" s="19">
        <f ca="1">[1]!s_dq_putamount(D73,$G$3,100000000)</f>
        <v>0.2804219</v>
      </c>
      <c r="G73" s="19">
        <f ca="1">[1]!s_dq_optionamount(D73,$G$3,100000000)</f>
        <v>0.50617913999999997</v>
      </c>
      <c r="H73" s="19">
        <f ca="1">IF(ISNUMBER(100*[1]!s_dq_optionamount($D73,$G$3,10000)/[1]!s_dq_optionamount($D73,H$3,10000)-100),100*[1]!s_dq_optionamount($D73,$G$3,10000)/[1]!s_dq_optionamount($D73,H$3,10000)-100,"-")</f>
        <v>6.992675920582883</v>
      </c>
      <c r="I73" s="19">
        <f ca="1">IF(ISNUMBER(100*[1]!s_dq_optionamount($D73,$G$3,10000)/[1]!s_dq_optionamount($D73,I$3,10000)-100),100*[1]!s_dq_optionamount($D73,$G$3,10000)/[1]!s_dq_optionamount($D73,I$3,10000)-100,"-")</f>
        <v>-8.8311577297316717</v>
      </c>
      <c r="J73" s="19">
        <f ca="1">IF(ISNUMBER(100*[1]!s_dq_optionamount($D73,$G$3,10000)/[1]!s_dq_optionamount($D73,J$3,10000)-100),100*[1]!s_dq_optionamount($D73,$G$3,10000)/[1]!s_dq_optionamount($D73,J$3,10000)-100,"-")</f>
        <v>-50.260434011418404</v>
      </c>
      <c r="K73" s="19" t="str">
        <f ca="1">IF(ISNUMBER(100*[1]!s_dq_optionamount($D73,$G$3,10000)/[1]!s_dq_optionamount($D73,K$3,10000)-100),100*[1]!s_dq_optionamount($D73,$G$3,10000)/[1]!s_dq_optionamount($D73,K$3,10000)-100,"-")</f>
        <v>-</v>
      </c>
      <c r="L73" s="4"/>
      <c r="M73" s="3"/>
    </row>
    <row r="74" spans="1:18" ht="16.5" x14ac:dyDescent="0.35">
      <c r="A74" s="3"/>
      <c r="B74" s="4"/>
      <c r="C74" s="26" t="s">
        <v>38</v>
      </c>
      <c r="D74" s="27"/>
      <c r="E74" s="28">
        <f ca="1">SUM(E69:E73)</f>
        <v>8.031086199999999</v>
      </c>
      <c r="F74" s="28">
        <f t="shared" ref="F74" ca="1" si="11">SUM(F69:F73)</f>
        <v>8.2323164000000002</v>
      </c>
      <c r="G74" s="28">
        <f ca="1">SUM(G69:G73)</f>
        <v>16.263402599999999</v>
      </c>
      <c r="H74" s="20">
        <f ca="1">100*([1]!s_dq_optionamount($D69,$G$3,10000) +[1]!s_dq_optionamount($D70,$G$3,10000)+[1]!s_dq_optionamount($D71,$G$3,10000))/([1]!s_dq_optionamount($D69,H$3,10000) +[1]!s_dq_optionamount($D70,H$3,10000)+[1]!s_dq_optionamount($D71,H$3,10000))-100</f>
        <v>-7.9586625390454486</v>
      </c>
      <c r="I74" s="20">
        <f ca="1">100*([1]!s_dq_optionamount($D69,$G$3,10000) +[1]!s_dq_optionamount($D70,$G$3,10000)+[1]!s_dq_optionamount($D71,$G$3,10000))/([1]!s_dq_optionamount($D69,I$3,10000) +[1]!s_dq_optionamount($D70,I$3,10000)+[1]!s_dq_optionamount($D71,I$3,10000))-100</f>
        <v>9.8206149376723459</v>
      </c>
      <c r="J74" s="20">
        <f ca="1">100*([1]!s_dq_optionamount($D69,$G$3,10000) +[1]!s_dq_optionamount($D70,$G$3,10000)+[1]!s_dq_optionamount($D71,$G$3,10000))/([1]!s_dq_optionamount($D69,J$3,10000) +[1]!s_dq_optionamount($D70,J$3,10000)+[1]!s_dq_optionamount($D71,J$3,10000))-100</f>
        <v>-51.273370180181757</v>
      </c>
      <c r="K74" s="20">
        <f ca="1">100*([1]!s_dq_optionamount($D69,$G$3,10000) +[1]!s_dq_optionamount($D70,$G$3,10000)+[1]!s_dq_optionamount($D71,$G$3,10000))/([1]!s_dq_optionamount($D69,K$3,10000) +[1]!s_dq_optionamount($D70,K$3,10000)+[1]!s_dq_optionamount($D71,K$3,10000))-100</f>
        <v>-23.69183837255018</v>
      </c>
      <c r="L74" s="20"/>
      <c r="M74" s="3"/>
      <c r="N74" s="20"/>
      <c r="O74" s="20"/>
      <c r="P74" s="20"/>
      <c r="Q74" s="20"/>
      <c r="R74" s="20"/>
    </row>
    <row r="75" spans="1:18" ht="16.5" x14ac:dyDescent="0.35">
      <c r="A75" s="3"/>
      <c r="B75" s="4"/>
      <c r="C75" s="18"/>
      <c r="D75" s="9"/>
      <c r="E75" s="19"/>
      <c r="F75" s="19"/>
      <c r="G75" s="19"/>
      <c r="H75" s="19"/>
      <c r="I75" s="19"/>
      <c r="J75" s="19"/>
      <c r="K75" s="19"/>
      <c r="L75" s="4"/>
      <c r="M75" s="3"/>
    </row>
    <row r="76" spans="1:18" ht="16.5" x14ac:dyDescent="0.35">
      <c r="A76" s="3"/>
      <c r="B76" s="4"/>
      <c r="C76" s="14" t="s">
        <v>36</v>
      </c>
      <c r="D76" s="10"/>
      <c r="E76" s="20"/>
      <c r="F76" s="20"/>
      <c r="G76" s="20"/>
      <c r="H76" s="20"/>
      <c r="I76" s="20"/>
      <c r="J76" s="20"/>
      <c r="K76" s="20"/>
      <c r="L76" s="4"/>
      <c r="M76" s="3"/>
    </row>
    <row r="77" spans="1:18" ht="16.5" x14ac:dyDescent="0.35">
      <c r="A77" s="3"/>
      <c r="B77" s="4"/>
      <c r="C77" s="18" t="s">
        <v>40</v>
      </c>
      <c r="D77" s="9" t="s">
        <v>16</v>
      </c>
      <c r="E77" s="19">
        <f ca="1">[1]!s_dq_callamount(D77,$G$3,100000000)</f>
        <v>0.41058661000000002</v>
      </c>
      <c r="F77" s="19">
        <f ca="1">[1]!s_dq_putamount(D77,$G$3,100000000)</f>
        <v>0.41838208999999998</v>
      </c>
      <c r="G77" s="19">
        <f ca="1">[1]!s_dq_optionamount(D77,$G$3,100000000)</f>
        <v>0.8289687</v>
      </c>
      <c r="H77" s="19">
        <f ca="1">IF(ISNUMBER(100*[1]!s_dq_optionamount($D77,$G$3,10000)/[1]!s_dq_optionamount($D77,H$3,10000)-100),100*[1]!s_dq_optionamount($D77,$G$3,10000)/[1]!s_dq_optionamount($D77,H$3,10000)-100,"-")</f>
        <v>-18.950370998397446</v>
      </c>
      <c r="I77" s="19">
        <f ca="1">IF(ISNUMBER(100*[1]!s_dq_optionamount($D77,$G$3,10000)/[1]!s_dq_optionamount($D77,I$3,10000)-100),100*[1]!s_dq_optionamount($D77,$G$3,10000)/[1]!s_dq_optionamount($D77,I$3,10000)-100,"-")</f>
        <v>27.239753643484448</v>
      </c>
      <c r="J77" s="19">
        <f ca="1">IF(ISNUMBER(100*[1]!s_dq_optionamount($D77,$G$3,10000)/[1]!s_dq_optionamount($D77,J$3,10000)-100),100*[1]!s_dq_optionamount($D77,$G$3,10000)/[1]!s_dq_optionamount($D77,J$3,10000)-100,"-")</f>
        <v>-49.374656914851812</v>
      </c>
      <c r="K77" s="19">
        <f ca="1">IF(ISNUMBER(100*[1]!s_dq_optionamount($D77,$G$3,10000)/[1]!s_dq_optionamount($D77,K$3,10000)-100),100*[1]!s_dq_optionamount($D77,$G$3,10000)/[1]!s_dq_optionamount($D77,K$3,10000)-100,"-")</f>
        <v>23.90420417457544</v>
      </c>
      <c r="L77" s="4"/>
      <c r="M77" s="3"/>
    </row>
    <row r="78" spans="1:18" ht="16.5" x14ac:dyDescent="0.35">
      <c r="A78" s="3"/>
      <c r="B78" s="4"/>
      <c r="C78" s="16" t="s">
        <v>2</v>
      </c>
      <c r="D78" s="11" t="s">
        <v>17</v>
      </c>
      <c r="E78" s="21">
        <f ca="1">[1]!s_dq_callamount(D78,$G$3,100000000)</f>
        <v>0.70211941</v>
      </c>
      <c r="F78" s="21">
        <f ca="1">[1]!s_dq_putamount(D78,$G$3,100000000)</f>
        <v>0.55743503000000005</v>
      </c>
      <c r="G78" s="21">
        <f ca="1">[1]!s_dq_optionamount(D78,$G$3,100000000)</f>
        <v>1.2595544400000001</v>
      </c>
      <c r="H78" s="20">
        <f ca="1">IF(ISNUMBER(100*[1]!s_dq_optionamount($D78,$G$3,10000)/[1]!s_dq_optionamount($D78,H$3,10000)-100),100*[1]!s_dq_optionamount($D78,$G$3,10000)/[1]!s_dq_optionamount($D78,H$3,10000)-100,"-")</f>
        <v>38.555638327222283</v>
      </c>
      <c r="I78" s="20">
        <f ca="1">IF(ISNUMBER(100*[1]!s_dq_optionamount($D78,$G$3,10000)/[1]!s_dq_optionamount($D78,I$3,10000)-100),100*[1]!s_dq_optionamount($D78,$G$3,10000)/[1]!s_dq_optionamount($D78,I$3,10000)-100,"-")</f>
        <v>43.059469676082273</v>
      </c>
      <c r="J78" s="20">
        <f ca="1">IF(ISNUMBER(100*[1]!s_dq_optionamount($D78,$G$3,10000)/[1]!s_dq_optionamount($D78,J$3,10000)-100),100*[1]!s_dq_optionamount($D78,$G$3,10000)/[1]!s_dq_optionamount($D78,J$3,10000)-100,"-")</f>
        <v>-50.925768257789166</v>
      </c>
      <c r="K78" s="20">
        <f ca="1">IF(ISNUMBER(100*[1]!s_dq_optionamount($D78,$G$3,10000)/[1]!s_dq_optionamount($D78,K$3,10000)-100),100*[1]!s_dq_optionamount($D78,$G$3,10000)/[1]!s_dq_optionamount($D78,K$3,10000)-100,"-")</f>
        <v>98.832227266699931</v>
      </c>
      <c r="L78" s="4"/>
      <c r="M78" s="3"/>
    </row>
    <row r="79" spans="1:18" ht="16.5" x14ac:dyDescent="0.35">
      <c r="A79" s="3"/>
      <c r="B79" s="4"/>
      <c r="C79" s="18" t="s">
        <v>3</v>
      </c>
      <c r="D79" s="9" t="s">
        <v>18</v>
      </c>
      <c r="E79" s="19">
        <f ca="1">[1]!s_dq_callamount(D79,$G$3,100000000)</f>
        <v>1.2882876999999999</v>
      </c>
      <c r="F79" s="19">
        <f ca="1">[1]!s_dq_putamount(D79,$G$3,100000000)</f>
        <v>1.38596925</v>
      </c>
      <c r="G79" s="19">
        <f ca="1">[1]!s_dq_optionamount(D79,$G$3,100000000)</f>
        <v>2.6742569500000002</v>
      </c>
      <c r="H79" s="19">
        <f ca="1">IF(ISNUMBER(100*[1]!s_dq_optionamount($D79,$G$3,10000)/[1]!s_dq_optionamount($D79,H$3,10000)-100),100*[1]!s_dq_optionamount($D79,$G$3,10000)/[1]!s_dq_optionamount($D79,H$3,10000)-100,"-")</f>
        <v>8.6156199963913451</v>
      </c>
      <c r="I79" s="19">
        <f ca="1">IF(ISNUMBER(100*[1]!s_dq_optionamount($D79,$G$3,10000)/[1]!s_dq_optionamount($D79,I$3,10000)-100),100*[1]!s_dq_optionamount($D79,$G$3,10000)/[1]!s_dq_optionamount($D79,I$3,10000)-100,"-")</f>
        <v>9.9366470983026716</v>
      </c>
      <c r="J79" s="19">
        <f ca="1">IF(ISNUMBER(100*[1]!s_dq_optionamount($D79,$G$3,10000)/[1]!s_dq_optionamount($D79,J$3,10000)-100),100*[1]!s_dq_optionamount($D79,$G$3,10000)/[1]!s_dq_optionamount($D79,J$3,10000)-100,"-")</f>
        <v>-29.763105418002056</v>
      </c>
      <c r="K79" s="19">
        <f ca="1">IF(ISNUMBER(100*[1]!s_dq_optionamount($D79,$G$3,10000)/[1]!s_dq_optionamount($D79,K$3,10000)-100),100*[1]!s_dq_optionamount($D79,$G$3,10000)/[1]!s_dq_optionamount($D79,K$3,10000)-100,"-")</f>
        <v>46.655567212108821</v>
      </c>
      <c r="L79" s="4"/>
      <c r="M79" s="3"/>
    </row>
    <row r="80" spans="1:18" ht="16.5" x14ac:dyDescent="0.35">
      <c r="A80" s="3"/>
      <c r="B80" s="4"/>
      <c r="C80" s="16" t="s">
        <v>4</v>
      </c>
      <c r="D80" s="10" t="s">
        <v>19</v>
      </c>
      <c r="E80" s="20">
        <f ca="1">[1]!s_dq_callamount(D80,$G$3,100000000)</f>
        <v>0.22019517999999999</v>
      </c>
      <c r="F80" s="20">
        <f ca="1">[1]!s_dq_putamount(D80,$G$3,100000000)</f>
        <v>0.13292329</v>
      </c>
      <c r="G80" s="20">
        <f ca="1">[1]!s_dq_optionamount(D80,$G$3,100000000)</f>
        <v>0.35311847000000002</v>
      </c>
      <c r="H80" s="20">
        <f ca="1">IF(ISNUMBER(100*[1]!s_dq_optionamount($D80,$G$3,10000)/[1]!s_dq_optionamount($D80,H$3,10000)-100),100*[1]!s_dq_optionamount($D80,$G$3,10000)/[1]!s_dq_optionamount($D80,H$3,10000)-100,"-")</f>
        <v>36.126447183407379</v>
      </c>
      <c r="I80" s="20">
        <f ca="1">IF(ISNUMBER(100*[1]!s_dq_optionamount($D80,$G$3,10000)/[1]!s_dq_optionamount($D80,I$3,10000)-100),100*[1]!s_dq_optionamount($D80,$G$3,10000)/[1]!s_dq_optionamount($D80,I$3,10000)-100,"-")</f>
        <v>83.982707259538273</v>
      </c>
      <c r="J80" s="20">
        <f ca="1">IF(ISNUMBER(100*[1]!s_dq_optionamount($D80,$G$3,10000)/[1]!s_dq_optionamount($D80,J$3,10000)-100),100*[1]!s_dq_optionamount($D80,$G$3,10000)/[1]!s_dq_optionamount($D80,J$3,10000)-100,"-")</f>
        <v>-34.773515789968343</v>
      </c>
      <c r="K80" s="20">
        <f ca="1">IF(ISNUMBER(100*[1]!s_dq_optionamount($D80,$G$3,10000)/[1]!s_dq_optionamount($D80,K$3,10000)-100),100*[1]!s_dq_optionamount($D80,$G$3,10000)/[1]!s_dq_optionamount($D80,K$3,10000)-100,"-")</f>
        <v>16.948602601879216</v>
      </c>
      <c r="L80" s="4"/>
      <c r="M80" s="3"/>
    </row>
    <row r="81" spans="1:13" ht="16.5" x14ac:dyDescent="0.35">
      <c r="A81" s="3"/>
      <c r="B81" s="4"/>
      <c r="C81" s="29" t="s">
        <v>38</v>
      </c>
      <c r="D81" s="30"/>
      <c r="E81" s="31">
        <f ca="1">SUM(E78:E80)</f>
        <v>2.2106022900000002</v>
      </c>
      <c r="F81" s="31">
        <f t="shared" ref="F81" ca="1" si="12">SUM(F78:F80)</f>
        <v>2.0763275700000001</v>
      </c>
      <c r="G81" s="31">
        <f t="shared" ref="G81" ca="1" si="13">SUM(G78:G80)</f>
        <v>4.2869298599999999</v>
      </c>
      <c r="H81" s="19">
        <f ca="1">100*([1]!s_dq_optionamount($D77,$G$3,10000) +[1]!s_dq_optionamount($D78,$G$3,10000) +[1]!s_dq_optionamount($D79,$G$3,10000)+[1]!s_dq_optionamount($D80,$G$3,10000))/([1]!s_dq_optionamount($D77,H$3,10000) +[1]!s_dq_optionamount($D78,H$3,10000) +[1]!s_dq_optionamount($D79,H$3,10000)+[1]!s_dq_optionamount($D80,H$3,10000))-100</f>
        <v>9.9392720038080995</v>
      </c>
      <c r="I81" s="19">
        <f ca="1">100*([1]!s_dq_optionamount($D77,$G$3,10000) +[1]!s_dq_optionamount($D78,$G$3,10000) +[1]!s_dq_optionamount($D79,$G$3,10000)+[1]!s_dq_optionamount($D80,$G$3,10000))/([1]!s_dq_optionamount($D77,I$3,10000) +[1]!s_dq_optionamount($D78,I$3,10000) +[1]!s_dq_optionamount($D79,I$3,10000)+[1]!s_dq_optionamount($D80,I$3,10000))-100</f>
        <v>23.084360548947032</v>
      </c>
      <c r="J81" s="19">
        <f ca="1">100*([1]!s_dq_optionamount($D77,$G$3,10000) +[1]!s_dq_optionamount($D78,$G$3,10000) +[1]!s_dq_optionamount($D79,$G$3,10000)+[1]!s_dq_optionamount($D80,$G$3,10000))/([1]!s_dq_optionamount($D77,J$3,10000) +[1]!s_dq_optionamount($D78,J$3,10000) +[1]!s_dq_optionamount($D79,J$3,10000)+[1]!s_dq_optionamount($D80,J$3,10000))-100</f>
        <v>-40.1855216036952</v>
      </c>
      <c r="K81" s="19">
        <f ca="1">100*([1]!s_dq_optionamount($D77,$G$3,10000) +[1]!s_dq_optionamount($D78,$G$3,10000) +[1]!s_dq_optionamount($D79,$G$3,10000)+[1]!s_dq_optionamount($D80,$G$3,10000))/([1]!s_dq_optionamount($D77,K$3,10000) +[1]!s_dq_optionamount($D78,K$3,10000) +[1]!s_dq_optionamount($D79,K$3,10000)+[1]!s_dq_optionamount($D80,K$3,10000))-100</f>
        <v>49.24056981016011</v>
      </c>
      <c r="L81" s="4"/>
      <c r="M81" s="3"/>
    </row>
    <row r="82" spans="1:13" ht="16.5" x14ac:dyDescent="0.35">
      <c r="A82" s="3"/>
      <c r="B82" s="4"/>
      <c r="C82" s="16"/>
      <c r="D82" s="10"/>
      <c r="E82" s="20"/>
      <c r="F82" s="20"/>
      <c r="G82" s="20"/>
      <c r="H82" s="20"/>
      <c r="I82" s="20"/>
      <c r="J82" s="20"/>
      <c r="K82" s="20"/>
      <c r="L82" s="4"/>
      <c r="M82" s="3"/>
    </row>
    <row r="83" spans="1:13" ht="16.5" x14ac:dyDescent="0.35">
      <c r="A83" s="3"/>
      <c r="B83" s="4"/>
      <c r="C83" s="15" t="s">
        <v>12</v>
      </c>
      <c r="D83" s="9"/>
      <c r="E83" s="19"/>
      <c r="F83" s="19"/>
      <c r="G83" s="19"/>
      <c r="H83" s="19"/>
      <c r="I83" s="19"/>
      <c r="J83" s="19"/>
      <c r="K83" s="19"/>
      <c r="L83" s="4"/>
      <c r="M83" s="3"/>
    </row>
    <row r="84" spans="1:13" ht="16.5" x14ac:dyDescent="0.35">
      <c r="A84" s="3"/>
      <c r="B84" s="4"/>
      <c r="C84" s="16" t="s">
        <v>5</v>
      </c>
      <c r="D84" s="10" t="s">
        <v>20</v>
      </c>
      <c r="E84" s="20">
        <f ca="1">[1]!s_dq_callamount(D84,$G$3,100000000)</f>
        <v>1.5464282</v>
      </c>
      <c r="F84" s="20">
        <f ca="1">[1]!s_dq_putamount(D84,$G$3,100000000)</f>
        <v>1.4727816</v>
      </c>
      <c r="G84" s="20">
        <f ca="1">[1]!s_dq_optionamount(D84,$G$3,100000000)</f>
        <v>3.0192098000000001</v>
      </c>
      <c r="H84" s="20">
        <f ca="1">IF(ISNUMBER(100*[1]!s_dq_optionamount($D84,$G$3,10000)/[1]!s_dq_optionamount($D84,H$3,10000)-100),100*[1]!s_dq_optionamount($D84,$G$3,10000)/[1]!s_dq_optionamount($D84,H$3,10000)-100,"-")</f>
        <v>10.83545994877916</v>
      </c>
      <c r="I84" s="20">
        <f ca="1">IF(ISNUMBER(100*[1]!s_dq_optionamount($D84,$G$3,10000)/[1]!s_dq_optionamount($D84,I$3,10000)-100),100*[1]!s_dq_optionamount($D84,$G$3,10000)/[1]!s_dq_optionamount($D84,I$3,10000)-100,"-")</f>
        <v>-31.878725934148733</v>
      </c>
      <c r="J84" s="20">
        <f ca="1">IF(ISNUMBER(100*[1]!s_dq_optionamount($D84,$G$3,10000)/[1]!s_dq_optionamount($D84,J$3,10000)-100),100*[1]!s_dq_optionamount($D84,$G$3,10000)/[1]!s_dq_optionamount($D84,J$3,10000)-100,"-")</f>
        <v>-61.411924806359217</v>
      </c>
      <c r="K84" s="20">
        <f ca="1">IF(ISNUMBER(100*[1]!s_dq_optionamount($D84,$G$3,10000)/[1]!s_dq_optionamount($D84,K$3,10000)-100),100*[1]!s_dq_optionamount($D84,$G$3,10000)/[1]!s_dq_optionamount($D84,K$3,10000)-100,"-")</f>
        <v>-24.592798186037086</v>
      </c>
      <c r="L84" s="4"/>
      <c r="M84" s="3"/>
    </row>
    <row r="85" spans="1:13" ht="16.5" x14ac:dyDescent="0.35">
      <c r="A85" s="3"/>
      <c r="B85" s="4"/>
      <c r="C85" s="18" t="s">
        <v>6</v>
      </c>
      <c r="D85" s="9" t="s">
        <v>21</v>
      </c>
      <c r="E85" s="19">
        <f ca="1">[1]!s_dq_callamount(D85,$G$3,100000000)</f>
        <v>2.9522862000000001</v>
      </c>
      <c r="F85" s="19">
        <f ca="1">[1]!s_dq_putamount(D85,$G$3,100000000)</f>
        <v>2.3393956</v>
      </c>
      <c r="G85" s="19">
        <f ca="1">[1]!s_dq_optionamount(D85,$G$3,100000000)</f>
        <v>5.2916818000000001</v>
      </c>
      <c r="H85" s="19">
        <f ca="1">IF(ISNUMBER(100*[1]!s_dq_optionamount($D85,$G$3,10000)/[1]!s_dq_optionamount($D85,H$3,10000)-100),100*[1]!s_dq_optionamount($D85,$G$3,10000)/[1]!s_dq_optionamount($D85,H$3,10000)-100,"-")</f>
        <v>18.360573484751527</v>
      </c>
      <c r="I85" s="19">
        <f ca="1">IF(ISNUMBER(100*[1]!s_dq_optionamount($D85,$G$3,10000)/[1]!s_dq_optionamount($D85,I$3,10000)-100),100*[1]!s_dq_optionamount($D85,$G$3,10000)/[1]!s_dq_optionamount($D85,I$3,10000)-100,"-")</f>
        <v>1.6978528086054183</v>
      </c>
      <c r="J85" s="19">
        <f ca="1">IF(ISNUMBER(100*[1]!s_dq_optionamount($D85,$G$3,10000)/[1]!s_dq_optionamount($D85,J$3,10000)-100),100*[1]!s_dq_optionamount($D85,$G$3,10000)/[1]!s_dq_optionamount($D85,J$3,10000)-100,"-")</f>
        <v>-49.010549573099553</v>
      </c>
      <c r="K85" s="19">
        <f ca="1">IF(ISNUMBER(100*[1]!s_dq_optionamount($D85,$G$3,10000)/[1]!s_dq_optionamount($D85,K$3,10000)-100),100*[1]!s_dq_optionamount($D85,$G$3,10000)/[1]!s_dq_optionamount($D85,K$3,10000)-100,"-")</f>
        <v>37.041861088585932</v>
      </c>
      <c r="L85" s="4"/>
      <c r="M85" s="3"/>
    </row>
    <row r="86" spans="1:13" ht="16.5" x14ac:dyDescent="0.35">
      <c r="A86" s="3"/>
      <c r="B86" s="4"/>
      <c r="C86" s="16" t="s">
        <v>7</v>
      </c>
      <c r="D86" s="10" t="s">
        <v>22</v>
      </c>
      <c r="E86" s="20">
        <f ca="1">[1]!s_dq_callamount(D86,$G$3,100000000)</f>
        <v>0.4276548</v>
      </c>
      <c r="F86" s="20">
        <f ca="1">[1]!s_dq_putamount(D86,$G$3,100000000)</f>
        <v>0.3700406</v>
      </c>
      <c r="G86" s="20">
        <f ca="1">[1]!s_dq_optionamount(D86,$G$3,100000000)</f>
        <v>0.79769540000000005</v>
      </c>
      <c r="H86" s="20">
        <f ca="1">IF(ISNUMBER(100*[1]!s_dq_optionamount($D86,$G$3,10000)/[1]!s_dq_optionamount($D86,H$3,10000)-100),100*[1]!s_dq_optionamount($D86,$G$3,10000)/[1]!s_dq_optionamount($D86,H$3,10000)-100,"-")</f>
        <v>15.741316014064893</v>
      </c>
      <c r="I86" s="20">
        <f ca="1">IF(ISNUMBER(100*[1]!s_dq_optionamount($D86,$G$3,10000)/[1]!s_dq_optionamount($D86,I$3,10000)-100),100*[1]!s_dq_optionamount($D86,$G$3,10000)/[1]!s_dq_optionamount($D86,I$3,10000)-100,"-")</f>
        <v>-14.047890373739207</v>
      </c>
      <c r="J86" s="20">
        <f ca="1">IF(ISNUMBER(100*[1]!s_dq_optionamount($D86,$G$3,10000)/[1]!s_dq_optionamount($D86,J$3,10000)-100),100*[1]!s_dq_optionamount($D86,$G$3,10000)/[1]!s_dq_optionamount($D86,J$3,10000)-100,"-")</f>
        <v>-65.53785535268409</v>
      </c>
      <c r="K86" s="20">
        <f ca="1">IF(ISNUMBER(100*[1]!s_dq_optionamount($D86,$G$3,10000)/[1]!s_dq_optionamount($D86,K$3,10000)-100),100*[1]!s_dq_optionamount($D86,$G$3,10000)/[1]!s_dq_optionamount($D86,K$3,10000)-100,"-")</f>
        <v>15.633904166381583</v>
      </c>
      <c r="L86" s="4"/>
      <c r="M86" s="3"/>
    </row>
    <row r="87" spans="1:13" ht="16.5" x14ac:dyDescent="0.35">
      <c r="A87" s="3"/>
      <c r="B87" s="4"/>
      <c r="C87" s="22" t="s">
        <v>38</v>
      </c>
      <c r="D87" s="25"/>
      <c r="E87" s="31">
        <f ca="1">SUM(E84:E86)</f>
        <v>4.9263691999999999</v>
      </c>
      <c r="F87" s="31">
        <f t="shared" ref="F87" ca="1" si="14">SUM(F84:F86)</f>
        <v>4.1822178000000001</v>
      </c>
      <c r="G87" s="31">
        <f t="shared" ref="G87" ca="1" si="15">SUM(G84:G86)</f>
        <v>9.108587</v>
      </c>
      <c r="H87" s="19">
        <f ca="1">100*([1]!s_dq_optionamount($D84,$G$3,10000) +[1]!s_dq_optionamount($D85,$G$3,10000)+[1]!s_dq_optionamount($D86,$G$3,10000))/([1]!s_dq_optionamount($D84,H$3,10000) +[1]!s_dq_optionamount($D85,H$3,10000)+[1]!s_dq_optionamount($D86,H$3,10000))-100</f>
        <v>15.531580731913635</v>
      </c>
      <c r="I87" s="19">
        <f ca="1">100*([1]!s_dq_optionamount($D84,$G$3,10000) +[1]!s_dq_optionamount($D85,$G$3,10000)+[1]!s_dq_optionamount($D86,$G$3,10000))/([1]!s_dq_optionamount($D84,I$3,10000) +[1]!s_dq_optionamount($D85,I$3,10000)+[1]!s_dq_optionamount($D86,I$3,10000))-100</f>
        <v>-13.773154174305049</v>
      </c>
      <c r="J87" s="19">
        <f ca="1">100*([1]!s_dq_optionamount($D84,$G$3,10000) +[1]!s_dq_optionamount($D85,$G$3,10000)+[1]!s_dq_optionamount($D86,$G$3,10000))/([1]!s_dq_optionamount($D84,J$3,10000) +[1]!s_dq_optionamount($D85,J$3,10000)+[1]!s_dq_optionamount($D86,J$3,10000))-100</f>
        <v>-55.604463208814508</v>
      </c>
      <c r="K87" s="19">
        <f ca="1">100*([1]!s_dq_optionamount($D84,$G$3,10000) +[1]!s_dq_optionamount($D85,$G$3,10000)+[1]!s_dq_optionamount($D86,$G$3,10000))/([1]!s_dq_optionamount($D84,K$3,10000) +[1]!s_dq_optionamount($D85,K$3,10000)+[1]!s_dq_optionamount($D86,K$3,10000))-100</f>
        <v>6.4698995630877505</v>
      </c>
      <c r="L87" s="4"/>
      <c r="M87" s="3"/>
    </row>
    <row r="88" spans="1:13" ht="16.5" x14ac:dyDescent="0.35">
      <c r="A88" s="3"/>
      <c r="B88" s="4"/>
      <c r="C88" s="16"/>
      <c r="D88" s="10"/>
      <c r="E88" s="20"/>
      <c r="F88" s="20"/>
      <c r="G88" s="20"/>
      <c r="H88" s="20"/>
      <c r="I88" s="20"/>
      <c r="J88" s="20"/>
      <c r="K88" s="20"/>
      <c r="L88" s="4"/>
      <c r="M88" s="3"/>
    </row>
    <row r="89" spans="1:13" ht="16.5" x14ac:dyDescent="0.35">
      <c r="A89" s="3"/>
      <c r="B89" s="4"/>
      <c r="C89" s="22" t="s">
        <v>47</v>
      </c>
      <c r="D89" s="23"/>
      <c r="E89" s="24">
        <f ca="1">E74+E81+E87</f>
        <v>15.168057689999999</v>
      </c>
      <c r="F89" s="24">
        <f t="shared" ref="F89:G89" ca="1" si="16">F74+F81+F87</f>
        <v>14.49086177</v>
      </c>
      <c r="G89" s="24">
        <f t="shared" ca="1" si="16"/>
        <v>29.65891946</v>
      </c>
      <c r="H89" s="19">
        <f ca="1">100*([1]!s_dq_optionamount($D69,$G$3,10000)+[1]!s_dq_optionamount($D70,$G$3,10000) +[1]!s_dq_optionamount($D71,$G$3,10000)+[1]!s_dq_optionamount($D77,$G$3,10000)+[1]!s_dq_optionamount($D78,$G$3,10000)+[1]!s_dq_optionamount($D79,$G$3,10000) +[1]!s_dq_optionamount($D80,$G$3,10000)+[1]!s_dq_optionamount($D84,$G$3,10000)+[1]!s_dq_optionamount($D85,$G$3,10000)+[1]!s_dq_optionamount($D86,$G$3,10000))/([1]!s_dq_optionamount($D69,H$3,10000)+[1]!s_dq_optionamount($D70,H$3,10000) +[1]!s_dq_optionamount($D71,H$3,10000)+[1]!s_dq_optionamount($D77,H$3,10000)+[1]!s_dq_optionamount($D78,H$3,10000)+[1]!s_dq_optionamount($D79,H$3,10000) +[1]!s_dq_optionamount($D80,H$3,10000)+[1]!s_dq_optionamount($D84,H$3,10000)+[1]!s_dq_optionamount($D85,H$3,10000)+[1]!s_dq_optionamount($D86,H$3,10000))-100</f>
        <v>1.432198672931591</v>
      </c>
      <c r="I89" s="19">
        <f ca="1">100*([1]!s_dq_optionamount($D69,$G$3,10000)+[1]!s_dq_optionamount($D70,$G$3,10000) +[1]!s_dq_optionamount($D71,$G$3,10000)+[1]!s_dq_optionamount($D77,$G$3,10000)+[1]!s_dq_optionamount($D78,$G$3,10000)+[1]!s_dq_optionamount($D79,$G$3,10000) +[1]!s_dq_optionamount($D80,$G$3,10000)+[1]!s_dq_optionamount($D84,$G$3,10000)+[1]!s_dq_optionamount($D85,$G$3,10000)+[1]!s_dq_optionamount($D86,$G$3,10000))/([1]!s_dq_optionamount($D69,I$3,10000)+[1]!s_dq_optionamount($D70,I$3,10000) +[1]!s_dq_optionamount($D71,I$3,10000)+[1]!s_dq_optionamount($D77,I$3,10000)+[1]!s_dq_optionamount($D78,I$3,10000)+[1]!s_dq_optionamount($D79,I$3,10000) +[1]!s_dq_optionamount($D80,I$3,10000)+[1]!s_dq_optionamount($D84,I$3,10000)+[1]!s_dq_optionamount($D85,I$3,10000)+[1]!s_dq_optionamount($D86,I$3,10000))-100</f>
        <v>2.9310776143191219</v>
      </c>
      <c r="J89" s="19">
        <f ca="1">100*([1]!s_dq_optionamount($D69,$G$3,10000)+[1]!s_dq_optionamount($D70,$G$3,10000) +[1]!s_dq_optionamount($D71,$G$3,10000)+[1]!s_dq_optionamount($D77,$G$3,10000)+[1]!s_dq_optionamount($D78,$G$3,10000)+[1]!s_dq_optionamount($D79,$G$3,10000) +[1]!s_dq_optionamount($D80,$G$3,10000)+[1]!s_dq_optionamount($D84,$G$3,10000)+[1]!s_dq_optionamount($D85,$G$3,10000)+[1]!s_dq_optionamount($D86,$G$3,10000))/([1]!s_dq_optionamount($D69,J$3,10000)+[1]!s_dq_optionamount($D70,J$3,10000) +[1]!s_dq_optionamount($D71,J$3,10000)+[1]!s_dq_optionamount($D77,J$3,10000)+[1]!s_dq_optionamount($D78,J$3,10000)+[1]!s_dq_optionamount($D79,J$3,10000) +[1]!s_dq_optionamount($D80,J$3,10000)+[1]!s_dq_optionamount($D84,J$3,10000)+[1]!s_dq_optionamount($D85,J$3,10000)+[1]!s_dq_optionamount($D86,J$3,10000))-100</f>
        <v>-51.172798593211184</v>
      </c>
      <c r="K89" s="19">
        <f ca="1">100*([1]!s_dq_optionamount($D69,$G$3,10000)+[1]!s_dq_optionamount($D70,$G$3,10000) +[1]!s_dq_optionamount($D71,$G$3,10000)+[1]!s_dq_optionamount($D77,$G$3,10000)+[1]!s_dq_optionamount($D78,$G$3,10000)+[1]!s_dq_optionamount($D79,$G$3,10000) +[1]!s_dq_optionamount($D80,$G$3,10000)+[1]!s_dq_optionamount($D84,$G$3,10000)+[1]!s_dq_optionamount($D85,$G$3,10000)+[1]!s_dq_optionamount($D86,$G$3,10000))/([1]!s_dq_optionamount($D69,K$3,10000)+[1]!s_dq_optionamount($D70,K$3,10000) +[1]!s_dq_optionamount($D71,K$3,10000)+[1]!s_dq_optionamount($D77,K$3,10000)+[1]!s_dq_optionamount($D78,K$3,10000)+[1]!s_dq_optionamount($D79,K$3,10000) +[1]!s_dq_optionamount($D80,K$3,10000)+[1]!s_dq_optionamount($D84,K$3,10000)+[1]!s_dq_optionamount($D85,K$3,10000)+[1]!s_dq_optionamount($D86,K$3,10000))-100</f>
        <v>-7.4838122480280447</v>
      </c>
      <c r="L89" s="4"/>
      <c r="M89" s="3"/>
    </row>
    <row r="90" spans="1:13" ht="16.5" x14ac:dyDescent="0.35">
      <c r="A90" s="3"/>
      <c r="B90" s="4"/>
      <c r="C90" s="7"/>
      <c r="D90" s="7"/>
      <c r="E90" s="7"/>
      <c r="F90" s="7"/>
      <c r="G90" s="7"/>
      <c r="H90" s="7"/>
      <c r="I90" s="7"/>
      <c r="J90" s="7"/>
      <c r="K90" s="4"/>
      <c r="L90" s="4"/>
      <c r="M90" s="3"/>
    </row>
    <row r="91" spans="1:13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</sheetData>
  <phoneticPr fontId="1" type="noConversion"/>
  <conditionalFormatting sqref="H17:K17 J46:K46 J76:K76">
    <cfRule type="cellIs" dxfId="235" priority="927" operator="greaterThanOrEqual">
      <formula>0</formula>
    </cfRule>
    <cfRule type="cellIs" dxfId="234" priority="928" operator="lessThan">
      <formula>0</formula>
    </cfRule>
  </conditionalFormatting>
  <conditionalFormatting sqref="H16:I16">
    <cfRule type="cellIs" dxfId="233" priority="923" operator="greaterThanOrEqual">
      <formula>0</formula>
    </cfRule>
    <cfRule type="cellIs" dxfId="232" priority="924" operator="lessThan">
      <formula>0</formula>
    </cfRule>
  </conditionalFormatting>
  <conditionalFormatting sqref="H23:I23">
    <cfRule type="cellIs" dxfId="231" priority="919" operator="greaterThanOrEqual">
      <formula>0</formula>
    </cfRule>
    <cfRule type="cellIs" dxfId="230" priority="920" operator="lessThan">
      <formula>0</formula>
    </cfRule>
  </conditionalFormatting>
  <conditionalFormatting sqref="J16:K16">
    <cfRule type="cellIs" dxfId="229" priority="911" operator="greaterThanOrEqual">
      <formula>0</formula>
    </cfRule>
    <cfRule type="cellIs" dxfId="228" priority="912" operator="lessThan">
      <formula>0</formula>
    </cfRule>
  </conditionalFormatting>
  <conditionalFormatting sqref="J23:K23">
    <cfRule type="cellIs" dxfId="227" priority="907" operator="greaterThanOrEqual">
      <formula>0</formula>
    </cfRule>
    <cfRule type="cellIs" dxfId="226" priority="908" operator="lessThan">
      <formula>0</formula>
    </cfRule>
  </conditionalFormatting>
  <conditionalFormatting sqref="H10:H12 H14">
    <cfRule type="cellIs" dxfId="225" priority="719" operator="greaterThanOrEqual">
      <formula>0</formula>
    </cfRule>
    <cfRule type="cellIs" dxfId="224" priority="720" operator="lessThan">
      <formula>0</formula>
    </cfRule>
  </conditionalFormatting>
  <conditionalFormatting sqref="I10:J12 I14:J14">
    <cfRule type="cellIs" dxfId="223" priority="717" operator="greaterThanOrEqual">
      <formula>0</formula>
    </cfRule>
    <cfRule type="cellIs" dxfId="222" priority="718" operator="lessThan">
      <formula>0</formula>
    </cfRule>
  </conditionalFormatting>
  <conditionalFormatting sqref="K10:K12 K14">
    <cfRule type="cellIs" dxfId="221" priority="715" operator="greaterThanOrEqual">
      <formula>0</formula>
    </cfRule>
    <cfRule type="cellIs" dxfId="220" priority="716" operator="lessThan">
      <formula>0</formula>
    </cfRule>
  </conditionalFormatting>
  <conditionalFormatting sqref="H18:H20">
    <cfRule type="cellIs" dxfId="219" priority="711" operator="greaterThanOrEqual">
      <formula>0</formula>
    </cfRule>
    <cfRule type="cellIs" dxfId="218" priority="712" operator="lessThan">
      <formula>0</formula>
    </cfRule>
  </conditionalFormatting>
  <conditionalFormatting sqref="I18:J20">
    <cfRule type="cellIs" dxfId="217" priority="709" operator="greaterThanOrEqual">
      <formula>0</formula>
    </cfRule>
    <cfRule type="cellIs" dxfId="216" priority="710" operator="lessThan">
      <formula>0</formula>
    </cfRule>
  </conditionalFormatting>
  <conditionalFormatting sqref="K18:K20">
    <cfRule type="cellIs" dxfId="215" priority="707" operator="greaterThanOrEqual">
      <formula>0</formula>
    </cfRule>
    <cfRule type="cellIs" dxfId="214" priority="708" operator="lessThan">
      <formula>0</formula>
    </cfRule>
  </conditionalFormatting>
  <conditionalFormatting sqref="H21">
    <cfRule type="cellIs" dxfId="213" priority="703" operator="greaterThanOrEqual">
      <formula>0</formula>
    </cfRule>
    <cfRule type="cellIs" dxfId="212" priority="704" operator="lessThan">
      <formula>0</formula>
    </cfRule>
  </conditionalFormatting>
  <conditionalFormatting sqref="I21:J21">
    <cfRule type="cellIs" dxfId="211" priority="701" operator="greaterThanOrEqual">
      <formula>0</formula>
    </cfRule>
    <cfRule type="cellIs" dxfId="210" priority="702" operator="lessThan">
      <formula>0</formula>
    </cfRule>
  </conditionalFormatting>
  <conditionalFormatting sqref="K21">
    <cfRule type="cellIs" dxfId="209" priority="699" operator="greaterThanOrEqual">
      <formula>0</formula>
    </cfRule>
    <cfRule type="cellIs" dxfId="208" priority="700" operator="lessThan">
      <formula>0</formula>
    </cfRule>
  </conditionalFormatting>
  <conditionalFormatting sqref="H24:H26">
    <cfRule type="cellIs" dxfId="207" priority="681" operator="greaterThanOrEqual">
      <formula>0</formula>
    </cfRule>
    <cfRule type="cellIs" dxfId="206" priority="682" operator="lessThan">
      <formula>0</formula>
    </cfRule>
  </conditionalFormatting>
  <conditionalFormatting sqref="I24:J26">
    <cfRule type="cellIs" dxfId="205" priority="679" operator="greaterThanOrEqual">
      <formula>0</formula>
    </cfRule>
    <cfRule type="cellIs" dxfId="204" priority="680" operator="lessThan">
      <formula>0</formula>
    </cfRule>
  </conditionalFormatting>
  <conditionalFormatting sqref="K24:K26">
    <cfRule type="cellIs" dxfId="203" priority="677" operator="greaterThanOrEqual">
      <formula>0</formula>
    </cfRule>
    <cfRule type="cellIs" dxfId="202" priority="678" operator="lessThan">
      <formula>0</formula>
    </cfRule>
  </conditionalFormatting>
  <conditionalFormatting sqref="H27">
    <cfRule type="cellIs" dxfId="201" priority="673" operator="greaterThanOrEqual">
      <formula>0</formula>
    </cfRule>
    <cfRule type="cellIs" dxfId="200" priority="674" operator="lessThan">
      <formula>0</formula>
    </cfRule>
  </conditionalFormatting>
  <conditionalFormatting sqref="I27:J27">
    <cfRule type="cellIs" dxfId="199" priority="671" operator="greaterThanOrEqual">
      <formula>0</formula>
    </cfRule>
    <cfRule type="cellIs" dxfId="198" priority="672" operator="lessThan">
      <formula>0</formula>
    </cfRule>
  </conditionalFormatting>
  <conditionalFormatting sqref="K27">
    <cfRule type="cellIs" dxfId="197" priority="669" operator="greaterThanOrEqual">
      <formula>0</formula>
    </cfRule>
    <cfRule type="cellIs" dxfId="196" priority="670" operator="lessThan">
      <formula>0</formula>
    </cfRule>
  </conditionalFormatting>
  <conditionalFormatting sqref="H29">
    <cfRule type="cellIs" dxfId="195" priority="665" operator="greaterThanOrEqual">
      <formula>0</formula>
    </cfRule>
    <cfRule type="cellIs" dxfId="194" priority="666" operator="lessThan">
      <formula>0</formula>
    </cfRule>
  </conditionalFormatting>
  <conditionalFormatting sqref="I29:J29">
    <cfRule type="cellIs" dxfId="193" priority="663" operator="greaterThanOrEqual">
      <formula>0</formula>
    </cfRule>
    <cfRule type="cellIs" dxfId="192" priority="664" operator="lessThan">
      <formula>0</formula>
    </cfRule>
  </conditionalFormatting>
  <conditionalFormatting sqref="K29">
    <cfRule type="cellIs" dxfId="191" priority="661" operator="greaterThanOrEqual">
      <formula>0</formula>
    </cfRule>
    <cfRule type="cellIs" dxfId="190" priority="662" operator="lessThan">
      <formula>0</formula>
    </cfRule>
  </conditionalFormatting>
  <conditionalFormatting sqref="H15">
    <cfRule type="cellIs" dxfId="189" priority="499" operator="greaterThanOrEqual">
      <formula>0</formula>
    </cfRule>
    <cfRule type="cellIs" dxfId="188" priority="500" operator="lessThan">
      <formula>0</formula>
    </cfRule>
  </conditionalFormatting>
  <conditionalFormatting sqref="I15:J15">
    <cfRule type="cellIs" dxfId="187" priority="497" operator="greaterThanOrEqual">
      <formula>0</formula>
    </cfRule>
    <cfRule type="cellIs" dxfId="186" priority="498" operator="lessThan">
      <formula>0</formula>
    </cfRule>
  </conditionalFormatting>
  <conditionalFormatting sqref="K15">
    <cfRule type="cellIs" dxfId="185" priority="495" operator="greaterThanOrEqual">
      <formula>0</formula>
    </cfRule>
    <cfRule type="cellIs" dxfId="184" priority="496" operator="lessThan">
      <formula>0</formula>
    </cfRule>
  </conditionalFormatting>
  <conditionalFormatting sqref="H28">
    <cfRule type="cellIs" dxfId="183" priority="487" operator="greaterThanOrEqual">
      <formula>0</formula>
    </cfRule>
    <cfRule type="cellIs" dxfId="182" priority="488" operator="lessThan">
      <formula>0</formula>
    </cfRule>
  </conditionalFormatting>
  <conditionalFormatting sqref="I28:J28">
    <cfRule type="cellIs" dxfId="181" priority="485" operator="greaterThanOrEqual">
      <formula>0</formula>
    </cfRule>
    <cfRule type="cellIs" dxfId="180" priority="486" operator="lessThan">
      <formula>0</formula>
    </cfRule>
  </conditionalFormatting>
  <conditionalFormatting sqref="K28">
    <cfRule type="cellIs" dxfId="179" priority="483" operator="greaterThanOrEqual">
      <formula>0</formula>
    </cfRule>
    <cfRule type="cellIs" dxfId="178" priority="484" operator="lessThan">
      <formula>0</formula>
    </cfRule>
  </conditionalFormatting>
  <conditionalFormatting sqref="H30">
    <cfRule type="cellIs" dxfId="177" priority="477" operator="greaterThanOrEqual">
      <formula>0</formula>
    </cfRule>
    <cfRule type="cellIs" dxfId="176" priority="478" operator="lessThan">
      <formula>0</formula>
    </cfRule>
  </conditionalFormatting>
  <conditionalFormatting sqref="I30:J30">
    <cfRule type="cellIs" dxfId="175" priority="475" operator="greaterThanOrEqual">
      <formula>0</formula>
    </cfRule>
    <cfRule type="cellIs" dxfId="174" priority="476" operator="lessThan">
      <formula>0</formula>
    </cfRule>
  </conditionalFormatting>
  <conditionalFormatting sqref="K30">
    <cfRule type="cellIs" dxfId="173" priority="473" operator="greaterThanOrEqual">
      <formula>0</formula>
    </cfRule>
    <cfRule type="cellIs" dxfId="172" priority="474" operator="lessThan">
      <formula>0</formula>
    </cfRule>
  </conditionalFormatting>
  <conditionalFormatting sqref="H22">
    <cfRule type="cellIs" dxfId="171" priority="469" operator="greaterThanOrEqual">
      <formula>0</formula>
    </cfRule>
    <cfRule type="cellIs" dxfId="170" priority="470" operator="lessThan">
      <formula>0</formula>
    </cfRule>
  </conditionalFormatting>
  <conditionalFormatting sqref="I22:J22">
    <cfRule type="cellIs" dxfId="169" priority="467" operator="greaterThanOrEqual">
      <formula>0</formula>
    </cfRule>
    <cfRule type="cellIs" dxfId="168" priority="468" operator="lessThan">
      <formula>0</formula>
    </cfRule>
  </conditionalFormatting>
  <conditionalFormatting sqref="K22">
    <cfRule type="cellIs" dxfId="167" priority="465" operator="greaterThanOrEqual">
      <formula>0</formula>
    </cfRule>
    <cfRule type="cellIs" dxfId="166" priority="466" operator="lessThan">
      <formula>0</formula>
    </cfRule>
  </conditionalFormatting>
  <conditionalFormatting sqref="H46:I46">
    <cfRule type="cellIs" dxfId="165" priority="227" operator="greaterThanOrEqual">
      <formula>0</formula>
    </cfRule>
    <cfRule type="cellIs" dxfId="164" priority="228" operator="lessThan">
      <formula>0</formula>
    </cfRule>
  </conditionalFormatting>
  <conditionalFormatting sqref="H45:I45">
    <cfRule type="cellIs" dxfId="163" priority="225" operator="greaterThanOrEqual">
      <formula>0</formula>
    </cfRule>
    <cfRule type="cellIs" dxfId="162" priority="226" operator="lessThan">
      <formula>0</formula>
    </cfRule>
  </conditionalFormatting>
  <conditionalFormatting sqref="H52:I52">
    <cfRule type="cellIs" dxfId="161" priority="223" operator="greaterThanOrEqual">
      <formula>0</formula>
    </cfRule>
    <cfRule type="cellIs" dxfId="160" priority="224" operator="lessThan">
      <formula>0</formula>
    </cfRule>
  </conditionalFormatting>
  <conditionalFormatting sqref="J45:K45">
    <cfRule type="cellIs" dxfId="159" priority="217" operator="greaterThanOrEqual">
      <formula>0</formula>
    </cfRule>
    <cfRule type="cellIs" dxfId="158" priority="218" operator="lessThan">
      <formula>0</formula>
    </cfRule>
  </conditionalFormatting>
  <conditionalFormatting sqref="J52:K52">
    <cfRule type="cellIs" dxfId="157" priority="213" operator="greaterThanOrEqual">
      <formula>0</formula>
    </cfRule>
    <cfRule type="cellIs" dxfId="156" priority="214" operator="lessThan">
      <formula>0</formula>
    </cfRule>
  </conditionalFormatting>
  <conditionalFormatting sqref="H39:H41 H43">
    <cfRule type="cellIs" dxfId="155" priority="211" operator="greaterThanOrEqual">
      <formula>0</formula>
    </cfRule>
    <cfRule type="cellIs" dxfId="154" priority="212" operator="lessThan">
      <formula>0</formula>
    </cfRule>
  </conditionalFormatting>
  <conditionalFormatting sqref="I39:J41 I43:J43">
    <cfRule type="cellIs" dxfId="153" priority="209" operator="greaterThanOrEqual">
      <formula>0</formula>
    </cfRule>
    <cfRule type="cellIs" dxfId="152" priority="210" operator="lessThan">
      <formula>0</formula>
    </cfRule>
  </conditionalFormatting>
  <conditionalFormatting sqref="K39:K41 K43">
    <cfRule type="cellIs" dxfId="151" priority="207" operator="greaterThanOrEqual">
      <formula>0</formula>
    </cfRule>
    <cfRule type="cellIs" dxfId="150" priority="208" operator="lessThan">
      <formula>0</formula>
    </cfRule>
  </conditionalFormatting>
  <conditionalFormatting sqref="H47:H49">
    <cfRule type="cellIs" dxfId="149" priority="203" operator="greaterThanOrEqual">
      <formula>0</formula>
    </cfRule>
    <cfRule type="cellIs" dxfId="148" priority="204" operator="lessThan">
      <formula>0</formula>
    </cfRule>
  </conditionalFormatting>
  <conditionalFormatting sqref="I47:J49">
    <cfRule type="cellIs" dxfId="147" priority="201" operator="greaterThanOrEqual">
      <formula>0</formula>
    </cfRule>
    <cfRule type="cellIs" dxfId="146" priority="202" operator="lessThan">
      <formula>0</formula>
    </cfRule>
  </conditionalFormatting>
  <conditionalFormatting sqref="K47:K49">
    <cfRule type="cellIs" dxfId="145" priority="199" operator="greaterThanOrEqual">
      <formula>0</formula>
    </cfRule>
    <cfRule type="cellIs" dxfId="144" priority="200" operator="lessThan">
      <formula>0</formula>
    </cfRule>
  </conditionalFormatting>
  <conditionalFormatting sqref="H50">
    <cfRule type="cellIs" dxfId="143" priority="195" operator="greaterThanOrEqual">
      <formula>0</formula>
    </cfRule>
    <cfRule type="cellIs" dxfId="142" priority="196" operator="lessThan">
      <formula>0</formula>
    </cfRule>
  </conditionalFormatting>
  <conditionalFormatting sqref="I50:J50">
    <cfRule type="cellIs" dxfId="141" priority="193" operator="greaterThanOrEqual">
      <formula>0</formula>
    </cfRule>
    <cfRule type="cellIs" dxfId="140" priority="194" operator="lessThan">
      <formula>0</formula>
    </cfRule>
  </conditionalFormatting>
  <conditionalFormatting sqref="K50">
    <cfRule type="cellIs" dxfId="139" priority="191" operator="greaterThanOrEqual">
      <formula>0</formula>
    </cfRule>
    <cfRule type="cellIs" dxfId="138" priority="192" operator="lessThan">
      <formula>0</formula>
    </cfRule>
  </conditionalFormatting>
  <conditionalFormatting sqref="H53:H55">
    <cfRule type="cellIs" dxfId="137" priority="187" operator="greaterThanOrEqual">
      <formula>0</formula>
    </cfRule>
    <cfRule type="cellIs" dxfId="136" priority="188" operator="lessThan">
      <formula>0</formula>
    </cfRule>
  </conditionalFormatting>
  <conditionalFormatting sqref="I53:J55">
    <cfRule type="cellIs" dxfId="135" priority="185" operator="greaterThanOrEqual">
      <formula>0</formula>
    </cfRule>
    <cfRule type="cellIs" dxfId="134" priority="186" operator="lessThan">
      <formula>0</formula>
    </cfRule>
  </conditionalFormatting>
  <conditionalFormatting sqref="K53:K55">
    <cfRule type="cellIs" dxfId="133" priority="183" operator="greaterThanOrEqual">
      <formula>0</formula>
    </cfRule>
    <cfRule type="cellIs" dxfId="132" priority="184" operator="lessThan">
      <formula>0</formula>
    </cfRule>
  </conditionalFormatting>
  <conditionalFormatting sqref="H56">
    <cfRule type="cellIs" dxfId="131" priority="179" operator="greaterThanOrEqual">
      <formula>0</formula>
    </cfRule>
    <cfRule type="cellIs" dxfId="130" priority="180" operator="lessThan">
      <formula>0</formula>
    </cfRule>
  </conditionalFormatting>
  <conditionalFormatting sqref="I56:J56">
    <cfRule type="cellIs" dxfId="129" priority="177" operator="greaterThanOrEqual">
      <formula>0</formula>
    </cfRule>
    <cfRule type="cellIs" dxfId="128" priority="178" operator="lessThan">
      <formula>0</formula>
    </cfRule>
  </conditionalFormatting>
  <conditionalFormatting sqref="K56">
    <cfRule type="cellIs" dxfId="127" priority="175" operator="greaterThanOrEqual">
      <formula>0</formula>
    </cfRule>
    <cfRule type="cellIs" dxfId="126" priority="176" operator="lessThan">
      <formula>0</formula>
    </cfRule>
  </conditionalFormatting>
  <conditionalFormatting sqref="H58">
    <cfRule type="cellIs" dxfId="125" priority="171" operator="greaterThanOrEqual">
      <formula>0</formula>
    </cfRule>
    <cfRule type="cellIs" dxfId="124" priority="172" operator="lessThan">
      <formula>0</formula>
    </cfRule>
  </conditionalFormatting>
  <conditionalFormatting sqref="I58:J58">
    <cfRule type="cellIs" dxfId="123" priority="169" operator="greaterThanOrEqual">
      <formula>0</formula>
    </cfRule>
    <cfRule type="cellIs" dxfId="122" priority="170" operator="lessThan">
      <formula>0</formula>
    </cfRule>
  </conditionalFormatting>
  <conditionalFormatting sqref="K58">
    <cfRule type="cellIs" dxfId="121" priority="167" operator="greaterThanOrEqual">
      <formula>0</formula>
    </cfRule>
    <cfRule type="cellIs" dxfId="120" priority="168" operator="lessThan">
      <formula>0</formula>
    </cfRule>
  </conditionalFormatting>
  <conditionalFormatting sqref="H44">
    <cfRule type="cellIs" dxfId="119" priority="163" operator="greaterThanOrEqual">
      <formula>0</formula>
    </cfRule>
    <cfRule type="cellIs" dxfId="118" priority="164" operator="lessThan">
      <formula>0</formula>
    </cfRule>
  </conditionalFormatting>
  <conditionalFormatting sqref="I44:J44">
    <cfRule type="cellIs" dxfId="117" priority="161" operator="greaterThanOrEqual">
      <formula>0</formula>
    </cfRule>
    <cfRule type="cellIs" dxfId="116" priority="162" operator="lessThan">
      <formula>0</formula>
    </cfRule>
  </conditionalFormatting>
  <conditionalFormatting sqref="K44">
    <cfRule type="cellIs" dxfId="115" priority="159" operator="greaterThanOrEqual">
      <formula>0</formula>
    </cfRule>
    <cfRule type="cellIs" dxfId="114" priority="160" operator="lessThan">
      <formula>0</formula>
    </cfRule>
  </conditionalFormatting>
  <conditionalFormatting sqref="H57">
    <cfRule type="cellIs" dxfId="113" priority="155" operator="greaterThanOrEqual">
      <formula>0</formula>
    </cfRule>
    <cfRule type="cellIs" dxfId="112" priority="156" operator="lessThan">
      <formula>0</formula>
    </cfRule>
  </conditionalFormatting>
  <conditionalFormatting sqref="I57:J57">
    <cfRule type="cellIs" dxfId="111" priority="153" operator="greaterThanOrEqual">
      <formula>0</formula>
    </cfRule>
    <cfRule type="cellIs" dxfId="110" priority="154" operator="lessThan">
      <formula>0</formula>
    </cfRule>
  </conditionalFormatting>
  <conditionalFormatting sqref="K57">
    <cfRule type="cellIs" dxfId="109" priority="151" operator="greaterThanOrEqual">
      <formula>0</formula>
    </cfRule>
    <cfRule type="cellIs" dxfId="108" priority="152" operator="lessThan">
      <formula>0</formula>
    </cfRule>
  </conditionalFormatting>
  <conditionalFormatting sqref="H59">
    <cfRule type="cellIs" dxfId="107" priority="147" operator="greaterThanOrEqual">
      <formula>0</formula>
    </cfRule>
    <cfRule type="cellIs" dxfId="106" priority="148" operator="lessThan">
      <formula>0</formula>
    </cfRule>
  </conditionalFormatting>
  <conditionalFormatting sqref="I59:J59">
    <cfRule type="cellIs" dxfId="105" priority="145" operator="greaterThanOrEqual">
      <formula>0</formula>
    </cfRule>
    <cfRule type="cellIs" dxfId="104" priority="146" operator="lessThan">
      <formula>0</formula>
    </cfRule>
  </conditionalFormatting>
  <conditionalFormatting sqref="K59">
    <cfRule type="cellIs" dxfId="103" priority="143" operator="greaterThanOrEqual">
      <formula>0</formula>
    </cfRule>
    <cfRule type="cellIs" dxfId="102" priority="144" operator="lessThan">
      <formula>0</formula>
    </cfRule>
  </conditionalFormatting>
  <conditionalFormatting sqref="H51">
    <cfRule type="cellIs" dxfId="101" priority="139" operator="greaterThanOrEqual">
      <formula>0</formula>
    </cfRule>
    <cfRule type="cellIs" dxfId="100" priority="140" operator="lessThan">
      <formula>0</formula>
    </cfRule>
  </conditionalFormatting>
  <conditionalFormatting sqref="I51:J51">
    <cfRule type="cellIs" dxfId="99" priority="137" operator="greaterThanOrEqual">
      <formula>0</formula>
    </cfRule>
    <cfRule type="cellIs" dxfId="98" priority="138" operator="lessThan">
      <formula>0</formula>
    </cfRule>
  </conditionalFormatting>
  <conditionalFormatting sqref="K51">
    <cfRule type="cellIs" dxfId="97" priority="135" operator="greaterThanOrEqual">
      <formula>0</formula>
    </cfRule>
    <cfRule type="cellIs" dxfId="96" priority="136" operator="lessThan">
      <formula>0</formula>
    </cfRule>
  </conditionalFormatting>
  <conditionalFormatting sqref="H76:I76">
    <cfRule type="cellIs" dxfId="95" priority="131" operator="greaterThanOrEqual">
      <formula>0</formula>
    </cfRule>
    <cfRule type="cellIs" dxfId="94" priority="132" operator="lessThan">
      <formula>0</formula>
    </cfRule>
  </conditionalFormatting>
  <conditionalFormatting sqref="H75:I75">
    <cfRule type="cellIs" dxfId="93" priority="129" operator="greaterThanOrEqual">
      <formula>0</formula>
    </cfRule>
    <cfRule type="cellIs" dxfId="92" priority="130" operator="lessThan">
      <formula>0</formula>
    </cfRule>
  </conditionalFormatting>
  <conditionalFormatting sqref="H82:I82">
    <cfRule type="cellIs" dxfId="91" priority="127" operator="greaterThanOrEqual">
      <formula>0</formula>
    </cfRule>
    <cfRule type="cellIs" dxfId="90" priority="128" operator="lessThan">
      <formula>0</formula>
    </cfRule>
  </conditionalFormatting>
  <conditionalFormatting sqref="J75:K75">
    <cfRule type="cellIs" dxfId="89" priority="121" operator="greaterThanOrEqual">
      <formula>0</formula>
    </cfRule>
    <cfRule type="cellIs" dxfId="88" priority="122" operator="lessThan">
      <formula>0</formula>
    </cfRule>
  </conditionalFormatting>
  <conditionalFormatting sqref="J82:K82">
    <cfRule type="cellIs" dxfId="87" priority="117" operator="greaterThanOrEqual">
      <formula>0</formula>
    </cfRule>
    <cfRule type="cellIs" dxfId="86" priority="118" operator="lessThan">
      <formula>0</formula>
    </cfRule>
  </conditionalFormatting>
  <conditionalFormatting sqref="H69:H71 H73">
    <cfRule type="cellIs" dxfId="85" priority="115" operator="greaterThanOrEqual">
      <formula>0</formula>
    </cfRule>
    <cfRule type="cellIs" dxfId="84" priority="116" operator="lessThan">
      <formula>0</formula>
    </cfRule>
  </conditionalFormatting>
  <conditionalFormatting sqref="I69:J71 I73:J73">
    <cfRule type="cellIs" dxfId="83" priority="113" operator="greaterThanOrEqual">
      <formula>0</formula>
    </cfRule>
    <cfRule type="cellIs" dxfId="82" priority="114" operator="lessThan">
      <formula>0</formula>
    </cfRule>
  </conditionalFormatting>
  <conditionalFormatting sqref="K69:K71 K73">
    <cfRule type="cellIs" dxfId="81" priority="111" operator="greaterThanOrEqual">
      <formula>0</formula>
    </cfRule>
    <cfRule type="cellIs" dxfId="80" priority="112" operator="lessThan">
      <formula>0</formula>
    </cfRule>
  </conditionalFormatting>
  <conditionalFormatting sqref="H77:H79">
    <cfRule type="cellIs" dxfId="79" priority="107" operator="greaterThanOrEqual">
      <formula>0</formula>
    </cfRule>
    <cfRule type="cellIs" dxfId="78" priority="108" operator="lessThan">
      <formula>0</formula>
    </cfRule>
  </conditionalFormatting>
  <conditionalFormatting sqref="I77:J79">
    <cfRule type="cellIs" dxfId="77" priority="105" operator="greaterThanOrEqual">
      <formula>0</formula>
    </cfRule>
    <cfRule type="cellIs" dxfId="76" priority="106" operator="lessThan">
      <formula>0</formula>
    </cfRule>
  </conditionalFormatting>
  <conditionalFormatting sqref="K77:K79">
    <cfRule type="cellIs" dxfId="75" priority="103" operator="greaterThanOrEqual">
      <formula>0</formula>
    </cfRule>
    <cfRule type="cellIs" dxfId="74" priority="104" operator="lessThan">
      <formula>0</formula>
    </cfRule>
  </conditionalFormatting>
  <conditionalFormatting sqref="H80">
    <cfRule type="cellIs" dxfId="73" priority="99" operator="greaterThanOrEqual">
      <formula>0</formula>
    </cfRule>
    <cfRule type="cellIs" dxfId="72" priority="100" operator="lessThan">
      <formula>0</formula>
    </cfRule>
  </conditionalFormatting>
  <conditionalFormatting sqref="I80:J80">
    <cfRule type="cellIs" dxfId="71" priority="97" operator="greaterThanOrEqual">
      <formula>0</formula>
    </cfRule>
    <cfRule type="cellIs" dxfId="70" priority="98" operator="lessThan">
      <formula>0</formula>
    </cfRule>
  </conditionalFormatting>
  <conditionalFormatting sqref="K80">
    <cfRule type="cellIs" dxfId="69" priority="95" operator="greaterThanOrEqual">
      <formula>0</formula>
    </cfRule>
    <cfRule type="cellIs" dxfId="68" priority="96" operator="lessThan">
      <formula>0</formula>
    </cfRule>
  </conditionalFormatting>
  <conditionalFormatting sqref="H83:H85">
    <cfRule type="cellIs" dxfId="67" priority="91" operator="greaterThanOrEqual">
      <formula>0</formula>
    </cfRule>
    <cfRule type="cellIs" dxfId="66" priority="92" operator="lessThan">
      <formula>0</formula>
    </cfRule>
  </conditionalFormatting>
  <conditionalFormatting sqref="I83:J85">
    <cfRule type="cellIs" dxfId="65" priority="89" operator="greaterThanOrEqual">
      <formula>0</formula>
    </cfRule>
    <cfRule type="cellIs" dxfId="64" priority="90" operator="lessThan">
      <formula>0</formula>
    </cfRule>
  </conditionalFormatting>
  <conditionalFormatting sqref="K83:K85">
    <cfRule type="cellIs" dxfId="63" priority="87" operator="greaterThanOrEqual">
      <formula>0</formula>
    </cfRule>
    <cfRule type="cellIs" dxfId="62" priority="88" operator="lessThan">
      <formula>0</formula>
    </cfRule>
  </conditionalFormatting>
  <conditionalFormatting sqref="H86">
    <cfRule type="cellIs" dxfId="61" priority="83" operator="greaterThanOrEqual">
      <formula>0</formula>
    </cfRule>
    <cfRule type="cellIs" dxfId="60" priority="84" operator="lessThan">
      <formula>0</formula>
    </cfRule>
  </conditionalFormatting>
  <conditionalFormatting sqref="I86:J86">
    <cfRule type="cellIs" dxfId="59" priority="81" operator="greaterThanOrEqual">
      <formula>0</formula>
    </cfRule>
    <cfRule type="cellIs" dxfId="58" priority="82" operator="lessThan">
      <formula>0</formula>
    </cfRule>
  </conditionalFormatting>
  <conditionalFormatting sqref="K86">
    <cfRule type="cellIs" dxfId="57" priority="79" operator="greaterThanOrEqual">
      <formula>0</formula>
    </cfRule>
    <cfRule type="cellIs" dxfId="56" priority="80" operator="lessThan">
      <formula>0</formula>
    </cfRule>
  </conditionalFormatting>
  <conditionalFormatting sqref="H88">
    <cfRule type="cellIs" dxfId="55" priority="75" operator="greaterThanOrEqual">
      <formula>0</formula>
    </cfRule>
    <cfRule type="cellIs" dxfId="54" priority="76" operator="lessThan">
      <formula>0</formula>
    </cfRule>
  </conditionalFormatting>
  <conditionalFormatting sqref="I88:J88">
    <cfRule type="cellIs" dxfId="53" priority="73" operator="greaterThanOrEqual">
      <formula>0</formula>
    </cfRule>
    <cfRule type="cellIs" dxfId="52" priority="74" operator="lessThan">
      <formula>0</formula>
    </cfRule>
  </conditionalFormatting>
  <conditionalFormatting sqref="K88">
    <cfRule type="cellIs" dxfId="51" priority="71" operator="greaterThanOrEqual">
      <formula>0</formula>
    </cfRule>
    <cfRule type="cellIs" dxfId="50" priority="72" operator="lessThan">
      <formula>0</formula>
    </cfRule>
  </conditionalFormatting>
  <conditionalFormatting sqref="H74">
    <cfRule type="cellIs" dxfId="49" priority="67" operator="greaterThanOrEqual">
      <formula>0</formula>
    </cfRule>
    <cfRule type="cellIs" dxfId="48" priority="68" operator="lessThan">
      <formula>0</formula>
    </cfRule>
  </conditionalFormatting>
  <conditionalFormatting sqref="I74:J74">
    <cfRule type="cellIs" dxfId="47" priority="65" operator="greaterThanOrEqual">
      <formula>0</formula>
    </cfRule>
    <cfRule type="cellIs" dxfId="46" priority="66" operator="lessThan">
      <formula>0</formula>
    </cfRule>
  </conditionalFormatting>
  <conditionalFormatting sqref="K74">
    <cfRule type="cellIs" dxfId="45" priority="63" operator="greaterThanOrEqual">
      <formula>0</formula>
    </cfRule>
    <cfRule type="cellIs" dxfId="44" priority="64" operator="lessThan">
      <formula>0</formula>
    </cfRule>
  </conditionalFormatting>
  <conditionalFormatting sqref="H87">
    <cfRule type="cellIs" dxfId="43" priority="59" operator="greaterThanOrEqual">
      <formula>0</formula>
    </cfRule>
    <cfRule type="cellIs" dxfId="42" priority="60" operator="lessThan">
      <formula>0</formula>
    </cfRule>
  </conditionalFormatting>
  <conditionalFormatting sqref="I87:J87">
    <cfRule type="cellIs" dxfId="41" priority="57" operator="greaterThanOrEqual">
      <formula>0</formula>
    </cfRule>
    <cfRule type="cellIs" dxfId="40" priority="58" operator="lessThan">
      <formula>0</formula>
    </cfRule>
  </conditionalFormatting>
  <conditionalFormatting sqref="K87">
    <cfRule type="cellIs" dxfId="39" priority="55" operator="greaterThanOrEqual">
      <formula>0</formula>
    </cfRule>
    <cfRule type="cellIs" dxfId="38" priority="56" operator="lessThan">
      <formula>0</formula>
    </cfRule>
  </conditionalFormatting>
  <conditionalFormatting sqref="H89">
    <cfRule type="cellIs" dxfId="37" priority="51" operator="greaterThanOrEqual">
      <formula>0</formula>
    </cfRule>
    <cfRule type="cellIs" dxfId="36" priority="52" operator="lessThan">
      <formula>0</formula>
    </cfRule>
  </conditionalFormatting>
  <conditionalFormatting sqref="I89:J89">
    <cfRule type="cellIs" dxfId="35" priority="49" operator="greaterThanOrEqual">
      <formula>0</formula>
    </cfRule>
    <cfRule type="cellIs" dxfId="34" priority="50" operator="lessThan">
      <formula>0</formula>
    </cfRule>
  </conditionalFormatting>
  <conditionalFormatting sqref="K89">
    <cfRule type="cellIs" dxfId="33" priority="47" operator="greaterThanOrEqual">
      <formula>0</formula>
    </cfRule>
    <cfRule type="cellIs" dxfId="32" priority="48" operator="lessThan">
      <formula>0</formula>
    </cfRule>
  </conditionalFormatting>
  <conditionalFormatting sqref="H81">
    <cfRule type="cellIs" dxfId="31" priority="43" operator="greaterThanOrEqual">
      <formula>0</formula>
    </cfRule>
    <cfRule type="cellIs" dxfId="30" priority="44" operator="lessThan">
      <formula>0</formula>
    </cfRule>
  </conditionalFormatting>
  <conditionalFormatting sqref="I81:J81">
    <cfRule type="cellIs" dxfId="29" priority="41" operator="greaterThanOrEqual">
      <formula>0</formula>
    </cfRule>
    <cfRule type="cellIs" dxfId="28" priority="42" operator="lessThan">
      <formula>0</formula>
    </cfRule>
  </conditionalFormatting>
  <conditionalFormatting sqref="K81">
    <cfRule type="cellIs" dxfId="27" priority="39" operator="greaterThanOrEqual">
      <formula>0</formula>
    </cfRule>
    <cfRule type="cellIs" dxfId="26" priority="40" operator="lessThan">
      <formula>0</formula>
    </cfRule>
  </conditionalFormatting>
  <conditionalFormatting sqref="H13">
    <cfRule type="cellIs" dxfId="25" priority="35" operator="greaterThanOrEqual">
      <formula>0</formula>
    </cfRule>
    <cfRule type="cellIs" dxfId="24" priority="36" operator="lessThan">
      <formula>0</formula>
    </cfRule>
  </conditionalFormatting>
  <conditionalFormatting sqref="H42">
    <cfRule type="cellIs" dxfId="23" priority="23" operator="greaterThanOrEqual">
      <formula>0</formula>
    </cfRule>
    <cfRule type="cellIs" dxfId="22" priority="24" operator="lessThan">
      <formula>0</formula>
    </cfRule>
  </conditionalFormatting>
  <conditionalFormatting sqref="I42:J42">
    <cfRule type="cellIs" dxfId="21" priority="21" operator="greaterThanOrEqual">
      <formula>0</formula>
    </cfRule>
    <cfRule type="cellIs" dxfId="20" priority="22" operator="lessThan">
      <formula>0</formula>
    </cfRule>
  </conditionalFormatting>
  <conditionalFormatting sqref="K42">
    <cfRule type="cellIs" dxfId="19" priority="19" operator="greaterThanOrEqual">
      <formula>0</formula>
    </cfRule>
    <cfRule type="cellIs" dxfId="18" priority="20" operator="lessThan">
      <formula>0</formula>
    </cfRule>
  </conditionalFormatting>
  <conditionalFormatting sqref="H72">
    <cfRule type="cellIs" dxfId="17" priority="17" operator="greaterThanOrEqual">
      <formula>0</formula>
    </cfRule>
    <cfRule type="cellIs" dxfId="16" priority="18" operator="lessThan">
      <formula>0</formula>
    </cfRule>
  </conditionalFormatting>
  <conditionalFormatting sqref="I72:J72">
    <cfRule type="cellIs" dxfId="15" priority="15" operator="greaterThanOrEqual">
      <formula>0</formula>
    </cfRule>
    <cfRule type="cellIs" dxfId="14" priority="16" operator="lessThan">
      <formula>0</formula>
    </cfRule>
  </conditionalFormatting>
  <conditionalFormatting sqref="K72">
    <cfRule type="cellIs" dxfId="13" priority="13" operator="greaterThanOrEqual">
      <formula>0</formula>
    </cfRule>
    <cfRule type="cellIs" dxfId="12" priority="14" operator="lessThan">
      <formula>0</formula>
    </cfRule>
  </conditionalFormatting>
  <conditionalFormatting sqref="O74">
    <cfRule type="cellIs" dxfId="11" priority="11" operator="greaterThanOrEqual">
      <formula>0</formula>
    </cfRule>
    <cfRule type="cellIs" dxfId="10" priority="12" operator="lessThan">
      <formula>0</formula>
    </cfRule>
  </conditionalFormatting>
  <conditionalFormatting sqref="P74:Q74">
    <cfRule type="cellIs" dxfId="9" priority="9" operator="greaterThanOrEqual">
      <formula>0</formula>
    </cfRule>
    <cfRule type="cellIs" dxfId="8" priority="10" operator="lessThan">
      <formula>0</formula>
    </cfRule>
  </conditionalFormatting>
  <conditionalFormatting sqref="R74">
    <cfRule type="cellIs" dxfId="7" priority="7" operator="greaterThanOrEqual">
      <formula>0</formula>
    </cfRule>
    <cfRule type="cellIs" dxfId="6" priority="8" operator="lessThan">
      <formula>0</formula>
    </cfRule>
  </conditionalFormatting>
  <conditionalFormatting sqref="L13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N13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O13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38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成交持仓情况汇总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Wind衍生品</dc:creator>
  <cp:lastModifiedBy>Cui YongQiang</cp:lastModifiedBy>
  <dcterms:created xsi:type="dcterms:W3CDTF">2023-03-08T01:02:01Z</dcterms:created>
  <dcterms:modified xsi:type="dcterms:W3CDTF">2023-11-24T02:05:29Z</dcterms:modified>
</cp:coreProperties>
</file>