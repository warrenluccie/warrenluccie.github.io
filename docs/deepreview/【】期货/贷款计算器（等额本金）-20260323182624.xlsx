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/>
  <bookViews>
    <workbookView xWindow="-120" yWindow="-120" windowWidth="24240" windowHeight="17640"/>
  </bookViews>
  <sheets>
    <sheet name="贷款计算器（等额本金）" sheetId="1" r:id="rId1"/>
    <sheet name="Wind模板" sheetId="3" state="veryHidden" r:id="rId2"/>
    <sheet name="Sheet1" sheetId="2" state="hidden" r:id="rId3"/>
  </sheets>
  <externalReferences>
    <externalReference r:id="rId4"/>
  </externalReferences>
  <definedNames>
    <definedName name="标题所在行数">ROW('贷款计算器（等额本金）'!$11:$11)</definedName>
    <definedName name="贷款分期次数">'贷款计算器（等额本金）'!$I$6</definedName>
    <definedName name="贷款还款期数">ROW()-标题所在行数</definedName>
    <definedName name="贷款金额">'贷款计算器（等额本金）'!$F$6</definedName>
    <definedName name="贷款开始日期">'贷款计算器（等额本金）'!$F$9</definedName>
    <definedName name="贷款年利率">'贷款计算器（等额本金）'!$F$7</definedName>
    <definedName name="贷款年限">'贷款计算器（等额本金）'!$F$8</definedName>
    <definedName name="贷款未偿还">IF(贷款还款期数&lt;=贷款分期次数,1,0)</definedName>
    <definedName name="贷款已清偿">IF(贷款金额*贷款年利率*贷款年限*贷款开始日期&gt;0,1,0)</definedName>
    <definedName name="贷款总成本">利息总额+贷款金额</definedName>
    <definedName name="还款日期">DATE(YEAR(贷款开始日期),MONTH(贷款开始日期)+贷款还款期数,DAY(贷款开始日期))</definedName>
    <definedName name="利息总额">'贷款计算器（等额本金）'!$I$7</definedName>
    <definedName name="最后一行行数">MATCH(9E+307,'贷款计算器（等额本金）'!$C:$C)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7" i="1" l="1"/>
  <c r="F9" i="1" l="1"/>
  <c r="A1" i="2"/>
  <c r="I6" i="1" l="1"/>
  <c r="G12" i="1" s="1"/>
  <c r="G146" i="1"/>
  <c r="G290" i="1"/>
  <c r="G326" i="1"/>
  <c r="G157" i="1"/>
  <c r="G135" i="1"/>
  <c r="G171" i="1"/>
  <c r="G327" i="1"/>
  <c r="G324" i="1"/>
  <c r="G28" i="1"/>
  <c r="G208" i="1"/>
  <c r="G352" i="1"/>
  <c r="G102" i="1"/>
  <c r="G53" i="1"/>
  <c r="G197" i="1"/>
  <c r="G209" i="1"/>
  <c r="G198" i="1"/>
  <c r="G332" i="1"/>
  <c r="G227" i="1"/>
  <c r="G42" i="1"/>
  <c r="G138" i="1"/>
  <c r="G162" i="1"/>
  <c r="G248" i="1"/>
  <c r="G361" i="1"/>
  <c r="G19" i="1"/>
  <c r="G91" i="1"/>
  <c r="G151" i="1"/>
  <c r="G163" i="1"/>
  <c r="G235" i="1"/>
  <c r="G295" i="1"/>
  <c r="G307" i="1"/>
  <c r="G20" i="1"/>
  <c r="G152" i="1"/>
  <c r="G200" i="1"/>
  <c r="G301" i="1"/>
  <c r="G359" i="1"/>
  <c r="G133" i="1"/>
  <c r="G57" i="1"/>
  <c r="G117" i="1"/>
  <c r="G129" i="1"/>
  <c r="G201" i="1"/>
  <c r="G261" i="1"/>
  <c r="G273" i="1"/>
  <c r="G345" i="1"/>
  <c r="G47" i="1"/>
  <c r="G71" i="1"/>
  <c r="G203" i="1"/>
  <c r="G34" i="1"/>
  <c r="G46" i="1"/>
  <c r="G118" i="1"/>
  <c r="G178" i="1"/>
  <c r="G190" i="1"/>
  <c r="G226" i="1"/>
  <c r="G238" i="1"/>
  <c r="G250" i="1"/>
  <c r="G262" i="1"/>
  <c r="G274" i="1"/>
  <c r="G286" i="1"/>
  <c r="G298" i="1"/>
  <c r="G310" i="1"/>
  <c r="G322" i="1"/>
  <c r="G334" i="1"/>
  <c r="G346" i="1"/>
  <c r="G358" i="1"/>
  <c r="G35" i="1"/>
  <c r="G59" i="1"/>
  <c r="G83" i="1"/>
  <c r="G107" i="1"/>
  <c r="G143" i="1"/>
  <c r="G167" i="1"/>
  <c r="G191" i="1"/>
  <c r="G239" i="1"/>
  <c r="G323" i="1"/>
  <c r="G360" i="1"/>
  <c r="G205" i="1"/>
  <c r="C23" i="1"/>
  <c r="E12" i="1"/>
  <c r="H12" i="1" s="1"/>
  <c r="D20" i="1"/>
  <c r="C112" i="1"/>
  <c r="C248" i="1"/>
  <c r="C347" i="1"/>
  <c r="C143" i="1"/>
  <c r="C206" i="1"/>
  <c r="C93" i="1"/>
  <c r="C304" i="1"/>
  <c r="D12" i="1"/>
  <c r="D51" i="1"/>
  <c r="D92" i="1"/>
  <c r="C244" i="1"/>
  <c r="C196" i="1"/>
  <c r="C148" i="1"/>
  <c r="C100" i="1"/>
  <c r="C339" i="1"/>
  <c r="C202" i="1"/>
  <c r="D52" i="1"/>
  <c r="C160" i="1"/>
  <c r="C108" i="1"/>
  <c r="C175" i="1"/>
  <c r="D84" i="1"/>
  <c r="C348" i="1"/>
  <c r="C288" i="1"/>
  <c r="C192" i="1"/>
  <c r="C96" i="1"/>
  <c r="C322" i="1"/>
  <c r="C25" i="1"/>
  <c r="C188" i="1"/>
  <c r="D36" i="1"/>
  <c r="C208" i="1"/>
  <c r="D76" i="1"/>
  <c r="C140" i="1"/>
  <c r="C158" i="1"/>
  <c r="D68" i="1"/>
  <c r="C232" i="1"/>
  <c r="C184" i="1"/>
  <c r="C136" i="1"/>
  <c r="C88" i="1"/>
  <c r="C283" i="1"/>
  <c r="C154" i="1"/>
  <c r="C323" i="1"/>
  <c r="C256" i="1"/>
  <c r="C236" i="1"/>
  <c r="C92" i="1"/>
  <c r="D16" i="1"/>
  <c r="D61" i="1"/>
  <c r="D60" i="1"/>
  <c r="C276" i="1"/>
  <c r="C180" i="1"/>
  <c r="C132" i="1"/>
  <c r="C344" i="1"/>
  <c r="C142" i="1"/>
  <c r="D129" i="1"/>
  <c r="C272" i="1"/>
  <c r="C224" i="1"/>
  <c r="C128" i="1"/>
  <c r="C239" i="1"/>
  <c r="C302" i="1"/>
  <c r="D44" i="1"/>
  <c r="C318" i="1"/>
  <c r="C268" i="1"/>
  <c r="C220" i="1"/>
  <c r="C172" i="1"/>
  <c r="C76" i="1"/>
  <c r="C298" i="1"/>
  <c r="C70" i="1"/>
  <c r="C264" i="1"/>
  <c r="C216" i="1"/>
  <c r="C168" i="1"/>
  <c r="C120" i="1"/>
  <c r="D99" i="1"/>
  <c r="C286" i="1"/>
  <c r="D28" i="1"/>
  <c r="C212" i="1"/>
  <c r="C164" i="1"/>
  <c r="C116" i="1"/>
  <c r="D83" i="1"/>
  <c r="C191" i="1"/>
  <c r="C285" i="1"/>
  <c r="D67" i="1"/>
  <c r="C332" i="1"/>
  <c r="C183" i="1"/>
  <c r="D96" i="1"/>
  <c r="C360" i="1"/>
  <c r="C294" i="1"/>
  <c r="C246" i="1"/>
  <c r="C150" i="1"/>
  <c r="C241" i="1"/>
  <c r="C49" i="1"/>
  <c r="D59" i="1"/>
  <c r="C327" i="1"/>
  <c r="C275" i="1"/>
  <c r="C227" i="1"/>
  <c r="D88" i="1"/>
  <c r="C290" i="1"/>
  <c r="C242" i="1"/>
  <c r="C46" i="1"/>
  <c r="C237" i="1"/>
  <c r="C45" i="1"/>
  <c r="D109" i="1"/>
  <c r="D301" i="1"/>
  <c r="D321" i="1"/>
  <c r="D43" i="1"/>
  <c r="C316" i="1"/>
  <c r="C171" i="1"/>
  <c r="D72" i="1"/>
  <c r="C336" i="1"/>
  <c r="C282" i="1"/>
  <c r="C234" i="1"/>
  <c r="C138" i="1"/>
  <c r="C193" i="1"/>
  <c r="C321" i="1"/>
  <c r="C350" i="1"/>
  <c r="D35" i="1"/>
  <c r="C311" i="1"/>
  <c r="C263" i="1"/>
  <c r="C215" i="1"/>
  <c r="D64" i="1"/>
  <c r="C278" i="1"/>
  <c r="C230" i="1"/>
  <c r="D79" i="1"/>
  <c r="C189" i="1"/>
  <c r="C325" i="1"/>
  <c r="D157" i="1"/>
  <c r="D349" i="1"/>
  <c r="D27" i="1"/>
  <c r="C259" i="1"/>
  <c r="C211" i="1"/>
  <c r="C326" i="1"/>
  <c r="C274" i="1"/>
  <c r="C226" i="1"/>
  <c r="C178" i="1"/>
  <c r="C130" i="1"/>
  <c r="C169" i="1"/>
  <c r="D177" i="1"/>
  <c r="D369" i="1"/>
  <c r="C303" i="1"/>
  <c r="C255" i="1"/>
  <c r="C207" i="1"/>
  <c r="C159" i="1"/>
  <c r="D48" i="1"/>
  <c r="C270" i="1"/>
  <c r="C174" i="1"/>
  <c r="C126" i="1"/>
  <c r="C369" i="1"/>
  <c r="D201" i="1"/>
  <c r="D90" i="1"/>
  <c r="C371" i="1"/>
  <c r="C251" i="1"/>
  <c r="C155" i="1"/>
  <c r="D40" i="1"/>
  <c r="C218" i="1"/>
  <c r="C170" i="1"/>
  <c r="C118" i="1"/>
  <c r="C343" i="1"/>
  <c r="C141" i="1"/>
  <c r="D205" i="1"/>
  <c r="D110" i="1"/>
  <c r="C363" i="1"/>
  <c r="C199" i="1"/>
  <c r="C151" i="1"/>
  <c r="D32" i="1"/>
  <c r="C310" i="1"/>
  <c r="C262" i="1"/>
  <c r="C166" i="1"/>
  <c r="C314" i="1"/>
  <c r="C121" i="1"/>
  <c r="D342" i="1"/>
  <c r="D91" i="1"/>
  <c r="C355" i="1"/>
  <c r="C291" i="1"/>
  <c r="C195" i="1"/>
  <c r="D24" i="1"/>
  <c r="C306" i="1"/>
  <c r="C162" i="1"/>
  <c r="C94" i="1"/>
  <c r="C289" i="1"/>
  <c r="C97" i="1"/>
  <c r="D57" i="1"/>
  <c r="C110" i="1"/>
  <c r="C62" i="1"/>
  <c r="C281" i="1"/>
  <c r="C233" i="1"/>
  <c r="C185" i="1"/>
  <c r="C137" i="1"/>
  <c r="C89" i="1"/>
  <c r="C329" i="1"/>
  <c r="D17" i="1"/>
  <c r="D65" i="1"/>
  <c r="D113" i="1"/>
  <c r="D257" i="1"/>
  <c r="D305" i="1"/>
  <c r="D353" i="1"/>
  <c r="C362" i="1"/>
  <c r="D134" i="1"/>
  <c r="C106" i="1"/>
  <c r="C58" i="1"/>
  <c r="D63" i="1"/>
  <c r="C330" i="1"/>
  <c r="C277" i="1"/>
  <c r="C229" i="1"/>
  <c r="C181" i="1"/>
  <c r="C133" i="1"/>
  <c r="C85" i="1"/>
  <c r="C37" i="1"/>
  <c r="C333" i="1"/>
  <c r="D21" i="1"/>
  <c r="D69" i="1"/>
  <c r="D117" i="1"/>
  <c r="D165" i="1"/>
  <c r="D213" i="1"/>
  <c r="D261" i="1"/>
  <c r="D309" i="1"/>
  <c r="D357" i="1"/>
  <c r="D14" i="1"/>
  <c r="D146" i="1"/>
  <c r="C102" i="1"/>
  <c r="C54" i="1"/>
  <c r="D55" i="1"/>
  <c r="C324" i="1"/>
  <c r="C273" i="1"/>
  <c r="C225" i="1"/>
  <c r="C177" i="1"/>
  <c r="C129" i="1"/>
  <c r="C81" i="1"/>
  <c r="C33" i="1"/>
  <c r="C337" i="1"/>
  <c r="D25" i="1"/>
  <c r="D73" i="1"/>
  <c r="D121" i="1"/>
  <c r="D169" i="1"/>
  <c r="D217" i="1"/>
  <c r="D265" i="1"/>
  <c r="D313" i="1"/>
  <c r="D361" i="1"/>
  <c r="D18" i="1"/>
  <c r="D178" i="1"/>
  <c r="C98" i="1"/>
  <c r="C50" i="1"/>
  <c r="D47" i="1"/>
  <c r="C319" i="1"/>
  <c r="C269" i="1"/>
  <c r="C221" i="1"/>
  <c r="C173" i="1"/>
  <c r="C125" i="1"/>
  <c r="C77" i="1"/>
  <c r="C29" i="1"/>
  <c r="C341" i="1"/>
  <c r="D29" i="1"/>
  <c r="D77" i="1"/>
  <c r="D125" i="1"/>
  <c r="D173" i="1"/>
  <c r="D221" i="1"/>
  <c r="D269" i="1"/>
  <c r="D317" i="1"/>
  <c r="D365" i="1"/>
  <c r="D26" i="1"/>
  <c r="D182" i="1"/>
  <c r="D210" i="1"/>
  <c r="D31" i="1"/>
  <c r="C309" i="1"/>
  <c r="C261" i="1"/>
  <c r="C213" i="1"/>
  <c r="C165" i="1"/>
  <c r="C117" i="1"/>
  <c r="C69" i="1"/>
  <c r="C21" i="1"/>
  <c r="C349" i="1"/>
  <c r="D37" i="1"/>
  <c r="D85" i="1"/>
  <c r="D133" i="1"/>
  <c r="D181" i="1"/>
  <c r="D229" i="1"/>
  <c r="D277" i="1"/>
  <c r="D325" i="1"/>
  <c r="D50" i="1"/>
  <c r="D242" i="1"/>
  <c r="C86" i="1"/>
  <c r="C38" i="1"/>
  <c r="D23" i="1"/>
  <c r="C305" i="1"/>
  <c r="C257" i="1"/>
  <c r="C209" i="1"/>
  <c r="C161" i="1"/>
  <c r="C113" i="1"/>
  <c r="C65" i="1"/>
  <c r="C17" i="1"/>
  <c r="C353" i="1"/>
  <c r="D41" i="1"/>
  <c r="D89" i="1"/>
  <c r="D137" i="1"/>
  <c r="D185" i="1"/>
  <c r="D233" i="1"/>
  <c r="D281" i="1"/>
  <c r="D329" i="1"/>
  <c r="D62" i="1"/>
  <c r="D258" i="1"/>
  <c r="C82" i="1"/>
  <c r="C34" i="1"/>
  <c r="D15" i="1"/>
  <c r="C301" i="1"/>
  <c r="C253" i="1"/>
  <c r="C205" i="1"/>
  <c r="C157" i="1"/>
  <c r="C109" i="1"/>
  <c r="C61" i="1"/>
  <c r="C13" i="1"/>
  <c r="C357" i="1"/>
  <c r="D45" i="1"/>
  <c r="D93" i="1"/>
  <c r="D141" i="1"/>
  <c r="D189" i="1"/>
  <c r="D237" i="1"/>
  <c r="D285" i="1"/>
  <c r="D333" i="1"/>
  <c r="D66" i="1"/>
  <c r="D278" i="1"/>
  <c r="D203" i="1"/>
  <c r="C78" i="1"/>
  <c r="C30" i="1"/>
  <c r="C367" i="1"/>
  <c r="C297" i="1"/>
  <c r="C249" i="1"/>
  <c r="C201" i="1"/>
  <c r="C153" i="1"/>
  <c r="C105" i="1"/>
  <c r="C57" i="1"/>
  <c r="C313" i="1"/>
  <c r="C361" i="1"/>
  <c r="D49" i="1"/>
  <c r="D97" i="1"/>
  <c r="D145" i="1"/>
  <c r="D193" i="1"/>
  <c r="D241" i="1"/>
  <c r="D289" i="1"/>
  <c r="D337" i="1"/>
  <c r="D82" i="1"/>
  <c r="D282" i="1"/>
  <c r="D311" i="1"/>
  <c r="C122" i="1"/>
  <c r="C74" i="1"/>
  <c r="D95" i="1"/>
  <c r="C359" i="1"/>
  <c r="C293" i="1"/>
  <c r="C245" i="1"/>
  <c r="C197" i="1"/>
  <c r="C149" i="1"/>
  <c r="C101" i="1"/>
  <c r="C53" i="1"/>
  <c r="C317" i="1"/>
  <c r="C365" i="1"/>
  <c r="D53" i="1"/>
  <c r="D101" i="1"/>
  <c r="D149" i="1"/>
  <c r="D197" i="1"/>
  <c r="D245" i="1"/>
  <c r="D293" i="1"/>
  <c r="D341" i="1"/>
  <c r="C346" i="1"/>
  <c r="D86" i="1"/>
  <c r="D326" i="1"/>
  <c r="D107" i="1"/>
  <c r="D143" i="1"/>
  <c r="D251" i="1"/>
  <c r="D287" i="1"/>
  <c r="D307" i="1"/>
  <c r="D112" i="1"/>
  <c r="D190" i="1"/>
  <c r="D302" i="1"/>
  <c r="D151" i="1"/>
  <c r="D319" i="1"/>
  <c r="D194" i="1"/>
  <c r="D306" i="1"/>
  <c r="D167" i="1"/>
  <c r="D367" i="1"/>
  <c r="D206" i="1"/>
  <c r="D322" i="1"/>
  <c r="D175" i="1"/>
  <c r="D114" i="1"/>
  <c r="D218" i="1"/>
  <c r="D334" i="1"/>
  <c r="D211" i="1"/>
  <c r="D130" i="1"/>
  <c r="D238" i="1"/>
  <c r="D338" i="1"/>
  <c r="D215" i="1"/>
  <c r="D142" i="1"/>
  <c r="D254" i="1"/>
  <c r="D370" i="1"/>
  <c r="D259" i="1"/>
  <c r="D104" i="1"/>
  <c r="D150" i="1"/>
  <c r="D274" i="1"/>
  <c r="D295" i="1"/>
  <c r="D116" i="1"/>
  <c r="D172" i="1"/>
  <c r="D196" i="1"/>
  <c r="D200" i="1"/>
  <c r="D220" i="1"/>
  <c r="D248" i="1"/>
  <c r="D256" i="1"/>
  <c r="D284" i="1"/>
  <c r="D332" i="1"/>
  <c r="D348" i="1"/>
  <c r="D34" i="1"/>
  <c r="D94" i="1"/>
  <c r="D158" i="1"/>
  <c r="D226" i="1"/>
  <c r="D286" i="1"/>
  <c r="D350" i="1"/>
  <c r="D119" i="1"/>
  <c r="D223" i="1"/>
  <c r="D335" i="1"/>
  <c r="D136" i="1"/>
  <c r="D260" i="1"/>
  <c r="D38" i="1"/>
  <c r="D98" i="1"/>
  <c r="D162" i="1"/>
  <c r="D230" i="1"/>
  <c r="D290" i="1"/>
  <c r="D354" i="1"/>
  <c r="D127" i="1"/>
  <c r="D235" i="1"/>
  <c r="D343" i="1"/>
  <c r="D140" i="1"/>
  <c r="D268" i="1"/>
  <c r="C338" i="1"/>
  <c r="D42" i="1"/>
  <c r="D102" i="1"/>
  <c r="D170" i="1"/>
  <c r="D234" i="1"/>
  <c r="D294" i="1"/>
  <c r="D362" i="1"/>
  <c r="D139" i="1"/>
  <c r="D239" i="1"/>
  <c r="D355" i="1"/>
  <c r="D164" i="1"/>
  <c r="D280" i="1"/>
  <c r="D184" i="1"/>
  <c r="D296" i="1"/>
  <c r="C354" i="1"/>
  <c r="D54" i="1"/>
  <c r="D122" i="1"/>
  <c r="D186" i="1"/>
  <c r="D246" i="1"/>
  <c r="D314" i="1"/>
  <c r="D155" i="1"/>
  <c r="D271" i="1"/>
  <c r="D188" i="1"/>
  <c r="D304" i="1"/>
  <c r="C366" i="1"/>
  <c r="D74" i="1"/>
  <c r="D138" i="1"/>
  <c r="D198" i="1"/>
  <c r="D266" i="1"/>
  <c r="D330" i="1"/>
  <c r="D191" i="1"/>
  <c r="D299" i="1"/>
  <c r="D212" i="1"/>
  <c r="C370" i="1"/>
  <c r="D58" i="1"/>
  <c r="D106" i="1"/>
  <c r="D154" i="1"/>
  <c r="D202" i="1"/>
  <c r="D250" i="1"/>
  <c r="D298" i="1"/>
  <c r="D346" i="1"/>
  <c r="D163" i="1"/>
  <c r="D247" i="1"/>
  <c r="D331" i="1"/>
  <c r="D124" i="1"/>
  <c r="D208" i="1"/>
  <c r="D292" i="1"/>
  <c r="D22" i="1"/>
  <c r="D70" i="1"/>
  <c r="D118" i="1"/>
  <c r="D166" i="1"/>
  <c r="D214" i="1"/>
  <c r="D262" i="1"/>
  <c r="D310" i="1"/>
  <c r="D358" i="1"/>
  <c r="D103" i="1"/>
  <c r="D187" i="1"/>
  <c r="D263" i="1"/>
  <c r="D347" i="1"/>
  <c r="D148" i="1"/>
  <c r="D232" i="1"/>
  <c r="D308" i="1"/>
  <c r="D152" i="1"/>
  <c r="D236" i="1"/>
  <c r="D316" i="1"/>
  <c r="C342" i="1"/>
  <c r="D30" i="1"/>
  <c r="D78" i="1"/>
  <c r="D126" i="1"/>
  <c r="D174" i="1"/>
  <c r="D222" i="1"/>
  <c r="D270" i="1"/>
  <c r="D318" i="1"/>
  <c r="D366" i="1"/>
  <c r="D115" i="1"/>
  <c r="D199" i="1"/>
  <c r="D283" i="1"/>
  <c r="D359" i="1"/>
  <c r="D160" i="1"/>
  <c r="D244" i="1"/>
  <c r="D328" i="1"/>
  <c r="D356" i="1"/>
  <c r="D360" i="1"/>
  <c r="D344" i="1"/>
  <c r="D111" i="1"/>
  <c r="D159" i="1"/>
  <c r="D207" i="1"/>
  <c r="D255" i="1"/>
  <c r="D303" i="1"/>
  <c r="D351" i="1"/>
  <c r="D108" i="1"/>
  <c r="D156" i="1"/>
  <c r="D204" i="1"/>
  <c r="D252" i="1"/>
  <c r="D300" i="1"/>
  <c r="D352" i="1"/>
  <c r="D123" i="1"/>
  <c r="D171" i="1"/>
  <c r="D219" i="1"/>
  <c r="D267" i="1"/>
  <c r="D315" i="1"/>
  <c r="D363" i="1"/>
  <c r="D120" i="1"/>
  <c r="D168" i="1"/>
  <c r="D216" i="1"/>
  <c r="D264" i="1"/>
  <c r="D312" i="1"/>
  <c r="D364" i="1"/>
  <c r="D131" i="1"/>
  <c r="D179" i="1"/>
  <c r="D227" i="1"/>
  <c r="D275" i="1"/>
  <c r="D323" i="1"/>
  <c r="D371" i="1"/>
  <c r="D128" i="1"/>
  <c r="D176" i="1"/>
  <c r="D224" i="1"/>
  <c r="D272" i="1"/>
  <c r="D320" i="1"/>
  <c r="D135" i="1"/>
  <c r="D183" i="1"/>
  <c r="D231" i="1"/>
  <c r="D279" i="1"/>
  <c r="D327" i="1"/>
  <c r="D132" i="1"/>
  <c r="D180" i="1"/>
  <c r="D228" i="1"/>
  <c r="D276" i="1"/>
  <c r="D324" i="1"/>
  <c r="D147" i="1"/>
  <c r="D195" i="1"/>
  <c r="D243" i="1"/>
  <c r="D291" i="1"/>
  <c r="D339" i="1"/>
  <c r="D144" i="1"/>
  <c r="D192" i="1"/>
  <c r="D240" i="1"/>
  <c r="D288" i="1"/>
  <c r="D336" i="1"/>
  <c r="D368" i="1"/>
  <c r="D340" i="1"/>
  <c r="C15" i="1"/>
  <c r="C36" i="1"/>
  <c r="C64" i="1"/>
  <c r="C71" i="1"/>
  <c r="C19" i="1"/>
  <c r="C79" i="1"/>
  <c r="C59" i="1"/>
  <c r="C22" i="1"/>
  <c r="C28" i="1"/>
  <c r="C107" i="1"/>
  <c r="C47" i="1"/>
  <c r="C40" i="1"/>
  <c r="C60" i="1"/>
  <c r="C123" i="1"/>
  <c r="C55" i="1"/>
  <c r="C48" i="1"/>
  <c r="C16" i="1"/>
  <c r="C68" i="1"/>
  <c r="C63" i="1"/>
  <c r="C56" i="1"/>
  <c r="C27" i="1"/>
  <c r="C95" i="1"/>
  <c r="C83" i="1"/>
  <c r="C72" i="1"/>
  <c r="C135" i="1"/>
  <c r="C35" i="1"/>
  <c r="C111" i="1"/>
  <c r="C99" i="1"/>
  <c r="C87" i="1"/>
  <c r="C44" i="1"/>
  <c r="C43" i="1"/>
  <c r="C127" i="1"/>
  <c r="C115" i="1"/>
  <c r="C103" i="1"/>
  <c r="C12" i="1"/>
  <c r="C51" i="1"/>
  <c r="C14" i="1"/>
  <c r="C131" i="1"/>
  <c r="C119" i="1"/>
  <c r="C18" i="1"/>
  <c r="C67" i="1"/>
  <c r="C24" i="1"/>
  <c r="C20" i="1"/>
  <c r="C75" i="1"/>
  <c r="C31" i="1"/>
  <c r="C26" i="1"/>
  <c r="C52" i="1"/>
  <c r="C91" i="1"/>
  <c r="C39" i="1"/>
  <c r="C32" i="1"/>
  <c r="G109" i="1" l="1"/>
  <c r="G97" i="1"/>
  <c r="G166" i="1"/>
  <c r="G22" i="1"/>
  <c r="G23" i="1"/>
  <c r="G249" i="1"/>
  <c r="G105" i="1"/>
  <c r="G299" i="1"/>
  <c r="G92" i="1"/>
  <c r="G283" i="1"/>
  <c r="G139" i="1"/>
  <c r="G241" i="1"/>
  <c r="G90" i="1"/>
  <c r="G284" i="1"/>
  <c r="G161" i="1"/>
  <c r="G316" i="1"/>
  <c r="G251" i="1"/>
  <c r="G111" i="1"/>
  <c r="G254" i="1"/>
  <c r="G61" i="1"/>
  <c r="G154" i="1"/>
  <c r="G217" i="1"/>
  <c r="G370" i="1"/>
  <c r="G237" i="1"/>
  <c r="G93" i="1"/>
  <c r="G320" i="1"/>
  <c r="G68" i="1"/>
  <c r="G271" i="1"/>
  <c r="G127" i="1"/>
  <c r="G336" i="1"/>
  <c r="G78" i="1"/>
  <c r="G212" i="1"/>
  <c r="G137" i="1"/>
  <c r="G280" i="1"/>
  <c r="G128" i="1"/>
  <c r="G75" i="1"/>
  <c r="G242" i="1"/>
  <c r="G37" i="1"/>
  <c r="G142" i="1"/>
  <c r="G312" i="1"/>
  <c r="G369" i="1"/>
  <c r="G225" i="1"/>
  <c r="G81" i="1"/>
  <c r="G224" i="1"/>
  <c r="G44" i="1"/>
  <c r="G259" i="1"/>
  <c r="G115" i="1"/>
  <c r="G311" i="1"/>
  <c r="G66" i="1"/>
  <c r="G140" i="1"/>
  <c r="G101" i="1"/>
  <c r="G268" i="1"/>
  <c r="G282" i="1"/>
  <c r="G39" i="1"/>
  <c r="G206" i="1"/>
  <c r="G337" i="1"/>
  <c r="G130" i="1"/>
  <c r="G287" i="1"/>
  <c r="G357" i="1"/>
  <c r="G213" i="1"/>
  <c r="G69" i="1"/>
  <c r="G56" i="1"/>
  <c r="G32" i="1"/>
  <c r="G247" i="1"/>
  <c r="G103" i="1"/>
  <c r="G368" i="1"/>
  <c r="G54" i="1"/>
  <c r="G366" i="1"/>
  <c r="G65" i="1"/>
  <c r="G232" i="1"/>
  <c r="G363" i="1"/>
  <c r="G27" i="1"/>
  <c r="G182" i="1"/>
  <c r="G288" i="1"/>
  <c r="G276" i="1"/>
  <c r="G106" i="1"/>
  <c r="G179" i="1"/>
  <c r="G333" i="1"/>
  <c r="G189" i="1"/>
  <c r="G45" i="1"/>
  <c r="G145" i="1"/>
  <c r="G367" i="1"/>
  <c r="G223" i="1"/>
  <c r="G79" i="1"/>
  <c r="G164" i="1"/>
  <c r="G30" i="1"/>
  <c r="G353" i="1"/>
  <c r="G17" i="1"/>
  <c r="G172" i="1"/>
  <c r="G315" i="1"/>
  <c r="G275" i="1"/>
  <c r="G110" i="1"/>
  <c r="G240" i="1"/>
  <c r="G94" i="1"/>
  <c r="G155" i="1"/>
  <c r="G321" i="1"/>
  <c r="G177" i="1"/>
  <c r="G33" i="1"/>
  <c r="G371" i="1"/>
  <c r="G355" i="1"/>
  <c r="G211" i="1"/>
  <c r="G67" i="1"/>
  <c r="G104" i="1"/>
  <c r="G18" i="1"/>
  <c r="G341" i="1"/>
  <c r="G121" i="1"/>
  <c r="G136" i="1"/>
  <c r="G279" i="1"/>
  <c r="G176" i="1"/>
  <c r="G98" i="1"/>
  <c r="G216" i="1"/>
  <c r="G82" i="1"/>
  <c r="G131" i="1"/>
  <c r="G309" i="1"/>
  <c r="G165" i="1"/>
  <c r="G21" i="1"/>
  <c r="G263" i="1"/>
  <c r="G343" i="1"/>
  <c r="G199" i="1"/>
  <c r="G55" i="1"/>
  <c r="G306" i="1"/>
  <c r="G325" i="1"/>
  <c r="G305" i="1"/>
  <c r="G272" i="1"/>
  <c r="G124" i="1"/>
  <c r="G255" i="1"/>
  <c r="G270" i="1"/>
  <c r="G62" i="1"/>
  <c r="G180" i="1"/>
  <c r="G214" i="1"/>
  <c r="G70" i="1"/>
  <c r="G119" i="1"/>
  <c r="G297" i="1"/>
  <c r="G153" i="1"/>
  <c r="G349" i="1"/>
  <c r="G344" i="1"/>
  <c r="G331" i="1"/>
  <c r="G187" i="1"/>
  <c r="G43" i="1"/>
  <c r="G246" i="1"/>
  <c r="G169" i="1"/>
  <c r="G281" i="1"/>
  <c r="G354" i="1"/>
  <c r="G88" i="1"/>
  <c r="G219" i="1"/>
  <c r="G210" i="1"/>
  <c r="G38" i="1"/>
  <c r="G144" i="1"/>
  <c r="G202" i="1"/>
  <c r="G58" i="1"/>
  <c r="G95" i="1"/>
  <c r="G285" i="1"/>
  <c r="G141" i="1"/>
  <c r="G265" i="1"/>
  <c r="G260" i="1"/>
  <c r="G319" i="1"/>
  <c r="G175" i="1"/>
  <c r="G31" i="1"/>
  <c r="G186" i="1"/>
  <c r="G348" i="1"/>
  <c r="G245" i="1"/>
  <c r="G294" i="1"/>
  <c r="G64" i="1"/>
  <c r="G183" i="1"/>
  <c r="G350" i="1"/>
  <c r="G313" i="1"/>
  <c r="G132" i="1"/>
  <c r="G329" i="1"/>
  <c r="G185" i="1"/>
  <c r="G41" i="1"/>
  <c r="G222" i="1"/>
  <c r="G256" i="1"/>
  <c r="G112" i="1"/>
  <c r="G308" i="1"/>
  <c r="G303" i="1"/>
  <c r="G159" i="1"/>
  <c r="G15" i="1"/>
  <c r="G114" i="1"/>
  <c r="G230" i="1"/>
  <c r="G86" i="1"/>
  <c r="G85" i="1"/>
  <c r="G264" i="1"/>
  <c r="G120" i="1"/>
  <c r="G317" i="1"/>
  <c r="G173" i="1"/>
  <c r="G29" i="1"/>
  <c r="G174" i="1"/>
  <c r="G244" i="1"/>
  <c r="G100" i="1"/>
  <c r="G236" i="1"/>
  <c r="G291" i="1"/>
  <c r="G147" i="1"/>
  <c r="G289" i="1"/>
  <c r="G362" i="1"/>
  <c r="G218" i="1"/>
  <c r="G74" i="1"/>
  <c r="G73" i="1"/>
  <c r="G252" i="1"/>
  <c r="G108" i="1"/>
  <c r="G96" i="1"/>
  <c r="G293" i="1"/>
  <c r="G149" i="1"/>
  <c r="G277" i="1"/>
  <c r="G364" i="1"/>
  <c r="G220" i="1"/>
  <c r="G76" i="1"/>
  <c r="G342" i="1"/>
  <c r="G267" i="1"/>
  <c r="G123" i="1"/>
  <c r="G347" i="1"/>
  <c r="G338" i="1"/>
  <c r="G194" i="1"/>
  <c r="G50" i="1"/>
  <c r="G49" i="1"/>
  <c r="G228" i="1"/>
  <c r="G84" i="1"/>
  <c r="G72" i="1"/>
  <c r="G318" i="1"/>
  <c r="G269" i="1"/>
  <c r="G125" i="1"/>
  <c r="G335" i="1"/>
  <c r="G340" i="1"/>
  <c r="G196" i="1"/>
  <c r="G52" i="1"/>
  <c r="G234" i="1"/>
  <c r="G243" i="1"/>
  <c r="G99" i="1"/>
  <c r="G356" i="1"/>
  <c r="G314" i="1"/>
  <c r="G170" i="1"/>
  <c r="G26" i="1"/>
  <c r="G25" i="1"/>
  <c r="G204" i="1"/>
  <c r="G60" i="1"/>
  <c r="G258" i="1"/>
  <c r="G257" i="1"/>
  <c r="G113" i="1"/>
  <c r="G215" i="1"/>
  <c r="G328" i="1"/>
  <c r="G184" i="1"/>
  <c r="G40" i="1"/>
  <c r="G150" i="1"/>
  <c r="G231" i="1"/>
  <c r="G87" i="1"/>
  <c r="G296" i="1"/>
  <c r="G302" i="1"/>
  <c r="G158" i="1"/>
  <c r="G14" i="1"/>
  <c r="G13" i="1"/>
  <c r="G192" i="1"/>
  <c r="G48" i="1"/>
  <c r="G36" i="1"/>
  <c r="G126" i="1"/>
  <c r="G233" i="1"/>
  <c r="G89" i="1"/>
  <c r="G188" i="1"/>
  <c r="G304" i="1"/>
  <c r="G160" i="1"/>
  <c r="G16" i="1"/>
  <c r="G351" i="1"/>
  <c r="G207" i="1"/>
  <c r="G63" i="1"/>
  <c r="G80" i="1"/>
  <c r="G278" i="1"/>
  <c r="G134" i="1"/>
  <c r="G253" i="1"/>
  <c r="G193" i="1"/>
  <c r="G168" i="1"/>
  <c r="G24" i="1"/>
  <c r="G365" i="1"/>
  <c r="G221" i="1"/>
  <c r="G77" i="1"/>
  <c r="G116" i="1"/>
  <c r="G292" i="1"/>
  <c r="G148" i="1"/>
  <c r="G229" i="1"/>
  <c r="G339" i="1"/>
  <c r="G195" i="1"/>
  <c r="G51" i="1"/>
  <c r="G330" i="1"/>
  <c r="G266" i="1"/>
  <c r="G122" i="1"/>
  <c r="G181" i="1"/>
  <c r="G300" i="1"/>
  <c r="G156" i="1"/>
  <c r="I12" i="1"/>
  <c r="E13" i="1" s="1"/>
  <c r="F12" i="1"/>
  <c r="D209" i="1"/>
  <c r="C335" i="1"/>
  <c r="C210" i="1"/>
  <c r="D225" i="1"/>
  <c r="C247" i="1"/>
  <c r="C266" i="1"/>
  <c r="C145" i="1"/>
  <c r="D19" i="1"/>
  <c r="D56" i="1"/>
  <c r="C134" i="1"/>
  <c r="D345" i="1"/>
  <c r="C219" i="1"/>
  <c r="C146" i="1"/>
  <c r="D297" i="1"/>
  <c r="C231" i="1"/>
  <c r="C260" i="1"/>
  <c r="C312" i="1"/>
  <c r="D253" i="1"/>
  <c r="C271" i="1"/>
  <c r="C340" i="1"/>
  <c r="C280" i="1"/>
  <c r="C190" i="1"/>
  <c r="C252" i="1"/>
  <c r="C292" i="1"/>
  <c r="C104" i="1"/>
  <c r="D161" i="1"/>
  <c r="D71" i="1"/>
  <c r="C258" i="1"/>
  <c r="D33" i="1"/>
  <c r="C295" i="1"/>
  <c r="C315" i="1"/>
  <c r="C351" i="1"/>
  <c r="D46" i="1"/>
  <c r="C163" i="1"/>
  <c r="C182" i="1"/>
  <c r="D153" i="1"/>
  <c r="C267" i="1"/>
  <c r="C194" i="1"/>
  <c r="D105" i="1"/>
  <c r="C279" i="1"/>
  <c r="C308" i="1"/>
  <c r="D273" i="1"/>
  <c r="C90" i="1"/>
  <c r="C84" i="1"/>
  <c r="C187" i="1"/>
  <c r="C334" i="1"/>
  <c r="D80" i="1"/>
  <c r="C250" i="1"/>
  <c r="C356" i="1"/>
  <c r="C152" i="1"/>
  <c r="C296" i="1"/>
  <c r="C147" i="1"/>
  <c r="C114" i="1"/>
  <c r="C203" i="1"/>
  <c r="C222" i="1"/>
  <c r="C345" i="1"/>
  <c r="C307" i="1"/>
  <c r="C331" i="1"/>
  <c r="D87" i="1"/>
  <c r="C352" i="1"/>
  <c r="C66" i="1"/>
  <c r="C42" i="1"/>
  <c r="C235" i="1"/>
  <c r="C80" i="1"/>
  <c r="C228" i="1"/>
  <c r="D81" i="1"/>
  <c r="C287" i="1"/>
  <c r="C144" i="1"/>
  <c r="C73" i="1"/>
  <c r="C204" i="1"/>
  <c r="C265" i="1"/>
  <c r="C41" i="1"/>
  <c r="D249" i="1"/>
  <c r="C243" i="1"/>
  <c r="C214" i="1"/>
  <c r="D13" i="1"/>
  <c r="C299" i="1"/>
  <c r="C320" i="1"/>
  <c r="D39" i="1"/>
  <c r="C358" i="1"/>
  <c r="C167" i="1"/>
  <c r="C186" i="1"/>
  <c r="C179" i="1"/>
  <c r="C198" i="1"/>
  <c r="C254" i="1"/>
  <c r="C223" i="1"/>
  <c r="C124" i="1"/>
  <c r="C176" i="1"/>
  <c r="C328" i="1"/>
  <c r="C368" i="1"/>
  <c r="C284" i="1"/>
  <c r="C240" i="1"/>
  <c r="C139" i="1"/>
  <c r="D75" i="1"/>
  <c r="C364" i="1"/>
  <c r="D100" i="1"/>
  <c r="C238" i="1"/>
  <c r="C156" i="1"/>
  <c r="C300" i="1"/>
  <c r="C217" i="1"/>
  <c r="C200" i="1"/>
  <c r="I13" i="1" l="1"/>
  <c r="E14" i="1" s="1"/>
  <c r="H13" i="1"/>
  <c r="F13" i="1" l="1"/>
  <c r="I14" i="1"/>
  <c r="E15" i="1" s="1"/>
  <c r="H14" i="1"/>
  <c r="F14" i="1" s="1"/>
  <c r="I15" i="1" l="1"/>
  <c r="E16" i="1" s="1"/>
  <c r="H15" i="1"/>
  <c r="F15" i="1" s="1"/>
  <c r="I16" i="1" l="1"/>
  <c r="E17" i="1" s="1"/>
  <c r="H16" i="1"/>
  <c r="F16" i="1" s="1"/>
  <c r="I17" i="1" l="1"/>
  <c r="E18" i="1" s="1"/>
  <c r="H17" i="1"/>
  <c r="F17" i="1" s="1"/>
  <c r="I18" i="1" l="1"/>
  <c r="E19" i="1" s="1"/>
  <c r="H18" i="1"/>
  <c r="F18" i="1" s="1"/>
  <c r="I19" i="1" l="1"/>
  <c r="E20" i="1" s="1"/>
  <c r="H19" i="1"/>
  <c r="F19" i="1" s="1"/>
  <c r="I20" i="1" l="1"/>
  <c r="E21" i="1" s="1"/>
  <c r="H20" i="1"/>
  <c r="F20" i="1" s="1"/>
  <c r="I21" i="1" l="1"/>
  <c r="E22" i="1" s="1"/>
  <c r="H21" i="1"/>
  <c r="F21" i="1" s="1"/>
  <c r="I22" i="1" l="1"/>
  <c r="E23" i="1" s="1"/>
  <c r="H22" i="1"/>
  <c r="F22" i="1" s="1"/>
  <c r="I23" i="1" l="1"/>
  <c r="E24" i="1" s="1"/>
  <c r="I24" i="1" s="1"/>
  <c r="E25" i="1" s="1"/>
  <c r="H23" i="1"/>
  <c r="H24" i="1" l="1"/>
  <c r="F24" i="1" s="1"/>
  <c r="I25" i="1"/>
  <c r="E26" i="1" s="1"/>
  <c r="H25" i="1"/>
  <c r="F25" i="1" s="1"/>
  <c r="F23" i="1"/>
  <c r="I26" i="1" l="1"/>
  <c r="E27" i="1" s="1"/>
  <c r="H26" i="1"/>
  <c r="F26" i="1" s="1"/>
  <c r="I27" i="1" l="1"/>
  <c r="E28" i="1" s="1"/>
  <c r="H27" i="1"/>
  <c r="F27" i="1" s="1"/>
  <c r="I28" i="1" l="1"/>
  <c r="E29" i="1" s="1"/>
  <c r="H28" i="1"/>
  <c r="F28" i="1" s="1"/>
  <c r="I29" i="1" l="1"/>
  <c r="E30" i="1" s="1"/>
  <c r="H29" i="1"/>
  <c r="F29" i="1" s="1"/>
  <c r="H30" i="1" l="1"/>
  <c r="F30" i="1" s="1"/>
  <c r="I30" i="1"/>
  <c r="E31" i="1" s="1"/>
  <c r="I31" i="1" l="1"/>
  <c r="E32" i="1" s="1"/>
  <c r="H31" i="1"/>
  <c r="F31" i="1" s="1"/>
  <c r="H32" i="1" l="1"/>
  <c r="F32" i="1" s="1"/>
  <c r="I32" i="1"/>
  <c r="E33" i="1" s="1"/>
  <c r="H33" i="1" l="1"/>
  <c r="F33" i="1" s="1"/>
  <c r="I33" i="1"/>
  <c r="E34" i="1" s="1"/>
  <c r="I34" i="1" l="1"/>
  <c r="E35" i="1" s="1"/>
  <c r="H34" i="1"/>
  <c r="F34" i="1" s="1"/>
  <c r="I35" i="1" l="1"/>
  <c r="E36" i="1" s="1"/>
  <c r="H35" i="1"/>
  <c r="F35" i="1" s="1"/>
  <c r="I36" i="1" l="1"/>
  <c r="E37" i="1" s="1"/>
  <c r="H36" i="1"/>
  <c r="F36" i="1" s="1"/>
  <c r="I37" i="1" l="1"/>
  <c r="E38" i="1" s="1"/>
  <c r="H37" i="1"/>
  <c r="F37" i="1" s="1"/>
  <c r="I38" i="1" l="1"/>
  <c r="E39" i="1" s="1"/>
  <c r="H38" i="1"/>
  <c r="F38" i="1" s="1"/>
  <c r="I39" i="1" l="1"/>
  <c r="E40" i="1" s="1"/>
  <c r="H39" i="1"/>
  <c r="F39" i="1" s="1"/>
  <c r="I40" i="1" l="1"/>
  <c r="E41" i="1" s="1"/>
  <c r="H40" i="1"/>
  <c r="F40" i="1" s="1"/>
  <c r="I41" i="1" l="1"/>
  <c r="E42" i="1" s="1"/>
  <c r="H41" i="1"/>
  <c r="F41" i="1" s="1"/>
  <c r="H42" i="1" l="1"/>
  <c r="F42" i="1" s="1"/>
  <c r="I42" i="1"/>
  <c r="E43" i="1" s="1"/>
  <c r="I43" i="1" l="1"/>
  <c r="E44" i="1" s="1"/>
  <c r="H43" i="1"/>
  <c r="F43" i="1" s="1"/>
  <c r="I44" i="1" l="1"/>
  <c r="E45" i="1" s="1"/>
  <c r="H44" i="1"/>
  <c r="F44" i="1" s="1"/>
  <c r="H45" i="1" l="1"/>
  <c r="F45" i="1" s="1"/>
  <c r="I45" i="1"/>
  <c r="E46" i="1" s="1"/>
  <c r="I46" i="1" l="1"/>
  <c r="E47" i="1" s="1"/>
  <c r="H46" i="1"/>
  <c r="F46" i="1" s="1"/>
  <c r="H47" i="1" l="1"/>
  <c r="F47" i="1" s="1"/>
  <c r="I47" i="1"/>
  <c r="E48" i="1" s="1"/>
  <c r="H48" i="1" l="1"/>
  <c r="F48" i="1" s="1"/>
  <c r="I48" i="1"/>
  <c r="E49" i="1" s="1"/>
  <c r="H49" i="1" l="1"/>
  <c r="F49" i="1" s="1"/>
  <c r="I49" i="1"/>
  <c r="E50" i="1" s="1"/>
  <c r="I50" i="1" l="1"/>
  <c r="E51" i="1" s="1"/>
  <c r="H50" i="1"/>
  <c r="F50" i="1" s="1"/>
  <c r="I51" i="1" l="1"/>
  <c r="E52" i="1" s="1"/>
  <c r="H51" i="1"/>
  <c r="F51" i="1" s="1"/>
  <c r="I52" i="1" l="1"/>
  <c r="E53" i="1" s="1"/>
  <c r="H52" i="1"/>
  <c r="F52" i="1" s="1"/>
  <c r="I53" i="1" l="1"/>
  <c r="E54" i="1" s="1"/>
  <c r="H53" i="1"/>
  <c r="F53" i="1" s="1"/>
  <c r="H54" i="1" l="1"/>
  <c r="F54" i="1" s="1"/>
  <c r="I54" i="1"/>
  <c r="E55" i="1" s="1"/>
  <c r="I55" i="1" l="1"/>
  <c r="E56" i="1" s="1"/>
  <c r="H55" i="1"/>
  <c r="F55" i="1" s="1"/>
  <c r="I56" i="1" l="1"/>
  <c r="E57" i="1" s="1"/>
  <c r="H56" i="1"/>
  <c r="F56" i="1" s="1"/>
  <c r="H57" i="1" l="1"/>
  <c r="F57" i="1" s="1"/>
  <c r="I57" i="1"/>
  <c r="E58" i="1" s="1"/>
  <c r="I58" i="1" l="1"/>
  <c r="E59" i="1" s="1"/>
  <c r="H58" i="1"/>
  <c r="F58" i="1" s="1"/>
  <c r="I59" i="1" l="1"/>
  <c r="E60" i="1" s="1"/>
  <c r="H59" i="1"/>
  <c r="F59" i="1" s="1"/>
  <c r="I60" i="1" l="1"/>
  <c r="E61" i="1" s="1"/>
  <c r="H60" i="1"/>
  <c r="F60" i="1" s="1"/>
  <c r="I61" i="1" l="1"/>
  <c r="E62" i="1" s="1"/>
  <c r="H61" i="1"/>
  <c r="F61" i="1" s="1"/>
  <c r="H62" i="1" l="1"/>
  <c r="F62" i="1" s="1"/>
  <c r="I62" i="1"/>
  <c r="E63" i="1" s="1"/>
  <c r="H63" i="1" l="1"/>
  <c r="F63" i="1" s="1"/>
  <c r="I63" i="1"/>
  <c r="E64" i="1" s="1"/>
  <c r="H64" i="1" l="1"/>
  <c r="F64" i="1" s="1"/>
  <c r="I64" i="1"/>
  <c r="E65" i="1" s="1"/>
  <c r="I65" i="1" l="1"/>
  <c r="E66" i="1" s="1"/>
  <c r="H65" i="1"/>
  <c r="F65" i="1" s="1"/>
  <c r="H66" i="1" l="1"/>
  <c r="F66" i="1" s="1"/>
  <c r="I66" i="1"/>
  <c r="E67" i="1" s="1"/>
  <c r="H67" i="1" l="1"/>
  <c r="F67" i="1" s="1"/>
  <c r="I67" i="1"/>
  <c r="E68" i="1" s="1"/>
  <c r="I68" i="1" l="1"/>
  <c r="E69" i="1" s="1"/>
  <c r="H68" i="1"/>
  <c r="F68" i="1" s="1"/>
  <c r="H69" i="1" l="1"/>
  <c r="F69" i="1" s="1"/>
  <c r="I69" i="1"/>
  <c r="E70" i="1" s="1"/>
  <c r="H70" i="1" l="1"/>
  <c r="F70" i="1" s="1"/>
  <c r="I70" i="1"/>
  <c r="E71" i="1" s="1"/>
  <c r="H71" i="1" l="1"/>
  <c r="F71" i="1" s="1"/>
  <c r="I71" i="1"/>
  <c r="E72" i="1" s="1"/>
  <c r="I72" i="1" l="1"/>
  <c r="E73" i="1" s="1"/>
  <c r="H72" i="1"/>
  <c r="F72" i="1" s="1"/>
  <c r="H73" i="1" l="1"/>
  <c r="F73" i="1" s="1"/>
  <c r="I73" i="1"/>
  <c r="E74" i="1" s="1"/>
  <c r="H74" i="1" l="1"/>
  <c r="F74" i="1" s="1"/>
  <c r="I74" i="1"/>
  <c r="E75" i="1" s="1"/>
  <c r="I75" i="1" l="1"/>
  <c r="E76" i="1" s="1"/>
  <c r="H75" i="1"/>
  <c r="F75" i="1" s="1"/>
  <c r="H76" i="1" l="1"/>
  <c r="F76" i="1" s="1"/>
  <c r="I76" i="1"/>
  <c r="E77" i="1" s="1"/>
  <c r="I77" i="1" l="1"/>
  <c r="E78" i="1" s="1"/>
  <c r="H77" i="1"/>
  <c r="F77" i="1" s="1"/>
  <c r="H78" i="1" l="1"/>
  <c r="F78" i="1" s="1"/>
  <c r="I78" i="1"/>
  <c r="E79" i="1" s="1"/>
  <c r="I79" i="1" l="1"/>
  <c r="E80" i="1" s="1"/>
  <c r="H79" i="1"/>
  <c r="F79" i="1" s="1"/>
  <c r="H80" i="1" l="1"/>
  <c r="F80" i="1" s="1"/>
  <c r="I80" i="1"/>
  <c r="E81" i="1" s="1"/>
  <c r="I81" i="1" l="1"/>
  <c r="E82" i="1" s="1"/>
  <c r="H81" i="1"/>
  <c r="F81" i="1" s="1"/>
  <c r="I82" i="1" l="1"/>
  <c r="E83" i="1" s="1"/>
  <c r="H82" i="1"/>
  <c r="F82" i="1" s="1"/>
  <c r="I83" i="1" l="1"/>
  <c r="E84" i="1" s="1"/>
  <c r="H83" i="1"/>
  <c r="F83" i="1" s="1"/>
  <c r="I84" i="1" l="1"/>
  <c r="E85" i="1" s="1"/>
  <c r="H84" i="1"/>
  <c r="F84" i="1" s="1"/>
  <c r="I85" i="1" l="1"/>
  <c r="E86" i="1" s="1"/>
  <c r="H85" i="1"/>
  <c r="F85" i="1" s="1"/>
  <c r="I86" i="1" l="1"/>
  <c r="E87" i="1" s="1"/>
  <c r="H86" i="1"/>
  <c r="F86" i="1" s="1"/>
  <c r="H87" i="1" l="1"/>
  <c r="F87" i="1" s="1"/>
  <c r="I87" i="1"/>
  <c r="E88" i="1" s="1"/>
  <c r="I88" i="1" l="1"/>
  <c r="E89" i="1" s="1"/>
  <c r="H88" i="1"/>
  <c r="F88" i="1" s="1"/>
  <c r="H89" i="1" l="1"/>
  <c r="F89" i="1" s="1"/>
  <c r="I89" i="1"/>
  <c r="E90" i="1" s="1"/>
  <c r="H90" i="1" l="1"/>
  <c r="F90" i="1" s="1"/>
  <c r="I90" i="1"/>
  <c r="E91" i="1" s="1"/>
  <c r="I91" i="1" l="1"/>
  <c r="E92" i="1" s="1"/>
  <c r="H91" i="1"/>
  <c r="F91" i="1" s="1"/>
  <c r="I92" i="1" l="1"/>
  <c r="E93" i="1" s="1"/>
  <c r="H92" i="1"/>
  <c r="F92" i="1" s="1"/>
  <c r="I93" i="1" l="1"/>
  <c r="E94" i="1" s="1"/>
  <c r="H93" i="1"/>
  <c r="F93" i="1" s="1"/>
  <c r="H94" i="1" l="1"/>
  <c r="F94" i="1" s="1"/>
  <c r="I94" i="1"/>
  <c r="E95" i="1" s="1"/>
  <c r="I95" i="1" l="1"/>
  <c r="E96" i="1" s="1"/>
  <c r="H95" i="1"/>
  <c r="F95" i="1" s="1"/>
  <c r="I96" i="1" l="1"/>
  <c r="E97" i="1" s="1"/>
  <c r="H96" i="1"/>
  <c r="F96" i="1" s="1"/>
  <c r="I97" i="1" l="1"/>
  <c r="E98" i="1" s="1"/>
  <c r="H97" i="1"/>
  <c r="F97" i="1" s="1"/>
  <c r="H98" i="1" l="1"/>
  <c r="F98" i="1" s="1"/>
  <c r="I98" i="1"/>
  <c r="E99" i="1" s="1"/>
  <c r="H99" i="1" l="1"/>
  <c r="F99" i="1" s="1"/>
  <c r="I99" i="1"/>
  <c r="E100" i="1" s="1"/>
  <c r="I100" i="1" l="1"/>
  <c r="E101" i="1" s="1"/>
  <c r="H100" i="1"/>
  <c r="F100" i="1" s="1"/>
  <c r="H101" i="1" l="1"/>
  <c r="F101" i="1" s="1"/>
  <c r="I101" i="1"/>
  <c r="E102" i="1" s="1"/>
  <c r="I102" i="1" l="1"/>
  <c r="E103" i="1" s="1"/>
  <c r="H102" i="1"/>
  <c r="F102" i="1" s="1"/>
  <c r="I103" i="1" l="1"/>
  <c r="E104" i="1" s="1"/>
  <c r="H103" i="1"/>
  <c r="F103" i="1" s="1"/>
  <c r="I104" i="1" l="1"/>
  <c r="E105" i="1" s="1"/>
  <c r="H104" i="1"/>
  <c r="F104" i="1" s="1"/>
  <c r="I105" i="1" l="1"/>
  <c r="E106" i="1" s="1"/>
  <c r="H105" i="1"/>
  <c r="F105" i="1" s="1"/>
  <c r="H106" i="1" l="1"/>
  <c r="F106" i="1" s="1"/>
  <c r="I106" i="1"/>
  <c r="E107" i="1" s="1"/>
  <c r="I107" i="1" l="1"/>
  <c r="E108" i="1" s="1"/>
  <c r="H107" i="1"/>
  <c r="F107" i="1" s="1"/>
  <c r="I108" i="1" l="1"/>
  <c r="E109" i="1" s="1"/>
  <c r="H108" i="1"/>
  <c r="F108" i="1" s="1"/>
  <c r="I109" i="1" l="1"/>
  <c r="E110" i="1" s="1"/>
  <c r="H109" i="1"/>
  <c r="F109" i="1" s="1"/>
  <c r="I110" i="1" l="1"/>
  <c r="E111" i="1" s="1"/>
  <c r="H110" i="1"/>
  <c r="F110" i="1" s="1"/>
  <c r="H111" i="1" l="1"/>
  <c r="F111" i="1" s="1"/>
  <c r="I111" i="1"/>
  <c r="E112" i="1" s="1"/>
  <c r="I112" i="1" l="1"/>
  <c r="E113" i="1" s="1"/>
  <c r="H112" i="1"/>
  <c r="F112" i="1" s="1"/>
  <c r="H113" i="1" l="1"/>
  <c r="F113" i="1" s="1"/>
  <c r="I113" i="1"/>
  <c r="E114" i="1" s="1"/>
  <c r="H114" i="1" l="1"/>
  <c r="F114" i="1" s="1"/>
  <c r="I114" i="1"/>
  <c r="E115" i="1" s="1"/>
  <c r="I115" i="1" l="1"/>
  <c r="E116" i="1" s="1"/>
  <c r="H115" i="1"/>
  <c r="F115" i="1" s="1"/>
  <c r="I116" i="1" l="1"/>
  <c r="E117" i="1" s="1"/>
  <c r="H116" i="1"/>
  <c r="F116" i="1" s="1"/>
  <c r="I117" i="1" l="1"/>
  <c r="E118" i="1" s="1"/>
  <c r="H117" i="1"/>
  <c r="F117" i="1" s="1"/>
  <c r="H118" i="1" l="1"/>
  <c r="F118" i="1" s="1"/>
  <c r="I118" i="1"/>
  <c r="E119" i="1" s="1"/>
  <c r="I119" i="1" l="1"/>
  <c r="E120" i="1" s="1"/>
  <c r="H119" i="1"/>
  <c r="F119" i="1" s="1"/>
  <c r="I120" i="1" l="1"/>
  <c r="E121" i="1" s="1"/>
  <c r="H120" i="1"/>
  <c r="F120" i="1" s="1"/>
  <c r="I121" i="1" l="1"/>
  <c r="E122" i="1" s="1"/>
  <c r="H121" i="1"/>
  <c r="F121" i="1" s="1"/>
  <c r="H122" i="1" l="1"/>
  <c r="F122" i="1" s="1"/>
  <c r="I122" i="1"/>
  <c r="E123" i="1" s="1"/>
  <c r="H123" i="1" l="1"/>
  <c r="F123" i="1" s="1"/>
  <c r="I123" i="1"/>
  <c r="E124" i="1" s="1"/>
  <c r="I124" i="1" l="1"/>
  <c r="E125" i="1" s="1"/>
  <c r="H124" i="1"/>
  <c r="F124" i="1" s="1"/>
  <c r="H125" i="1" l="1"/>
  <c r="F125" i="1" s="1"/>
  <c r="I125" i="1"/>
  <c r="E126" i="1" s="1"/>
  <c r="I126" i="1" l="1"/>
  <c r="E127" i="1" s="1"/>
  <c r="H126" i="1"/>
  <c r="F126" i="1" s="1"/>
  <c r="H127" i="1" l="1"/>
  <c r="F127" i="1" s="1"/>
  <c r="I127" i="1"/>
  <c r="E128" i="1" s="1"/>
  <c r="H128" i="1" l="1"/>
  <c r="F128" i="1" s="1"/>
  <c r="I128" i="1"/>
  <c r="E129" i="1" s="1"/>
  <c r="I129" i="1" l="1"/>
  <c r="E130" i="1" s="1"/>
  <c r="H129" i="1"/>
  <c r="F129" i="1" s="1"/>
  <c r="I130" i="1" l="1"/>
  <c r="E131" i="1" s="1"/>
  <c r="H130" i="1"/>
  <c r="F130" i="1" s="1"/>
  <c r="I131" i="1" l="1"/>
  <c r="E132" i="1" s="1"/>
  <c r="H131" i="1"/>
  <c r="I132" i="1" l="1"/>
  <c r="E133" i="1" s="1"/>
  <c r="H132" i="1"/>
  <c r="F132" i="1" s="1"/>
  <c r="F131" i="1"/>
  <c r="I133" i="1" l="1"/>
  <c r="E134" i="1" s="1"/>
  <c r="H133" i="1"/>
  <c r="F133" i="1" l="1"/>
  <c r="I134" i="1"/>
  <c r="E135" i="1" s="1"/>
  <c r="H134" i="1"/>
  <c r="F134" i="1" s="1"/>
  <c r="I135" i="1" l="1"/>
  <c r="E136" i="1" s="1"/>
  <c r="H135" i="1"/>
  <c r="F135" i="1" s="1"/>
  <c r="I136" i="1" l="1"/>
  <c r="E137" i="1" s="1"/>
  <c r="H136" i="1"/>
  <c r="F136" i="1" s="1"/>
  <c r="I137" i="1" l="1"/>
  <c r="E138" i="1" s="1"/>
  <c r="H137" i="1"/>
  <c r="F137" i="1" s="1"/>
  <c r="I138" i="1" l="1"/>
  <c r="E139" i="1" s="1"/>
  <c r="H138" i="1"/>
  <c r="F138" i="1" s="1"/>
  <c r="I139" i="1" l="1"/>
  <c r="E140" i="1" s="1"/>
  <c r="H139" i="1"/>
  <c r="F139" i="1" s="1"/>
  <c r="I140" i="1" l="1"/>
  <c r="E141" i="1" s="1"/>
  <c r="H140" i="1"/>
  <c r="F140" i="1" s="1"/>
  <c r="I141" i="1" l="1"/>
  <c r="E142" i="1" s="1"/>
  <c r="H141" i="1"/>
  <c r="F141" i="1" s="1"/>
  <c r="I142" i="1" l="1"/>
  <c r="E143" i="1" s="1"/>
  <c r="H142" i="1"/>
  <c r="F142" i="1" s="1"/>
  <c r="H143" i="1" l="1"/>
  <c r="F143" i="1" s="1"/>
  <c r="I143" i="1"/>
  <c r="E144" i="1" s="1"/>
  <c r="I144" i="1" l="1"/>
  <c r="E145" i="1" s="1"/>
  <c r="H144" i="1"/>
  <c r="F144" i="1" s="1"/>
  <c r="I145" i="1" l="1"/>
  <c r="E146" i="1" s="1"/>
  <c r="H145" i="1"/>
  <c r="F145" i="1" s="1"/>
  <c r="I146" i="1" l="1"/>
  <c r="E147" i="1" s="1"/>
  <c r="H146" i="1"/>
  <c r="F146" i="1" s="1"/>
  <c r="I147" i="1" l="1"/>
  <c r="E148" i="1" s="1"/>
  <c r="H147" i="1"/>
  <c r="F147" i="1" s="1"/>
  <c r="I148" i="1" l="1"/>
  <c r="E149" i="1" s="1"/>
  <c r="H148" i="1"/>
  <c r="F148" i="1" s="1"/>
  <c r="I149" i="1" l="1"/>
  <c r="E150" i="1" s="1"/>
  <c r="H149" i="1"/>
  <c r="F149" i="1" s="1"/>
  <c r="I150" i="1" l="1"/>
  <c r="E151" i="1" s="1"/>
  <c r="H150" i="1"/>
  <c r="F150" i="1" s="1"/>
  <c r="I151" i="1" l="1"/>
  <c r="E152" i="1" s="1"/>
  <c r="H151" i="1"/>
  <c r="F151" i="1" s="1"/>
  <c r="I152" i="1" l="1"/>
  <c r="E153" i="1" s="1"/>
  <c r="H152" i="1"/>
  <c r="F152" i="1" s="1"/>
  <c r="I153" i="1" l="1"/>
  <c r="E154" i="1" s="1"/>
  <c r="H153" i="1"/>
  <c r="F153" i="1" s="1"/>
  <c r="I154" i="1" l="1"/>
  <c r="E155" i="1" s="1"/>
  <c r="H154" i="1"/>
  <c r="F154" i="1" s="1"/>
  <c r="I155" i="1" l="1"/>
  <c r="E156" i="1" s="1"/>
  <c r="H155" i="1"/>
  <c r="F155" i="1" s="1"/>
  <c r="I156" i="1" l="1"/>
  <c r="E157" i="1" s="1"/>
  <c r="H156" i="1"/>
  <c r="F156" i="1" s="1"/>
  <c r="I157" i="1" l="1"/>
  <c r="E158" i="1" s="1"/>
  <c r="H157" i="1"/>
  <c r="F157" i="1" s="1"/>
  <c r="H158" i="1" l="1"/>
  <c r="F158" i="1" s="1"/>
  <c r="I158" i="1"/>
  <c r="E159" i="1" s="1"/>
  <c r="I159" i="1" l="1"/>
  <c r="E160" i="1" s="1"/>
  <c r="H159" i="1"/>
  <c r="F159" i="1" s="1"/>
  <c r="I160" i="1" l="1"/>
  <c r="E161" i="1" s="1"/>
  <c r="H160" i="1"/>
  <c r="F160" i="1" s="1"/>
  <c r="I161" i="1" l="1"/>
  <c r="E162" i="1" s="1"/>
  <c r="H161" i="1"/>
  <c r="F161" i="1" s="1"/>
  <c r="I162" i="1" l="1"/>
  <c r="E163" i="1" s="1"/>
  <c r="H162" i="1"/>
  <c r="F162" i="1" s="1"/>
  <c r="I163" i="1" l="1"/>
  <c r="E164" i="1" s="1"/>
  <c r="H163" i="1"/>
  <c r="F163" i="1" s="1"/>
  <c r="I164" i="1" l="1"/>
  <c r="E165" i="1" s="1"/>
  <c r="H164" i="1"/>
  <c r="F164" i="1" s="1"/>
  <c r="I165" i="1" l="1"/>
  <c r="E166" i="1" s="1"/>
  <c r="H165" i="1"/>
  <c r="F165" i="1" s="1"/>
  <c r="I166" i="1" l="1"/>
  <c r="E167" i="1" s="1"/>
  <c r="H166" i="1"/>
  <c r="F166" i="1" s="1"/>
  <c r="H167" i="1" l="1"/>
  <c r="F167" i="1" s="1"/>
  <c r="I167" i="1"/>
  <c r="E168" i="1" s="1"/>
  <c r="I168" i="1" l="1"/>
  <c r="E169" i="1" s="1"/>
  <c r="H168" i="1"/>
  <c r="F168" i="1" s="1"/>
  <c r="I169" i="1" l="1"/>
  <c r="E170" i="1" s="1"/>
  <c r="H169" i="1"/>
  <c r="F169" i="1" s="1"/>
  <c r="I170" i="1" l="1"/>
  <c r="E171" i="1" s="1"/>
  <c r="H170" i="1"/>
  <c r="F170" i="1" s="1"/>
  <c r="H171" i="1" l="1"/>
  <c r="F171" i="1" s="1"/>
  <c r="I171" i="1"/>
  <c r="E172" i="1" s="1"/>
  <c r="H172" i="1" l="1"/>
  <c r="F172" i="1" s="1"/>
  <c r="I172" i="1"/>
  <c r="E173" i="1" s="1"/>
  <c r="I173" i="1" l="1"/>
  <c r="E174" i="1" s="1"/>
  <c r="H173" i="1"/>
  <c r="F173" i="1" s="1"/>
  <c r="H174" i="1" l="1"/>
  <c r="F174" i="1" s="1"/>
  <c r="I174" i="1"/>
  <c r="E175" i="1" s="1"/>
  <c r="I175" i="1" l="1"/>
  <c r="E176" i="1" s="1"/>
  <c r="H175" i="1"/>
  <c r="F175" i="1" s="1"/>
  <c r="I176" i="1" l="1"/>
  <c r="E177" i="1" s="1"/>
  <c r="H176" i="1"/>
  <c r="F176" i="1" s="1"/>
  <c r="H177" i="1" l="1"/>
  <c r="F177" i="1" s="1"/>
  <c r="I177" i="1"/>
  <c r="E178" i="1" s="1"/>
  <c r="I178" i="1" l="1"/>
  <c r="E179" i="1" s="1"/>
  <c r="H178" i="1"/>
  <c r="F178" i="1" s="1"/>
  <c r="I179" i="1" l="1"/>
  <c r="E180" i="1" s="1"/>
  <c r="H179" i="1"/>
  <c r="F179" i="1" s="1"/>
  <c r="H180" i="1" l="1"/>
  <c r="F180" i="1" s="1"/>
  <c r="I180" i="1"/>
  <c r="E181" i="1" s="1"/>
  <c r="I181" i="1" l="1"/>
  <c r="E182" i="1" s="1"/>
  <c r="H181" i="1"/>
  <c r="F181" i="1" s="1"/>
  <c r="I182" i="1" l="1"/>
  <c r="E183" i="1" s="1"/>
  <c r="H182" i="1"/>
  <c r="F182" i="1" s="1"/>
  <c r="H183" i="1" l="1"/>
  <c r="F183" i="1" s="1"/>
  <c r="I183" i="1"/>
  <c r="E184" i="1" s="1"/>
  <c r="H184" i="1" l="1"/>
  <c r="F184" i="1" s="1"/>
  <c r="I184" i="1"/>
  <c r="E185" i="1" s="1"/>
  <c r="I185" i="1" l="1"/>
  <c r="E186" i="1" s="1"/>
  <c r="H185" i="1"/>
  <c r="F185" i="1" s="1"/>
  <c r="I186" i="1" l="1"/>
  <c r="E187" i="1" s="1"/>
  <c r="H186" i="1"/>
  <c r="F186" i="1" s="1"/>
  <c r="I187" i="1" l="1"/>
  <c r="E188" i="1" s="1"/>
  <c r="H187" i="1"/>
  <c r="F187" i="1" s="1"/>
  <c r="I188" i="1" l="1"/>
  <c r="E189" i="1" s="1"/>
  <c r="H188" i="1"/>
  <c r="F188" i="1" s="1"/>
  <c r="I189" i="1" l="1"/>
  <c r="E190" i="1" s="1"/>
  <c r="H189" i="1"/>
  <c r="F189" i="1" s="1"/>
  <c r="I190" i="1" l="1"/>
  <c r="E191" i="1" s="1"/>
  <c r="H190" i="1"/>
  <c r="F190" i="1" s="1"/>
  <c r="I191" i="1" l="1"/>
  <c r="E192" i="1" s="1"/>
  <c r="H191" i="1"/>
  <c r="F191" i="1" s="1"/>
  <c r="I192" i="1" l="1"/>
  <c r="E193" i="1" s="1"/>
  <c r="H192" i="1"/>
  <c r="F192" i="1" s="1"/>
  <c r="H193" i="1" l="1"/>
  <c r="F193" i="1" s="1"/>
  <c r="I193" i="1"/>
  <c r="E194" i="1" s="1"/>
  <c r="I194" i="1" l="1"/>
  <c r="E195" i="1" s="1"/>
  <c r="H194" i="1"/>
  <c r="F194" i="1" s="1"/>
  <c r="H195" i="1" l="1"/>
  <c r="F195" i="1" s="1"/>
  <c r="I195" i="1"/>
  <c r="E196" i="1" s="1"/>
  <c r="H196" i="1" l="1"/>
  <c r="F196" i="1" s="1"/>
  <c r="I196" i="1"/>
  <c r="E197" i="1" s="1"/>
  <c r="I197" i="1" l="1"/>
  <c r="E198" i="1" s="1"/>
  <c r="H197" i="1"/>
  <c r="F197" i="1" s="1"/>
  <c r="H198" i="1" l="1"/>
  <c r="F198" i="1" s="1"/>
  <c r="I198" i="1"/>
  <c r="E199" i="1" s="1"/>
  <c r="H199" i="1" l="1"/>
  <c r="F199" i="1" s="1"/>
  <c r="I199" i="1"/>
  <c r="E200" i="1" s="1"/>
  <c r="H200" i="1" l="1"/>
  <c r="F200" i="1" s="1"/>
  <c r="I200" i="1"/>
  <c r="E201" i="1" s="1"/>
  <c r="H201" i="1" l="1"/>
  <c r="F201" i="1" s="1"/>
  <c r="I201" i="1"/>
  <c r="E202" i="1" s="1"/>
  <c r="H202" i="1" l="1"/>
  <c r="F202" i="1" s="1"/>
  <c r="I202" i="1"/>
  <c r="E203" i="1" s="1"/>
  <c r="I203" i="1" l="1"/>
  <c r="E204" i="1" s="1"/>
  <c r="H203" i="1"/>
  <c r="F203" i="1" s="1"/>
  <c r="I204" i="1" l="1"/>
  <c r="E205" i="1" s="1"/>
  <c r="H204" i="1"/>
  <c r="F204" i="1" s="1"/>
  <c r="H205" i="1" l="1"/>
  <c r="F205" i="1" s="1"/>
  <c r="I205" i="1"/>
  <c r="E206" i="1" s="1"/>
  <c r="H206" i="1" l="1"/>
  <c r="F206" i="1" s="1"/>
  <c r="I206" i="1"/>
  <c r="E207" i="1" s="1"/>
  <c r="H207" i="1" l="1"/>
  <c r="F207" i="1" s="1"/>
  <c r="I207" i="1"/>
  <c r="E208" i="1" s="1"/>
  <c r="H208" i="1" l="1"/>
  <c r="F208" i="1" s="1"/>
  <c r="I208" i="1"/>
  <c r="E209" i="1" s="1"/>
  <c r="I209" i="1" l="1"/>
  <c r="E210" i="1" s="1"/>
  <c r="H209" i="1"/>
  <c r="F209" i="1" s="1"/>
  <c r="H210" i="1" l="1"/>
  <c r="F210" i="1" s="1"/>
  <c r="I210" i="1"/>
  <c r="E211" i="1" s="1"/>
  <c r="H211" i="1" l="1"/>
  <c r="F211" i="1" s="1"/>
  <c r="I211" i="1"/>
  <c r="E212" i="1" s="1"/>
  <c r="H212" i="1" l="1"/>
  <c r="F212" i="1" s="1"/>
  <c r="I212" i="1"/>
  <c r="E213" i="1" s="1"/>
  <c r="I213" i="1" l="1"/>
  <c r="E214" i="1" s="1"/>
  <c r="H213" i="1"/>
  <c r="F213" i="1" s="1"/>
  <c r="H214" i="1" l="1"/>
  <c r="F214" i="1" s="1"/>
  <c r="I214" i="1"/>
  <c r="E215" i="1" s="1"/>
  <c r="I215" i="1" l="1"/>
  <c r="E216" i="1" s="1"/>
  <c r="H215" i="1"/>
  <c r="F215" i="1" s="1"/>
  <c r="I216" i="1" l="1"/>
  <c r="E217" i="1" s="1"/>
  <c r="H216" i="1"/>
  <c r="F216" i="1" s="1"/>
  <c r="H217" i="1" l="1"/>
  <c r="F217" i="1" s="1"/>
  <c r="I217" i="1"/>
  <c r="E218" i="1" s="1"/>
  <c r="H218" i="1" l="1"/>
  <c r="F218" i="1" s="1"/>
  <c r="I218" i="1"/>
  <c r="E219" i="1" s="1"/>
  <c r="I219" i="1" l="1"/>
  <c r="E220" i="1" s="1"/>
  <c r="H219" i="1"/>
  <c r="F219" i="1" s="1"/>
  <c r="H220" i="1" l="1"/>
  <c r="F220" i="1" s="1"/>
  <c r="I220" i="1"/>
  <c r="E221" i="1" s="1"/>
  <c r="I221" i="1" l="1"/>
  <c r="E222" i="1" s="1"/>
  <c r="H221" i="1"/>
  <c r="F221" i="1" s="1"/>
  <c r="H222" i="1" l="1"/>
  <c r="F222" i="1" s="1"/>
  <c r="I222" i="1"/>
  <c r="E223" i="1" s="1"/>
  <c r="H223" i="1" l="1"/>
  <c r="F223" i="1" s="1"/>
  <c r="I223" i="1"/>
  <c r="E224" i="1" s="1"/>
  <c r="H224" i="1" l="1"/>
  <c r="F224" i="1" s="1"/>
  <c r="I224" i="1"/>
  <c r="E225" i="1" s="1"/>
  <c r="I225" i="1" l="1"/>
  <c r="E226" i="1" s="1"/>
  <c r="H225" i="1"/>
  <c r="F225" i="1" s="1"/>
  <c r="H226" i="1" l="1"/>
  <c r="F226" i="1" s="1"/>
  <c r="I226" i="1"/>
  <c r="E227" i="1" s="1"/>
  <c r="I227" i="1" l="1"/>
  <c r="E228" i="1" s="1"/>
  <c r="H227" i="1"/>
  <c r="F227" i="1" s="1"/>
  <c r="I228" i="1" l="1"/>
  <c r="E229" i="1" s="1"/>
  <c r="H228" i="1"/>
  <c r="F228" i="1" s="1"/>
  <c r="H229" i="1" l="1"/>
  <c r="F229" i="1" s="1"/>
  <c r="I229" i="1"/>
  <c r="E230" i="1" s="1"/>
  <c r="H230" i="1" l="1"/>
  <c r="F230" i="1" s="1"/>
  <c r="I230" i="1"/>
  <c r="E231" i="1" s="1"/>
  <c r="I231" i="1" l="1"/>
  <c r="E232" i="1" s="1"/>
  <c r="H231" i="1"/>
  <c r="F231" i="1" s="1"/>
  <c r="H232" i="1" l="1"/>
  <c r="F232" i="1" s="1"/>
  <c r="I232" i="1"/>
  <c r="E233" i="1" s="1"/>
  <c r="I233" i="1" l="1"/>
  <c r="E234" i="1" s="1"/>
  <c r="H233" i="1"/>
  <c r="F233" i="1" s="1"/>
  <c r="H234" i="1" l="1"/>
  <c r="F234" i="1" s="1"/>
  <c r="I234" i="1"/>
  <c r="E235" i="1" s="1"/>
  <c r="H235" i="1" l="1"/>
  <c r="F235" i="1" s="1"/>
  <c r="I235" i="1"/>
  <c r="E236" i="1" s="1"/>
  <c r="H236" i="1" l="1"/>
  <c r="F236" i="1" s="1"/>
  <c r="I236" i="1"/>
  <c r="E237" i="1" s="1"/>
  <c r="I237" i="1" l="1"/>
  <c r="E238" i="1" s="1"/>
  <c r="H237" i="1"/>
  <c r="F237" i="1" s="1"/>
  <c r="H238" i="1" l="1"/>
  <c r="F238" i="1" s="1"/>
  <c r="I238" i="1"/>
  <c r="E239" i="1" s="1"/>
  <c r="I239" i="1" l="1"/>
  <c r="E240" i="1" s="1"/>
  <c r="H239" i="1"/>
  <c r="F239" i="1" s="1"/>
  <c r="I240" i="1" l="1"/>
  <c r="E241" i="1" s="1"/>
  <c r="H240" i="1"/>
  <c r="F240" i="1" s="1"/>
  <c r="H241" i="1" l="1"/>
  <c r="F241" i="1" s="1"/>
  <c r="I241" i="1"/>
  <c r="E242" i="1" s="1"/>
  <c r="H242" i="1" l="1"/>
  <c r="F242" i="1" s="1"/>
  <c r="I242" i="1"/>
  <c r="E243" i="1" s="1"/>
  <c r="I243" i="1" l="1"/>
  <c r="E244" i="1" s="1"/>
  <c r="H243" i="1"/>
  <c r="F243" i="1" s="1"/>
  <c r="H244" i="1" l="1"/>
  <c r="F244" i="1" s="1"/>
  <c r="I244" i="1"/>
  <c r="E245" i="1" s="1"/>
  <c r="I245" i="1" l="1"/>
  <c r="E246" i="1" s="1"/>
  <c r="H245" i="1"/>
  <c r="F245" i="1" s="1"/>
  <c r="H246" i="1" l="1"/>
  <c r="F246" i="1" s="1"/>
  <c r="I246" i="1"/>
  <c r="E247" i="1" s="1"/>
  <c r="I247" i="1" l="1"/>
  <c r="E248" i="1" s="1"/>
  <c r="H247" i="1"/>
  <c r="F247" i="1" s="1"/>
  <c r="I248" i="1" l="1"/>
  <c r="E249" i="1" s="1"/>
  <c r="H248" i="1"/>
  <c r="F248" i="1" s="1"/>
  <c r="I249" i="1" l="1"/>
  <c r="E250" i="1" s="1"/>
  <c r="H249" i="1"/>
  <c r="F249" i="1" s="1"/>
  <c r="H250" i="1" l="1"/>
  <c r="F250" i="1" s="1"/>
  <c r="I250" i="1"/>
  <c r="E251" i="1" s="1"/>
  <c r="I251" i="1" l="1"/>
  <c r="E252" i="1" s="1"/>
  <c r="H251" i="1"/>
  <c r="I252" i="1" l="1"/>
  <c r="E253" i="1" s="1"/>
  <c r="H252" i="1"/>
  <c r="F252" i="1" s="1"/>
  <c r="F251" i="1"/>
  <c r="I253" i="1" l="1"/>
  <c r="E254" i="1" s="1"/>
  <c r="H253" i="1"/>
  <c r="F253" i="1" l="1"/>
  <c r="I254" i="1"/>
  <c r="E255" i="1" s="1"/>
  <c r="H254" i="1"/>
  <c r="F254" i="1" s="1"/>
  <c r="I255" i="1" l="1"/>
  <c r="E256" i="1" s="1"/>
  <c r="H255" i="1"/>
  <c r="F255" i="1" s="1"/>
  <c r="I256" i="1" l="1"/>
  <c r="E257" i="1" s="1"/>
  <c r="H256" i="1"/>
  <c r="F256" i="1" l="1"/>
  <c r="I257" i="1"/>
  <c r="E258" i="1" s="1"/>
  <c r="H257" i="1"/>
  <c r="F257" i="1" s="1"/>
  <c r="H258" i="1" l="1"/>
  <c r="F258" i="1" s="1"/>
  <c r="I258" i="1"/>
  <c r="E259" i="1" s="1"/>
  <c r="I259" i="1" l="1"/>
  <c r="E260" i="1" s="1"/>
  <c r="H259" i="1"/>
  <c r="F259" i="1" l="1"/>
  <c r="I260" i="1"/>
  <c r="E261" i="1" s="1"/>
  <c r="H260" i="1"/>
  <c r="F260" i="1" s="1"/>
  <c r="I261" i="1" l="1"/>
  <c r="E262" i="1" s="1"/>
  <c r="H261" i="1"/>
  <c r="F261" i="1" s="1"/>
  <c r="I262" i="1" l="1"/>
  <c r="E263" i="1" s="1"/>
  <c r="H262" i="1"/>
  <c r="F262" i="1" s="1"/>
  <c r="I263" i="1" l="1"/>
  <c r="E264" i="1" s="1"/>
  <c r="H263" i="1"/>
  <c r="F263" i="1" s="1"/>
  <c r="I264" i="1" l="1"/>
  <c r="E265" i="1" s="1"/>
  <c r="H264" i="1"/>
  <c r="F264" i="1" s="1"/>
  <c r="I265" i="1" l="1"/>
  <c r="E266" i="1" s="1"/>
  <c r="H265" i="1"/>
  <c r="F265" i="1" s="1"/>
  <c r="I266" i="1" l="1"/>
  <c r="E267" i="1" s="1"/>
  <c r="H266" i="1"/>
  <c r="F266" i="1" s="1"/>
  <c r="I267" i="1" l="1"/>
  <c r="E268" i="1" s="1"/>
  <c r="H267" i="1"/>
  <c r="F267" i="1" s="1"/>
  <c r="I268" i="1" l="1"/>
  <c r="E269" i="1" s="1"/>
  <c r="H268" i="1"/>
  <c r="F268" i="1" s="1"/>
  <c r="I269" i="1" l="1"/>
  <c r="E270" i="1" s="1"/>
  <c r="H269" i="1"/>
  <c r="F269" i="1" s="1"/>
  <c r="H270" i="1" l="1"/>
  <c r="F270" i="1" s="1"/>
  <c r="I270" i="1"/>
  <c r="E271" i="1" s="1"/>
  <c r="I271" i="1" l="1"/>
  <c r="E272" i="1" s="1"/>
  <c r="H271" i="1"/>
  <c r="F271" i="1" s="1"/>
  <c r="I272" i="1" l="1"/>
  <c r="E273" i="1" s="1"/>
  <c r="H272" i="1"/>
  <c r="F272" i="1" s="1"/>
  <c r="I273" i="1" l="1"/>
  <c r="E274" i="1" s="1"/>
  <c r="H273" i="1"/>
  <c r="F273" i="1" s="1"/>
  <c r="H274" i="1" l="1"/>
  <c r="F274" i="1" s="1"/>
  <c r="I274" i="1"/>
  <c r="E275" i="1" s="1"/>
  <c r="I275" i="1" l="1"/>
  <c r="E276" i="1" s="1"/>
  <c r="H275" i="1"/>
  <c r="F275" i="1" s="1"/>
  <c r="I276" i="1" l="1"/>
  <c r="E277" i="1" s="1"/>
  <c r="H276" i="1"/>
  <c r="F276" i="1" s="1"/>
  <c r="I277" i="1" l="1"/>
  <c r="E278" i="1" s="1"/>
  <c r="H277" i="1"/>
  <c r="F277" i="1" s="1"/>
  <c r="I278" i="1" l="1"/>
  <c r="E279" i="1" s="1"/>
  <c r="H278" i="1"/>
  <c r="F278" i="1" s="1"/>
  <c r="H279" i="1" l="1"/>
  <c r="F279" i="1" s="1"/>
  <c r="I279" i="1"/>
  <c r="E280" i="1" s="1"/>
  <c r="I280" i="1" l="1"/>
  <c r="E281" i="1" s="1"/>
  <c r="H280" i="1"/>
  <c r="F280" i="1" s="1"/>
  <c r="I281" i="1" l="1"/>
  <c r="E282" i="1" s="1"/>
  <c r="H281" i="1"/>
  <c r="F281" i="1" s="1"/>
  <c r="I282" i="1" l="1"/>
  <c r="E283" i="1" s="1"/>
  <c r="H282" i="1"/>
  <c r="F282" i="1" s="1"/>
  <c r="I283" i="1" l="1"/>
  <c r="E284" i="1" s="1"/>
  <c r="H283" i="1"/>
  <c r="F283" i="1" s="1"/>
  <c r="I284" i="1" l="1"/>
  <c r="E285" i="1" s="1"/>
  <c r="H284" i="1"/>
  <c r="F284" i="1" s="1"/>
  <c r="I285" i="1" l="1"/>
  <c r="E286" i="1" s="1"/>
  <c r="H285" i="1"/>
  <c r="F285" i="1" s="1"/>
  <c r="H286" i="1" l="1"/>
  <c r="F286" i="1" s="1"/>
  <c r="I286" i="1"/>
  <c r="E287" i="1" s="1"/>
  <c r="I287" i="1" l="1"/>
  <c r="E288" i="1" s="1"/>
  <c r="H287" i="1"/>
  <c r="F287" i="1" s="1"/>
  <c r="I288" i="1" l="1"/>
  <c r="E289" i="1" s="1"/>
  <c r="H288" i="1"/>
  <c r="F288" i="1" s="1"/>
  <c r="I289" i="1" l="1"/>
  <c r="E290" i="1" s="1"/>
  <c r="H289" i="1"/>
  <c r="F289" i="1" s="1"/>
  <c r="H290" i="1" l="1"/>
  <c r="F290" i="1" s="1"/>
  <c r="I290" i="1"/>
  <c r="E291" i="1" s="1"/>
  <c r="H291" i="1" l="1"/>
  <c r="F291" i="1" s="1"/>
  <c r="I291" i="1"/>
  <c r="E292" i="1" s="1"/>
  <c r="H292" i="1" l="1"/>
  <c r="F292" i="1" s="1"/>
  <c r="I292" i="1"/>
  <c r="E293" i="1" s="1"/>
  <c r="H293" i="1" l="1"/>
  <c r="F293" i="1" s="1"/>
  <c r="I293" i="1"/>
  <c r="E294" i="1" s="1"/>
  <c r="I294" i="1" l="1"/>
  <c r="E295" i="1" s="1"/>
  <c r="H294" i="1"/>
  <c r="F294" i="1" s="1"/>
  <c r="H295" i="1" l="1"/>
  <c r="F295" i="1" s="1"/>
  <c r="I295" i="1"/>
  <c r="E296" i="1" s="1"/>
  <c r="I296" i="1" l="1"/>
  <c r="E297" i="1" s="1"/>
  <c r="H296" i="1"/>
  <c r="F296" i="1" s="1"/>
  <c r="I297" i="1" l="1"/>
  <c r="E298" i="1" s="1"/>
  <c r="H297" i="1"/>
  <c r="F297" i="1" s="1"/>
  <c r="H298" i="1" l="1"/>
  <c r="F298" i="1" s="1"/>
  <c r="I298" i="1"/>
  <c r="E299" i="1" s="1"/>
  <c r="I299" i="1" l="1"/>
  <c r="E300" i="1" s="1"/>
  <c r="H299" i="1"/>
  <c r="F299" i="1" s="1"/>
  <c r="I300" i="1" l="1"/>
  <c r="E301" i="1" s="1"/>
  <c r="H300" i="1"/>
  <c r="F300" i="1" s="1"/>
  <c r="H301" i="1" l="1"/>
  <c r="F301" i="1" s="1"/>
  <c r="I301" i="1"/>
  <c r="E302" i="1" s="1"/>
  <c r="H302" i="1" l="1"/>
  <c r="F302" i="1" s="1"/>
  <c r="I302" i="1"/>
  <c r="E303" i="1" s="1"/>
  <c r="I303" i="1" l="1"/>
  <c r="E304" i="1" s="1"/>
  <c r="H303" i="1"/>
  <c r="F303" i="1" s="1"/>
  <c r="H304" i="1" l="1"/>
  <c r="F304" i="1" s="1"/>
  <c r="I304" i="1"/>
  <c r="E305" i="1" s="1"/>
  <c r="H305" i="1" l="1"/>
  <c r="F305" i="1" s="1"/>
  <c r="I305" i="1"/>
  <c r="E306" i="1" s="1"/>
  <c r="H306" i="1" l="1"/>
  <c r="F306" i="1" s="1"/>
  <c r="I306" i="1"/>
  <c r="E307" i="1" s="1"/>
  <c r="H307" i="1" l="1"/>
  <c r="F307" i="1" s="1"/>
  <c r="I307" i="1"/>
  <c r="E308" i="1" s="1"/>
  <c r="H308" i="1" l="1"/>
  <c r="F308" i="1" s="1"/>
  <c r="I308" i="1"/>
  <c r="E309" i="1" s="1"/>
  <c r="H309" i="1" l="1"/>
  <c r="F309" i="1" s="1"/>
  <c r="I309" i="1"/>
  <c r="E310" i="1" s="1"/>
  <c r="H310" i="1" l="1"/>
  <c r="F310" i="1" s="1"/>
  <c r="I310" i="1"/>
  <c r="E311" i="1" s="1"/>
  <c r="I311" i="1" l="1"/>
  <c r="E312" i="1" s="1"/>
  <c r="H311" i="1"/>
  <c r="F311" i="1" s="1"/>
  <c r="I312" i="1" l="1"/>
  <c r="E313" i="1" s="1"/>
  <c r="H312" i="1"/>
  <c r="F312" i="1" s="1"/>
  <c r="H313" i="1" l="1"/>
  <c r="F313" i="1" s="1"/>
  <c r="I313" i="1"/>
  <c r="E314" i="1" s="1"/>
  <c r="H314" i="1" l="1"/>
  <c r="F314" i="1" s="1"/>
  <c r="I314" i="1"/>
  <c r="E315" i="1" s="1"/>
  <c r="I315" i="1" l="1"/>
  <c r="E316" i="1" s="1"/>
  <c r="H315" i="1"/>
  <c r="F315" i="1" s="1"/>
  <c r="H316" i="1" l="1"/>
  <c r="F316" i="1" s="1"/>
  <c r="I316" i="1"/>
  <c r="E317" i="1" s="1"/>
  <c r="I317" i="1" l="1"/>
  <c r="E318" i="1" s="1"/>
  <c r="H317" i="1"/>
  <c r="F317" i="1" s="1"/>
  <c r="H318" i="1" l="1"/>
  <c r="F318" i="1" s="1"/>
  <c r="I318" i="1"/>
  <c r="E319" i="1" s="1"/>
  <c r="H319" i="1" l="1"/>
  <c r="F319" i="1" s="1"/>
  <c r="I319" i="1"/>
  <c r="E320" i="1" s="1"/>
  <c r="H320" i="1" l="1"/>
  <c r="F320" i="1" s="1"/>
  <c r="I320" i="1"/>
  <c r="E321" i="1" s="1"/>
  <c r="H321" i="1" l="1"/>
  <c r="F321" i="1" s="1"/>
  <c r="I321" i="1"/>
  <c r="E322" i="1" s="1"/>
  <c r="H322" i="1" l="1"/>
  <c r="F322" i="1" s="1"/>
  <c r="I322" i="1"/>
  <c r="E323" i="1" s="1"/>
  <c r="I323" i="1" l="1"/>
  <c r="E324" i="1" s="1"/>
  <c r="H323" i="1"/>
  <c r="F323" i="1" s="1"/>
  <c r="I324" i="1" l="1"/>
  <c r="E325" i="1" s="1"/>
  <c r="H324" i="1"/>
  <c r="F324" i="1" s="1"/>
  <c r="H325" i="1" l="1"/>
  <c r="F325" i="1" s="1"/>
  <c r="I325" i="1"/>
  <c r="E326" i="1" s="1"/>
  <c r="H326" i="1" l="1"/>
  <c r="F326" i="1" s="1"/>
  <c r="I326" i="1"/>
  <c r="E327" i="1" s="1"/>
  <c r="I327" i="1" l="1"/>
  <c r="E328" i="1" s="1"/>
  <c r="H327" i="1"/>
  <c r="F327" i="1" s="1"/>
  <c r="H328" i="1" l="1"/>
  <c r="F328" i="1" s="1"/>
  <c r="I328" i="1"/>
  <c r="E329" i="1" s="1"/>
  <c r="I329" i="1" l="1"/>
  <c r="E330" i="1" s="1"/>
  <c r="H329" i="1"/>
  <c r="F329" i="1" s="1"/>
  <c r="H330" i="1" l="1"/>
  <c r="F330" i="1" s="1"/>
  <c r="I330" i="1"/>
  <c r="E331" i="1" s="1"/>
  <c r="I331" i="1" l="1"/>
  <c r="E332" i="1" s="1"/>
  <c r="H331" i="1"/>
  <c r="F331" i="1" s="1"/>
  <c r="H332" i="1" l="1"/>
  <c r="F332" i="1" s="1"/>
  <c r="I332" i="1"/>
  <c r="E333" i="1" s="1"/>
  <c r="H333" i="1" l="1"/>
  <c r="F333" i="1" s="1"/>
  <c r="I333" i="1"/>
  <c r="E334" i="1" s="1"/>
  <c r="I334" i="1" l="1"/>
  <c r="E335" i="1" s="1"/>
  <c r="H334" i="1"/>
  <c r="F334" i="1" s="1"/>
  <c r="I335" i="1" l="1"/>
  <c r="E336" i="1" s="1"/>
  <c r="H335" i="1"/>
  <c r="F335" i="1" s="1"/>
  <c r="I336" i="1" l="1"/>
  <c r="E337" i="1" s="1"/>
  <c r="H336" i="1"/>
  <c r="F336" i="1" s="1"/>
  <c r="H337" i="1" l="1"/>
  <c r="F337" i="1" s="1"/>
  <c r="I337" i="1"/>
  <c r="E338" i="1" s="1"/>
  <c r="I338" i="1" l="1"/>
  <c r="E339" i="1" s="1"/>
  <c r="H338" i="1"/>
  <c r="F338" i="1" s="1"/>
  <c r="I339" i="1" l="1"/>
  <c r="E340" i="1" s="1"/>
  <c r="H339" i="1"/>
  <c r="F339" i="1" s="1"/>
  <c r="H340" i="1" l="1"/>
  <c r="F340" i="1" s="1"/>
  <c r="I340" i="1"/>
  <c r="E341" i="1" s="1"/>
  <c r="I341" i="1" l="1"/>
  <c r="E342" i="1" s="1"/>
  <c r="H341" i="1"/>
  <c r="F341" i="1" s="1"/>
  <c r="H342" i="1" l="1"/>
  <c r="F342" i="1" s="1"/>
  <c r="I342" i="1"/>
  <c r="E343" i="1" s="1"/>
  <c r="H343" i="1" l="1"/>
  <c r="F343" i="1" s="1"/>
  <c r="I343" i="1"/>
  <c r="E344" i="1" s="1"/>
  <c r="H344" i="1" l="1"/>
  <c r="F344" i="1" s="1"/>
  <c r="I344" i="1"/>
  <c r="E345" i="1" s="1"/>
  <c r="H345" i="1" l="1"/>
  <c r="F345" i="1" s="1"/>
  <c r="I345" i="1"/>
  <c r="E346" i="1" s="1"/>
  <c r="I346" i="1" l="1"/>
  <c r="E347" i="1" s="1"/>
  <c r="H346" i="1"/>
  <c r="F346" i="1" s="1"/>
  <c r="I347" i="1" l="1"/>
  <c r="E348" i="1" s="1"/>
  <c r="H347" i="1"/>
  <c r="F347" i="1" s="1"/>
  <c r="I348" i="1" l="1"/>
  <c r="E349" i="1" s="1"/>
  <c r="H348" i="1"/>
  <c r="F348" i="1" s="1"/>
  <c r="H349" i="1" l="1"/>
  <c r="F349" i="1" s="1"/>
  <c r="I349" i="1"/>
  <c r="E350" i="1" s="1"/>
  <c r="H350" i="1" l="1"/>
  <c r="F350" i="1" s="1"/>
  <c r="I350" i="1"/>
  <c r="E351" i="1" s="1"/>
  <c r="I351" i="1" l="1"/>
  <c r="E352" i="1" s="1"/>
  <c r="H351" i="1"/>
  <c r="F351" i="1" s="1"/>
  <c r="H352" i="1" l="1"/>
  <c r="F352" i="1" s="1"/>
  <c r="I352" i="1"/>
  <c r="E353" i="1" s="1"/>
  <c r="I353" i="1" l="1"/>
  <c r="E354" i="1" s="1"/>
  <c r="H353" i="1"/>
  <c r="F353" i="1" s="1"/>
  <c r="H354" i="1" l="1"/>
  <c r="F354" i="1" s="1"/>
  <c r="I354" i="1"/>
  <c r="E355" i="1" s="1"/>
  <c r="H355" i="1" l="1"/>
  <c r="F355" i="1" s="1"/>
  <c r="I355" i="1"/>
  <c r="E356" i="1" s="1"/>
  <c r="H356" i="1" l="1"/>
  <c r="F356" i="1" s="1"/>
  <c r="I356" i="1"/>
  <c r="E357" i="1" s="1"/>
  <c r="I357" i="1" l="1"/>
  <c r="E358" i="1" s="1"/>
  <c r="H357" i="1"/>
  <c r="F357" i="1" s="1"/>
  <c r="I358" i="1" l="1"/>
  <c r="E359" i="1" s="1"/>
  <c r="H358" i="1"/>
  <c r="F358" i="1" s="1"/>
  <c r="H359" i="1" l="1"/>
  <c r="F359" i="1" s="1"/>
  <c r="I359" i="1"/>
  <c r="E360" i="1" s="1"/>
  <c r="I360" i="1" l="1"/>
  <c r="E361" i="1" s="1"/>
  <c r="H360" i="1"/>
  <c r="F360" i="1" s="1"/>
  <c r="H361" i="1" l="1"/>
  <c r="F361" i="1" s="1"/>
  <c r="I361" i="1"/>
  <c r="E362" i="1" s="1"/>
  <c r="I362" i="1" l="1"/>
  <c r="E363" i="1" s="1"/>
  <c r="H362" i="1"/>
  <c r="F362" i="1" s="1"/>
  <c r="I363" i="1" l="1"/>
  <c r="E364" i="1" s="1"/>
  <c r="H363" i="1"/>
  <c r="F363" i="1" s="1"/>
  <c r="H364" i="1" l="1"/>
  <c r="F364" i="1" s="1"/>
  <c r="I364" i="1"/>
  <c r="E365" i="1" s="1"/>
  <c r="H365" i="1" l="1"/>
  <c r="F365" i="1" s="1"/>
  <c r="I365" i="1"/>
  <c r="E366" i="1" s="1"/>
  <c r="H366" i="1" l="1"/>
  <c r="F366" i="1" s="1"/>
  <c r="I366" i="1"/>
  <c r="E367" i="1" s="1"/>
  <c r="I367" i="1" l="1"/>
  <c r="E368" i="1" s="1"/>
  <c r="H367" i="1"/>
  <c r="F367" i="1" s="1"/>
  <c r="I368" i="1" l="1"/>
  <c r="E369" i="1" s="1"/>
  <c r="H368" i="1"/>
  <c r="F368" i="1" s="1"/>
  <c r="I369" i="1" l="1"/>
  <c r="E370" i="1" s="1"/>
  <c r="H369" i="1"/>
  <c r="F369" i="1" s="1"/>
  <c r="I370" i="1" l="1"/>
  <c r="E371" i="1" s="1"/>
  <c r="H370" i="1"/>
  <c r="F370" i="1" s="1"/>
  <c r="H371" i="1" l="1"/>
  <c r="I371" i="1"/>
  <c r="F371" i="1" l="1"/>
  <c r="I7" i="1"/>
  <c r="I8" i="1" s="1"/>
</calcChain>
</file>

<file path=xl/comments1.xml><?xml version="1.0" encoding="utf-8"?>
<comments xmlns="http://schemas.openxmlformats.org/spreadsheetml/2006/main">
  <authors>
    <author>作者</author>
  </authors>
  <commentList>
    <comment ref="A1" authorId="0" shapeId="0">
      <text>
        <r>
          <rPr>
            <b/>
            <sz val="9"/>
            <color indexed="81"/>
            <rFont val="宋体"/>
            <family val="3"/>
            <charset val="134"/>
          </rPr>
          <t>UEsDBBQACAgIANSAOlcAAAAAAAAAAAAAAAABAAAAMGVTzW7TQBDOmaeIVkICKZEc54fEt/4KREqrNCChqkLj3YmzynrX7K6rRlEuXEAceAG4ckCCW6UWEDxNU3gMdm0nBXGy9/PMfD+z3tvdrt2p1WoLgueZ0nZHyQlPSLQgDCeQCzsEmeSQIIkIlaRBGDeZgPmBYh5i6S5YNA7nZstQEk1AGPSnh5zhtgA5I5HVuYNyg8Ncgq5qlo2KccytwMPMciU9LQhRIHsCU5TWbEZSlUur55szQ0M1r/pKionGlzlKOl8DToO0fMJRrxEDaSZwM8SgQGqRFZSPcT7kxpLohGg0Vml8AimScq575JJb4oU466euV+Wa3o6yEIuyYY34erOxnzGXlE/rNoAUreYutJMFeeG+wi5Pio6wQWJMuCyrSRi0BkE/DDz31K0DR0iVZq7vtFITkYOg3W6Fg4GrQVmqIDtTLiGqDxXI+pHmKdZHbmD93vBodD+qd58XtU+9qYjcJcU+QDJkGwN4bjVQO4bk74RJ1GqQRKs8Kz5UtTN0qZMBDpBBEDbjHsbNTgfazT7tuqNTR3v9B70w9hJlKfD66svq/Y/o98Xlzeefq6tXqw/fbt5+vP5+uXrz6de716XQ7urrhWvJQLtdPnLiBu2g0+401jv6J+7CydLFYp3dfe1ojtFaLosbTadIZ89A8FuHAow9jE1hyb+P55kXJjyI+gz87fK3W8VmX6u0WEbYCrqtsASPLWi7Zf/Dx6qE2hWUoeaKVdMz91OVtMvlH1BLBwjbhwtfMQIAAIADAAA=</t>
        </r>
      </text>
    </comment>
  </commentList>
</comments>
</file>

<file path=xl/sharedStrings.xml><?xml version="1.0" encoding="utf-8"?>
<sst xmlns="http://schemas.openxmlformats.org/spreadsheetml/2006/main" count="26" uniqueCount="26">
  <si>
    <t>还款期数</t>
    <phoneticPr fontId="26" type="noConversion"/>
  </si>
  <si>
    <t>还款日期</t>
    <phoneticPr fontId="26" type="noConversion"/>
  </si>
  <si>
    <t>期初余额</t>
    <phoneticPr fontId="26" type="noConversion"/>
  </si>
  <si>
    <t>本金</t>
    <phoneticPr fontId="26" type="noConversion"/>
  </si>
  <si>
    <t>利息</t>
    <phoneticPr fontId="26" type="noConversion"/>
  </si>
  <si>
    <t>期末余额</t>
    <phoneticPr fontId="26" type="noConversion"/>
  </si>
  <si>
    <t>贷款价值</t>
    <phoneticPr fontId="28" type="noConversion"/>
  </si>
  <si>
    <t>贷款汇总</t>
    <phoneticPr fontId="28" type="noConversion"/>
  </si>
  <si>
    <t>贷款金额：</t>
    <phoneticPr fontId="28" type="noConversion"/>
  </si>
  <si>
    <t>贷款年限：</t>
    <phoneticPr fontId="28" type="noConversion"/>
  </si>
  <si>
    <t>贷款开始日期：</t>
    <phoneticPr fontId="28" type="noConversion"/>
  </si>
  <si>
    <t>还款期数：</t>
    <phoneticPr fontId="28" type="noConversion"/>
  </si>
  <si>
    <t>利息总额：</t>
    <phoneticPr fontId="28" type="noConversion"/>
  </si>
  <si>
    <t>年利率(5年期LPR)：</t>
    <phoneticPr fontId="28" type="noConversion"/>
  </si>
  <si>
    <t>贷款计算器（等额本金）</t>
    <phoneticPr fontId="23" type="noConversion"/>
  </si>
  <si>
    <t>当月还款额</t>
    <phoneticPr fontId="26" type="noConversion"/>
  </si>
  <si>
    <t>贷款总成本：</t>
    <phoneticPr fontId="28" type="noConversion"/>
  </si>
  <si>
    <t>贷款计算器（等额本金）</t>
    <phoneticPr fontId="23" type="noConversion"/>
  </si>
  <si>
    <t>指标名称</t>
    <phoneticPr fontId="21" type="noConversion"/>
  </si>
  <si>
    <t>频率</t>
    <phoneticPr fontId="21" type="noConversion"/>
  </si>
  <si>
    <t>单位</t>
    <phoneticPr fontId="21" type="noConversion"/>
  </si>
  <si>
    <t>指标ID</t>
    <phoneticPr fontId="21" type="noConversion"/>
  </si>
  <si>
    <t>中国:贷款市场报价利率(LPR):5年</t>
    <phoneticPr fontId="21" type="noConversion"/>
  </si>
  <si>
    <t>日</t>
    <phoneticPr fontId="21" type="noConversion"/>
  </si>
  <si>
    <t>%</t>
    <phoneticPr fontId="21" type="noConversion"/>
  </si>
  <si>
    <t>M0331299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</si>
</sst>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7" formatCode="&quot;¥&quot;#,##0.00;&quot;¥&quot;\-#,##0.00"/>
    <numFmt numFmtId="42" formatCode="_ &quot;¥&quot;* #,##0_ ;_ &quot;¥&quot;* \-#,##0_ ;_ &quot;¥&quot;* &quot;-&quot;_ ;_ @_ "/>
    <numFmt numFmtId="176" formatCode="_(* #,##0_);_(* \(#,##0\);_(* &quot;-&quot;_);_(@_)"/>
    <numFmt numFmtId="177" formatCode="#,##0_ "/>
    <numFmt numFmtId="178" formatCode="yyyy\-mm\-dd"/>
    <numFmt numFmtId="179" formatCode="#,##0.00_ "/>
  </numFmts>
  <fonts count="35" x14ac:knownFonts="1">
    <font>
      <sz val="11"/>
      <color theme="1" tint="0.24994659260841701"/>
      <name val="Microsoft YaHei UI"/>
      <family val="2"/>
      <charset val="134"/>
    </font>
    <font>
      <sz val="11"/>
      <color theme="1"/>
      <name val="Microsoft YaHei UI"/>
      <family val="2"/>
      <charset val="134"/>
    </font>
    <font>
      <sz val="11"/>
      <color theme="0"/>
      <name val="Microsoft YaHei UI"/>
      <family val="2"/>
      <charset val="134"/>
    </font>
    <font>
      <sz val="11"/>
      <color rgb="FF9C0006"/>
      <name val="Microsoft YaHei UI"/>
      <family val="2"/>
      <charset val="134"/>
    </font>
    <font>
      <b/>
      <sz val="11"/>
      <color rgb="FFFA7D00"/>
      <name val="Microsoft YaHei UI"/>
      <family val="2"/>
      <charset val="134"/>
    </font>
    <font>
      <b/>
      <sz val="11"/>
      <color theme="0"/>
      <name val="Microsoft YaHei UI"/>
      <family val="2"/>
      <charset val="134"/>
    </font>
    <font>
      <sz val="11"/>
      <color theme="1" tint="0.24994659260841701"/>
      <name val="Microsoft YaHei UI"/>
      <family val="2"/>
      <charset val="134"/>
    </font>
    <font>
      <sz val="11"/>
      <name val="Microsoft YaHei UI"/>
      <family val="2"/>
      <charset val="134"/>
    </font>
    <font>
      <i/>
      <sz val="11"/>
      <color theme="1" tint="0.34998626667073579"/>
      <name val="Microsoft YaHei UI"/>
      <family val="2"/>
      <charset val="134"/>
    </font>
    <font>
      <sz val="11"/>
      <color rgb="FF006100"/>
      <name val="Microsoft YaHei UI"/>
      <family val="2"/>
      <charset val="134"/>
    </font>
    <font>
      <b/>
      <sz val="11"/>
      <color theme="1" tint="0.24994659260841701"/>
      <name val="Microsoft YaHei UI"/>
      <family val="2"/>
      <charset val="134"/>
    </font>
    <font>
      <b/>
      <sz val="11"/>
      <color theme="3"/>
      <name val="Microsoft YaHei UI"/>
      <family val="2"/>
      <charset val="134"/>
    </font>
    <font>
      <sz val="11"/>
      <color rgb="FFFA7D00"/>
      <name val="Microsoft YaHei UI"/>
      <family val="2"/>
      <charset val="134"/>
    </font>
    <font>
      <sz val="11"/>
      <color rgb="FF9C5700"/>
      <name val="Microsoft YaHei UI"/>
      <family val="2"/>
      <charset val="134"/>
    </font>
    <font>
      <b/>
      <sz val="11"/>
      <color rgb="FF3F3F3F"/>
      <name val="Microsoft YaHei UI"/>
      <family val="2"/>
      <charset val="134"/>
    </font>
    <font>
      <b/>
      <sz val="16"/>
      <color theme="1" tint="0.24994659260841701"/>
      <name val="Microsoft YaHei UI"/>
      <family val="2"/>
      <charset val="134"/>
    </font>
    <font>
      <b/>
      <sz val="11"/>
      <color theme="1"/>
      <name val="Microsoft YaHei UI"/>
      <family val="2"/>
      <charset val="134"/>
    </font>
    <font>
      <sz val="11"/>
      <color rgb="FFFF0000"/>
      <name val="Microsoft YaHei UI"/>
      <family val="2"/>
      <charset val="134"/>
    </font>
    <font>
      <b/>
      <sz val="16"/>
      <color theme="5" tint="-0.499984740745262"/>
      <name val="Microsoft YaHei UI"/>
      <family val="2"/>
      <charset val="134"/>
    </font>
    <font>
      <sz val="10"/>
      <name val="Microsoft YaHei UI"/>
      <family val="2"/>
      <charset val="134"/>
    </font>
    <font>
      <sz val="10"/>
      <color theme="1" tint="0.24994659260841701"/>
      <name val="Microsoft YaHei UI"/>
      <family val="2"/>
      <charset val="134"/>
    </font>
    <font>
      <sz val="9"/>
      <name val="Microsoft YaHei UI"/>
      <family val="2"/>
      <charset val="134"/>
    </font>
    <font>
      <sz val="20"/>
      <color theme="0"/>
      <name val="微软雅黑"/>
      <family val="2"/>
      <charset val="134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b/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b/>
      <sz val="10"/>
      <name val="微软雅黑"/>
      <family val="2"/>
      <charset val="134"/>
    </font>
    <font>
      <sz val="9"/>
      <name val="宋体"/>
      <family val="3"/>
      <charset val="134"/>
    </font>
    <font>
      <sz val="10"/>
      <color theme="1"/>
      <name val="微软雅黑"/>
      <family val="2"/>
      <charset val="134"/>
    </font>
    <font>
      <sz val="14"/>
      <color theme="1"/>
      <name val="Arial"/>
      <family val="2"/>
    </font>
    <font>
      <sz val="9"/>
      <name val="Arial"/>
      <family val="2"/>
    </font>
    <font>
      <b/>
      <sz val="11"/>
      <color indexed="10"/>
      <name val="Microsoft YaHei UI"/>
      <family val="2"/>
      <charset val="134"/>
    </font>
    <font>
      <b/>
      <sz val="9"/>
      <color indexed="81"/>
      <name val="宋体"/>
      <family val="3"/>
      <charset val="134"/>
    </font>
    <font>
      <sz val="12"/>
      <color theme="1"/>
      <name val="微软雅黑"/>
      <family val="2"/>
      <charset val="134"/>
    </font>
  </fonts>
  <fills count="3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63636D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E4C658"/>
        <bgColor indexed="64"/>
      </patternFill>
    </fill>
    <fill>
      <patternFill patternType="solid">
        <fgColor rgb="FFF4F4F4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ck">
        <color theme="4" tint="-0.499984740745262"/>
      </bottom>
      <diagonal/>
    </border>
    <border>
      <left/>
      <right/>
      <top style="thin">
        <color theme="4" tint="-0.499984740745262"/>
      </top>
      <bottom style="thin">
        <color theme="4" tint="-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0" tint="-0.14996795556505021"/>
      </bottom>
      <diagonal/>
    </border>
  </borders>
  <cellStyleXfs count="48">
    <xf numFmtId="0" fontId="0" fillId="0" borderId="0">
      <alignment vertical="center"/>
    </xf>
    <xf numFmtId="7" fontId="7" fillId="0" borderId="0" applyFont="0" applyFill="0" applyBorder="0" applyProtection="0">
      <alignment horizontal="right"/>
    </xf>
    <xf numFmtId="0" fontId="10" fillId="0" borderId="1" applyNumberFormat="0" applyFill="0" applyProtection="0"/>
    <xf numFmtId="0" fontId="10" fillId="0" borderId="1" applyNumberFormat="0" applyFill="0" applyProtection="0">
      <alignment vertical="center"/>
    </xf>
    <xf numFmtId="0" fontId="11" fillId="0" borderId="4" applyNumberFormat="0" applyFill="0" applyProtection="0">
      <alignment vertical="center"/>
    </xf>
    <xf numFmtId="0" fontId="6" fillId="2" borderId="2" applyNumberFormat="0" applyProtection="0"/>
    <xf numFmtId="0" fontId="8" fillId="0" borderId="2" applyNumberFormat="0" applyProtection="0">
      <alignment vertical="center"/>
    </xf>
    <xf numFmtId="0" fontId="11" fillId="0" borderId="0" applyNumberFormat="0" applyFill="0" applyBorder="0" applyAlignment="0" applyProtection="0"/>
    <xf numFmtId="0" fontId="15" fillId="0" borderId="3" applyNumberFormat="0" applyFill="0" applyProtection="0">
      <alignment vertical="center"/>
    </xf>
    <xf numFmtId="14" fontId="6" fillId="0" borderId="0" applyFont="0" applyFill="0" applyBorder="0" applyAlignment="0">
      <alignment vertical="center"/>
    </xf>
    <xf numFmtId="177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9" fillId="3" borderId="0" applyNumberFormat="0" applyBorder="0" applyAlignment="0" applyProtection="0"/>
    <xf numFmtId="0" fontId="3" fillId="4" borderId="0" applyNumberFormat="0" applyBorder="0" applyAlignment="0" applyProtection="0"/>
    <xf numFmtId="0" fontId="13" fillId="5" borderId="0" applyNumberFormat="0" applyBorder="0" applyAlignment="0" applyProtection="0"/>
    <xf numFmtId="0" fontId="14" fillId="6" borderId="5" applyNumberFormat="0" applyAlignment="0" applyProtection="0"/>
    <xf numFmtId="0" fontId="4" fillId="6" borderId="6" applyNumberFormat="0" applyAlignment="0" applyProtection="0"/>
    <xf numFmtId="0" fontId="12" fillId="0" borderId="7" applyNumberFormat="0" applyFill="0" applyAlignment="0" applyProtection="0"/>
    <xf numFmtId="0" fontId="5" fillId="7" borderId="8" applyNumberFormat="0" applyAlignment="0" applyProtection="0"/>
    <xf numFmtId="0" fontId="17" fillId="0" borderId="0" applyNumberFormat="0" applyFill="0" applyBorder="0" applyAlignment="0" applyProtection="0"/>
    <xf numFmtId="0" fontId="6" fillId="8" borderId="9" applyNumberFormat="0" applyFont="0" applyAlignment="0" applyProtection="0"/>
    <xf numFmtId="0" fontId="16" fillId="0" borderId="10" applyNumberFormat="0" applyFill="0" applyAlignment="0" applyProtection="0"/>
    <xf numFmtId="0" fontId="2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>
      <alignment vertical="center"/>
    </xf>
    <xf numFmtId="0" fontId="18" fillId="0" borderId="0" xfId="8" applyFont="1" applyBorder="1">
      <alignment vertical="center"/>
    </xf>
    <xf numFmtId="0" fontId="20" fillId="0" borderId="0" xfId="0" applyFont="1" applyAlignment="1">
      <alignment horizontal="right" vertical="center" wrapText="1"/>
    </xf>
    <xf numFmtId="7" fontId="21" fillId="0" borderId="0" xfId="1" applyFont="1" applyAlignment="1">
      <alignment horizontal="right" vertical="center"/>
    </xf>
    <xf numFmtId="0" fontId="19" fillId="0" borderId="0" xfId="0" applyFont="1" applyAlignment="1">
      <alignment horizontal="center"/>
    </xf>
    <xf numFmtId="0" fontId="22" fillId="34" borderId="0" xfId="0" applyFont="1" applyFill="1" applyAlignment="1">
      <alignment horizontal="center" vertical="center"/>
    </xf>
    <xf numFmtId="0" fontId="24" fillId="35" borderId="0" xfId="0" applyFont="1" applyFill="1" applyAlignment="1"/>
    <xf numFmtId="0" fontId="27" fillId="33" borderId="11" xfId="0" applyFont="1" applyFill="1" applyBorder="1" applyAlignment="1">
      <alignment vertical="center"/>
    </xf>
    <xf numFmtId="0" fontId="29" fillId="36" borderId="0" xfId="0" applyFont="1" applyFill="1" applyBorder="1" applyAlignment="1"/>
    <xf numFmtId="177" fontId="30" fillId="37" borderId="0" xfId="10" applyFont="1" applyFill="1" applyAlignment="1" applyProtection="1">
      <alignment horizontal="right" vertical="center"/>
      <protection locked="0"/>
    </xf>
    <xf numFmtId="10" fontId="30" fillId="37" borderId="0" xfId="11" applyFont="1" applyFill="1" applyAlignment="1" applyProtection="1">
      <alignment horizontal="right" vertical="center"/>
      <protection locked="0"/>
    </xf>
    <xf numFmtId="14" fontId="30" fillId="37" borderId="0" xfId="10" applyNumberFormat="1" applyFont="1" applyFill="1" applyAlignment="1" applyProtection="1">
      <alignment horizontal="right" vertical="center"/>
      <protection locked="0"/>
    </xf>
    <xf numFmtId="7" fontId="30" fillId="37" borderId="0" xfId="1" applyFont="1" applyFill="1" applyProtection="1">
      <alignment horizontal="right"/>
      <protection locked="0"/>
    </xf>
    <xf numFmtId="0" fontId="29" fillId="38" borderId="0" xfId="0" applyFont="1" applyFill="1" applyAlignment="1"/>
    <xf numFmtId="177" fontId="31" fillId="0" borderId="0" xfId="10" applyFont="1" applyAlignment="1">
      <alignment horizontal="left" vertical="center"/>
    </xf>
    <xf numFmtId="14" fontId="31" fillId="0" borderId="0" xfId="9" applyFont="1" applyAlignment="1">
      <alignment horizontal="left" vertical="center"/>
    </xf>
    <xf numFmtId="7" fontId="31" fillId="0" borderId="0" xfId="1" applyFont="1" applyAlignment="1">
      <alignment horizontal="right" vertical="center"/>
    </xf>
    <xf numFmtId="7" fontId="30" fillId="36" borderId="0" xfId="1" applyFont="1" applyFill="1" applyBorder="1">
      <alignment horizontal="right"/>
    </xf>
    <xf numFmtId="0" fontId="30" fillId="38" borderId="0" xfId="0" applyFont="1" applyFill="1" applyAlignment="1"/>
    <xf numFmtId="7" fontId="30" fillId="38" borderId="0" xfId="1" applyFont="1" applyFill="1">
      <alignment horizontal="right"/>
    </xf>
    <xf numFmtId="0" fontId="25" fillId="33" borderId="0" xfId="0" applyFont="1" applyFill="1" applyAlignment="1">
      <alignment horizontal="right" vertical="center"/>
    </xf>
    <xf numFmtId="0" fontId="25" fillId="33" borderId="0" xfId="0" applyFont="1" applyFill="1" applyAlignment="1">
      <alignment horizontal="left" vertical="center"/>
    </xf>
    <xf numFmtId="0" fontId="32" fillId="0" borderId="0" xfId="0" applyFont="1">
      <alignment vertical="center"/>
    </xf>
    <xf numFmtId="0" fontId="0" fillId="0" borderId="0" xfId="0" applyNumberFormat="1" applyAlignment="1">
      <alignment horizontal="left" vertical="center"/>
    </xf>
    <xf numFmtId="178" fontId="0" fillId="0" borderId="0" xfId="0" applyNumberFormat="1" applyAlignment="1">
      <alignment horizontal="right" vertical="center"/>
    </xf>
    <xf numFmtId="179" fontId="0" fillId="0" borderId="0" xfId="0" applyNumberFormat="1" applyAlignment="1">
      <alignment horizontal="right" vertical="center"/>
    </xf>
    <xf numFmtId="7" fontId="0" fillId="0" borderId="0" xfId="0" applyNumberFormat="1">
      <alignment vertical="center"/>
    </xf>
    <xf numFmtId="0" fontId="30" fillId="36" borderId="0" xfId="0" applyFont="1" applyFill="1" applyBorder="1" applyAlignment="1"/>
    <xf numFmtId="0" fontId="34" fillId="0" borderId="0" xfId="0" applyFont="1" applyAlignment="1"/>
    <xf numFmtId="0" fontId="22" fillId="34" borderId="0" xfId="0" applyFont="1" applyFill="1" applyAlignment="1">
      <alignment horizontal="center" vertical="center"/>
    </xf>
  </cellXfs>
  <cellStyles count="48">
    <cellStyle name="20% - 着色 1" xfId="25" builtinId="30" customBuiltin="1"/>
    <cellStyle name="20% - 着色 2" xfId="29" builtinId="34" customBuiltin="1"/>
    <cellStyle name="20% - 着色 3" xfId="33" builtinId="38" customBuiltin="1"/>
    <cellStyle name="20% - 着色 4" xfId="37" builtinId="42" customBuiltin="1"/>
    <cellStyle name="20% - 着色 5" xfId="41" builtinId="46" customBuiltin="1"/>
    <cellStyle name="20% - 着色 6" xfId="45" builtinId="50" customBuiltin="1"/>
    <cellStyle name="40% - 着色 1" xfId="26" builtinId="31" customBuiltin="1"/>
    <cellStyle name="40% - 着色 2" xfId="30" builtinId="35" customBuiltin="1"/>
    <cellStyle name="40% - 着色 3" xfId="34" builtinId="39" customBuiltin="1"/>
    <cellStyle name="40% - 着色 4" xfId="38" builtinId="43" customBuiltin="1"/>
    <cellStyle name="40% - 着色 5" xfId="42" builtinId="47" customBuiltin="1"/>
    <cellStyle name="40% - 着色 6" xfId="46" builtinId="51" customBuiltin="1"/>
    <cellStyle name="60% - 着色 1" xfId="27" builtinId="32" customBuiltin="1"/>
    <cellStyle name="60% - 着色 2" xfId="31" builtinId="36" customBuiltin="1"/>
    <cellStyle name="60% - 着色 3" xfId="35" builtinId="40" customBuiltin="1"/>
    <cellStyle name="60% - 着色 4" xfId="39" builtinId="44" customBuiltin="1"/>
    <cellStyle name="60% - 着色 5" xfId="43" builtinId="48" customBuiltin="1"/>
    <cellStyle name="60% - 着色 6" xfId="47" builtinId="52" customBuiltin="1"/>
    <cellStyle name="百分比" xfId="11" builtinId="5" customBuiltin="1"/>
    <cellStyle name="标题" xfId="8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7" builtinId="19" customBuiltin="1"/>
    <cellStyle name="差" xfId="15" builtinId="27" customBuiltin="1"/>
    <cellStyle name="常规" xfId="0" builtinId="0" customBuiltin="1"/>
    <cellStyle name="好" xfId="14" builtinId="26" customBuiltin="1"/>
    <cellStyle name="汇总" xfId="23" builtinId="25" customBuiltin="1"/>
    <cellStyle name="货币" xfId="1" builtinId="4" customBuiltin="1"/>
    <cellStyle name="货币[0]" xfId="13" builtinId="7" customBuiltin="1"/>
    <cellStyle name="计算" xfId="18" builtinId="22" customBuiltin="1"/>
    <cellStyle name="检查单元格" xfId="20" builtinId="23" customBuiltin="1"/>
    <cellStyle name="解释性文本" xfId="6" builtinId="53" customBuiltin="1"/>
    <cellStyle name="警告文本" xfId="21" builtinId="11" customBuiltin="1"/>
    <cellStyle name="链接单元格" xfId="19" builtinId="24" customBuiltin="1"/>
    <cellStyle name="千位分隔" xfId="10" builtinId="3" customBuiltin="1"/>
    <cellStyle name="千位分隔[0]" xfId="12" builtinId="6" customBuiltin="1"/>
    <cellStyle name="日期" xfId="9"/>
    <cellStyle name="适中" xfId="16" builtinId="28" customBuiltin="1"/>
    <cellStyle name="输出" xfId="17" builtinId="21" customBuiltin="1"/>
    <cellStyle name="输入" xfId="5" builtinId="20" customBuiltin="1"/>
    <cellStyle name="着色 1" xfId="24" builtinId="29" customBuiltin="1"/>
    <cellStyle name="着色 2" xfId="28" builtinId="33" customBuiltin="1"/>
    <cellStyle name="着色 3" xfId="32" builtinId="37" customBuiltin="1"/>
    <cellStyle name="着色 4" xfId="36" builtinId="41" customBuiltin="1"/>
    <cellStyle name="着色 5" xfId="40" builtinId="45" customBuiltin="1"/>
    <cellStyle name="着色 6" xfId="44" builtinId="49" customBuiltin="1"/>
    <cellStyle name="注释" xfId="22" builtinId="10" customBuiltin="1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Microsoft Ya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1" formatCode="&quot;¥&quot;#,##0.00;&quot;¥&quot;\-#,##0.00"/>
      <fill>
        <patternFill patternType="none">
          <fgColor indexed="64"/>
          <bgColor indexed="65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Microsoft Ya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1" formatCode="&quot;¥&quot;#,##0.00;&quot;¥&quot;\-#,##0.00"/>
      <fill>
        <patternFill patternType="none">
          <fgColor indexed="64"/>
          <bgColor indexed="65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Microsoft Ya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1" formatCode="&quot;¥&quot;#,##0.00;&quot;¥&quot;\-#,##0.00"/>
      <fill>
        <patternFill patternType="none">
          <fgColor indexed="64"/>
          <bgColor indexed="65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Microsoft Ya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1" formatCode="&quot;¥&quot;#,##0.00;&quot;¥&quot;\-#,##0.00"/>
      <fill>
        <patternFill patternType="none">
          <fgColor indexed="64"/>
          <bgColor indexed="65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Microsoft Ya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1" formatCode="&quot;¥&quot;#,##0.00;&quot;¥&quot;\-#,##0.00"/>
      <fill>
        <patternFill patternType="none">
          <fgColor indexed="64"/>
          <bgColor indexed="65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Microsoft YaHei UI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Microsoft YaHei UI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scheme val="none"/>
      </font>
    </dxf>
    <dxf>
      <font>
        <strike val="0"/>
        <outline val="0"/>
        <shadow val="0"/>
        <u val="none"/>
        <vertAlign val="baseline"/>
        <sz val="9"/>
        <color auto="1"/>
        <name val="Arial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 tint="0.24994659260841701"/>
        <name val="Microsoft YaHei UI"/>
        <scheme val="none"/>
      </font>
      <alignment horizontal="right" vertical="center" textRotation="0" wrapText="0" indent="0" justifyLastLine="0" shrinkToFit="0" readingOrder="0"/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border>
        <left/>
        <right style="thin">
          <color indexed="20"/>
        </right>
        <top/>
        <bottom style="thin">
          <color indexed="20"/>
        </bottom>
      </border>
    </dxf>
    <dxf>
      <border>
        <left/>
        <right/>
        <top/>
        <bottom/>
      </border>
    </dxf>
    <dxf>
      <border>
        <left style="thin">
          <color indexed="20"/>
        </left>
        <right/>
        <top/>
        <bottom style="thin">
          <color indexed="20"/>
        </bottom>
      </border>
    </dxf>
    <dxf>
      <border>
        <left/>
        <right/>
        <top/>
        <bottom/>
      </border>
    </dxf>
    <dxf>
      <border>
        <left/>
        <right/>
        <top/>
        <bottom style="thin">
          <color indexed="20"/>
        </bottom>
      </border>
    </dxf>
    <dxf>
      <border>
        <left/>
        <right/>
        <top/>
        <bottom/>
      </border>
    </dxf>
    <dxf>
      <font>
        <color theme="1" tint="0.24994659260841701"/>
      </font>
      <fill>
        <patternFill patternType="solid">
          <fgColor theme="4" tint="0.79998168889431442"/>
          <bgColor theme="4" tint="0.79998168889431442"/>
        </patternFill>
      </fill>
    </dxf>
    <dxf>
      <font>
        <color theme="1" tint="0.24994659260841701"/>
      </font>
      <fill>
        <patternFill patternType="solid">
          <fgColor theme="4" tint="0.79995117038483843"/>
          <bgColor rgb="FFDDDDDD"/>
        </patternFill>
      </fill>
    </dxf>
    <dxf>
      <font>
        <b/>
        <i val="0"/>
        <color theme="1" tint="0.24994659260841701"/>
      </font>
    </dxf>
    <dxf>
      <font>
        <b/>
        <i val="0"/>
        <color theme="1" tint="0.24994659260841701"/>
      </font>
    </dxf>
    <dxf>
      <font>
        <color theme="1" tint="0.24994659260841701"/>
      </font>
      <border>
        <top style="double">
          <color theme="4"/>
        </top>
      </border>
    </dxf>
    <dxf>
      <font>
        <b/>
        <i val="0"/>
        <color auto="1"/>
      </font>
      <fill>
        <patternFill patternType="solid">
          <fgColor theme="4"/>
          <bgColor theme="4"/>
        </patternFill>
      </fill>
      <border>
        <bottom style="thick">
          <color theme="0"/>
        </bottom>
      </border>
    </dxf>
    <dxf>
      <font>
        <color theme="1" tint="0.24994659260841701"/>
      </font>
      <border diagonalUp="0" diagonalDown="0">
        <left/>
        <right/>
        <top/>
        <bottom style="thick">
          <color theme="4"/>
        </bottom>
        <vertical/>
        <horizontal/>
      </border>
    </dxf>
  </dxfs>
  <tableStyles count="1" defaultTableStyle="贷款计算器" defaultPivotStyle="PivotStyleLight16">
    <tableStyle name="贷款计算器" pivot="0" count="7">
      <tableStyleElement type="wholeTable" dxfId="30"/>
      <tableStyleElement type="headerRow" dxfId="29"/>
      <tableStyleElement type="totalRow" dxfId="28"/>
      <tableStyleElement type="firstColumn" dxfId="27"/>
      <tableStyleElement type="lastColumn" dxfId="26"/>
      <tableStyleElement type="firstRowStripe" dxfId="25"/>
      <tableStyleElement type="firstColumnStripe" dxfId="2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FFFFFF"/>
      <rgbColor rgb="00008080"/>
      <rgbColor rgb="00C0C0C0"/>
      <rgbColor rgb="00808080"/>
      <rgbColor rgb="009999FF"/>
      <rgbColor rgb="00993366"/>
      <rgbColor rgb="00EAEAEA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63636D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85725</xdr:rowOff>
    </xdr:from>
    <xdr:ext cx="607152" cy="219075"/>
    <xdr:pic>
      <xdr:nvPicPr>
        <xdr:cNvPr id="2" name="图片 1">
          <a:extLst>
            <a:ext uri="{FF2B5EF4-FFF2-40B4-BE49-F238E27FC236}">
              <a16:creationId xmlns:a16="http://schemas.microsoft.com/office/drawing/2014/main" id="{B14FCFAF-B093-46EB-A7C7-03D9D0024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85725"/>
          <a:ext cx="607152" cy="2190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edb"/>
    </definedNames>
    <sheetDataSet>
      <sheetData sheetId="0"/>
      <sheetData sheetId="1"/>
      <sheetData sheetId="2"/>
    </sheetDataSet>
  </externalBook>
</externalLink>
</file>

<file path=xl/tables/table1.xml><?xml version="1.0" encoding="utf-8"?>
<table xmlns="http://schemas.openxmlformats.org/spreadsheetml/2006/main" id="1" name="贷款明细" displayName="贷款明细" ref="C11:I371" headerRowDxfId="16" dataDxfId="15" totalsRowDxfId="14">
  <tableColumns count="7">
    <tableColumn id="1" name="还款期数" totalsRowLabel="汇总" dataDxfId="13" totalsRowDxfId="12">
      <calculatedColumnFormula>IFERROR(IF(贷款未偿还*贷款已清偿,贷款还款期数,""), "")</calculatedColumnFormula>
    </tableColumn>
    <tableColumn id="2" name="还款日期" dataDxfId="11" totalsRowDxfId="10" dataCellStyle="日期">
      <calculatedColumnFormula>IFERROR(IF(贷款未偿还*贷款已清偿,还款日期,""), "")</calculatedColumnFormula>
    </tableColumn>
    <tableColumn id="3" name="期初余额" dataDxfId="9" totalsRowDxfId="8">
      <calculatedColumnFormula>IFERROR(IF(贷款未偿还*贷款已清偿,期初余额,""), "")</calculatedColumnFormula>
    </tableColumn>
    <tableColumn id="4" name="当月还款额" dataDxfId="7" totalsRowDxfId="6">
      <calculatedColumnFormula>IFERROR(IF(贷款未偿还*贷款已清偿,贷款明细[[#This Row],[本金]]+贷款明细[[#This Row],[利息]],""), "")</calculatedColumnFormula>
    </tableColumn>
    <tableColumn id="5" name="本金" dataDxfId="5" totalsRowDxfId="4">
      <calculatedColumnFormula>IFERROR(IF(贷款未偿还*贷款已清偿,贷款金额/贷款分期次数,""), "")</calculatedColumnFormula>
    </tableColumn>
    <tableColumn id="6" name="利息" dataDxfId="3" totalsRowDxfId="2">
      <calculatedColumnFormula>IFERROR(IF(贷款未偿还*贷款已清偿,贷款明细[[#This Row],[期初余额]]*贷款年利率/12,""), "")</calculatedColumnFormula>
    </tableColumn>
    <tableColumn id="7" name="期末余额" totalsRowFunction="count" dataDxfId="1" totalsRowDxfId="0">
      <calculatedColumnFormula>IFERROR(IF(贷款未偿还*贷款已清偿,贷款明细[[#This Row],[期初余额]]-贷款明细[[#This Row],[本金]],""), "")</calculatedColumnFormula>
    </tableColumn>
  </tableColumns>
  <tableStyleInfo name="贷款计算器" showFirstColumn="0" showLastColumn="0" showRowStripes="1" showColumnStripes="0"/>
  <extLst>
    <ext xmlns:x14="http://schemas.microsoft.com/office/spreadsheetml/2009/9/main" uri="{504A1905-F514-4f6f-8877-14C23A59335A}">
      <x14:table altTextSummary="使用此表跟踪还款期数、还款日期、期初余额、期末余额以及还款额、本金、利息金额"/>
    </ext>
  </extLst>
</table>
</file>

<file path=xl/theme/theme1.xml><?xml version="1.0" encoding="utf-8"?>
<a:theme xmlns:a="http://schemas.openxmlformats.org/drawingml/2006/main" name="Personal">
  <a:themeElements>
    <a:clrScheme name="Rainbow">
      <a:dk1>
        <a:srgbClr val="000000"/>
      </a:dk1>
      <a:lt1>
        <a:srgbClr val="FFFFFF"/>
      </a:lt1>
      <a:dk2>
        <a:srgbClr val="7E8083"/>
      </a:dk2>
      <a:lt2>
        <a:srgbClr val="E4E5E6"/>
      </a:lt2>
      <a:accent1>
        <a:srgbClr val="7AC143"/>
      </a:accent1>
      <a:accent2>
        <a:srgbClr val="00853E"/>
      </a:accent2>
      <a:accent3>
        <a:srgbClr val="00ADEE"/>
      </a:accent3>
      <a:accent4>
        <a:srgbClr val="FFC000"/>
      </a:accent4>
      <a:accent5>
        <a:srgbClr val="F47920"/>
      </a:accent5>
      <a:accent6>
        <a:srgbClr val="E51937"/>
      </a:accent6>
      <a:hlink>
        <a:srgbClr val="F47920"/>
      </a:hlink>
      <a:folHlink>
        <a:srgbClr val="954F72"/>
      </a:folHlink>
    </a:clrScheme>
    <a:fontScheme name="Custom 2">
      <a:majorFont>
        <a:latin typeface="Rockwell"/>
        <a:ea typeface=""/>
        <a:cs typeface=""/>
      </a:majorFont>
      <a:minorFont>
        <a:latin typeface="Lucida San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63636D"/>
    <pageSetUpPr fitToPage="1"/>
  </sheetPr>
  <dimension ref="A1:M372"/>
  <sheetViews>
    <sheetView showGridLines="0" tabSelected="1" zoomScale="115" zoomScaleNormal="115" workbookViewId="0">
      <pane ySplit="11" topLeftCell="A12" activePane="bottomLeft" state="frozen"/>
      <selection pane="bottomLeft" activeCell="A43" sqref="A43"/>
    </sheetView>
  </sheetViews>
  <sheetFormatPr defaultRowHeight="16.5" x14ac:dyDescent="0.35"/>
  <cols>
    <col min="1" max="1" width="2.77734375" customWidth="1"/>
    <col min="2" max="2" width="1.77734375" customWidth="1"/>
    <col min="3" max="3" width="7.109375" style="4" bestFit="1" customWidth="1"/>
    <col min="4" max="4" width="11.77734375" style="4" customWidth="1"/>
    <col min="5" max="5" width="18.33203125" style="4" customWidth="1"/>
    <col min="6" max="9" width="18.77734375" style="4" customWidth="1"/>
    <col min="10" max="10" width="1.77734375" style="4" customWidth="1"/>
    <col min="11" max="11" width="2.77734375" customWidth="1"/>
    <col min="13" max="13" width="10.44140625" bestFit="1" customWidth="1"/>
  </cols>
  <sheetData>
    <row r="1" spans="1:11" ht="27.75" x14ac:dyDescent="0.3">
      <c r="A1" s="5"/>
      <c r="B1" s="5"/>
      <c r="C1" s="29" t="s">
        <v>14</v>
      </c>
      <c r="D1" s="29"/>
      <c r="E1" s="29"/>
      <c r="F1" s="29"/>
      <c r="G1" s="29"/>
      <c r="H1" s="29"/>
      <c r="I1" s="29"/>
      <c r="J1" s="5"/>
      <c r="K1" s="5"/>
    </row>
    <row r="2" spans="1:11" ht="14.1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9.75" customHeight="1" x14ac:dyDescent="0.25">
      <c r="A3" s="6"/>
      <c r="C3" s="1"/>
      <c r="D3" s="1"/>
      <c r="E3" s="1"/>
      <c r="F3" s="1"/>
      <c r="G3" s="1"/>
      <c r="H3" s="1"/>
      <c r="I3" s="1"/>
      <c r="J3" s="1"/>
      <c r="K3" s="6"/>
    </row>
    <row r="4" spans="1:11" ht="20.100000000000001" customHeight="1" x14ac:dyDescent="0.25">
      <c r="A4" s="6"/>
      <c r="C4" s="7" t="s">
        <v>6</v>
      </c>
      <c r="D4" s="7"/>
      <c r="E4" s="7"/>
      <c r="F4" s="7"/>
      <c r="G4" s="7" t="s">
        <v>7</v>
      </c>
      <c r="H4" s="7"/>
      <c r="I4" s="7"/>
      <c r="J4" s="1"/>
      <c r="K4" s="6"/>
    </row>
    <row r="5" spans="1:11" ht="9.75" customHeight="1" x14ac:dyDescent="0.25">
      <c r="A5" s="6"/>
      <c r="C5"/>
      <c r="D5"/>
      <c r="E5"/>
      <c r="F5"/>
      <c r="G5"/>
      <c r="H5"/>
      <c r="I5"/>
      <c r="J5" s="1"/>
      <c r="K5" s="6"/>
    </row>
    <row r="6" spans="1:11" ht="20.100000000000001" customHeight="1" x14ac:dyDescent="0.35">
      <c r="A6" s="6"/>
      <c r="C6" s="8" t="s">
        <v>8</v>
      </c>
      <c r="D6" s="8"/>
      <c r="E6" s="8"/>
      <c r="F6" s="12">
        <v>1500000</v>
      </c>
      <c r="G6" s="8" t="s">
        <v>11</v>
      </c>
      <c r="H6" s="8"/>
      <c r="I6" s="27">
        <f ca="1">IFERROR(IF(贷款已清偿,贷款年限*12,""), "")</f>
        <v>240</v>
      </c>
      <c r="J6" s="1"/>
      <c r="K6" s="6"/>
    </row>
    <row r="7" spans="1:11" ht="20.100000000000001" customHeight="1" x14ac:dyDescent="0.35">
      <c r="A7" s="6"/>
      <c r="C7" s="13" t="s">
        <v>13</v>
      </c>
      <c r="D7" s="13"/>
      <c r="E7" s="13"/>
      <c r="F7" s="10">
        <f>Sheet1!E3/100</f>
        <v>3.95E-2</v>
      </c>
      <c r="G7" s="13" t="s">
        <v>12</v>
      </c>
      <c r="H7" s="13"/>
      <c r="I7" s="19">
        <f ca="1">SUM(H:H)</f>
        <v>594968.75</v>
      </c>
      <c r="J7" s="1"/>
      <c r="K7" s="6"/>
    </row>
    <row r="8" spans="1:11" ht="20.100000000000001" customHeight="1" x14ac:dyDescent="0.35">
      <c r="A8" s="6"/>
      <c r="C8" s="8" t="s">
        <v>9</v>
      </c>
      <c r="D8" s="8"/>
      <c r="E8" s="8"/>
      <c r="F8" s="9">
        <v>20</v>
      </c>
      <c r="G8" s="8" t="s">
        <v>16</v>
      </c>
      <c r="H8" s="8"/>
      <c r="I8" s="17">
        <f ca="1">贷款总成本</f>
        <v>2094968.75</v>
      </c>
      <c r="J8" s="1"/>
      <c r="K8" s="6"/>
    </row>
    <row r="9" spans="1:11" ht="20.100000000000001" customHeight="1" x14ac:dyDescent="0.35">
      <c r="A9" s="6"/>
      <c r="C9" s="13" t="s">
        <v>10</v>
      </c>
      <c r="D9" s="13"/>
      <c r="E9" s="13"/>
      <c r="F9" s="11">
        <f ca="1">TODAY()</f>
        <v>45399</v>
      </c>
      <c r="G9" s="13"/>
      <c r="H9" s="13"/>
      <c r="I9" s="18"/>
      <c r="J9" s="1"/>
      <c r="K9" s="6"/>
    </row>
    <row r="10" spans="1:11" ht="9.9499999999999993" customHeight="1" x14ac:dyDescent="0.25">
      <c r="A10" s="6"/>
      <c r="C10"/>
      <c r="D10"/>
      <c r="E10"/>
      <c r="F10"/>
      <c r="G10"/>
      <c r="H10"/>
      <c r="I10"/>
      <c r="J10" s="1"/>
      <c r="K10" s="6"/>
    </row>
    <row r="11" spans="1:11" ht="29.25" customHeight="1" x14ac:dyDescent="0.25">
      <c r="A11" s="6"/>
      <c r="C11" s="21" t="s">
        <v>0</v>
      </c>
      <c r="D11" s="21" t="s">
        <v>1</v>
      </c>
      <c r="E11" s="20" t="s">
        <v>2</v>
      </c>
      <c r="F11" s="20" t="s">
        <v>15</v>
      </c>
      <c r="G11" s="20" t="s">
        <v>3</v>
      </c>
      <c r="H11" s="20" t="s">
        <v>4</v>
      </c>
      <c r="I11" s="20" t="s">
        <v>5</v>
      </c>
      <c r="J11" s="2"/>
      <c r="K11" s="6"/>
    </row>
    <row r="12" spans="1:11" ht="20.100000000000001" customHeight="1" x14ac:dyDescent="0.25">
      <c r="A12" s="6"/>
      <c r="C12" s="14">
        <f ca="1">IFERROR(IF(贷款未偿还*贷款已清偿,贷款还款期数,""), "")</f>
        <v>1</v>
      </c>
      <c r="D12" s="15">
        <f ca="1">IFERROR(IF(贷款未偿还*贷款已清偿,还款日期,""), "")</f>
        <v>45429</v>
      </c>
      <c r="E12" s="16">
        <f ca="1">IFERROR(IF(贷款未偿还*贷款已清偿,贷款金额,""), "")</f>
        <v>1500000</v>
      </c>
      <c r="F12" s="16">
        <f ca="1">IFERROR(IF(贷款未偿还*贷款已清偿,贷款明细[[#This Row],[本金]]+贷款明细[[#This Row],[利息]],""), "")</f>
        <v>11187.5</v>
      </c>
      <c r="G12" s="16">
        <f ca="1">IFERROR(IF(贷款未偿还*贷款已清偿,贷款金额/贷款分期次数,""), "")</f>
        <v>6250</v>
      </c>
      <c r="H12" s="16">
        <f ca="1">IFERROR(IF(贷款未偿还*贷款已清偿,贷款明细[[#This Row],[期初余额]]*贷款年利率/12,""), "")</f>
        <v>4937.5</v>
      </c>
      <c r="I12" s="16">
        <f ca="1">IFERROR(IF(贷款未偿还*贷款已清偿,贷款明细[[#This Row],[期初余额]]-贷款明细[[#This Row],[本金]],""), "")</f>
        <v>1493750</v>
      </c>
      <c r="J12" s="3"/>
      <c r="K12" s="6"/>
    </row>
    <row r="13" spans="1:11" ht="20.100000000000001" customHeight="1" x14ac:dyDescent="0.25">
      <c r="A13" s="6"/>
      <c r="C13" s="14">
        <f ca="1">IFERROR(IF(贷款未偿还*贷款已清偿,贷款还款期数,""), "")</f>
        <v>2</v>
      </c>
      <c r="D13" s="15">
        <f ca="1">IFERROR(IF(贷款未偿还*贷款已清偿,还款日期,""), "")</f>
        <v>45460</v>
      </c>
      <c r="E13" s="16">
        <f ca="1">IFERROR(IF(贷款未偿还*贷款已清偿,I12,""), "")</f>
        <v>1493750</v>
      </c>
      <c r="F13" s="16">
        <f ca="1">IFERROR(IF(贷款未偿还*贷款已清偿,贷款明细[[#This Row],[本金]]+贷款明细[[#This Row],[利息]],""), "")</f>
        <v>11166.927083333332</v>
      </c>
      <c r="G13" s="16">
        <f ca="1">IFERROR(IF(贷款未偿还*贷款已清偿,贷款金额/贷款分期次数,""), "")</f>
        <v>6250</v>
      </c>
      <c r="H13" s="16">
        <f ca="1">IFERROR(IF(贷款未偿还*贷款已清偿,贷款明细[[#This Row],[期初余额]]*贷款年利率/12,""), "")</f>
        <v>4916.927083333333</v>
      </c>
      <c r="I13" s="16">
        <f ca="1">IFERROR(IF(贷款未偿还*贷款已清偿,贷款明细[[#This Row],[期初余额]]-贷款明细[[#This Row],[本金]],""), "")</f>
        <v>1487500</v>
      </c>
      <c r="J13" s="3"/>
      <c r="K13" s="6"/>
    </row>
    <row r="14" spans="1:11" ht="20.100000000000001" customHeight="1" x14ac:dyDescent="0.25">
      <c r="A14" s="6"/>
      <c r="C14" s="14">
        <f ca="1">IFERROR(IF(贷款未偿还*贷款已清偿,贷款还款期数,""), "")</f>
        <v>3</v>
      </c>
      <c r="D14" s="15">
        <f ca="1">IFERROR(IF(贷款未偿还*贷款已清偿,还款日期,""), "")</f>
        <v>45490</v>
      </c>
      <c r="E14" s="16">
        <f ca="1">IFERROR(IF(贷款未偿还*贷款已清偿,I13,""), "")</f>
        <v>1487500</v>
      </c>
      <c r="F14" s="16">
        <f ca="1">IFERROR(IF(贷款未偿还*贷款已清偿,贷款明细[[#This Row],[本金]]+贷款明细[[#This Row],[利息]],""), "")</f>
        <v>11146.354166666668</v>
      </c>
      <c r="G14" s="16">
        <f ca="1">IFERROR(IF(贷款未偿还*贷款已清偿,贷款金额/贷款分期次数,""), "")</f>
        <v>6250</v>
      </c>
      <c r="H14" s="16">
        <f ca="1">IFERROR(IF(贷款未偿还*贷款已清偿,贷款明细[[#This Row],[期初余额]]*贷款年利率/12,""), "")</f>
        <v>4896.354166666667</v>
      </c>
      <c r="I14" s="16">
        <f ca="1">IFERROR(IF(贷款未偿还*贷款已清偿,贷款明细[[#This Row],[期初余额]]-贷款明细[[#This Row],[本金]],""), "")</f>
        <v>1481250</v>
      </c>
      <c r="J14" s="3"/>
      <c r="K14" s="6"/>
    </row>
    <row r="15" spans="1:11" ht="20.100000000000001" customHeight="1" x14ac:dyDescent="0.25">
      <c r="A15" s="6"/>
      <c r="C15" s="14">
        <f ca="1">IFERROR(IF(贷款未偿还*贷款已清偿,贷款还款期数,""), "")</f>
        <v>4</v>
      </c>
      <c r="D15" s="15">
        <f ca="1">IFERROR(IF(贷款未偿还*贷款已清偿,还款日期,""), "")</f>
        <v>45521</v>
      </c>
      <c r="E15" s="16">
        <f ca="1">IFERROR(IF(贷款未偿还*贷款已清偿,I14,""), "")</f>
        <v>1481250</v>
      </c>
      <c r="F15" s="16">
        <f ca="1">IFERROR(IF(贷款未偿还*贷款已清偿,贷款明细[[#This Row],[本金]]+贷款明细[[#This Row],[利息]],""), "")</f>
        <v>11125.78125</v>
      </c>
      <c r="G15" s="16">
        <f ca="1">IFERROR(IF(贷款未偿还*贷款已清偿,贷款金额/贷款分期次数,""), "")</f>
        <v>6250</v>
      </c>
      <c r="H15" s="16">
        <f ca="1">IFERROR(IF(贷款未偿还*贷款已清偿,贷款明细[[#This Row],[期初余额]]*贷款年利率/12,""), "")</f>
        <v>4875.78125</v>
      </c>
      <c r="I15" s="16">
        <f ca="1">IFERROR(IF(贷款未偿还*贷款已清偿,贷款明细[[#This Row],[期初余额]]-贷款明细[[#This Row],[本金]],""), "")</f>
        <v>1475000</v>
      </c>
      <c r="J15" s="3"/>
      <c r="K15" s="6"/>
    </row>
    <row r="16" spans="1:11" ht="20.100000000000001" customHeight="1" x14ac:dyDescent="0.25">
      <c r="A16" s="6"/>
      <c r="C16" s="14">
        <f ca="1">IFERROR(IF(贷款未偿还*贷款已清偿,贷款还款期数,""), "")</f>
        <v>5</v>
      </c>
      <c r="D16" s="15">
        <f ca="1">IFERROR(IF(贷款未偿还*贷款已清偿,还款日期,""), "")</f>
        <v>45552</v>
      </c>
      <c r="E16" s="16">
        <f ca="1">IFERROR(IF(贷款未偿还*贷款已清偿,I15,""), "")</f>
        <v>1475000</v>
      </c>
      <c r="F16" s="16">
        <f ca="1">IFERROR(IF(贷款未偿还*贷款已清偿,贷款明细[[#This Row],[本金]]+贷款明细[[#This Row],[利息]],""), "")</f>
        <v>11105.208333333332</v>
      </c>
      <c r="G16" s="16">
        <f ca="1">IFERROR(IF(贷款未偿还*贷款已清偿,贷款金额/贷款分期次数,""), "")</f>
        <v>6250</v>
      </c>
      <c r="H16" s="16">
        <f ca="1">IFERROR(IF(贷款未偿还*贷款已清偿,贷款明细[[#This Row],[期初余额]]*贷款年利率/12,""), "")</f>
        <v>4855.208333333333</v>
      </c>
      <c r="I16" s="16">
        <f ca="1">IFERROR(IF(贷款未偿还*贷款已清偿,贷款明细[[#This Row],[期初余额]]-贷款明细[[#This Row],[本金]],""), "")</f>
        <v>1468750</v>
      </c>
      <c r="J16" s="3"/>
      <c r="K16" s="6"/>
    </row>
    <row r="17" spans="1:13" ht="20.100000000000001" customHeight="1" x14ac:dyDescent="0.25">
      <c r="A17" s="6"/>
      <c r="C17" s="14">
        <f ca="1">IFERROR(IF(贷款未偿还*贷款已清偿,贷款还款期数,""), "")</f>
        <v>6</v>
      </c>
      <c r="D17" s="15">
        <f ca="1">IFERROR(IF(贷款未偿还*贷款已清偿,还款日期,""), "")</f>
        <v>45582</v>
      </c>
      <c r="E17" s="16">
        <f ca="1">IFERROR(IF(贷款未偿还*贷款已清偿,I16,""), "")</f>
        <v>1468750</v>
      </c>
      <c r="F17" s="16">
        <f ca="1">IFERROR(IF(贷款未偿还*贷款已清偿,贷款明细[[#This Row],[本金]]+贷款明细[[#This Row],[利息]],""), "")</f>
        <v>11084.635416666668</v>
      </c>
      <c r="G17" s="16">
        <f ca="1">IFERROR(IF(贷款未偿还*贷款已清偿,贷款金额/贷款分期次数,""), "")</f>
        <v>6250</v>
      </c>
      <c r="H17" s="16">
        <f ca="1">IFERROR(IF(贷款未偿还*贷款已清偿,贷款明细[[#This Row],[期初余额]]*贷款年利率/12,""), "")</f>
        <v>4834.635416666667</v>
      </c>
      <c r="I17" s="16">
        <f ca="1">IFERROR(IF(贷款未偿还*贷款已清偿,贷款明细[[#This Row],[期初余额]]-贷款明细[[#This Row],[本金]],""), "")</f>
        <v>1462500</v>
      </c>
      <c r="J17" s="3"/>
      <c r="K17" s="6"/>
    </row>
    <row r="18" spans="1:13" ht="20.100000000000001" customHeight="1" x14ac:dyDescent="0.25">
      <c r="A18" s="6"/>
      <c r="C18" s="14">
        <f ca="1">IFERROR(IF(贷款未偿还*贷款已清偿,贷款还款期数,""), "")</f>
        <v>7</v>
      </c>
      <c r="D18" s="15">
        <f ca="1">IFERROR(IF(贷款未偿还*贷款已清偿,还款日期,""), "")</f>
        <v>45613</v>
      </c>
      <c r="E18" s="16">
        <f ca="1">IFERROR(IF(贷款未偿还*贷款已清偿,I17,""), "")</f>
        <v>1462500</v>
      </c>
      <c r="F18" s="16">
        <f ca="1">IFERROR(IF(贷款未偿还*贷款已清偿,贷款明细[[#This Row],[本金]]+贷款明细[[#This Row],[利息]],""), "")</f>
        <v>11064.0625</v>
      </c>
      <c r="G18" s="16">
        <f ca="1">IFERROR(IF(贷款未偿还*贷款已清偿,贷款金额/贷款分期次数,""), "")</f>
        <v>6250</v>
      </c>
      <c r="H18" s="16">
        <f ca="1">IFERROR(IF(贷款未偿还*贷款已清偿,贷款明细[[#This Row],[期初余额]]*贷款年利率/12,""), "")</f>
        <v>4814.0625</v>
      </c>
      <c r="I18" s="16">
        <f ca="1">IFERROR(IF(贷款未偿还*贷款已清偿,贷款明细[[#This Row],[期初余额]]-贷款明细[[#This Row],[本金]],""), "")</f>
        <v>1456250</v>
      </c>
      <c r="J18" s="3"/>
      <c r="K18" s="6"/>
    </row>
    <row r="19" spans="1:13" ht="20.100000000000001" customHeight="1" x14ac:dyDescent="0.25">
      <c r="A19" s="6"/>
      <c r="C19" s="14">
        <f ca="1">IFERROR(IF(贷款未偿还*贷款已清偿,贷款还款期数,""), "")</f>
        <v>8</v>
      </c>
      <c r="D19" s="15">
        <f ca="1">IFERROR(IF(贷款未偿还*贷款已清偿,还款日期,""), "")</f>
        <v>45643</v>
      </c>
      <c r="E19" s="16">
        <f ca="1">IFERROR(IF(贷款未偿还*贷款已清偿,I18,""), "")</f>
        <v>1456250</v>
      </c>
      <c r="F19" s="16">
        <f ca="1">IFERROR(IF(贷款未偿还*贷款已清偿,贷款明细[[#This Row],[本金]]+贷款明细[[#This Row],[利息]],""), "")</f>
        <v>11043.489583333332</v>
      </c>
      <c r="G19" s="16">
        <f ca="1">IFERROR(IF(贷款未偿还*贷款已清偿,贷款金额/贷款分期次数,""), "")</f>
        <v>6250</v>
      </c>
      <c r="H19" s="16">
        <f ca="1">IFERROR(IF(贷款未偿还*贷款已清偿,贷款明细[[#This Row],[期初余额]]*贷款年利率/12,""), "")</f>
        <v>4793.489583333333</v>
      </c>
      <c r="I19" s="16">
        <f ca="1">IFERROR(IF(贷款未偿还*贷款已清偿,贷款明细[[#This Row],[期初余额]]-贷款明细[[#This Row],[本金]],""), "")</f>
        <v>1450000</v>
      </c>
      <c r="J19" s="3"/>
      <c r="K19" s="6"/>
      <c r="M19" s="26"/>
    </row>
    <row r="20" spans="1:13" ht="20.100000000000001" customHeight="1" x14ac:dyDescent="0.25">
      <c r="A20" s="6"/>
      <c r="C20" s="14">
        <f ca="1">IFERROR(IF(贷款未偿还*贷款已清偿,贷款还款期数,""), "")</f>
        <v>9</v>
      </c>
      <c r="D20" s="15">
        <f ca="1">IFERROR(IF(贷款未偿还*贷款已清偿,还款日期,""), "")</f>
        <v>45674</v>
      </c>
      <c r="E20" s="16">
        <f ca="1">IFERROR(IF(贷款未偿还*贷款已清偿,I19,""), "")</f>
        <v>1450000</v>
      </c>
      <c r="F20" s="16">
        <f ca="1">IFERROR(IF(贷款未偿还*贷款已清偿,贷款明细[[#This Row],[本金]]+贷款明细[[#This Row],[利息]],""), "")</f>
        <v>11022.916666666668</v>
      </c>
      <c r="G20" s="16">
        <f ca="1">IFERROR(IF(贷款未偿还*贷款已清偿,贷款金额/贷款分期次数,""), "")</f>
        <v>6250</v>
      </c>
      <c r="H20" s="16">
        <f ca="1">IFERROR(IF(贷款未偿还*贷款已清偿,贷款明细[[#This Row],[期初余额]]*贷款年利率/12,""), "")</f>
        <v>4772.916666666667</v>
      </c>
      <c r="I20" s="16">
        <f ca="1">IFERROR(IF(贷款未偿还*贷款已清偿,贷款明细[[#This Row],[期初余额]]-贷款明细[[#This Row],[本金]],""), "")</f>
        <v>1443750</v>
      </c>
      <c r="J20" s="3"/>
      <c r="K20" s="6"/>
    </row>
    <row r="21" spans="1:13" ht="20.100000000000001" customHeight="1" x14ac:dyDescent="0.25">
      <c r="A21" s="6"/>
      <c r="C21" s="14">
        <f ca="1">IFERROR(IF(贷款未偿还*贷款已清偿,贷款还款期数,""), "")</f>
        <v>10</v>
      </c>
      <c r="D21" s="15">
        <f ca="1">IFERROR(IF(贷款未偿还*贷款已清偿,还款日期,""), "")</f>
        <v>45705</v>
      </c>
      <c r="E21" s="16">
        <f ca="1">IFERROR(IF(贷款未偿还*贷款已清偿,I20,""), "")</f>
        <v>1443750</v>
      </c>
      <c r="F21" s="16">
        <f ca="1">IFERROR(IF(贷款未偿还*贷款已清偿,贷款明细[[#This Row],[本金]]+贷款明细[[#This Row],[利息]],""), "")</f>
        <v>11002.34375</v>
      </c>
      <c r="G21" s="16">
        <f ca="1">IFERROR(IF(贷款未偿还*贷款已清偿,贷款金额/贷款分期次数,""), "")</f>
        <v>6250</v>
      </c>
      <c r="H21" s="16">
        <f ca="1">IFERROR(IF(贷款未偿还*贷款已清偿,贷款明细[[#This Row],[期初余额]]*贷款年利率/12,""), "")</f>
        <v>4752.34375</v>
      </c>
      <c r="I21" s="16">
        <f ca="1">IFERROR(IF(贷款未偿还*贷款已清偿,贷款明细[[#This Row],[期初余额]]-贷款明细[[#This Row],[本金]],""), "")</f>
        <v>1437500</v>
      </c>
      <c r="J21" s="3"/>
      <c r="K21" s="6"/>
    </row>
    <row r="22" spans="1:13" ht="20.100000000000001" customHeight="1" x14ac:dyDescent="0.25">
      <c r="A22" s="6"/>
      <c r="C22" s="14">
        <f ca="1">IFERROR(IF(贷款未偿还*贷款已清偿,贷款还款期数,""), "")</f>
        <v>11</v>
      </c>
      <c r="D22" s="15">
        <f ca="1">IFERROR(IF(贷款未偿还*贷款已清偿,还款日期,""), "")</f>
        <v>45733</v>
      </c>
      <c r="E22" s="16">
        <f ca="1">IFERROR(IF(贷款未偿还*贷款已清偿,I21,""), "")</f>
        <v>1437500</v>
      </c>
      <c r="F22" s="16">
        <f ca="1">IFERROR(IF(贷款未偿还*贷款已清偿,贷款明细[[#This Row],[本金]]+贷款明细[[#This Row],[利息]],""), "")</f>
        <v>10981.770833333332</v>
      </c>
      <c r="G22" s="16">
        <f ca="1">IFERROR(IF(贷款未偿还*贷款已清偿,贷款金额/贷款分期次数,""), "")</f>
        <v>6250</v>
      </c>
      <c r="H22" s="16">
        <f ca="1">IFERROR(IF(贷款未偿还*贷款已清偿,贷款明细[[#This Row],[期初余额]]*贷款年利率/12,""), "")</f>
        <v>4731.770833333333</v>
      </c>
      <c r="I22" s="16">
        <f ca="1">IFERROR(IF(贷款未偿还*贷款已清偿,贷款明细[[#This Row],[期初余额]]-贷款明细[[#This Row],[本金]],""), "")</f>
        <v>1431250</v>
      </c>
      <c r="J22" s="3"/>
      <c r="K22" s="6"/>
    </row>
    <row r="23" spans="1:13" ht="20.100000000000001" customHeight="1" x14ac:dyDescent="0.25">
      <c r="A23" s="6"/>
      <c r="C23" s="14">
        <f ca="1">IFERROR(IF(贷款未偿还*贷款已清偿,贷款还款期数,""), "")</f>
        <v>12</v>
      </c>
      <c r="D23" s="15">
        <f ca="1">IFERROR(IF(贷款未偿还*贷款已清偿,还款日期,""), "")</f>
        <v>45764</v>
      </c>
      <c r="E23" s="16">
        <f ca="1">IFERROR(IF(贷款未偿还*贷款已清偿,I22,""), "")</f>
        <v>1431250</v>
      </c>
      <c r="F23" s="16">
        <f ca="1">IFERROR(IF(贷款未偿还*贷款已清偿,贷款明细[[#This Row],[本金]]+贷款明细[[#This Row],[利息]],""), "")</f>
        <v>10961.197916666668</v>
      </c>
      <c r="G23" s="16">
        <f ca="1">IFERROR(IF(贷款未偿还*贷款已清偿,贷款金额/贷款分期次数,""), "")</f>
        <v>6250</v>
      </c>
      <c r="H23" s="16">
        <f ca="1">IFERROR(IF(贷款未偿还*贷款已清偿,贷款明细[[#This Row],[期初余额]]*贷款年利率/12,""), "")</f>
        <v>4711.197916666667</v>
      </c>
      <c r="I23" s="16">
        <f ca="1">IFERROR(IF(贷款未偿还*贷款已清偿,贷款明细[[#This Row],[期初余额]]-贷款明细[[#This Row],[本金]],""), "")</f>
        <v>1425000</v>
      </c>
      <c r="J23" s="3"/>
      <c r="K23" s="6"/>
    </row>
    <row r="24" spans="1:13" ht="20.100000000000001" customHeight="1" x14ac:dyDescent="0.25">
      <c r="A24" s="6"/>
      <c r="C24" s="14">
        <f ca="1">IFERROR(IF(贷款未偿还*贷款已清偿,贷款还款期数,""), "")</f>
        <v>13</v>
      </c>
      <c r="D24" s="15">
        <f ca="1">IFERROR(IF(贷款未偿还*贷款已清偿,还款日期,""), "")</f>
        <v>45794</v>
      </c>
      <c r="E24" s="16">
        <f ca="1">IFERROR(IF(贷款未偿还*贷款已清偿,I23,""), "")</f>
        <v>1425000</v>
      </c>
      <c r="F24" s="16">
        <f ca="1">IFERROR(IF(贷款未偿还*贷款已清偿,贷款明细[[#This Row],[本金]]+贷款明细[[#This Row],[利息]],""), "")</f>
        <v>10940.625</v>
      </c>
      <c r="G24" s="16">
        <f ca="1">IFERROR(IF(贷款未偿还*贷款已清偿,贷款金额/贷款分期次数,""), "")</f>
        <v>6250</v>
      </c>
      <c r="H24" s="16">
        <f ca="1">IFERROR(IF(贷款未偿还*贷款已清偿,贷款明细[[#This Row],[期初余额]]*贷款年利率/12,""), "")</f>
        <v>4690.625</v>
      </c>
      <c r="I24" s="16">
        <f ca="1">IFERROR(IF(贷款未偿还*贷款已清偿,贷款明细[[#This Row],[期初余额]]-贷款明细[[#This Row],[本金]],""), "")</f>
        <v>1418750</v>
      </c>
      <c r="J24" s="3"/>
      <c r="K24" s="6"/>
    </row>
    <row r="25" spans="1:13" ht="20.100000000000001" customHeight="1" x14ac:dyDescent="0.25">
      <c r="A25" s="6"/>
      <c r="C25" s="14">
        <f ca="1">IFERROR(IF(贷款未偿还*贷款已清偿,贷款还款期数,""), "")</f>
        <v>14</v>
      </c>
      <c r="D25" s="15">
        <f ca="1">IFERROR(IF(贷款未偿还*贷款已清偿,还款日期,""), "")</f>
        <v>45825</v>
      </c>
      <c r="E25" s="16">
        <f ca="1">IFERROR(IF(贷款未偿还*贷款已清偿,I24,""), "")</f>
        <v>1418750</v>
      </c>
      <c r="F25" s="16">
        <f ca="1">IFERROR(IF(贷款未偿还*贷款已清偿,贷款明细[[#This Row],[本金]]+贷款明细[[#This Row],[利息]],""), "")</f>
        <v>10920.052083333332</v>
      </c>
      <c r="G25" s="16">
        <f ca="1">IFERROR(IF(贷款未偿还*贷款已清偿,贷款金额/贷款分期次数,""), "")</f>
        <v>6250</v>
      </c>
      <c r="H25" s="16">
        <f ca="1">IFERROR(IF(贷款未偿还*贷款已清偿,贷款明细[[#This Row],[期初余额]]*贷款年利率/12,""), "")</f>
        <v>4670.052083333333</v>
      </c>
      <c r="I25" s="16">
        <f ca="1">IFERROR(IF(贷款未偿还*贷款已清偿,贷款明细[[#This Row],[期初余额]]-贷款明细[[#This Row],[本金]],""), "")</f>
        <v>1412500</v>
      </c>
      <c r="J25" s="3"/>
      <c r="K25" s="6"/>
    </row>
    <row r="26" spans="1:13" ht="20.100000000000001" customHeight="1" x14ac:dyDescent="0.25">
      <c r="A26" s="6"/>
      <c r="C26" s="14">
        <f ca="1">IFERROR(IF(贷款未偿还*贷款已清偿,贷款还款期数,""), "")</f>
        <v>15</v>
      </c>
      <c r="D26" s="15">
        <f ca="1">IFERROR(IF(贷款未偿还*贷款已清偿,还款日期,""), "")</f>
        <v>45855</v>
      </c>
      <c r="E26" s="16">
        <f ca="1">IFERROR(IF(贷款未偿还*贷款已清偿,I25,""), "")</f>
        <v>1412500</v>
      </c>
      <c r="F26" s="16">
        <f ca="1">IFERROR(IF(贷款未偿还*贷款已清偿,贷款明细[[#This Row],[本金]]+贷款明细[[#This Row],[利息]],""), "")</f>
        <v>10899.479166666668</v>
      </c>
      <c r="G26" s="16">
        <f ca="1">IFERROR(IF(贷款未偿还*贷款已清偿,贷款金额/贷款分期次数,""), "")</f>
        <v>6250</v>
      </c>
      <c r="H26" s="16">
        <f ca="1">IFERROR(IF(贷款未偿还*贷款已清偿,贷款明细[[#This Row],[期初余额]]*贷款年利率/12,""), "")</f>
        <v>4649.479166666667</v>
      </c>
      <c r="I26" s="16">
        <f ca="1">IFERROR(IF(贷款未偿还*贷款已清偿,贷款明细[[#This Row],[期初余额]]-贷款明细[[#This Row],[本金]],""), "")</f>
        <v>1406250</v>
      </c>
      <c r="J26" s="3"/>
      <c r="K26" s="6"/>
    </row>
    <row r="27" spans="1:13" ht="20.100000000000001" customHeight="1" x14ac:dyDescent="0.25">
      <c r="A27" s="6"/>
      <c r="C27" s="14">
        <f ca="1">IFERROR(IF(贷款未偿还*贷款已清偿,贷款还款期数,""), "")</f>
        <v>16</v>
      </c>
      <c r="D27" s="15">
        <f ca="1">IFERROR(IF(贷款未偿还*贷款已清偿,还款日期,""), "")</f>
        <v>45886</v>
      </c>
      <c r="E27" s="16">
        <f ca="1">IFERROR(IF(贷款未偿还*贷款已清偿,I26,""), "")</f>
        <v>1406250</v>
      </c>
      <c r="F27" s="16">
        <f ca="1">IFERROR(IF(贷款未偿还*贷款已清偿,贷款明细[[#This Row],[本金]]+贷款明细[[#This Row],[利息]],""), "")</f>
        <v>10878.90625</v>
      </c>
      <c r="G27" s="16">
        <f ca="1">IFERROR(IF(贷款未偿还*贷款已清偿,贷款金额/贷款分期次数,""), "")</f>
        <v>6250</v>
      </c>
      <c r="H27" s="16">
        <f ca="1">IFERROR(IF(贷款未偿还*贷款已清偿,贷款明细[[#This Row],[期初余额]]*贷款年利率/12,""), "")</f>
        <v>4628.90625</v>
      </c>
      <c r="I27" s="16">
        <f ca="1">IFERROR(IF(贷款未偿还*贷款已清偿,贷款明细[[#This Row],[期初余额]]-贷款明细[[#This Row],[本金]],""), "")</f>
        <v>1400000</v>
      </c>
      <c r="J27" s="3"/>
      <c r="K27" s="6"/>
    </row>
    <row r="28" spans="1:13" ht="20.100000000000001" customHeight="1" x14ac:dyDescent="0.25">
      <c r="A28" s="6"/>
      <c r="C28" s="14">
        <f ca="1">IFERROR(IF(贷款未偿还*贷款已清偿,贷款还款期数,""), "")</f>
        <v>17</v>
      </c>
      <c r="D28" s="15">
        <f ca="1">IFERROR(IF(贷款未偿还*贷款已清偿,还款日期,""), "")</f>
        <v>45917</v>
      </c>
      <c r="E28" s="16">
        <f ca="1">IFERROR(IF(贷款未偿还*贷款已清偿,I27,""), "")</f>
        <v>1400000</v>
      </c>
      <c r="F28" s="16">
        <f ca="1">IFERROR(IF(贷款未偿还*贷款已清偿,贷款明细[[#This Row],[本金]]+贷款明细[[#This Row],[利息]],""), "")</f>
        <v>10858.333333333332</v>
      </c>
      <c r="G28" s="16">
        <f ca="1">IFERROR(IF(贷款未偿还*贷款已清偿,贷款金额/贷款分期次数,""), "")</f>
        <v>6250</v>
      </c>
      <c r="H28" s="16">
        <f ca="1">IFERROR(IF(贷款未偿还*贷款已清偿,贷款明细[[#This Row],[期初余额]]*贷款年利率/12,""), "")</f>
        <v>4608.333333333333</v>
      </c>
      <c r="I28" s="16">
        <f ca="1">IFERROR(IF(贷款未偿还*贷款已清偿,贷款明细[[#This Row],[期初余额]]-贷款明细[[#This Row],[本金]],""), "")</f>
        <v>1393750</v>
      </c>
      <c r="J28" s="3"/>
      <c r="K28" s="6"/>
    </row>
    <row r="29" spans="1:13" ht="20.100000000000001" customHeight="1" x14ac:dyDescent="0.25">
      <c r="A29" s="6"/>
      <c r="C29" s="14">
        <f ca="1">IFERROR(IF(贷款未偿还*贷款已清偿,贷款还款期数,""), "")</f>
        <v>18</v>
      </c>
      <c r="D29" s="15">
        <f ca="1">IFERROR(IF(贷款未偿还*贷款已清偿,还款日期,""), "")</f>
        <v>45947</v>
      </c>
      <c r="E29" s="16">
        <f ca="1">IFERROR(IF(贷款未偿还*贷款已清偿,I28,""), "")</f>
        <v>1393750</v>
      </c>
      <c r="F29" s="16">
        <f ca="1">IFERROR(IF(贷款未偿还*贷款已清偿,贷款明细[[#This Row],[本金]]+贷款明细[[#This Row],[利息]],""), "")</f>
        <v>10837.760416666668</v>
      </c>
      <c r="G29" s="16">
        <f ca="1">IFERROR(IF(贷款未偿还*贷款已清偿,贷款金额/贷款分期次数,""), "")</f>
        <v>6250</v>
      </c>
      <c r="H29" s="16">
        <f ca="1">IFERROR(IF(贷款未偿还*贷款已清偿,贷款明细[[#This Row],[期初余额]]*贷款年利率/12,""), "")</f>
        <v>4587.760416666667</v>
      </c>
      <c r="I29" s="16">
        <f ca="1">IFERROR(IF(贷款未偿还*贷款已清偿,贷款明细[[#This Row],[期初余额]]-贷款明细[[#This Row],[本金]],""), "")</f>
        <v>1387500</v>
      </c>
      <c r="J29" s="3"/>
      <c r="K29" s="6"/>
    </row>
    <row r="30" spans="1:13" ht="20.100000000000001" customHeight="1" x14ac:dyDescent="0.25">
      <c r="A30" s="6"/>
      <c r="C30" s="14">
        <f ca="1">IFERROR(IF(贷款未偿还*贷款已清偿,贷款还款期数,""), "")</f>
        <v>19</v>
      </c>
      <c r="D30" s="15">
        <f ca="1">IFERROR(IF(贷款未偿还*贷款已清偿,还款日期,""), "")</f>
        <v>45978</v>
      </c>
      <c r="E30" s="16">
        <f ca="1">IFERROR(IF(贷款未偿还*贷款已清偿,I29,""), "")</f>
        <v>1387500</v>
      </c>
      <c r="F30" s="16">
        <f ca="1">IFERROR(IF(贷款未偿还*贷款已清偿,贷款明细[[#This Row],[本金]]+贷款明细[[#This Row],[利息]],""), "")</f>
        <v>10817.1875</v>
      </c>
      <c r="G30" s="16">
        <f ca="1">IFERROR(IF(贷款未偿还*贷款已清偿,贷款金额/贷款分期次数,""), "")</f>
        <v>6250</v>
      </c>
      <c r="H30" s="16">
        <f ca="1">IFERROR(IF(贷款未偿还*贷款已清偿,贷款明细[[#This Row],[期初余额]]*贷款年利率/12,""), "")</f>
        <v>4567.1875</v>
      </c>
      <c r="I30" s="16">
        <f ca="1">IFERROR(IF(贷款未偿还*贷款已清偿,贷款明细[[#This Row],[期初余额]]-贷款明细[[#This Row],[本金]],""), "")</f>
        <v>1381250</v>
      </c>
      <c r="J30" s="3"/>
      <c r="K30" s="6"/>
    </row>
    <row r="31" spans="1:13" ht="20.100000000000001" customHeight="1" x14ac:dyDescent="0.25">
      <c r="A31" s="6"/>
      <c r="C31" s="14">
        <f ca="1">IFERROR(IF(贷款未偿还*贷款已清偿,贷款还款期数,""), "")</f>
        <v>20</v>
      </c>
      <c r="D31" s="15">
        <f ca="1">IFERROR(IF(贷款未偿还*贷款已清偿,还款日期,""), "")</f>
        <v>46008</v>
      </c>
      <c r="E31" s="16">
        <f ca="1">IFERROR(IF(贷款未偿还*贷款已清偿,I30,""), "")</f>
        <v>1381250</v>
      </c>
      <c r="F31" s="16">
        <f ca="1">IFERROR(IF(贷款未偿还*贷款已清偿,贷款明细[[#This Row],[本金]]+贷款明细[[#This Row],[利息]],""), "")</f>
        <v>10796.614583333332</v>
      </c>
      <c r="G31" s="16">
        <f ca="1">IFERROR(IF(贷款未偿还*贷款已清偿,贷款金额/贷款分期次数,""), "")</f>
        <v>6250</v>
      </c>
      <c r="H31" s="16">
        <f ca="1">IFERROR(IF(贷款未偿还*贷款已清偿,贷款明细[[#This Row],[期初余额]]*贷款年利率/12,""), "")</f>
        <v>4546.614583333333</v>
      </c>
      <c r="I31" s="16">
        <f ca="1">IFERROR(IF(贷款未偿还*贷款已清偿,贷款明细[[#This Row],[期初余额]]-贷款明细[[#This Row],[本金]],""), "")</f>
        <v>1375000</v>
      </c>
      <c r="J31" s="3"/>
      <c r="K31" s="6"/>
    </row>
    <row r="32" spans="1:13" ht="20.100000000000001" customHeight="1" x14ac:dyDescent="0.25">
      <c r="A32" s="6"/>
      <c r="C32" s="14">
        <f ca="1">IFERROR(IF(贷款未偿还*贷款已清偿,贷款还款期数,""), "")</f>
        <v>21</v>
      </c>
      <c r="D32" s="15">
        <f ca="1">IFERROR(IF(贷款未偿还*贷款已清偿,还款日期,""), "")</f>
        <v>46039</v>
      </c>
      <c r="E32" s="16">
        <f ca="1">IFERROR(IF(贷款未偿还*贷款已清偿,I31,""), "")</f>
        <v>1375000</v>
      </c>
      <c r="F32" s="16">
        <f ca="1">IFERROR(IF(贷款未偿还*贷款已清偿,贷款明细[[#This Row],[本金]]+贷款明细[[#This Row],[利息]],""), "")</f>
        <v>10776.041666666668</v>
      </c>
      <c r="G32" s="16">
        <f ca="1">IFERROR(IF(贷款未偿还*贷款已清偿,贷款金额/贷款分期次数,""), "")</f>
        <v>6250</v>
      </c>
      <c r="H32" s="16">
        <f ca="1">IFERROR(IF(贷款未偿还*贷款已清偿,贷款明细[[#This Row],[期初余额]]*贷款年利率/12,""), "")</f>
        <v>4526.041666666667</v>
      </c>
      <c r="I32" s="16">
        <f ca="1">IFERROR(IF(贷款未偿还*贷款已清偿,贷款明细[[#This Row],[期初余额]]-贷款明细[[#This Row],[本金]],""), "")</f>
        <v>1368750</v>
      </c>
      <c r="J32" s="3"/>
      <c r="K32" s="6"/>
    </row>
    <row r="33" spans="1:11" ht="20.100000000000001" customHeight="1" x14ac:dyDescent="0.25">
      <c r="A33" s="6"/>
      <c r="C33" s="14">
        <f ca="1">IFERROR(IF(贷款未偿还*贷款已清偿,贷款还款期数,""), "")</f>
        <v>22</v>
      </c>
      <c r="D33" s="15">
        <f ca="1">IFERROR(IF(贷款未偿还*贷款已清偿,还款日期,""), "")</f>
        <v>46070</v>
      </c>
      <c r="E33" s="16">
        <f ca="1">IFERROR(IF(贷款未偿还*贷款已清偿,I32,""), "")</f>
        <v>1368750</v>
      </c>
      <c r="F33" s="16">
        <f ca="1">IFERROR(IF(贷款未偿还*贷款已清偿,贷款明细[[#This Row],[本金]]+贷款明细[[#This Row],[利息]],""), "")</f>
        <v>10755.46875</v>
      </c>
      <c r="G33" s="16">
        <f ca="1">IFERROR(IF(贷款未偿还*贷款已清偿,贷款金额/贷款分期次数,""), "")</f>
        <v>6250</v>
      </c>
      <c r="H33" s="16">
        <f ca="1">IFERROR(IF(贷款未偿还*贷款已清偿,贷款明细[[#This Row],[期初余额]]*贷款年利率/12,""), "")</f>
        <v>4505.46875</v>
      </c>
      <c r="I33" s="16">
        <f ca="1">IFERROR(IF(贷款未偿还*贷款已清偿,贷款明细[[#This Row],[期初余额]]-贷款明细[[#This Row],[本金]],""), "")</f>
        <v>1362500</v>
      </c>
      <c r="J33" s="3"/>
      <c r="K33" s="6"/>
    </row>
    <row r="34" spans="1:11" ht="20.100000000000001" customHeight="1" x14ac:dyDescent="0.25">
      <c r="A34" s="6"/>
      <c r="C34" s="14">
        <f ca="1">IFERROR(IF(贷款未偿还*贷款已清偿,贷款还款期数,""), "")</f>
        <v>23</v>
      </c>
      <c r="D34" s="15">
        <f ca="1">IFERROR(IF(贷款未偿还*贷款已清偿,还款日期,""), "")</f>
        <v>46098</v>
      </c>
      <c r="E34" s="16">
        <f ca="1">IFERROR(IF(贷款未偿还*贷款已清偿,I33,""), "")</f>
        <v>1362500</v>
      </c>
      <c r="F34" s="16">
        <f ca="1">IFERROR(IF(贷款未偿还*贷款已清偿,贷款明细[[#This Row],[本金]]+贷款明细[[#This Row],[利息]],""), "")</f>
        <v>10734.895833333332</v>
      </c>
      <c r="G34" s="16">
        <f ca="1">IFERROR(IF(贷款未偿还*贷款已清偿,贷款金额/贷款分期次数,""), "")</f>
        <v>6250</v>
      </c>
      <c r="H34" s="16">
        <f ca="1">IFERROR(IF(贷款未偿还*贷款已清偿,贷款明细[[#This Row],[期初余额]]*贷款年利率/12,""), "")</f>
        <v>4484.895833333333</v>
      </c>
      <c r="I34" s="16">
        <f ca="1">IFERROR(IF(贷款未偿还*贷款已清偿,贷款明细[[#This Row],[期初余额]]-贷款明细[[#This Row],[本金]],""), "")</f>
        <v>1356250</v>
      </c>
      <c r="J34" s="3"/>
      <c r="K34" s="6"/>
    </row>
    <row r="35" spans="1:11" ht="20.100000000000001" customHeight="1" x14ac:dyDescent="0.25">
      <c r="A35" s="6"/>
      <c r="C35" s="14">
        <f ca="1">IFERROR(IF(贷款未偿还*贷款已清偿,贷款还款期数,""), "")</f>
        <v>24</v>
      </c>
      <c r="D35" s="15">
        <f ca="1">IFERROR(IF(贷款未偿还*贷款已清偿,还款日期,""), "")</f>
        <v>46129</v>
      </c>
      <c r="E35" s="16">
        <f ca="1">IFERROR(IF(贷款未偿还*贷款已清偿,I34,""), "")</f>
        <v>1356250</v>
      </c>
      <c r="F35" s="16">
        <f ca="1">IFERROR(IF(贷款未偿还*贷款已清偿,贷款明细[[#This Row],[本金]]+贷款明细[[#This Row],[利息]],""), "")</f>
        <v>10714.322916666668</v>
      </c>
      <c r="G35" s="16">
        <f ca="1">IFERROR(IF(贷款未偿还*贷款已清偿,贷款金额/贷款分期次数,""), "")</f>
        <v>6250</v>
      </c>
      <c r="H35" s="16">
        <f ca="1">IFERROR(IF(贷款未偿还*贷款已清偿,贷款明细[[#This Row],[期初余额]]*贷款年利率/12,""), "")</f>
        <v>4464.322916666667</v>
      </c>
      <c r="I35" s="16">
        <f ca="1">IFERROR(IF(贷款未偿还*贷款已清偿,贷款明细[[#This Row],[期初余额]]-贷款明细[[#This Row],[本金]],""), "")</f>
        <v>1350000</v>
      </c>
      <c r="J35" s="3"/>
      <c r="K35" s="6"/>
    </row>
    <row r="36" spans="1:11" ht="20.100000000000001" customHeight="1" x14ac:dyDescent="0.25">
      <c r="A36" s="6"/>
      <c r="C36" s="14">
        <f ca="1">IFERROR(IF(贷款未偿还*贷款已清偿,贷款还款期数,""), "")</f>
        <v>25</v>
      </c>
      <c r="D36" s="15">
        <f ca="1">IFERROR(IF(贷款未偿还*贷款已清偿,还款日期,""), "")</f>
        <v>46159</v>
      </c>
      <c r="E36" s="16">
        <f ca="1">IFERROR(IF(贷款未偿还*贷款已清偿,I35,""), "")</f>
        <v>1350000</v>
      </c>
      <c r="F36" s="16">
        <f ca="1">IFERROR(IF(贷款未偿还*贷款已清偿,贷款明细[[#This Row],[本金]]+贷款明细[[#This Row],[利息]],""), "")</f>
        <v>10693.75</v>
      </c>
      <c r="G36" s="16">
        <f ca="1">IFERROR(IF(贷款未偿还*贷款已清偿,贷款金额/贷款分期次数,""), "")</f>
        <v>6250</v>
      </c>
      <c r="H36" s="16">
        <f ca="1">IFERROR(IF(贷款未偿还*贷款已清偿,贷款明细[[#This Row],[期初余额]]*贷款年利率/12,""), "")</f>
        <v>4443.75</v>
      </c>
      <c r="I36" s="16">
        <f ca="1">IFERROR(IF(贷款未偿还*贷款已清偿,贷款明细[[#This Row],[期初余额]]-贷款明细[[#This Row],[本金]],""), "")</f>
        <v>1343750</v>
      </c>
      <c r="J36" s="3"/>
      <c r="K36" s="6"/>
    </row>
    <row r="37" spans="1:11" ht="20.100000000000001" customHeight="1" x14ac:dyDescent="0.25">
      <c r="A37" s="6"/>
      <c r="C37" s="14">
        <f ca="1">IFERROR(IF(贷款未偿还*贷款已清偿,贷款还款期数,""), "")</f>
        <v>26</v>
      </c>
      <c r="D37" s="15">
        <f ca="1">IFERROR(IF(贷款未偿还*贷款已清偿,还款日期,""), "")</f>
        <v>46190</v>
      </c>
      <c r="E37" s="16">
        <f ca="1">IFERROR(IF(贷款未偿还*贷款已清偿,I36,""), "")</f>
        <v>1343750</v>
      </c>
      <c r="F37" s="16">
        <f ca="1">IFERROR(IF(贷款未偿还*贷款已清偿,贷款明细[[#This Row],[本金]]+贷款明细[[#This Row],[利息]],""), "")</f>
        <v>10673.177083333332</v>
      </c>
      <c r="G37" s="16">
        <f ca="1">IFERROR(IF(贷款未偿还*贷款已清偿,贷款金额/贷款分期次数,""), "")</f>
        <v>6250</v>
      </c>
      <c r="H37" s="16">
        <f ca="1">IFERROR(IF(贷款未偿还*贷款已清偿,贷款明细[[#This Row],[期初余额]]*贷款年利率/12,""), "")</f>
        <v>4423.177083333333</v>
      </c>
      <c r="I37" s="16">
        <f ca="1">IFERROR(IF(贷款未偿还*贷款已清偿,贷款明细[[#This Row],[期初余额]]-贷款明细[[#This Row],[本金]],""), "")</f>
        <v>1337500</v>
      </c>
      <c r="J37" s="3"/>
      <c r="K37" s="6"/>
    </row>
    <row r="38" spans="1:11" ht="20.100000000000001" customHeight="1" x14ac:dyDescent="0.25">
      <c r="A38" s="6"/>
      <c r="C38" s="14">
        <f ca="1">IFERROR(IF(贷款未偿还*贷款已清偿,贷款还款期数,""), "")</f>
        <v>27</v>
      </c>
      <c r="D38" s="15">
        <f ca="1">IFERROR(IF(贷款未偿还*贷款已清偿,还款日期,""), "")</f>
        <v>46220</v>
      </c>
      <c r="E38" s="16">
        <f ca="1">IFERROR(IF(贷款未偿还*贷款已清偿,I37,""), "")</f>
        <v>1337500</v>
      </c>
      <c r="F38" s="16">
        <f ca="1">IFERROR(IF(贷款未偿还*贷款已清偿,贷款明细[[#This Row],[本金]]+贷款明细[[#This Row],[利息]],""), "")</f>
        <v>10652.604166666668</v>
      </c>
      <c r="G38" s="16">
        <f ca="1">IFERROR(IF(贷款未偿还*贷款已清偿,贷款金额/贷款分期次数,""), "")</f>
        <v>6250</v>
      </c>
      <c r="H38" s="16">
        <f ca="1">IFERROR(IF(贷款未偿还*贷款已清偿,贷款明细[[#This Row],[期初余额]]*贷款年利率/12,""), "")</f>
        <v>4402.604166666667</v>
      </c>
      <c r="I38" s="16">
        <f ca="1">IFERROR(IF(贷款未偿还*贷款已清偿,贷款明细[[#This Row],[期初余额]]-贷款明细[[#This Row],[本金]],""), "")</f>
        <v>1331250</v>
      </c>
      <c r="J38" s="3"/>
      <c r="K38" s="6"/>
    </row>
    <row r="39" spans="1:11" ht="20.100000000000001" customHeight="1" x14ac:dyDescent="0.25">
      <c r="A39" s="6"/>
      <c r="C39" s="14">
        <f ca="1">IFERROR(IF(贷款未偿还*贷款已清偿,贷款还款期数,""), "")</f>
        <v>28</v>
      </c>
      <c r="D39" s="15">
        <f ca="1">IFERROR(IF(贷款未偿还*贷款已清偿,还款日期,""), "")</f>
        <v>46251</v>
      </c>
      <c r="E39" s="16">
        <f ca="1">IFERROR(IF(贷款未偿还*贷款已清偿,I38,""), "")</f>
        <v>1331250</v>
      </c>
      <c r="F39" s="16">
        <f ca="1">IFERROR(IF(贷款未偿还*贷款已清偿,贷款明细[[#This Row],[本金]]+贷款明细[[#This Row],[利息]],""), "")</f>
        <v>10632.03125</v>
      </c>
      <c r="G39" s="16">
        <f ca="1">IFERROR(IF(贷款未偿还*贷款已清偿,贷款金额/贷款分期次数,""), "")</f>
        <v>6250</v>
      </c>
      <c r="H39" s="16">
        <f ca="1">IFERROR(IF(贷款未偿还*贷款已清偿,贷款明细[[#This Row],[期初余额]]*贷款年利率/12,""), "")</f>
        <v>4382.03125</v>
      </c>
      <c r="I39" s="16">
        <f ca="1">IFERROR(IF(贷款未偿还*贷款已清偿,贷款明细[[#This Row],[期初余额]]-贷款明细[[#This Row],[本金]],""), "")</f>
        <v>1325000</v>
      </c>
      <c r="J39" s="3"/>
      <c r="K39" s="6"/>
    </row>
    <row r="40" spans="1:11" ht="20.100000000000001" customHeight="1" x14ac:dyDescent="0.25">
      <c r="A40" s="6"/>
      <c r="C40" s="14">
        <f ca="1">IFERROR(IF(贷款未偿还*贷款已清偿,贷款还款期数,""), "")</f>
        <v>29</v>
      </c>
      <c r="D40" s="15">
        <f ca="1">IFERROR(IF(贷款未偿还*贷款已清偿,还款日期,""), "")</f>
        <v>46282</v>
      </c>
      <c r="E40" s="16">
        <f ca="1">IFERROR(IF(贷款未偿还*贷款已清偿,I39,""), "")</f>
        <v>1325000</v>
      </c>
      <c r="F40" s="16">
        <f ca="1">IFERROR(IF(贷款未偿还*贷款已清偿,贷款明细[[#This Row],[本金]]+贷款明细[[#This Row],[利息]],""), "")</f>
        <v>10611.458333333332</v>
      </c>
      <c r="G40" s="16">
        <f ca="1">IFERROR(IF(贷款未偿还*贷款已清偿,贷款金额/贷款分期次数,""), "")</f>
        <v>6250</v>
      </c>
      <c r="H40" s="16">
        <f ca="1">IFERROR(IF(贷款未偿还*贷款已清偿,贷款明细[[#This Row],[期初余额]]*贷款年利率/12,""), "")</f>
        <v>4361.458333333333</v>
      </c>
      <c r="I40" s="16">
        <f ca="1">IFERROR(IF(贷款未偿还*贷款已清偿,贷款明细[[#This Row],[期初余额]]-贷款明细[[#This Row],[本金]],""), "")</f>
        <v>1318750</v>
      </c>
      <c r="J40" s="3"/>
      <c r="K40" s="6"/>
    </row>
    <row r="41" spans="1:11" ht="20.100000000000001" customHeight="1" x14ac:dyDescent="0.25">
      <c r="A41" s="6"/>
      <c r="C41" s="14">
        <f ca="1">IFERROR(IF(贷款未偿还*贷款已清偿,贷款还款期数,""), "")</f>
        <v>30</v>
      </c>
      <c r="D41" s="15">
        <f ca="1">IFERROR(IF(贷款未偿还*贷款已清偿,还款日期,""), "")</f>
        <v>46312</v>
      </c>
      <c r="E41" s="16">
        <f ca="1">IFERROR(IF(贷款未偿还*贷款已清偿,I40,""), "")</f>
        <v>1318750</v>
      </c>
      <c r="F41" s="16">
        <f ca="1">IFERROR(IF(贷款未偿还*贷款已清偿,贷款明细[[#This Row],[本金]]+贷款明细[[#This Row],[利息]],""), "")</f>
        <v>10590.885416666668</v>
      </c>
      <c r="G41" s="16">
        <f ca="1">IFERROR(IF(贷款未偿还*贷款已清偿,贷款金额/贷款分期次数,""), "")</f>
        <v>6250</v>
      </c>
      <c r="H41" s="16">
        <f ca="1">IFERROR(IF(贷款未偿还*贷款已清偿,贷款明细[[#This Row],[期初余额]]*贷款年利率/12,""), "")</f>
        <v>4340.885416666667</v>
      </c>
      <c r="I41" s="16">
        <f ca="1">IFERROR(IF(贷款未偿还*贷款已清偿,贷款明细[[#This Row],[期初余额]]-贷款明细[[#This Row],[本金]],""), "")</f>
        <v>1312500</v>
      </c>
      <c r="J41" s="3"/>
      <c r="K41" s="6"/>
    </row>
    <row r="42" spans="1:11" ht="20.100000000000001" customHeight="1" x14ac:dyDescent="0.25">
      <c r="A42" s="6"/>
      <c r="C42" s="14">
        <f ca="1">IFERROR(IF(贷款未偿还*贷款已清偿,贷款还款期数,""), "")</f>
        <v>31</v>
      </c>
      <c r="D42" s="15">
        <f ca="1">IFERROR(IF(贷款未偿还*贷款已清偿,还款日期,""), "")</f>
        <v>46343</v>
      </c>
      <c r="E42" s="16">
        <f ca="1">IFERROR(IF(贷款未偿还*贷款已清偿,I41,""), "")</f>
        <v>1312500</v>
      </c>
      <c r="F42" s="16">
        <f ca="1">IFERROR(IF(贷款未偿还*贷款已清偿,贷款明细[[#This Row],[本金]]+贷款明细[[#This Row],[利息]],""), "")</f>
        <v>10570.3125</v>
      </c>
      <c r="G42" s="16">
        <f ca="1">IFERROR(IF(贷款未偿还*贷款已清偿,贷款金额/贷款分期次数,""), "")</f>
        <v>6250</v>
      </c>
      <c r="H42" s="16">
        <f ca="1">IFERROR(IF(贷款未偿还*贷款已清偿,贷款明细[[#This Row],[期初余额]]*贷款年利率/12,""), "")</f>
        <v>4320.3125</v>
      </c>
      <c r="I42" s="16">
        <f ca="1">IFERROR(IF(贷款未偿还*贷款已清偿,贷款明细[[#This Row],[期初余额]]-贷款明细[[#This Row],[本金]],""), "")</f>
        <v>1306250</v>
      </c>
      <c r="J42" s="3"/>
      <c r="K42" s="6"/>
    </row>
    <row r="43" spans="1:11" ht="20.100000000000001" customHeight="1" x14ac:dyDescent="0.25">
      <c r="A43" s="6"/>
      <c r="C43" s="14">
        <f ca="1">IFERROR(IF(贷款未偿还*贷款已清偿,贷款还款期数,""), "")</f>
        <v>32</v>
      </c>
      <c r="D43" s="15">
        <f ca="1">IFERROR(IF(贷款未偿还*贷款已清偿,还款日期,""), "")</f>
        <v>46373</v>
      </c>
      <c r="E43" s="16">
        <f ca="1">IFERROR(IF(贷款未偿还*贷款已清偿,I42,""), "")</f>
        <v>1306250</v>
      </c>
      <c r="F43" s="16">
        <f ca="1">IFERROR(IF(贷款未偿还*贷款已清偿,贷款明细[[#This Row],[本金]]+贷款明细[[#This Row],[利息]],""), "")</f>
        <v>10549.739583333332</v>
      </c>
      <c r="G43" s="16">
        <f ca="1">IFERROR(IF(贷款未偿还*贷款已清偿,贷款金额/贷款分期次数,""), "")</f>
        <v>6250</v>
      </c>
      <c r="H43" s="16">
        <f ca="1">IFERROR(IF(贷款未偿还*贷款已清偿,贷款明细[[#This Row],[期初余额]]*贷款年利率/12,""), "")</f>
        <v>4299.739583333333</v>
      </c>
      <c r="I43" s="16">
        <f ca="1">IFERROR(IF(贷款未偿还*贷款已清偿,贷款明细[[#This Row],[期初余额]]-贷款明细[[#This Row],[本金]],""), "")</f>
        <v>1300000</v>
      </c>
      <c r="J43" s="3"/>
      <c r="K43" s="6"/>
    </row>
    <row r="44" spans="1:11" ht="20.100000000000001" customHeight="1" x14ac:dyDescent="0.25">
      <c r="A44" s="6"/>
      <c r="C44" s="14">
        <f ca="1">IFERROR(IF(贷款未偿还*贷款已清偿,贷款还款期数,""), "")</f>
        <v>33</v>
      </c>
      <c r="D44" s="15">
        <f ca="1">IFERROR(IF(贷款未偿还*贷款已清偿,还款日期,""), "")</f>
        <v>46404</v>
      </c>
      <c r="E44" s="16">
        <f ca="1">IFERROR(IF(贷款未偿还*贷款已清偿,I43,""), "")</f>
        <v>1300000</v>
      </c>
      <c r="F44" s="16">
        <f ca="1">IFERROR(IF(贷款未偿还*贷款已清偿,贷款明细[[#This Row],[本金]]+贷款明细[[#This Row],[利息]],""), "")</f>
        <v>10529.166666666668</v>
      </c>
      <c r="G44" s="16">
        <f ca="1">IFERROR(IF(贷款未偿还*贷款已清偿,贷款金额/贷款分期次数,""), "")</f>
        <v>6250</v>
      </c>
      <c r="H44" s="16">
        <f ca="1">IFERROR(IF(贷款未偿还*贷款已清偿,贷款明细[[#This Row],[期初余额]]*贷款年利率/12,""), "")</f>
        <v>4279.166666666667</v>
      </c>
      <c r="I44" s="16">
        <f ca="1">IFERROR(IF(贷款未偿还*贷款已清偿,贷款明细[[#This Row],[期初余额]]-贷款明细[[#This Row],[本金]],""), "")</f>
        <v>1293750</v>
      </c>
      <c r="J44" s="3"/>
      <c r="K44" s="6"/>
    </row>
    <row r="45" spans="1:11" ht="20.100000000000001" customHeight="1" x14ac:dyDescent="0.25">
      <c r="A45" s="6"/>
      <c r="C45" s="14">
        <f ca="1">IFERROR(IF(贷款未偿还*贷款已清偿,贷款还款期数,""), "")</f>
        <v>34</v>
      </c>
      <c r="D45" s="15">
        <f ca="1">IFERROR(IF(贷款未偿还*贷款已清偿,还款日期,""), "")</f>
        <v>46435</v>
      </c>
      <c r="E45" s="16">
        <f ca="1">IFERROR(IF(贷款未偿还*贷款已清偿,I44,""), "")</f>
        <v>1293750</v>
      </c>
      <c r="F45" s="16">
        <f ca="1">IFERROR(IF(贷款未偿还*贷款已清偿,贷款明细[[#This Row],[本金]]+贷款明细[[#This Row],[利息]],""), "")</f>
        <v>10508.59375</v>
      </c>
      <c r="G45" s="16">
        <f ca="1">IFERROR(IF(贷款未偿还*贷款已清偿,贷款金额/贷款分期次数,""), "")</f>
        <v>6250</v>
      </c>
      <c r="H45" s="16">
        <f ca="1">IFERROR(IF(贷款未偿还*贷款已清偿,贷款明细[[#This Row],[期初余额]]*贷款年利率/12,""), "")</f>
        <v>4258.59375</v>
      </c>
      <c r="I45" s="16">
        <f ca="1">IFERROR(IF(贷款未偿还*贷款已清偿,贷款明细[[#This Row],[期初余额]]-贷款明细[[#This Row],[本金]],""), "")</f>
        <v>1287500</v>
      </c>
      <c r="J45" s="3"/>
      <c r="K45" s="6"/>
    </row>
    <row r="46" spans="1:11" ht="20.100000000000001" customHeight="1" x14ac:dyDescent="0.25">
      <c r="A46" s="6"/>
      <c r="C46" s="14">
        <f ca="1">IFERROR(IF(贷款未偿还*贷款已清偿,贷款还款期数,""), "")</f>
        <v>35</v>
      </c>
      <c r="D46" s="15">
        <f ca="1">IFERROR(IF(贷款未偿还*贷款已清偿,还款日期,""), "")</f>
        <v>46463</v>
      </c>
      <c r="E46" s="16">
        <f ca="1">IFERROR(IF(贷款未偿还*贷款已清偿,I45,""), "")</f>
        <v>1287500</v>
      </c>
      <c r="F46" s="16">
        <f ca="1">IFERROR(IF(贷款未偿还*贷款已清偿,贷款明细[[#This Row],[本金]]+贷款明细[[#This Row],[利息]],""), "")</f>
        <v>10488.020833333332</v>
      </c>
      <c r="G46" s="16">
        <f ca="1">IFERROR(IF(贷款未偿还*贷款已清偿,贷款金额/贷款分期次数,""), "")</f>
        <v>6250</v>
      </c>
      <c r="H46" s="16">
        <f ca="1">IFERROR(IF(贷款未偿还*贷款已清偿,贷款明细[[#This Row],[期初余额]]*贷款年利率/12,""), "")</f>
        <v>4238.020833333333</v>
      </c>
      <c r="I46" s="16">
        <f ca="1">IFERROR(IF(贷款未偿还*贷款已清偿,贷款明细[[#This Row],[期初余额]]-贷款明细[[#This Row],[本金]],""), "")</f>
        <v>1281250</v>
      </c>
      <c r="J46" s="3"/>
      <c r="K46" s="6"/>
    </row>
    <row r="47" spans="1:11" ht="20.100000000000001" customHeight="1" x14ac:dyDescent="0.25">
      <c r="A47" s="6"/>
      <c r="C47" s="14">
        <f ca="1">IFERROR(IF(贷款未偿还*贷款已清偿,贷款还款期数,""), "")</f>
        <v>36</v>
      </c>
      <c r="D47" s="15">
        <f ca="1">IFERROR(IF(贷款未偿还*贷款已清偿,还款日期,""), "")</f>
        <v>46494</v>
      </c>
      <c r="E47" s="16">
        <f ca="1">IFERROR(IF(贷款未偿还*贷款已清偿,I46,""), "")</f>
        <v>1281250</v>
      </c>
      <c r="F47" s="16">
        <f ca="1">IFERROR(IF(贷款未偿还*贷款已清偿,贷款明细[[#This Row],[本金]]+贷款明细[[#This Row],[利息]],""), "")</f>
        <v>10467.447916666668</v>
      </c>
      <c r="G47" s="16">
        <f ca="1">IFERROR(IF(贷款未偿还*贷款已清偿,贷款金额/贷款分期次数,""), "")</f>
        <v>6250</v>
      </c>
      <c r="H47" s="16">
        <f ca="1">IFERROR(IF(贷款未偿还*贷款已清偿,贷款明细[[#This Row],[期初余额]]*贷款年利率/12,""), "")</f>
        <v>4217.447916666667</v>
      </c>
      <c r="I47" s="16">
        <f ca="1">IFERROR(IF(贷款未偿还*贷款已清偿,贷款明细[[#This Row],[期初余额]]-贷款明细[[#This Row],[本金]],""), "")</f>
        <v>1275000</v>
      </c>
      <c r="J47" s="3"/>
      <c r="K47" s="6"/>
    </row>
    <row r="48" spans="1:11" ht="20.100000000000001" customHeight="1" x14ac:dyDescent="0.25">
      <c r="A48" s="6"/>
      <c r="C48" s="14">
        <f ca="1">IFERROR(IF(贷款未偿还*贷款已清偿,贷款还款期数,""), "")</f>
        <v>37</v>
      </c>
      <c r="D48" s="15">
        <f ca="1">IFERROR(IF(贷款未偿还*贷款已清偿,还款日期,""), "")</f>
        <v>46524</v>
      </c>
      <c r="E48" s="16">
        <f ca="1">IFERROR(IF(贷款未偿还*贷款已清偿,I47,""), "")</f>
        <v>1275000</v>
      </c>
      <c r="F48" s="16">
        <f ca="1">IFERROR(IF(贷款未偿还*贷款已清偿,贷款明细[[#This Row],[本金]]+贷款明细[[#This Row],[利息]],""), "")</f>
        <v>10446.875</v>
      </c>
      <c r="G48" s="16">
        <f ca="1">IFERROR(IF(贷款未偿还*贷款已清偿,贷款金额/贷款分期次数,""), "")</f>
        <v>6250</v>
      </c>
      <c r="H48" s="16">
        <f ca="1">IFERROR(IF(贷款未偿还*贷款已清偿,贷款明细[[#This Row],[期初余额]]*贷款年利率/12,""), "")</f>
        <v>4196.875</v>
      </c>
      <c r="I48" s="16">
        <f ca="1">IFERROR(IF(贷款未偿还*贷款已清偿,贷款明细[[#This Row],[期初余额]]-贷款明细[[#This Row],[本金]],""), "")</f>
        <v>1268750</v>
      </c>
      <c r="J48" s="3"/>
      <c r="K48" s="6"/>
    </row>
    <row r="49" spans="1:11" ht="20.100000000000001" customHeight="1" x14ac:dyDescent="0.25">
      <c r="A49" s="6"/>
      <c r="C49" s="14">
        <f ca="1">IFERROR(IF(贷款未偿还*贷款已清偿,贷款还款期数,""), "")</f>
        <v>38</v>
      </c>
      <c r="D49" s="15">
        <f ca="1">IFERROR(IF(贷款未偿还*贷款已清偿,还款日期,""), "")</f>
        <v>46555</v>
      </c>
      <c r="E49" s="16">
        <f ca="1">IFERROR(IF(贷款未偿还*贷款已清偿,I48,""), "")</f>
        <v>1268750</v>
      </c>
      <c r="F49" s="16">
        <f ca="1">IFERROR(IF(贷款未偿还*贷款已清偿,贷款明细[[#This Row],[本金]]+贷款明细[[#This Row],[利息]],""), "")</f>
        <v>10426.302083333332</v>
      </c>
      <c r="G49" s="16">
        <f ca="1">IFERROR(IF(贷款未偿还*贷款已清偿,贷款金额/贷款分期次数,""), "")</f>
        <v>6250</v>
      </c>
      <c r="H49" s="16">
        <f ca="1">IFERROR(IF(贷款未偿还*贷款已清偿,贷款明细[[#This Row],[期初余额]]*贷款年利率/12,""), "")</f>
        <v>4176.302083333333</v>
      </c>
      <c r="I49" s="16">
        <f ca="1">IFERROR(IF(贷款未偿还*贷款已清偿,贷款明细[[#This Row],[期初余额]]-贷款明细[[#This Row],[本金]],""), "")</f>
        <v>1262500</v>
      </c>
      <c r="J49" s="3"/>
      <c r="K49" s="6"/>
    </row>
    <row r="50" spans="1:11" ht="20.100000000000001" customHeight="1" x14ac:dyDescent="0.25">
      <c r="A50" s="6"/>
      <c r="C50" s="14">
        <f ca="1">IFERROR(IF(贷款未偿还*贷款已清偿,贷款还款期数,""), "")</f>
        <v>39</v>
      </c>
      <c r="D50" s="15">
        <f ca="1">IFERROR(IF(贷款未偿还*贷款已清偿,还款日期,""), "")</f>
        <v>46585</v>
      </c>
      <c r="E50" s="16">
        <f ca="1">IFERROR(IF(贷款未偿还*贷款已清偿,I49,""), "")</f>
        <v>1262500</v>
      </c>
      <c r="F50" s="16">
        <f ca="1">IFERROR(IF(贷款未偿还*贷款已清偿,贷款明细[[#This Row],[本金]]+贷款明细[[#This Row],[利息]],""), "")</f>
        <v>10405.729166666668</v>
      </c>
      <c r="G50" s="16">
        <f ca="1">IFERROR(IF(贷款未偿还*贷款已清偿,贷款金额/贷款分期次数,""), "")</f>
        <v>6250</v>
      </c>
      <c r="H50" s="16">
        <f ca="1">IFERROR(IF(贷款未偿还*贷款已清偿,贷款明细[[#This Row],[期初余额]]*贷款年利率/12,""), "")</f>
        <v>4155.729166666667</v>
      </c>
      <c r="I50" s="16">
        <f ca="1">IFERROR(IF(贷款未偿还*贷款已清偿,贷款明细[[#This Row],[期初余额]]-贷款明细[[#This Row],[本金]],""), "")</f>
        <v>1256250</v>
      </c>
      <c r="J50" s="3"/>
      <c r="K50" s="6"/>
    </row>
    <row r="51" spans="1:11" ht="20.100000000000001" customHeight="1" x14ac:dyDescent="0.25">
      <c r="A51" s="6"/>
      <c r="C51" s="14">
        <f ca="1">IFERROR(IF(贷款未偿还*贷款已清偿,贷款还款期数,""), "")</f>
        <v>40</v>
      </c>
      <c r="D51" s="15">
        <f ca="1">IFERROR(IF(贷款未偿还*贷款已清偿,还款日期,""), "")</f>
        <v>46616</v>
      </c>
      <c r="E51" s="16">
        <f ca="1">IFERROR(IF(贷款未偿还*贷款已清偿,I50,""), "")</f>
        <v>1256250</v>
      </c>
      <c r="F51" s="16">
        <f ca="1">IFERROR(IF(贷款未偿还*贷款已清偿,贷款明细[[#This Row],[本金]]+贷款明细[[#This Row],[利息]],""), "")</f>
        <v>10385.15625</v>
      </c>
      <c r="G51" s="16">
        <f ca="1">IFERROR(IF(贷款未偿还*贷款已清偿,贷款金额/贷款分期次数,""), "")</f>
        <v>6250</v>
      </c>
      <c r="H51" s="16">
        <f ca="1">IFERROR(IF(贷款未偿还*贷款已清偿,贷款明细[[#This Row],[期初余额]]*贷款年利率/12,""), "")</f>
        <v>4135.15625</v>
      </c>
      <c r="I51" s="16">
        <f ca="1">IFERROR(IF(贷款未偿还*贷款已清偿,贷款明细[[#This Row],[期初余额]]-贷款明细[[#This Row],[本金]],""), "")</f>
        <v>1250000</v>
      </c>
      <c r="J51" s="3"/>
      <c r="K51" s="6"/>
    </row>
    <row r="52" spans="1:11" ht="20.100000000000001" customHeight="1" x14ac:dyDescent="0.25">
      <c r="A52" s="6"/>
      <c r="C52" s="14">
        <f ca="1">IFERROR(IF(贷款未偿还*贷款已清偿,贷款还款期数,""), "")</f>
        <v>41</v>
      </c>
      <c r="D52" s="15">
        <f ca="1">IFERROR(IF(贷款未偿还*贷款已清偿,还款日期,""), "")</f>
        <v>46647</v>
      </c>
      <c r="E52" s="16">
        <f ca="1">IFERROR(IF(贷款未偿还*贷款已清偿,I51,""), "")</f>
        <v>1250000</v>
      </c>
      <c r="F52" s="16">
        <f ca="1">IFERROR(IF(贷款未偿还*贷款已清偿,贷款明细[[#This Row],[本金]]+贷款明细[[#This Row],[利息]],""), "")</f>
        <v>10364.583333333332</v>
      </c>
      <c r="G52" s="16">
        <f ca="1">IFERROR(IF(贷款未偿还*贷款已清偿,贷款金额/贷款分期次数,""), "")</f>
        <v>6250</v>
      </c>
      <c r="H52" s="16">
        <f ca="1">IFERROR(IF(贷款未偿还*贷款已清偿,贷款明细[[#This Row],[期初余额]]*贷款年利率/12,""), "")</f>
        <v>4114.583333333333</v>
      </c>
      <c r="I52" s="16">
        <f ca="1">IFERROR(IF(贷款未偿还*贷款已清偿,贷款明细[[#This Row],[期初余额]]-贷款明细[[#This Row],[本金]],""), "")</f>
        <v>1243750</v>
      </c>
      <c r="J52" s="3"/>
      <c r="K52" s="6"/>
    </row>
    <row r="53" spans="1:11" ht="20.100000000000001" customHeight="1" x14ac:dyDescent="0.25">
      <c r="A53" s="6"/>
      <c r="C53" s="14">
        <f ca="1">IFERROR(IF(贷款未偿还*贷款已清偿,贷款还款期数,""), "")</f>
        <v>42</v>
      </c>
      <c r="D53" s="15">
        <f ca="1">IFERROR(IF(贷款未偿还*贷款已清偿,还款日期,""), "")</f>
        <v>46677</v>
      </c>
      <c r="E53" s="16">
        <f ca="1">IFERROR(IF(贷款未偿还*贷款已清偿,I52,""), "")</f>
        <v>1243750</v>
      </c>
      <c r="F53" s="16">
        <f ca="1">IFERROR(IF(贷款未偿还*贷款已清偿,贷款明细[[#This Row],[本金]]+贷款明细[[#This Row],[利息]],""), "")</f>
        <v>10344.010416666666</v>
      </c>
      <c r="G53" s="16">
        <f ca="1">IFERROR(IF(贷款未偿还*贷款已清偿,贷款金额/贷款分期次数,""), "")</f>
        <v>6250</v>
      </c>
      <c r="H53" s="16">
        <f ca="1">IFERROR(IF(贷款未偿还*贷款已清偿,贷款明细[[#This Row],[期初余额]]*贷款年利率/12,""), "")</f>
        <v>4094.0104166666665</v>
      </c>
      <c r="I53" s="16">
        <f ca="1">IFERROR(IF(贷款未偿还*贷款已清偿,贷款明细[[#This Row],[期初余额]]-贷款明细[[#This Row],[本金]],""), "")</f>
        <v>1237500</v>
      </c>
      <c r="J53" s="3"/>
      <c r="K53" s="6"/>
    </row>
    <row r="54" spans="1:11" ht="20.100000000000001" customHeight="1" x14ac:dyDescent="0.25">
      <c r="A54" s="6"/>
      <c r="C54" s="14">
        <f ca="1">IFERROR(IF(贷款未偿还*贷款已清偿,贷款还款期数,""), "")</f>
        <v>43</v>
      </c>
      <c r="D54" s="15">
        <f ca="1">IFERROR(IF(贷款未偿还*贷款已清偿,还款日期,""), "")</f>
        <v>46708</v>
      </c>
      <c r="E54" s="16">
        <f ca="1">IFERROR(IF(贷款未偿还*贷款已清偿,I53,""), "")</f>
        <v>1237500</v>
      </c>
      <c r="F54" s="16">
        <f ca="1">IFERROR(IF(贷款未偿还*贷款已清偿,贷款明细[[#This Row],[本金]]+贷款明细[[#This Row],[利息]],""), "")</f>
        <v>10323.4375</v>
      </c>
      <c r="G54" s="16">
        <f ca="1">IFERROR(IF(贷款未偿还*贷款已清偿,贷款金额/贷款分期次数,""), "")</f>
        <v>6250</v>
      </c>
      <c r="H54" s="16">
        <f ca="1">IFERROR(IF(贷款未偿还*贷款已清偿,贷款明细[[#This Row],[期初余额]]*贷款年利率/12,""), "")</f>
        <v>4073.4375</v>
      </c>
      <c r="I54" s="16">
        <f ca="1">IFERROR(IF(贷款未偿还*贷款已清偿,贷款明细[[#This Row],[期初余额]]-贷款明细[[#This Row],[本金]],""), "")</f>
        <v>1231250</v>
      </c>
      <c r="J54" s="3"/>
      <c r="K54" s="6"/>
    </row>
    <row r="55" spans="1:11" ht="20.100000000000001" customHeight="1" x14ac:dyDescent="0.25">
      <c r="A55" s="6"/>
      <c r="C55" s="14">
        <f ca="1">IFERROR(IF(贷款未偿还*贷款已清偿,贷款还款期数,""), "")</f>
        <v>44</v>
      </c>
      <c r="D55" s="15">
        <f ca="1">IFERROR(IF(贷款未偿还*贷款已清偿,还款日期,""), "")</f>
        <v>46738</v>
      </c>
      <c r="E55" s="16">
        <f ca="1">IFERROR(IF(贷款未偿还*贷款已清偿,I54,""), "")</f>
        <v>1231250</v>
      </c>
      <c r="F55" s="16">
        <f ca="1">IFERROR(IF(贷款未偿还*贷款已清偿,贷款明细[[#This Row],[本金]]+贷款明细[[#This Row],[利息]],""), "")</f>
        <v>10302.864583333334</v>
      </c>
      <c r="G55" s="16">
        <f ca="1">IFERROR(IF(贷款未偿还*贷款已清偿,贷款金额/贷款分期次数,""), "")</f>
        <v>6250</v>
      </c>
      <c r="H55" s="16">
        <f ca="1">IFERROR(IF(贷款未偿还*贷款已清偿,贷款明细[[#This Row],[期初余额]]*贷款年利率/12,""), "")</f>
        <v>4052.8645833333335</v>
      </c>
      <c r="I55" s="16">
        <f ca="1">IFERROR(IF(贷款未偿还*贷款已清偿,贷款明细[[#This Row],[期初余额]]-贷款明细[[#This Row],[本金]],""), "")</f>
        <v>1225000</v>
      </c>
      <c r="J55" s="3"/>
      <c r="K55" s="6"/>
    </row>
    <row r="56" spans="1:11" ht="20.100000000000001" customHeight="1" x14ac:dyDescent="0.25">
      <c r="A56" s="6"/>
      <c r="C56" s="14">
        <f ca="1">IFERROR(IF(贷款未偿还*贷款已清偿,贷款还款期数,""), "")</f>
        <v>45</v>
      </c>
      <c r="D56" s="15">
        <f ca="1">IFERROR(IF(贷款未偿还*贷款已清偿,还款日期,""), "")</f>
        <v>46769</v>
      </c>
      <c r="E56" s="16">
        <f ca="1">IFERROR(IF(贷款未偿还*贷款已清偿,I55,""), "")</f>
        <v>1225000</v>
      </c>
      <c r="F56" s="16">
        <f ca="1">IFERROR(IF(贷款未偿还*贷款已清偿,贷款明细[[#This Row],[本金]]+贷款明细[[#This Row],[利息]],""), "")</f>
        <v>10282.291666666666</v>
      </c>
      <c r="G56" s="16">
        <f ca="1">IFERROR(IF(贷款未偿还*贷款已清偿,贷款金额/贷款分期次数,""), "")</f>
        <v>6250</v>
      </c>
      <c r="H56" s="16">
        <f ca="1">IFERROR(IF(贷款未偿还*贷款已清偿,贷款明细[[#This Row],[期初余额]]*贷款年利率/12,""), "")</f>
        <v>4032.2916666666665</v>
      </c>
      <c r="I56" s="16">
        <f ca="1">IFERROR(IF(贷款未偿还*贷款已清偿,贷款明细[[#This Row],[期初余额]]-贷款明细[[#This Row],[本金]],""), "")</f>
        <v>1218750</v>
      </c>
      <c r="J56" s="3"/>
      <c r="K56" s="6"/>
    </row>
    <row r="57" spans="1:11" ht="20.100000000000001" customHeight="1" x14ac:dyDescent="0.25">
      <c r="A57" s="6"/>
      <c r="C57" s="14">
        <f ca="1">IFERROR(IF(贷款未偿还*贷款已清偿,贷款还款期数,""), "")</f>
        <v>46</v>
      </c>
      <c r="D57" s="15">
        <f ca="1">IFERROR(IF(贷款未偿还*贷款已清偿,还款日期,""), "")</f>
        <v>46800</v>
      </c>
      <c r="E57" s="16">
        <f ca="1">IFERROR(IF(贷款未偿还*贷款已清偿,I56,""), "")</f>
        <v>1218750</v>
      </c>
      <c r="F57" s="16">
        <f ca="1">IFERROR(IF(贷款未偿还*贷款已清偿,贷款明细[[#This Row],[本金]]+贷款明细[[#This Row],[利息]],""), "")</f>
        <v>10261.71875</v>
      </c>
      <c r="G57" s="16">
        <f ca="1">IFERROR(IF(贷款未偿还*贷款已清偿,贷款金额/贷款分期次数,""), "")</f>
        <v>6250</v>
      </c>
      <c r="H57" s="16">
        <f ca="1">IFERROR(IF(贷款未偿还*贷款已清偿,贷款明细[[#This Row],[期初余额]]*贷款年利率/12,""), "")</f>
        <v>4011.71875</v>
      </c>
      <c r="I57" s="16">
        <f ca="1">IFERROR(IF(贷款未偿还*贷款已清偿,贷款明细[[#This Row],[期初余额]]-贷款明细[[#This Row],[本金]],""), "")</f>
        <v>1212500</v>
      </c>
      <c r="J57" s="3"/>
      <c r="K57" s="6"/>
    </row>
    <row r="58" spans="1:11" ht="20.100000000000001" customHeight="1" x14ac:dyDescent="0.25">
      <c r="A58" s="6"/>
      <c r="C58" s="14">
        <f ca="1">IFERROR(IF(贷款未偿还*贷款已清偿,贷款还款期数,""), "")</f>
        <v>47</v>
      </c>
      <c r="D58" s="15">
        <f ca="1">IFERROR(IF(贷款未偿还*贷款已清偿,还款日期,""), "")</f>
        <v>46829</v>
      </c>
      <c r="E58" s="16">
        <f ca="1">IFERROR(IF(贷款未偿还*贷款已清偿,I57,""), "")</f>
        <v>1212500</v>
      </c>
      <c r="F58" s="16">
        <f ca="1">IFERROR(IF(贷款未偿还*贷款已清偿,贷款明细[[#This Row],[本金]]+贷款明细[[#This Row],[利息]],""), "")</f>
        <v>10241.145833333334</v>
      </c>
      <c r="G58" s="16">
        <f ca="1">IFERROR(IF(贷款未偿还*贷款已清偿,贷款金额/贷款分期次数,""), "")</f>
        <v>6250</v>
      </c>
      <c r="H58" s="16">
        <f ca="1">IFERROR(IF(贷款未偿还*贷款已清偿,贷款明细[[#This Row],[期初余额]]*贷款年利率/12,""), "")</f>
        <v>3991.1458333333335</v>
      </c>
      <c r="I58" s="16">
        <f ca="1">IFERROR(IF(贷款未偿还*贷款已清偿,贷款明细[[#This Row],[期初余额]]-贷款明细[[#This Row],[本金]],""), "")</f>
        <v>1206250</v>
      </c>
      <c r="J58" s="3"/>
      <c r="K58" s="6"/>
    </row>
    <row r="59" spans="1:11" ht="20.100000000000001" customHeight="1" x14ac:dyDescent="0.25">
      <c r="A59" s="6"/>
      <c r="C59" s="14">
        <f ca="1">IFERROR(IF(贷款未偿还*贷款已清偿,贷款还款期数,""), "")</f>
        <v>48</v>
      </c>
      <c r="D59" s="15">
        <f ca="1">IFERROR(IF(贷款未偿还*贷款已清偿,还款日期,""), "")</f>
        <v>46860</v>
      </c>
      <c r="E59" s="16">
        <f ca="1">IFERROR(IF(贷款未偿还*贷款已清偿,I58,""), "")</f>
        <v>1206250</v>
      </c>
      <c r="F59" s="16">
        <f ca="1">IFERROR(IF(贷款未偿还*贷款已清偿,贷款明细[[#This Row],[本金]]+贷款明细[[#This Row],[利息]],""), "")</f>
        <v>10220.572916666666</v>
      </c>
      <c r="G59" s="16">
        <f ca="1">IFERROR(IF(贷款未偿还*贷款已清偿,贷款金额/贷款分期次数,""), "")</f>
        <v>6250</v>
      </c>
      <c r="H59" s="16">
        <f ca="1">IFERROR(IF(贷款未偿还*贷款已清偿,贷款明细[[#This Row],[期初余额]]*贷款年利率/12,""), "")</f>
        <v>3970.5729166666665</v>
      </c>
      <c r="I59" s="16">
        <f ca="1">IFERROR(IF(贷款未偿还*贷款已清偿,贷款明细[[#This Row],[期初余额]]-贷款明细[[#This Row],[本金]],""), "")</f>
        <v>1200000</v>
      </c>
      <c r="J59" s="3"/>
      <c r="K59" s="6"/>
    </row>
    <row r="60" spans="1:11" ht="20.100000000000001" customHeight="1" x14ac:dyDescent="0.25">
      <c r="A60" s="6"/>
      <c r="C60" s="14">
        <f ca="1">IFERROR(IF(贷款未偿还*贷款已清偿,贷款还款期数,""), "")</f>
        <v>49</v>
      </c>
      <c r="D60" s="15">
        <f ca="1">IFERROR(IF(贷款未偿还*贷款已清偿,还款日期,""), "")</f>
        <v>46890</v>
      </c>
      <c r="E60" s="16">
        <f ca="1">IFERROR(IF(贷款未偿还*贷款已清偿,I59,""), "")</f>
        <v>1200000</v>
      </c>
      <c r="F60" s="16">
        <f ca="1">IFERROR(IF(贷款未偿还*贷款已清偿,贷款明细[[#This Row],[本金]]+贷款明细[[#This Row],[利息]],""), "")</f>
        <v>10200</v>
      </c>
      <c r="G60" s="16">
        <f ca="1">IFERROR(IF(贷款未偿还*贷款已清偿,贷款金额/贷款分期次数,""), "")</f>
        <v>6250</v>
      </c>
      <c r="H60" s="16">
        <f ca="1">IFERROR(IF(贷款未偿还*贷款已清偿,贷款明细[[#This Row],[期初余额]]*贷款年利率/12,""), "")</f>
        <v>3950</v>
      </c>
      <c r="I60" s="16">
        <f ca="1">IFERROR(IF(贷款未偿还*贷款已清偿,贷款明细[[#This Row],[期初余额]]-贷款明细[[#This Row],[本金]],""), "")</f>
        <v>1193750</v>
      </c>
      <c r="J60" s="3"/>
      <c r="K60" s="6"/>
    </row>
    <row r="61" spans="1:11" ht="20.100000000000001" customHeight="1" x14ac:dyDescent="0.25">
      <c r="A61" s="6"/>
      <c r="C61" s="14">
        <f ca="1">IFERROR(IF(贷款未偿还*贷款已清偿,贷款还款期数,""), "")</f>
        <v>50</v>
      </c>
      <c r="D61" s="15">
        <f ca="1">IFERROR(IF(贷款未偿还*贷款已清偿,还款日期,""), "")</f>
        <v>46921</v>
      </c>
      <c r="E61" s="16">
        <f ca="1">IFERROR(IF(贷款未偿还*贷款已清偿,I60,""), "")</f>
        <v>1193750</v>
      </c>
      <c r="F61" s="16">
        <f ca="1">IFERROR(IF(贷款未偿还*贷款已清偿,贷款明细[[#This Row],[本金]]+贷款明细[[#This Row],[利息]],""), "")</f>
        <v>10179.427083333334</v>
      </c>
      <c r="G61" s="16">
        <f ca="1">IFERROR(IF(贷款未偿还*贷款已清偿,贷款金额/贷款分期次数,""), "")</f>
        <v>6250</v>
      </c>
      <c r="H61" s="16">
        <f ca="1">IFERROR(IF(贷款未偿还*贷款已清偿,贷款明细[[#This Row],[期初余额]]*贷款年利率/12,""), "")</f>
        <v>3929.4270833333335</v>
      </c>
      <c r="I61" s="16">
        <f ca="1">IFERROR(IF(贷款未偿还*贷款已清偿,贷款明细[[#This Row],[期初余额]]-贷款明细[[#This Row],[本金]],""), "")</f>
        <v>1187500</v>
      </c>
      <c r="J61" s="3"/>
      <c r="K61" s="6"/>
    </row>
    <row r="62" spans="1:11" ht="20.100000000000001" customHeight="1" x14ac:dyDescent="0.25">
      <c r="A62" s="6"/>
      <c r="C62" s="14">
        <f ca="1">IFERROR(IF(贷款未偿还*贷款已清偿,贷款还款期数,""), "")</f>
        <v>51</v>
      </c>
      <c r="D62" s="15">
        <f ca="1">IFERROR(IF(贷款未偿还*贷款已清偿,还款日期,""), "")</f>
        <v>46951</v>
      </c>
      <c r="E62" s="16">
        <f ca="1">IFERROR(IF(贷款未偿还*贷款已清偿,I61,""), "")</f>
        <v>1187500</v>
      </c>
      <c r="F62" s="16">
        <f ca="1">IFERROR(IF(贷款未偿还*贷款已清偿,贷款明细[[#This Row],[本金]]+贷款明细[[#This Row],[利息]],""), "")</f>
        <v>10158.854166666666</v>
      </c>
      <c r="G62" s="16">
        <f ca="1">IFERROR(IF(贷款未偿还*贷款已清偿,贷款金额/贷款分期次数,""), "")</f>
        <v>6250</v>
      </c>
      <c r="H62" s="16">
        <f ca="1">IFERROR(IF(贷款未偿还*贷款已清偿,贷款明细[[#This Row],[期初余额]]*贷款年利率/12,""), "")</f>
        <v>3908.8541666666665</v>
      </c>
      <c r="I62" s="16">
        <f ca="1">IFERROR(IF(贷款未偿还*贷款已清偿,贷款明细[[#This Row],[期初余额]]-贷款明细[[#This Row],[本金]],""), "")</f>
        <v>1181250</v>
      </c>
      <c r="J62" s="3"/>
      <c r="K62" s="6"/>
    </row>
    <row r="63" spans="1:11" ht="20.100000000000001" customHeight="1" x14ac:dyDescent="0.25">
      <c r="A63" s="6"/>
      <c r="C63" s="14">
        <f ca="1">IFERROR(IF(贷款未偿还*贷款已清偿,贷款还款期数,""), "")</f>
        <v>52</v>
      </c>
      <c r="D63" s="15">
        <f ca="1">IFERROR(IF(贷款未偿还*贷款已清偿,还款日期,""), "")</f>
        <v>46982</v>
      </c>
      <c r="E63" s="16">
        <f ca="1">IFERROR(IF(贷款未偿还*贷款已清偿,I62,""), "")</f>
        <v>1181250</v>
      </c>
      <c r="F63" s="16">
        <f ca="1">IFERROR(IF(贷款未偿还*贷款已清偿,贷款明细[[#This Row],[本金]]+贷款明细[[#This Row],[利息]],""), "")</f>
        <v>10138.28125</v>
      </c>
      <c r="G63" s="16">
        <f ca="1">IFERROR(IF(贷款未偿还*贷款已清偿,贷款金额/贷款分期次数,""), "")</f>
        <v>6250</v>
      </c>
      <c r="H63" s="16">
        <f ca="1">IFERROR(IF(贷款未偿还*贷款已清偿,贷款明细[[#This Row],[期初余额]]*贷款年利率/12,""), "")</f>
        <v>3888.28125</v>
      </c>
      <c r="I63" s="16">
        <f ca="1">IFERROR(IF(贷款未偿还*贷款已清偿,贷款明细[[#This Row],[期初余额]]-贷款明细[[#This Row],[本金]],""), "")</f>
        <v>1175000</v>
      </c>
      <c r="J63" s="3"/>
      <c r="K63" s="6"/>
    </row>
    <row r="64" spans="1:11" ht="20.100000000000001" customHeight="1" x14ac:dyDescent="0.25">
      <c r="A64" s="6"/>
      <c r="C64" s="14">
        <f ca="1">IFERROR(IF(贷款未偿还*贷款已清偿,贷款还款期数,""), "")</f>
        <v>53</v>
      </c>
      <c r="D64" s="15">
        <f ca="1">IFERROR(IF(贷款未偿还*贷款已清偿,还款日期,""), "")</f>
        <v>47013</v>
      </c>
      <c r="E64" s="16">
        <f ca="1">IFERROR(IF(贷款未偿还*贷款已清偿,I63,""), "")</f>
        <v>1175000</v>
      </c>
      <c r="F64" s="16">
        <f ca="1">IFERROR(IF(贷款未偿还*贷款已清偿,贷款明细[[#This Row],[本金]]+贷款明细[[#This Row],[利息]],""), "")</f>
        <v>10117.708333333334</v>
      </c>
      <c r="G64" s="16">
        <f ca="1">IFERROR(IF(贷款未偿还*贷款已清偿,贷款金额/贷款分期次数,""), "")</f>
        <v>6250</v>
      </c>
      <c r="H64" s="16">
        <f ca="1">IFERROR(IF(贷款未偿还*贷款已清偿,贷款明细[[#This Row],[期初余额]]*贷款年利率/12,""), "")</f>
        <v>3867.7083333333335</v>
      </c>
      <c r="I64" s="16">
        <f ca="1">IFERROR(IF(贷款未偿还*贷款已清偿,贷款明细[[#This Row],[期初余额]]-贷款明细[[#This Row],[本金]],""), "")</f>
        <v>1168750</v>
      </c>
      <c r="J64" s="3"/>
      <c r="K64" s="6"/>
    </row>
    <row r="65" spans="1:11" ht="20.100000000000001" customHeight="1" x14ac:dyDescent="0.25">
      <c r="A65" s="6"/>
      <c r="C65" s="14">
        <f ca="1">IFERROR(IF(贷款未偿还*贷款已清偿,贷款还款期数,""), "")</f>
        <v>54</v>
      </c>
      <c r="D65" s="15">
        <f ca="1">IFERROR(IF(贷款未偿还*贷款已清偿,还款日期,""), "")</f>
        <v>47043</v>
      </c>
      <c r="E65" s="16">
        <f ca="1">IFERROR(IF(贷款未偿还*贷款已清偿,I64,""), "")</f>
        <v>1168750</v>
      </c>
      <c r="F65" s="16">
        <f ca="1">IFERROR(IF(贷款未偿还*贷款已清偿,贷款明细[[#This Row],[本金]]+贷款明细[[#This Row],[利息]],""), "")</f>
        <v>10097.135416666666</v>
      </c>
      <c r="G65" s="16">
        <f ca="1">IFERROR(IF(贷款未偿还*贷款已清偿,贷款金额/贷款分期次数,""), "")</f>
        <v>6250</v>
      </c>
      <c r="H65" s="16">
        <f ca="1">IFERROR(IF(贷款未偿还*贷款已清偿,贷款明细[[#This Row],[期初余额]]*贷款年利率/12,""), "")</f>
        <v>3847.1354166666665</v>
      </c>
      <c r="I65" s="16">
        <f ca="1">IFERROR(IF(贷款未偿还*贷款已清偿,贷款明细[[#This Row],[期初余额]]-贷款明细[[#This Row],[本金]],""), "")</f>
        <v>1162500</v>
      </c>
      <c r="J65" s="3"/>
      <c r="K65" s="6"/>
    </row>
    <row r="66" spans="1:11" ht="20.100000000000001" customHeight="1" x14ac:dyDescent="0.25">
      <c r="A66" s="6"/>
      <c r="C66" s="14">
        <f ca="1">IFERROR(IF(贷款未偿还*贷款已清偿,贷款还款期数,""), "")</f>
        <v>55</v>
      </c>
      <c r="D66" s="15">
        <f ca="1">IFERROR(IF(贷款未偿还*贷款已清偿,还款日期,""), "")</f>
        <v>47074</v>
      </c>
      <c r="E66" s="16">
        <f ca="1">IFERROR(IF(贷款未偿还*贷款已清偿,I65,""), "")</f>
        <v>1162500</v>
      </c>
      <c r="F66" s="16">
        <f ca="1">IFERROR(IF(贷款未偿还*贷款已清偿,贷款明细[[#This Row],[本金]]+贷款明细[[#This Row],[利息]],""), "")</f>
        <v>10076.5625</v>
      </c>
      <c r="G66" s="16">
        <f ca="1">IFERROR(IF(贷款未偿还*贷款已清偿,贷款金额/贷款分期次数,""), "")</f>
        <v>6250</v>
      </c>
      <c r="H66" s="16">
        <f ca="1">IFERROR(IF(贷款未偿还*贷款已清偿,贷款明细[[#This Row],[期初余额]]*贷款年利率/12,""), "")</f>
        <v>3826.5625</v>
      </c>
      <c r="I66" s="16">
        <f ca="1">IFERROR(IF(贷款未偿还*贷款已清偿,贷款明细[[#This Row],[期初余额]]-贷款明细[[#This Row],[本金]],""), "")</f>
        <v>1156250</v>
      </c>
      <c r="J66" s="3"/>
      <c r="K66" s="6"/>
    </row>
    <row r="67" spans="1:11" ht="20.100000000000001" customHeight="1" x14ac:dyDescent="0.25">
      <c r="A67" s="6"/>
      <c r="C67" s="14">
        <f ca="1">IFERROR(IF(贷款未偿还*贷款已清偿,贷款还款期数,""), "")</f>
        <v>56</v>
      </c>
      <c r="D67" s="15">
        <f ca="1">IFERROR(IF(贷款未偿还*贷款已清偿,还款日期,""), "")</f>
        <v>47104</v>
      </c>
      <c r="E67" s="16">
        <f ca="1">IFERROR(IF(贷款未偿还*贷款已清偿,I66,""), "")</f>
        <v>1156250</v>
      </c>
      <c r="F67" s="16">
        <f ca="1">IFERROR(IF(贷款未偿还*贷款已清偿,贷款明细[[#This Row],[本金]]+贷款明细[[#This Row],[利息]],""), "")</f>
        <v>10055.989583333334</v>
      </c>
      <c r="G67" s="16">
        <f ca="1">IFERROR(IF(贷款未偿还*贷款已清偿,贷款金额/贷款分期次数,""), "")</f>
        <v>6250</v>
      </c>
      <c r="H67" s="16">
        <f ca="1">IFERROR(IF(贷款未偿还*贷款已清偿,贷款明细[[#This Row],[期初余额]]*贷款年利率/12,""), "")</f>
        <v>3805.9895833333335</v>
      </c>
      <c r="I67" s="16">
        <f ca="1">IFERROR(IF(贷款未偿还*贷款已清偿,贷款明细[[#This Row],[期初余额]]-贷款明细[[#This Row],[本金]],""), "")</f>
        <v>1150000</v>
      </c>
      <c r="J67" s="3"/>
      <c r="K67" s="6"/>
    </row>
    <row r="68" spans="1:11" ht="20.100000000000001" customHeight="1" x14ac:dyDescent="0.25">
      <c r="A68" s="6"/>
      <c r="C68" s="14">
        <f ca="1">IFERROR(IF(贷款未偿还*贷款已清偿,贷款还款期数,""), "")</f>
        <v>57</v>
      </c>
      <c r="D68" s="15">
        <f ca="1">IFERROR(IF(贷款未偿还*贷款已清偿,还款日期,""), "")</f>
        <v>47135</v>
      </c>
      <c r="E68" s="16">
        <f ca="1">IFERROR(IF(贷款未偿还*贷款已清偿,I67,""), "")</f>
        <v>1150000</v>
      </c>
      <c r="F68" s="16">
        <f ca="1">IFERROR(IF(贷款未偿还*贷款已清偿,贷款明细[[#This Row],[本金]]+贷款明细[[#This Row],[利息]],""), "")</f>
        <v>10035.416666666666</v>
      </c>
      <c r="G68" s="16">
        <f ca="1">IFERROR(IF(贷款未偿还*贷款已清偿,贷款金额/贷款分期次数,""), "")</f>
        <v>6250</v>
      </c>
      <c r="H68" s="16">
        <f ca="1">IFERROR(IF(贷款未偿还*贷款已清偿,贷款明细[[#This Row],[期初余额]]*贷款年利率/12,""), "")</f>
        <v>3785.4166666666665</v>
      </c>
      <c r="I68" s="16">
        <f ca="1">IFERROR(IF(贷款未偿还*贷款已清偿,贷款明细[[#This Row],[期初余额]]-贷款明细[[#This Row],[本金]],""), "")</f>
        <v>1143750</v>
      </c>
      <c r="J68" s="3"/>
      <c r="K68" s="6"/>
    </row>
    <row r="69" spans="1:11" ht="20.100000000000001" customHeight="1" x14ac:dyDescent="0.25">
      <c r="A69" s="6"/>
      <c r="C69" s="14">
        <f ca="1">IFERROR(IF(贷款未偿还*贷款已清偿,贷款还款期数,""), "")</f>
        <v>58</v>
      </c>
      <c r="D69" s="15">
        <f ca="1">IFERROR(IF(贷款未偿还*贷款已清偿,还款日期,""), "")</f>
        <v>47166</v>
      </c>
      <c r="E69" s="16">
        <f ca="1">IFERROR(IF(贷款未偿还*贷款已清偿,I68,""), "")</f>
        <v>1143750</v>
      </c>
      <c r="F69" s="16">
        <f ca="1">IFERROR(IF(贷款未偿还*贷款已清偿,贷款明细[[#This Row],[本金]]+贷款明细[[#This Row],[利息]],""), "")</f>
        <v>10014.84375</v>
      </c>
      <c r="G69" s="16">
        <f ca="1">IFERROR(IF(贷款未偿还*贷款已清偿,贷款金额/贷款分期次数,""), "")</f>
        <v>6250</v>
      </c>
      <c r="H69" s="16">
        <f ca="1">IFERROR(IF(贷款未偿还*贷款已清偿,贷款明细[[#This Row],[期初余额]]*贷款年利率/12,""), "")</f>
        <v>3764.84375</v>
      </c>
      <c r="I69" s="16">
        <f ca="1">IFERROR(IF(贷款未偿还*贷款已清偿,贷款明细[[#This Row],[期初余额]]-贷款明细[[#This Row],[本金]],""), "")</f>
        <v>1137500</v>
      </c>
      <c r="J69" s="3"/>
      <c r="K69" s="6"/>
    </row>
    <row r="70" spans="1:11" ht="20.100000000000001" customHeight="1" x14ac:dyDescent="0.25">
      <c r="A70" s="6"/>
      <c r="C70" s="14">
        <f ca="1">IFERROR(IF(贷款未偿还*贷款已清偿,贷款还款期数,""), "")</f>
        <v>59</v>
      </c>
      <c r="D70" s="15">
        <f ca="1">IFERROR(IF(贷款未偿还*贷款已清偿,还款日期,""), "")</f>
        <v>47194</v>
      </c>
      <c r="E70" s="16">
        <f ca="1">IFERROR(IF(贷款未偿还*贷款已清偿,I69,""), "")</f>
        <v>1137500</v>
      </c>
      <c r="F70" s="16">
        <f ca="1">IFERROR(IF(贷款未偿还*贷款已清偿,贷款明细[[#This Row],[本金]]+贷款明细[[#This Row],[利息]],""), "")</f>
        <v>9994.2708333333339</v>
      </c>
      <c r="G70" s="16">
        <f ca="1">IFERROR(IF(贷款未偿还*贷款已清偿,贷款金额/贷款分期次数,""), "")</f>
        <v>6250</v>
      </c>
      <c r="H70" s="16">
        <f ca="1">IFERROR(IF(贷款未偿还*贷款已清偿,贷款明细[[#This Row],[期初余额]]*贷款年利率/12,""), "")</f>
        <v>3744.2708333333335</v>
      </c>
      <c r="I70" s="16">
        <f ca="1">IFERROR(IF(贷款未偿还*贷款已清偿,贷款明细[[#This Row],[期初余额]]-贷款明细[[#This Row],[本金]],""), "")</f>
        <v>1131250</v>
      </c>
      <c r="J70" s="3"/>
      <c r="K70" s="6"/>
    </row>
    <row r="71" spans="1:11" ht="20.100000000000001" customHeight="1" x14ac:dyDescent="0.25">
      <c r="A71" s="6"/>
      <c r="C71" s="14">
        <f ca="1">IFERROR(IF(贷款未偿还*贷款已清偿,贷款还款期数,""), "")</f>
        <v>60</v>
      </c>
      <c r="D71" s="15">
        <f ca="1">IFERROR(IF(贷款未偿还*贷款已清偿,还款日期,""), "")</f>
        <v>47225</v>
      </c>
      <c r="E71" s="16">
        <f ca="1">IFERROR(IF(贷款未偿还*贷款已清偿,I70,""), "")</f>
        <v>1131250</v>
      </c>
      <c r="F71" s="16">
        <f ca="1">IFERROR(IF(贷款未偿还*贷款已清偿,贷款明细[[#This Row],[本金]]+贷款明细[[#This Row],[利息]],""), "")</f>
        <v>9973.6979166666661</v>
      </c>
      <c r="G71" s="16">
        <f ca="1">IFERROR(IF(贷款未偿还*贷款已清偿,贷款金额/贷款分期次数,""), "")</f>
        <v>6250</v>
      </c>
      <c r="H71" s="16">
        <f ca="1">IFERROR(IF(贷款未偿还*贷款已清偿,贷款明细[[#This Row],[期初余额]]*贷款年利率/12,""), "")</f>
        <v>3723.6979166666665</v>
      </c>
      <c r="I71" s="16">
        <f ca="1">IFERROR(IF(贷款未偿还*贷款已清偿,贷款明细[[#This Row],[期初余额]]-贷款明细[[#This Row],[本金]],""), "")</f>
        <v>1125000</v>
      </c>
      <c r="J71" s="3"/>
      <c r="K71" s="6"/>
    </row>
    <row r="72" spans="1:11" ht="20.100000000000001" customHeight="1" x14ac:dyDescent="0.25">
      <c r="A72" s="6"/>
      <c r="C72" s="14">
        <f ca="1">IFERROR(IF(贷款未偿还*贷款已清偿,贷款还款期数,""), "")</f>
        <v>61</v>
      </c>
      <c r="D72" s="15">
        <f ca="1">IFERROR(IF(贷款未偿还*贷款已清偿,还款日期,""), "")</f>
        <v>47255</v>
      </c>
      <c r="E72" s="16">
        <f ca="1">IFERROR(IF(贷款未偿还*贷款已清偿,I71,""), "")</f>
        <v>1125000</v>
      </c>
      <c r="F72" s="16">
        <f ca="1">IFERROR(IF(贷款未偿还*贷款已清偿,贷款明细[[#This Row],[本金]]+贷款明细[[#This Row],[利息]],""), "")</f>
        <v>9953.125</v>
      </c>
      <c r="G72" s="16">
        <f ca="1">IFERROR(IF(贷款未偿还*贷款已清偿,贷款金额/贷款分期次数,""), "")</f>
        <v>6250</v>
      </c>
      <c r="H72" s="16">
        <f ca="1">IFERROR(IF(贷款未偿还*贷款已清偿,贷款明细[[#This Row],[期初余额]]*贷款年利率/12,""), "")</f>
        <v>3703.125</v>
      </c>
      <c r="I72" s="16">
        <f ca="1">IFERROR(IF(贷款未偿还*贷款已清偿,贷款明细[[#This Row],[期初余额]]-贷款明细[[#This Row],[本金]],""), "")</f>
        <v>1118750</v>
      </c>
      <c r="J72" s="3"/>
      <c r="K72" s="6"/>
    </row>
    <row r="73" spans="1:11" ht="20.100000000000001" customHeight="1" x14ac:dyDescent="0.25">
      <c r="A73" s="6"/>
      <c r="C73" s="14">
        <f ca="1">IFERROR(IF(贷款未偿还*贷款已清偿,贷款还款期数,""), "")</f>
        <v>62</v>
      </c>
      <c r="D73" s="15">
        <f ca="1">IFERROR(IF(贷款未偿还*贷款已清偿,还款日期,""), "")</f>
        <v>47286</v>
      </c>
      <c r="E73" s="16">
        <f ca="1">IFERROR(IF(贷款未偿还*贷款已清偿,I72,""), "")</f>
        <v>1118750</v>
      </c>
      <c r="F73" s="16">
        <f ca="1">IFERROR(IF(贷款未偿还*贷款已清偿,贷款明细[[#This Row],[本金]]+贷款明细[[#This Row],[利息]],""), "")</f>
        <v>9932.5520833333339</v>
      </c>
      <c r="G73" s="16">
        <f ca="1">IFERROR(IF(贷款未偿还*贷款已清偿,贷款金额/贷款分期次数,""), "")</f>
        <v>6250</v>
      </c>
      <c r="H73" s="16">
        <f ca="1">IFERROR(IF(贷款未偿还*贷款已清偿,贷款明细[[#This Row],[期初余额]]*贷款年利率/12,""), "")</f>
        <v>3682.5520833333335</v>
      </c>
      <c r="I73" s="16">
        <f ca="1">IFERROR(IF(贷款未偿还*贷款已清偿,贷款明细[[#This Row],[期初余额]]-贷款明细[[#This Row],[本金]],""), "")</f>
        <v>1112500</v>
      </c>
      <c r="J73" s="3"/>
      <c r="K73" s="6"/>
    </row>
    <row r="74" spans="1:11" ht="20.100000000000001" customHeight="1" x14ac:dyDescent="0.25">
      <c r="A74" s="6"/>
      <c r="C74" s="14">
        <f ca="1">IFERROR(IF(贷款未偿还*贷款已清偿,贷款还款期数,""), "")</f>
        <v>63</v>
      </c>
      <c r="D74" s="15">
        <f ca="1">IFERROR(IF(贷款未偿还*贷款已清偿,还款日期,""), "")</f>
        <v>47316</v>
      </c>
      <c r="E74" s="16">
        <f ca="1">IFERROR(IF(贷款未偿还*贷款已清偿,I73,""), "")</f>
        <v>1112500</v>
      </c>
      <c r="F74" s="16">
        <f ca="1">IFERROR(IF(贷款未偿还*贷款已清偿,贷款明细[[#This Row],[本金]]+贷款明细[[#This Row],[利息]],""), "")</f>
        <v>9911.9791666666661</v>
      </c>
      <c r="G74" s="16">
        <f ca="1">IFERROR(IF(贷款未偿还*贷款已清偿,贷款金额/贷款分期次数,""), "")</f>
        <v>6250</v>
      </c>
      <c r="H74" s="16">
        <f ca="1">IFERROR(IF(贷款未偿还*贷款已清偿,贷款明细[[#This Row],[期初余额]]*贷款年利率/12,""), "")</f>
        <v>3661.9791666666665</v>
      </c>
      <c r="I74" s="16">
        <f ca="1">IFERROR(IF(贷款未偿还*贷款已清偿,贷款明细[[#This Row],[期初余额]]-贷款明细[[#This Row],[本金]],""), "")</f>
        <v>1106250</v>
      </c>
      <c r="J74" s="3"/>
      <c r="K74" s="6"/>
    </row>
    <row r="75" spans="1:11" ht="20.100000000000001" customHeight="1" x14ac:dyDescent="0.25">
      <c r="A75" s="6"/>
      <c r="C75" s="14">
        <f ca="1">IFERROR(IF(贷款未偿还*贷款已清偿,贷款还款期数,""), "")</f>
        <v>64</v>
      </c>
      <c r="D75" s="15">
        <f ca="1">IFERROR(IF(贷款未偿还*贷款已清偿,还款日期,""), "")</f>
        <v>47347</v>
      </c>
      <c r="E75" s="16">
        <f ca="1">IFERROR(IF(贷款未偿还*贷款已清偿,I74,""), "")</f>
        <v>1106250</v>
      </c>
      <c r="F75" s="16">
        <f ca="1">IFERROR(IF(贷款未偿还*贷款已清偿,贷款明细[[#This Row],[本金]]+贷款明细[[#This Row],[利息]],""), "")</f>
        <v>9891.40625</v>
      </c>
      <c r="G75" s="16">
        <f ca="1">IFERROR(IF(贷款未偿还*贷款已清偿,贷款金额/贷款分期次数,""), "")</f>
        <v>6250</v>
      </c>
      <c r="H75" s="16">
        <f ca="1">IFERROR(IF(贷款未偿还*贷款已清偿,贷款明细[[#This Row],[期初余额]]*贷款年利率/12,""), "")</f>
        <v>3641.40625</v>
      </c>
      <c r="I75" s="16">
        <f ca="1">IFERROR(IF(贷款未偿还*贷款已清偿,贷款明细[[#This Row],[期初余额]]-贷款明细[[#This Row],[本金]],""), "")</f>
        <v>1100000</v>
      </c>
      <c r="J75" s="3"/>
      <c r="K75" s="6"/>
    </row>
    <row r="76" spans="1:11" ht="20.100000000000001" customHeight="1" x14ac:dyDescent="0.25">
      <c r="A76" s="6"/>
      <c r="C76" s="14">
        <f ca="1">IFERROR(IF(贷款未偿还*贷款已清偿,贷款还款期数,""), "")</f>
        <v>65</v>
      </c>
      <c r="D76" s="15">
        <f ca="1">IFERROR(IF(贷款未偿还*贷款已清偿,还款日期,""), "")</f>
        <v>47378</v>
      </c>
      <c r="E76" s="16">
        <f ca="1">IFERROR(IF(贷款未偿还*贷款已清偿,I75,""), "")</f>
        <v>1100000</v>
      </c>
      <c r="F76" s="16">
        <f ca="1">IFERROR(IF(贷款未偿还*贷款已清偿,贷款明细[[#This Row],[本金]]+贷款明细[[#This Row],[利息]],""), "")</f>
        <v>9870.8333333333339</v>
      </c>
      <c r="G76" s="16">
        <f ca="1">IFERROR(IF(贷款未偿还*贷款已清偿,贷款金额/贷款分期次数,""), "")</f>
        <v>6250</v>
      </c>
      <c r="H76" s="16">
        <f ca="1">IFERROR(IF(贷款未偿还*贷款已清偿,贷款明细[[#This Row],[期初余额]]*贷款年利率/12,""), "")</f>
        <v>3620.8333333333335</v>
      </c>
      <c r="I76" s="16">
        <f ca="1">IFERROR(IF(贷款未偿还*贷款已清偿,贷款明细[[#This Row],[期初余额]]-贷款明细[[#This Row],[本金]],""), "")</f>
        <v>1093750</v>
      </c>
      <c r="J76" s="3"/>
      <c r="K76" s="6"/>
    </row>
    <row r="77" spans="1:11" ht="20.100000000000001" customHeight="1" x14ac:dyDescent="0.25">
      <c r="A77" s="6"/>
      <c r="C77" s="14">
        <f ca="1">IFERROR(IF(贷款未偿还*贷款已清偿,贷款还款期数,""), "")</f>
        <v>66</v>
      </c>
      <c r="D77" s="15">
        <f ca="1">IFERROR(IF(贷款未偿还*贷款已清偿,还款日期,""), "")</f>
        <v>47408</v>
      </c>
      <c r="E77" s="16">
        <f ca="1">IFERROR(IF(贷款未偿还*贷款已清偿,I76,""), "")</f>
        <v>1093750</v>
      </c>
      <c r="F77" s="16">
        <f ca="1">IFERROR(IF(贷款未偿还*贷款已清偿,贷款明细[[#This Row],[本金]]+贷款明细[[#This Row],[利息]],""), "")</f>
        <v>9850.2604166666661</v>
      </c>
      <c r="G77" s="16">
        <f ca="1">IFERROR(IF(贷款未偿还*贷款已清偿,贷款金额/贷款分期次数,""), "")</f>
        <v>6250</v>
      </c>
      <c r="H77" s="16">
        <f ca="1">IFERROR(IF(贷款未偿还*贷款已清偿,贷款明细[[#This Row],[期初余额]]*贷款年利率/12,""), "")</f>
        <v>3600.2604166666665</v>
      </c>
      <c r="I77" s="16">
        <f ca="1">IFERROR(IF(贷款未偿还*贷款已清偿,贷款明细[[#This Row],[期初余额]]-贷款明细[[#This Row],[本金]],""), "")</f>
        <v>1087500</v>
      </c>
      <c r="J77" s="3"/>
      <c r="K77" s="6"/>
    </row>
    <row r="78" spans="1:11" ht="20.100000000000001" customHeight="1" x14ac:dyDescent="0.25">
      <c r="A78" s="6"/>
      <c r="C78" s="14">
        <f ca="1">IFERROR(IF(贷款未偿还*贷款已清偿,贷款还款期数,""), "")</f>
        <v>67</v>
      </c>
      <c r="D78" s="15">
        <f ca="1">IFERROR(IF(贷款未偿还*贷款已清偿,还款日期,""), "")</f>
        <v>47439</v>
      </c>
      <c r="E78" s="16">
        <f ca="1">IFERROR(IF(贷款未偿还*贷款已清偿,I77,""), "")</f>
        <v>1087500</v>
      </c>
      <c r="F78" s="16">
        <f ca="1">IFERROR(IF(贷款未偿还*贷款已清偿,贷款明细[[#This Row],[本金]]+贷款明细[[#This Row],[利息]],""), "")</f>
        <v>9829.6875</v>
      </c>
      <c r="G78" s="16">
        <f ca="1">IFERROR(IF(贷款未偿还*贷款已清偿,贷款金额/贷款分期次数,""), "")</f>
        <v>6250</v>
      </c>
      <c r="H78" s="16">
        <f ca="1">IFERROR(IF(贷款未偿还*贷款已清偿,贷款明细[[#This Row],[期初余额]]*贷款年利率/12,""), "")</f>
        <v>3579.6875</v>
      </c>
      <c r="I78" s="16">
        <f ca="1">IFERROR(IF(贷款未偿还*贷款已清偿,贷款明细[[#This Row],[期初余额]]-贷款明细[[#This Row],[本金]],""), "")</f>
        <v>1081250</v>
      </c>
      <c r="J78" s="3"/>
      <c r="K78" s="6"/>
    </row>
    <row r="79" spans="1:11" ht="20.100000000000001" customHeight="1" x14ac:dyDescent="0.25">
      <c r="A79" s="6"/>
      <c r="C79" s="14">
        <f ca="1">IFERROR(IF(贷款未偿还*贷款已清偿,贷款还款期数,""), "")</f>
        <v>68</v>
      </c>
      <c r="D79" s="15">
        <f ca="1">IFERROR(IF(贷款未偿还*贷款已清偿,还款日期,""), "")</f>
        <v>47469</v>
      </c>
      <c r="E79" s="16">
        <f ca="1">IFERROR(IF(贷款未偿还*贷款已清偿,I78,""), "")</f>
        <v>1081250</v>
      </c>
      <c r="F79" s="16">
        <f ca="1">IFERROR(IF(贷款未偿还*贷款已清偿,贷款明细[[#This Row],[本金]]+贷款明细[[#This Row],[利息]],""), "")</f>
        <v>9809.1145833333339</v>
      </c>
      <c r="G79" s="16">
        <f ca="1">IFERROR(IF(贷款未偿还*贷款已清偿,贷款金额/贷款分期次数,""), "")</f>
        <v>6250</v>
      </c>
      <c r="H79" s="16">
        <f ca="1">IFERROR(IF(贷款未偿还*贷款已清偿,贷款明细[[#This Row],[期初余额]]*贷款年利率/12,""), "")</f>
        <v>3559.1145833333335</v>
      </c>
      <c r="I79" s="16">
        <f ca="1">IFERROR(IF(贷款未偿还*贷款已清偿,贷款明细[[#This Row],[期初余额]]-贷款明细[[#This Row],[本金]],""), "")</f>
        <v>1075000</v>
      </c>
      <c r="J79" s="3"/>
      <c r="K79" s="6"/>
    </row>
    <row r="80" spans="1:11" ht="20.100000000000001" customHeight="1" x14ac:dyDescent="0.25">
      <c r="A80" s="6"/>
      <c r="C80" s="14">
        <f ca="1">IFERROR(IF(贷款未偿还*贷款已清偿,贷款还款期数,""), "")</f>
        <v>69</v>
      </c>
      <c r="D80" s="15">
        <f ca="1">IFERROR(IF(贷款未偿还*贷款已清偿,还款日期,""), "")</f>
        <v>47500</v>
      </c>
      <c r="E80" s="16">
        <f ca="1">IFERROR(IF(贷款未偿还*贷款已清偿,I79,""), "")</f>
        <v>1075000</v>
      </c>
      <c r="F80" s="16">
        <f ca="1">IFERROR(IF(贷款未偿还*贷款已清偿,贷款明细[[#This Row],[本金]]+贷款明细[[#This Row],[利息]],""), "")</f>
        <v>9788.5416666666661</v>
      </c>
      <c r="G80" s="16">
        <f ca="1">IFERROR(IF(贷款未偿还*贷款已清偿,贷款金额/贷款分期次数,""), "")</f>
        <v>6250</v>
      </c>
      <c r="H80" s="16">
        <f ca="1">IFERROR(IF(贷款未偿还*贷款已清偿,贷款明细[[#This Row],[期初余额]]*贷款年利率/12,""), "")</f>
        <v>3538.5416666666665</v>
      </c>
      <c r="I80" s="16">
        <f ca="1">IFERROR(IF(贷款未偿还*贷款已清偿,贷款明细[[#This Row],[期初余额]]-贷款明细[[#This Row],[本金]],""), "")</f>
        <v>1068750</v>
      </c>
      <c r="J80" s="3"/>
      <c r="K80" s="6"/>
    </row>
    <row r="81" spans="1:11" ht="20.100000000000001" customHeight="1" x14ac:dyDescent="0.25">
      <c r="A81" s="6"/>
      <c r="C81" s="14">
        <f ca="1">IFERROR(IF(贷款未偿还*贷款已清偿,贷款还款期数,""), "")</f>
        <v>70</v>
      </c>
      <c r="D81" s="15">
        <f ca="1">IFERROR(IF(贷款未偿还*贷款已清偿,还款日期,""), "")</f>
        <v>47531</v>
      </c>
      <c r="E81" s="16">
        <f ca="1">IFERROR(IF(贷款未偿还*贷款已清偿,I80,""), "")</f>
        <v>1068750</v>
      </c>
      <c r="F81" s="16">
        <f ca="1">IFERROR(IF(贷款未偿还*贷款已清偿,贷款明细[[#This Row],[本金]]+贷款明细[[#This Row],[利息]],""), "")</f>
        <v>9767.96875</v>
      </c>
      <c r="G81" s="16">
        <f ca="1">IFERROR(IF(贷款未偿还*贷款已清偿,贷款金额/贷款分期次数,""), "")</f>
        <v>6250</v>
      </c>
      <c r="H81" s="16">
        <f ca="1">IFERROR(IF(贷款未偿还*贷款已清偿,贷款明细[[#This Row],[期初余额]]*贷款年利率/12,""), "")</f>
        <v>3517.96875</v>
      </c>
      <c r="I81" s="16">
        <f ca="1">IFERROR(IF(贷款未偿还*贷款已清偿,贷款明细[[#This Row],[期初余额]]-贷款明细[[#This Row],[本金]],""), "")</f>
        <v>1062500</v>
      </c>
      <c r="J81" s="3"/>
      <c r="K81" s="6"/>
    </row>
    <row r="82" spans="1:11" ht="20.100000000000001" customHeight="1" x14ac:dyDescent="0.25">
      <c r="A82" s="6"/>
      <c r="C82" s="14">
        <f ca="1">IFERROR(IF(贷款未偿还*贷款已清偿,贷款还款期数,""), "")</f>
        <v>71</v>
      </c>
      <c r="D82" s="15">
        <f ca="1">IFERROR(IF(贷款未偿还*贷款已清偿,还款日期,""), "")</f>
        <v>47559</v>
      </c>
      <c r="E82" s="16">
        <f ca="1">IFERROR(IF(贷款未偿还*贷款已清偿,I81,""), "")</f>
        <v>1062500</v>
      </c>
      <c r="F82" s="16">
        <f ca="1">IFERROR(IF(贷款未偿还*贷款已清偿,贷款明细[[#This Row],[本金]]+贷款明细[[#This Row],[利息]],""), "")</f>
        <v>9747.3958333333339</v>
      </c>
      <c r="G82" s="16">
        <f ca="1">IFERROR(IF(贷款未偿还*贷款已清偿,贷款金额/贷款分期次数,""), "")</f>
        <v>6250</v>
      </c>
      <c r="H82" s="16">
        <f ca="1">IFERROR(IF(贷款未偿还*贷款已清偿,贷款明细[[#This Row],[期初余额]]*贷款年利率/12,""), "")</f>
        <v>3497.3958333333335</v>
      </c>
      <c r="I82" s="16">
        <f ca="1">IFERROR(IF(贷款未偿还*贷款已清偿,贷款明细[[#This Row],[期初余额]]-贷款明细[[#This Row],[本金]],""), "")</f>
        <v>1056250</v>
      </c>
      <c r="J82" s="3"/>
      <c r="K82" s="6"/>
    </row>
    <row r="83" spans="1:11" ht="20.100000000000001" customHeight="1" x14ac:dyDescent="0.25">
      <c r="A83" s="6"/>
      <c r="C83" s="14">
        <f ca="1">IFERROR(IF(贷款未偿还*贷款已清偿,贷款还款期数,""), "")</f>
        <v>72</v>
      </c>
      <c r="D83" s="15">
        <f ca="1">IFERROR(IF(贷款未偿还*贷款已清偿,还款日期,""), "")</f>
        <v>47590</v>
      </c>
      <c r="E83" s="16">
        <f ca="1">IFERROR(IF(贷款未偿还*贷款已清偿,I82,""), "")</f>
        <v>1056250</v>
      </c>
      <c r="F83" s="16">
        <f ca="1">IFERROR(IF(贷款未偿还*贷款已清偿,贷款明细[[#This Row],[本金]]+贷款明细[[#This Row],[利息]],""), "")</f>
        <v>9726.8229166666661</v>
      </c>
      <c r="G83" s="16">
        <f ca="1">IFERROR(IF(贷款未偿还*贷款已清偿,贷款金额/贷款分期次数,""), "")</f>
        <v>6250</v>
      </c>
      <c r="H83" s="16">
        <f ca="1">IFERROR(IF(贷款未偿还*贷款已清偿,贷款明细[[#This Row],[期初余额]]*贷款年利率/12,""), "")</f>
        <v>3476.8229166666665</v>
      </c>
      <c r="I83" s="16">
        <f ca="1">IFERROR(IF(贷款未偿还*贷款已清偿,贷款明细[[#This Row],[期初余额]]-贷款明细[[#This Row],[本金]],""), "")</f>
        <v>1050000</v>
      </c>
      <c r="J83" s="3"/>
      <c r="K83" s="6"/>
    </row>
    <row r="84" spans="1:11" ht="20.100000000000001" customHeight="1" x14ac:dyDescent="0.25">
      <c r="A84" s="6"/>
      <c r="C84" s="14">
        <f ca="1">IFERROR(IF(贷款未偿还*贷款已清偿,贷款还款期数,""), "")</f>
        <v>73</v>
      </c>
      <c r="D84" s="15">
        <f ca="1">IFERROR(IF(贷款未偿还*贷款已清偿,还款日期,""), "")</f>
        <v>47620</v>
      </c>
      <c r="E84" s="16">
        <f ca="1">IFERROR(IF(贷款未偿还*贷款已清偿,I83,""), "")</f>
        <v>1050000</v>
      </c>
      <c r="F84" s="16">
        <f ca="1">IFERROR(IF(贷款未偿还*贷款已清偿,贷款明细[[#This Row],[本金]]+贷款明细[[#This Row],[利息]],""), "")</f>
        <v>9706.25</v>
      </c>
      <c r="G84" s="16">
        <f ca="1">IFERROR(IF(贷款未偿还*贷款已清偿,贷款金额/贷款分期次数,""), "")</f>
        <v>6250</v>
      </c>
      <c r="H84" s="16">
        <f ca="1">IFERROR(IF(贷款未偿还*贷款已清偿,贷款明细[[#This Row],[期初余额]]*贷款年利率/12,""), "")</f>
        <v>3456.25</v>
      </c>
      <c r="I84" s="16">
        <f ca="1">IFERROR(IF(贷款未偿还*贷款已清偿,贷款明细[[#This Row],[期初余额]]-贷款明细[[#This Row],[本金]],""), "")</f>
        <v>1043750</v>
      </c>
      <c r="J84" s="3"/>
      <c r="K84" s="6"/>
    </row>
    <row r="85" spans="1:11" ht="20.100000000000001" customHeight="1" x14ac:dyDescent="0.25">
      <c r="A85" s="6"/>
      <c r="C85" s="14">
        <f ca="1">IFERROR(IF(贷款未偿还*贷款已清偿,贷款还款期数,""), "")</f>
        <v>74</v>
      </c>
      <c r="D85" s="15">
        <f ca="1">IFERROR(IF(贷款未偿还*贷款已清偿,还款日期,""), "")</f>
        <v>47651</v>
      </c>
      <c r="E85" s="16">
        <f ca="1">IFERROR(IF(贷款未偿还*贷款已清偿,I84,""), "")</f>
        <v>1043750</v>
      </c>
      <c r="F85" s="16">
        <f ca="1">IFERROR(IF(贷款未偿还*贷款已清偿,贷款明细[[#This Row],[本金]]+贷款明细[[#This Row],[利息]],""), "")</f>
        <v>9685.6770833333339</v>
      </c>
      <c r="G85" s="16">
        <f ca="1">IFERROR(IF(贷款未偿还*贷款已清偿,贷款金额/贷款分期次数,""), "")</f>
        <v>6250</v>
      </c>
      <c r="H85" s="16">
        <f ca="1">IFERROR(IF(贷款未偿还*贷款已清偿,贷款明细[[#This Row],[期初余额]]*贷款年利率/12,""), "")</f>
        <v>3435.6770833333335</v>
      </c>
      <c r="I85" s="16">
        <f ca="1">IFERROR(IF(贷款未偿还*贷款已清偿,贷款明细[[#This Row],[期初余额]]-贷款明细[[#This Row],[本金]],""), "")</f>
        <v>1037500</v>
      </c>
      <c r="J85" s="3"/>
      <c r="K85" s="6"/>
    </row>
    <row r="86" spans="1:11" ht="20.100000000000001" customHeight="1" x14ac:dyDescent="0.25">
      <c r="A86" s="6"/>
      <c r="C86" s="14">
        <f ca="1">IFERROR(IF(贷款未偿还*贷款已清偿,贷款还款期数,""), "")</f>
        <v>75</v>
      </c>
      <c r="D86" s="15">
        <f ca="1">IFERROR(IF(贷款未偿还*贷款已清偿,还款日期,""), "")</f>
        <v>47681</v>
      </c>
      <c r="E86" s="16">
        <f ca="1">IFERROR(IF(贷款未偿还*贷款已清偿,I85,""), "")</f>
        <v>1037500</v>
      </c>
      <c r="F86" s="16">
        <f ca="1">IFERROR(IF(贷款未偿还*贷款已清偿,贷款明细[[#This Row],[本金]]+贷款明细[[#This Row],[利息]],""), "")</f>
        <v>9665.1041666666661</v>
      </c>
      <c r="G86" s="16">
        <f ca="1">IFERROR(IF(贷款未偿还*贷款已清偿,贷款金额/贷款分期次数,""), "")</f>
        <v>6250</v>
      </c>
      <c r="H86" s="16">
        <f ca="1">IFERROR(IF(贷款未偿还*贷款已清偿,贷款明细[[#This Row],[期初余额]]*贷款年利率/12,""), "")</f>
        <v>3415.1041666666665</v>
      </c>
      <c r="I86" s="16">
        <f ca="1">IFERROR(IF(贷款未偿还*贷款已清偿,贷款明细[[#This Row],[期初余额]]-贷款明细[[#This Row],[本金]],""), "")</f>
        <v>1031250</v>
      </c>
      <c r="J86" s="3"/>
      <c r="K86" s="6"/>
    </row>
    <row r="87" spans="1:11" ht="20.100000000000001" customHeight="1" x14ac:dyDescent="0.25">
      <c r="A87" s="6"/>
      <c r="C87" s="14">
        <f ca="1">IFERROR(IF(贷款未偿还*贷款已清偿,贷款还款期数,""), "")</f>
        <v>76</v>
      </c>
      <c r="D87" s="15">
        <f ca="1">IFERROR(IF(贷款未偿还*贷款已清偿,还款日期,""), "")</f>
        <v>47712</v>
      </c>
      <c r="E87" s="16">
        <f ca="1">IFERROR(IF(贷款未偿还*贷款已清偿,I86,""), "")</f>
        <v>1031250</v>
      </c>
      <c r="F87" s="16">
        <f ca="1">IFERROR(IF(贷款未偿还*贷款已清偿,贷款明细[[#This Row],[本金]]+贷款明细[[#This Row],[利息]],""), "")</f>
        <v>9644.53125</v>
      </c>
      <c r="G87" s="16">
        <f ca="1">IFERROR(IF(贷款未偿还*贷款已清偿,贷款金额/贷款分期次数,""), "")</f>
        <v>6250</v>
      </c>
      <c r="H87" s="16">
        <f ca="1">IFERROR(IF(贷款未偿还*贷款已清偿,贷款明细[[#This Row],[期初余额]]*贷款年利率/12,""), "")</f>
        <v>3394.53125</v>
      </c>
      <c r="I87" s="16">
        <f ca="1">IFERROR(IF(贷款未偿还*贷款已清偿,贷款明细[[#This Row],[期初余额]]-贷款明细[[#This Row],[本金]],""), "")</f>
        <v>1025000</v>
      </c>
      <c r="J87" s="3"/>
      <c r="K87" s="6"/>
    </row>
    <row r="88" spans="1:11" ht="20.100000000000001" customHeight="1" x14ac:dyDescent="0.25">
      <c r="A88" s="6"/>
      <c r="C88" s="14">
        <f ca="1">IFERROR(IF(贷款未偿还*贷款已清偿,贷款还款期数,""), "")</f>
        <v>77</v>
      </c>
      <c r="D88" s="15">
        <f ca="1">IFERROR(IF(贷款未偿还*贷款已清偿,还款日期,""), "")</f>
        <v>47743</v>
      </c>
      <c r="E88" s="16">
        <f ca="1">IFERROR(IF(贷款未偿还*贷款已清偿,I87,""), "")</f>
        <v>1025000</v>
      </c>
      <c r="F88" s="16">
        <f ca="1">IFERROR(IF(贷款未偿还*贷款已清偿,贷款明细[[#This Row],[本金]]+贷款明细[[#This Row],[利息]],""), "")</f>
        <v>9623.9583333333339</v>
      </c>
      <c r="G88" s="16">
        <f ca="1">IFERROR(IF(贷款未偿还*贷款已清偿,贷款金额/贷款分期次数,""), "")</f>
        <v>6250</v>
      </c>
      <c r="H88" s="16">
        <f ca="1">IFERROR(IF(贷款未偿还*贷款已清偿,贷款明细[[#This Row],[期初余额]]*贷款年利率/12,""), "")</f>
        <v>3373.9583333333335</v>
      </c>
      <c r="I88" s="16">
        <f ca="1">IFERROR(IF(贷款未偿还*贷款已清偿,贷款明细[[#This Row],[期初余额]]-贷款明细[[#This Row],[本金]],""), "")</f>
        <v>1018750</v>
      </c>
      <c r="J88" s="3"/>
      <c r="K88" s="6"/>
    </row>
    <row r="89" spans="1:11" ht="20.100000000000001" customHeight="1" x14ac:dyDescent="0.25">
      <c r="A89" s="6"/>
      <c r="C89" s="14">
        <f ca="1">IFERROR(IF(贷款未偿还*贷款已清偿,贷款还款期数,""), "")</f>
        <v>78</v>
      </c>
      <c r="D89" s="15">
        <f ca="1">IFERROR(IF(贷款未偿还*贷款已清偿,还款日期,""), "")</f>
        <v>47773</v>
      </c>
      <c r="E89" s="16">
        <f ca="1">IFERROR(IF(贷款未偿还*贷款已清偿,I88,""), "")</f>
        <v>1018750</v>
      </c>
      <c r="F89" s="16">
        <f ca="1">IFERROR(IF(贷款未偿还*贷款已清偿,贷款明细[[#This Row],[本金]]+贷款明细[[#This Row],[利息]],""), "")</f>
        <v>9603.3854166666661</v>
      </c>
      <c r="G89" s="16">
        <f ca="1">IFERROR(IF(贷款未偿还*贷款已清偿,贷款金额/贷款分期次数,""), "")</f>
        <v>6250</v>
      </c>
      <c r="H89" s="16">
        <f ca="1">IFERROR(IF(贷款未偿还*贷款已清偿,贷款明细[[#This Row],[期初余额]]*贷款年利率/12,""), "")</f>
        <v>3353.3854166666665</v>
      </c>
      <c r="I89" s="16">
        <f ca="1">IFERROR(IF(贷款未偿还*贷款已清偿,贷款明细[[#This Row],[期初余额]]-贷款明细[[#This Row],[本金]],""), "")</f>
        <v>1012500</v>
      </c>
      <c r="J89" s="3"/>
      <c r="K89" s="6"/>
    </row>
    <row r="90" spans="1:11" ht="20.100000000000001" customHeight="1" x14ac:dyDescent="0.25">
      <c r="A90" s="6"/>
      <c r="C90" s="14">
        <f ca="1">IFERROR(IF(贷款未偿还*贷款已清偿,贷款还款期数,""), "")</f>
        <v>79</v>
      </c>
      <c r="D90" s="15">
        <f ca="1">IFERROR(IF(贷款未偿还*贷款已清偿,还款日期,""), "")</f>
        <v>47804</v>
      </c>
      <c r="E90" s="16">
        <f ca="1">IFERROR(IF(贷款未偿还*贷款已清偿,I89,""), "")</f>
        <v>1012500</v>
      </c>
      <c r="F90" s="16">
        <f ca="1">IFERROR(IF(贷款未偿还*贷款已清偿,贷款明细[[#This Row],[本金]]+贷款明细[[#This Row],[利息]],""), "")</f>
        <v>9582.8125</v>
      </c>
      <c r="G90" s="16">
        <f ca="1">IFERROR(IF(贷款未偿还*贷款已清偿,贷款金额/贷款分期次数,""), "")</f>
        <v>6250</v>
      </c>
      <c r="H90" s="16">
        <f ca="1">IFERROR(IF(贷款未偿还*贷款已清偿,贷款明细[[#This Row],[期初余额]]*贷款年利率/12,""), "")</f>
        <v>3332.8125</v>
      </c>
      <c r="I90" s="16">
        <f ca="1">IFERROR(IF(贷款未偿还*贷款已清偿,贷款明细[[#This Row],[期初余额]]-贷款明细[[#This Row],[本金]],""), "")</f>
        <v>1006250</v>
      </c>
      <c r="J90" s="3"/>
      <c r="K90" s="6"/>
    </row>
    <row r="91" spans="1:11" ht="20.100000000000001" customHeight="1" x14ac:dyDescent="0.25">
      <c r="A91" s="6"/>
      <c r="C91" s="14">
        <f ca="1">IFERROR(IF(贷款未偿还*贷款已清偿,贷款还款期数,""), "")</f>
        <v>80</v>
      </c>
      <c r="D91" s="15">
        <f ca="1">IFERROR(IF(贷款未偿还*贷款已清偿,还款日期,""), "")</f>
        <v>47834</v>
      </c>
      <c r="E91" s="16">
        <f ca="1">IFERROR(IF(贷款未偿还*贷款已清偿,I90,""), "")</f>
        <v>1006250</v>
      </c>
      <c r="F91" s="16">
        <f ca="1">IFERROR(IF(贷款未偿还*贷款已清偿,贷款明细[[#This Row],[本金]]+贷款明细[[#This Row],[利息]],""), "")</f>
        <v>9562.2395833333339</v>
      </c>
      <c r="G91" s="16">
        <f ca="1">IFERROR(IF(贷款未偿还*贷款已清偿,贷款金额/贷款分期次数,""), "")</f>
        <v>6250</v>
      </c>
      <c r="H91" s="16">
        <f ca="1">IFERROR(IF(贷款未偿还*贷款已清偿,贷款明细[[#This Row],[期初余额]]*贷款年利率/12,""), "")</f>
        <v>3312.2395833333335</v>
      </c>
      <c r="I91" s="16">
        <f ca="1">IFERROR(IF(贷款未偿还*贷款已清偿,贷款明细[[#This Row],[期初余额]]-贷款明细[[#This Row],[本金]],""), "")</f>
        <v>1000000</v>
      </c>
      <c r="J91" s="3"/>
      <c r="K91" s="6"/>
    </row>
    <row r="92" spans="1:11" ht="20.100000000000001" customHeight="1" x14ac:dyDescent="0.25">
      <c r="A92" s="6"/>
      <c r="C92" s="14">
        <f ca="1">IFERROR(IF(贷款未偿还*贷款已清偿,贷款还款期数,""), "")</f>
        <v>81</v>
      </c>
      <c r="D92" s="15">
        <f ca="1">IFERROR(IF(贷款未偿还*贷款已清偿,还款日期,""), "")</f>
        <v>47865</v>
      </c>
      <c r="E92" s="16">
        <f ca="1">IFERROR(IF(贷款未偿还*贷款已清偿,I91,""), "")</f>
        <v>1000000</v>
      </c>
      <c r="F92" s="16">
        <f ca="1">IFERROR(IF(贷款未偿还*贷款已清偿,贷款明细[[#This Row],[本金]]+贷款明细[[#This Row],[利息]],""), "")</f>
        <v>9541.6666666666661</v>
      </c>
      <c r="G92" s="16">
        <f ca="1">IFERROR(IF(贷款未偿还*贷款已清偿,贷款金额/贷款分期次数,""), "")</f>
        <v>6250</v>
      </c>
      <c r="H92" s="16">
        <f ca="1">IFERROR(IF(贷款未偿还*贷款已清偿,贷款明细[[#This Row],[期初余额]]*贷款年利率/12,""), "")</f>
        <v>3291.6666666666665</v>
      </c>
      <c r="I92" s="16">
        <f ca="1">IFERROR(IF(贷款未偿还*贷款已清偿,贷款明细[[#This Row],[期初余额]]-贷款明细[[#This Row],[本金]],""), "")</f>
        <v>993750</v>
      </c>
      <c r="J92" s="3"/>
      <c r="K92" s="6"/>
    </row>
    <row r="93" spans="1:11" ht="20.100000000000001" customHeight="1" x14ac:dyDescent="0.25">
      <c r="A93" s="6"/>
      <c r="C93" s="14">
        <f ca="1">IFERROR(IF(贷款未偿还*贷款已清偿,贷款还款期数,""), "")</f>
        <v>82</v>
      </c>
      <c r="D93" s="15">
        <f ca="1">IFERROR(IF(贷款未偿还*贷款已清偿,还款日期,""), "")</f>
        <v>47896</v>
      </c>
      <c r="E93" s="16">
        <f ca="1">IFERROR(IF(贷款未偿还*贷款已清偿,I92,""), "")</f>
        <v>993750</v>
      </c>
      <c r="F93" s="16">
        <f ca="1">IFERROR(IF(贷款未偿还*贷款已清偿,贷款明细[[#This Row],[本金]]+贷款明细[[#This Row],[利息]],""), "")</f>
        <v>9521.09375</v>
      </c>
      <c r="G93" s="16">
        <f ca="1">IFERROR(IF(贷款未偿还*贷款已清偿,贷款金额/贷款分期次数,""), "")</f>
        <v>6250</v>
      </c>
      <c r="H93" s="16">
        <f ca="1">IFERROR(IF(贷款未偿还*贷款已清偿,贷款明细[[#This Row],[期初余额]]*贷款年利率/12,""), "")</f>
        <v>3271.09375</v>
      </c>
      <c r="I93" s="16">
        <f ca="1">IFERROR(IF(贷款未偿还*贷款已清偿,贷款明细[[#This Row],[期初余额]]-贷款明细[[#This Row],[本金]],""), "")</f>
        <v>987500</v>
      </c>
      <c r="J93" s="3"/>
      <c r="K93" s="6"/>
    </row>
    <row r="94" spans="1:11" ht="20.100000000000001" customHeight="1" x14ac:dyDescent="0.25">
      <c r="A94" s="6"/>
      <c r="C94" s="14">
        <f ca="1">IFERROR(IF(贷款未偿还*贷款已清偿,贷款还款期数,""), "")</f>
        <v>83</v>
      </c>
      <c r="D94" s="15">
        <f ca="1">IFERROR(IF(贷款未偿还*贷款已清偿,还款日期,""), "")</f>
        <v>47924</v>
      </c>
      <c r="E94" s="16">
        <f ca="1">IFERROR(IF(贷款未偿还*贷款已清偿,I93,""), "")</f>
        <v>987500</v>
      </c>
      <c r="F94" s="16">
        <f ca="1">IFERROR(IF(贷款未偿还*贷款已清偿,贷款明细[[#This Row],[本金]]+贷款明细[[#This Row],[利息]],""), "")</f>
        <v>9500.5208333333339</v>
      </c>
      <c r="G94" s="16">
        <f ca="1">IFERROR(IF(贷款未偿还*贷款已清偿,贷款金额/贷款分期次数,""), "")</f>
        <v>6250</v>
      </c>
      <c r="H94" s="16">
        <f ca="1">IFERROR(IF(贷款未偿还*贷款已清偿,贷款明细[[#This Row],[期初余额]]*贷款年利率/12,""), "")</f>
        <v>3250.5208333333335</v>
      </c>
      <c r="I94" s="16">
        <f ca="1">IFERROR(IF(贷款未偿还*贷款已清偿,贷款明细[[#This Row],[期初余额]]-贷款明细[[#This Row],[本金]],""), "")</f>
        <v>981250</v>
      </c>
      <c r="J94" s="3"/>
      <c r="K94" s="6"/>
    </row>
    <row r="95" spans="1:11" ht="20.100000000000001" customHeight="1" x14ac:dyDescent="0.25">
      <c r="A95" s="6"/>
      <c r="C95" s="14">
        <f ca="1">IFERROR(IF(贷款未偿还*贷款已清偿,贷款还款期数,""), "")</f>
        <v>84</v>
      </c>
      <c r="D95" s="15">
        <f ca="1">IFERROR(IF(贷款未偿还*贷款已清偿,还款日期,""), "")</f>
        <v>47955</v>
      </c>
      <c r="E95" s="16">
        <f ca="1">IFERROR(IF(贷款未偿还*贷款已清偿,I94,""), "")</f>
        <v>981250</v>
      </c>
      <c r="F95" s="16">
        <f ca="1">IFERROR(IF(贷款未偿还*贷款已清偿,贷款明细[[#This Row],[本金]]+贷款明细[[#This Row],[利息]],""), "")</f>
        <v>9479.9479166666661</v>
      </c>
      <c r="G95" s="16">
        <f ca="1">IFERROR(IF(贷款未偿还*贷款已清偿,贷款金额/贷款分期次数,""), "")</f>
        <v>6250</v>
      </c>
      <c r="H95" s="16">
        <f ca="1">IFERROR(IF(贷款未偿还*贷款已清偿,贷款明细[[#This Row],[期初余额]]*贷款年利率/12,""), "")</f>
        <v>3229.9479166666665</v>
      </c>
      <c r="I95" s="16">
        <f ca="1">IFERROR(IF(贷款未偿还*贷款已清偿,贷款明细[[#This Row],[期初余额]]-贷款明细[[#This Row],[本金]],""), "")</f>
        <v>975000</v>
      </c>
      <c r="J95" s="3"/>
      <c r="K95" s="6"/>
    </row>
    <row r="96" spans="1:11" ht="20.100000000000001" customHeight="1" x14ac:dyDescent="0.25">
      <c r="A96" s="6"/>
      <c r="C96" s="14">
        <f ca="1">IFERROR(IF(贷款未偿还*贷款已清偿,贷款还款期数,""), "")</f>
        <v>85</v>
      </c>
      <c r="D96" s="15">
        <f ca="1">IFERROR(IF(贷款未偿还*贷款已清偿,还款日期,""), "")</f>
        <v>47985</v>
      </c>
      <c r="E96" s="16">
        <f ca="1">IFERROR(IF(贷款未偿还*贷款已清偿,I95,""), "")</f>
        <v>975000</v>
      </c>
      <c r="F96" s="16">
        <f ca="1">IFERROR(IF(贷款未偿还*贷款已清偿,贷款明细[[#This Row],[本金]]+贷款明细[[#This Row],[利息]],""), "")</f>
        <v>9459.375</v>
      </c>
      <c r="G96" s="16">
        <f ca="1">IFERROR(IF(贷款未偿还*贷款已清偿,贷款金额/贷款分期次数,""), "")</f>
        <v>6250</v>
      </c>
      <c r="H96" s="16">
        <f ca="1">IFERROR(IF(贷款未偿还*贷款已清偿,贷款明细[[#This Row],[期初余额]]*贷款年利率/12,""), "")</f>
        <v>3209.375</v>
      </c>
      <c r="I96" s="16">
        <f ca="1">IFERROR(IF(贷款未偿还*贷款已清偿,贷款明细[[#This Row],[期初余额]]-贷款明细[[#This Row],[本金]],""), "")</f>
        <v>968750</v>
      </c>
      <c r="J96" s="3"/>
      <c r="K96" s="6"/>
    </row>
    <row r="97" spans="1:11" ht="20.100000000000001" customHeight="1" x14ac:dyDescent="0.25">
      <c r="A97" s="6"/>
      <c r="C97" s="14">
        <f ca="1">IFERROR(IF(贷款未偿还*贷款已清偿,贷款还款期数,""), "")</f>
        <v>86</v>
      </c>
      <c r="D97" s="15">
        <f ca="1">IFERROR(IF(贷款未偿还*贷款已清偿,还款日期,""), "")</f>
        <v>48016</v>
      </c>
      <c r="E97" s="16">
        <f ca="1">IFERROR(IF(贷款未偿还*贷款已清偿,I96,""), "")</f>
        <v>968750</v>
      </c>
      <c r="F97" s="16">
        <f ca="1">IFERROR(IF(贷款未偿还*贷款已清偿,贷款明细[[#This Row],[本金]]+贷款明细[[#This Row],[利息]],""), "")</f>
        <v>9438.8020833333339</v>
      </c>
      <c r="G97" s="16">
        <f ca="1">IFERROR(IF(贷款未偿还*贷款已清偿,贷款金额/贷款分期次数,""), "")</f>
        <v>6250</v>
      </c>
      <c r="H97" s="16">
        <f ca="1">IFERROR(IF(贷款未偿还*贷款已清偿,贷款明细[[#This Row],[期初余额]]*贷款年利率/12,""), "")</f>
        <v>3188.8020833333335</v>
      </c>
      <c r="I97" s="16">
        <f ca="1">IFERROR(IF(贷款未偿还*贷款已清偿,贷款明细[[#This Row],[期初余额]]-贷款明细[[#This Row],[本金]],""), "")</f>
        <v>962500</v>
      </c>
      <c r="J97" s="3"/>
      <c r="K97" s="6"/>
    </row>
    <row r="98" spans="1:11" ht="20.100000000000001" customHeight="1" x14ac:dyDescent="0.25">
      <c r="A98" s="6"/>
      <c r="C98" s="14">
        <f ca="1">IFERROR(IF(贷款未偿还*贷款已清偿,贷款还款期数,""), "")</f>
        <v>87</v>
      </c>
      <c r="D98" s="15">
        <f ca="1">IFERROR(IF(贷款未偿还*贷款已清偿,还款日期,""), "")</f>
        <v>48046</v>
      </c>
      <c r="E98" s="16">
        <f ca="1">IFERROR(IF(贷款未偿还*贷款已清偿,I97,""), "")</f>
        <v>962500</v>
      </c>
      <c r="F98" s="16">
        <f ca="1">IFERROR(IF(贷款未偿还*贷款已清偿,贷款明细[[#This Row],[本金]]+贷款明细[[#This Row],[利息]],""), "")</f>
        <v>9418.2291666666661</v>
      </c>
      <c r="G98" s="16">
        <f ca="1">IFERROR(IF(贷款未偿还*贷款已清偿,贷款金额/贷款分期次数,""), "")</f>
        <v>6250</v>
      </c>
      <c r="H98" s="16">
        <f ca="1">IFERROR(IF(贷款未偿还*贷款已清偿,贷款明细[[#This Row],[期初余额]]*贷款年利率/12,""), "")</f>
        <v>3168.2291666666665</v>
      </c>
      <c r="I98" s="16">
        <f ca="1">IFERROR(IF(贷款未偿还*贷款已清偿,贷款明细[[#This Row],[期初余额]]-贷款明细[[#This Row],[本金]],""), "")</f>
        <v>956250</v>
      </c>
      <c r="J98" s="3"/>
      <c r="K98" s="6"/>
    </row>
    <row r="99" spans="1:11" ht="20.100000000000001" customHeight="1" x14ac:dyDescent="0.25">
      <c r="A99" s="6"/>
      <c r="C99" s="14">
        <f ca="1">IFERROR(IF(贷款未偿还*贷款已清偿,贷款还款期数,""), "")</f>
        <v>88</v>
      </c>
      <c r="D99" s="15">
        <f ca="1">IFERROR(IF(贷款未偿还*贷款已清偿,还款日期,""), "")</f>
        <v>48077</v>
      </c>
      <c r="E99" s="16">
        <f ca="1">IFERROR(IF(贷款未偿还*贷款已清偿,I98,""), "")</f>
        <v>956250</v>
      </c>
      <c r="F99" s="16">
        <f ca="1">IFERROR(IF(贷款未偿还*贷款已清偿,贷款明细[[#This Row],[本金]]+贷款明细[[#This Row],[利息]],""), "")</f>
        <v>9397.65625</v>
      </c>
      <c r="G99" s="16">
        <f ca="1">IFERROR(IF(贷款未偿还*贷款已清偿,贷款金额/贷款分期次数,""), "")</f>
        <v>6250</v>
      </c>
      <c r="H99" s="16">
        <f ca="1">IFERROR(IF(贷款未偿还*贷款已清偿,贷款明细[[#This Row],[期初余额]]*贷款年利率/12,""), "")</f>
        <v>3147.65625</v>
      </c>
      <c r="I99" s="16">
        <f ca="1">IFERROR(IF(贷款未偿还*贷款已清偿,贷款明细[[#This Row],[期初余额]]-贷款明细[[#This Row],[本金]],""), "")</f>
        <v>950000</v>
      </c>
      <c r="J99" s="3"/>
      <c r="K99" s="6"/>
    </row>
    <row r="100" spans="1:11" ht="20.100000000000001" customHeight="1" x14ac:dyDescent="0.25">
      <c r="A100" s="6"/>
      <c r="C100" s="14">
        <f ca="1">IFERROR(IF(贷款未偿还*贷款已清偿,贷款还款期数,""), "")</f>
        <v>89</v>
      </c>
      <c r="D100" s="15">
        <f ca="1">IFERROR(IF(贷款未偿还*贷款已清偿,还款日期,""), "")</f>
        <v>48108</v>
      </c>
      <c r="E100" s="16">
        <f ca="1">IFERROR(IF(贷款未偿还*贷款已清偿,I99,""), "")</f>
        <v>950000</v>
      </c>
      <c r="F100" s="16">
        <f ca="1">IFERROR(IF(贷款未偿还*贷款已清偿,贷款明细[[#This Row],[本金]]+贷款明细[[#This Row],[利息]],""), "")</f>
        <v>9377.0833333333339</v>
      </c>
      <c r="G100" s="16">
        <f ca="1">IFERROR(IF(贷款未偿还*贷款已清偿,贷款金额/贷款分期次数,""), "")</f>
        <v>6250</v>
      </c>
      <c r="H100" s="16">
        <f ca="1">IFERROR(IF(贷款未偿还*贷款已清偿,贷款明细[[#This Row],[期初余额]]*贷款年利率/12,""), "")</f>
        <v>3127.0833333333335</v>
      </c>
      <c r="I100" s="16">
        <f ca="1">IFERROR(IF(贷款未偿还*贷款已清偿,贷款明细[[#This Row],[期初余额]]-贷款明细[[#This Row],[本金]],""), "")</f>
        <v>943750</v>
      </c>
      <c r="J100" s="3"/>
      <c r="K100" s="6"/>
    </row>
    <row r="101" spans="1:11" ht="20.100000000000001" customHeight="1" x14ac:dyDescent="0.25">
      <c r="A101" s="6"/>
      <c r="C101" s="14">
        <f ca="1">IFERROR(IF(贷款未偿还*贷款已清偿,贷款还款期数,""), "")</f>
        <v>90</v>
      </c>
      <c r="D101" s="15">
        <f ca="1">IFERROR(IF(贷款未偿还*贷款已清偿,还款日期,""), "")</f>
        <v>48138</v>
      </c>
      <c r="E101" s="16">
        <f ca="1">IFERROR(IF(贷款未偿还*贷款已清偿,I100,""), "")</f>
        <v>943750</v>
      </c>
      <c r="F101" s="16">
        <f ca="1">IFERROR(IF(贷款未偿还*贷款已清偿,贷款明细[[#This Row],[本金]]+贷款明细[[#This Row],[利息]],""), "")</f>
        <v>9356.5104166666661</v>
      </c>
      <c r="G101" s="16">
        <f ca="1">IFERROR(IF(贷款未偿还*贷款已清偿,贷款金额/贷款分期次数,""), "")</f>
        <v>6250</v>
      </c>
      <c r="H101" s="16">
        <f ca="1">IFERROR(IF(贷款未偿还*贷款已清偿,贷款明细[[#This Row],[期初余额]]*贷款年利率/12,""), "")</f>
        <v>3106.5104166666665</v>
      </c>
      <c r="I101" s="16">
        <f ca="1">IFERROR(IF(贷款未偿还*贷款已清偿,贷款明细[[#This Row],[期初余额]]-贷款明细[[#This Row],[本金]],""), "")</f>
        <v>937500</v>
      </c>
      <c r="J101" s="3"/>
      <c r="K101" s="6"/>
    </row>
    <row r="102" spans="1:11" ht="20.100000000000001" customHeight="1" x14ac:dyDescent="0.25">
      <c r="A102" s="6"/>
      <c r="C102" s="14">
        <f ca="1">IFERROR(IF(贷款未偿还*贷款已清偿,贷款还款期数,""), "")</f>
        <v>91</v>
      </c>
      <c r="D102" s="15">
        <f ca="1">IFERROR(IF(贷款未偿还*贷款已清偿,还款日期,""), "")</f>
        <v>48169</v>
      </c>
      <c r="E102" s="16">
        <f ca="1">IFERROR(IF(贷款未偿还*贷款已清偿,I101,""), "")</f>
        <v>937500</v>
      </c>
      <c r="F102" s="16">
        <f ca="1">IFERROR(IF(贷款未偿还*贷款已清偿,贷款明细[[#This Row],[本金]]+贷款明细[[#This Row],[利息]],""), "")</f>
        <v>9335.9375</v>
      </c>
      <c r="G102" s="16">
        <f ca="1">IFERROR(IF(贷款未偿还*贷款已清偿,贷款金额/贷款分期次数,""), "")</f>
        <v>6250</v>
      </c>
      <c r="H102" s="16">
        <f ca="1">IFERROR(IF(贷款未偿还*贷款已清偿,贷款明细[[#This Row],[期初余额]]*贷款年利率/12,""), "")</f>
        <v>3085.9375</v>
      </c>
      <c r="I102" s="16">
        <f ca="1">IFERROR(IF(贷款未偿还*贷款已清偿,贷款明细[[#This Row],[期初余额]]-贷款明细[[#This Row],[本金]],""), "")</f>
        <v>931250</v>
      </c>
      <c r="J102" s="3"/>
      <c r="K102" s="6"/>
    </row>
    <row r="103" spans="1:11" ht="20.100000000000001" customHeight="1" x14ac:dyDescent="0.25">
      <c r="A103" s="6"/>
      <c r="C103" s="14">
        <f ca="1">IFERROR(IF(贷款未偿还*贷款已清偿,贷款还款期数,""), "")</f>
        <v>92</v>
      </c>
      <c r="D103" s="15">
        <f ca="1">IFERROR(IF(贷款未偿还*贷款已清偿,还款日期,""), "")</f>
        <v>48199</v>
      </c>
      <c r="E103" s="16">
        <f ca="1">IFERROR(IF(贷款未偿还*贷款已清偿,I102,""), "")</f>
        <v>931250</v>
      </c>
      <c r="F103" s="16">
        <f ca="1">IFERROR(IF(贷款未偿还*贷款已清偿,贷款明细[[#This Row],[本金]]+贷款明细[[#This Row],[利息]],""), "")</f>
        <v>9315.3645833333339</v>
      </c>
      <c r="G103" s="16">
        <f ca="1">IFERROR(IF(贷款未偿还*贷款已清偿,贷款金额/贷款分期次数,""), "")</f>
        <v>6250</v>
      </c>
      <c r="H103" s="16">
        <f ca="1">IFERROR(IF(贷款未偿还*贷款已清偿,贷款明细[[#This Row],[期初余额]]*贷款年利率/12,""), "")</f>
        <v>3065.3645833333335</v>
      </c>
      <c r="I103" s="16">
        <f ca="1">IFERROR(IF(贷款未偿还*贷款已清偿,贷款明细[[#This Row],[期初余额]]-贷款明细[[#This Row],[本金]],""), "")</f>
        <v>925000</v>
      </c>
      <c r="J103" s="3"/>
      <c r="K103" s="6"/>
    </row>
    <row r="104" spans="1:11" ht="20.100000000000001" customHeight="1" x14ac:dyDescent="0.25">
      <c r="A104" s="6"/>
      <c r="C104" s="14">
        <f ca="1">IFERROR(IF(贷款未偿还*贷款已清偿,贷款还款期数,""), "")</f>
        <v>93</v>
      </c>
      <c r="D104" s="15">
        <f ca="1">IFERROR(IF(贷款未偿还*贷款已清偿,还款日期,""), "")</f>
        <v>48230</v>
      </c>
      <c r="E104" s="16">
        <f ca="1">IFERROR(IF(贷款未偿还*贷款已清偿,I103,""), "")</f>
        <v>925000</v>
      </c>
      <c r="F104" s="16">
        <f ca="1">IFERROR(IF(贷款未偿还*贷款已清偿,贷款明细[[#This Row],[本金]]+贷款明细[[#This Row],[利息]],""), "")</f>
        <v>9294.7916666666661</v>
      </c>
      <c r="G104" s="16">
        <f ca="1">IFERROR(IF(贷款未偿还*贷款已清偿,贷款金额/贷款分期次数,""), "")</f>
        <v>6250</v>
      </c>
      <c r="H104" s="16">
        <f ca="1">IFERROR(IF(贷款未偿还*贷款已清偿,贷款明细[[#This Row],[期初余额]]*贷款年利率/12,""), "")</f>
        <v>3044.7916666666665</v>
      </c>
      <c r="I104" s="16">
        <f ca="1">IFERROR(IF(贷款未偿还*贷款已清偿,贷款明细[[#This Row],[期初余额]]-贷款明细[[#This Row],[本金]],""), "")</f>
        <v>918750</v>
      </c>
      <c r="J104" s="3"/>
      <c r="K104" s="6"/>
    </row>
    <row r="105" spans="1:11" ht="20.100000000000001" customHeight="1" x14ac:dyDescent="0.25">
      <c r="A105" s="6"/>
      <c r="C105" s="14">
        <f ca="1">IFERROR(IF(贷款未偿还*贷款已清偿,贷款还款期数,""), "")</f>
        <v>94</v>
      </c>
      <c r="D105" s="15">
        <f ca="1">IFERROR(IF(贷款未偿还*贷款已清偿,还款日期,""), "")</f>
        <v>48261</v>
      </c>
      <c r="E105" s="16">
        <f ca="1">IFERROR(IF(贷款未偿还*贷款已清偿,I104,""), "")</f>
        <v>918750</v>
      </c>
      <c r="F105" s="16">
        <f ca="1">IFERROR(IF(贷款未偿还*贷款已清偿,贷款明细[[#This Row],[本金]]+贷款明细[[#This Row],[利息]],""), "")</f>
        <v>9274.21875</v>
      </c>
      <c r="G105" s="16">
        <f ca="1">IFERROR(IF(贷款未偿还*贷款已清偿,贷款金额/贷款分期次数,""), "")</f>
        <v>6250</v>
      </c>
      <c r="H105" s="16">
        <f ca="1">IFERROR(IF(贷款未偿还*贷款已清偿,贷款明细[[#This Row],[期初余额]]*贷款年利率/12,""), "")</f>
        <v>3024.21875</v>
      </c>
      <c r="I105" s="16">
        <f ca="1">IFERROR(IF(贷款未偿还*贷款已清偿,贷款明细[[#This Row],[期初余额]]-贷款明细[[#This Row],[本金]],""), "")</f>
        <v>912500</v>
      </c>
      <c r="J105" s="3"/>
      <c r="K105" s="6"/>
    </row>
    <row r="106" spans="1:11" ht="20.100000000000001" customHeight="1" x14ac:dyDescent="0.25">
      <c r="A106" s="6"/>
      <c r="C106" s="14">
        <f ca="1">IFERROR(IF(贷款未偿还*贷款已清偿,贷款还款期数,""), "")</f>
        <v>95</v>
      </c>
      <c r="D106" s="15">
        <f ca="1">IFERROR(IF(贷款未偿还*贷款已清偿,还款日期,""), "")</f>
        <v>48290</v>
      </c>
      <c r="E106" s="16">
        <f ca="1">IFERROR(IF(贷款未偿还*贷款已清偿,I105,""), "")</f>
        <v>912500</v>
      </c>
      <c r="F106" s="16">
        <f ca="1">IFERROR(IF(贷款未偿还*贷款已清偿,贷款明细[[#This Row],[本金]]+贷款明细[[#This Row],[利息]],""), "")</f>
        <v>9253.6458333333339</v>
      </c>
      <c r="G106" s="16">
        <f ca="1">IFERROR(IF(贷款未偿还*贷款已清偿,贷款金额/贷款分期次数,""), "")</f>
        <v>6250</v>
      </c>
      <c r="H106" s="16">
        <f ca="1">IFERROR(IF(贷款未偿还*贷款已清偿,贷款明细[[#This Row],[期初余额]]*贷款年利率/12,""), "")</f>
        <v>3003.6458333333335</v>
      </c>
      <c r="I106" s="16">
        <f ca="1">IFERROR(IF(贷款未偿还*贷款已清偿,贷款明细[[#This Row],[期初余额]]-贷款明细[[#This Row],[本金]],""), "")</f>
        <v>906250</v>
      </c>
      <c r="J106" s="3"/>
      <c r="K106" s="6"/>
    </row>
    <row r="107" spans="1:11" ht="20.100000000000001" customHeight="1" x14ac:dyDescent="0.25">
      <c r="A107" s="6"/>
      <c r="C107" s="14">
        <f ca="1">IFERROR(IF(贷款未偿还*贷款已清偿,贷款还款期数,""), "")</f>
        <v>96</v>
      </c>
      <c r="D107" s="15">
        <f ca="1">IFERROR(IF(贷款未偿还*贷款已清偿,还款日期,""), "")</f>
        <v>48321</v>
      </c>
      <c r="E107" s="16">
        <f ca="1">IFERROR(IF(贷款未偿还*贷款已清偿,I106,""), "")</f>
        <v>906250</v>
      </c>
      <c r="F107" s="16">
        <f ca="1">IFERROR(IF(贷款未偿还*贷款已清偿,贷款明细[[#This Row],[本金]]+贷款明细[[#This Row],[利息]],""), "")</f>
        <v>9233.0729166666661</v>
      </c>
      <c r="G107" s="16">
        <f ca="1">IFERROR(IF(贷款未偿还*贷款已清偿,贷款金额/贷款分期次数,""), "")</f>
        <v>6250</v>
      </c>
      <c r="H107" s="16">
        <f ca="1">IFERROR(IF(贷款未偿还*贷款已清偿,贷款明细[[#This Row],[期初余额]]*贷款年利率/12,""), "")</f>
        <v>2983.0729166666665</v>
      </c>
      <c r="I107" s="16">
        <f ca="1">IFERROR(IF(贷款未偿还*贷款已清偿,贷款明细[[#This Row],[期初余额]]-贷款明细[[#This Row],[本金]],""), "")</f>
        <v>900000</v>
      </c>
      <c r="J107" s="3"/>
      <c r="K107" s="6"/>
    </row>
    <row r="108" spans="1:11" ht="20.100000000000001" customHeight="1" x14ac:dyDescent="0.25">
      <c r="A108" s="6"/>
      <c r="C108" s="14">
        <f ca="1">IFERROR(IF(贷款未偿还*贷款已清偿,贷款还款期数,""), "")</f>
        <v>97</v>
      </c>
      <c r="D108" s="15">
        <f ca="1">IFERROR(IF(贷款未偿还*贷款已清偿,还款日期,""), "")</f>
        <v>48351</v>
      </c>
      <c r="E108" s="16">
        <f ca="1">IFERROR(IF(贷款未偿还*贷款已清偿,I107,""), "")</f>
        <v>900000</v>
      </c>
      <c r="F108" s="16">
        <f ca="1">IFERROR(IF(贷款未偿还*贷款已清偿,贷款明细[[#This Row],[本金]]+贷款明细[[#This Row],[利息]],""), "")</f>
        <v>9212.5</v>
      </c>
      <c r="G108" s="16">
        <f ca="1">IFERROR(IF(贷款未偿还*贷款已清偿,贷款金额/贷款分期次数,""), "")</f>
        <v>6250</v>
      </c>
      <c r="H108" s="16">
        <f ca="1">IFERROR(IF(贷款未偿还*贷款已清偿,贷款明细[[#This Row],[期初余额]]*贷款年利率/12,""), "")</f>
        <v>2962.5</v>
      </c>
      <c r="I108" s="16">
        <f ca="1">IFERROR(IF(贷款未偿还*贷款已清偿,贷款明细[[#This Row],[期初余额]]-贷款明细[[#This Row],[本金]],""), "")</f>
        <v>893750</v>
      </c>
      <c r="J108" s="3"/>
      <c r="K108" s="6"/>
    </row>
    <row r="109" spans="1:11" ht="20.100000000000001" customHeight="1" x14ac:dyDescent="0.25">
      <c r="A109" s="6"/>
      <c r="C109" s="14">
        <f ca="1">IFERROR(IF(贷款未偿还*贷款已清偿,贷款还款期数,""), "")</f>
        <v>98</v>
      </c>
      <c r="D109" s="15">
        <f ca="1">IFERROR(IF(贷款未偿还*贷款已清偿,还款日期,""), "")</f>
        <v>48382</v>
      </c>
      <c r="E109" s="16">
        <f ca="1">IFERROR(IF(贷款未偿还*贷款已清偿,I108,""), "")</f>
        <v>893750</v>
      </c>
      <c r="F109" s="16">
        <f ca="1">IFERROR(IF(贷款未偿还*贷款已清偿,贷款明细[[#This Row],[本金]]+贷款明细[[#This Row],[利息]],""), "")</f>
        <v>9191.9270833333339</v>
      </c>
      <c r="G109" s="16">
        <f ca="1">IFERROR(IF(贷款未偿还*贷款已清偿,贷款金额/贷款分期次数,""), "")</f>
        <v>6250</v>
      </c>
      <c r="H109" s="16">
        <f ca="1">IFERROR(IF(贷款未偿还*贷款已清偿,贷款明细[[#This Row],[期初余额]]*贷款年利率/12,""), "")</f>
        <v>2941.9270833333335</v>
      </c>
      <c r="I109" s="16">
        <f ca="1">IFERROR(IF(贷款未偿还*贷款已清偿,贷款明细[[#This Row],[期初余额]]-贷款明细[[#This Row],[本金]],""), "")</f>
        <v>887500</v>
      </c>
      <c r="J109" s="3"/>
      <c r="K109" s="6"/>
    </row>
    <row r="110" spans="1:11" ht="20.100000000000001" customHeight="1" x14ac:dyDescent="0.25">
      <c r="A110" s="6"/>
      <c r="C110" s="14">
        <f ca="1">IFERROR(IF(贷款未偿还*贷款已清偿,贷款还款期数,""), "")</f>
        <v>99</v>
      </c>
      <c r="D110" s="15">
        <f ca="1">IFERROR(IF(贷款未偿还*贷款已清偿,还款日期,""), "")</f>
        <v>48412</v>
      </c>
      <c r="E110" s="16">
        <f ca="1">IFERROR(IF(贷款未偿还*贷款已清偿,I109,""), "")</f>
        <v>887500</v>
      </c>
      <c r="F110" s="16">
        <f ca="1">IFERROR(IF(贷款未偿还*贷款已清偿,贷款明细[[#This Row],[本金]]+贷款明细[[#This Row],[利息]],""), "")</f>
        <v>9171.3541666666661</v>
      </c>
      <c r="G110" s="16">
        <f ca="1">IFERROR(IF(贷款未偿还*贷款已清偿,贷款金额/贷款分期次数,""), "")</f>
        <v>6250</v>
      </c>
      <c r="H110" s="16">
        <f ca="1">IFERROR(IF(贷款未偿还*贷款已清偿,贷款明细[[#This Row],[期初余额]]*贷款年利率/12,""), "")</f>
        <v>2921.3541666666665</v>
      </c>
      <c r="I110" s="16">
        <f ca="1">IFERROR(IF(贷款未偿还*贷款已清偿,贷款明细[[#This Row],[期初余额]]-贷款明细[[#This Row],[本金]],""), "")</f>
        <v>881250</v>
      </c>
      <c r="J110" s="3"/>
      <c r="K110" s="6"/>
    </row>
    <row r="111" spans="1:11" ht="20.100000000000001" customHeight="1" x14ac:dyDescent="0.25">
      <c r="A111" s="6"/>
      <c r="C111" s="14">
        <f ca="1">IFERROR(IF(贷款未偿还*贷款已清偿,贷款还款期数,""), "")</f>
        <v>100</v>
      </c>
      <c r="D111" s="15">
        <f ca="1">IFERROR(IF(贷款未偿还*贷款已清偿,还款日期,""), "")</f>
        <v>48443</v>
      </c>
      <c r="E111" s="16">
        <f ca="1">IFERROR(IF(贷款未偿还*贷款已清偿,I110,""), "")</f>
        <v>881250</v>
      </c>
      <c r="F111" s="16">
        <f ca="1">IFERROR(IF(贷款未偿还*贷款已清偿,贷款明细[[#This Row],[本金]]+贷款明细[[#This Row],[利息]],""), "")</f>
        <v>9150.78125</v>
      </c>
      <c r="G111" s="16">
        <f ca="1">IFERROR(IF(贷款未偿还*贷款已清偿,贷款金额/贷款分期次数,""), "")</f>
        <v>6250</v>
      </c>
      <c r="H111" s="16">
        <f ca="1">IFERROR(IF(贷款未偿还*贷款已清偿,贷款明细[[#This Row],[期初余额]]*贷款年利率/12,""), "")</f>
        <v>2900.78125</v>
      </c>
      <c r="I111" s="16">
        <f ca="1">IFERROR(IF(贷款未偿还*贷款已清偿,贷款明细[[#This Row],[期初余额]]-贷款明细[[#This Row],[本金]],""), "")</f>
        <v>875000</v>
      </c>
      <c r="J111" s="3"/>
      <c r="K111" s="6"/>
    </row>
    <row r="112" spans="1:11" ht="20.100000000000001" customHeight="1" x14ac:dyDescent="0.25">
      <c r="A112" s="6"/>
      <c r="C112" s="14">
        <f ca="1">IFERROR(IF(贷款未偿还*贷款已清偿,贷款还款期数,""), "")</f>
        <v>101</v>
      </c>
      <c r="D112" s="15">
        <f ca="1">IFERROR(IF(贷款未偿还*贷款已清偿,还款日期,""), "")</f>
        <v>48474</v>
      </c>
      <c r="E112" s="16">
        <f ca="1">IFERROR(IF(贷款未偿还*贷款已清偿,I111,""), "")</f>
        <v>875000</v>
      </c>
      <c r="F112" s="16">
        <f ca="1">IFERROR(IF(贷款未偿还*贷款已清偿,贷款明细[[#This Row],[本金]]+贷款明细[[#This Row],[利息]],""), "")</f>
        <v>9130.2083333333339</v>
      </c>
      <c r="G112" s="16">
        <f ca="1">IFERROR(IF(贷款未偿还*贷款已清偿,贷款金额/贷款分期次数,""), "")</f>
        <v>6250</v>
      </c>
      <c r="H112" s="16">
        <f ca="1">IFERROR(IF(贷款未偿还*贷款已清偿,贷款明细[[#This Row],[期初余额]]*贷款年利率/12,""), "")</f>
        <v>2880.2083333333335</v>
      </c>
      <c r="I112" s="16">
        <f ca="1">IFERROR(IF(贷款未偿还*贷款已清偿,贷款明细[[#This Row],[期初余额]]-贷款明细[[#This Row],[本金]],""), "")</f>
        <v>868750</v>
      </c>
      <c r="J112" s="3"/>
      <c r="K112" s="6"/>
    </row>
    <row r="113" spans="1:11" ht="20.100000000000001" customHeight="1" x14ac:dyDescent="0.25">
      <c r="A113" s="6"/>
      <c r="C113" s="14">
        <f ca="1">IFERROR(IF(贷款未偿还*贷款已清偿,贷款还款期数,""), "")</f>
        <v>102</v>
      </c>
      <c r="D113" s="15">
        <f ca="1">IFERROR(IF(贷款未偿还*贷款已清偿,还款日期,""), "")</f>
        <v>48504</v>
      </c>
      <c r="E113" s="16">
        <f ca="1">IFERROR(IF(贷款未偿还*贷款已清偿,I112,""), "")</f>
        <v>868750</v>
      </c>
      <c r="F113" s="16">
        <f ca="1">IFERROR(IF(贷款未偿还*贷款已清偿,贷款明细[[#This Row],[本金]]+贷款明细[[#This Row],[利息]],""), "")</f>
        <v>9109.6354166666661</v>
      </c>
      <c r="G113" s="16">
        <f ca="1">IFERROR(IF(贷款未偿还*贷款已清偿,贷款金额/贷款分期次数,""), "")</f>
        <v>6250</v>
      </c>
      <c r="H113" s="16">
        <f ca="1">IFERROR(IF(贷款未偿还*贷款已清偿,贷款明细[[#This Row],[期初余额]]*贷款年利率/12,""), "")</f>
        <v>2859.6354166666665</v>
      </c>
      <c r="I113" s="16">
        <f ca="1">IFERROR(IF(贷款未偿还*贷款已清偿,贷款明细[[#This Row],[期初余额]]-贷款明细[[#This Row],[本金]],""), "")</f>
        <v>862500</v>
      </c>
      <c r="J113" s="3"/>
      <c r="K113" s="6"/>
    </row>
    <row r="114" spans="1:11" ht="20.100000000000001" customHeight="1" x14ac:dyDescent="0.25">
      <c r="A114" s="6"/>
      <c r="C114" s="14">
        <f ca="1">IFERROR(IF(贷款未偿还*贷款已清偿,贷款还款期数,""), "")</f>
        <v>103</v>
      </c>
      <c r="D114" s="15">
        <f ca="1">IFERROR(IF(贷款未偿还*贷款已清偿,还款日期,""), "")</f>
        <v>48535</v>
      </c>
      <c r="E114" s="16">
        <f ca="1">IFERROR(IF(贷款未偿还*贷款已清偿,I113,""), "")</f>
        <v>862500</v>
      </c>
      <c r="F114" s="16">
        <f ca="1">IFERROR(IF(贷款未偿还*贷款已清偿,贷款明细[[#This Row],[本金]]+贷款明细[[#This Row],[利息]],""), "")</f>
        <v>9089.0625</v>
      </c>
      <c r="G114" s="16">
        <f ca="1">IFERROR(IF(贷款未偿还*贷款已清偿,贷款金额/贷款分期次数,""), "")</f>
        <v>6250</v>
      </c>
      <c r="H114" s="16">
        <f ca="1">IFERROR(IF(贷款未偿还*贷款已清偿,贷款明细[[#This Row],[期初余额]]*贷款年利率/12,""), "")</f>
        <v>2839.0625</v>
      </c>
      <c r="I114" s="16">
        <f ca="1">IFERROR(IF(贷款未偿还*贷款已清偿,贷款明细[[#This Row],[期初余额]]-贷款明细[[#This Row],[本金]],""), "")</f>
        <v>856250</v>
      </c>
      <c r="J114" s="3"/>
      <c r="K114" s="6"/>
    </row>
    <row r="115" spans="1:11" ht="20.100000000000001" customHeight="1" x14ac:dyDescent="0.25">
      <c r="A115" s="6"/>
      <c r="C115" s="14">
        <f ca="1">IFERROR(IF(贷款未偿还*贷款已清偿,贷款还款期数,""), "")</f>
        <v>104</v>
      </c>
      <c r="D115" s="15">
        <f ca="1">IFERROR(IF(贷款未偿还*贷款已清偿,还款日期,""), "")</f>
        <v>48565</v>
      </c>
      <c r="E115" s="16">
        <f ca="1">IFERROR(IF(贷款未偿还*贷款已清偿,I114,""), "")</f>
        <v>856250</v>
      </c>
      <c r="F115" s="16">
        <f ca="1">IFERROR(IF(贷款未偿还*贷款已清偿,贷款明细[[#This Row],[本金]]+贷款明细[[#This Row],[利息]],""), "")</f>
        <v>9068.4895833333339</v>
      </c>
      <c r="G115" s="16">
        <f ca="1">IFERROR(IF(贷款未偿还*贷款已清偿,贷款金额/贷款分期次数,""), "")</f>
        <v>6250</v>
      </c>
      <c r="H115" s="16">
        <f ca="1">IFERROR(IF(贷款未偿还*贷款已清偿,贷款明细[[#This Row],[期初余额]]*贷款年利率/12,""), "")</f>
        <v>2818.4895833333335</v>
      </c>
      <c r="I115" s="16">
        <f ca="1">IFERROR(IF(贷款未偿还*贷款已清偿,贷款明细[[#This Row],[期初余额]]-贷款明细[[#This Row],[本金]],""), "")</f>
        <v>850000</v>
      </c>
      <c r="J115" s="3"/>
      <c r="K115" s="6"/>
    </row>
    <row r="116" spans="1:11" ht="20.100000000000001" customHeight="1" x14ac:dyDescent="0.25">
      <c r="A116" s="6"/>
      <c r="C116" s="14">
        <f ca="1">IFERROR(IF(贷款未偿还*贷款已清偿,贷款还款期数,""), "")</f>
        <v>105</v>
      </c>
      <c r="D116" s="15">
        <f ca="1">IFERROR(IF(贷款未偿还*贷款已清偿,还款日期,""), "")</f>
        <v>48596</v>
      </c>
      <c r="E116" s="16">
        <f ca="1">IFERROR(IF(贷款未偿还*贷款已清偿,I115,""), "")</f>
        <v>850000</v>
      </c>
      <c r="F116" s="16">
        <f ca="1">IFERROR(IF(贷款未偿还*贷款已清偿,贷款明细[[#This Row],[本金]]+贷款明细[[#This Row],[利息]],""), "")</f>
        <v>9047.9166666666661</v>
      </c>
      <c r="G116" s="16">
        <f ca="1">IFERROR(IF(贷款未偿还*贷款已清偿,贷款金额/贷款分期次数,""), "")</f>
        <v>6250</v>
      </c>
      <c r="H116" s="16">
        <f ca="1">IFERROR(IF(贷款未偿还*贷款已清偿,贷款明细[[#This Row],[期初余额]]*贷款年利率/12,""), "")</f>
        <v>2797.9166666666665</v>
      </c>
      <c r="I116" s="16">
        <f ca="1">IFERROR(IF(贷款未偿还*贷款已清偿,贷款明细[[#This Row],[期初余额]]-贷款明细[[#This Row],[本金]],""), "")</f>
        <v>843750</v>
      </c>
      <c r="J116" s="3"/>
      <c r="K116" s="6"/>
    </row>
    <row r="117" spans="1:11" ht="20.100000000000001" customHeight="1" x14ac:dyDescent="0.25">
      <c r="A117" s="6"/>
      <c r="C117" s="14">
        <f ca="1">IFERROR(IF(贷款未偿还*贷款已清偿,贷款还款期数,""), "")</f>
        <v>106</v>
      </c>
      <c r="D117" s="15">
        <f ca="1">IFERROR(IF(贷款未偿还*贷款已清偿,还款日期,""), "")</f>
        <v>48627</v>
      </c>
      <c r="E117" s="16">
        <f ca="1">IFERROR(IF(贷款未偿还*贷款已清偿,I116,""), "")</f>
        <v>843750</v>
      </c>
      <c r="F117" s="16">
        <f ca="1">IFERROR(IF(贷款未偿还*贷款已清偿,贷款明细[[#This Row],[本金]]+贷款明细[[#This Row],[利息]],""), "")</f>
        <v>9027.34375</v>
      </c>
      <c r="G117" s="16">
        <f ca="1">IFERROR(IF(贷款未偿还*贷款已清偿,贷款金额/贷款分期次数,""), "")</f>
        <v>6250</v>
      </c>
      <c r="H117" s="16">
        <f ca="1">IFERROR(IF(贷款未偿还*贷款已清偿,贷款明细[[#This Row],[期初余额]]*贷款年利率/12,""), "")</f>
        <v>2777.34375</v>
      </c>
      <c r="I117" s="16">
        <f ca="1">IFERROR(IF(贷款未偿还*贷款已清偿,贷款明细[[#This Row],[期初余额]]-贷款明细[[#This Row],[本金]],""), "")</f>
        <v>837500</v>
      </c>
      <c r="J117" s="3"/>
      <c r="K117" s="6"/>
    </row>
    <row r="118" spans="1:11" ht="20.100000000000001" customHeight="1" x14ac:dyDescent="0.25">
      <c r="A118" s="6"/>
      <c r="C118" s="14">
        <f ca="1">IFERROR(IF(贷款未偿还*贷款已清偿,贷款还款期数,""), "")</f>
        <v>107</v>
      </c>
      <c r="D118" s="15">
        <f ca="1">IFERROR(IF(贷款未偿还*贷款已清偿,还款日期,""), "")</f>
        <v>48655</v>
      </c>
      <c r="E118" s="16">
        <f ca="1">IFERROR(IF(贷款未偿还*贷款已清偿,I117,""), "")</f>
        <v>837500</v>
      </c>
      <c r="F118" s="16">
        <f ca="1">IFERROR(IF(贷款未偿还*贷款已清偿,贷款明细[[#This Row],[本金]]+贷款明细[[#This Row],[利息]],""), "")</f>
        <v>9006.7708333333339</v>
      </c>
      <c r="G118" s="16">
        <f ca="1">IFERROR(IF(贷款未偿还*贷款已清偿,贷款金额/贷款分期次数,""), "")</f>
        <v>6250</v>
      </c>
      <c r="H118" s="16">
        <f ca="1">IFERROR(IF(贷款未偿还*贷款已清偿,贷款明细[[#This Row],[期初余额]]*贷款年利率/12,""), "")</f>
        <v>2756.7708333333335</v>
      </c>
      <c r="I118" s="16">
        <f ca="1">IFERROR(IF(贷款未偿还*贷款已清偿,贷款明细[[#This Row],[期初余额]]-贷款明细[[#This Row],[本金]],""), "")</f>
        <v>831250</v>
      </c>
      <c r="J118" s="3"/>
      <c r="K118" s="6"/>
    </row>
    <row r="119" spans="1:11" ht="20.100000000000001" customHeight="1" x14ac:dyDescent="0.25">
      <c r="A119" s="6"/>
      <c r="C119" s="14">
        <f ca="1">IFERROR(IF(贷款未偿还*贷款已清偿,贷款还款期数,""), "")</f>
        <v>108</v>
      </c>
      <c r="D119" s="15">
        <f ca="1">IFERROR(IF(贷款未偿还*贷款已清偿,还款日期,""), "")</f>
        <v>48686</v>
      </c>
      <c r="E119" s="16">
        <f ca="1">IFERROR(IF(贷款未偿还*贷款已清偿,I118,""), "")</f>
        <v>831250</v>
      </c>
      <c r="F119" s="16">
        <f ca="1">IFERROR(IF(贷款未偿还*贷款已清偿,贷款明细[[#This Row],[本金]]+贷款明细[[#This Row],[利息]],""), "")</f>
        <v>8986.1979166666661</v>
      </c>
      <c r="G119" s="16">
        <f ca="1">IFERROR(IF(贷款未偿还*贷款已清偿,贷款金额/贷款分期次数,""), "")</f>
        <v>6250</v>
      </c>
      <c r="H119" s="16">
        <f ca="1">IFERROR(IF(贷款未偿还*贷款已清偿,贷款明细[[#This Row],[期初余额]]*贷款年利率/12,""), "")</f>
        <v>2736.1979166666665</v>
      </c>
      <c r="I119" s="16">
        <f ca="1">IFERROR(IF(贷款未偿还*贷款已清偿,贷款明细[[#This Row],[期初余额]]-贷款明细[[#This Row],[本金]],""), "")</f>
        <v>825000</v>
      </c>
      <c r="J119" s="3"/>
      <c r="K119" s="6"/>
    </row>
    <row r="120" spans="1:11" ht="20.100000000000001" customHeight="1" x14ac:dyDescent="0.25">
      <c r="A120" s="6"/>
      <c r="C120" s="14">
        <f ca="1">IFERROR(IF(贷款未偿还*贷款已清偿,贷款还款期数,""), "")</f>
        <v>109</v>
      </c>
      <c r="D120" s="15">
        <f ca="1">IFERROR(IF(贷款未偿还*贷款已清偿,还款日期,""), "")</f>
        <v>48716</v>
      </c>
      <c r="E120" s="16">
        <f ca="1">IFERROR(IF(贷款未偿还*贷款已清偿,I119,""), "")</f>
        <v>825000</v>
      </c>
      <c r="F120" s="16">
        <f ca="1">IFERROR(IF(贷款未偿还*贷款已清偿,贷款明细[[#This Row],[本金]]+贷款明细[[#This Row],[利息]],""), "")</f>
        <v>8965.625</v>
      </c>
      <c r="G120" s="16">
        <f ca="1">IFERROR(IF(贷款未偿还*贷款已清偿,贷款金额/贷款分期次数,""), "")</f>
        <v>6250</v>
      </c>
      <c r="H120" s="16">
        <f ca="1">IFERROR(IF(贷款未偿还*贷款已清偿,贷款明细[[#This Row],[期初余额]]*贷款年利率/12,""), "")</f>
        <v>2715.625</v>
      </c>
      <c r="I120" s="16">
        <f ca="1">IFERROR(IF(贷款未偿还*贷款已清偿,贷款明细[[#This Row],[期初余额]]-贷款明细[[#This Row],[本金]],""), "")</f>
        <v>818750</v>
      </c>
      <c r="J120" s="3"/>
      <c r="K120" s="6"/>
    </row>
    <row r="121" spans="1:11" ht="20.100000000000001" customHeight="1" x14ac:dyDescent="0.25">
      <c r="A121" s="6"/>
      <c r="C121" s="14">
        <f ca="1">IFERROR(IF(贷款未偿还*贷款已清偿,贷款还款期数,""), "")</f>
        <v>110</v>
      </c>
      <c r="D121" s="15">
        <f ca="1">IFERROR(IF(贷款未偿还*贷款已清偿,还款日期,""), "")</f>
        <v>48747</v>
      </c>
      <c r="E121" s="16">
        <f ca="1">IFERROR(IF(贷款未偿还*贷款已清偿,I120,""), "")</f>
        <v>818750</v>
      </c>
      <c r="F121" s="16">
        <f ca="1">IFERROR(IF(贷款未偿还*贷款已清偿,贷款明细[[#This Row],[本金]]+贷款明细[[#This Row],[利息]],""), "")</f>
        <v>8945.0520833333339</v>
      </c>
      <c r="G121" s="16">
        <f ca="1">IFERROR(IF(贷款未偿还*贷款已清偿,贷款金额/贷款分期次数,""), "")</f>
        <v>6250</v>
      </c>
      <c r="H121" s="16">
        <f ca="1">IFERROR(IF(贷款未偿还*贷款已清偿,贷款明细[[#This Row],[期初余额]]*贷款年利率/12,""), "")</f>
        <v>2695.0520833333335</v>
      </c>
      <c r="I121" s="16">
        <f ca="1">IFERROR(IF(贷款未偿还*贷款已清偿,贷款明细[[#This Row],[期初余额]]-贷款明细[[#This Row],[本金]],""), "")</f>
        <v>812500</v>
      </c>
      <c r="J121" s="3"/>
      <c r="K121" s="6"/>
    </row>
    <row r="122" spans="1:11" ht="20.100000000000001" customHeight="1" x14ac:dyDescent="0.25">
      <c r="A122" s="6"/>
      <c r="C122" s="14">
        <f ca="1">IFERROR(IF(贷款未偿还*贷款已清偿,贷款还款期数,""), "")</f>
        <v>111</v>
      </c>
      <c r="D122" s="15">
        <f ca="1">IFERROR(IF(贷款未偿还*贷款已清偿,还款日期,""), "")</f>
        <v>48777</v>
      </c>
      <c r="E122" s="16">
        <f ca="1">IFERROR(IF(贷款未偿还*贷款已清偿,I121,""), "")</f>
        <v>812500</v>
      </c>
      <c r="F122" s="16">
        <f ca="1">IFERROR(IF(贷款未偿还*贷款已清偿,贷款明细[[#This Row],[本金]]+贷款明细[[#This Row],[利息]],""), "")</f>
        <v>8924.4791666666661</v>
      </c>
      <c r="G122" s="16">
        <f ca="1">IFERROR(IF(贷款未偿还*贷款已清偿,贷款金额/贷款分期次数,""), "")</f>
        <v>6250</v>
      </c>
      <c r="H122" s="16">
        <f ca="1">IFERROR(IF(贷款未偿还*贷款已清偿,贷款明细[[#This Row],[期初余额]]*贷款年利率/12,""), "")</f>
        <v>2674.4791666666665</v>
      </c>
      <c r="I122" s="16">
        <f ca="1">IFERROR(IF(贷款未偿还*贷款已清偿,贷款明细[[#This Row],[期初余额]]-贷款明细[[#This Row],[本金]],""), "")</f>
        <v>806250</v>
      </c>
      <c r="J122" s="3"/>
      <c r="K122" s="6"/>
    </row>
    <row r="123" spans="1:11" ht="20.100000000000001" customHeight="1" x14ac:dyDescent="0.25">
      <c r="A123" s="6"/>
      <c r="C123" s="14">
        <f ca="1">IFERROR(IF(贷款未偿还*贷款已清偿,贷款还款期数,""), "")</f>
        <v>112</v>
      </c>
      <c r="D123" s="15">
        <f ca="1">IFERROR(IF(贷款未偿还*贷款已清偿,还款日期,""), "")</f>
        <v>48808</v>
      </c>
      <c r="E123" s="16">
        <f ca="1">IFERROR(IF(贷款未偿还*贷款已清偿,I122,""), "")</f>
        <v>806250</v>
      </c>
      <c r="F123" s="16">
        <f ca="1">IFERROR(IF(贷款未偿还*贷款已清偿,贷款明细[[#This Row],[本金]]+贷款明细[[#This Row],[利息]],""), "")</f>
        <v>8903.90625</v>
      </c>
      <c r="G123" s="16">
        <f ca="1">IFERROR(IF(贷款未偿还*贷款已清偿,贷款金额/贷款分期次数,""), "")</f>
        <v>6250</v>
      </c>
      <c r="H123" s="16">
        <f ca="1">IFERROR(IF(贷款未偿还*贷款已清偿,贷款明细[[#This Row],[期初余额]]*贷款年利率/12,""), "")</f>
        <v>2653.90625</v>
      </c>
      <c r="I123" s="16">
        <f ca="1">IFERROR(IF(贷款未偿还*贷款已清偿,贷款明细[[#This Row],[期初余额]]-贷款明细[[#This Row],[本金]],""), "")</f>
        <v>800000</v>
      </c>
      <c r="J123" s="3"/>
      <c r="K123" s="6"/>
    </row>
    <row r="124" spans="1:11" ht="20.100000000000001" customHeight="1" x14ac:dyDescent="0.25">
      <c r="A124" s="6"/>
      <c r="C124" s="14">
        <f ca="1">IFERROR(IF(贷款未偿还*贷款已清偿,贷款还款期数,""), "")</f>
        <v>113</v>
      </c>
      <c r="D124" s="15">
        <f ca="1">IFERROR(IF(贷款未偿还*贷款已清偿,还款日期,""), "")</f>
        <v>48839</v>
      </c>
      <c r="E124" s="16">
        <f ca="1">IFERROR(IF(贷款未偿还*贷款已清偿,I123,""), "")</f>
        <v>800000</v>
      </c>
      <c r="F124" s="16">
        <f ca="1">IFERROR(IF(贷款未偿还*贷款已清偿,贷款明细[[#This Row],[本金]]+贷款明细[[#This Row],[利息]],""), "")</f>
        <v>8883.3333333333339</v>
      </c>
      <c r="G124" s="16">
        <f ca="1">IFERROR(IF(贷款未偿还*贷款已清偿,贷款金额/贷款分期次数,""), "")</f>
        <v>6250</v>
      </c>
      <c r="H124" s="16">
        <f ca="1">IFERROR(IF(贷款未偿还*贷款已清偿,贷款明细[[#This Row],[期初余额]]*贷款年利率/12,""), "")</f>
        <v>2633.3333333333335</v>
      </c>
      <c r="I124" s="16">
        <f ca="1">IFERROR(IF(贷款未偿还*贷款已清偿,贷款明细[[#This Row],[期初余额]]-贷款明细[[#This Row],[本金]],""), "")</f>
        <v>793750</v>
      </c>
      <c r="J124" s="3"/>
      <c r="K124" s="6"/>
    </row>
    <row r="125" spans="1:11" ht="20.100000000000001" customHeight="1" x14ac:dyDescent="0.25">
      <c r="A125" s="6"/>
      <c r="C125" s="14">
        <f ca="1">IFERROR(IF(贷款未偿还*贷款已清偿,贷款还款期数,""), "")</f>
        <v>114</v>
      </c>
      <c r="D125" s="15">
        <f ca="1">IFERROR(IF(贷款未偿还*贷款已清偿,还款日期,""), "")</f>
        <v>48869</v>
      </c>
      <c r="E125" s="16">
        <f ca="1">IFERROR(IF(贷款未偿还*贷款已清偿,I124,""), "")</f>
        <v>793750</v>
      </c>
      <c r="F125" s="16">
        <f ca="1">IFERROR(IF(贷款未偿还*贷款已清偿,贷款明细[[#This Row],[本金]]+贷款明细[[#This Row],[利息]],""), "")</f>
        <v>8862.7604166666661</v>
      </c>
      <c r="G125" s="16">
        <f ca="1">IFERROR(IF(贷款未偿还*贷款已清偿,贷款金额/贷款分期次数,""), "")</f>
        <v>6250</v>
      </c>
      <c r="H125" s="16">
        <f ca="1">IFERROR(IF(贷款未偿还*贷款已清偿,贷款明细[[#This Row],[期初余额]]*贷款年利率/12,""), "")</f>
        <v>2612.7604166666665</v>
      </c>
      <c r="I125" s="16">
        <f ca="1">IFERROR(IF(贷款未偿还*贷款已清偿,贷款明细[[#This Row],[期初余额]]-贷款明细[[#This Row],[本金]],""), "")</f>
        <v>787500</v>
      </c>
      <c r="J125" s="3"/>
      <c r="K125" s="6"/>
    </row>
    <row r="126" spans="1:11" ht="20.100000000000001" customHeight="1" x14ac:dyDescent="0.25">
      <c r="A126" s="6"/>
      <c r="C126" s="14">
        <f ca="1">IFERROR(IF(贷款未偿还*贷款已清偿,贷款还款期数,""), "")</f>
        <v>115</v>
      </c>
      <c r="D126" s="15">
        <f ca="1">IFERROR(IF(贷款未偿还*贷款已清偿,还款日期,""), "")</f>
        <v>48900</v>
      </c>
      <c r="E126" s="16">
        <f ca="1">IFERROR(IF(贷款未偿还*贷款已清偿,I125,""), "")</f>
        <v>787500</v>
      </c>
      <c r="F126" s="16">
        <f ca="1">IFERROR(IF(贷款未偿还*贷款已清偿,贷款明细[[#This Row],[本金]]+贷款明细[[#This Row],[利息]],""), "")</f>
        <v>8842.1875</v>
      </c>
      <c r="G126" s="16">
        <f ca="1">IFERROR(IF(贷款未偿还*贷款已清偿,贷款金额/贷款分期次数,""), "")</f>
        <v>6250</v>
      </c>
      <c r="H126" s="16">
        <f ca="1">IFERROR(IF(贷款未偿还*贷款已清偿,贷款明细[[#This Row],[期初余额]]*贷款年利率/12,""), "")</f>
        <v>2592.1875</v>
      </c>
      <c r="I126" s="16">
        <f ca="1">IFERROR(IF(贷款未偿还*贷款已清偿,贷款明细[[#This Row],[期初余额]]-贷款明细[[#This Row],[本金]],""), "")</f>
        <v>781250</v>
      </c>
      <c r="J126" s="3"/>
      <c r="K126" s="6"/>
    </row>
    <row r="127" spans="1:11" ht="20.100000000000001" customHeight="1" x14ac:dyDescent="0.25">
      <c r="A127" s="6"/>
      <c r="C127" s="14">
        <f ca="1">IFERROR(IF(贷款未偿还*贷款已清偿,贷款还款期数,""), "")</f>
        <v>116</v>
      </c>
      <c r="D127" s="15">
        <f ca="1">IFERROR(IF(贷款未偿还*贷款已清偿,还款日期,""), "")</f>
        <v>48930</v>
      </c>
      <c r="E127" s="16">
        <f ca="1">IFERROR(IF(贷款未偿还*贷款已清偿,I126,""), "")</f>
        <v>781250</v>
      </c>
      <c r="F127" s="16">
        <f ca="1">IFERROR(IF(贷款未偿还*贷款已清偿,贷款明细[[#This Row],[本金]]+贷款明细[[#This Row],[利息]],""), "")</f>
        <v>8821.6145833333339</v>
      </c>
      <c r="G127" s="16">
        <f ca="1">IFERROR(IF(贷款未偿还*贷款已清偿,贷款金额/贷款分期次数,""), "")</f>
        <v>6250</v>
      </c>
      <c r="H127" s="16">
        <f ca="1">IFERROR(IF(贷款未偿还*贷款已清偿,贷款明细[[#This Row],[期初余额]]*贷款年利率/12,""), "")</f>
        <v>2571.6145833333335</v>
      </c>
      <c r="I127" s="16">
        <f ca="1">IFERROR(IF(贷款未偿还*贷款已清偿,贷款明细[[#This Row],[期初余额]]-贷款明细[[#This Row],[本金]],""), "")</f>
        <v>775000</v>
      </c>
      <c r="J127" s="3"/>
      <c r="K127" s="6"/>
    </row>
    <row r="128" spans="1:11" ht="20.100000000000001" customHeight="1" x14ac:dyDescent="0.25">
      <c r="A128" s="6"/>
      <c r="C128" s="14">
        <f ca="1">IFERROR(IF(贷款未偿还*贷款已清偿,贷款还款期数,""), "")</f>
        <v>117</v>
      </c>
      <c r="D128" s="15">
        <f ca="1">IFERROR(IF(贷款未偿还*贷款已清偿,还款日期,""), "")</f>
        <v>48961</v>
      </c>
      <c r="E128" s="16">
        <f ca="1">IFERROR(IF(贷款未偿还*贷款已清偿,I127,""), "")</f>
        <v>775000</v>
      </c>
      <c r="F128" s="16">
        <f ca="1">IFERROR(IF(贷款未偿还*贷款已清偿,贷款明细[[#This Row],[本金]]+贷款明细[[#This Row],[利息]],""), "")</f>
        <v>8801.0416666666661</v>
      </c>
      <c r="G128" s="16">
        <f ca="1">IFERROR(IF(贷款未偿还*贷款已清偿,贷款金额/贷款分期次数,""), "")</f>
        <v>6250</v>
      </c>
      <c r="H128" s="16">
        <f ca="1">IFERROR(IF(贷款未偿还*贷款已清偿,贷款明细[[#This Row],[期初余额]]*贷款年利率/12,""), "")</f>
        <v>2551.0416666666665</v>
      </c>
      <c r="I128" s="16">
        <f ca="1">IFERROR(IF(贷款未偿还*贷款已清偿,贷款明细[[#This Row],[期初余额]]-贷款明细[[#This Row],[本金]],""), "")</f>
        <v>768750</v>
      </c>
      <c r="J128" s="3"/>
      <c r="K128" s="6"/>
    </row>
    <row r="129" spans="1:11" ht="20.100000000000001" customHeight="1" x14ac:dyDescent="0.25">
      <c r="A129" s="6"/>
      <c r="C129" s="14">
        <f ca="1">IFERROR(IF(贷款未偿还*贷款已清偿,贷款还款期数,""), "")</f>
        <v>118</v>
      </c>
      <c r="D129" s="15">
        <f ca="1">IFERROR(IF(贷款未偿还*贷款已清偿,还款日期,""), "")</f>
        <v>48992</v>
      </c>
      <c r="E129" s="16">
        <f ca="1">IFERROR(IF(贷款未偿还*贷款已清偿,I128,""), "")</f>
        <v>768750</v>
      </c>
      <c r="F129" s="16">
        <f ca="1">IFERROR(IF(贷款未偿还*贷款已清偿,贷款明细[[#This Row],[本金]]+贷款明细[[#This Row],[利息]],""), "")</f>
        <v>8780.46875</v>
      </c>
      <c r="G129" s="16">
        <f ca="1">IFERROR(IF(贷款未偿还*贷款已清偿,贷款金额/贷款分期次数,""), "")</f>
        <v>6250</v>
      </c>
      <c r="H129" s="16">
        <f ca="1">IFERROR(IF(贷款未偿还*贷款已清偿,贷款明细[[#This Row],[期初余额]]*贷款年利率/12,""), "")</f>
        <v>2530.46875</v>
      </c>
      <c r="I129" s="16">
        <f ca="1">IFERROR(IF(贷款未偿还*贷款已清偿,贷款明细[[#This Row],[期初余额]]-贷款明细[[#This Row],[本金]],""), "")</f>
        <v>762500</v>
      </c>
      <c r="J129" s="3"/>
      <c r="K129" s="6"/>
    </row>
    <row r="130" spans="1:11" ht="20.100000000000001" customHeight="1" x14ac:dyDescent="0.25">
      <c r="A130" s="6"/>
      <c r="C130" s="14">
        <f ca="1">IFERROR(IF(贷款未偿还*贷款已清偿,贷款还款期数,""), "")</f>
        <v>119</v>
      </c>
      <c r="D130" s="15">
        <f ca="1">IFERROR(IF(贷款未偿还*贷款已清偿,还款日期,""), "")</f>
        <v>49020</v>
      </c>
      <c r="E130" s="16">
        <f ca="1">IFERROR(IF(贷款未偿还*贷款已清偿,I129,""), "")</f>
        <v>762500</v>
      </c>
      <c r="F130" s="16">
        <f ca="1">IFERROR(IF(贷款未偿还*贷款已清偿,贷款明细[[#This Row],[本金]]+贷款明细[[#This Row],[利息]],""), "")</f>
        <v>8759.8958333333339</v>
      </c>
      <c r="G130" s="16">
        <f ca="1">IFERROR(IF(贷款未偿还*贷款已清偿,贷款金额/贷款分期次数,""), "")</f>
        <v>6250</v>
      </c>
      <c r="H130" s="16">
        <f ca="1">IFERROR(IF(贷款未偿还*贷款已清偿,贷款明细[[#This Row],[期初余额]]*贷款年利率/12,""), "")</f>
        <v>2509.8958333333335</v>
      </c>
      <c r="I130" s="16">
        <f ca="1">IFERROR(IF(贷款未偿还*贷款已清偿,贷款明细[[#This Row],[期初余额]]-贷款明细[[#This Row],[本金]],""), "")</f>
        <v>756250</v>
      </c>
      <c r="J130" s="3"/>
      <c r="K130" s="6"/>
    </row>
    <row r="131" spans="1:11" ht="20.100000000000001" customHeight="1" x14ac:dyDescent="0.25">
      <c r="A131" s="6"/>
      <c r="C131" s="14">
        <f ca="1">IFERROR(IF(贷款未偿还*贷款已清偿,贷款还款期数,""), "")</f>
        <v>120</v>
      </c>
      <c r="D131" s="15">
        <f ca="1">IFERROR(IF(贷款未偿还*贷款已清偿,还款日期,""), "")</f>
        <v>49051</v>
      </c>
      <c r="E131" s="16">
        <f ca="1">IFERROR(IF(贷款未偿还*贷款已清偿,I130,""), "")</f>
        <v>756250</v>
      </c>
      <c r="F131" s="16">
        <f ca="1">IFERROR(IF(贷款未偿还*贷款已清偿,贷款明细[[#This Row],[本金]]+贷款明细[[#This Row],[利息]],""), "")</f>
        <v>8739.3229166666661</v>
      </c>
      <c r="G131" s="16">
        <f ca="1">IFERROR(IF(贷款未偿还*贷款已清偿,贷款金额/贷款分期次数,""), "")</f>
        <v>6250</v>
      </c>
      <c r="H131" s="16">
        <f ca="1">IFERROR(IF(贷款未偿还*贷款已清偿,贷款明细[[#This Row],[期初余额]]*贷款年利率/12,""), "")</f>
        <v>2489.3229166666665</v>
      </c>
      <c r="I131" s="16">
        <f ca="1">IFERROR(IF(贷款未偿还*贷款已清偿,贷款明细[[#This Row],[期初余额]]-贷款明细[[#This Row],[本金]],""), "")</f>
        <v>750000</v>
      </c>
      <c r="J131" s="3"/>
      <c r="K131" s="6"/>
    </row>
    <row r="132" spans="1:11" ht="20.100000000000001" customHeight="1" x14ac:dyDescent="0.25">
      <c r="A132" s="6"/>
      <c r="C132" s="14">
        <f ca="1">IFERROR(IF(贷款未偿还*贷款已清偿,贷款还款期数,""), "")</f>
        <v>121</v>
      </c>
      <c r="D132" s="15">
        <f ca="1">IFERROR(IF(贷款未偿还*贷款已清偿,还款日期,""), "")</f>
        <v>49081</v>
      </c>
      <c r="E132" s="16">
        <f ca="1">IFERROR(IF(贷款未偿还*贷款已清偿,I131,""), "")</f>
        <v>750000</v>
      </c>
      <c r="F132" s="16">
        <f ca="1">IFERROR(IF(贷款未偿还*贷款已清偿,贷款明细[[#This Row],[本金]]+贷款明细[[#This Row],[利息]],""), "")</f>
        <v>8718.75</v>
      </c>
      <c r="G132" s="16">
        <f ca="1">IFERROR(IF(贷款未偿还*贷款已清偿,贷款金额/贷款分期次数,""), "")</f>
        <v>6250</v>
      </c>
      <c r="H132" s="16">
        <f ca="1">IFERROR(IF(贷款未偿还*贷款已清偿,贷款明细[[#This Row],[期初余额]]*贷款年利率/12,""), "")</f>
        <v>2468.75</v>
      </c>
      <c r="I132" s="16">
        <f ca="1">IFERROR(IF(贷款未偿还*贷款已清偿,贷款明细[[#This Row],[期初余额]]-贷款明细[[#This Row],[本金]],""), "")</f>
        <v>743750</v>
      </c>
      <c r="J132" s="3"/>
      <c r="K132" s="6"/>
    </row>
    <row r="133" spans="1:11" ht="20.100000000000001" customHeight="1" x14ac:dyDescent="0.25">
      <c r="A133" s="6"/>
      <c r="C133" s="14">
        <f ca="1">IFERROR(IF(贷款未偿还*贷款已清偿,贷款还款期数,""), "")</f>
        <v>122</v>
      </c>
      <c r="D133" s="15">
        <f ca="1">IFERROR(IF(贷款未偿还*贷款已清偿,还款日期,""), "")</f>
        <v>49112</v>
      </c>
      <c r="E133" s="16">
        <f ca="1">IFERROR(IF(贷款未偿还*贷款已清偿,I132,""), "")</f>
        <v>743750</v>
      </c>
      <c r="F133" s="16">
        <f ca="1">IFERROR(IF(贷款未偿还*贷款已清偿,贷款明细[[#This Row],[本金]]+贷款明细[[#This Row],[利息]],""), "")</f>
        <v>8698.1770833333339</v>
      </c>
      <c r="G133" s="16">
        <f ca="1">IFERROR(IF(贷款未偿还*贷款已清偿,贷款金额/贷款分期次数,""), "")</f>
        <v>6250</v>
      </c>
      <c r="H133" s="16">
        <f ca="1">IFERROR(IF(贷款未偿还*贷款已清偿,贷款明细[[#This Row],[期初余额]]*贷款年利率/12,""), "")</f>
        <v>2448.1770833333335</v>
      </c>
      <c r="I133" s="16">
        <f ca="1">IFERROR(IF(贷款未偿还*贷款已清偿,贷款明细[[#This Row],[期初余额]]-贷款明细[[#This Row],[本金]],""), "")</f>
        <v>737500</v>
      </c>
      <c r="J133" s="3"/>
      <c r="K133" s="6"/>
    </row>
    <row r="134" spans="1:11" ht="20.100000000000001" customHeight="1" x14ac:dyDescent="0.25">
      <c r="A134" s="6"/>
      <c r="C134" s="14">
        <f ca="1">IFERROR(IF(贷款未偿还*贷款已清偿,贷款还款期数,""), "")</f>
        <v>123</v>
      </c>
      <c r="D134" s="15">
        <f ca="1">IFERROR(IF(贷款未偿还*贷款已清偿,还款日期,""), "")</f>
        <v>49142</v>
      </c>
      <c r="E134" s="16">
        <f ca="1">IFERROR(IF(贷款未偿还*贷款已清偿,I133,""), "")</f>
        <v>737500</v>
      </c>
      <c r="F134" s="16">
        <f ca="1">IFERROR(IF(贷款未偿还*贷款已清偿,贷款明细[[#This Row],[本金]]+贷款明细[[#This Row],[利息]],""), "")</f>
        <v>8677.6041666666661</v>
      </c>
      <c r="G134" s="16">
        <f ca="1">IFERROR(IF(贷款未偿还*贷款已清偿,贷款金额/贷款分期次数,""), "")</f>
        <v>6250</v>
      </c>
      <c r="H134" s="16">
        <f ca="1">IFERROR(IF(贷款未偿还*贷款已清偿,贷款明细[[#This Row],[期初余额]]*贷款年利率/12,""), "")</f>
        <v>2427.6041666666665</v>
      </c>
      <c r="I134" s="16">
        <f ca="1">IFERROR(IF(贷款未偿还*贷款已清偿,贷款明细[[#This Row],[期初余额]]-贷款明细[[#This Row],[本金]],""), "")</f>
        <v>731250</v>
      </c>
      <c r="J134" s="3"/>
      <c r="K134" s="6"/>
    </row>
    <row r="135" spans="1:11" ht="20.100000000000001" customHeight="1" x14ac:dyDescent="0.25">
      <c r="A135" s="6"/>
      <c r="C135" s="14">
        <f ca="1">IFERROR(IF(贷款未偿还*贷款已清偿,贷款还款期数,""), "")</f>
        <v>124</v>
      </c>
      <c r="D135" s="15">
        <f ca="1">IFERROR(IF(贷款未偿还*贷款已清偿,还款日期,""), "")</f>
        <v>49173</v>
      </c>
      <c r="E135" s="16">
        <f ca="1">IFERROR(IF(贷款未偿还*贷款已清偿,I134,""), "")</f>
        <v>731250</v>
      </c>
      <c r="F135" s="16">
        <f ca="1">IFERROR(IF(贷款未偿还*贷款已清偿,贷款明细[[#This Row],[本金]]+贷款明细[[#This Row],[利息]],""), "")</f>
        <v>8657.03125</v>
      </c>
      <c r="G135" s="16">
        <f ca="1">IFERROR(IF(贷款未偿还*贷款已清偿,贷款金额/贷款分期次数,""), "")</f>
        <v>6250</v>
      </c>
      <c r="H135" s="16">
        <f ca="1">IFERROR(IF(贷款未偿还*贷款已清偿,贷款明细[[#This Row],[期初余额]]*贷款年利率/12,""), "")</f>
        <v>2407.03125</v>
      </c>
      <c r="I135" s="16">
        <f ca="1">IFERROR(IF(贷款未偿还*贷款已清偿,贷款明细[[#This Row],[期初余额]]-贷款明细[[#This Row],[本金]],""), "")</f>
        <v>725000</v>
      </c>
      <c r="J135" s="3"/>
      <c r="K135" s="6"/>
    </row>
    <row r="136" spans="1:11" ht="20.100000000000001" customHeight="1" x14ac:dyDescent="0.25">
      <c r="A136" s="6"/>
      <c r="C136" s="14">
        <f ca="1">IFERROR(IF(贷款未偿还*贷款已清偿,贷款还款期数,""), "")</f>
        <v>125</v>
      </c>
      <c r="D136" s="15">
        <f ca="1">IFERROR(IF(贷款未偿还*贷款已清偿,还款日期,""), "")</f>
        <v>49204</v>
      </c>
      <c r="E136" s="16">
        <f ca="1">IFERROR(IF(贷款未偿还*贷款已清偿,I135,""), "")</f>
        <v>725000</v>
      </c>
      <c r="F136" s="16">
        <f ca="1">IFERROR(IF(贷款未偿还*贷款已清偿,贷款明细[[#This Row],[本金]]+贷款明细[[#This Row],[利息]],""), "")</f>
        <v>8636.4583333333339</v>
      </c>
      <c r="G136" s="16">
        <f ca="1">IFERROR(IF(贷款未偿还*贷款已清偿,贷款金额/贷款分期次数,""), "")</f>
        <v>6250</v>
      </c>
      <c r="H136" s="16">
        <f ca="1">IFERROR(IF(贷款未偿还*贷款已清偿,贷款明细[[#This Row],[期初余额]]*贷款年利率/12,""), "")</f>
        <v>2386.4583333333335</v>
      </c>
      <c r="I136" s="16">
        <f ca="1">IFERROR(IF(贷款未偿还*贷款已清偿,贷款明细[[#This Row],[期初余额]]-贷款明细[[#This Row],[本金]],""), "")</f>
        <v>718750</v>
      </c>
      <c r="J136" s="3"/>
      <c r="K136" s="6"/>
    </row>
    <row r="137" spans="1:11" ht="20.100000000000001" customHeight="1" x14ac:dyDescent="0.25">
      <c r="A137" s="6"/>
      <c r="C137" s="14">
        <f ca="1">IFERROR(IF(贷款未偿还*贷款已清偿,贷款还款期数,""), "")</f>
        <v>126</v>
      </c>
      <c r="D137" s="15">
        <f ca="1">IFERROR(IF(贷款未偿还*贷款已清偿,还款日期,""), "")</f>
        <v>49234</v>
      </c>
      <c r="E137" s="16">
        <f ca="1">IFERROR(IF(贷款未偿还*贷款已清偿,I136,""), "")</f>
        <v>718750</v>
      </c>
      <c r="F137" s="16">
        <f ca="1">IFERROR(IF(贷款未偿还*贷款已清偿,贷款明细[[#This Row],[本金]]+贷款明细[[#This Row],[利息]],""), "")</f>
        <v>8615.8854166666661</v>
      </c>
      <c r="G137" s="16">
        <f ca="1">IFERROR(IF(贷款未偿还*贷款已清偿,贷款金额/贷款分期次数,""), "")</f>
        <v>6250</v>
      </c>
      <c r="H137" s="16">
        <f ca="1">IFERROR(IF(贷款未偿还*贷款已清偿,贷款明细[[#This Row],[期初余额]]*贷款年利率/12,""), "")</f>
        <v>2365.8854166666665</v>
      </c>
      <c r="I137" s="16">
        <f ca="1">IFERROR(IF(贷款未偿还*贷款已清偿,贷款明细[[#This Row],[期初余额]]-贷款明细[[#This Row],[本金]],""), "")</f>
        <v>712500</v>
      </c>
      <c r="J137" s="3"/>
      <c r="K137" s="6"/>
    </row>
    <row r="138" spans="1:11" ht="20.100000000000001" customHeight="1" x14ac:dyDescent="0.25">
      <c r="A138" s="6"/>
      <c r="C138" s="14">
        <f ca="1">IFERROR(IF(贷款未偿还*贷款已清偿,贷款还款期数,""), "")</f>
        <v>127</v>
      </c>
      <c r="D138" s="15">
        <f ca="1">IFERROR(IF(贷款未偿还*贷款已清偿,还款日期,""), "")</f>
        <v>49265</v>
      </c>
      <c r="E138" s="16">
        <f ca="1">IFERROR(IF(贷款未偿还*贷款已清偿,I137,""), "")</f>
        <v>712500</v>
      </c>
      <c r="F138" s="16">
        <f ca="1">IFERROR(IF(贷款未偿还*贷款已清偿,贷款明细[[#This Row],[本金]]+贷款明细[[#This Row],[利息]],""), "")</f>
        <v>8595.3125</v>
      </c>
      <c r="G138" s="16">
        <f ca="1">IFERROR(IF(贷款未偿还*贷款已清偿,贷款金额/贷款分期次数,""), "")</f>
        <v>6250</v>
      </c>
      <c r="H138" s="16">
        <f ca="1">IFERROR(IF(贷款未偿还*贷款已清偿,贷款明细[[#This Row],[期初余额]]*贷款年利率/12,""), "")</f>
        <v>2345.3125</v>
      </c>
      <c r="I138" s="16">
        <f ca="1">IFERROR(IF(贷款未偿还*贷款已清偿,贷款明细[[#This Row],[期初余额]]-贷款明细[[#This Row],[本金]],""), "")</f>
        <v>706250</v>
      </c>
      <c r="J138" s="3"/>
      <c r="K138" s="6"/>
    </row>
    <row r="139" spans="1:11" ht="20.100000000000001" customHeight="1" x14ac:dyDescent="0.25">
      <c r="A139" s="6"/>
      <c r="C139" s="14">
        <f ca="1">IFERROR(IF(贷款未偿还*贷款已清偿,贷款还款期数,""), "")</f>
        <v>128</v>
      </c>
      <c r="D139" s="15">
        <f ca="1">IFERROR(IF(贷款未偿还*贷款已清偿,还款日期,""), "")</f>
        <v>49295</v>
      </c>
      <c r="E139" s="16">
        <f ca="1">IFERROR(IF(贷款未偿还*贷款已清偿,I138,""), "")</f>
        <v>706250</v>
      </c>
      <c r="F139" s="16">
        <f ca="1">IFERROR(IF(贷款未偿还*贷款已清偿,贷款明细[[#This Row],[本金]]+贷款明细[[#This Row],[利息]],""), "")</f>
        <v>8574.7395833333339</v>
      </c>
      <c r="G139" s="16">
        <f ca="1">IFERROR(IF(贷款未偿还*贷款已清偿,贷款金额/贷款分期次数,""), "")</f>
        <v>6250</v>
      </c>
      <c r="H139" s="16">
        <f ca="1">IFERROR(IF(贷款未偿还*贷款已清偿,贷款明细[[#This Row],[期初余额]]*贷款年利率/12,""), "")</f>
        <v>2324.7395833333335</v>
      </c>
      <c r="I139" s="16">
        <f ca="1">IFERROR(IF(贷款未偿还*贷款已清偿,贷款明细[[#This Row],[期初余额]]-贷款明细[[#This Row],[本金]],""), "")</f>
        <v>700000</v>
      </c>
      <c r="J139" s="3"/>
      <c r="K139" s="6"/>
    </row>
    <row r="140" spans="1:11" ht="20.100000000000001" customHeight="1" x14ac:dyDescent="0.25">
      <c r="A140" s="6"/>
      <c r="C140" s="14">
        <f ca="1">IFERROR(IF(贷款未偿还*贷款已清偿,贷款还款期数,""), "")</f>
        <v>129</v>
      </c>
      <c r="D140" s="15">
        <f ca="1">IFERROR(IF(贷款未偿还*贷款已清偿,还款日期,""), "")</f>
        <v>49326</v>
      </c>
      <c r="E140" s="16">
        <f ca="1">IFERROR(IF(贷款未偿还*贷款已清偿,I139,""), "")</f>
        <v>700000</v>
      </c>
      <c r="F140" s="16">
        <f ca="1">IFERROR(IF(贷款未偿还*贷款已清偿,贷款明细[[#This Row],[本金]]+贷款明细[[#This Row],[利息]],""), "")</f>
        <v>8554.1666666666661</v>
      </c>
      <c r="G140" s="16">
        <f ca="1">IFERROR(IF(贷款未偿还*贷款已清偿,贷款金额/贷款分期次数,""), "")</f>
        <v>6250</v>
      </c>
      <c r="H140" s="16">
        <f ca="1">IFERROR(IF(贷款未偿还*贷款已清偿,贷款明细[[#This Row],[期初余额]]*贷款年利率/12,""), "")</f>
        <v>2304.1666666666665</v>
      </c>
      <c r="I140" s="16">
        <f ca="1">IFERROR(IF(贷款未偿还*贷款已清偿,贷款明细[[#This Row],[期初余额]]-贷款明细[[#This Row],[本金]],""), "")</f>
        <v>693750</v>
      </c>
      <c r="J140" s="3"/>
      <c r="K140" s="6"/>
    </row>
    <row r="141" spans="1:11" ht="20.100000000000001" customHeight="1" x14ac:dyDescent="0.25">
      <c r="A141" s="6"/>
      <c r="C141" s="14">
        <f ca="1">IFERROR(IF(贷款未偿还*贷款已清偿,贷款还款期数,""), "")</f>
        <v>130</v>
      </c>
      <c r="D141" s="15">
        <f ca="1">IFERROR(IF(贷款未偿还*贷款已清偿,还款日期,""), "")</f>
        <v>49357</v>
      </c>
      <c r="E141" s="16">
        <f ca="1">IFERROR(IF(贷款未偿还*贷款已清偿,I140,""), "")</f>
        <v>693750</v>
      </c>
      <c r="F141" s="16">
        <f ca="1">IFERROR(IF(贷款未偿还*贷款已清偿,贷款明细[[#This Row],[本金]]+贷款明细[[#This Row],[利息]],""), "")</f>
        <v>8533.59375</v>
      </c>
      <c r="G141" s="16">
        <f ca="1">IFERROR(IF(贷款未偿还*贷款已清偿,贷款金额/贷款分期次数,""), "")</f>
        <v>6250</v>
      </c>
      <c r="H141" s="16">
        <f ca="1">IFERROR(IF(贷款未偿还*贷款已清偿,贷款明细[[#This Row],[期初余额]]*贷款年利率/12,""), "")</f>
        <v>2283.59375</v>
      </c>
      <c r="I141" s="16">
        <f ca="1">IFERROR(IF(贷款未偿还*贷款已清偿,贷款明细[[#This Row],[期初余额]]-贷款明细[[#This Row],[本金]],""), "")</f>
        <v>687500</v>
      </c>
      <c r="J141" s="3"/>
      <c r="K141" s="6"/>
    </row>
    <row r="142" spans="1:11" ht="20.100000000000001" customHeight="1" x14ac:dyDescent="0.25">
      <c r="A142" s="6"/>
      <c r="C142" s="14">
        <f ca="1">IFERROR(IF(贷款未偿还*贷款已清偿,贷款还款期数,""), "")</f>
        <v>131</v>
      </c>
      <c r="D142" s="15">
        <f ca="1">IFERROR(IF(贷款未偿还*贷款已清偿,还款日期,""), "")</f>
        <v>49385</v>
      </c>
      <c r="E142" s="16">
        <f ca="1">IFERROR(IF(贷款未偿还*贷款已清偿,I141,""), "")</f>
        <v>687500</v>
      </c>
      <c r="F142" s="16">
        <f ca="1">IFERROR(IF(贷款未偿还*贷款已清偿,贷款明细[[#This Row],[本金]]+贷款明细[[#This Row],[利息]],""), "")</f>
        <v>8513.0208333333339</v>
      </c>
      <c r="G142" s="16">
        <f ca="1">IFERROR(IF(贷款未偿还*贷款已清偿,贷款金额/贷款分期次数,""), "")</f>
        <v>6250</v>
      </c>
      <c r="H142" s="16">
        <f ca="1">IFERROR(IF(贷款未偿还*贷款已清偿,贷款明细[[#This Row],[期初余额]]*贷款年利率/12,""), "")</f>
        <v>2263.0208333333335</v>
      </c>
      <c r="I142" s="16">
        <f ca="1">IFERROR(IF(贷款未偿还*贷款已清偿,贷款明细[[#This Row],[期初余额]]-贷款明细[[#This Row],[本金]],""), "")</f>
        <v>681250</v>
      </c>
      <c r="J142" s="3"/>
      <c r="K142" s="6"/>
    </row>
    <row r="143" spans="1:11" ht="20.100000000000001" customHeight="1" x14ac:dyDescent="0.25">
      <c r="A143" s="6"/>
      <c r="C143" s="14">
        <f ca="1">IFERROR(IF(贷款未偿还*贷款已清偿,贷款还款期数,""), "")</f>
        <v>132</v>
      </c>
      <c r="D143" s="15">
        <f ca="1">IFERROR(IF(贷款未偿还*贷款已清偿,还款日期,""), "")</f>
        <v>49416</v>
      </c>
      <c r="E143" s="16">
        <f ca="1">IFERROR(IF(贷款未偿还*贷款已清偿,I142,""), "")</f>
        <v>681250</v>
      </c>
      <c r="F143" s="16">
        <f ca="1">IFERROR(IF(贷款未偿还*贷款已清偿,贷款明细[[#This Row],[本金]]+贷款明细[[#This Row],[利息]],""), "")</f>
        <v>8492.4479166666661</v>
      </c>
      <c r="G143" s="16">
        <f ca="1">IFERROR(IF(贷款未偿还*贷款已清偿,贷款金额/贷款分期次数,""), "")</f>
        <v>6250</v>
      </c>
      <c r="H143" s="16">
        <f ca="1">IFERROR(IF(贷款未偿还*贷款已清偿,贷款明细[[#This Row],[期初余额]]*贷款年利率/12,""), "")</f>
        <v>2242.4479166666665</v>
      </c>
      <c r="I143" s="16">
        <f ca="1">IFERROR(IF(贷款未偿还*贷款已清偿,贷款明细[[#This Row],[期初余额]]-贷款明细[[#This Row],[本金]],""), "")</f>
        <v>675000</v>
      </c>
      <c r="J143" s="3"/>
      <c r="K143" s="6"/>
    </row>
    <row r="144" spans="1:11" ht="20.100000000000001" customHeight="1" x14ac:dyDescent="0.25">
      <c r="A144" s="6"/>
      <c r="C144" s="14">
        <f ca="1">IFERROR(IF(贷款未偿还*贷款已清偿,贷款还款期数,""), "")</f>
        <v>133</v>
      </c>
      <c r="D144" s="15">
        <f ca="1">IFERROR(IF(贷款未偿还*贷款已清偿,还款日期,""), "")</f>
        <v>49446</v>
      </c>
      <c r="E144" s="16">
        <f ca="1">IFERROR(IF(贷款未偿还*贷款已清偿,I143,""), "")</f>
        <v>675000</v>
      </c>
      <c r="F144" s="16">
        <f ca="1">IFERROR(IF(贷款未偿还*贷款已清偿,贷款明细[[#This Row],[本金]]+贷款明细[[#This Row],[利息]],""), "")</f>
        <v>8471.875</v>
      </c>
      <c r="G144" s="16">
        <f ca="1">IFERROR(IF(贷款未偿还*贷款已清偿,贷款金额/贷款分期次数,""), "")</f>
        <v>6250</v>
      </c>
      <c r="H144" s="16">
        <f ca="1">IFERROR(IF(贷款未偿还*贷款已清偿,贷款明细[[#This Row],[期初余额]]*贷款年利率/12,""), "")</f>
        <v>2221.875</v>
      </c>
      <c r="I144" s="16">
        <f ca="1">IFERROR(IF(贷款未偿还*贷款已清偿,贷款明细[[#This Row],[期初余额]]-贷款明细[[#This Row],[本金]],""), "")</f>
        <v>668750</v>
      </c>
      <c r="J144" s="3"/>
      <c r="K144" s="6"/>
    </row>
    <row r="145" spans="1:11" ht="20.100000000000001" customHeight="1" x14ac:dyDescent="0.25">
      <c r="A145" s="6"/>
      <c r="C145" s="14">
        <f ca="1">IFERROR(IF(贷款未偿还*贷款已清偿,贷款还款期数,""), "")</f>
        <v>134</v>
      </c>
      <c r="D145" s="15">
        <f ca="1">IFERROR(IF(贷款未偿还*贷款已清偿,还款日期,""), "")</f>
        <v>49477</v>
      </c>
      <c r="E145" s="16">
        <f ca="1">IFERROR(IF(贷款未偿还*贷款已清偿,I144,""), "")</f>
        <v>668750</v>
      </c>
      <c r="F145" s="16">
        <f ca="1">IFERROR(IF(贷款未偿还*贷款已清偿,贷款明细[[#This Row],[本金]]+贷款明细[[#This Row],[利息]],""), "")</f>
        <v>8451.3020833333339</v>
      </c>
      <c r="G145" s="16">
        <f ca="1">IFERROR(IF(贷款未偿还*贷款已清偿,贷款金额/贷款分期次数,""), "")</f>
        <v>6250</v>
      </c>
      <c r="H145" s="16">
        <f ca="1">IFERROR(IF(贷款未偿还*贷款已清偿,贷款明细[[#This Row],[期初余额]]*贷款年利率/12,""), "")</f>
        <v>2201.3020833333335</v>
      </c>
      <c r="I145" s="16">
        <f ca="1">IFERROR(IF(贷款未偿还*贷款已清偿,贷款明细[[#This Row],[期初余额]]-贷款明细[[#This Row],[本金]],""), "")</f>
        <v>662500</v>
      </c>
      <c r="J145" s="3"/>
      <c r="K145" s="6"/>
    </row>
    <row r="146" spans="1:11" ht="20.100000000000001" customHeight="1" x14ac:dyDescent="0.25">
      <c r="A146" s="6"/>
      <c r="C146" s="14">
        <f ca="1">IFERROR(IF(贷款未偿还*贷款已清偿,贷款还款期数,""), "")</f>
        <v>135</v>
      </c>
      <c r="D146" s="15">
        <f ca="1">IFERROR(IF(贷款未偿还*贷款已清偿,还款日期,""), "")</f>
        <v>49507</v>
      </c>
      <c r="E146" s="16">
        <f ca="1">IFERROR(IF(贷款未偿还*贷款已清偿,I145,""), "")</f>
        <v>662500</v>
      </c>
      <c r="F146" s="16">
        <f ca="1">IFERROR(IF(贷款未偿还*贷款已清偿,贷款明细[[#This Row],[本金]]+贷款明细[[#This Row],[利息]],""), "")</f>
        <v>8430.7291666666661</v>
      </c>
      <c r="G146" s="16">
        <f ca="1">IFERROR(IF(贷款未偿还*贷款已清偿,贷款金额/贷款分期次数,""), "")</f>
        <v>6250</v>
      </c>
      <c r="H146" s="16">
        <f ca="1">IFERROR(IF(贷款未偿还*贷款已清偿,贷款明细[[#This Row],[期初余额]]*贷款年利率/12,""), "")</f>
        <v>2180.7291666666665</v>
      </c>
      <c r="I146" s="16">
        <f ca="1">IFERROR(IF(贷款未偿还*贷款已清偿,贷款明细[[#This Row],[期初余额]]-贷款明细[[#This Row],[本金]],""), "")</f>
        <v>656250</v>
      </c>
      <c r="J146" s="3"/>
      <c r="K146" s="6"/>
    </row>
    <row r="147" spans="1:11" ht="20.100000000000001" customHeight="1" x14ac:dyDescent="0.25">
      <c r="A147" s="6"/>
      <c r="C147" s="14">
        <f ca="1">IFERROR(IF(贷款未偿还*贷款已清偿,贷款还款期数,""), "")</f>
        <v>136</v>
      </c>
      <c r="D147" s="15">
        <f ca="1">IFERROR(IF(贷款未偿还*贷款已清偿,还款日期,""), "")</f>
        <v>49538</v>
      </c>
      <c r="E147" s="16">
        <f ca="1">IFERROR(IF(贷款未偿还*贷款已清偿,I146,""), "")</f>
        <v>656250</v>
      </c>
      <c r="F147" s="16">
        <f ca="1">IFERROR(IF(贷款未偿还*贷款已清偿,贷款明细[[#This Row],[本金]]+贷款明细[[#This Row],[利息]],""), "")</f>
        <v>8410.15625</v>
      </c>
      <c r="G147" s="16">
        <f ca="1">IFERROR(IF(贷款未偿还*贷款已清偿,贷款金额/贷款分期次数,""), "")</f>
        <v>6250</v>
      </c>
      <c r="H147" s="16">
        <f ca="1">IFERROR(IF(贷款未偿还*贷款已清偿,贷款明细[[#This Row],[期初余额]]*贷款年利率/12,""), "")</f>
        <v>2160.15625</v>
      </c>
      <c r="I147" s="16">
        <f ca="1">IFERROR(IF(贷款未偿还*贷款已清偿,贷款明细[[#This Row],[期初余额]]-贷款明细[[#This Row],[本金]],""), "")</f>
        <v>650000</v>
      </c>
      <c r="J147" s="3"/>
      <c r="K147" s="6"/>
    </row>
    <row r="148" spans="1:11" ht="20.100000000000001" customHeight="1" x14ac:dyDescent="0.25">
      <c r="A148" s="6"/>
      <c r="C148" s="14">
        <f ca="1">IFERROR(IF(贷款未偿还*贷款已清偿,贷款还款期数,""), "")</f>
        <v>137</v>
      </c>
      <c r="D148" s="15">
        <f ca="1">IFERROR(IF(贷款未偿还*贷款已清偿,还款日期,""), "")</f>
        <v>49569</v>
      </c>
      <c r="E148" s="16">
        <f ca="1">IFERROR(IF(贷款未偿还*贷款已清偿,I147,""), "")</f>
        <v>650000</v>
      </c>
      <c r="F148" s="16">
        <f ca="1">IFERROR(IF(贷款未偿还*贷款已清偿,贷款明细[[#This Row],[本金]]+贷款明细[[#This Row],[利息]],""), "")</f>
        <v>8389.5833333333339</v>
      </c>
      <c r="G148" s="16">
        <f ca="1">IFERROR(IF(贷款未偿还*贷款已清偿,贷款金额/贷款分期次数,""), "")</f>
        <v>6250</v>
      </c>
      <c r="H148" s="16">
        <f ca="1">IFERROR(IF(贷款未偿还*贷款已清偿,贷款明细[[#This Row],[期初余额]]*贷款年利率/12,""), "")</f>
        <v>2139.5833333333335</v>
      </c>
      <c r="I148" s="16">
        <f ca="1">IFERROR(IF(贷款未偿还*贷款已清偿,贷款明细[[#This Row],[期初余额]]-贷款明细[[#This Row],[本金]],""), "")</f>
        <v>643750</v>
      </c>
      <c r="J148" s="3"/>
      <c r="K148" s="6"/>
    </row>
    <row r="149" spans="1:11" ht="20.100000000000001" customHeight="1" x14ac:dyDescent="0.25">
      <c r="A149" s="6"/>
      <c r="C149" s="14">
        <f ca="1">IFERROR(IF(贷款未偿还*贷款已清偿,贷款还款期数,""), "")</f>
        <v>138</v>
      </c>
      <c r="D149" s="15">
        <f ca="1">IFERROR(IF(贷款未偿还*贷款已清偿,还款日期,""), "")</f>
        <v>49599</v>
      </c>
      <c r="E149" s="16">
        <f ca="1">IFERROR(IF(贷款未偿还*贷款已清偿,I148,""), "")</f>
        <v>643750</v>
      </c>
      <c r="F149" s="16">
        <f ca="1">IFERROR(IF(贷款未偿还*贷款已清偿,贷款明细[[#This Row],[本金]]+贷款明细[[#This Row],[利息]],""), "")</f>
        <v>8369.0104166666661</v>
      </c>
      <c r="G149" s="16">
        <f ca="1">IFERROR(IF(贷款未偿还*贷款已清偿,贷款金额/贷款分期次数,""), "")</f>
        <v>6250</v>
      </c>
      <c r="H149" s="16">
        <f ca="1">IFERROR(IF(贷款未偿还*贷款已清偿,贷款明细[[#This Row],[期初余额]]*贷款年利率/12,""), "")</f>
        <v>2119.0104166666665</v>
      </c>
      <c r="I149" s="16">
        <f ca="1">IFERROR(IF(贷款未偿还*贷款已清偿,贷款明细[[#This Row],[期初余额]]-贷款明细[[#This Row],[本金]],""), "")</f>
        <v>637500</v>
      </c>
      <c r="J149" s="3"/>
      <c r="K149" s="6"/>
    </row>
    <row r="150" spans="1:11" ht="20.100000000000001" customHeight="1" x14ac:dyDescent="0.25">
      <c r="A150" s="6"/>
      <c r="C150" s="14">
        <f ca="1">IFERROR(IF(贷款未偿还*贷款已清偿,贷款还款期数,""), "")</f>
        <v>139</v>
      </c>
      <c r="D150" s="15">
        <f ca="1">IFERROR(IF(贷款未偿还*贷款已清偿,还款日期,""), "")</f>
        <v>49630</v>
      </c>
      <c r="E150" s="16">
        <f ca="1">IFERROR(IF(贷款未偿还*贷款已清偿,I149,""), "")</f>
        <v>637500</v>
      </c>
      <c r="F150" s="16">
        <f ca="1">IFERROR(IF(贷款未偿还*贷款已清偿,贷款明细[[#This Row],[本金]]+贷款明细[[#This Row],[利息]],""), "")</f>
        <v>8348.4375</v>
      </c>
      <c r="G150" s="16">
        <f ca="1">IFERROR(IF(贷款未偿还*贷款已清偿,贷款金额/贷款分期次数,""), "")</f>
        <v>6250</v>
      </c>
      <c r="H150" s="16">
        <f ca="1">IFERROR(IF(贷款未偿还*贷款已清偿,贷款明细[[#This Row],[期初余额]]*贷款年利率/12,""), "")</f>
        <v>2098.4375</v>
      </c>
      <c r="I150" s="16">
        <f ca="1">IFERROR(IF(贷款未偿还*贷款已清偿,贷款明细[[#This Row],[期初余额]]-贷款明细[[#This Row],[本金]],""), "")</f>
        <v>631250</v>
      </c>
      <c r="J150" s="3"/>
      <c r="K150" s="6"/>
    </row>
    <row r="151" spans="1:11" ht="20.100000000000001" customHeight="1" x14ac:dyDescent="0.25">
      <c r="A151" s="6"/>
      <c r="C151" s="14">
        <f ca="1">IFERROR(IF(贷款未偿还*贷款已清偿,贷款还款期数,""), "")</f>
        <v>140</v>
      </c>
      <c r="D151" s="15">
        <f ca="1">IFERROR(IF(贷款未偿还*贷款已清偿,还款日期,""), "")</f>
        <v>49660</v>
      </c>
      <c r="E151" s="16">
        <f ca="1">IFERROR(IF(贷款未偿还*贷款已清偿,I150,""), "")</f>
        <v>631250</v>
      </c>
      <c r="F151" s="16">
        <f ca="1">IFERROR(IF(贷款未偿还*贷款已清偿,贷款明细[[#This Row],[本金]]+贷款明细[[#This Row],[利息]],""), "")</f>
        <v>8327.8645833333339</v>
      </c>
      <c r="G151" s="16">
        <f ca="1">IFERROR(IF(贷款未偿还*贷款已清偿,贷款金额/贷款分期次数,""), "")</f>
        <v>6250</v>
      </c>
      <c r="H151" s="16">
        <f ca="1">IFERROR(IF(贷款未偿还*贷款已清偿,贷款明细[[#This Row],[期初余额]]*贷款年利率/12,""), "")</f>
        <v>2077.8645833333335</v>
      </c>
      <c r="I151" s="16">
        <f ca="1">IFERROR(IF(贷款未偿还*贷款已清偿,贷款明细[[#This Row],[期初余额]]-贷款明细[[#This Row],[本金]],""), "")</f>
        <v>625000</v>
      </c>
      <c r="J151" s="3"/>
      <c r="K151" s="6"/>
    </row>
    <row r="152" spans="1:11" ht="20.100000000000001" customHeight="1" x14ac:dyDescent="0.25">
      <c r="A152" s="6"/>
      <c r="C152" s="14">
        <f ca="1">IFERROR(IF(贷款未偿还*贷款已清偿,贷款还款期数,""), "")</f>
        <v>141</v>
      </c>
      <c r="D152" s="15">
        <f ca="1">IFERROR(IF(贷款未偿还*贷款已清偿,还款日期,""), "")</f>
        <v>49691</v>
      </c>
      <c r="E152" s="16">
        <f ca="1">IFERROR(IF(贷款未偿还*贷款已清偿,I151,""), "")</f>
        <v>625000</v>
      </c>
      <c r="F152" s="16">
        <f ca="1">IFERROR(IF(贷款未偿还*贷款已清偿,贷款明细[[#This Row],[本金]]+贷款明细[[#This Row],[利息]],""), "")</f>
        <v>8307.2916666666661</v>
      </c>
      <c r="G152" s="16">
        <f ca="1">IFERROR(IF(贷款未偿还*贷款已清偿,贷款金额/贷款分期次数,""), "")</f>
        <v>6250</v>
      </c>
      <c r="H152" s="16">
        <f ca="1">IFERROR(IF(贷款未偿还*贷款已清偿,贷款明细[[#This Row],[期初余额]]*贷款年利率/12,""), "")</f>
        <v>2057.2916666666665</v>
      </c>
      <c r="I152" s="16">
        <f ca="1">IFERROR(IF(贷款未偿还*贷款已清偿,贷款明细[[#This Row],[期初余额]]-贷款明细[[#This Row],[本金]],""), "")</f>
        <v>618750</v>
      </c>
      <c r="J152" s="3"/>
      <c r="K152" s="6"/>
    </row>
    <row r="153" spans="1:11" ht="20.100000000000001" customHeight="1" x14ac:dyDescent="0.25">
      <c r="A153" s="6"/>
      <c r="C153" s="14">
        <f ca="1">IFERROR(IF(贷款未偿还*贷款已清偿,贷款还款期数,""), "")</f>
        <v>142</v>
      </c>
      <c r="D153" s="15">
        <f ca="1">IFERROR(IF(贷款未偿还*贷款已清偿,还款日期,""), "")</f>
        <v>49722</v>
      </c>
      <c r="E153" s="16">
        <f ca="1">IFERROR(IF(贷款未偿还*贷款已清偿,I152,""), "")</f>
        <v>618750</v>
      </c>
      <c r="F153" s="16">
        <f ca="1">IFERROR(IF(贷款未偿还*贷款已清偿,贷款明细[[#This Row],[本金]]+贷款明细[[#This Row],[利息]],""), "")</f>
        <v>8286.71875</v>
      </c>
      <c r="G153" s="16">
        <f ca="1">IFERROR(IF(贷款未偿还*贷款已清偿,贷款金额/贷款分期次数,""), "")</f>
        <v>6250</v>
      </c>
      <c r="H153" s="16">
        <f ca="1">IFERROR(IF(贷款未偿还*贷款已清偿,贷款明细[[#This Row],[期初余额]]*贷款年利率/12,""), "")</f>
        <v>2036.71875</v>
      </c>
      <c r="I153" s="16">
        <f ca="1">IFERROR(IF(贷款未偿还*贷款已清偿,贷款明细[[#This Row],[期初余额]]-贷款明细[[#This Row],[本金]],""), "")</f>
        <v>612500</v>
      </c>
      <c r="J153" s="3"/>
      <c r="K153" s="6"/>
    </row>
    <row r="154" spans="1:11" ht="20.100000000000001" customHeight="1" x14ac:dyDescent="0.25">
      <c r="A154" s="6"/>
      <c r="C154" s="14">
        <f ca="1">IFERROR(IF(贷款未偿还*贷款已清偿,贷款还款期数,""), "")</f>
        <v>143</v>
      </c>
      <c r="D154" s="15">
        <f ca="1">IFERROR(IF(贷款未偿还*贷款已清偿,还款日期,""), "")</f>
        <v>49751</v>
      </c>
      <c r="E154" s="16">
        <f ca="1">IFERROR(IF(贷款未偿还*贷款已清偿,I153,""), "")</f>
        <v>612500</v>
      </c>
      <c r="F154" s="16">
        <f ca="1">IFERROR(IF(贷款未偿还*贷款已清偿,贷款明细[[#This Row],[本金]]+贷款明细[[#This Row],[利息]],""), "")</f>
        <v>8266.1458333333339</v>
      </c>
      <c r="G154" s="16">
        <f ca="1">IFERROR(IF(贷款未偿还*贷款已清偿,贷款金额/贷款分期次数,""), "")</f>
        <v>6250</v>
      </c>
      <c r="H154" s="16">
        <f ca="1">IFERROR(IF(贷款未偿还*贷款已清偿,贷款明细[[#This Row],[期初余额]]*贷款年利率/12,""), "")</f>
        <v>2016.1458333333333</v>
      </c>
      <c r="I154" s="16">
        <f ca="1">IFERROR(IF(贷款未偿还*贷款已清偿,贷款明细[[#This Row],[期初余额]]-贷款明细[[#This Row],[本金]],""), "")</f>
        <v>606250</v>
      </c>
      <c r="J154" s="3"/>
      <c r="K154" s="6"/>
    </row>
    <row r="155" spans="1:11" ht="20.100000000000001" customHeight="1" x14ac:dyDescent="0.25">
      <c r="A155" s="6"/>
      <c r="C155" s="14">
        <f ca="1">IFERROR(IF(贷款未偿还*贷款已清偿,贷款还款期数,""), "")</f>
        <v>144</v>
      </c>
      <c r="D155" s="15">
        <f ca="1">IFERROR(IF(贷款未偿还*贷款已清偿,还款日期,""), "")</f>
        <v>49782</v>
      </c>
      <c r="E155" s="16">
        <f ca="1">IFERROR(IF(贷款未偿还*贷款已清偿,I154,""), "")</f>
        <v>606250</v>
      </c>
      <c r="F155" s="16">
        <f ca="1">IFERROR(IF(贷款未偿还*贷款已清偿,贷款明细[[#This Row],[本金]]+贷款明细[[#This Row],[利息]],""), "")</f>
        <v>8245.5729166666661</v>
      </c>
      <c r="G155" s="16">
        <f ca="1">IFERROR(IF(贷款未偿还*贷款已清偿,贷款金额/贷款分期次数,""), "")</f>
        <v>6250</v>
      </c>
      <c r="H155" s="16">
        <f ca="1">IFERROR(IF(贷款未偿还*贷款已清偿,贷款明细[[#This Row],[期初余额]]*贷款年利率/12,""), "")</f>
        <v>1995.5729166666667</v>
      </c>
      <c r="I155" s="16">
        <f ca="1">IFERROR(IF(贷款未偿还*贷款已清偿,贷款明细[[#This Row],[期初余额]]-贷款明细[[#This Row],[本金]],""), "")</f>
        <v>600000</v>
      </c>
      <c r="J155" s="3"/>
      <c r="K155" s="6"/>
    </row>
    <row r="156" spans="1:11" ht="20.100000000000001" customHeight="1" x14ac:dyDescent="0.25">
      <c r="A156" s="6"/>
      <c r="C156" s="14">
        <f ca="1">IFERROR(IF(贷款未偿还*贷款已清偿,贷款还款期数,""), "")</f>
        <v>145</v>
      </c>
      <c r="D156" s="15">
        <f ca="1">IFERROR(IF(贷款未偿还*贷款已清偿,还款日期,""), "")</f>
        <v>49812</v>
      </c>
      <c r="E156" s="16">
        <f ca="1">IFERROR(IF(贷款未偿还*贷款已清偿,I155,""), "")</f>
        <v>600000</v>
      </c>
      <c r="F156" s="16">
        <f ca="1">IFERROR(IF(贷款未偿还*贷款已清偿,贷款明细[[#This Row],[本金]]+贷款明细[[#This Row],[利息]],""), "")</f>
        <v>8225</v>
      </c>
      <c r="G156" s="16">
        <f ca="1">IFERROR(IF(贷款未偿还*贷款已清偿,贷款金额/贷款分期次数,""), "")</f>
        <v>6250</v>
      </c>
      <c r="H156" s="16">
        <f ca="1">IFERROR(IF(贷款未偿还*贷款已清偿,贷款明细[[#This Row],[期初余额]]*贷款年利率/12,""), "")</f>
        <v>1975</v>
      </c>
      <c r="I156" s="16">
        <f ca="1">IFERROR(IF(贷款未偿还*贷款已清偿,贷款明细[[#This Row],[期初余额]]-贷款明细[[#This Row],[本金]],""), "")</f>
        <v>593750</v>
      </c>
      <c r="J156" s="3"/>
      <c r="K156" s="6"/>
    </row>
    <row r="157" spans="1:11" ht="20.100000000000001" customHeight="1" x14ac:dyDescent="0.25">
      <c r="A157" s="6"/>
      <c r="C157" s="14">
        <f ca="1">IFERROR(IF(贷款未偿还*贷款已清偿,贷款还款期数,""), "")</f>
        <v>146</v>
      </c>
      <c r="D157" s="15">
        <f ca="1">IFERROR(IF(贷款未偿还*贷款已清偿,还款日期,""), "")</f>
        <v>49843</v>
      </c>
      <c r="E157" s="16">
        <f ca="1">IFERROR(IF(贷款未偿还*贷款已清偿,I156,""), "")</f>
        <v>593750</v>
      </c>
      <c r="F157" s="16">
        <f ca="1">IFERROR(IF(贷款未偿还*贷款已清偿,贷款明细[[#This Row],[本金]]+贷款明细[[#This Row],[利息]],""), "")</f>
        <v>8204.4270833333339</v>
      </c>
      <c r="G157" s="16">
        <f ca="1">IFERROR(IF(贷款未偿还*贷款已清偿,贷款金额/贷款分期次数,""), "")</f>
        <v>6250</v>
      </c>
      <c r="H157" s="16">
        <f ca="1">IFERROR(IF(贷款未偿还*贷款已清偿,贷款明细[[#This Row],[期初余额]]*贷款年利率/12,""), "")</f>
        <v>1954.4270833333333</v>
      </c>
      <c r="I157" s="16">
        <f ca="1">IFERROR(IF(贷款未偿还*贷款已清偿,贷款明细[[#This Row],[期初余额]]-贷款明细[[#This Row],[本金]],""), "")</f>
        <v>587500</v>
      </c>
      <c r="J157" s="3"/>
      <c r="K157" s="6"/>
    </row>
    <row r="158" spans="1:11" ht="20.100000000000001" customHeight="1" x14ac:dyDescent="0.25">
      <c r="A158" s="6"/>
      <c r="C158" s="14">
        <f ca="1">IFERROR(IF(贷款未偿还*贷款已清偿,贷款还款期数,""), "")</f>
        <v>147</v>
      </c>
      <c r="D158" s="15">
        <f ca="1">IFERROR(IF(贷款未偿还*贷款已清偿,还款日期,""), "")</f>
        <v>49873</v>
      </c>
      <c r="E158" s="16">
        <f ca="1">IFERROR(IF(贷款未偿还*贷款已清偿,I157,""), "")</f>
        <v>587500</v>
      </c>
      <c r="F158" s="16">
        <f ca="1">IFERROR(IF(贷款未偿还*贷款已清偿,贷款明细[[#This Row],[本金]]+贷款明细[[#This Row],[利息]],""), "")</f>
        <v>8183.854166666667</v>
      </c>
      <c r="G158" s="16">
        <f ca="1">IFERROR(IF(贷款未偿还*贷款已清偿,贷款金额/贷款分期次数,""), "")</f>
        <v>6250</v>
      </c>
      <c r="H158" s="16">
        <f ca="1">IFERROR(IF(贷款未偿还*贷款已清偿,贷款明细[[#This Row],[期初余额]]*贷款年利率/12,""), "")</f>
        <v>1933.8541666666667</v>
      </c>
      <c r="I158" s="16">
        <f ca="1">IFERROR(IF(贷款未偿还*贷款已清偿,贷款明细[[#This Row],[期初余额]]-贷款明细[[#This Row],[本金]],""), "")</f>
        <v>581250</v>
      </c>
      <c r="J158" s="3"/>
      <c r="K158" s="6"/>
    </row>
    <row r="159" spans="1:11" ht="20.100000000000001" customHeight="1" x14ac:dyDescent="0.25">
      <c r="A159" s="6"/>
      <c r="C159" s="14">
        <f ca="1">IFERROR(IF(贷款未偿还*贷款已清偿,贷款还款期数,""), "")</f>
        <v>148</v>
      </c>
      <c r="D159" s="15">
        <f ca="1">IFERROR(IF(贷款未偿还*贷款已清偿,还款日期,""), "")</f>
        <v>49904</v>
      </c>
      <c r="E159" s="16">
        <f ca="1">IFERROR(IF(贷款未偿还*贷款已清偿,I158,""), "")</f>
        <v>581250</v>
      </c>
      <c r="F159" s="16">
        <f ca="1">IFERROR(IF(贷款未偿还*贷款已清偿,贷款明细[[#This Row],[本金]]+贷款明细[[#This Row],[利息]],""), "")</f>
        <v>8163.28125</v>
      </c>
      <c r="G159" s="16">
        <f ca="1">IFERROR(IF(贷款未偿还*贷款已清偿,贷款金额/贷款分期次数,""), "")</f>
        <v>6250</v>
      </c>
      <c r="H159" s="16">
        <f ca="1">IFERROR(IF(贷款未偿还*贷款已清偿,贷款明细[[#This Row],[期初余额]]*贷款年利率/12,""), "")</f>
        <v>1913.28125</v>
      </c>
      <c r="I159" s="16">
        <f ca="1">IFERROR(IF(贷款未偿还*贷款已清偿,贷款明细[[#This Row],[期初余额]]-贷款明细[[#This Row],[本金]],""), "")</f>
        <v>575000</v>
      </c>
      <c r="J159" s="3"/>
      <c r="K159" s="6"/>
    </row>
    <row r="160" spans="1:11" ht="20.100000000000001" customHeight="1" x14ac:dyDescent="0.25">
      <c r="A160" s="6"/>
      <c r="C160" s="14">
        <f ca="1">IFERROR(IF(贷款未偿还*贷款已清偿,贷款还款期数,""), "")</f>
        <v>149</v>
      </c>
      <c r="D160" s="15">
        <f ca="1">IFERROR(IF(贷款未偿还*贷款已清偿,还款日期,""), "")</f>
        <v>49935</v>
      </c>
      <c r="E160" s="16">
        <f ca="1">IFERROR(IF(贷款未偿还*贷款已清偿,I159,""), "")</f>
        <v>575000</v>
      </c>
      <c r="F160" s="16">
        <f ca="1">IFERROR(IF(贷款未偿还*贷款已清偿,贷款明细[[#This Row],[本金]]+贷款明细[[#This Row],[利息]],""), "")</f>
        <v>8142.708333333333</v>
      </c>
      <c r="G160" s="16">
        <f ca="1">IFERROR(IF(贷款未偿还*贷款已清偿,贷款金额/贷款分期次数,""), "")</f>
        <v>6250</v>
      </c>
      <c r="H160" s="16">
        <f ca="1">IFERROR(IF(贷款未偿还*贷款已清偿,贷款明细[[#This Row],[期初余额]]*贷款年利率/12,""), "")</f>
        <v>1892.7083333333333</v>
      </c>
      <c r="I160" s="16">
        <f ca="1">IFERROR(IF(贷款未偿还*贷款已清偿,贷款明细[[#This Row],[期初余额]]-贷款明细[[#This Row],[本金]],""), "")</f>
        <v>568750</v>
      </c>
      <c r="J160" s="3"/>
      <c r="K160" s="6"/>
    </row>
    <row r="161" spans="1:11" ht="20.100000000000001" customHeight="1" x14ac:dyDescent="0.25">
      <c r="A161" s="6"/>
      <c r="C161" s="14">
        <f ca="1">IFERROR(IF(贷款未偿还*贷款已清偿,贷款还款期数,""), "")</f>
        <v>150</v>
      </c>
      <c r="D161" s="15">
        <f ca="1">IFERROR(IF(贷款未偿还*贷款已清偿,还款日期,""), "")</f>
        <v>49965</v>
      </c>
      <c r="E161" s="16">
        <f ca="1">IFERROR(IF(贷款未偿还*贷款已清偿,I160,""), "")</f>
        <v>568750</v>
      </c>
      <c r="F161" s="16">
        <f ca="1">IFERROR(IF(贷款未偿还*贷款已清偿,贷款明细[[#This Row],[本金]]+贷款明细[[#This Row],[利息]],""), "")</f>
        <v>8122.135416666667</v>
      </c>
      <c r="G161" s="16">
        <f ca="1">IFERROR(IF(贷款未偿还*贷款已清偿,贷款金额/贷款分期次数,""), "")</f>
        <v>6250</v>
      </c>
      <c r="H161" s="16">
        <f ca="1">IFERROR(IF(贷款未偿还*贷款已清偿,贷款明细[[#This Row],[期初余额]]*贷款年利率/12,""), "")</f>
        <v>1872.1354166666667</v>
      </c>
      <c r="I161" s="16">
        <f ca="1">IFERROR(IF(贷款未偿还*贷款已清偿,贷款明细[[#This Row],[期初余额]]-贷款明细[[#This Row],[本金]],""), "")</f>
        <v>562500</v>
      </c>
      <c r="J161" s="3"/>
      <c r="K161" s="6"/>
    </row>
    <row r="162" spans="1:11" ht="20.100000000000001" customHeight="1" x14ac:dyDescent="0.25">
      <c r="A162" s="6"/>
      <c r="C162" s="14">
        <f ca="1">IFERROR(IF(贷款未偿还*贷款已清偿,贷款还款期数,""), "")</f>
        <v>151</v>
      </c>
      <c r="D162" s="15">
        <f ca="1">IFERROR(IF(贷款未偿还*贷款已清偿,还款日期,""), "")</f>
        <v>49996</v>
      </c>
      <c r="E162" s="16">
        <f ca="1">IFERROR(IF(贷款未偿还*贷款已清偿,I161,""), "")</f>
        <v>562500</v>
      </c>
      <c r="F162" s="16">
        <f ca="1">IFERROR(IF(贷款未偿还*贷款已清偿,贷款明细[[#This Row],[本金]]+贷款明细[[#This Row],[利息]],""), "")</f>
        <v>8101.5625</v>
      </c>
      <c r="G162" s="16">
        <f ca="1">IFERROR(IF(贷款未偿还*贷款已清偿,贷款金额/贷款分期次数,""), "")</f>
        <v>6250</v>
      </c>
      <c r="H162" s="16">
        <f ca="1">IFERROR(IF(贷款未偿还*贷款已清偿,贷款明细[[#This Row],[期初余额]]*贷款年利率/12,""), "")</f>
        <v>1851.5625</v>
      </c>
      <c r="I162" s="16">
        <f ca="1">IFERROR(IF(贷款未偿还*贷款已清偿,贷款明细[[#This Row],[期初余额]]-贷款明细[[#This Row],[本金]],""), "")</f>
        <v>556250</v>
      </c>
      <c r="J162" s="3"/>
      <c r="K162" s="6"/>
    </row>
    <row r="163" spans="1:11" ht="20.100000000000001" customHeight="1" x14ac:dyDescent="0.25">
      <c r="A163" s="6"/>
      <c r="C163" s="14">
        <f ca="1">IFERROR(IF(贷款未偿还*贷款已清偿,贷款还款期数,""), "")</f>
        <v>152</v>
      </c>
      <c r="D163" s="15">
        <f ca="1">IFERROR(IF(贷款未偿还*贷款已清偿,还款日期,""), "")</f>
        <v>50026</v>
      </c>
      <c r="E163" s="16">
        <f ca="1">IFERROR(IF(贷款未偿还*贷款已清偿,I162,""), "")</f>
        <v>556250</v>
      </c>
      <c r="F163" s="16">
        <f ca="1">IFERROR(IF(贷款未偿还*贷款已清偿,贷款明细[[#This Row],[本金]]+贷款明细[[#This Row],[利息]],""), "")</f>
        <v>8080.989583333333</v>
      </c>
      <c r="G163" s="16">
        <f ca="1">IFERROR(IF(贷款未偿还*贷款已清偿,贷款金额/贷款分期次数,""), "")</f>
        <v>6250</v>
      </c>
      <c r="H163" s="16">
        <f ca="1">IFERROR(IF(贷款未偿还*贷款已清偿,贷款明细[[#This Row],[期初余额]]*贷款年利率/12,""), "")</f>
        <v>1830.9895833333333</v>
      </c>
      <c r="I163" s="16">
        <f ca="1">IFERROR(IF(贷款未偿还*贷款已清偿,贷款明细[[#This Row],[期初余额]]-贷款明细[[#This Row],[本金]],""), "")</f>
        <v>550000</v>
      </c>
      <c r="J163" s="3"/>
      <c r="K163" s="6"/>
    </row>
    <row r="164" spans="1:11" ht="20.100000000000001" customHeight="1" x14ac:dyDescent="0.25">
      <c r="A164" s="6"/>
      <c r="C164" s="14">
        <f ca="1">IFERROR(IF(贷款未偿还*贷款已清偿,贷款还款期数,""), "")</f>
        <v>153</v>
      </c>
      <c r="D164" s="15">
        <f ca="1">IFERROR(IF(贷款未偿还*贷款已清偿,还款日期,""), "")</f>
        <v>50057</v>
      </c>
      <c r="E164" s="16">
        <f ca="1">IFERROR(IF(贷款未偿还*贷款已清偿,I163,""), "")</f>
        <v>550000</v>
      </c>
      <c r="F164" s="16">
        <f ca="1">IFERROR(IF(贷款未偿还*贷款已清偿,贷款明细[[#This Row],[本金]]+贷款明细[[#This Row],[利息]],""), "")</f>
        <v>8060.416666666667</v>
      </c>
      <c r="G164" s="16">
        <f ca="1">IFERROR(IF(贷款未偿还*贷款已清偿,贷款金额/贷款分期次数,""), "")</f>
        <v>6250</v>
      </c>
      <c r="H164" s="16">
        <f ca="1">IFERROR(IF(贷款未偿还*贷款已清偿,贷款明细[[#This Row],[期初余额]]*贷款年利率/12,""), "")</f>
        <v>1810.4166666666667</v>
      </c>
      <c r="I164" s="16">
        <f ca="1">IFERROR(IF(贷款未偿还*贷款已清偿,贷款明细[[#This Row],[期初余额]]-贷款明细[[#This Row],[本金]],""), "")</f>
        <v>543750</v>
      </c>
      <c r="J164" s="3"/>
      <c r="K164" s="6"/>
    </row>
    <row r="165" spans="1:11" ht="20.100000000000001" customHeight="1" x14ac:dyDescent="0.25">
      <c r="A165" s="6"/>
      <c r="C165" s="14">
        <f ca="1">IFERROR(IF(贷款未偿还*贷款已清偿,贷款还款期数,""), "")</f>
        <v>154</v>
      </c>
      <c r="D165" s="15">
        <f ca="1">IFERROR(IF(贷款未偿还*贷款已清偿,还款日期,""), "")</f>
        <v>50088</v>
      </c>
      <c r="E165" s="16">
        <f ca="1">IFERROR(IF(贷款未偿还*贷款已清偿,I164,""), "")</f>
        <v>543750</v>
      </c>
      <c r="F165" s="16">
        <f ca="1">IFERROR(IF(贷款未偿还*贷款已清偿,贷款明细[[#This Row],[本金]]+贷款明细[[#This Row],[利息]],""), "")</f>
        <v>8039.84375</v>
      </c>
      <c r="G165" s="16">
        <f ca="1">IFERROR(IF(贷款未偿还*贷款已清偿,贷款金额/贷款分期次数,""), "")</f>
        <v>6250</v>
      </c>
      <c r="H165" s="16">
        <f ca="1">IFERROR(IF(贷款未偿还*贷款已清偿,贷款明细[[#This Row],[期初余额]]*贷款年利率/12,""), "")</f>
        <v>1789.84375</v>
      </c>
      <c r="I165" s="16">
        <f ca="1">IFERROR(IF(贷款未偿还*贷款已清偿,贷款明细[[#This Row],[期初余额]]-贷款明细[[#This Row],[本金]],""), "")</f>
        <v>537500</v>
      </c>
      <c r="J165" s="3"/>
      <c r="K165" s="6"/>
    </row>
    <row r="166" spans="1:11" ht="20.100000000000001" customHeight="1" x14ac:dyDescent="0.25">
      <c r="A166" s="6"/>
      <c r="C166" s="14">
        <f ca="1">IFERROR(IF(贷款未偿还*贷款已清偿,贷款还款期数,""), "")</f>
        <v>155</v>
      </c>
      <c r="D166" s="15">
        <f ca="1">IFERROR(IF(贷款未偿还*贷款已清偿,还款日期,""), "")</f>
        <v>50116</v>
      </c>
      <c r="E166" s="16">
        <f ca="1">IFERROR(IF(贷款未偿还*贷款已清偿,I165,""), "")</f>
        <v>537500</v>
      </c>
      <c r="F166" s="16">
        <f ca="1">IFERROR(IF(贷款未偿还*贷款已清偿,贷款明细[[#This Row],[本金]]+贷款明细[[#This Row],[利息]],""), "")</f>
        <v>8019.270833333333</v>
      </c>
      <c r="G166" s="16">
        <f ca="1">IFERROR(IF(贷款未偿还*贷款已清偿,贷款金额/贷款分期次数,""), "")</f>
        <v>6250</v>
      </c>
      <c r="H166" s="16">
        <f ca="1">IFERROR(IF(贷款未偿还*贷款已清偿,贷款明细[[#This Row],[期初余额]]*贷款年利率/12,""), "")</f>
        <v>1769.2708333333333</v>
      </c>
      <c r="I166" s="16">
        <f ca="1">IFERROR(IF(贷款未偿还*贷款已清偿,贷款明细[[#This Row],[期初余额]]-贷款明细[[#This Row],[本金]],""), "")</f>
        <v>531250</v>
      </c>
      <c r="J166" s="3"/>
      <c r="K166" s="6"/>
    </row>
    <row r="167" spans="1:11" ht="20.100000000000001" customHeight="1" x14ac:dyDescent="0.25">
      <c r="A167" s="6"/>
      <c r="C167" s="14">
        <f ca="1">IFERROR(IF(贷款未偿还*贷款已清偿,贷款还款期数,""), "")</f>
        <v>156</v>
      </c>
      <c r="D167" s="15">
        <f ca="1">IFERROR(IF(贷款未偿还*贷款已清偿,还款日期,""), "")</f>
        <v>50147</v>
      </c>
      <c r="E167" s="16">
        <f ca="1">IFERROR(IF(贷款未偿还*贷款已清偿,I166,""), "")</f>
        <v>531250</v>
      </c>
      <c r="F167" s="16">
        <f ca="1">IFERROR(IF(贷款未偿还*贷款已清偿,贷款明细[[#This Row],[本金]]+贷款明细[[#This Row],[利息]],""), "")</f>
        <v>7998.697916666667</v>
      </c>
      <c r="G167" s="16">
        <f ca="1">IFERROR(IF(贷款未偿还*贷款已清偿,贷款金额/贷款分期次数,""), "")</f>
        <v>6250</v>
      </c>
      <c r="H167" s="16">
        <f ca="1">IFERROR(IF(贷款未偿还*贷款已清偿,贷款明细[[#This Row],[期初余额]]*贷款年利率/12,""), "")</f>
        <v>1748.6979166666667</v>
      </c>
      <c r="I167" s="16">
        <f ca="1">IFERROR(IF(贷款未偿还*贷款已清偿,贷款明细[[#This Row],[期初余额]]-贷款明细[[#This Row],[本金]],""), "")</f>
        <v>525000</v>
      </c>
      <c r="J167" s="3"/>
      <c r="K167" s="6"/>
    </row>
    <row r="168" spans="1:11" ht="20.100000000000001" customHeight="1" x14ac:dyDescent="0.25">
      <c r="A168" s="6"/>
      <c r="C168" s="14">
        <f ca="1">IFERROR(IF(贷款未偿还*贷款已清偿,贷款还款期数,""), "")</f>
        <v>157</v>
      </c>
      <c r="D168" s="15">
        <f ca="1">IFERROR(IF(贷款未偿还*贷款已清偿,还款日期,""), "")</f>
        <v>50177</v>
      </c>
      <c r="E168" s="16">
        <f ca="1">IFERROR(IF(贷款未偿还*贷款已清偿,I167,""), "")</f>
        <v>525000</v>
      </c>
      <c r="F168" s="16">
        <f ca="1">IFERROR(IF(贷款未偿还*贷款已清偿,贷款明细[[#This Row],[本金]]+贷款明细[[#This Row],[利息]],""), "")</f>
        <v>7978.125</v>
      </c>
      <c r="G168" s="16">
        <f ca="1">IFERROR(IF(贷款未偿还*贷款已清偿,贷款金额/贷款分期次数,""), "")</f>
        <v>6250</v>
      </c>
      <c r="H168" s="16">
        <f ca="1">IFERROR(IF(贷款未偿还*贷款已清偿,贷款明细[[#This Row],[期初余额]]*贷款年利率/12,""), "")</f>
        <v>1728.125</v>
      </c>
      <c r="I168" s="16">
        <f ca="1">IFERROR(IF(贷款未偿还*贷款已清偿,贷款明细[[#This Row],[期初余额]]-贷款明细[[#This Row],[本金]],""), "")</f>
        <v>518750</v>
      </c>
      <c r="J168" s="3"/>
      <c r="K168" s="6"/>
    </row>
    <row r="169" spans="1:11" ht="20.100000000000001" customHeight="1" x14ac:dyDescent="0.25">
      <c r="A169" s="6"/>
      <c r="C169" s="14">
        <f ca="1">IFERROR(IF(贷款未偿还*贷款已清偿,贷款还款期数,""), "")</f>
        <v>158</v>
      </c>
      <c r="D169" s="15">
        <f ca="1">IFERROR(IF(贷款未偿还*贷款已清偿,还款日期,""), "")</f>
        <v>50208</v>
      </c>
      <c r="E169" s="16">
        <f ca="1">IFERROR(IF(贷款未偿还*贷款已清偿,I168,""), "")</f>
        <v>518750</v>
      </c>
      <c r="F169" s="16">
        <f ca="1">IFERROR(IF(贷款未偿还*贷款已清偿,贷款明细[[#This Row],[本金]]+贷款明细[[#This Row],[利息]],""), "")</f>
        <v>7957.552083333333</v>
      </c>
      <c r="G169" s="16">
        <f ca="1">IFERROR(IF(贷款未偿还*贷款已清偿,贷款金额/贷款分期次数,""), "")</f>
        <v>6250</v>
      </c>
      <c r="H169" s="16">
        <f ca="1">IFERROR(IF(贷款未偿还*贷款已清偿,贷款明细[[#This Row],[期初余额]]*贷款年利率/12,""), "")</f>
        <v>1707.5520833333333</v>
      </c>
      <c r="I169" s="16">
        <f ca="1">IFERROR(IF(贷款未偿还*贷款已清偿,贷款明细[[#This Row],[期初余额]]-贷款明细[[#This Row],[本金]],""), "")</f>
        <v>512500</v>
      </c>
      <c r="J169" s="3"/>
      <c r="K169" s="6"/>
    </row>
    <row r="170" spans="1:11" ht="20.100000000000001" customHeight="1" x14ac:dyDescent="0.25">
      <c r="A170" s="6"/>
      <c r="C170" s="14">
        <f ca="1">IFERROR(IF(贷款未偿还*贷款已清偿,贷款还款期数,""), "")</f>
        <v>159</v>
      </c>
      <c r="D170" s="15">
        <f ca="1">IFERROR(IF(贷款未偿还*贷款已清偿,还款日期,""), "")</f>
        <v>50238</v>
      </c>
      <c r="E170" s="16">
        <f ca="1">IFERROR(IF(贷款未偿还*贷款已清偿,I169,""), "")</f>
        <v>512500</v>
      </c>
      <c r="F170" s="16">
        <f ca="1">IFERROR(IF(贷款未偿还*贷款已清偿,贷款明细[[#This Row],[本金]]+贷款明细[[#This Row],[利息]],""), "")</f>
        <v>7936.979166666667</v>
      </c>
      <c r="G170" s="16">
        <f ca="1">IFERROR(IF(贷款未偿还*贷款已清偿,贷款金额/贷款分期次数,""), "")</f>
        <v>6250</v>
      </c>
      <c r="H170" s="16">
        <f ca="1">IFERROR(IF(贷款未偿还*贷款已清偿,贷款明细[[#This Row],[期初余额]]*贷款年利率/12,""), "")</f>
        <v>1686.9791666666667</v>
      </c>
      <c r="I170" s="16">
        <f ca="1">IFERROR(IF(贷款未偿还*贷款已清偿,贷款明细[[#This Row],[期初余额]]-贷款明细[[#This Row],[本金]],""), "")</f>
        <v>506250</v>
      </c>
      <c r="J170" s="3"/>
      <c r="K170" s="6"/>
    </row>
    <row r="171" spans="1:11" ht="20.100000000000001" customHeight="1" x14ac:dyDescent="0.25">
      <c r="A171" s="6"/>
      <c r="C171" s="14">
        <f ca="1">IFERROR(IF(贷款未偿还*贷款已清偿,贷款还款期数,""), "")</f>
        <v>160</v>
      </c>
      <c r="D171" s="15">
        <f ca="1">IFERROR(IF(贷款未偿还*贷款已清偿,还款日期,""), "")</f>
        <v>50269</v>
      </c>
      <c r="E171" s="16">
        <f ca="1">IFERROR(IF(贷款未偿还*贷款已清偿,I170,""), "")</f>
        <v>506250</v>
      </c>
      <c r="F171" s="16">
        <f ca="1">IFERROR(IF(贷款未偿还*贷款已清偿,贷款明细[[#This Row],[本金]]+贷款明细[[#This Row],[利息]],""), "")</f>
        <v>7916.40625</v>
      </c>
      <c r="G171" s="16">
        <f ca="1">IFERROR(IF(贷款未偿还*贷款已清偿,贷款金额/贷款分期次数,""), "")</f>
        <v>6250</v>
      </c>
      <c r="H171" s="16">
        <f ca="1">IFERROR(IF(贷款未偿还*贷款已清偿,贷款明细[[#This Row],[期初余额]]*贷款年利率/12,""), "")</f>
        <v>1666.40625</v>
      </c>
      <c r="I171" s="16">
        <f ca="1">IFERROR(IF(贷款未偿还*贷款已清偿,贷款明细[[#This Row],[期初余额]]-贷款明细[[#This Row],[本金]],""), "")</f>
        <v>500000</v>
      </c>
      <c r="J171" s="3"/>
      <c r="K171" s="6"/>
    </row>
    <row r="172" spans="1:11" ht="20.100000000000001" customHeight="1" x14ac:dyDescent="0.25">
      <c r="A172" s="6"/>
      <c r="C172" s="14">
        <f ca="1">IFERROR(IF(贷款未偿还*贷款已清偿,贷款还款期数,""), "")</f>
        <v>161</v>
      </c>
      <c r="D172" s="15">
        <f ca="1">IFERROR(IF(贷款未偿还*贷款已清偿,还款日期,""), "")</f>
        <v>50300</v>
      </c>
      <c r="E172" s="16">
        <f ca="1">IFERROR(IF(贷款未偿还*贷款已清偿,I171,""), "")</f>
        <v>500000</v>
      </c>
      <c r="F172" s="16">
        <f ca="1">IFERROR(IF(贷款未偿还*贷款已清偿,贷款明细[[#This Row],[本金]]+贷款明细[[#This Row],[利息]],""), "")</f>
        <v>7895.833333333333</v>
      </c>
      <c r="G172" s="16">
        <f ca="1">IFERROR(IF(贷款未偿还*贷款已清偿,贷款金额/贷款分期次数,""), "")</f>
        <v>6250</v>
      </c>
      <c r="H172" s="16">
        <f ca="1">IFERROR(IF(贷款未偿还*贷款已清偿,贷款明细[[#This Row],[期初余额]]*贷款年利率/12,""), "")</f>
        <v>1645.8333333333333</v>
      </c>
      <c r="I172" s="16">
        <f ca="1">IFERROR(IF(贷款未偿还*贷款已清偿,贷款明细[[#This Row],[期初余额]]-贷款明细[[#This Row],[本金]],""), "")</f>
        <v>493750</v>
      </c>
      <c r="J172" s="3"/>
      <c r="K172" s="6"/>
    </row>
    <row r="173" spans="1:11" ht="20.100000000000001" customHeight="1" x14ac:dyDescent="0.25">
      <c r="A173" s="6"/>
      <c r="C173" s="14">
        <f ca="1">IFERROR(IF(贷款未偿还*贷款已清偿,贷款还款期数,""), "")</f>
        <v>162</v>
      </c>
      <c r="D173" s="15">
        <f ca="1">IFERROR(IF(贷款未偿还*贷款已清偿,还款日期,""), "")</f>
        <v>50330</v>
      </c>
      <c r="E173" s="16">
        <f ca="1">IFERROR(IF(贷款未偿还*贷款已清偿,I172,""), "")</f>
        <v>493750</v>
      </c>
      <c r="F173" s="16">
        <f ca="1">IFERROR(IF(贷款未偿还*贷款已清偿,贷款明细[[#This Row],[本金]]+贷款明细[[#This Row],[利息]],""), "")</f>
        <v>7875.260416666667</v>
      </c>
      <c r="G173" s="16">
        <f ca="1">IFERROR(IF(贷款未偿还*贷款已清偿,贷款金额/贷款分期次数,""), "")</f>
        <v>6250</v>
      </c>
      <c r="H173" s="16">
        <f ca="1">IFERROR(IF(贷款未偿还*贷款已清偿,贷款明细[[#This Row],[期初余额]]*贷款年利率/12,""), "")</f>
        <v>1625.2604166666667</v>
      </c>
      <c r="I173" s="16">
        <f ca="1">IFERROR(IF(贷款未偿还*贷款已清偿,贷款明细[[#This Row],[期初余额]]-贷款明细[[#This Row],[本金]],""), "")</f>
        <v>487500</v>
      </c>
      <c r="J173" s="3"/>
      <c r="K173" s="6"/>
    </row>
    <row r="174" spans="1:11" ht="20.100000000000001" customHeight="1" x14ac:dyDescent="0.25">
      <c r="A174" s="6"/>
      <c r="C174" s="14">
        <f ca="1">IFERROR(IF(贷款未偿还*贷款已清偿,贷款还款期数,""), "")</f>
        <v>163</v>
      </c>
      <c r="D174" s="15">
        <f ca="1">IFERROR(IF(贷款未偿还*贷款已清偿,还款日期,""), "")</f>
        <v>50361</v>
      </c>
      <c r="E174" s="16">
        <f ca="1">IFERROR(IF(贷款未偿还*贷款已清偿,I173,""), "")</f>
        <v>487500</v>
      </c>
      <c r="F174" s="16">
        <f ca="1">IFERROR(IF(贷款未偿还*贷款已清偿,贷款明细[[#This Row],[本金]]+贷款明细[[#This Row],[利息]],""), "")</f>
        <v>7854.6875</v>
      </c>
      <c r="G174" s="16">
        <f ca="1">IFERROR(IF(贷款未偿还*贷款已清偿,贷款金额/贷款分期次数,""), "")</f>
        <v>6250</v>
      </c>
      <c r="H174" s="16">
        <f ca="1">IFERROR(IF(贷款未偿还*贷款已清偿,贷款明细[[#This Row],[期初余额]]*贷款年利率/12,""), "")</f>
        <v>1604.6875</v>
      </c>
      <c r="I174" s="16">
        <f ca="1">IFERROR(IF(贷款未偿还*贷款已清偿,贷款明细[[#This Row],[期初余额]]-贷款明细[[#This Row],[本金]],""), "")</f>
        <v>481250</v>
      </c>
      <c r="J174" s="3"/>
      <c r="K174" s="6"/>
    </row>
    <row r="175" spans="1:11" ht="20.100000000000001" customHeight="1" x14ac:dyDescent="0.25">
      <c r="A175" s="6"/>
      <c r="C175" s="14">
        <f ca="1">IFERROR(IF(贷款未偿还*贷款已清偿,贷款还款期数,""), "")</f>
        <v>164</v>
      </c>
      <c r="D175" s="15">
        <f ca="1">IFERROR(IF(贷款未偿还*贷款已清偿,还款日期,""), "")</f>
        <v>50391</v>
      </c>
      <c r="E175" s="16">
        <f ca="1">IFERROR(IF(贷款未偿还*贷款已清偿,I174,""), "")</f>
        <v>481250</v>
      </c>
      <c r="F175" s="16">
        <f ca="1">IFERROR(IF(贷款未偿还*贷款已清偿,贷款明细[[#This Row],[本金]]+贷款明细[[#This Row],[利息]],""), "")</f>
        <v>7834.114583333333</v>
      </c>
      <c r="G175" s="16">
        <f ca="1">IFERROR(IF(贷款未偿还*贷款已清偿,贷款金额/贷款分期次数,""), "")</f>
        <v>6250</v>
      </c>
      <c r="H175" s="16">
        <f ca="1">IFERROR(IF(贷款未偿还*贷款已清偿,贷款明细[[#This Row],[期初余额]]*贷款年利率/12,""), "")</f>
        <v>1584.1145833333333</v>
      </c>
      <c r="I175" s="16">
        <f ca="1">IFERROR(IF(贷款未偿还*贷款已清偿,贷款明细[[#This Row],[期初余额]]-贷款明细[[#This Row],[本金]],""), "")</f>
        <v>475000</v>
      </c>
      <c r="J175" s="3"/>
      <c r="K175" s="6"/>
    </row>
    <row r="176" spans="1:11" ht="20.100000000000001" customHeight="1" x14ac:dyDescent="0.25">
      <c r="A176" s="6"/>
      <c r="C176" s="14">
        <f ca="1">IFERROR(IF(贷款未偿还*贷款已清偿,贷款还款期数,""), "")</f>
        <v>165</v>
      </c>
      <c r="D176" s="15">
        <f ca="1">IFERROR(IF(贷款未偿还*贷款已清偿,还款日期,""), "")</f>
        <v>50422</v>
      </c>
      <c r="E176" s="16">
        <f ca="1">IFERROR(IF(贷款未偿还*贷款已清偿,I175,""), "")</f>
        <v>475000</v>
      </c>
      <c r="F176" s="16">
        <f ca="1">IFERROR(IF(贷款未偿还*贷款已清偿,贷款明细[[#This Row],[本金]]+贷款明细[[#This Row],[利息]],""), "")</f>
        <v>7813.541666666667</v>
      </c>
      <c r="G176" s="16">
        <f ca="1">IFERROR(IF(贷款未偿还*贷款已清偿,贷款金额/贷款分期次数,""), "")</f>
        <v>6250</v>
      </c>
      <c r="H176" s="16">
        <f ca="1">IFERROR(IF(贷款未偿还*贷款已清偿,贷款明细[[#This Row],[期初余额]]*贷款年利率/12,""), "")</f>
        <v>1563.5416666666667</v>
      </c>
      <c r="I176" s="16">
        <f ca="1">IFERROR(IF(贷款未偿还*贷款已清偿,贷款明细[[#This Row],[期初余额]]-贷款明细[[#This Row],[本金]],""), "")</f>
        <v>468750</v>
      </c>
      <c r="J176" s="3"/>
      <c r="K176" s="6"/>
    </row>
    <row r="177" spans="1:11" ht="20.100000000000001" customHeight="1" x14ac:dyDescent="0.25">
      <c r="A177" s="6"/>
      <c r="C177" s="14">
        <f ca="1">IFERROR(IF(贷款未偿还*贷款已清偿,贷款还款期数,""), "")</f>
        <v>166</v>
      </c>
      <c r="D177" s="15">
        <f ca="1">IFERROR(IF(贷款未偿还*贷款已清偿,还款日期,""), "")</f>
        <v>50453</v>
      </c>
      <c r="E177" s="16">
        <f ca="1">IFERROR(IF(贷款未偿还*贷款已清偿,I176,""), "")</f>
        <v>468750</v>
      </c>
      <c r="F177" s="16">
        <f ca="1">IFERROR(IF(贷款未偿还*贷款已清偿,贷款明细[[#This Row],[本金]]+贷款明细[[#This Row],[利息]],""), "")</f>
        <v>7792.96875</v>
      </c>
      <c r="G177" s="16">
        <f ca="1">IFERROR(IF(贷款未偿还*贷款已清偿,贷款金额/贷款分期次数,""), "")</f>
        <v>6250</v>
      </c>
      <c r="H177" s="16">
        <f ca="1">IFERROR(IF(贷款未偿还*贷款已清偿,贷款明细[[#This Row],[期初余额]]*贷款年利率/12,""), "")</f>
        <v>1542.96875</v>
      </c>
      <c r="I177" s="16">
        <f ca="1">IFERROR(IF(贷款未偿还*贷款已清偿,贷款明细[[#This Row],[期初余额]]-贷款明细[[#This Row],[本金]],""), "")</f>
        <v>462500</v>
      </c>
      <c r="J177" s="3"/>
      <c r="K177" s="6"/>
    </row>
    <row r="178" spans="1:11" ht="20.100000000000001" customHeight="1" x14ac:dyDescent="0.25">
      <c r="A178" s="6"/>
      <c r="C178" s="14">
        <f ca="1">IFERROR(IF(贷款未偿还*贷款已清偿,贷款还款期数,""), "")</f>
        <v>167</v>
      </c>
      <c r="D178" s="15">
        <f ca="1">IFERROR(IF(贷款未偿还*贷款已清偿,还款日期,""), "")</f>
        <v>50481</v>
      </c>
      <c r="E178" s="16">
        <f ca="1">IFERROR(IF(贷款未偿还*贷款已清偿,I177,""), "")</f>
        <v>462500</v>
      </c>
      <c r="F178" s="16">
        <f ca="1">IFERROR(IF(贷款未偿还*贷款已清偿,贷款明细[[#This Row],[本金]]+贷款明细[[#This Row],[利息]],""), "")</f>
        <v>7772.395833333333</v>
      </c>
      <c r="G178" s="16">
        <f ca="1">IFERROR(IF(贷款未偿还*贷款已清偿,贷款金额/贷款分期次数,""), "")</f>
        <v>6250</v>
      </c>
      <c r="H178" s="16">
        <f ca="1">IFERROR(IF(贷款未偿还*贷款已清偿,贷款明细[[#This Row],[期初余额]]*贷款年利率/12,""), "")</f>
        <v>1522.3958333333333</v>
      </c>
      <c r="I178" s="16">
        <f ca="1">IFERROR(IF(贷款未偿还*贷款已清偿,贷款明细[[#This Row],[期初余额]]-贷款明细[[#This Row],[本金]],""), "")</f>
        <v>456250</v>
      </c>
      <c r="J178" s="3"/>
      <c r="K178" s="6"/>
    </row>
    <row r="179" spans="1:11" ht="20.100000000000001" customHeight="1" x14ac:dyDescent="0.25">
      <c r="A179" s="6"/>
      <c r="C179" s="14">
        <f ca="1">IFERROR(IF(贷款未偿还*贷款已清偿,贷款还款期数,""), "")</f>
        <v>168</v>
      </c>
      <c r="D179" s="15">
        <f ca="1">IFERROR(IF(贷款未偿还*贷款已清偿,还款日期,""), "")</f>
        <v>50512</v>
      </c>
      <c r="E179" s="16">
        <f ca="1">IFERROR(IF(贷款未偿还*贷款已清偿,I178,""), "")</f>
        <v>456250</v>
      </c>
      <c r="F179" s="16">
        <f ca="1">IFERROR(IF(贷款未偿还*贷款已清偿,贷款明细[[#This Row],[本金]]+贷款明细[[#This Row],[利息]],""), "")</f>
        <v>7751.822916666667</v>
      </c>
      <c r="G179" s="16">
        <f ca="1">IFERROR(IF(贷款未偿还*贷款已清偿,贷款金额/贷款分期次数,""), "")</f>
        <v>6250</v>
      </c>
      <c r="H179" s="16">
        <f ca="1">IFERROR(IF(贷款未偿还*贷款已清偿,贷款明细[[#This Row],[期初余额]]*贷款年利率/12,""), "")</f>
        <v>1501.8229166666667</v>
      </c>
      <c r="I179" s="16">
        <f ca="1">IFERROR(IF(贷款未偿还*贷款已清偿,贷款明细[[#This Row],[期初余额]]-贷款明细[[#This Row],[本金]],""), "")</f>
        <v>450000</v>
      </c>
      <c r="J179" s="3"/>
      <c r="K179" s="6"/>
    </row>
    <row r="180" spans="1:11" ht="20.100000000000001" customHeight="1" x14ac:dyDescent="0.25">
      <c r="A180" s="6"/>
      <c r="C180" s="14">
        <f ca="1">IFERROR(IF(贷款未偿还*贷款已清偿,贷款还款期数,""), "")</f>
        <v>169</v>
      </c>
      <c r="D180" s="15">
        <f ca="1">IFERROR(IF(贷款未偿还*贷款已清偿,还款日期,""), "")</f>
        <v>50542</v>
      </c>
      <c r="E180" s="16">
        <f ca="1">IFERROR(IF(贷款未偿还*贷款已清偿,I179,""), "")</f>
        <v>450000</v>
      </c>
      <c r="F180" s="16">
        <f ca="1">IFERROR(IF(贷款未偿还*贷款已清偿,贷款明细[[#This Row],[本金]]+贷款明细[[#This Row],[利息]],""), "")</f>
        <v>7731.25</v>
      </c>
      <c r="G180" s="16">
        <f ca="1">IFERROR(IF(贷款未偿还*贷款已清偿,贷款金额/贷款分期次数,""), "")</f>
        <v>6250</v>
      </c>
      <c r="H180" s="16">
        <f ca="1">IFERROR(IF(贷款未偿还*贷款已清偿,贷款明细[[#This Row],[期初余额]]*贷款年利率/12,""), "")</f>
        <v>1481.25</v>
      </c>
      <c r="I180" s="16">
        <f ca="1">IFERROR(IF(贷款未偿还*贷款已清偿,贷款明细[[#This Row],[期初余额]]-贷款明细[[#This Row],[本金]],""), "")</f>
        <v>443750</v>
      </c>
      <c r="J180" s="3"/>
      <c r="K180" s="6"/>
    </row>
    <row r="181" spans="1:11" ht="20.100000000000001" customHeight="1" x14ac:dyDescent="0.25">
      <c r="A181" s="6"/>
      <c r="C181" s="14">
        <f ca="1">IFERROR(IF(贷款未偿还*贷款已清偿,贷款还款期数,""), "")</f>
        <v>170</v>
      </c>
      <c r="D181" s="15">
        <f ca="1">IFERROR(IF(贷款未偿还*贷款已清偿,还款日期,""), "")</f>
        <v>50573</v>
      </c>
      <c r="E181" s="16">
        <f ca="1">IFERROR(IF(贷款未偿还*贷款已清偿,I180,""), "")</f>
        <v>443750</v>
      </c>
      <c r="F181" s="16">
        <f ca="1">IFERROR(IF(贷款未偿还*贷款已清偿,贷款明细[[#This Row],[本金]]+贷款明细[[#This Row],[利息]],""), "")</f>
        <v>7710.677083333333</v>
      </c>
      <c r="G181" s="16">
        <f ca="1">IFERROR(IF(贷款未偿还*贷款已清偿,贷款金额/贷款分期次数,""), "")</f>
        <v>6250</v>
      </c>
      <c r="H181" s="16">
        <f ca="1">IFERROR(IF(贷款未偿还*贷款已清偿,贷款明细[[#This Row],[期初余额]]*贷款年利率/12,""), "")</f>
        <v>1460.6770833333333</v>
      </c>
      <c r="I181" s="16">
        <f ca="1">IFERROR(IF(贷款未偿还*贷款已清偿,贷款明细[[#This Row],[期初余额]]-贷款明细[[#This Row],[本金]],""), "")</f>
        <v>437500</v>
      </c>
      <c r="J181" s="3"/>
      <c r="K181" s="6"/>
    </row>
    <row r="182" spans="1:11" ht="20.100000000000001" customHeight="1" x14ac:dyDescent="0.25">
      <c r="A182" s="6"/>
      <c r="C182" s="14">
        <f ca="1">IFERROR(IF(贷款未偿还*贷款已清偿,贷款还款期数,""), "")</f>
        <v>171</v>
      </c>
      <c r="D182" s="15">
        <f ca="1">IFERROR(IF(贷款未偿还*贷款已清偿,还款日期,""), "")</f>
        <v>50603</v>
      </c>
      <c r="E182" s="16">
        <f ca="1">IFERROR(IF(贷款未偿还*贷款已清偿,I181,""), "")</f>
        <v>437500</v>
      </c>
      <c r="F182" s="16">
        <f ca="1">IFERROR(IF(贷款未偿还*贷款已清偿,贷款明细[[#This Row],[本金]]+贷款明细[[#This Row],[利息]],""), "")</f>
        <v>7690.104166666667</v>
      </c>
      <c r="G182" s="16">
        <f ca="1">IFERROR(IF(贷款未偿还*贷款已清偿,贷款金额/贷款分期次数,""), "")</f>
        <v>6250</v>
      </c>
      <c r="H182" s="16">
        <f ca="1">IFERROR(IF(贷款未偿还*贷款已清偿,贷款明细[[#This Row],[期初余额]]*贷款年利率/12,""), "")</f>
        <v>1440.1041666666667</v>
      </c>
      <c r="I182" s="16">
        <f ca="1">IFERROR(IF(贷款未偿还*贷款已清偿,贷款明细[[#This Row],[期初余额]]-贷款明细[[#This Row],[本金]],""), "")</f>
        <v>431250</v>
      </c>
      <c r="J182" s="3"/>
      <c r="K182" s="6"/>
    </row>
    <row r="183" spans="1:11" ht="20.100000000000001" customHeight="1" x14ac:dyDescent="0.25">
      <c r="A183" s="6"/>
      <c r="C183" s="14">
        <f ca="1">IFERROR(IF(贷款未偿还*贷款已清偿,贷款还款期数,""), "")</f>
        <v>172</v>
      </c>
      <c r="D183" s="15">
        <f ca="1">IFERROR(IF(贷款未偿还*贷款已清偿,还款日期,""), "")</f>
        <v>50634</v>
      </c>
      <c r="E183" s="16">
        <f ca="1">IFERROR(IF(贷款未偿还*贷款已清偿,I182,""), "")</f>
        <v>431250</v>
      </c>
      <c r="F183" s="16">
        <f ca="1">IFERROR(IF(贷款未偿还*贷款已清偿,贷款明细[[#This Row],[本金]]+贷款明细[[#This Row],[利息]],""), "")</f>
        <v>7669.53125</v>
      </c>
      <c r="G183" s="16">
        <f ca="1">IFERROR(IF(贷款未偿还*贷款已清偿,贷款金额/贷款分期次数,""), "")</f>
        <v>6250</v>
      </c>
      <c r="H183" s="16">
        <f ca="1">IFERROR(IF(贷款未偿还*贷款已清偿,贷款明细[[#This Row],[期初余额]]*贷款年利率/12,""), "")</f>
        <v>1419.53125</v>
      </c>
      <c r="I183" s="16">
        <f ca="1">IFERROR(IF(贷款未偿还*贷款已清偿,贷款明细[[#This Row],[期初余额]]-贷款明细[[#This Row],[本金]],""), "")</f>
        <v>425000</v>
      </c>
      <c r="J183" s="3"/>
      <c r="K183" s="6"/>
    </row>
    <row r="184" spans="1:11" ht="20.100000000000001" customHeight="1" x14ac:dyDescent="0.25">
      <c r="A184" s="6"/>
      <c r="C184" s="14">
        <f ca="1">IFERROR(IF(贷款未偿还*贷款已清偿,贷款还款期数,""), "")</f>
        <v>173</v>
      </c>
      <c r="D184" s="15">
        <f ca="1">IFERROR(IF(贷款未偿还*贷款已清偿,还款日期,""), "")</f>
        <v>50665</v>
      </c>
      <c r="E184" s="16">
        <f ca="1">IFERROR(IF(贷款未偿还*贷款已清偿,I183,""), "")</f>
        <v>425000</v>
      </c>
      <c r="F184" s="16">
        <f ca="1">IFERROR(IF(贷款未偿还*贷款已清偿,贷款明细[[#This Row],[本金]]+贷款明细[[#This Row],[利息]],""), "")</f>
        <v>7648.958333333333</v>
      </c>
      <c r="G184" s="16">
        <f ca="1">IFERROR(IF(贷款未偿还*贷款已清偿,贷款金额/贷款分期次数,""), "")</f>
        <v>6250</v>
      </c>
      <c r="H184" s="16">
        <f ca="1">IFERROR(IF(贷款未偿还*贷款已清偿,贷款明细[[#This Row],[期初余额]]*贷款年利率/12,""), "")</f>
        <v>1398.9583333333333</v>
      </c>
      <c r="I184" s="16">
        <f ca="1">IFERROR(IF(贷款未偿还*贷款已清偿,贷款明细[[#This Row],[期初余额]]-贷款明细[[#This Row],[本金]],""), "")</f>
        <v>418750</v>
      </c>
      <c r="J184" s="3"/>
      <c r="K184" s="6"/>
    </row>
    <row r="185" spans="1:11" ht="20.100000000000001" customHeight="1" x14ac:dyDescent="0.25">
      <c r="A185" s="6"/>
      <c r="C185" s="14">
        <f ca="1">IFERROR(IF(贷款未偿还*贷款已清偿,贷款还款期数,""), "")</f>
        <v>174</v>
      </c>
      <c r="D185" s="15">
        <f ca="1">IFERROR(IF(贷款未偿还*贷款已清偿,还款日期,""), "")</f>
        <v>50695</v>
      </c>
      <c r="E185" s="16">
        <f ca="1">IFERROR(IF(贷款未偿还*贷款已清偿,I184,""), "")</f>
        <v>418750</v>
      </c>
      <c r="F185" s="16">
        <f ca="1">IFERROR(IF(贷款未偿还*贷款已清偿,贷款明细[[#This Row],[本金]]+贷款明细[[#This Row],[利息]],""), "")</f>
        <v>7628.385416666667</v>
      </c>
      <c r="G185" s="16">
        <f ca="1">IFERROR(IF(贷款未偿还*贷款已清偿,贷款金额/贷款分期次数,""), "")</f>
        <v>6250</v>
      </c>
      <c r="H185" s="16">
        <f ca="1">IFERROR(IF(贷款未偿还*贷款已清偿,贷款明细[[#This Row],[期初余额]]*贷款年利率/12,""), "")</f>
        <v>1378.3854166666667</v>
      </c>
      <c r="I185" s="16">
        <f ca="1">IFERROR(IF(贷款未偿还*贷款已清偿,贷款明细[[#This Row],[期初余额]]-贷款明细[[#This Row],[本金]],""), "")</f>
        <v>412500</v>
      </c>
      <c r="J185" s="3"/>
      <c r="K185" s="6"/>
    </row>
    <row r="186" spans="1:11" ht="20.100000000000001" customHeight="1" x14ac:dyDescent="0.25">
      <c r="A186" s="6"/>
      <c r="C186" s="14">
        <f ca="1">IFERROR(IF(贷款未偿还*贷款已清偿,贷款还款期数,""), "")</f>
        <v>175</v>
      </c>
      <c r="D186" s="15">
        <f ca="1">IFERROR(IF(贷款未偿还*贷款已清偿,还款日期,""), "")</f>
        <v>50726</v>
      </c>
      <c r="E186" s="16">
        <f ca="1">IFERROR(IF(贷款未偿还*贷款已清偿,I185,""), "")</f>
        <v>412500</v>
      </c>
      <c r="F186" s="16">
        <f ca="1">IFERROR(IF(贷款未偿还*贷款已清偿,贷款明细[[#This Row],[本金]]+贷款明细[[#This Row],[利息]],""), "")</f>
        <v>7607.8125</v>
      </c>
      <c r="G186" s="16">
        <f ca="1">IFERROR(IF(贷款未偿还*贷款已清偿,贷款金额/贷款分期次数,""), "")</f>
        <v>6250</v>
      </c>
      <c r="H186" s="16">
        <f ca="1">IFERROR(IF(贷款未偿还*贷款已清偿,贷款明细[[#This Row],[期初余额]]*贷款年利率/12,""), "")</f>
        <v>1357.8125</v>
      </c>
      <c r="I186" s="16">
        <f ca="1">IFERROR(IF(贷款未偿还*贷款已清偿,贷款明细[[#This Row],[期初余额]]-贷款明细[[#This Row],[本金]],""), "")</f>
        <v>406250</v>
      </c>
      <c r="J186" s="3"/>
      <c r="K186" s="6"/>
    </row>
    <row r="187" spans="1:11" ht="20.100000000000001" customHeight="1" x14ac:dyDescent="0.25">
      <c r="A187" s="6"/>
      <c r="C187" s="14">
        <f ca="1">IFERROR(IF(贷款未偿还*贷款已清偿,贷款还款期数,""), "")</f>
        <v>176</v>
      </c>
      <c r="D187" s="15">
        <f ca="1">IFERROR(IF(贷款未偿还*贷款已清偿,还款日期,""), "")</f>
        <v>50756</v>
      </c>
      <c r="E187" s="16">
        <f ca="1">IFERROR(IF(贷款未偿还*贷款已清偿,I186,""), "")</f>
        <v>406250</v>
      </c>
      <c r="F187" s="16">
        <f ca="1">IFERROR(IF(贷款未偿还*贷款已清偿,贷款明细[[#This Row],[本金]]+贷款明细[[#This Row],[利息]],""), "")</f>
        <v>7587.239583333333</v>
      </c>
      <c r="G187" s="16">
        <f ca="1">IFERROR(IF(贷款未偿还*贷款已清偿,贷款金额/贷款分期次数,""), "")</f>
        <v>6250</v>
      </c>
      <c r="H187" s="16">
        <f ca="1">IFERROR(IF(贷款未偿还*贷款已清偿,贷款明细[[#This Row],[期初余额]]*贷款年利率/12,""), "")</f>
        <v>1337.2395833333333</v>
      </c>
      <c r="I187" s="16">
        <f ca="1">IFERROR(IF(贷款未偿还*贷款已清偿,贷款明细[[#This Row],[期初余额]]-贷款明细[[#This Row],[本金]],""), "")</f>
        <v>400000</v>
      </c>
      <c r="J187" s="3"/>
      <c r="K187" s="6"/>
    </row>
    <row r="188" spans="1:11" ht="20.100000000000001" customHeight="1" x14ac:dyDescent="0.25">
      <c r="A188" s="6"/>
      <c r="C188" s="14">
        <f ca="1">IFERROR(IF(贷款未偿还*贷款已清偿,贷款还款期数,""), "")</f>
        <v>177</v>
      </c>
      <c r="D188" s="15">
        <f ca="1">IFERROR(IF(贷款未偿还*贷款已清偿,还款日期,""), "")</f>
        <v>50787</v>
      </c>
      <c r="E188" s="16">
        <f ca="1">IFERROR(IF(贷款未偿还*贷款已清偿,I187,""), "")</f>
        <v>400000</v>
      </c>
      <c r="F188" s="16">
        <f ca="1">IFERROR(IF(贷款未偿还*贷款已清偿,贷款明细[[#This Row],[本金]]+贷款明细[[#This Row],[利息]],""), "")</f>
        <v>7566.666666666667</v>
      </c>
      <c r="G188" s="16">
        <f ca="1">IFERROR(IF(贷款未偿还*贷款已清偿,贷款金额/贷款分期次数,""), "")</f>
        <v>6250</v>
      </c>
      <c r="H188" s="16">
        <f ca="1">IFERROR(IF(贷款未偿还*贷款已清偿,贷款明细[[#This Row],[期初余额]]*贷款年利率/12,""), "")</f>
        <v>1316.6666666666667</v>
      </c>
      <c r="I188" s="16">
        <f ca="1">IFERROR(IF(贷款未偿还*贷款已清偿,贷款明细[[#This Row],[期初余额]]-贷款明细[[#This Row],[本金]],""), "")</f>
        <v>393750</v>
      </c>
      <c r="J188" s="3"/>
      <c r="K188" s="6"/>
    </row>
    <row r="189" spans="1:11" ht="20.100000000000001" customHeight="1" x14ac:dyDescent="0.25">
      <c r="A189" s="6"/>
      <c r="C189" s="14">
        <f ca="1">IFERROR(IF(贷款未偿还*贷款已清偿,贷款还款期数,""), "")</f>
        <v>178</v>
      </c>
      <c r="D189" s="15">
        <f ca="1">IFERROR(IF(贷款未偿还*贷款已清偿,还款日期,""), "")</f>
        <v>50818</v>
      </c>
      <c r="E189" s="16">
        <f ca="1">IFERROR(IF(贷款未偿还*贷款已清偿,I188,""), "")</f>
        <v>393750</v>
      </c>
      <c r="F189" s="16">
        <f ca="1">IFERROR(IF(贷款未偿还*贷款已清偿,贷款明细[[#This Row],[本金]]+贷款明细[[#This Row],[利息]],""), "")</f>
        <v>7546.09375</v>
      </c>
      <c r="G189" s="16">
        <f ca="1">IFERROR(IF(贷款未偿还*贷款已清偿,贷款金额/贷款分期次数,""), "")</f>
        <v>6250</v>
      </c>
      <c r="H189" s="16">
        <f ca="1">IFERROR(IF(贷款未偿还*贷款已清偿,贷款明细[[#This Row],[期初余额]]*贷款年利率/12,""), "")</f>
        <v>1296.09375</v>
      </c>
      <c r="I189" s="16">
        <f ca="1">IFERROR(IF(贷款未偿还*贷款已清偿,贷款明细[[#This Row],[期初余额]]-贷款明细[[#This Row],[本金]],""), "")</f>
        <v>387500</v>
      </c>
      <c r="J189" s="3"/>
      <c r="K189" s="6"/>
    </row>
    <row r="190" spans="1:11" ht="20.100000000000001" customHeight="1" x14ac:dyDescent="0.25">
      <c r="A190" s="6"/>
      <c r="C190" s="14">
        <f ca="1">IFERROR(IF(贷款未偿还*贷款已清偿,贷款还款期数,""), "")</f>
        <v>179</v>
      </c>
      <c r="D190" s="15">
        <f ca="1">IFERROR(IF(贷款未偿还*贷款已清偿,还款日期,""), "")</f>
        <v>50846</v>
      </c>
      <c r="E190" s="16">
        <f ca="1">IFERROR(IF(贷款未偿还*贷款已清偿,I189,""), "")</f>
        <v>387500</v>
      </c>
      <c r="F190" s="16">
        <f ca="1">IFERROR(IF(贷款未偿还*贷款已清偿,贷款明细[[#This Row],[本金]]+贷款明细[[#This Row],[利息]],""), "")</f>
        <v>7525.520833333333</v>
      </c>
      <c r="G190" s="16">
        <f ca="1">IFERROR(IF(贷款未偿还*贷款已清偿,贷款金额/贷款分期次数,""), "")</f>
        <v>6250</v>
      </c>
      <c r="H190" s="16">
        <f ca="1">IFERROR(IF(贷款未偿还*贷款已清偿,贷款明细[[#This Row],[期初余额]]*贷款年利率/12,""), "")</f>
        <v>1275.5208333333333</v>
      </c>
      <c r="I190" s="16">
        <f ca="1">IFERROR(IF(贷款未偿还*贷款已清偿,贷款明细[[#This Row],[期初余额]]-贷款明细[[#This Row],[本金]],""), "")</f>
        <v>381250</v>
      </c>
      <c r="J190" s="3"/>
      <c r="K190" s="6"/>
    </row>
    <row r="191" spans="1:11" ht="20.100000000000001" customHeight="1" x14ac:dyDescent="0.25">
      <c r="A191" s="6"/>
      <c r="C191" s="14">
        <f ca="1">IFERROR(IF(贷款未偿还*贷款已清偿,贷款还款期数,""), "")</f>
        <v>180</v>
      </c>
      <c r="D191" s="15">
        <f ca="1">IFERROR(IF(贷款未偿还*贷款已清偿,还款日期,""), "")</f>
        <v>50877</v>
      </c>
      <c r="E191" s="16">
        <f ca="1">IFERROR(IF(贷款未偿还*贷款已清偿,I190,""), "")</f>
        <v>381250</v>
      </c>
      <c r="F191" s="16">
        <f ca="1">IFERROR(IF(贷款未偿还*贷款已清偿,贷款明细[[#This Row],[本金]]+贷款明细[[#This Row],[利息]],""), "")</f>
        <v>7504.947916666667</v>
      </c>
      <c r="G191" s="16">
        <f ca="1">IFERROR(IF(贷款未偿还*贷款已清偿,贷款金额/贷款分期次数,""), "")</f>
        <v>6250</v>
      </c>
      <c r="H191" s="16">
        <f ca="1">IFERROR(IF(贷款未偿还*贷款已清偿,贷款明细[[#This Row],[期初余额]]*贷款年利率/12,""), "")</f>
        <v>1254.9479166666667</v>
      </c>
      <c r="I191" s="16">
        <f ca="1">IFERROR(IF(贷款未偿还*贷款已清偿,贷款明细[[#This Row],[期初余额]]-贷款明细[[#This Row],[本金]],""), "")</f>
        <v>375000</v>
      </c>
      <c r="J191" s="3"/>
      <c r="K191" s="6"/>
    </row>
    <row r="192" spans="1:11" ht="20.100000000000001" customHeight="1" x14ac:dyDescent="0.25">
      <c r="A192" s="6"/>
      <c r="C192" s="14">
        <f ca="1">IFERROR(IF(贷款未偿还*贷款已清偿,贷款还款期数,""), "")</f>
        <v>181</v>
      </c>
      <c r="D192" s="15">
        <f ca="1">IFERROR(IF(贷款未偿还*贷款已清偿,还款日期,""), "")</f>
        <v>50907</v>
      </c>
      <c r="E192" s="16">
        <f ca="1">IFERROR(IF(贷款未偿还*贷款已清偿,I191,""), "")</f>
        <v>375000</v>
      </c>
      <c r="F192" s="16">
        <f ca="1">IFERROR(IF(贷款未偿还*贷款已清偿,贷款明细[[#This Row],[本金]]+贷款明细[[#This Row],[利息]],""), "")</f>
        <v>7484.375</v>
      </c>
      <c r="G192" s="16">
        <f ca="1">IFERROR(IF(贷款未偿还*贷款已清偿,贷款金额/贷款分期次数,""), "")</f>
        <v>6250</v>
      </c>
      <c r="H192" s="16">
        <f ca="1">IFERROR(IF(贷款未偿还*贷款已清偿,贷款明细[[#This Row],[期初余额]]*贷款年利率/12,""), "")</f>
        <v>1234.375</v>
      </c>
      <c r="I192" s="16">
        <f ca="1">IFERROR(IF(贷款未偿还*贷款已清偿,贷款明细[[#This Row],[期初余额]]-贷款明细[[#This Row],[本金]],""), "")</f>
        <v>368750</v>
      </c>
      <c r="J192" s="3"/>
      <c r="K192" s="6"/>
    </row>
    <row r="193" spans="1:11" ht="20.100000000000001" customHeight="1" x14ac:dyDescent="0.25">
      <c r="A193" s="6"/>
      <c r="C193" s="14">
        <f ca="1">IFERROR(IF(贷款未偿还*贷款已清偿,贷款还款期数,""), "")</f>
        <v>182</v>
      </c>
      <c r="D193" s="15">
        <f ca="1">IFERROR(IF(贷款未偿还*贷款已清偿,还款日期,""), "")</f>
        <v>50938</v>
      </c>
      <c r="E193" s="16">
        <f ca="1">IFERROR(IF(贷款未偿还*贷款已清偿,I192,""), "")</f>
        <v>368750</v>
      </c>
      <c r="F193" s="16">
        <f ca="1">IFERROR(IF(贷款未偿还*贷款已清偿,贷款明细[[#This Row],[本金]]+贷款明细[[#This Row],[利息]],""), "")</f>
        <v>7463.802083333333</v>
      </c>
      <c r="G193" s="16">
        <f ca="1">IFERROR(IF(贷款未偿还*贷款已清偿,贷款金额/贷款分期次数,""), "")</f>
        <v>6250</v>
      </c>
      <c r="H193" s="16">
        <f ca="1">IFERROR(IF(贷款未偿还*贷款已清偿,贷款明细[[#This Row],[期初余额]]*贷款年利率/12,""), "")</f>
        <v>1213.8020833333333</v>
      </c>
      <c r="I193" s="16">
        <f ca="1">IFERROR(IF(贷款未偿还*贷款已清偿,贷款明细[[#This Row],[期初余额]]-贷款明细[[#This Row],[本金]],""), "")</f>
        <v>362500</v>
      </c>
      <c r="J193" s="3"/>
      <c r="K193" s="6"/>
    </row>
    <row r="194" spans="1:11" ht="20.100000000000001" customHeight="1" x14ac:dyDescent="0.25">
      <c r="A194" s="6"/>
      <c r="C194" s="14">
        <f ca="1">IFERROR(IF(贷款未偿还*贷款已清偿,贷款还款期数,""), "")</f>
        <v>183</v>
      </c>
      <c r="D194" s="15">
        <f ca="1">IFERROR(IF(贷款未偿还*贷款已清偿,还款日期,""), "")</f>
        <v>50968</v>
      </c>
      <c r="E194" s="16">
        <f ca="1">IFERROR(IF(贷款未偿还*贷款已清偿,I193,""), "")</f>
        <v>362500</v>
      </c>
      <c r="F194" s="16">
        <f ca="1">IFERROR(IF(贷款未偿还*贷款已清偿,贷款明细[[#This Row],[本金]]+贷款明细[[#This Row],[利息]],""), "")</f>
        <v>7443.229166666667</v>
      </c>
      <c r="G194" s="16">
        <f ca="1">IFERROR(IF(贷款未偿还*贷款已清偿,贷款金额/贷款分期次数,""), "")</f>
        <v>6250</v>
      </c>
      <c r="H194" s="16">
        <f ca="1">IFERROR(IF(贷款未偿还*贷款已清偿,贷款明细[[#This Row],[期初余额]]*贷款年利率/12,""), "")</f>
        <v>1193.2291666666667</v>
      </c>
      <c r="I194" s="16">
        <f ca="1">IFERROR(IF(贷款未偿还*贷款已清偿,贷款明细[[#This Row],[期初余额]]-贷款明细[[#This Row],[本金]],""), "")</f>
        <v>356250</v>
      </c>
      <c r="J194" s="3"/>
      <c r="K194" s="6"/>
    </row>
    <row r="195" spans="1:11" ht="20.100000000000001" customHeight="1" x14ac:dyDescent="0.25">
      <c r="A195" s="6"/>
      <c r="C195" s="14">
        <f ca="1">IFERROR(IF(贷款未偿还*贷款已清偿,贷款还款期数,""), "")</f>
        <v>184</v>
      </c>
      <c r="D195" s="15">
        <f ca="1">IFERROR(IF(贷款未偿还*贷款已清偿,还款日期,""), "")</f>
        <v>50999</v>
      </c>
      <c r="E195" s="16">
        <f ca="1">IFERROR(IF(贷款未偿还*贷款已清偿,I194,""), "")</f>
        <v>356250</v>
      </c>
      <c r="F195" s="16">
        <f ca="1">IFERROR(IF(贷款未偿还*贷款已清偿,贷款明细[[#This Row],[本金]]+贷款明细[[#This Row],[利息]],""), "")</f>
        <v>7422.65625</v>
      </c>
      <c r="G195" s="16">
        <f ca="1">IFERROR(IF(贷款未偿还*贷款已清偿,贷款金额/贷款分期次数,""), "")</f>
        <v>6250</v>
      </c>
      <c r="H195" s="16">
        <f ca="1">IFERROR(IF(贷款未偿还*贷款已清偿,贷款明细[[#This Row],[期初余额]]*贷款年利率/12,""), "")</f>
        <v>1172.65625</v>
      </c>
      <c r="I195" s="16">
        <f ca="1">IFERROR(IF(贷款未偿还*贷款已清偿,贷款明细[[#This Row],[期初余额]]-贷款明细[[#This Row],[本金]],""), "")</f>
        <v>350000</v>
      </c>
      <c r="J195" s="3"/>
      <c r="K195" s="6"/>
    </row>
    <row r="196" spans="1:11" ht="20.100000000000001" customHeight="1" x14ac:dyDescent="0.25">
      <c r="A196" s="6"/>
      <c r="C196" s="14">
        <f ca="1">IFERROR(IF(贷款未偿还*贷款已清偿,贷款还款期数,""), "")</f>
        <v>185</v>
      </c>
      <c r="D196" s="15">
        <f ca="1">IFERROR(IF(贷款未偿还*贷款已清偿,还款日期,""), "")</f>
        <v>51030</v>
      </c>
      <c r="E196" s="16">
        <f ca="1">IFERROR(IF(贷款未偿还*贷款已清偿,I195,""), "")</f>
        <v>350000</v>
      </c>
      <c r="F196" s="16">
        <f ca="1">IFERROR(IF(贷款未偿还*贷款已清偿,贷款明细[[#This Row],[本金]]+贷款明细[[#This Row],[利息]],""), "")</f>
        <v>7402.083333333333</v>
      </c>
      <c r="G196" s="16">
        <f ca="1">IFERROR(IF(贷款未偿还*贷款已清偿,贷款金额/贷款分期次数,""), "")</f>
        <v>6250</v>
      </c>
      <c r="H196" s="16">
        <f ca="1">IFERROR(IF(贷款未偿还*贷款已清偿,贷款明细[[#This Row],[期初余额]]*贷款年利率/12,""), "")</f>
        <v>1152.0833333333333</v>
      </c>
      <c r="I196" s="16">
        <f ca="1">IFERROR(IF(贷款未偿还*贷款已清偿,贷款明细[[#This Row],[期初余额]]-贷款明细[[#This Row],[本金]],""), "")</f>
        <v>343750</v>
      </c>
      <c r="J196" s="3"/>
      <c r="K196" s="6"/>
    </row>
    <row r="197" spans="1:11" ht="20.100000000000001" customHeight="1" x14ac:dyDescent="0.25">
      <c r="A197" s="6"/>
      <c r="C197" s="14">
        <f ca="1">IFERROR(IF(贷款未偿还*贷款已清偿,贷款还款期数,""), "")</f>
        <v>186</v>
      </c>
      <c r="D197" s="15">
        <f ca="1">IFERROR(IF(贷款未偿还*贷款已清偿,还款日期,""), "")</f>
        <v>51060</v>
      </c>
      <c r="E197" s="16">
        <f ca="1">IFERROR(IF(贷款未偿还*贷款已清偿,I196,""), "")</f>
        <v>343750</v>
      </c>
      <c r="F197" s="16">
        <f ca="1">IFERROR(IF(贷款未偿还*贷款已清偿,贷款明细[[#This Row],[本金]]+贷款明细[[#This Row],[利息]],""), "")</f>
        <v>7381.510416666667</v>
      </c>
      <c r="G197" s="16">
        <f ca="1">IFERROR(IF(贷款未偿还*贷款已清偿,贷款金额/贷款分期次数,""), "")</f>
        <v>6250</v>
      </c>
      <c r="H197" s="16">
        <f ca="1">IFERROR(IF(贷款未偿还*贷款已清偿,贷款明细[[#This Row],[期初余额]]*贷款年利率/12,""), "")</f>
        <v>1131.5104166666667</v>
      </c>
      <c r="I197" s="16">
        <f ca="1">IFERROR(IF(贷款未偿还*贷款已清偿,贷款明细[[#This Row],[期初余额]]-贷款明细[[#This Row],[本金]],""), "")</f>
        <v>337500</v>
      </c>
      <c r="J197" s="3"/>
      <c r="K197" s="6"/>
    </row>
    <row r="198" spans="1:11" ht="20.100000000000001" customHeight="1" x14ac:dyDescent="0.25">
      <c r="A198" s="6"/>
      <c r="C198" s="14">
        <f ca="1">IFERROR(IF(贷款未偿还*贷款已清偿,贷款还款期数,""), "")</f>
        <v>187</v>
      </c>
      <c r="D198" s="15">
        <f ca="1">IFERROR(IF(贷款未偿还*贷款已清偿,还款日期,""), "")</f>
        <v>51091</v>
      </c>
      <c r="E198" s="16">
        <f ca="1">IFERROR(IF(贷款未偿还*贷款已清偿,I197,""), "")</f>
        <v>337500</v>
      </c>
      <c r="F198" s="16">
        <f ca="1">IFERROR(IF(贷款未偿还*贷款已清偿,贷款明细[[#This Row],[本金]]+贷款明细[[#This Row],[利息]],""), "")</f>
        <v>7360.9375</v>
      </c>
      <c r="G198" s="16">
        <f ca="1">IFERROR(IF(贷款未偿还*贷款已清偿,贷款金额/贷款分期次数,""), "")</f>
        <v>6250</v>
      </c>
      <c r="H198" s="16">
        <f ca="1">IFERROR(IF(贷款未偿还*贷款已清偿,贷款明细[[#This Row],[期初余额]]*贷款年利率/12,""), "")</f>
        <v>1110.9375</v>
      </c>
      <c r="I198" s="16">
        <f ca="1">IFERROR(IF(贷款未偿还*贷款已清偿,贷款明细[[#This Row],[期初余额]]-贷款明细[[#This Row],[本金]],""), "")</f>
        <v>331250</v>
      </c>
      <c r="J198" s="3"/>
      <c r="K198" s="6"/>
    </row>
    <row r="199" spans="1:11" ht="20.100000000000001" customHeight="1" x14ac:dyDescent="0.25">
      <c r="A199" s="6"/>
      <c r="C199" s="14">
        <f ca="1">IFERROR(IF(贷款未偿还*贷款已清偿,贷款还款期数,""), "")</f>
        <v>188</v>
      </c>
      <c r="D199" s="15">
        <f ca="1">IFERROR(IF(贷款未偿还*贷款已清偿,还款日期,""), "")</f>
        <v>51121</v>
      </c>
      <c r="E199" s="16">
        <f ca="1">IFERROR(IF(贷款未偿还*贷款已清偿,I198,""), "")</f>
        <v>331250</v>
      </c>
      <c r="F199" s="16">
        <f ca="1">IFERROR(IF(贷款未偿还*贷款已清偿,贷款明细[[#This Row],[本金]]+贷款明细[[#This Row],[利息]],""), "")</f>
        <v>7340.364583333333</v>
      </c>
      <c r="G199" s="16">
        <f ca="1">IFERROR(IF(贷款未偿还*贷款已清偿,贷款金额/贷款分期次数,""), "")</f>
        <v>6250</v>
      </c>
      <c r="H199" s="16">
        <f ca="1">IFERROR(IF(贷款未偿还*贷款已清偿,贷款明细[[#This Row],[期初余额]]*贷款年利率/12,""), "")</f>
        <v>1090.3645833333333</v>
      </c>
      <c r="I199" s="16">
        <f ca="1">IFERROR(IF(贷款未偿还*贷款已清偿,贷款明细[[#This Row],[期初余额]]-贷款明细[[#This Row],[本金]],""), "")</f>
        <v>325000</v>
      </c>
      <c r="J199" s="3"/>
      <c r="K199" s="6"/>
    </row>
    <row r="200" spans="1:11" ht="20.100000000000001" customHeight="1" x14ac:dyDescent="0.25">
      <c r="A200" s="6"/>
      <c r="C200" s="14">
        <f ca="1">IFERROR(IF(贷款未偿还*贷款已清偿,贷款还款期数,""), "")</f>
        <v>189</v>
      </c>
      <c r="D200" s="15">
        <f ca="1">IFERROR(IF(贷款未偿还*贷款已清偿,还款日期,""), "")</f>
        <v>51152</v>
      </c>
      <c r="E200" s="16">
        <f ca="1">IFERROR(IF(贷款未偿还*贷款已清偿,I199,""), "")</f>
        <v>325000</v>
      </c>
      <c r="F200" s="16">
        <f ca="1">IFERROR(IF(贷款未偿还*贷款已清偿,贷款明细[[#This Row],[本金]]+贷款明细[[#This Row],[利息]],""), "")</f>
        <v>7319.791666666667</v>
      </c>
      <c r="G200" s="16">
        <f ca="1">IFERROR(IF(贷款未偿还*贷款已清偿,贷款金额/贷款分期次数,""), "")</f>
        <v>6250</v>
      </c>
      <c r="H200" s="16">
        <f ca="1">IFERROR(IF(贷款未偿还*贷款已清偿,贷款明细[[#This Row],[期初余额]]*贷款年利率/12,""), "")</f>
        <v>1069.7916666666667</v>
      </c>
      <c r="I200" s="16">
        <f ca="1">IFERROR(IF(贷款未偿还*贷款已清偿,贷款明细[[#This Row],[期初余额]]-贷款明细[[#This Row],[本金]],""), "")</f>
        <v>318750</v>
      </c>
      <c r="J200" s="3"/>
      <c r="K200" s="6"/>
    </row>
    <row r="201" spans="1:11" ht="20.100000000000001" customHeight="1" x14ac:dyDescent="0.25">
      <c r="A201" s="6"/>
      <c r="C201" s="14">
        <f ca="1">IFERROR(IF(贷款未偿还*贷款已清偿,贷款还款期数,""), "")</f>
        <v>190</v>
      </c>
      <c r="D201" s="15">
        <f ca="1">IFERROR(IF(贷款未偿还*贷款已清偿,还款日期,""), "")</f>
        <v>51183</v>
      </c>
      <c r="E201" s="16">
        <f ca="1">IFERROR(IF(贷款未偿还*贷款已清偿,I200,""), "")</f>
        <v>318750</v>
      </c>
      <c r="F201" s="16">
        <f ca="1">IFERROR(IF(贷款未偿还*贷款已清偿,贷款明细[[#This Row],[本金]]+贷款明细[[#This Row],[利息]],""), "")</f>
        <v>7299.21875</v>
      </c>
      <c r="G201" s="16">
        <f ca="1">IFERROR(IF(贷款未偿还*贷款已清偿,贷款金额/贷款分期次数,""), "")</f>
        <v>6250</v>
      </c>
      <c r="H201" s="16">
        <f ca="1">IFERROR(IF(贷款未偿还*贷款已清偿,贷款明细[[#This Row],[期初余额]]*贷款年利率/12,""), "")</f>
        <v>1049.21875</v>
      </c>
      <c r="I201" s="16">
        <f ca="1">IFERROR(IF(贷款未偿还*贷款已清偿,贷款明细[[#This Row],[期初余额]]-贷款明细[[#This Row],[本金]],""), "")</f>
        <v>312500</v>
      </c>
      <c r="J201" s="3"/>
      <c r="K201" s="6"/>
    </row>
    <row r="202" spans="1:11" ht="20.100000000000001" customHeight="1" x14ac:dyDescent="0.25">
      <c r="A202" s="6"/>
      <c r="C202" s="14">
        <f ca="1">IFERROR(IF(贷款未偿还*贷款已清偿,贷款还款期数,""), "")</f>
        <v>191</v>
      </c>
      <c r="D202" s="15">
        <f ca="1">IFERROR(IF(贷款未偿还*贷款已清偿,还款日期,""), "")</f>
        <v>51212</v>
      </c>
      <c r="E202" s="16">
        <f ca="1">IFERROR(IF(贷款未偿还*贷款已清偿,I201,""), "")</f>
        <v>312500</v>
      </c>
      <c r="F202" s="16">
        <f ca="1">IFERROR(IF(贷款未偿还*贷款已清偿,贷款明细[[#This Row],[本金]]+贷款明细[[#This Row],[利息]],""), "")</f>
        <v>7278.645833333333</v>
      </c>
      <c r="G202" s="16">
        <f ca="1">IFERROR(IF(贷款未偿还*贷款已清偿,贷款金额/贷款分期次数,""), "")</f>
        <v>6250</v>
      </c>
      <c r="H202" s="16">
        <f ca="1">IFERROR(IF(贷款未偿还*贷款已清偿,贷款明细[[#This Row],[期初余额]]*贷款年利率/12,""), "")</f>
        <v>1028.6458333333333</v>
      </c>
      <c r="I202" s="16">
        <f ca="1">IFERROR(IF(贷款未偿还*贷款已清偿,贷款明细[[#This Row],[期初余额]]-贷款明细[[#This Row],[本金]],""), "")</f>
        <v>306250</v>
      </c>
      <c r="J202" s="3"/>
      <c r="K202" s="6"/>
    </row>
    <row r="203" spans="1:11" ht="20.100000000000001" customHeight="1" x14ac:dyDescent="0.25">
      <c r="A203" s="6"/>
      <c r="C203" s="14">
        <f ca="1">IFERROR(IF(贷款未偿还*贷款已清偿,贷款还款期数,""), "")</f>
        <v>192</v>
      </c>
      <c r="D203" s="15">
        <f ca="1">IFERROR(IF(贷款未偿还*贷款已清偿,还款日期,""), "")</f>
        <v>51243</v>
      </c>
      <c r="E203" s="16">
        <f ca="1">IFERROR(IF(贷款未偿还*贷款已清偿,I202,""), "")</f>
        <v>306250</v>
      </c>
      <c r="F203" s="16">
        <f ca="1">IFERROR(IF(贷款未偿还*贷款已清偿,贷款明细[[#This Row],[本金]]+贷款明细[[#This Row],[利息]],""), "")</f>
        <v>7258.072916666667</v>
      </c>
      <c r="G203" s="16">
        <f ca="1">IFERROR(IF(贷款未偿还*贷款已清偿,贷款金额/贷款分期次数,""), "")</f>
        <v>6250</v>
      </c>
      <c r="H203" s="16">
        <f ca="1">IFERROR(IF(贷款未偿还*贷款已清偿,贷款明细[[#This Row],[期初余额]]*贷款年利率/12,""), "")</f>
        <v>1008.0729166666666</v>
      </c>
      <c r="I203" s="16">
        <f ca="1">IFERROR(IF(贷款未偿还*贷款已清偿,贷款明细[[#This Row],[期初余额]]-贷款明细[[#This Row],[本金]],""), "")</f>
        <v>300000</v>
      </c>
      <c r="J203" s="3"/>
      <c r="K203" s="6"/>
    </row>
    <row r="204" spans="1:11" ht="20.100000000000001" customHeight="1" x14ac:dyDescent="0.25">
      <c r="A204" s="6"/>
      <c r="C204" s="14">
        <f ca="1">IFERROR(IF(贷款未偿还*贷款已清偿,贷款还款期数,""), "")</f>
        <v>193</v>
      </c>
      <c r="D204" s="15">
        <f ca="1">IFERROR(IF(贷款未偿还*贷款已清偿,还款日期,""), "")</f>
        <v>51273</v>
      </c>
      <c r="E204" s="16">
        <f ca="1">IFERROR(IF(贷款未偿还*贷款已清偿,I203,""), "")</f>
        <v>300000</v>
      </c>
      <c r="F204" s="16">
        <f ca="1">IFERROR(IF(贷款未偿还*贷款已清偿,贷款明细[[#This Row],[本金]]+贷款明细[[#This Row],[利息]],""), "")</f>
        <v>7237.5</v>
      </c>
      <c r="G204" s="16">
        <f ca="1">IFERROR(IF(贷款未偿还*贷款已清偿,贷款金额/贷款分期次数,""), "")</f>
        <v>6250</v>
      </c>
      <c r="H204" s="16">
        <f ca="1">IFERROR(IF(贷款未偿还*贷款已清偿,贷款明细[[#This Row],[期初余额]]*贷款年利率/12,""), "")</f>
        <v>987.5</v>
      </c>
      <c r="I204" s="16">
        <f ca="1">IFERROR(IF(贷款未偿还*贷款已清偿,贷款明细[[#This Row],[期初余额]]-贷款明细[[#This Row],[本金]],""), "")</f>
        <v>293750</v>
      </c>
      <c r="J204" s="3"/>
      <c r="K204" s="6"/>
    </row>
    <row r="205" spans="1:11" ht="20.100000000000001" customHeight="1" x14ac:dyDescent="0.25">
      <c r="A205" s="6"/>
      <c r="C205" s="14">
        <f ca="1">IFERROR(IF(贷款未偿还*贷款已清偿,贷款还款期数,""), "")</f>
        <v>194</v>
      </c>
      <c r="D205" s="15">
        <f ca="1">IFERROR(IF(贷款未偿还*贷款已清偿,还款日期,""), "")</f>
        <v>51304</v>
      </c>
      <c r="E205" s="16">
        <f ca="1">IFERROR(IF(贷款未偿还*贷款已清偿,I204,""), "")</f>
        <v>293750</v>
      </c>
      <c r="F205" s="16">
        <f ca="1">IFERROR(IF(贷款未偿还*贷款已清偿,贷款明细[[#This Row],[本金]]+贷款明细[[#This Row],[利息]],""), "")</f>
        <v>7216.927083333333</v>
      </c>
      <c r="G205" s="16">
        <f ca="1">IFERROR(IF(贷款未偿还*贷款已清偿,贷款金额/贷款分期次数,""), "")</f>
        <v>6250</v>
      </c>
      <c r="H205" s="16">
        <f ca="1">IFERROR(IF(贷款未偿还*贷款已清偿,贷款明细[[#This Row],[期初余额]]*贷款年利率/12,""), "")</f>
        <v>966.92708333333337</v>
      </c>
      <c r="I205" s="16">
        <f ca="1">IFERROR(IF(贷款未偿还*贷款已清偿,贷款明细[[#This Row],[期初余额]]-贷款明细[[#This Row],[本金]],""), "")</f>
        <v>287500</v>
      </c>
      <c r="J205" s="3"/>
      <c r="K205" s="6"/>
    </row>
    <row r="206" spans="1:11" ht="20.100000000000001" customHeight="1" x14ac:dyDescent="0.25">
      <c r="A206" s="6"/>
      <c r="C206" s="14">
        <f ca="1">IFERROR(IF(贷款未偿还*贷款已清偿,贷款还款期数,""), "")</f>
        <v>195</v>
      </c>
      <c r="D206" s="15">
        <f ca="1">IFERROR(IF(贷款未偿还*贷款已清偿,还款日期,""), "")</f>
        <v>51334</v>
      </c>
      <c r="E206" s="16">
        <f ca="1">IFERROR(IF(贷款未偿还*贷款已清偿,I205,""), "")</f>
        <v>287500</v>
      </c>
      <c r="F206" s="16">
        <f ca="1">IFERROR(IF(贷款未偿还*贷款已清偿,贷款明细[[#This Row],[本金]]+贷款明细[[#This Row],[利息]],""), "")</f>
        <v>7196.354166666667</v>
      </c>
      <c r="G206" s="16">
        <f ca="1">IFERROR(IF(贷款未偿还*贷款已清偿,贷款金额/贷款分期次数,""), "")</f>
        <v>6250</v>
      </c>
      <c r="H206" s="16">
        <f ca="1">IFERROR(IF(贷款未偿还*贷款已清偿,贷款明细[[#This Row],[期初余额]]*贷款年利率/12,""), "")</f>
        <v>946.35416666666663</v>
      </c>
      <c r="I206" s="16">
        <f ca="1">IFERROR(IF(贷款未偿还*贷款已清偿,贷款明细[[#This Row],[期初余额]]-贷款明细[[#This Row],[本金]],""), "")</f>
        <v>281250</v>
      </c>
      <c r="J206" s="3"/>
      <c r="K206" s="6"/>
    </row>
    <row r="207" spans="1:11" ht="20.100000000000001" customHeight="1" x14ac:dyDescent="0.25">
      <c r="A207" s="6"/>
      <c r="C207" s="14">
        <f ca="1">IFERROR(IF(贷款未偿还*贷款已清偿,贷款还款期数,""), "")</f>
        <v>196</v>
      </c>
      <c r="D207" s="15">
        <f ca="1">IFERROR(IF(贷款未偿还*贷款已清偿,还款日期,""), "")</f>
        <v>51365</v>
      </c>
      <c r="E207" s="16">
        <f ca="1">IFERROR(IF(贷款未偿还*贷款已清偿,I206,""), "")</f>
        <v>281250</v>
      </c>
      <c r="F207" s="16">
        <f ca="1">IFERROR(IF(贷款未偿还*贷款已清偿,贷款明细[[#This Row],[本金]]+贷款明细[[#This Row],[利息]],""), "")</f>
        <v>7175.78125</v>
      </c>
      <c r="G207" s="16">
        <f ca="1">IFERROR(IF(贷款未偿还*贷款已清偿,贷款金额/贷款分期次数,""), "")</f>
        <v>6250</v>
      </c>
      <c r="H207" s="16">
        <f ca="1">IFERROR(IF(贷款未偿还*贷款已清偿,贷款明细[[#This Row],[期初余额]]*贷款年利率/12,""), "")</f>
        <v>925.78125</v>
      </c>
      <c r="I207" s="16">
        <f ca="1">IFERROR(IF(贷款未偿还*贷款已清偿,贷款明细[[#This Row],[期初余额]]-贷款明细[[#This Row],[本金]],""), "")</f>
        <v>275000</v>
      </c>
      <c r="J207" s="3"/>
      <c r="K207" s="6"/>
    </row>
    <row r="208" spans="1:11" ht="20.100000000000001" customHeight="1" x14ac:dyDescent="0.25">
      <c r="A208" s="6"/>
      <c r="C208" s="14">
        <f ca="1">IFERROR(IF(贷款未偿还*贷款已清偿,贷款还款期数,""), "")</f>
        <v>197</v>
      </c>
      <c r="D208" s="15">
        <f ca="1">IFERROR(IF(贷款未偿还*贷款已清偿,还款日期,""), "")</f>
        <v>51396</v>
      </c>
      <c r="E208" s="16">
        <f ca="1">IFERROR(IF(贷款未偿还*贷款已清偿,I207,""), "")</f>
        <v>275000</v>
      </c>
      <c r="F208" s="16">
        <f ca="1">IFERROR(IF(贷款未偿还*贷款已清偿,贷款明细[[#This Row],[本金]]+贷款明细[[#This Row],[利息]],""), "")</f>
        <v>7155.208333333333</v>
      </c>
      <c r="G208" s="16">
        <f ca="1">IFERROR(IF(贷款未偿还*贷款已清偿,贷款金额/贷款分期次数,""), "")</f>
        <v>6250</v>
      </c>
      <c r="H208" s="16">
        <f ca="1">IFERROR(IF(贷款未偿还*贷款已清偿,贷款明细[[#This Row],[期初余额]]*贷款年利率/12,""), "")</f>
        <v>905.20833333333337</v>
      </c>
      <c r="I208" s="16">
        <f ca="1">IFERROR(IF(贷款未偿还*贷款已清偿,贷款明细[[#This Row],[期初余额]]-贷款明细[[#This Row],[本金]],""), "")</f>
        <v>268750</v>
      </c>
      <c r="J208" s="3"/>
      <c r="K208" s="6"/>
    </row>
    <row r="209" spans="1:11" ht="20.100000000000001" customHeight="1" x14ac:dyDescent="0.25">
      <c r="A209" s="6"/>
      <c r="C209" s="14">
        <f ca="1">IFERROR(IF(贷款未偿还*贷款已清偿,贷款还款期数,""), "")</f>
        <v>198</v>
      </c>
      <c r="D209" s="15">
        <f ca="1">IFERROR(IF(贷款未偿还*贷款已清偿,还款日期,""), "")</f>
        <v>51426</v>
      </c>
      <c r="E209" s="16">
        <f ca="1">IFERROR(IF(贷款未偿还*贷款已清偿,I208,""), "")</f>
        <v>268750</v>
      </c>
      <c r="F209" s="16">
        <f ca="1">IFERROR(IF(贷款未偿还*贷款已清偿,贷款明细[[#This Row],[本金]]+贷款明细[[#This Row],[利息]],""), "")</f>
        <v>7134.635416666667</v>
      </c>
      <c r="G209" s="16">
        <f ca="1">IFERROR(IF(贷款未偿还*贷款已清偿,贷款金额/贷款分期次数,""), "")</f>
        <v>6250</v>
      </c>
      <c r="H209" s="16">
        <f ca="1">IFERROR(IF(贷款未偿还*贷款已清偿,贷款明细[[#This Row],[期初余额]]*贷款年利率/12,""), "")</f>
        <v>884.63541666666663</v>
      </c>
      <c r="I209" s="16">
        <f ca="1">IFERROR(IF(贷款未偿还*贷款已清偿,贷款明细[[#This Row],[期初余额]]-贷款明细[[#This Row],[本金]],""), "")</f>
        <v>262500</v>
      </c>
      <c r="J209" s="3"/>
      <c r="K209" s="6"/>
    </row>
    <row r="210" spans="1:11" ht="20.100000000000001" customHeight="1" x14ac:dyDescent="0.25">
      <c r="A210" s="6"/>
      <c r="C210" s="14">
        <f ca="1">IFERROR(IF(贷款未偿还*贷款已清偿,贷款还款期数,""), "")</f>
        <v>199</v>
      </c>
      <c r="D210" s="15">
        <f ca="1">IFERROR(IF(贷款未偿还*贷款已清偿,还款日期,""), "")</f>
        <v>51457</v>
      </c>
      <c r="E210" s="16">
        <f ca="1">IFERROR(IF(贷款未偿还*贷款已清偿,I209,""), "")</f>
        <v>262500</v>
      </c>
      <c r="F210" s="16">
        <f ca="1">IFERROR(IF(贷款未偿还*贷款已清偿,贷款明细[[#This Row],[本金]]+贷款明细[[#This Row],[利息]],""), "")</f>
        <v>7114.0625</v>
      </c>
      <c r="G210" s="16">
        <f ca="1">IFERROR(IF(贷款未偿还*贷款已清偿,贷款金额/贷款分期次数,""), "")</f>
        <v>6250</v>
      </c>
      <c r="H210" s="16">
        <f ca="1">IFERROR(IF(贷款未偿还*贷款已清偿,贷款明细[[#This Row],[期初余额]]*贷款年利率/12,""), "")</f>
        <v>864.0625</v>
      </c>
      <c r="I210" s="16">
        <f ca="1">IFERROR(IF(贷款未偿还*贷款已清偿,贷款明细[[#This Row],[期初余额]]-贷款明细[[#This Row],[本金]],""), "")</f>
        <v>256250</v>
      </c>
      <c r="J210" s="3"/>
      <c r="K210" s="6"/>
    </row>
    <row r="211" spans="1:11" ht="20.100000000000001" customHeight="1" x14ac:dyDescent="0.25">
      <c r="A211" s="6"/>
      <c r="C211" s="14">
        <f ca="1">IFERROR(IF(贷款未偿还*贷款已清偿,贷款还款期数,""), "")</f>
        <v>200</v>
      </c>
      <c r="D211" s="15">
        <f ca="1">IFERROR(IF(贷款未偿还*贷款已清偿,还款日期,""), "")</f>
        <v>51487</v>
      </c>
      <c r="E211" s="16">
        <f ca="1">IFERROR(IF(贷款未偿还*贷款已清偿,I210,""), "")</f>
        <v>256250</v>
      </c>
      <c r="F211" s="16">
        <f ca="1">IFERROR(IF(贷款未偿还*贷款已清偿,贷款明细[[#This Row],[本金]]+贷款明细[[#This Row],[利息]],""), "")</f>
        <v>7093.489583333333</v>
      </c>
      <c r="G211" s="16">
        <f ca="1">IFERROR(IF(贷款未偿还*贷款已清偿,贷款金额/贷款分期次数,""), "")</f>
        <v>6250</v>
      </c>
      <c r="H211" s="16">
        <f ca="1">IFERROR(IF(贷款未偿还*贷款已清偿,贷款明细[[#This Row],[期初余额]]*贷款年利率/12,""), "")</f>
        <v>843.48958333333337</v>
      </c>
      <c r="I211" s="16">
        <f ca="1">IFERROR(IF(贷款未偿还*贷款已清偿,贷款明细[[#This Row],[期初余额]]-贷款明细[[#This Row],[本金]],""), "")</f>
        <v>250000</v>
      </c>
      <c r="J211" s="3"/>
      <c r="K211" s="6"/>
    </row>
    <row r="212" spans="1:11" ht="20.100000000000001" customHeight="1" x14ac:dyDescent="0.25">
      <c r="A212" s="6"/>
      <c r="C212" s="14">
        <f ca="1">IFERROR(IF(贷款未偿还*贷款已清偿,贷款还款期数,""), "")</f>
        <v>201</v>
      </c>
      <c r="D212" s="15">
        <f ca="1">IFERROR(IF(贷款未偿还*贷款已清偿,还款日期,""), "")</f>
        <v>51518</v>
      </c>
      <c r="E212" s="16">
        <f ca="1">IFERROR(IF(贷款未偿还*贷款已清偿,I211,""), "")</f>
        <v>250000</v>
      </c>
      <c r="F212" s="16">
        <f ca="1">IFERROR(IF(贷款未偿还*贷款已清偿,贷款明细[[#This Row],[本金]]+贷款明细[[#This Row],[利息]],""), "")</f>
        <v>7072.916666666667</v>
      </c>
      <c r="G212" s="16">
        <f ca="1">IFERROR(IF(贷款未偿还*贷款已清偿,贷款金额/贷款分期次数,""), "")</f>
        <v>6250</v>
      </c>
      <c r="H212" s="16">
        <f ca="1">IFERROR(IF(贷款未偿还*贷款已清偿,贷款明细[[#This Row],[期初余额]]*贷款年利率/12,""), "")</f>
        <v>822.91666666666663</v>
      </c>
      <c r="I212" s="16">
        <f ca="1">IFERROR(IF(贷款未偿还*贷款已清偿,贷款明细[[#This Row],[期初余额]]-贷款明细[[#This Row],[本金]],""), "")</f>
        <v>243750</v>
      </c>
      <c r="J212" s="3"/>
      <c r="K212" s="6"/>
    </row>
    <row r="213" spans="1:11" ht="20.100000000000001" customHeight="1" x14ac:dyDescent="0.25">
      <c r="A213" s="6"/>
      <c r="C213" s="14">
        <f ca="1">IFERROR(IF(贷款未偿还*贷款已清偿,贷款还款期数,""), "")</f>
        <v>202</v>
      </c>
      <c r="D213" s="15">
        <f ca="1">IFERROR(IF(贷款未偿还*贷款已清偿,还款日期,""), "")</f>
        <v>51549</v>
      </c>
      <c r="E213" s="16">
        <f ca="1">IFERROR(IF(贷款未偿还*贷款已清偿,I212,""), "")</f>
        <v>243750</v>
      </c>
      <c r="F213" s="16">
        <f ca="1">IFERROR(IF(贷款未偿还*贷款已清偿,贷款明细[[#This Row],[本金]]+贷款明细[[#This Row],[利息]],""), "")</f>
        <v>7052.34375</v>
      </c>
      <c r="G213" s="16">
        <f ca="1">IFERROR(IF(贷款未偿还*贷款已清偿,贷款金额/贷款分期次数,""), "")</f>
        <v>6250</v>
      </c>
      <c r="H213" s="16">
        <f ca="1">IFERROR(IF(贷款未偿还*贷款已清偿,贷款明细[[#This Row],[期初余额]]*贷款年利率/12,""), "")</f>
        <v>802.34375</v>
      </c>
      <c r="I213" s="16">
        <f ca="1">IFERROR(IF(贷款未偿还*贷款已清偿,贷款明细[[#This Row],[期初余额]]-贷款明细[[#This Row],[本金]],""), "")</f>
        <v>237500</v>
      </c>
      <c r="J213" s="3"/>
      <c r="K213" s="6"/>
    </row>
    <row r="214" spans="1:11" ht="20.100000000000001" customHeight="1" x14ac:dyDescent="0.25">
      <c r="A214" s="6"/>
      <c r="C214" s="14">
        <f ca="1">IFERROR(IF(贷款未偿还*贷款已清偿,贷款还款期数,""), "")</f>
        <v>203</v>
      </c>
      <c r="D214" s="15">
        <f ca="1">IFERROR(IF(贷款未偿还*贷款已清偿,还款日期,""), "")</f>
        <v>51577</v>
      </c>
      <c r="E214" s="16">
        <f ca="1">IFERROR(IF(贷款未偿还*贷款已清偿,I213,""), "")</f>
        <v>237500</v>
      </c>
      <c r="F214" s="16">
        <f ca="1">IFERROR(IF(贷款未偿还*贷款已清偿,贷款明细[[#This Row],[本金]]+贷款明细[[#This Row],[利息]],""), "")</f>
        <v>7031.770833333333</v>
      </c>
      <c r="G214" s="16">
        <f ca="1">IFERROR(IF(贷款未偿还*贷款已清偿,贷款金额/贷款分期次数,""), "")</f>
        <v>6250</v>
      </c>
      <c r="H214" s="16">
        <f ca="1">IFERROR(IF(贷款未偿还*贷款已清偿,贷款明细[[#This Row],[期初余额]]*贷款年利率/12,""), "")</f>
        <v>781.77083333333337</v>
      </c>
      <c r="I214" s="16">
        <f ca="1">IFERROR(IF(贷款未偿还*贷款已清偿,贷款明细[[#This Row],[期初余额]]-贷款明细[[#This Row],[本金]],""), "")</f>
        <v>231250</v>
      </c>
      <c r="J214" s="3"/>
      <c r="K214" s="6"/>
    </row>
    <row r="215" spans="1:11" ht="20.100000000000001" customHeight="1" x14ac:dyDescent="0.25">
      <c r="A215" s="6"/>
      <c r="C215" s="14">
        <f ca="1">IFERROR(IF(贷款未偿还*贷款已清偿,贷款还款期数,""), "")</f>
        <v>204</v>
      </c>
      <c r="D215" s="15">
        <f ca="1">IFERROR(IF(贷款未偿还*贷款已清偿,还款日期,""), "")</f>
        <v>51608</v>
      </c>
      <c r="E215" s="16">
        <f ca="1">IFERROR(IF(贷款未偿还*贷款已清偿,I214,""), "")</f>
        <v>231250</v>
      </c>
      <c r="F215" s="16">
        <f ca="1">IFERROR(IF(贷款未偿还*贷款已清偿,贷款明细[[#This Row],[本金]]+贷款明细[[#This Row],[利息]],""), "")</f>
        <v>7011.197916666667</v>
      </c>
      <c r="G215" s="16">
        <f ca="1">IFERROR(IF(贷款未偿还*贷款已清偿,贷款金额/贷款分期次数,""), "")</f>
        <v>6250</v>
      </c>
      <c r="H215" s="16">
        <f ca="1">IFERROR(IF(贷款未偿还*贷款已清偿,贷款明细[[#This Row],[期初余额]]*贷款年利率/12,""), "")</f>
        <v>761.19791666666663</v>
      </c>
      <c r="I215" s="16">
        <f ca="1">IFERROR(IF(贷款未偿还*贷款已清偿,贷款明细[[#This Row],[期初余额]]-贷款明细[[#This Row],[本金]],""), "")</f>
        <v>225000</v>
      </c>
      <c r="J215" s="3"/>
      <c r="K215" s="6"/>
    </row>
    <row r="216" spans="1:11" ht="20.100000000000001" customHeight="1" x14ac:dyDescent="0.25">
      <c r="A216" s="6"/>
      <c r="C216" s="14">
        <f ca="1">IFERROR(IF(贷款未偿还*贷款已清偿,贷款还款期数,""), "")</f>
        <v>205</v>
      </c>
      <c r="D216" s="15">
        <f ca="1">IFERROR(IF(贷款未偿还*贷款已清偿,还款日期,""), "")</f>
        <v>51638</v>
      </c>
      <c r="E216" s="16">
        <f ca="1">IFERROR(IF(贷款未偿还*贷款已清偿,I215,""), "")</f>
        <v>225000</v>
      </c>
      <c r="F216" s="16">
        <f ca="1">IFERROR(IF(贷款未偿还*贷款已清偿,贷款明细[[#This Row],[本金]]+贷款明细[[#This Row],[利息]],""), "")</f>
        <v>6990.625</v>
      </c>
      <c r="G216" s="16">
        <f ca="1">IFERROR(IF(贷款未偿还*贷款已清偿,贷款金额/贷款分期次数,""), "")</f>
        <v>6250</v>
      </c>
      <c r="H216" s="16">
        <f ca="1">IFERROR(IF(贷款未偿还*贷款已清偿,贷款明细[[#This Row],[期初余额]]*贷款年利率/12,""), "")</f>
        <v>740.625</v>
      </c>
      <c r="I216" s="16">
        <f ca="1">IFERROR(IF(贷款未偿还*贷款已清偿,贷款明细[[#This Row],[期初余额]]-贷款明细[[#This Row],[本金]],""), "")</f>
        <v>218750</v>
      </c>
      <c r="J216" s="3"/>
      <c r="K216" s="6"/>
    </row>
    <row r="217" spans="1:11" ht="20.100000000000001" customHeight="1" x14ac:dyDescent="0.25">
      <c r="A217" s="6"/>
      <c r="C217" s="14">
        <f ca="1">IFERROR(IF(贷款未偿还*贷款已清偿,贷款还款期数,""), "")</f>
        <v>206</v>
      </c>
      <c r="D217" s="15">
        <f ca="1">IFERROR(IF(贷款未偿还*贷款已清偿,还款日期,""), "")</f>
        <v>51669</v>
      </c>
      <c r="E217" s="16">
        <f ca="1">IFERROR(IF(贷款未偿还*贷款已清偿,I216,""), "")</f>
        <v>218750</v>
      </c>
      <c r="F217" s="16">
        <f ca="1">IFERROR(IF(贷款未偿还*贷款已清偿,贷款明细[[#This Row],[本金]]+贷款明细[[#This Row],[利息]],""), "")</f>
        <v>6970.052083333333</v>
      </c>
      <c r="G217" s="16">
        <f ca="1">IFERROR(IF(贷款未偿还*贷款已清偿,贷款金额/贷款分期次数,""), "")</f>
        <v>6250</v>
      </c>
      <c r="H217" s="16">
        <f ca="1">IFERROR(IF(贷款未偿还*贷款已清偿,贷款明细[[#This Row],[期初余额]]*贷款年利率/12,""), "")</f>
        <v>720.05208333333337</v>
      </c>
      <c r="I217" s="16">
        <f ca="1">IFERROR(IF(贷款未偿还*贷款已清偿,贷款明细[[#This Row],[期初余额]]-贷款明细[[#This Row],[本金]],""), "")</f>
        <v>212500</v>
      </c>
      <c r="J217" s="3"/>
      <c r="K217" s="6"/>
    </row>
    <row r="218" spans="1:11" ht="20.100000000000001" customHeight="1" x14ac:dyDescent="0.25">
      <c r="A218" s="6"/>
      <c r="C218" s="14">
        <f ca="1">IFERROR(IF(贷款未偿还*贷款已清偿,贷款还款期数,""), "")</f>
        <v>207</v>
      </c>
      <c r="D218" s="15">
        <f ca="1">IFERROR(IF(贷款未偿还*贷款已清偿,还款日期,""), "")</f>
        <v>51699</v>
      </c>
      <c r="E218" s="16">
        <f ca="1">IFERROR(IF(贷款未偿还*贷款已清偿,I217,""), "")</f>
        <v>212500</v>
      </c>
      <c r="F218" s="16">
        <f ca="1">IFERROR(IF(贷款未偿还*贷款已清偿,贷款明细[[#This Row],[本金]]+贷款明细[[#This Row],[利息]],""), "")</f>
        <v>6949.479166666667</v>
      </c>
      <c r="G218" s="16">
        <f ca="1">IFERROR(IF(贷款未偿还*贷款已清偿,贷款金额/贷款分期次数,""), "")</f>
        <v>6250</v>
      </c>
      <c r="H218" s="16">
        <f ca="1">IFERROR(IF(贷款未偿还*贷款已清偿,贷款明细[[#This Row],[期初余额]]*贷款年利率/12,""), "")</f>
        <v>699.47916666666663</v>
      </c>
      <c r="I218" s="16">
        <f ca="1">IFERROR(IF(贷款未偿还*贷款已清偿,贷款明细[[#This Row],[期初余额]]-贷款明细[[#This Row],[本金]],""), "")</f>
        <v>206250</v>
      </c>
      <c r="J218" s="3"/>
      <c r="K218" s="6"/>
    </row>
    <row r="219" spans="1:11" ht="20.100000000000001" customHeight="1" x14ac:dyDescent="0.25">
      <c r="A219" s="6"/>
      <c r="C219" s="14">
        <f ca="1">IFERROR(IF(贷款未偿还*贷款已清偿,贷款还款期数,""), "")</f>
        <v>208</v>
      </c>
      <c r="D219" s="15">
        <f ca="1">IFERROR(IF(贷款未偿还*贷款已清偿,还款日期,""), "")</f>
        <v>51730</v>
      </c>
      <c r="E219" s="16">
        <f ca="1">IFERROR(IF(贷款未偿还*贷款已清偿,I218,""), "")</f>
        <v>206250</v>
      </c>
      <c r="F219" s="16">
        <f ca="1">IFERROR(IF(贷款未偿还*贷款已清偿,贷款明细[[#This Row],[本金]]+贷款明细[[#This Row],[利息]],""), "")</f>
        <v>6928.90625</v>
      </c>
      <c r="G219" s="16">
        <f ca="1">IFERROR(IF(贷款未偿还*贷款已清偿,贷款金额/贷款分期次数,""), "")</f>
        <v>6250</v>
      </c>
      <c r="H219" s="16">
        <f ca="1">IFERROR(IF(贷款未偿还*贷款已清偿,贷款明细[[#This Row],[期初余额]]*贷款年利率/12,""), "")</f>
        <v>678.90625</v>
      </c>
      <c r="I219" s="16">
        <f ca="1">IFERROR(IF(贷款未偿还*贷款已清偿,贷款明细[[#This Row],[期初余额]]-贷款明细[[#This Row],[本金]],""), "")</f>
        <v>200000</v>
      </c>
      <c r="J219" s="3"/>
      <c r="K219" s="6"/>
    </row>
    <row r="220" spans="1:11" ht="20.100000000000001" customHeight="1" x14ac:dyDescent="0.25">
      <c r="A220" s="6"/>
      <c r="C220" s="14">
        <f ca="1">IFERROR(IF(贷款未偿还*贷款已清偿,贷款还款期数,""), "")</f>
        <v>209</v>
      </c>
      <c r="D220" s="15">
        <f ca="1">IFERROR(IF(贷款未偿还*贷款已清偿,还款日期,""), "")</f>
        <v>51761</v>
      </c>
      <c r="E220" s="16">
        <f ca="1">IFERROR(IF(贷款未偿还*贷款已清偿,I219,""), "")</f>
        <v>200000</v>
      </c>
      <c r="F220" s="16">
        <f ca="1">IFERROR(IF(贷款未偿还*贷款已清偿,贷款明细[[#This Row],[本金]]+贷款明细[[#This Row],[利息]],""), "")</f>
        <v>6908.333333333333</v>
      </c>
      <c r="G220" s="16">
        <f ca="1">IFERROR(IF(贷款未偿还*贷款已清偿,贷款金额/贷款分期次数,""), "")</f>
        <v>6250</v>
      </c>
      <c r="H220" s="16">
        <f ca="1">IFERROR(IF(贷款未偿还*贷款已清偿,贷款明细[[#This Row],[期初余额]]*贷款年利率/12,""), "")</f>
        <v>658.33333333333337</v>
      </c>
      <c r="I220" s="16">
        <f ca="1">IFERROR(IF(贷款未偿还*贷款已清偿,贷款明细[[#This Row],[期初余额]]-贷款明细[[#This Row],[本金]],""), "")</f>
        <v>193750</v>
      </c>
      <c r="J220" s="3"/>
      <c r="K220" s="6"/>
    </row>
    <row r="221" spans="1:11" ht="20.100000000000001" customHeight="1" x14ac:dyDescent="0.25">
      <c r="A221" s="6"/>
      <c r="C221" s="14">
        <f ca="1">IFERROR(IF(贷款未偿还*贷款已清偿,贷款还款期数,""), "")</f>
        <v>210</v>
      </c>
      <c r="D221" s="15">
        <f ca="1">IFERROR(IF(贷款未偿还*贷款已清偿,还款日期,""), "")</f>
        <v>51791</v>
      </c>
      <c r="E221" s="16">
        <f ca="1">IFERROR(IF(贷款未偿还*贷款已清偿,I220,""), "")</f>
        <v>193750</v>
      </c>
      <c r="F221" s="16">
        <f ca="1">IFERROR(IF(贷款未偿还*贷款已清偿,贷款明细[[#This Row],[本金]]+贷款明细[[#This Row],[利息]],""), "")</f>
        <v>6887.760416666667</v>
      </c>
      <c r="G221" s="16">
        <f ca="1">IFERROR(IF(贷款未偿还*贷款已清偿,贷款金额/贷款分期次数,""), "")</f>
        <v>6250</v>
      </c>
      <c r="H221" s="16">
        <f ca="1">IFERROR(IF(贷款未偿还*贷款已清偿,贷款明细[[#This Row],[期初余额]]*贷款年利率/12,""), "")</f>
        <v>637.76041666666663</v>
      </c>
      <c r="I221" s="16">
        <f ca="1">IFERROR(IF(贷款未偿还*贷款已清偿,贷款明细[[#This Row],[期初余额]]-贷款明细[[#This Row],[本金]],""), "")</f>
        <v>187500</v>
      </c>
      <c r="J221" s="3"/>
      <c r="K221" s="6"/>
    </row>
    <row r="222" spans="1:11" ht="20.100000000000001" customHeight="1" x14ac:dyDescent="0.25">
      <c r="A222" s="6"/>
      <c r="C222" s="14">
        <f ca="1">IFERROR(IF(贷款未偿还*贷款已清偿,贷款还款期数,""), "")</f>
        <v>211</v>
      </c>
      <c r="D222" s="15">
        <f ca="1">IFERROR(IF(贷款未偿还*贷款已清偿,还款日期,""), "")</f>
        <v>51822</v>
      </c>
      <c r="E222" s="16">
        <f ca="1">IFERROR(IF(贷款未偿还*贷款已清偿,I221,""), "")</f>
        <v>187500</v>
      </c>
      <c r="F222" s="16">
        <f ca="1">IFERROR(IF(贷款未偿还*贷款已清偿,贷款明细[[#This Row],[本金]]+贷款明细[[#This Row],[利息]],""), "")</f>
        <v>6867.1875</v>
      </c>
      <c r="G222" s="16">
        <f ca="1">IFERROR(IF(贷款未偿还*贷款已清偿,贷款金额/贷款分期次数,""), "")</f>
        <v>6250</v>
      </c>
      <c r="H222" s="16">
        <f ca="1">IFERROR(IF(贷款未偿还*贷款已清偿,贷款明细[[#This Row],[期初余额]]*贷款年利率/12,""), "")</f>
        <v>617.1875</v>
      </c>
      <c r="I222" s="16">
        <f ca="1">IFERROR(IF(贷款未偿还*贷款已清偿,贷款明细[[#This Row],[期初余额]]-贷款明细[[#This Row],[本金]],""), "")</f>
        <v>181250</v>
      </c>
      <c r="J222" s="3"/>
      <c r="K222" s="6"/>
    </row>
    <row r="223" spans="1:11" ht="20.100000000000001" customHeight="1" x14ac:dyDescent="0.25">
      <c r="A223" s="6"/>
      <c r="C223" s="14">
        <f ca="1">IFERROR(IF(贷款未偿还*贷款已清偿,贷款还款期数,""), "")</f>
        <v>212</v>
      </c>
      <c r="D223" s="15">
        <f ca="1">IFERROR(IF(贷款未偿还*贷款已清偿,还款日期,""), "")</f>
        <v>51852</v>
      </c>
      <c r="E223" s="16">
        <f ca="1">IFERROR(IF(贷款未偿还*贷款已清偿,I222,""), "")</f>
        <v>181250</v>
      </c>
      <c r="F223" s="16">
        <f ca="1">IFERROR(IF(贷款未偿还*贷款已清偿,贷款明细[[#This Row],[本金]]+贷款明细[[#This Row],[利息]],""), "")</f>
        <v>6846.614583333333</v>
      </c>
      <c r="G223" s="16">
        <f ca="1">IFERROR(IF(贷款未偿还*贷款已清偿,贷款金额/贷款分期次数,""), "")</f>
        <v>6250</v>
      </c>
      <c r="H223" s="16">
        <f ca="1">IFERROR(IF(贷款未偿还*贷款已清偿,贷款明细[[#This Row],[期初余额]]*贷款年利率/12,""), "")</f>
        <v>596.61458333333337</v>
      </c>
      <c r="I223" s="16">
        <f ca="1">IFERROR(IF(贷款未偿还*贷款已清偿,贷款明细[[#This Row],[期初余额]]-贷款明细[[#This Row],[本金]],""), "")</f>
        <v>175000</v>
      </c>
      <c r="J223" s="3"/>
      <c r="K223" s="6"/>
    </row>
    <row r="224" spans="1:11" ht="20.100000000000001" customHeight="1" x14ac:dyDescent="0.25">
      <c r="A224" s="6"/>
      <c r="C224" s="14">
        <f ca="1">IFERROR(IF(贷款未偿还*贷款已清偿,贷款还款期数,""), "")</f>
        <v>213</v>
      </c>
      <c r="D224" s="15">
        <f ca="1">IFERROR(IF(贷款未偿还*贷款已清偿,还款日期,""), "")</f>
        <v>51883</v>
      </c>
      <c r="E224" s="16">
        <f ca="1">IFERROR(IF(贷款未偿还*贷款已清偿,I223,""), "")</f>
        <v>175000</v>
      </c>
      <c r="F224" s="16">
        <f ca="1">IFERROR(IF(贷款未偿还*贷款已清偿,贷款明细[[#This Row],[本金]]+贷款明细[[#This Row],[利息]],""), "")</f>
        <v>6826.041666666667</v>
      </c>
      <c r="G224" s="16">
        <f ca="1">IFERROR(IF(贷款未偿还*贷款已清偿,贷款金额/贷款分期次数,""), "")</f>
        <v>6250</v>
      </c>
      <c r="H224" s="16">
        <f ca="1">IFERROR(IF(贷款未偿还*贷款已清偿,贷款明细[[#This Row],[期初余额]]*贷款年利率/12,""), "")</f>
        <v>576.04166666666663</v>
      </c>
      <c r="I224" s="16">
        <f ca="1">IFERROR(IF(贷款未偿还*贷款已清偿,贷款明细[[#This Row],[期初余额]]-贷款明细[[#This Row],[本金]],""), "")</f>
        <v>168750</v>
      </c>
      <c r="J224" s="3"/>
      <c r="K224" s="6"/>
    </row>
    <row r="225" spans="1:11" ht="20.100000000000001" customHeight="1" x14ac:dyDescent="0.25">
      <c r="A225" s="6"/>
      <c r="C225" s="14">
        <f ca="1">IFERROR(IF(贷款未偿还*贷款已清偿,贷款还款期数,""), "")</f>
        <v>214</v>
      </c>
      <c r="D225" s="15">
        <f ca="1">IFERROR(IF(贷款未偿还*贷款已清偿,还款日期,""), "")</f>
        <v>51914</v>
      </c>
      <c r="E225" s="16">
        <f ca="1">IFERROR(IF(贷款未偿还*贷款已清偿,I224,""), "")</f>
        <v>168750</v>
      </c>
      <c r="F225" s="16">
        <f ca="1">IFERROR(IF(贷款未偿还*贷款已清偿,贷款明细[[#This Row],[本金]]+贷款明细[[#This Row],[利息]],""), "")</f>
        <v>6805.46875</v>
      </c>
      <c r="G225" s="16">
        <f ca="1">IFERROR(IF(贷款未偿还*贷款已清偿,贷款金额/贷款分期次数,""), "")</f>
        <v>6250</v>
      </c>
      <c r="H225" s="16">
        <f ca="1">IFERROR(IF(贷款未偿还*贷款已清偿,贷款明细[[#This Row],[期初余额]]*贷款年利率/12,""), "")</f>
        <v>555.46875</v>
      </c>
      <c r="I225" s="16">
        <f ca="1">IFERROR(IF(贷款未偿还*贷款已清偿,贷款明细[[#This Row],[期初余额]]-贷款明细[[#This Row],[本金]],""), "")</f>
        <v>162500</v>
      </c>
      <c r="J225" s="3"/>
      <c r="K225" s="6"/>
    </row>
    <row r="226" spans="1:11" ht="20.100000000000001" customHeight="1" x14ac:dyDescent="0.25">
      <c r="A226" s="6"/>
      <c r="C226" s="14">
        <f ca="1">IFERROR(IF(贷款未偿还*贷款已清偿,贷款还款期数,""), "")</f>
        <v>215</v>
      </c>
      <c r="D226" s="15">
        <f ca="1">IFERROR(IF(贷款未偿还*贷款已清偿,还款日期,""), "")</f>
        <v>51942</v>
      </c>
      <c r="E226" s="16">
        <f ca="1">IFERROR(IF(贷款未偿还*贷款已清偿,I225,""), "")</f>
        <v>162500</v>
      </c>
      <c r="F226" s="16">
        <f ca="1">IFERROR(IF(贷款未偿还*贷款已清偿,贷款明细[[#This Row],[本金]]+贷款明细[[#This Row],[利息]],""), "")</f>
        <v>6784.895833333333</v>
      </c>
      <c r="G226" s="16">
        <f ca="1">IFERROR(IF(贷款未偿还*贷款已清偿,贷款金额/贷款分期次数,""), "")</f>
        <v>6250</v>
      </c>
      <c r="H226" s="16">
        <f ca="1">IFERROR(IF(贷款未偿还*贷款已清偿,贷款明细[[#This Row],[期初余额]]*贷款年利率/12,""), "")</f>
        <v>534.89583333333337</v>
      </c>
      <c r="I226" s="16">
        <f ca="1">IFERROR(IF(贷款未偿还*贷款已清偿,贷款明细[[#This Row],[期初余额]]-贷款明细[[#This Row],[本金]],""), "")</f>
        <v>156250</v>
      </c>
      <c r="J226" s="3"/>
      <c r="K226" s="6"/>
    </row>
    <row r="227" spans="1:11" ht="20.100000000000001" customHeight="1" x14ac:dyDescent="0.25">
      <c r="A227" s="6"/>
      <c r="C227" s="14">
        <f ca="1">IFERROR(IF(贷款未偿还*贷款已清偿,贷款还款期数,""), "")</f>
        <v>216</v>
      </c>
      <c r="D227" s="15">
        <f ca="1">IFERROR(IF(贷款未偿还*贷款已清偿,还款日期,""), "")</f>
        <v>51973</v>
      </c>
      <c r="E227" s="16">
        <f ca="1">IFERROR(IF(贷款未偿还*贷款已清偿,I226,""), "")</f>
        <v>156250</v>
      </c>
      <c r="F227" s="16">
        <f ca="1">IFERROR(IF(贷款未偿还*贷款已清偿,贷款明细[[#This Row],[本金]]+贷款明细[[#This Row],[利息]],""), "")</f>
        <v>6764.322916666667</v>
      </c>
      <c r="G227" s="16">
        <f ca="1">IFERROR(IF(贷款未偿还*贷款已清偿,贷款金额/贷款分期次数,""), "")</f>
        <v>6250</v>
      </c>
      <c r="H227" s="16">
        <f ca="1">IFERROR(IF(贷款未偿还*贷款已清偿,贷款明细[[#This Row],[期初余额]]*贷款年利率/12,""), "")</f>
        <v>514.32291666666663</v>
      </c>
      <c r="I227" s="16">
        <f ca="1">IFERROR(IF(贷款未偿还*贷款已清偿,贷款明细[[#This Row],[期初余额]]-贷款明细[[#This Row],[本金]],""), "")</f>
        <v>150000</v>
      </c>
      <c r="J227" s="3"/>
      <c r="K227" s="6"/>
    </row>
    <row r="228" spans="1:11" ht="20.100000000000001" customHeight="1" x14ac:dyDescent="0.25">
      <c r="A228" s="6"/>
      <c r="C228" s="14">
        <f ca="1">IFERROR(IF(贷款未偿还*贷款已清偿,贷款还款期数,""), "")</f>
        <v>217</v>
      </c>
      <c r="D228" s="15">
        <f ca="1">IFERROR(IF(贷款未偿还*贷款已清偿,还款日期,""), "")</f>
        <v>52003</v>
      </c>
      <c r="E228" s="16">
        <f ca="1">IFERROR(IF(贷款未偿还*贷款已清偿,I227,""), "")</f>
        <v>150000</v>
      </c>
      <c r="F228" s="16">
        <f ca="1">IFERROR(IF(贷款未偿还*贷款已清偿,贷款明细[[#This Row],[本金]]+贷款明细[[#This Row],[利息]],""), "")</f>
        <v>6743.75</v>
      </c>
      <c r="G228" s="16">
        <f ca="1">IFERROR(IF(贷款未偿还*贷款已清偿,贷款金额/贷款分期次数,""), "")</f>
        <v>6250</v>
      </c>
      <c r="H228" s="16">
        <f ca="1">IFERROR(IF(贷款未偿还*贷款已清偿,贷款明细[[#This Row],[期初余额]]*贷款年利率/12,""), "")</f>
        <v>493.75</v>
      </c>
      <c r="I228" s="16">
        <f ca="1">IFERROR(IF(贷款未偿还*贷款已清偿,贷款明细[[#This Row],[期初余额]]-贷款明细[[#This Row],[本金]],""), "")</f>
        <v>143750</v>
      </c>
      <c r="J228" s="3"/>
      <c r="K228" s="6"/>
    </row>
    <row r="229" spans="1:11" ht="20.100000000000001" customHeight="1" x14ac:dyDescent="0.25">
      <c r="A229" s="6"/>
      <c r="C229" s="14">
        <f ca="1">IFERROR(IF(贷款未偿还*贷款已清偿,贷款还款期数,""), "")</f>
        <v>218</v>
      </c>
      <c r="D229" s="15">
        <f ca="1">IFERROR(IF(贷款未偿还*贷款已清偿,还款日期,""), "")</f>
        <v>52034</v>
      </c>
      <c r="E229" s="16">
        <f ca="1">IFERROR(IF(贷款未偿还*贷款已清偿,I228,""), "")</f>
        <v>143750</v>
      </c>
      <c r="F229" s="16">
        <f ca="1">IFERROR(IF(贷款未偿还*贷款已清偿,贷款明细[[#This Row],[本金]]+贷款明细[[#This Row],[利息]],""), "")</f>
        <v>6723.177083333333</v>
      </c>
      <c r="G229" s="16">
        <f ca="1">IFERROR(IF(贷款未偿还*贷款已清偿,贷款金额/贷款分期次数,""), "")</f>
        <v>6250</v>
      </c>
      <c r="H229" s="16">
        <f ca="1">IFERROR(IF(贷款未偿还*贷款已清偿,贷款明细[[#This Row],[期初余额]]*贷款年利率/12,""), "")</f>
        <v>473.17708333333331</v>
      </c>
      <c r="I229" s="16">
        <f ca="1">IFERROR(IF(贷款未偿还*贷款已清偿,贷款明细[[#This Row],[期初余额]]-贷款明细[[#This Row],[本金]],""), "")</f>
        <v>137500</v>
      </c>
      <c r="J229" s="3"/>
      <c r="K229" s="6"/>
    </row>
    <row r="230" spans="1:11" ht="20.100000000000001" customHeight="1" x14ac:dyDescent="0.25">
      <c r="A230" s="6"/>
      <c r="C230" s="14">
        <f ca="1">IFERROR(IF(贷款未偿还*贷款已清偿,贷款还款期数,""), "")</f>
        <v>219</v>
      </c>
      <c r="D230" s="15">
        <f ca="1">IFERROR(IF(贷款未偿还*贷款已清偿,还款日期,""), "")</f>
        <v>52064</v>
      </c>
      <c r="E230" s="16">
        <f ca="1">IFERROR(IF(贷款未偿还*贷款已清偿,I229,""), "")</f>
        <v>137500</v>
      </c>
      <c r="F230" s="16">
        <f ca="1">IFERROR(IF(贷款未偿还*贷款已清偿,贷款明细[[#This Row],[本金]]+贷款明细[[#This Row],[利息]],""), "")</f>
        <v>6702.604166666667</v>
      </c>
      <c r="G230" s="16">
        <f ca="1">IFERROR(IF(贷款未偿还*贷款已清偿,贷款金额/贷款分期次数,""), "")</f>
        <v>6250</v>
      </c>
      <c r="H230" s="16">
        <f ca="1">IFERROR(IF(贷款未偿还*贷款已清偿,贷款明细[[#This Row],[期初余额]]*贷款年利率/12,""), "")</f>
        <v>452.60416666666669</v>
      </c>
      <c r="I230" s="16">
        <f ca="1">IFERROR(IF(贷款未偿还*贷款已清偿,贷款明细[[#This Row],[期初余额]]-贷款明细[[#This Row],[本金]],""), "")</f>
        <v>131250</v>
      </c>
      <c r="J230" s="3"/>
      <c r="K230" s="6"/>
    </row>
    <row r="231" spans="1:11" ht="20.100000000000001" customHeight="1" x14ac:dyDescent="0.25">
      <c r="A231" s="6"/>
      <c r="C231" s="14">
        <f ca="1">IFERROR(IF(贷款未偿还*贷款已清偿,贷款还款期数,""), "")</f>
        <v>220</v>
      </c>
      <c r="D231" s="15">
        <f ca="1">IFERROR(IF(贷款未偿还*贷款已清偿,还款日期,""), "")</f>
        <v>52095</v>
      </c>
      <c r="E231" s="16">
        <f ca="1">IFERROR(IF(贷款未偿还*贷款已清偿,I230,""), "")</f>
        <v>131250</v>
      </c>
      <c r="F231" s="16">
        <f ca="1">IFERROR(IF(贷款未偿还*贷款已清偿,贷款明细[[#This Row],[本金]]+贷款明细[[#This Row],[利息]],""), "")</f>
        <v>6682.03125</v>
      </c>
      <c r="G231" s="16">
        <f ca="1">IFERROR(IF(贷款未偿还*贷款已清偿,贷款金额/贷款分期次数,""), "")</f>
        <v>6250</v>
      </c>
      <c r="H231" s="16">
        <f ca="1">IFERROR(IF(贷款未偿还*贷款已清偿,贷款明细[[#This Row],[期初余额]]*贷款年利率/12,""), "")</f>
        <v>432.03125</v>
      </c>
      <c r="I231" s="16">
        <f ca="1">IFERROR(IF(贷款未偿还*贷款已清偿,贷款明细[[#This Row],[期初余额]]-贷款明细[[#This Row],[本金]],""), "")</f>
        <v>125000</v>
      </c>
      <c r="J231" s="3"/>
      <c r="K231" s="6"/>
    </row>
    <row r="232" spans="1:11" ht="20.100000000000001" customHeight="1" x14ac:dyDescent="0.25">
      <c r="A232" s="6"/>
      <c r="C232" s="14">
        <f ca="1">IFERROR(IF(贷款未偿还*贷款已清偿,贷款还款期数,""), "")</f>
        <v>221</v>
      </c>
      <c r="D232" s="15">
        <f ca="1">IFERROR(IF(贷款未偿还*贷款已清偿,还款日期,""), "")</f>
        <v>52126</v>
      </c>
      <c r="E232" s="16">
        <f ca="1">IFERROR(IF(贷款未偿还*贷款已清偿,I231,""), "")</f>
        <v>125000</v>
      </c>
      <c r="F232" s="16">
        <f ca="1">IFERROR(IF(贷款未偿还*贷款已清偿,贷款明细[[#This Row],[本金]]+贷款明细[[#This Row],[利息]],""), "")</f>
        <v>6661.458333333333</v>
      </c>
      <c r="G232" s="16">
        <f ca="1">IFERROR(IF(贷款未偿还*贷款已清偿,贷款金额/贷款分期次数,""), "")</f>
        <v>6250</v>
      </c>
      <c r="H232" s="16">
        <f ca="1">IFERROR(IF(贷款未偿还*贷款已清偿,贷款明细[[#This Row],[期初余额]]*贷款年利率/12,""), "")</f>
        <v>411.45833333333331</v>
      </c>
      <c r="I232" s="16">
        <f ca="1">IFERROR(IF(贷款未偿还*贷款已清偿,贷款明细[[#This Row],[期初余额]]-贷款明细[[#This Row],[本金]],""), "")</f>
        <v>118750</v>
      </c>
      <c r="J232" s="3"/>
      <c r="K232" s="6"/>
    </row>
    <row r="233" spans="1:11" ht="20.100000000000001" customHeight="1" x14ac:dyDescent="0.25">
      <c r="A233" s="6"/>
      <c r="C233" s="14">
        <f ca="1">IFERROR(IF(贷款未偿还*贷款已清偿,贷款还款期数,""), "")</f>
        <v>222</v>
      </c>
      <c r="D233" s="15">
        <f ca="1">IFERROR(IF(贷款未偿还*贷款已清偿,还款日期,""), "")</f>
        <v>52156</v>
      </c>
      <c r="E233" s="16">
        <f ca="1">IFERROR(IF(贷款未偿还*贷款已清偿,I232,""), "")</f>
        <v>118750</v>
      </c>
      <c r="F233" s="16">
        <f ca="1">IFERROR(IF(贷款未偿还*贷款已清偿,贷款明细[[#This Row],[本金]]+贷款明细[[#This Row],[利息]],""), "")</f>
        <v>6640.885416666667</v>
      </c>
      <c r="G233" s="16">
        <f ca="1">IFERROR(IF(贷款未偿还*贷款已清偿,贷款金额/贷款分期次数,""), "")</f>
        <v>6250</v>
      </c>
      <c r="H233" s="16">
        <f ca="1">IFERROR(IF(贷款未偿还*贷款已清偿,贷款明细[[#This Row],[期初余额]]*贷款年利率/12,""), "")</f>
        <v>390.88541666666669</v>
      </c>
      <c r="I233" s="16">
        <f ca="1">IFERROR(IF(贷款未偿还*贷款已清偿,贷款明细[[#This Row],[期初余额]]-贷款明细[[#This Row],[本金]],""), "")</f>
        <v>112500</v>
      </c>
      <c r="J233" s="3"/>
      <c r="K233" s="6"/>
    </row>
    <row r="234" spans="1:11" ht="20.100000000000001" customHeight="1" x14ac:dyDescent="0.25">
      <c r="A234" s="6"/>
      <c r="C234" s="14">
        <f ca="1">IFERROR(IF(贷款未偿还*贷款已清偿,贷款还款期数,""), "")</f>
        <v>223</v>
      </c>
      <c r="D234" s="15">
        <f ca="1">IFERROR(IF(贷款未偿还*贷款已清偿,还款日期,""), "")</f>
        <v>52187</v>
      </c>
      <c r="E234" s="16">
        <f ca="1">IFERROR(IF(贷款未偿还*贷款已清偿,I233,""), "")</f>
        <v>112500</v>
      </c>
      <c r="F234" s="16">
        <f ca="1">IFERROR(IF(贷款未偿还*贷款已清偿,贷款明细[[#This Row],[本金]]+贷款明细[[#This Row],[利息]],""), "")</f>
        <v>6620.3125</v>
      </c>
      <c r="G234" s="16">
        <f ca="1">IFERROR(IF(贷款未偿还*贷款已清偿,贷款金额/贷款分期次数,""), "")</f>
        <v>6250</v>
      </c>
      <c r="H234" s="16">
        <f ca="1">IFERROR(IF(贷款未偿还*贷款已清偿,贷款明细[[#This Row],[期初余额]]*贷款年利率/12,""), "")</f>
        <v>370.3125</v>
      </c>
      <c r="I234" s="16">
        <f ca="1">IFERROR(IF(贷款未偿还*贷款已清偿,贷款明细[[#This Row],[期初余额]]-贷款明细[[#This Row],[本金]],""), "")</f>
        <v>106250</v>
      </c>
      <c r="J234" s="3"/>
      <c r="K234" s="6"/>
    </row>
    <row r="235" spans="1:11" ht="20.100000000000001" customHeight="1" x14ac:dyDescent="0.25">
      <c r="A235" s="6"/>
      <c r="C235" s="14">
        <f ca="1">IFERROR(IF(贷款未偿还*贷款已清偿,贷款还款期数,""), "")</f>
        <v>224</v>
      </c>
      <c r="D235" s="15">
        <f ca="1">IFERROR(IF(贷款未偿还*贷款已清偿,还款日期,""), "")</f>
        <v>52217</v>
      </c>
      <c r="E235" s="16">
        <f ca="1">IFERROR(IF(贷款未偿还*贷款已清偿,I234,""), "")</f>
        <v>106250</v>
      </c>
      <c r="F235" s="16">
        <f ca="1">IFERROR(IF(贷款未偿还*贷款已清偿,贷款明细[[#This Row],[本金]]+贷款明细[[#This Row],[利息]],""), "")</f>
        <v>6599.739583333333</v>
      </c>
      <c r="G235" s="16">
        <f ca="1">IFERROR(IF(贷款未偿还*贷款已清偿,贷款金额/贷款分期次数,""), "")</f>
        <v>6250</v>
      </c>
      <c r="H235" s="16">
        <f ca="1">IFERROR(IF(贷款未偿还*贷款已清偿,贷款明细[[#This Row],[期初余额]]*贷款年利率/12,""), "")</f>
        <v>349.73958333333331</v>
      </c>
      <c r="I235" s="16">
        <f ca="1">IFERROR(IF(贷款未偿还*贷款已清偿,贷款明细[[#This Row],[期初余额]]-贷款明细[[#This Row],[本金]],""), "")</f>
        <v>100000</v>
      </c>
      <c r="J235" s="3"/>
      <c r="K235" s="6"/>
    </row>
    <row r="236" spans="1:11" ht="20.100000000000001" customHeight="1" x14ac:dyDescent="0.25">
      <c r="A236" s="6"/>
      <c r="C236" s="14">
        <f ca="1">IFERROR(IF(贷款未偿还*贷款已清偿,贷款还款期数,""), "")</f>
        <v>225</v>
      </c>
      <c r="D236" s="15">
        <f ca="1">IFERROR(IF(贷款未偿还*贷款已清偿,还款日期,""), "")</f>
        <v>52248</v>
      </c>
      <c r="E236" s="16">
        <f ca="1">IFERROR(IF(贷款未偿还*贷款已清偿,I235,""), "")</f>
        <v>100000</v>
      </c>
      <c r="F236" s="16">
        <f ca="1">IFERROR(IF(贷款未偿还*贷款已清偿,贷款明细[[#This Row],[本金]]+贷款明细[[#This Row],[利息]],""), "")</f>
        <v>6579.166666666667</v>
      </c>
      <c r="G236" s="16">
        <f ca="1">IFERROR(IF(贷款未偿还*贷款已清偿,贷款金额/贷款分期次数,""), "")</f>
        <v>6250</v>
      </c>
      <c r="H236" s="16">
        <f ca="1">IFERROR(IF(贷款未偿还*贷款已清偿,贷款明细[[#This Row],[期初余额]]*贷款年利率/12,""), "")</f>
        <v>329.16666666666669</v>
      </c>
      <c r="I236" s="16">
        <f ca="1">IFERROR(IF(贷款未偿还*贷款已清偿,贷款明细[[#This Row],[期初余额]]-贷款明细[[#This Row],[本金]],""), "")</f>
        <v>93750</v>
      </c>
      <c r="J236" s="3"/>
      <c r="K236" s="6"/>
    </row>
    <row r="237" spans="1:11" ht="20.100000000000001" customHeight="1" x14ac:dyDescent="0.25">
      <c r="A237" s="6"/>
      <c r="C237" s="14">
        <f ca="1">IFERROR(IF(贷款未偿还*贷款已清偿,贷款还款期数,""), "")</f>
        <v>226</v>
      </c>
      <c r="D237" s="15">
        <f ca="1">IFERROR(IF(贷款未偿还*贷款已清偿,还款日期,""), "")</f>
        <v>52279</v>
      </c>
      <c r="E237" s="16">
        <f ca="1">IFERROR(IF(贷款未偿还*贷款已清偿,I236,""), "")</f>
        <v>93750</v>
      </c>
      <c r="F237" s="16">
        <f ca="1">IFERROR(IF(贷款未偿还*贷款已清偿,贷款明细[[#This Row],[本金]]+贷款明细[[#This Row],[利息]],""), "")</f>
        <v>6558.59375</v>
      </c>
      <c r="G237" s="16">
        <f ca="1">IFERROR(IF(贷款未偿还*贷款已清偿,贷款金额/贷款分期次数,""), "")</f>
        <v>6250</v>
      </c>
      <c r="H237" s="16">
        <f ca="1">IFERROR(IF(贷款未偿还*贷款已清偿,贷款明细[[#This Row],[期初余额]]*贷款年利率/12,""), "")</f>
        <v>308.59375</v>
      </c>
      <c r="I237" s="16">
        <f ca="1">IFERROR(IF(贷款未偿还*贷款已清偿,贷款明细[[#This Row],[期初余额]]-贷款明细[[#This Row],[本金]],""), "")</f>
        <v>87500</v>
      </c>
      <c r="J237" s="3"/>
      <c r="K237" s="6"/>
    </row>
    <row r="238" spans="1:11" ht="20.100000000000001" customHeight="1" x14ac:dyDescent="0.25">
      <c r="A238" s="6"/>
      <c r="C238" s="14">
        <f ca="1">IFERROR(IF(贷款未偿还*贷款已清偿,贷款还款期数,""), "")</f>
        <v>227</v>
      </c>
      <c r="D238" s="15">
        <f ca="1">IFERROR(IF(贷款未偿还*贷款已清偿,还款日期,""), "")</f>
        <v>52307</v>
      </c>
      <c r="E238" s="16">
        <f ca="1">IFERROR(IF(贷款未偿还*贷款已清偿,I237,""), "")</f>
        <v>87500</v>
      </c>
      <c r="F238" s="16">
        <f ca="1">IFERROR(IF(贷款未偿还*贷款已清偿,贷款明细[[#This Row],[本金]]+贷款明细[[#This Row],[利息]],""), "")</f>
        <v>6538.020833333333</v>
      </c>
      <c r="G238" s="16">
        <f ca="1">IFERROR(IF(贷款未偿还*贷款已清偿,贷款金额/贷款分期次数,""), "")</f>
        <v>6250</v>
      </c>
      <c r="H238" s="16">
        <f ca="1">IFERROR(IF(贷款未偿还*贷款已清偿,贷款明细[[#This Row],[期初余额]]*贷款年利率/12,""), "")</f>
        <v>288.02083333333331</v>
      </c>
      <c r="I238" s="16">
        <f ca="1">IFERROR(IF(贷款未偿还*贷款已清偿,贷款明细[[#This Row],[期初余额]]-贷款明细[[#This Row],[本金]],""), "")</f>
        <v>81250</v>
      </c>
      <c r="J238" s="3"/>
      <c r="K238" s="6"/>
    </row>
    <row r="239" spans="1:11" ht="20.100000000000001" customHeight="1" x14ac:dyDescent="0.25">
      <c r="A239" s="6"/>
      <c r="C239" s="14">
        <f ca="1">IFERROR(IF(贷款未偿还*贷款已清偿,贷款还款期数,""), "")</f>
        <v>228</v>
      </c>
      <c r="D239" s="15">
        <f ca="1">IFERROR(IF(贷款未偿还*贷款已清偿,还款日期,""), "")</f>
        <v>52338</v>
      </c>
      <c r="E239" s="16">
        <f ca="1">IFERROR(IF(贷款未偿还*贷款已清偿,I238,""), "")</f>
        <v>81250</v>
      </c>
      <c r="F239" s="16">
        <f ca="1">IFERROR(IF(贷款未偿还*贷款已清偿,贷款明细[[#This Row],[本金]]+贷款明细[[#This Row],[利息]],""), "")</f>
        <v>6517.447916666667</v>
      </c>
      <c r="G239" s="16">
        <f ca="1">IFERROR(IF(贷款未偿还*贷款已清偿,贷款金额/贷款分期次数,""), "")</f>
        <v>6250</v>
      </c>
      <c r="H239" s="16">
        <f ca="1">IFERROR(IF(贷款未偿还*贷款已清偿,贷款明细[[#This Row],[期初余额]]*贷款年利率/12,""), "")</f>
        <v>267.44791666666669</v>
      </c>
      <c r="I239" s="16">
        <f ca="1">IFERROR(IF(贷款未偿还*贷款已清偿,贷款明细[[#This Row],[期初余额]]-贷款明细[[#This Row],[本金]],""), "")</f>
        <v>75000</v>
      </c>
      <c r="J239" s="3"/>
      <c r="K239" s="6"/>
    </row>
    <row r="240" spans="1:11" ht="20.100000000000001" customHeight="1" x14ac:dyDescent="0.25">
      <c r="A240" s="6"/>
      <c r="C240" s="14">
        <f ca="1">IFERROR(IF(贷款未偿还*贷款已清偿,贷款还款期数,""), "")</f>
        <v>229</v>
      </c>
      <c r="D240" s="15">
        <f ca="1">IFERROR(IF(贷款未偿还*贷款已清偿,还款日期,""), "")</f>
        <v>52368</v>
      </c>
      <c r="E240" s="16">
        <f ca="1">IFERROR(IF(贷款未偿还*贷款已清偿,I239,""), "")</f>
        <v>75000</v>
      </c>
      <c r="F240" s="16">
        <f ca="1">IFERROR(IF(贷款未偿还*贷款已清偿,贷款明细[[#This Row],[本金]]+贷款明细[[#This Row],[利息]],""), "")</f>
        <v>6496.875</v>
      </c>
      <c r="G240" s="16">
        <f ca="1">IFERROR(IF(贷款未偿还*贷款已清偿,贷款金额/贷款分期次数,""), "")</f>
        <v>6250</v>
      </c>
      <c r="H240" s="16">
        <f ca="1">IFERROR(IF(贷款未偿还*贷款已清偿,贷款明细[[#This Row],[期初余额]]*贷款年利率/12,""), "")</f>
        <v>246.875</v>
      </c>
      <c r="I240" s="16">
        <f ca="1">IFERROR(IF(贷款未偿还*贷款已清偿,贷款明细[[#This Row],[期初余额]]-贷款明细[[#This Row],[本金]],""), "")</f>
        <v>68750</v>
      </c>
      <c r="J240" s="3"/>
      <c r="K240" s="6"/>
    </row>
    <row r="241" spans="1:11" ht="20.100000000000001" customHeight="1" x14ac:dyDescent="0.25">
      <c r="A241" s="6"/>
      <c r="C241" s="14">
        <f ca="1">IFERROR(IF(贷款未偿还*贷款已清偿,贷款还款期数,""), "")</f>
        <v>230</v>
      </c>
      <c r="D241" s="15">
        <f ca="1">IFERROR(IF(贷款未偿还*贷款已清偿,还款日期,""), "")</f>
        <v>52399</v>
      </c>
      <c r="E241" s="16">
        <f ca="1">IFERROR(IF(贷款未偿还*贷款已清偿,I240,""), "")</f>
        <v>68750</v>
      </c>
      <c r="F241" s="16">
        <f ca="1">IFERROR(IF(贷款未偿还*贷款已清偿,贷款明细[[#This Row],[本金]]+贷款明细[[#This Row],[利息]],""), "")</f>
        <v>6476.302083333333</v>
      </c>
      <c r="G241" s="16">
        <f ca="1">IFERROR(IF(贷款未偿还*贷款已清偿,贷款金额/贷款分期次数,""), "")</f>
        <v>6250</v>
      </c>
      <c r="H241" s="16">
        <f ca="1">IFERROR(IF(贷款未偿还*贷款已清偿,贷款明细[[#This Row],[期初余额]]*贷款年利率/12,""), "")</f>
        <v>226.30208333333334</v>
      </c>
      <c r="I241" s="16">
        <f ca="1">IFERROR(IF(贷款未偿还*贷款已清偿,贷款明细[[#This Row],[期初余额]]-贷款明细[[#This Row],[本金]],""), "")</f>
        <v>62500</v>
      </c>
      <c r="J241" s="3"/>
      <c r="K241" s="6"/>
    </row>
    <row r="242" spans="1:11" ht="20.100000000000001" customHeight="1" x14ac:dyDescent="0.25">
      <c r="A242" s="6"/>
      <c r="C242" s="14">
        <f ca="1">IFERROR(IF(贷款未偿还*贷款已清偿,贷款还款期数,""), "")</f>
        <v>231</v>
      </c>
      <c r="D242" s="15">
        <f ca="1">IFERROR(IF(贷款未偿还*贷款已清偿,还款日期,""), "")</f>
        <v>52429</v>
      </c>
      <c r="E242" s="16">
        <f ca="1">IFERROR(IF(贷款未偿还*贷款已清偿,I241,""), "")</f>
        <v>62500</v>
      </c>
      <c r="F242" s="16">
        <f ca="1">IFERROR(IF(贷款未偿还*贷款已清偿,贷款明细[[#This Row],[本金]]+贷款明细[[#This Row],[利息]],""), "")</f>
        <v>6455.729166666667</v>
      </c>
      <c r="G242" s="16">
        <f ca="1">IFERROR(IF(贷款未偿还*贷款已清偿,贷款金额/贷款分期次数,""), "")</f>
        <v>6250</v>
      </c>
      <c r="H242" s="16">
        <f ca="1">IFERROR(IF(贷款未偿还*贷款已清偿,贷款明细[[#This Row],[期初余额]]*贷款年利率/12,""), "")</f>
        <v>205.72916666666666</v>
      </c>
      <c r="I242" s="16">
        <f ca="1">IFERROR(IF(贷款未偿还*贷款已清偿,贷款明细[[#This Row],[期初余额]]-贷款明细[[#This Row],[本金]],""), "")</f>
        <v>56250</v>
      </c>
      <c r="J242" s="3"/>
      <c r="K242" s="6"/>
    </row>
    <row r="243" spans="1:11" ht="20.100000000000001" customHeight="1" x14ac:dyDescent="0.25">
      <c r="A243" s="6"/>
      <c r="C243" s="14">
        <f ca="1">IFERROR(IF(贷款未偿还*贷款已清偿,贷款还款期数,""), "")</f>
        <v>232</v>
      </c>
      <c r="D243" s="15">
        <f ca="1">IFERROR(IF(贷款未偿还*贷款已清偿,还款日期,""), "")</f>
        <v>52460</v>
      </c>
      <c r="E243" s="16">
        <f ca="1">IFERROR(IF(贷款未偿还*贷款已清偿,I242,""), "")</f>
        <v>56250</v>
      </c>
      <c r="F243" s="16">
        <f ca="1">IFERROR(IF(贷款未偿还*贷款已清偿,贷款明细[[#This Row],[本金]]+贷款明细[[#This Row],[利息]],""), "")</f>
        <v>6435.15625</v>
      </c>
      <c r="G243" s="16">
        <f ca="1">IFERROR(IF(贷款未偿还*贷款已清偿,贷款金额/贷款分期次数,""), "")</f>
        <v>6250</v>
      </c>
      <c r="H243" s="16">
        <f ca="1">IFERROR(IF(贷款未偿还*贷款已清偿,贷款明细[[#This Row],[期初余额]]*贷款年利率/12,""), "")</f>
        <v>185.15625</v>
      </c>
      <c r="I243" s="16">
        <f ca="1">IFERROR(IF(贷款未偿还*贷款已清偿,贷款明细[[#This Row],[期初余额]]-贷款明细[[#This Row],[本金]],""), "")</f>
        <v>50000</v>
      </c>
      <c r="J243" s="3"/>
      <c r="K243" s="6"/>
    </row>
    <row r="244" spans="1:11" ht="20.100000000000001" customHeight="1" x14ac:dyDescent="0.25">
      <c r="A244" s="6"/>
      <c r="C244" s="14">
        <f ca="1">IFERROR(IF(贷款未偿还*贷款已清偿,贷款还款期数,""), "")</f>
        <v>233</v>
      </c>
      <c r="D244" s="15">
        <f ca="1">IFERROR(IF(贷款未偿还*贷款已清偿,还款日期,""), "")</f>
        <v>52491</v>
      </c>
      <c r="E244" s="16">
        <f ca="1">IFERROR(IF(贷款未偿还*贷款已清偿,I243,""), "")</f>
        <v>50000</v>
      </c>
      <c r="F244" s="16">
        <f ca="1">IFERROR(IF(贷款未偿还*贷款已清偿,贷款明细[[#This Row],[本金]]+贷款明细[[#This Row],[利息]],""), "")</f>
        <v>6414.583333333333</v>
      </c>
      <c r="G244" s="16">
        <f ca="1">IFERROR(IF(贷款未偿还*贷款已清偿,贷款金额/贷款分期次数,""), "")</f>
        <v>6250</v>
      </c>
      <c r="H244" s="16">
        <f ca="1">IFERROR(IF(贷款未偿还*贷款已清偿,贷款明细[[#This Row],[期初余额]]*贷款年利率/12,""), "")</f>
        <v>164.58333333333334</v>
      </c>
      <c r="I244" s="16">
        <f ca="1">IFERROR(IF(贷款未偿还*贷款已清偿,贷款明细[[#This Row],[期初余额]]-贷款明细[[#This Row],[本金]],""), "")</f>
        <v>43750</v>
      </c>
      <c r="J244" s="3"/>
      <c r="K244" s="6"/>
    </row>
    <row r="245" spans="1:11" ht="20.100000000000001" customHeight="1" x14ac:dyDescent="0.25">
      <c r="A245" s="6"/>
      <c r="C245" s="14">
        <f ca="1">IFERROR(IF(贷款未偿还*贷款已清偿,贷款还款期数,""), "")</f>
        <v>234</v>
      </c>
      <c r="D245" s="15">
        <f ca="1">IFERROR(IF(贷款未偿还*贷款已清偿,还款日期,""), "")</f>
        <v>52521</v>
      </c>
      <c r="E245" s="16">
        <f ca="1">IFERROR(IF(贷款未偿还*贷款已清偿,I244,""), "")</f>
        <v>43750</v>
      </c>
      <c r="F245" s="16">
        <f ca="1">IFERROR(IF(贷款未偿还*贷款已清偿,贷款明细[[#This Row],[本金]]+贷款明细[[#This Row],[利息]],""), "")</f>
        <v>6394.010416666667</v>
      </c>
      <c r="G245" s="16">
        <f ca="1">IFERROR(IF(贷款未偿还*贷款已清偿,贷款金额/贷款分期次数,""), "")</f>
        <v>6250</v>
      </c>
      <c r="H245" s="16">
        <f ca="1">IFERROR(IF(贷款未偿还*贷款已清偿,贷款明细[[#This Row],[期初余额]]*贷款年利率/12,""), "")</f>
        <v>144.01041666666666</v>
      </c>
      <c r="I245" s="16">
        <f ca="1">IFERROR(IF(贷款未偿还*贷款已清偿,贷款明细[[#This Row],[期初余额]]-贷款明细[[#This Row],[本金]],""), "")</f>
        <v>37500</v>
      </c>
      <c r="J245" s="3"/>
      <c r="K245" s="6"/>
    </row>
    <row r="246" spans="1:11" ht="20.100000000000001" customHeight="1" x14ac:dyDescent="0.25">
      <c r="A246" s="6"/>
      <c r="C246" s="14">
        <f ca="1">IFERROR(IF(贷款未偿还*贷款已清偿,贷款还款期数,""), "")</f>
        <v>235</v>
      </c>
      <c r="D246" s="15">
        <f ca="1">IFERROR(IF(贷款未偿还*贷款已清偿,还款日期,""), "")</f>
        <v>52552</v>
      </c>
      <c r="E246" s="16">
        <f ca="1">IFERROR(IF(贷款未偿还*贷款已清偿,I245,""), "")</f>
        <v>37500</v>
      </c>
      <c r="F246" s="16">
        <f ca="1">IFERROR(IF(贷款未偿还*贷款已清偿,贷款明细[[#This Row],[本金]]+贷款明细[[#This Row],[利息]],""), "")</f>
        <v>6373.4375</v>
      </c>
      <c r="G246" s="16">
        <f ca="1">IFERROR(IF(贷款未偿还*贷款已清偿,贷款金额/贷款分期次数,""), "")</f>
        <v>6250</v>
      </c>
      <c r="H246" s="16">
        <f ca="1">IFERROR(IF(贷款未偿还*贷款已清偿,贷款明细[[#This Row],[期初余额]]*贷款年利率/12,""), "")</f>
        <v>123.4375</v>
      </c>
      <c r="I246" s="16">
        <f ca="1">IFERROR(IF(贷款未偿还*贷款已清偿,贷款明细[[#This Row],[期初余额]]-贷款明细[[#This Row],[本金]],""), "")</f>
        <v>31250</v>
      </c>
      <c r="J246" s="3"/>
      <c r="K246" s="6"/>
    </row>
    <row r="247" spans="1:11" ht="20.100000000000001" customHeight="1" x14ac:dyDescent="0.25">
      <c r="A247" s="6"/>
      <c r="C247" s="14">
        <f ca="1">IFERROR(IF(贷款未偿还*贷款已清偿,贷款还款期数,""), "")</f>
        <v>236</v>
      </c>
      <c r="D247" s="15">
        <f ca="1">IFERROR(IF(贷款未偿还*贷款已清偿,还款日期,""), "")</f>
        <v>52582</v>
      </c>
      <c r="E247" s="16">
        <f ca="1">IFERROR(IF(贷款未偿还*贷款已清偿,I246,""), "")</f>
        <v>31250</v>
      </c>
      <c r="F247" s="16">
        <f ca="1">IFERROR(IF(贷款未偿还*贷款已清偿,贷款明细[[#This Row],[本金]]+贷款明细[[#This Row],[利息]],""), "")</f>
        <v>6352.864583333333</v>
      </c>
      <c r="G247" s="16">
        <f ca="1">IFERROR(IF(贷款未偿还*贷款已清偿,贷款金额/贷款分期次数,""), "")</f>
        <v>6250</v>
      </c>
      <c r="H247" s="16">
        <f ca="1">IFERROR(IF(贷款未偿还*贷款已清偿,贷款明细[[#This Row],[期初余额]]*贷款年利率/12,""), "")</f>
        <v>102.86458333333333</v>
      </c>
      <c r="I247" s="16">
        <f ca="1">IFERROR(IF(贷款未偿还*贷款已清偿,贷款明细[[#This Row],[期初余额]]-贷款明细[[#This Row],[本金]],""), "")</f>
        <v>25000</v>
      </c>
      <c r="J247" s="3"/>
      <c r="K247" s="6"/>
    </row>
    <row r="248" spans="1:11" ht="20.100000000000001" customHeight="1" x14ac:dyDescent="0.25">
      <c r="A248" s="6"/>
      <c r="C248" s="14">
        <f ca="1">IFERROR(IF(贷款未偿还*贷款已清偿,贷款还款期数,""), "")</f>
        <v>237</v>
      </c>
      <c r="D248" s="15">
        <f ca="1">IFERROR(IF(贷款未偿还*贷款已清偿,还款日期,""), "")</f>
        <v>52613</v>
      </c>
      <c r="E248" s="16">
        <f ca="1">IFERROR(IF(贷款未偿还*贷款已清偿,I247,""), "")</f>
        <v>25000</v>
      </c>
      <c r="F248" s="16">
        <f ca="1">IFERROR(IF(贷款未偿还*贷款已清偿,贷款明细[[#This Row],[本金]]+贷款明细[[#This Row],[利息]],""), "")</f>
        <v>6332.291666666667</v>
      </c>
      <c r="G248" s="16">
        <f ca="1">IFERROR(IF(贷款未偿还*贷款已清偿,贷款金额/贷款分期次数,""), "")</f>
        <v>6250</v>
      </c>
      <c r="H248" s="16">
        <f ca="1">IFERROR(IF(贷款未偿还*贷款已清偿,贷款明细[[#This Row],[期初余额]]*贷款年利率/12,""), "")</f>
        <v>82.291666666666671</v>
      </c>
      <c r="I248" s="16">
        <f ca="1">IFERROR(IF(贷款未偿还*贷款已清偿,贷款明细[[#This Row],[期初余额]]-贷款明细[[#This Row],[本金]],""), "")</f>
        <v>18750</v>
      </c>
      <c r="J248" s="3"/>
      <c r="K248" s="6"/>
    </row>
    <row r="249" spans="1:11" ht="20.100000000000001" customHeight="1" x14ac:dyDescent="0.25">
      <c r="A249" s="6"/>
      <c r="C249" s="14">
        <f ca="1">IFERROR(IF(贷款未偿还*贷款已清偿,贷款还款期数,""), "")</f>
        <v>238</v>
      </c>
      <c r="D249" s="15">
        <f ca="1">IFERROR(IF(贷款未偿还*贷款已清偿,还款日期,""), "")</f>
        <v>52644</v>
      </c>
      <c r="E249" s="16">
        <f ca="1">IFERROR(IF(贷款未偿还*贷款已清偿,I248,""), "")</f>
        <v>18750</v>
      </c>
      <c r="F249" s="16">
        <f ca="1">IFERROR(IF(贷款未偿还*贷款已清偿,贷款明细[[#This Row],[本金]]+贷款明细[[#This Row],[利息]],""), "")</f>
        <v>6311.71875</v>
      </c>
      <c r="G249" s="16">
        <f ca="1">IFERROR(IF(贷款未偿还*贷款已清偿,贷款金额/贷款分期次数,""), "")</f>
        <v>6250</v>
      </c>
      <c r="H249" s="16">
        <f ca="1">IFERROR(IF(贷款未偿还*贷款已清偿,贷款明细[[#This Row],[期初余额]]*贷款年利率/12,""), "")</f>
        <v>61.71875</v>
      </c>
      <c r="I249" s="16">
        <f ca="1">IFERROR(IF(贷款未偿还*贷款已清偿,贷款明细[[#This Row],[期初余额]]-贷款明细[[#This Row],[本金]],""), "")</f>
        <v>12500</v>
      </c>
      <c r="J249" s="3"/>
      <c r="K249" s="6"/>
    </row>
    <row r="250" spans="1:11" ht="20.100000000000001" customHeight="1" x14ac:dyDescent="0.25">
      <c r="A250" s="6"/>
      <c r="C250" s="14">
        <f ca="1">IFERROR(IF(贷款未偿还*贷款已清偿,贷款还款期数,""), "")</f>
        <v>239</v>
      </c>
      <c r="D250" s="15">
        <f ca="1">IFERROR(IF(贷款未偿还*贷款已清偿,还款日期,""), "")</f>
        <v>52673</v>
      </c>
      <c r="E250" s="16">
        <f ca="1">IFERROR(IF(贷款未偿还*贷款已清偿,I249,""), "")</f>
        <v>12500</v>
      </c>
      <c r="F250" s="16">
        <f ca="1">IFERROR(IF(贷款未偿还*贷款已清偿,贷款明细[[#This Row],[本金]]+贷款明细[[#This Row],[利息]],""), "")</f>
        <v>6291.145833333333</v>
      </c>
      <c r="G250" s="16">
        <f ca="1">IFERROR(IF(贷款未偿还*贷款已清偿,贷款金额/贷款分期次数,""), "")</f>
        <v>6250</v>
      </c>
      <c r="H250" s="16">
        <f ca="1">IFERROR(IF(贷款未偿还*贷款已清偿,贷款明细[[#This Row],[期初余额]]*贷款年利率/12,""), "")</f>
        <v>41.145833333333336</v>
      </c>
      <c r="I250" s="16">
        <f ca="1">IFERROR(IF(贷款未偿还*贷款已清偿,贷款明细[[#This Row],[期初余额]]-贷款明细[[#This Row],[本金]],""), "")</f>
        <v>6250</v>
      </c>
      <c r="J250" s="3"/>
      <c r="K250" s="6"/>
    </row>
    <row r="251" spans="1:11" ht="20.100000000000001" customHeight="1" x14ac:dyDescent="0.25">
      <c r="A251" s="6"/>
      <c r="C251" s="14">
        <f ca="1">IFERROR(IF(贷款未偿还*贷款已清偿,贷款还款期数,""), "")</f>
        <v>240</v>
      </c>
      <c r="D251" s="15">
        <f ca="1">IFERROR(IF(贷款未偿还*贷款已清偿,还款日期,""), "")</f>
        <v>52704</v>
      </c>
      <c r="E251" s="16">
        <f ca="1">IFERROR(IF(贷款未偿还*贷款已清偿,I250,""), "")</f>
        <v>6250</v>
      </c>
      <c r="F251" s="16">
        <f ca="1">IFERROR(IF(贷款未偿还*贷款已清偿,贷款明细[[#This Row],[本金]]+贷款明细[[#This Row],[利息]],""), "")</f>
        <v>6270.572916666667</v>
      </c>
      <c r="G251" s="16">
        <f ca="1">IFERROR(IF(贷款未偿还*贷款已清偿,贷款金额/贷款分期次数,""), "")</f>
        <v>6250</v>
      </c>
      <c r="H251" s="16">
        <f ca="1">IFERROR(IF(贷款未偿还*贷款已清偿,贷款明细[[#This Row],[期初余额]]*贷款年利率/12,""), "")</f>
        <v>20.572916666666668</v>
      </c>
      <c r="I251" s="16">
        <f ca="1">IFERROR(IF(贷款未偿还*贷款已清偿,贷款明细[[#This Row],[期初余额]]-贷款明细[[#This Row],[本金]],""), "")</f>
        <v>0</v>
      </c>
      <c r="J251" s="3"/>
      <c r="K251" s="6"/>
    </row>
    <row r="252" spans="1:11" ht="20.100000000000001" customHeight="1" x14ac:dyDescent="0.25">
      <c r="A252" s="6"/>
      <c r="C252" s="14" t="str">
        <f ca="1">IFERROR(IF(贷款未偿还*贷款已清偿,贷款还款期数,""), "")</f>
        <v/>
      </c>
      <c r="D252" s="15" t="str">
        <f ca="1">IFERROR(IF(贷款未偿还*贷款已清偿,还款日期,""), "")</f>
        <v/>
      </c>
      <c r="E252" s="16" t="str">
        <f ca="1">IFERROR(IF(贷款未偿还*贷款已清偿,I251,""), "")</f>
        <v/>
      </c>
      <c r="F252" s="16" t="str">
        <f ca="1">IFERROR(IF(贷款未偿还*贷款已清偿,贷款明细[[#This Row],[本金]]+贷款明细[[#This Row],[利息]],""), "")</f>
        <v/>
      </c>
      <c r="G252" s="16" t="str">
        <f ca="1">IFERROR(IF(贷款未偿还*贷款已清偿,贷款金额/贷款分期次数,""), "")</f>
        <v/>
      </c>
      <c r="H252" s="16" t="str">
        <f ca="1">IFERROR(IF(贷款未偿还*贷款已清偿,贷款明细[[#This Row],[期初余额]]*贷款年利率/12,""), "")</f>
        <v/>
      </c>
      <c r="I252" s="16" t="str">
        <f ca="1">IFERROR(IF(贷款未偿还*贷款已清偿,贷款明细[[#This Row],[期初余额]]-贷款明细[[#This Row],[本金]],""), "")</f>
        <v/>
      </c>
      <c r="J252" s="3"/>
      <c r="K252" s="6"/>
    </row>
    <row r="253" spans="1:11" ht="20.100000000000001" customHeight="1" x14ac:dyDescent="0.25">
      <c r="A253" s="6"/>
      <c r="C253" s="14" t="str">
        <f ca="1">IFERROR(IF(贷款未偿还*贷款已清偿,贷款还款期数,""), "")</f>
        <v/>
      </c>
      <c r="D253" s="15" t="str">
        <f ca="1">IFERROR(IF(贷款未偿还*贷款已清偿,还款日期,""), "")</f>
        <v/>
      </c>
      <c r="E253" s="16" t="str">
        <f ca="1">IFERROR(IF(贷款未偿还*贷款已清偿,I252,""), "")</f>
        <v/>
      </c>
      <c r="F253" s="16" t="str">
        <f ca="1">IFERROR(IF(贷款未偿还*贷款已清偿,贷款明细[[#This Row],[本金]]+贷款明细[[#This Row],[利息]],""), "")</f>
        <v/>
      </c>
      <c r="G253" s="16" t="str">
        <f ca="1">IFERROR(IF(贷款未偿还*贷款已清偿,贷款金额/贷款分期次数,""), "")</f>
        <v/>
      </c>
      <c r="H253" s="16" t="str">
        <f ca="1">IFERROR(IF(贷款未偿还*贷款已清偿,贷款明细[[#This Row],[期初余额]]*贷款年利率/12,""), "")</f>
        <v/>
      </c>
      <c r="I253" s="16" t="str">
        <f ca="1">IFERROR(IF(贷款未偿还*贷款已清偿,贷款明细[[#This Row],[期初余额]]-贷款明细[[#This Row],[本金]],""), "")</f>
        <v/>
      </c>
      <c r="J253" s="3"/>
      <c r="K253" s="6"/>
    </row>
    <row r="254" spans="1:11" ht="20.100000000000001" customHeight="1" x14ac:dyDescent="0.25">
      <c r="A254" s="6"/>
      <c r="C254" s="14" t="str">
        <f ca="1">IFERROR(IF(贷款未偿还*贷款已清偿,贷款还款期数,""), "")</f>
        <v/>
      </c>
      <c r="D254" s="15" t="str">
        <f ca="1">IFERROR(IF(贷款未偿还*贷款已清偿,还款日期,""), "")</f>
        <v/>
      </c>
      <c r="E254" s="16" t="str">
        <f ca="1">IFERROR(IF(贷款未偿还*贷款已清偿,I253,""), "")</f>
        <v/>
      </c>
      <c r="F254" s="16" t="str">
        <f ca="1">IFERROR(IF(贷款未偿还*贷款已清偿,贷款明细[[#This Row],[本金]]+贷款明细[[#This Row],[利息]],""), "")</f>
        <v/>
      </c>
      <c r="G254" s="16" t="str">
        <f ca="1">IFERROR(IF(贷款未偿还*贷款已清偿,贷款金额/贷款分期次数,""), "")</f>
        <v/>
      </c>
      <c r="H254" s="16" t="str">
        <f ca="1">IFERROR(IF(贷款未偿还*贷款已清偿,贷款明细[[#This Row],[期初余额]]*贷款年利率/12,""), "")</f>
        <v/>
      </c>
      <c r="I254" s="16" t="str">
        <f ca="1">IFERROR(IF(贷款未偿还*贷款已清偿,贷款明细[[#This Row],[期初余额]]-贷款明细[[#This Row],[本金]],""), "")</f>
        <v/>
      </c>
      <c r="J254" s="3"/>
      <c r="K254" s="6"/>
    </row>
    <row r="255" spans="1:11" ht="20.100000000000001" customHeight="1" x14ac:dyDescent="0.25">
      <c r="A255" s="6"/>
      <c r="C255" s="14" t="str">
        <f ca="1">IFERROR(IF(贷款未偿还*贷款已清偿,贷款还款期数,""), "")</f>
        <v/>
      </c>
      <c r="D255" s="15" t="str">
        <f ca="1">IFERROR(IF(贷款未偿还*贷款已清偿,还款日期,""), "")</f>
        <v/>
      </c>
      <c r="E255" s="16" t="str">
        <f ca="1">IFERROR(IF(贷款未偿还*贷款已清偿,I254,""), "")</f>
        <v/>
      </c>
      <c r="F255" s="16" t="str">
        <f ca="1">IFERROR(IF(贷款未偿还*贷款已清偿,贷款明细[[#This Row],[本金]]+贷款明细[[#This Row],[利息]],""), "")</f>
        <v/>
      </c>
      <c r="G255" s="16" t="str">
        <f ca="1">IFERROR(IF(贷款未偿还*贷款已清偿,贷款金额/贷款分期次数,""), "")</f>
        <v/>
      </c>
      <c r="H255" s="16" t="str">
        <f ca="1">IFERROR(IF(贷款未偿还*贷款已清偿,贷款明细[[#This Row],[期初余额]]*贷款年利率/12,""), "")</f>
        <v/>
      </c>
      <c r="I255" s="16" t="str">
        <f ca="1">IFERROR(IF(贷款未偿还*贷款已清偿,贷款明细[[#This Row],[期初余额]]-贷款明细[[#This Row],[本金]],""), "")</f>
        <v/>
      </c>
      <c r="J255" s="3"/>
      <c r="K255" s="6"/>
    </row>
    <row r="256" spans="1:11" ht="20.100000000000001" customHeight="1" x14ac:dyDescent="0.25">
      <c r="A256" s="6"/>
      <c r="C256" s="14" t="str">
        <f ca="1">IFERROR(IF(贷款未偿还*贷款已清偿,贷款还款期数,""), "")</f>
        <v/>
      </c>
      <c r="D256" s="15" t="str">
        <f ca="1">IFERROR(IF(贷款未偿还*贷款已清偿,还款日期,""), "")</f>
        <v/>
      </c>
      <c r="E256" s="16" t="str">
        <f ca="1">IFERROR(IF(贷款未偿还*贷款已清偿,I255,""), "")</f>
        <v/>
      </c>
      <c r="F256" s="16" t="str">
        <f ca="1">IFERROR(IF(贷款未偿还*贷款已清偿,贷款明细[[#This Row],[本金]]+贷款明细[[#This Row],[利息]],""), "")</f>
        <v/>
      </c>
      <c r="G256" s="16" t="str">
        <f ca="1">IFERROR(IF(贷款未偿还*贷款已清偿,贷款金额/贷款分期次数,""), "")</f>
        <v/>
      </c>
      <c r="H256" s="16" t="str">
        <f ca="1">IFERROR(IF(贷款未偿还*贷款已清偿,贷款明细[[#This Row],[期初余额]]*贷款年利率/12,""), "")</f>
        <v/>
      </c>
      <c r="I256" s="16" t="str">
        <f ca="1">IFERROR(IF(贷款未偿还*贷款已清偿,贷款明细[[#This Row],[期初余额]]-贷款明细[[#This Row],[本金]],""), "")</f>
        <v/>
      </c>
      <c r="J256" s="3"/>
      <c r="K256" s="6"/>
    </row>
    <row r="257" spans="1:11" ht="20.100000000000001" customHeight="1" x14ac:dyDescent="0.25">
      <c r="A257" s="6"/>
      <c r="C257" s="14" t="str">
        <f ca="1">IFERROR(IF(贷款未偿还*贷款已清偿,贷款还款期数,""), "")</f>
        <v/>
      </c>
      <c r="D257" s="15" t="str">
        <f ca="1">IFERROR(IF(贷款未偿还*贷款已清偿,还款日期,""), "")</f>
        <v/>
      </c>
      <c r="E257" s="16" t="str">
        <f ca="1">IFERROR(IF(贷款未偿还*贷款已清偿,I256,""), "")</f>
        <v/>
      </c>
      <c r="F257" s="16" t="str">
        <f ca="1">IFERROR(IF(贷款未偿还*贷款已清偿,贷款明细[[#This Row],[本金]]+贷款明细[[#This Row],[利息]],""), "")</f>
        <v/>
      </c>
      <c r="G257" s="16" t="str">
        <f ca="1">IFERROR(IF(贷款未偿还*贷款已清偿,贷款金额/贷款分期次数,""), "")</f>
        <v/>
      </c>
      <c r="H257" s="16" t="str">
        <f ca="1">IFERROR(IF(贷款未偿还*贷款已清偿,贷款明细[[#This Row],[期初余额]]*贷款年利率/12,""), "")</f>
        <v/>
      </c>
      <c r="I257" s="16" t="str">
        <f ca="1">IFERROR(IF(贷款未偿还*贷款已清偿,贷款明细[[#This Row],[期初余额]]-贷款明细[[#This Row],[本金]],""), "")</f>
        <v/>
      </c>
      <c r="J257" s="3"/>
      <c r="K257" s="6"/>
    </row>
    <row r="258" spans="1:11" ht="20.100000000000001" customHeight="1" x14ac:dyDescent="0.25">
      <c r="A258" s="6"/>
      <c r="C258" s="14" t="str">
        <f ca="1">IFERROR(IF(贷款未偿还*贷款已清偿,贷款还款期数,""), "")</f>
        <v/>
      </c>
      <c r="D258" s="15" t="str">
        <f ca="1">IFERROR(IF(贷款未偿还*贷款已清偿,还款日期,""), "")</f>
        <v/>
      </c>
      <c r="E258" s="16" t="str">
        <f ca="1">IFERROR(IF(贷款未偿还*贷款已清偿,I257,""), "")</f>
        <v/>
      </c>
      <c r="F258" s="16" t="str">
        <f ca="1">IFERROR(IF(贷款未偿还*贷款已清偿,贷款明细[[#This Row],[本金]]+贷款明细[[#This Row],[利息]],""), "")</f>
        <v/>
      </c>
      <c r="G258" s="16" t="str">
        <f ca="1">IFERROR(IF(贷款未偿还*贷款已清偿,贷款金额/贷款分期次数,""), "")</f>
        <v/>
      </c>
      <c r="H258" s="16" t="str">
        <f ca="1">IFERROR(IF(贷款未偿还*贷款已清偿,贷款明细[[#This Row],[期初余额]]*贷款年利率/12,""), "")</f>
        <v/>
      </c>
      <c r="I258" s="16" t="str">
        <f ca="1">IFERROR(IF(贷款未偿还*贷款已清偿,贷款明细[[#This Row],[期初余额]]-贷款明细[[#This Row],[本金]],""), "")</f>
        <v/>
      </c>
      <c r="J258" s="3"/>
      <c r="K258" s="6"/>
    </row>
    <row r="259" spans="1:11" ht="20.100000000000001" customHeight="1" x14ac:dyDescent="0.25">
      <c r="A259" s="6"/>
      <c r="C259" s="14" t="str">
        <f ca="1">IFERROR(IF(贷款未偿还*贷款已清偿,贷款还款期数,""), "")</f>
        <v/>
      </c>
      <c r="D259" s="15" t="str">
        <f ca="1">IFERROR(IF(贷款未偿还*贷款已清偿,还款日期,""), "")</f>
        <v/>
      </c>
      <c r="E259" s="16" t="str">
        <f ca="1">IFERROR(IF(贷款未偿还*贷款已清偿,I258,""), "")</f>
        <v/>
      </c>
      <c r="F259" s="16" t="str">
        <f ca="1">IFERROR(IF(贷款未偿还*贷款已清偿,贷款明细[[#This Row],[本金]]+贷款明细[[#This Row],[利息]],""), "")</f>
        <v/>
      </c>
      <c r="G259" s="16" t="str">
        <f ca="1">IFERROR(IF(贷款未偿还*贷款已清偿,贷款金额/贷款分期次数,""), "")</f>
        <v/>
      </c>
      <c r="H259" s="16" t="str">
        <f ca="1">IFERROR(IF(贷款未偿还*贷款已清偿,贷款明细[[#This Row],[期初余额]]*贷款年利率/12,""), "")</f>
        <v/>
      </c>
      <c r="I259" s="16" t="str">
        <f ca="1">IFERROR(IF(贷款未偿还*贷款已清偿,贷款明细[[#This Row],[期初余额]]-贷款明细[[#This Row],[本金]],""), "")</f>
        <v/>
      </c>
      <c r="J259" s="3"/>
      <c r="K259" s="6"/>
    </row>
    <row r="260" spans="1:11" ht="20.100000000000001" customHeight="1" x14ac:dyDescent="0.25">
      <c r="A260" s="6"/>
      <c r="C260" s="14" t="str">
        <f ca="1">IFERROR(IF(贷款未偿还*贷款已清偿,贷款还款期数,""), "")</f>
        <v/>
      </c>
      <c r="D260" s="15" t="str">
        <f ca="1">IFERROR(IF(贷款未偿还*贷款已清偿,还款日期,""), "")</f>
        <v/>
      </c>
      <c r="E260" s="16" t="str">
        <f ca="1">IFERROR(IF(贷款未偿还*贷款已清偿,I259,""), "")</f>
        <v/>
      </c>
      <c r="F260" s="16" t="str">
        <f ca="1">IFERROR(IF(贷款未偿还*贷款已清偿,贷款明细[[#This Row],[本金]]+贷款明细[[#This Row],[利息]],""), "")</f>
        <v/>
      </c>
      <c r="G260" s="16" t="str">
        <f ca="1">IFERROR(IF(贷款未偿还*贷款已清偿,贷款金额/贷款分期次数,""), "")</f>
        <v/>
      </c>
      <c r="H260" s="16" t="str">
        <f ca="1">IFERROR(IF(贷款未偿还*贷款已清偿,贷款明细[[#This Row],[期初余额]]*贷款年利率/12,""), "")</f>
        <v/>
      </c>
      <c r="I260" s="16" t="str">
        <f ca="1">IFERROR(IF(贷款未偿还*贷款已清偿,贷款明细[[#This Row],[期初余额]]-贷款明细[[#This Row],[本金]],""), "")</f>
        <v/>
      </c>
      <c r="J260" s="3"/>
      <c r="K260" s="6"/>
    </row>
    <row r="261" spans="1:11" ht="20.100000000000001" customHeight="1" x14ac:dyDescent="0.25">
      <c r="A261" s="6"/>
      <c r="C261" s="14" t="str">
        <f ca="1">IFERROR(IF(贷款未偿还*贷款已清偿,贷款还款期数,""), "")</f>
        <v/>
      </c>
      <c r="D261" s="15" t="str">
        <f ca="1">IFERROR(IF(贷款未偿还*贷款已清偿,还款日期,""), "")</f>
        <v/>
      </c>
      <c r="E261" s="16" t="str">
        <f ca="1">IFERROR(IF(贷款未偿还*贷款已清偿,I260,""), "")</f>
        <v/>
      </c>
      <c r="F261" s="16" t="str">
        <f ca="1">IFERROR(IF(贷款未偿还*贷款已清偿,贷款明细[[#This Row],[本金]]+贷款明细[[#This Row],[利息]],""), "")</f>
        <v/>
      </c>
      <c r="G261" s="16" t="str">
        <f ca="1">IFERROR(IF(贷款未偿还*贷款已清偿,贷款金额/贷款分期次数,""), "")</f>
        <v/>
      </c>
      <c r="H261" s="16" t="str">
        <f ca="1">IFERROR(IF(贷款未偿还*贷款已清偿,贷款明细[[#This Row],[期初余额]]*贷款年利率/12,""), "")</f>
        <v/>
      </c>
      <c r="I261" s="16" t="str">
        <f ca="1">IFERROR(IF(贷款未偿还*贷款已清偿,贷款明细[[#This Row],[期初余额]]-贷款明细[[#This Row],[本金]],""), "")</f>
        <v/>
      </c>
      <c r="J261" s="3"/>
      <c r="K261" s="6"/>
    </row>
    <row r="262" spans="1:11" ht="20.100000000000001" customHeight="1" x14ac:dyDescent="0.25">
      <c r="A262" s="6"/>
      <c r="C262" s="14" t="str">
        <f ca="1">IFERROR(IF(贷款未偿还*贷款已清偿,贷款还款期数,""), "")</f>
        <v/>
      </c>
      <c r="D262" s="15" t="str">
        <f ca="1">IFERROR(IF(贷款未偿还*贷款已清偿,还款日期,""), "")</f>
        <v/>
      </c>
      <c r="E262" s="16" t="str">
        <f ca="1">IFERROR(IF(贷款未偿还*贷款已清偿,I261,""), "")</f>
        <v/>
      </c>
      <c r="F262" s="16" t="str">
        <f ca="1">IFERROR(IF(贷款未偿还*贷款已清偿,贷款明细[[#This Row],[本金]]+贷款明细[[#This Row],[利息]],""), "")</f>
        <v/>
      </c>
      <c r="G262" s="16" t="str">
        <f ca="1">IFERROR(IF(贷款未偿还*贷款已清偿,贷款金额/贷款分期次数,""), "")</f>
        <v/>
      </c>
      <c r="H262" s="16" t="str">
        <f ca="1">IFERROR(IF(贷款未偿还*贷款已清偿,贷款明细[[#This Row],[期初余额]]*贷款年利率/12,""), "")</f>
        <v/>
      </c>
      <c r="I262" s="16" t="str">
        <f ca="1">IFERROR(IF(贷款未偿还*贷款已清偿,贷款明细[[#This Row],[期初余额]]-贷款明细[[#This Row],[本金]],""), "")</f>
        <v/>
      </c>
      <c r="J262" s="3"/>
      <c r="K262" s="6"/>
    </row>
    <row r="263" spans="1:11" ht="20.100000000000001" customHeight="1" x14ac:dyDescent="0.25">
      <c r="A263" s="6"/>
      <c r="C263" s="14" t="str">
        <f ca="1">IFERROR(IF(贷款未偿还*贷款已清偿,贷款还款期数,""), "")</f>
        <v/>
      </c>
      <c r="D263" s="15" t="str">
        <f ca="1">IFERROR(IF(贷款未偿还*贷款已清偿,还款日期,""), "")</f>
        <v/>
      </c>
      <c r="E263" s="16" t="str">
        <f ca="1">IFERROR(IF(贷款未偿还*贷款已清偿,I262,""), "")</f>
        <v/>
      </c>
      <c r="F263" s="16" t="str">
        <f ca="1">IFERROR(IF(贷款未偿还*贷款已清偿,贷款明细[[#This Row],[本金]]+贷款明细[[#This Row],[利息]],""), "")</f>
        <v/>
      </c>
      <c r="G263" s="16" t="str">
        <f ca="1">IFERROR(IF(贷款未偿还*贷款已清偿,贷款金额/贷款分期次数,""), "")</f>
        <v/>
      </c>
      <c r="H263" s="16" t="str">
        <f ca="1">IFERROR(IF(贷款未偿还*贷款已清偿,贷款明细[[#This Row],[期初余额]]*贷款年利率/12,""), "")</f>
        <v/>
      </c>
      <c r="I263" s="16" t="str">
        <f ca="1">IFERROR(IF(贷款未偿还*贷款已清偿,贷款明细[[#This Row],[期初余额]]-贷款明细[[#This Row],[本金]],""), "")</f>
        <v/>
      </c>
      <c r="J263" s="3"/>
      <c r="K263" s="6"/>
    </row>
    <row r="264" spans="1:11" ht="20.100000000000001" customHeight="1" x14ac:dyDescent="0.25">
      <c r="A264" s="6"/>
      <c r="C264" s="14" t="str">
        <f ca="1">IFERROR(IF(贷款未偿还*贷款已清偿,贷款还款期数,""), "")</f>
        <v/>
      </c>
      <c r="D264" s="15" t="str">
        <f ca="1">IFERROR(IF(贷款未偿还*贷款已清偿,还款日期,""), "")</f>
        <v/>
      </c>
      <c r="E264" s="16" t="str">
        <f ca="1">IFERROR(IF(贷款未偿还*贷款已清偿,I263,""), "")</f>
        <v/>
      </c>
      <c r="F264" s="16" t="str">
        <f ca="1">IFERROR(IF(贷款未偿还*贷款已清偿,贷款明细[[#This Row],[本金]]+贷款明细[[#This Row],[利息]],""), "")</f>
        <v/>
      </c>
      <c r="G264" s="16" t="str">
        <f ca="1">IFERROR(IF(贷款未偿还*贷款已清偿,贷款金额/贷款分期次数,""), "")</f>
        <v/>
      </c>
      <c r="H264" s="16" t="str">
        <f ca="1">IFERROR(IF(贷款未偿还*贷款已清偿,贷款明细[[#This Row],[期初余额]]*贷款年利率/12,""), "")</f>
        <v/>
      </c>
      <c r="I264" s="16" t="str">
        <f ca="1">IFERROR(IF(贷款未偿还*贷款已清偿,贷款明细[[#This Row],[期初余额]]-贷款明细[[#This Row],[本金]],""), "")</f>
        <v/>
      </c>
      <c r="J264" s="3"/>
      <c r="K264" s="6"/>
    </row>
    <row r="265" spans="1:11" ht="20.100000000000001" customHeight="1" x14ac:dyDescent="0.25">
      <c r="A265" s="6"/>
      <c r="C265" s="14" t="str">
        <f ca="1">IFERROR(IF(贷款未偿还*贷款已清偿,贷款还款期数,""), "")</f>
        <v/>
      </c>
      <c r="D265" s="15" t="str">
        <f ca="1">IFERROR(IF(贷款未偿还*贷款已清偿,还款日期,""), "")</f>
        <v/>
      </c>
      <c r="E265" s="16" t="str">
        <f ca="1">IFERROR(IF(贷款未偿还*贷款已清偿,I264,""), "")</f>
        <v/>
      </c>
      <c r="F265" s="16" t="str">
        <f ca="1">IFERROR(IF(贷款未偿还*贷款已清偿,贷款明细[[#This Row],[本金]]+贷款明细[[#This Row],[利息]],""), "")</f>
        <v/>
      </c>
      <c r="G265" s="16" t="str">
        <f ca="1">IFERROR(IF(贷款未偿还*贷款已清偿,贷款金额/贷款分期次数,""), "")</f>
        <v/>
      </c>
      <c r="H265" s="16" t="str">
        <f ca="1">IFERROR(IF(贷款未偿还*贷款已清偿,贷款明细[[#This Row],[期初余额]]*贷款年利率/12,""), "")</f>
        <v/>
      </c>
      <c r="I265" s="16" t="str">
        <f ca="1">IFERROR(IF(贷款未偿还*贷款已清偿,贷款明细[[#This Row],[期初余额]]-贷款明细[[#This Row],[本金]],""), "")</f>
        <v/>
      </c>
      <c r="J265" s="3"/>
      <c r="K265" s="6"/>
    </row>
    <row r="266" spans="1:11" ht="20.100000000000001" customHeight="1" x14ac:dyDescent="0.25">
      <c r="A266" s="6"/>
      <c r="C266" s="14" t="str">
        <f ca="1">IFERROR(IF(贷款未偿还*贷款已清偿,贷款还款期数,""), "")</f>
        <v/>
      </c>
      <c r="D266" s="15" t="str">
        <f ca="1">IFERROR(IF(贷款未偿还*贷款已清偿,还款日期,""), "")</f>
        <v/>
      </c>
      <c r="E266" s="16" t="str">
        <f ca="1">IFERROR(IF(贷款未偿还*贷款已清偿,I265,""), "")</f>
        <v/>
      </c>
      <c r="F266" s="16" t="str">
        <f ca="1">IFERROR(IF(贷款未偿还*贷款已清偿,贷款明细[[#This Row],[本金]]+贷款明细[[#This Row],[利息]],""), "")</f>
        <v/>
      </c>
      <c r="G266" s="16" t="str">
        <f ca="1">IFERROR(IF(贷款未偿还*贷款已清偿,贷款金额/贷款分期次数,""), "")</f>
        <v/>
      </c>
      <c r="H266" s="16" t="str">
        <f ca="1">IFERROR(IF(贷款未偿还*贷款已清偿,贷款明细[[#This Row],[期初余额]]*贷款年利率/12,""), "")</f>
        <v/>
      </c>
      <c r="I266" s="16" t="str">
        <f ca="1">IFERROR(IF(贷款未偿还*贷款已清偿,贷款明细[[#This Row],[期初余额]]-贷款明细[[#This Row],[本金]],""), "")</f>
        <v/>
      </c>
      <c r="J266" s="3"/>
      <c r="K266" s="6"/>
    </row>
    <row r="267" spans="1:11" ht="20.100000000000001" customHeight="1" x14ac:dyDescent="0.25">
      <c r="A267" s="6"/>
      <c r="C267" s="14" t="str">
        <f ca="1">IFERROR(IF(贷款未偿还*贷款已清偿,贷款还款期数,""), "")</f>
        <v/>
      </c>
      <c r="D267" s="15" t="str">
        <f ca="1">IFERROR(IF(贷款未偿还*贷款已清偿,还款日期,""), "")</f>
        <v/>
      </c>
      <c r="E267" s="16" t="str">
        <f ca="1">IFERROR(IF(贷款未偿还*贷款已清偿,I266,""), "")</f>
        <v/>
      </c>
      <c r="F267" s="16" t="str">
        <f ca="1">IFERROR(IF(贷款未偿还*贷款已清偿,贷款明细[[#This Row],[本金]]+贷款明细[[#This Row],[利息]],""), "")</f>
        <v/>
      </c>
      <c r="G267" s="16" t="str">
        <f ca="1">IFERROR(IF(贷款未偿还*贷款已清偿,贷款金额/贷款分期次数,""), "")</f>
        <v/>
      </c>
      <c r="H267" s="16" t="str">
        <f ca="1">IFERROR(IF(贷款未偿还*贷款已清偿,贷款明细[[#This Row],[期初余额]]*贷款年利率/12,""), "")</f>
        <v/>
      </c>
      <c r="I267" s="16" t="str">
        <f ca="1">IFERROR(IF(贷款未偿还*贷款已清偿,贷款明细[[#This Row],[期初余额]]-贷款明细[[#This Row],[本金]],""), "")</f>
        <v/>
      </c>
      <c r="J267" s="3"/>
      <c r="K267" s="6"/>
    </row>
    <row r="268" spans="1:11" ht="20.100000000000001" customHeight="1" x14ac:dyDescent="0.25">
      <c r="A268" s="6"/>
      <c r="C268" s="14" t="str">
        <f ca="1">IFERROR(IF(贷款未偿还*贷款已清偿,贷款还款期数,""), "")</f>
        <v/>
      </c>
      <c r="D268" s="15" t="str">
        <f ca="1">IFERROR(IF(贷款未偿还*贷款已清偿,还款日期,""), "")</f>
        <v/>
      </c>
      <c r="E268" s="16" t="str">
        <f ca="1">IFERROR(IF(贷款未偿还*贷款已清偿,I267,""), "")</f>
        <v/>
      </c>
      <c r="F268" s="16" t="str">
        <f ca="1">IFERROR(IF(贷款未偿还*贷款已清偿,贷款明细[[#This Row],[本金]]+贷款明细[[#This Row],[利息]],""), "")</f>
        <v/>
      </c>
      <c r="G268" s="16" t="str">
        <f ca="1">IFERROR(IF(贷款未偿还*贷款已清偿,贷款金额/贷款分期次数,""), "")</f>
        <v/>
      </c>
      <c r="H268" s="16" t="str">
        <f ca="1">IFERROR(IF(贷款未偿还*贷款已清偿,贷款明细[[#This Row],[期初余额]]*贷款年利率/12,""), "")</f>
        <v/>
      </c>
      <c r="I268" s="16" t="str">
        <f ca="1">IFERROR(IF(贷款未偿还*贷款已清偿,贷款明细[[#This Row],[期初余额]]-贷款明细[[#This Row],[本金]],""), "")</f>
        <v/>
      </c>
      <c r="J268" s="3"/>
      <c r="K268" s="6"/>
    </row>
    <row r="269" spans="1:11" ht="20.100000000000001" customHeight="1" x14ac:dyDescent="0.25">
      <c r="A269" s="6"/>
      <c r="C269" s="14" t="str">
        <f ca="1">IFERROR(IF(贷款未偿还*贷款已清偿,贷款还款期数,""), "")</f>
        <v/>
      </c>
      <c r="D269" s="15" t="str">
        <f ca="1">IFERROR(IF(贷款未偿还*贷款已清偿,还款日期,""), "")</f>
        <v/>
      </c>
      <c r="E269" s="16" t="str">
        <f ca="1">IFERROR(IF(贷款未偿还*贷款已清偿,I268,""), "")</f>
        <v/>
      </c>
      <c r="F269" s="16" t="str">
        <f ca="1">IFERROR(IF(贷款未偿还*贷款已清偿,贷款明细[[#This Row],[本金]]+贷款明细[[#This Row],[利息]],""), "")</f>
        <v/>
      </c>
      <c r="G269" s="16" t="str">
        <f ca="1">IFERROR(IF(贷款未偿还*贷款已清偿,贷款金额/贷款分期次数,""), "")</f>
        <v/>
      </c>
      <c r="H269" s="16" t="str">
        <f ca="1">IFERROR(IF(贷款未偿还*贷款已清偿,贷款明细[[#This Row],[期初余额]]*贷款年利率/12,""), "")</f>
        <v/>
      </c>
      <c r="I269" s="16" t="str">
        <f ca="1">IFERROR(IF(贷款未偿还*贷款已清偿,贷款明细[[#This Row],[期初余额]]-贷款明细[[#This Row],[本金]],""), "")</f>
        <v/>
      </c>
      <c r="J269" s="3"/>
      <c r="K269" s="6"/>
    </row>
    <row r="270" spans="1:11" ht="20.100000000000001" customHeight="1" x14ac:dyDescent="0.25">
      <c r="A270" s="6"/>
      <c r="C270" s="14" t="str">
        <f ca="1">IFERROR(IF(贷款未偿还*贷款已清偿,贷款还款期数,""), "")</f>
        <v/>
      </c>
      <c r="D270" s="15" t="str">
        <f ca="1">IFERROR(IF(贷款未偿还*贷款已清偿,还款日期,""), "")</f>
        <v/>
      </c>
      <c r="E270" s="16" t="str">
        <f ca="1">IFERROR(IF(贷款未偿还*贷款已清偿,I269,""), "")</f>
        <v/>
      </c>
      <c r="F270" s="16" t="str">
        <f ca="1">IFERROR(IF(贷款未偿还*贷款已清偿,贷款明细[[#This Row],[本金]]+贷款明细[[#This Row],[利息]],""), "")</f>
        <v/>
      </c>
      <c r="G270" s="16" t="str">
        <f ca="1">IFERROR(IF(贷款未偿还*贷款已清偿,贷款金额/贷款分期次数,""), "")</f>
        <v/>
      </c>
      <c r="H270" s="16" t="str">
        <f ca="1">IFERROR(IF(贷款未偿还*贷款已清偿,贷款明细[[#This Row],[期初余额]]*贷款年利率/12,""), "")</f>
        <v/>
      </c>
      <c r="I270" s="16" t="str">
        <f ca="1">IFERROR(IF(贷款未偿还*贷款已清偿,贷款明细[[#This Row],[期初余额]]-贷款明细[[#This Row],[本金]],""), "")</f>
        <v/>
      </c>
      <c r="J270" s="3"/>
      <c r="K270" s="6"/>
    </row>
    <row r="271" spans="1:11" ht="20.100000000000001" customHeight="1" x14ac:dyDescent="0.25">
      <c r="A271" s="6"/>
      <c r="C271" s="14" t="str">
        <f ca="1">IFERROR(IF(贷款未偿还*贷款已清偿,贷款还款期数,""), "")</f>
        <v/>
      </c>
      <c r="D271" s="15" t="str">
        <f ca="1">IFERROR(IF(贷款未偿还*贷款已清偿,还款日期,""), "")</f>
        <v/>
      </c>
      <c r="E271" s="16" t="str">
        <f ca="1">IFERROR(IF(贷款未偿还*贷款已清偿,I270,""), "")</f>
        <v/>
      </c>
      <c r="F271" s="16" t="str">
        <f ca="1">IFERROR(IF(贷款未偿还*贷款已清偿,贷款明细[[#This Row],[本金]]+贷款明细[[#This Row],[利息]],""), "")</f>
        <v/>
      </c>
      <c r="G271" s="16" t="str">
        <f ca="1">IFERROR(IF(贷款未偿还*贷款已清偿,贷款金额/贷款分期次数,""), "")</f>
        <v/>
      </c>
      <c r="H271" s="16" t="str">
        <f ca="1">IFERROR(IF(贷款未偿还*贷款已清偿,贷款明细[[#This Row],[期初余额]]*贷款年利率/12,""), "")</f>
        <v/>
      </c>
      <c r="I271" s="16" t="str">
        <f ca="1">IFERROR(IF(贷款未偿还*贷款已清偿,贷款明细[[#This Row],[期初余额]]-贷款明细[[#This Row],[本金]],""), "")</f>
        <v/>
      </c>
      <c r="J271" s="3"/>
      <c r="K271" s="6"/>
    </row>
    <row r="272" spans="1:11" ht="20.100000000000001" customHeight="1" x14ac:dyDescent="0.25">
      <c r="A272" s="6"/>
      <c r="C272" s="14" t="str">
        <f ca="1">IFERROR(IF(贷款未偿还*贷款已清偿,贷款还款期数,""), "")</f>
        <v/>
      </c>
      <c r="D272" s="15" t="str">
        <f ca="1">IFERROR(IF(贷款未偿还*贷款已清偿,还款日期,""), "")</f>
        <v/>
      </c>
      <c r="E272" s="16" t="str">
        <f ca="1">IFERROR(IF(贷款未偿还*贷款已清偿,I271,""), "")</f>
        <v/>
      </c>
      <c r="F272" s="16" t="str">
        <f ca="1">IFERROR(IF(贷款未偿还*贷款已清偿,贷款明细[[#This Row],[本金]]+贷款明细[[#This Row],[利息]],""), "")</f>
        <v/>
      </c>
      <c r="G272" s="16" t="str">
        <f ca="1">IFERROR(IF(贷款未偿还*贷款已清偿,贷款金额/贷款分期次数,""), "")</f>
        <v/>
      </c>
      <c r="H272" s="16" t="str">
        <f ca="1">IFERROR(IF(贷款未偿还*贷款已清偿,贷款明细[[#This Row],[期初余额]]*贷款年利率/12,""), "")</f>
        <v/>
      </c>
      <c r="I272" s="16" t="str">
        <f ca="1">IFERROR(IF(贷款未偿还*贷款已清偿,贷款明细[[#This Row],[期初余额]]-贷款明细[[#This Row],[本金]],""), "")</f>
        <v/>
      </c>
      <c r="J272" s="3"/>
      <c r="K272" s="6"/>
    </row>
    <row r="273" spans="1:11" ht="20.100000000000001" customHeight="1" x14ac:dyDescent="0.25">
      <c r="A273" s="6"/>
      <c r="C273" s="14" t="str">
        <f ca="1">IFERROR(IF(贷款未偿还*贷款已清偿,贷款还款期数,""), "")</f>
        <v/>
      </c>
      <c r="D273" s="15" t="str">
        <f ca="1">IFERROR(IF(贷款未偿还*贷款已清偿,还款日期,""), "")</f>
        <v/>
      </c>
      <c r="E273" s="16" t="str">
        <f ca="1">IFERROR(IF(贷款未偿还*贷款已清偿,I272,""), "")</f>
        <v/>
      </c>
      <c r="F273" s="16" t="str">
        <f ca="1">IFERROR(IF(贷款未偿还*贷款已清偿,贷款明细[[#This Row],[本金]]+贷款明细[[#This Row],[利息]],""), "")</f>
        <v/>
      </c>
      <c r="G273" s="16" t="str">
        <f ca="1">IFERROR(IF(贷款未偿还*贷款已清偿,贷款金额/贷款分期次数,""), "")</f>
        <v/>
      </c>
      <c r="H273" s="16" t="str">
        <f ca="1">IFERROR(IF(贷款未偿还*贷款已清偿,贷款明细[[#This Row],[期初余额]]*贷款年利率/12,""), "")</f>
        <v/>
      </c>
      <c r="I273" s="16" t="str">
        <f ca="1">IFERROR(IF(贷款未偿还*贷款已清偿,贷款明细[[#This Row],[期初余额]]-贷款明细[[#This Row],[本金]],""), "")</f>
        <v/>
      </c>
      <c r="J273" s="3"/>
      <c r="K273" s="6"/>
    </row>
    <row r="274" spans="1:11" ht="20.100000000000001" customHeight="1" x14ac:dyDescent="0.25">
      <c r="A274" s="6"/>
      <c r="C274" s="14" t="str">
        <f ca="1">IFERROR(IF(贷款未偿还*贷款已清偿,贷款还款期数,""), "")</f>
        <v/>
      </c>
      <c r="D274" s="15" t="str">
        <f ca="1">IFERROR(IF(贷款未偿还*贷款已清偿,还款日期,""), "")</f>
        <v/>
      </c>
      <c r="E274" s="16" t="str">
        <f ca="1">IFERROR(IF(贷款未偿还*贷款已清偿,I273,""), "")</f>
        <v/>
      </c>
      <c r="F274" s="16" t="str">
        <f ca="1">IFERROR(IF(贷款未偿还*贷款已清偿,贷款明细[[#This Row],[本金]]+贷款明细[[#This Row],[利息]],""), "")</f>
        <v/>
      </c>
      <c r="G274" s="16" t="str">
        <f ca="1">IFERROR(IF(贷款未偿还*贷款已清偿,贷款金额/贷款分期次数,""), "")</f>
        <v/>
      </c>
      <c r="H274" s="16" t="str">
        <f ca="1">IFERROR(IF(贷款未偿还*贷款已清偿,贷款明细[[#This Row],[期初余额]]*贷款年利率/12,""), "")</f>
        <v/>
      </c>
      <c r="I274" s="16" t="str">
        <f ca="1">IFERROR(IF(贷款未偿还*贷款已清偿,贷款明细[[#This Row],[期初余额]]-贷款明细[[#This Row],[本金]],""), "")</f>
        <v/>
      </c>
      <c r="J274" s="3"/>
      <c r="K274" s="6"/>
    </row>
    <row r="275" spans="1:11" ht="20.100000000000001" customHeight="1" x14ac:dyDescent="0.25">
      <c r="A275" s="6"/>
      <c r="C275" s="14" t="str">
        <f ca="1">IFERROR(IF(贷款未偿还*贷款已清偿,贷款还款期数,""), "")</f>
        <v/>
      </c>
      <c r="D275" s="15" t="str">
        <f ca="1">IFERROR(IF(贷款未偿还*贷款已清偿,还款日期,""), "")</f>
        <v/>
      </c>
      <c r="E275" s="16" t="str">
        <f ca="1">IFERROR(IF(贷款未偿还*贷款已清偿,I274,""), "")</f>
        <v/>
      </c>
      <c r="F275" s="16" t="str">
        <f ca="1">IFERROR(IF(贷款未偿还*贷款已清偿,贷款明细[[#This Row],[本金]]+贷款明细[[#This Row],[利息]],""), "")</f>
        <v/>
      </c>
      <c r="G275" s="16" t="str">
        <f ca="1">IFERROR(IF(贷款未偿还*贷款已清偿,贷款金额/贷款分期次数,""), "")</f>
        <v/>
      </c>
      <c r="H275" s="16" t="str">
        <f ca="1">IFERROR(IF(贷款未偿还*贷款已清偿,贷款明细[[#This Row],[期初余额]]*贷款年利率/12,""), "")</f>
        <v/>
      </c>
      <c r="I275" s="16" t="str">
        <f ca="1">IFERROR(IF(贷款未偿还*贷款已清偿,贷款明细[[#This Row],[期初余额]]-贷款明细[[#This Row],[本金]],""), "")</f>
        <v/>
      </c>
      <c r="J275" s="3"/>
      <c r="K275" s="6"/>
    </row>
    <row r="276" spans="1:11" ht="20.100000000000001" customHeight="1" x14ac:dyDescent="0.25">
      <c r="A276" s="6"/>
      <c r="C276" s="14" t="str">
        <f ca="1">IFERROR(IF(贷款未偿还*贷款已清偿,贷款还款期数,""), "")</f>
        <v/>
      </c>
      <c r="D276" s="15" t="str">
        <f ca="1">IFERROR(IF(贷款未偿还*贷款已清偿,还款日期,""), "")</f>
        <v/>
      </c>
      <c r="E276" s="16" t="str">
        <f ca="1">IFERROR(IF(贷款未偿还*贷款已清偿,I275,""), "")</f>
        <v/>
      </c>
      <c r="F276" s="16" t="str">
        <f ca="1">IFERROR(IF(贷款未偿还*贷款已清偿,贷款明细[[#This Row],[本金]]+贷款明细[[#This Row],[利息]],""), "")</f>
        <v/>
      </c>
      <c r="G276" s="16" t="str">
        <f ca="1">IFERROR(IF(贷款未偿还*贷款已清偿,贷款金额/贷款分期次数,""), "")</f>
        <v/>
      </c>
      <c r="H276" s="16" t="str">
        <f ca="1">IFERROR(IF(贷款未偿还*贷款已清偿,贷款明细[[#This Row],[期初余额]]*贷款年利率/12,""), "")</f>
        <v/>
      </c>
      <c r="I276" s="16" t="str">
        <f ca="1">IFERROR(IF(贷款未偿还*贷款已清偿,贷款明细[[#This Row],[期初余额]]-贷款明细[[#This Row],[本金]],""), "")</f>
        <v/>
      </c>
      <c r="J276" s="3"/>
      <c r="K276" s="6"/>
    </row>
    <row r="277" spans="1:11" ht="20.100000000000001" customHeight="1" x14ac:dyDescent="0.25">
      <c r="A277" s="6"/>
      <c r="C277" s="14" t="str">
        <f ca="1">IFERROR(IF(贷款未偿还*贷款已清偿,贷款还款期数,""), "")</f>
        <v/>
      </c>
      <c r="D277" s="15" t="str">
        <f ca="1">IFERROR(IF(贷款未偿还*贷款已清偿,还款日期,""), "")</f>
        <v/>
      </c>
      <c r="E277" s="16" t="str">
        <f ca="1">IFERROR(IF(贷款未偿还*贷款已清偿,I276,""), "")</f>
        <v/>
      </c>
      <c r="F277" s="16" t="str">
        <f ca="1">IFERROR(IF(贷款未偿还*贷款已清偿,贷款明细[[#This Row],[本金]]+贷款明细[[#This Row],[利息]],""), "")</f>
        <v/>
      </c>
      <c r="G277" s="16" t="str">
        <f ca="1">IFERROR(IF(贷款未偿还*贷款已清偿,贷款金额/贷款分期次数,""), "")</f>
        <v/>
      </c>
      <c r="H277" s="16" t="str">
        <f ca="1">IFERROR(IF(贷款未偿还*贷款已清偿,贷款明细[[#This Row],[期初余额]]*贷款年利率/12,""), "")</f>
        <v/>
      </c>
      <c r="I277" s="16" t="str">
        <f ca="1">IFERROR(IF(贷款未偿还*贷款已清偿,贷款明细[[#This Row],[期初余额]]-贷款明细[[#This Row],[本金]],""), "")</f>
        <v/>
      </c>
      <c r="J277" s="3"/>
      <c r="K277" s="6"/>
    </row>
    <row r="278" spans="1:11" ht="20.100000000000001" customHeight="1" x14ac:dyDescent="0.25">
      <c r="A278" s="6"/>
      <c r="C278" s="14" t="str">
        <f ca="1">IFERROR(IF(贷款未偿还*贷款已清偿,贷款还款期数,""), "")</f>
        <v/>
      </c>
      <c r="D278" s="15" t="str">
        <f ca="1">IFERROR(IF(贷款未偿还*贷款已清偿,还款日期,""), "")</f>
        <v/>
      </c>
      <c r="E278" s="16" t="str">
        <f ca="1">IFERROR(IF(贷款未偿还*贷款已清偿,I277,""), "")</f>
        <v/>
      </c>
      <c r="F278" s="16" t="str">
        <f ca="1">IFERROR(IF(贷款未偿还*贷款已清偿,贷款明细[[#This Row],[本金]]+贷款明细[[#This Row],[利息]],""), "")</f>
        <v/>
      </c>
      <c r="G278" s="16" t="str">
        <f ca="1">IFERROR(IF(贷款未偿还*贷款已清偿,贷款金额/贷款分期次数,""), "")</f>
        <v/>
      </c>
      <c r="H278" s="16" t="str">
        <f ca="1">IFERROR(IF(贷款未偿还*贷款已清偿,贷款明细[[#This Row],[期初余额]]*贷款年利率/12,""), "")</f>
        <v/>
      </c>
      <c r="I278" s="16" t="str">
        <f ca="1">IFERROR(IF(贷款未偿还*贷款已清偿,贷款明细[[#This Row],[期初余额]]-贷款明细[[#This Row],[本金]],""), "")</f>
        <v/>
      </c>
      <c r="J278" s="3"/>
      <c r="K278" s="6"/>
    </row>
    <row r="279" spans="1:11" ht="20.100000000000001" customHeight="1" x14ac:dyDescent="0.25">
      <c r="A279" s="6"/>
      <c r="C279" s="14" t="str">
        <f ca="1">IFERROR(IF(贷款未偿还*贷款已清偿,贷款还款期数,""), "")</f>
        <v/>
      </c>
      <c r="D279" s="15" t="str">
        <f ca="1">IFERROR(IF(贷款未偿还*贷款已清偿,还款日期,""), "")</f>
        <v/>
      </c>
      <c r="E279" s="16" t="str">
        <f ca="1">IFERROR(IF(贷款未偿还*贷款已清偿,I278,""), "")</f>
        <v/>
      </c>
      <c r="F279" s="16" t="str">
        <f ca="1">IFERROR(IF(贷款未偿还*贷款已清偿,贷款明细[[#This Row],[本金]]+贷款明细[[#This Row],[利息]],""), "")</f>
        <v/>
      </c>
      <c r="G279" s="16" t="str">
        <f ca="1">IFERROR(IF(贷款未偿还*贷款已清偿,贷款金额/贷款分期次数,""), "")</f>
        <v/>
      </c>
      <c r="H279" s="16" t="str">
        <f ca="1">IFERROR(IF(贷款未偿还*贷款已清偿,贷款明细[[#This Row],[期初余额]]*贷款年利率/12,""), "")</f>
        <v/>
      </c>
      <c r="I279" s="16" t="str">
        <f ca="1">IFERROR(IF(贷款未偿还*贷款已清偿,贷款明细[[#This Row],[期初余额]]-贷款明细[[#This Row],[本金]],""), "")</f>
        <v/>
      </c>
      <c r="J279" s="3"/>
      <c r="K279" s="6"/>
    </row>
    <row r="280" spans="1:11" ht="20.100000000000001" customHeight="1" x14ac:dyDescent="0.25">
      <c r="A280" s="6"/>
      <c r="C280" s="14" t="str">
        <f ca="1">IFERROR(IF(贷款未偿还*贷款已清偿,贷款还款期数,""), "")</f>
        <v/>
      </c>
      <c r="D280" s="15" t="str">
        <f ca="1">IFERROR(IF(贷款未偿还*贷款已清偿,还款日期,""), "")</f>
        <v/>
      </c>
      <c r="E280" s="16" t="str">
        <f ca="1">IFERROR(IF(贷款未偿还*贷款已清偿,I279,""), "")</f>
        <v/>
      </c>
      <c r="F280" s="16" t="str">
        <f ca="1">IFERROR(IF(贷款未偿还*贷款已清偿,贷款明细[[#This Row],[本金]]+贷款明细[[#This Row],[利息]],""), "")</f>
        <v/>
      </c>
      <c r="G280" s="16" t="str">
        <f ca="1">IFERROR(IF(贷款未偿还*贷款已清偿,贷款金额/贷款分期次数,""), "")</f>
        <v/>
      </c>
      <c r="H280" s="16" t="str">
        <f ca="1">IFERROR(IF(贷款未偿还*贷款已清偿,贷款明细[[#This Row],[期初余额]]*贷款年利率/12,""), "")</f>
        <v/>
      </c>
      <c r="I280" s="16" t="str">
        <f ca="1">IFERROR(IF(贷款未偿还*贷款已清偿,贷款明细[[#This Row],[期初余额]]-贷款明细[[#This Row],[本金]],""), "")</f>
        <v/>
      </c>
      <c r="J280" s="3"/>
      <c r="K280" s="6"/>
    </row>
    <row r="281" spans="1:11" ht="20.100000000000001" customHeight="1" x14ac:dyDescent="0.25">
      <c r="A281" s="6"/>
      <c r="C281" s="14" t="str">
        <f ca="1">IFERROR(IF(贷款未偿还*贷款已清偿,贷款还款期数,""), "")</f>
        <v/>
      </c>
      <c r="D281" s="15" t="str">
        <f ca="1">IFERROR(IF(贷款未偿还*贷款已清偿,还款日期,""), "")</f>
        <v/>
      </c>
      <c r="E281" s="16" t="str">
        <f ca="1">IFERROR(IF(贷款未偿还*贷款已清偿,I280,""), "")</f>
        <v/>
      </c>
      <c r="F281" s="16" t="str">
        <f ca="1">IFERROR(IF(贷款未偿还*贷款已清偿,贷款明细[[#This Row],[本金]]+贷款明细[[#This Row],[利息]],""), "")</f>
        <v/>
      </c>
      <c r="G281" s="16" t="str">
        <f ca="1">IFERROR(IF(贷款未偿还*贷款已清偿,贷款金额/贷款分期次数,""), "")</f>
        <v/>
      </c>
      <c r="H281" s="16" t="str">
        <f ca="1">IFERROR(IF(贷款未偿还*贷款已清偿,贷款明细[[#This Row],[期初余额]]*贷款年利率/12,""), "")</f>
        <v/>
      </c>
      <c r="I281" s="16" t="str">
        <f ca="1">IFERROR(IF(贷款未偿还*贷款已清偿,贷款明细[[#This Row],[期初余额]]-贷款明细[[#This Row],[本金]],""), "")</f>
        <v/>
      </c>
      <c r="J281" s="3"/>
      <c r="K281" s="6"/>
    </row>
    <row r="282" spans="1:11" ht="20.100000000000001" customHeight="1" x14ac:dyDescent="0.25">
      <c r="A282" s="6"/>
      <c r="C282" s="14" t="str">
        <f ca="1">IFERROR(IF(贷款未偿还*贷款已清偿,贷款还款期数,""), "")</f>
        <v/>
      </c>
      <c r="D282" s="15" t="str">
        <f ca="1">IFERROR(IF(贷款未偿还*贷款已清偿,还款日期,""), "")</f>
        <v/>
      </c>
      <c r="E282" s="16" t="str">
        <f ca="1">IFERROR(IF(贷款未偿还*贷款已清偿,I281,""), "")</f>
        <v/>
      </c>
      <c r="F282" s="16" t="str">
        <f ca="1">IFERROR(IF(贷款未偿还*贷款已清偿,贷款明细[[#This Row],[本金]]+贷款明细[[#This Row],[利息]],""), "")</f>
        <v/>
      </c>
      <c r="G282" s="16" t="str">
        <f ca="1">IFERROR(IF(贷款未偿还*贷款已清偿,贷款金额/贷款分期次数,""), "")</f>
        <v/>
      </c>
      <c r="H282" s="16" t="str">
        <f ca="1">IFERROR(IF(贷款未偿还*贷款已清偿,贷款明细[[#This Row],[期初余额]]*贷款年利率/12,""), "")</f>
        <v/>
      </c>
      <c r="I282" s="16" t="str">
        <f ca="1">IFERROR(IF(贷款未偿还*贷款已清偿,贷款明细[[#This Row],[期初余额]]-贷款明细[[#This Row],[本金]],""), "")</f>
        <v/>
      </c>
      <c r="J282" s="3"/>
      <c r="K282" s="6"/>
    </row>
    <row r="283" spans="1:11" ht="20.100000000000001" customHeight="1" x14ac:dyDescent="0.25">
      <c r="A283" s="6"/>
      <c r="C283" s="14" t="str">
        <f ca="1">IFERROR(IF(贷款未偿还*贷款已清偿,贷款还款期数,""), "")</f>
        <v/>
      </c>
      <c r="D283" s="15" t="str">
        <f ca="1">IFERROR(IF(贷款未偿还*贷款已清偿,还款日期,""), "")</f>
        <v/>
      </c>
      <c r="E283" s="16" t="str">
        <f ca="1">IFERROR(IF(贷款未偿还*贷款已清偿,I282,""), "")</f>
        <v/>
      </c>
      <c r="F283" s="16" t="str">
        <f ca="1">IFERROR(IF(贷款未偿还*贷款已清偿,贷款明细[[#This Row],[本金]]+贷款明细[[#This Row],[利息]],""), "")</f>
        <v/>
      </c>
      <c r="G283" s="16" t="str">
        <f ca="1">IFERROR(IF(贷款未偿还*贷款已清偿,贷款金额/贷款分期次数,""), "")</f>
        <v/>
      </c>
      <c r="H283" s="16" t="str">
        <f ca="1">IFERROR(IF(贷款未偿还*贷款已清偿,贷款明细[[#This Row],[期初余额]]*贷款年利率/12,""), "")</f>
        <v/>
      </c>
      <c r="I283" s="16" t="str">
        <f ca="1">IFERROR(IF(贷款未偿还*贷款已清偿,贷款明细[[#This Row],[期初余额]]-贷款明细[[#This Row],[本金]],""), "")</f>
        <v/>
      </c>
      <c r="J283" s="3"/>
      <c r="K283" s="6"/>
    </row>
    <row r="284" spans="1:11" ht="20.100000000000001" customHeight="1" x14ac:dyDescent="0.25">
      <c r="A284" s="6"/>
      <c r="C284" s="14" t="str">
        <f ca="1">IFERROR(IF(贷款未偿还*贷款已清偿,贷款还款期数,""), "")</f>
        <v/>
      </c>
      <c r="D284" s="15" t="str">
        <f ca="1">IFERROR(IF(贷款未偿还*贷款已清偿,还款日期,""), "")</f>
        <v/>
      </c>
      <c r="E284" s="16" t="str">
        <f ca="1">IFERROR(IF(贷款未偿还*贷款已清偿,I283,""), "")</f>
        <v/>
      </c>
      <c r="F284" s="16" t="str">
        <f ca="1">IFERROR(IF(贷款未偿还*贷款已清偿,贷款明细[[#This Row],[本金]]+贷款明细[[#This Row],[利息]],""), "")</f>
        <v/>
      </c>
      <c r="G284" s="16" t="str">
        <f ca="1">IFERROR(IF(贷款未偿还*贷款已清偿,贷款金额/贷款分期次数,""), "")</f>
        <v/>
      </c>
      <c r="H284" s="16" t="str">
        <f ca="1">IFERROR(IF(贷款未偿还*贷款已清偿,贷款明细[[#This Row],[期初余额]]*贷款年利率/12,""), "")</f>
        <v/>
      </c>
      <c r="I284" s="16" t="str">
        <f ca="1">IFERROR(IF(贷款未偿还*贷款已清偿,贷款明细[[#This Row],[期初余额]]-贷款明细[[#This Row],[本金]],""), "")</f>
        <v/>
      </c>
      <c r="J284" s="3"/>
      <c r="K284" s="6"/>
    </row>
    <row r="285" spans="1:11" ht="20.100000000000001" customHeight="1" x14ac:dyDescent="0.25">
      <c r="A285" s="6"/>
      <c r="C285" s="14" t="str">
        <f ca="1">IFERROR(IF(贷款未偿还*贷款已清偿,贷款还款期数,""), "")</f>
        <v/>
      </c>
      <c r="D285" s="15" t="str">
        <f ca="1">IFERROR(IF(贷款未偿还*贷款已清偿,还款日期,""), "")</f>
        <v/>
      </c>
      <c r="E285" s="16" t="str">
        <f ca="1">IFERROR(IF(贷款未偿还*贷款已清偿,I284,""), "")</f>
        <v/>
      </c>
      <c r="F285" s="16" t="str">
        <f ca="1">IFERROR(IF(贷款未偿还*贷款已清偿,贷款明细[[#This Row],[本金]]+贷款明细[[#This Row],[利息]],""), "")</f>
        <v/>
      </c>
      <c r="G285" s="16" t="str">
        <f ca="1">IFERROR(IF(贷款未偿还*贷款已清偿,贷款金额/贷款分期次数,""), "")</f>
        <v/>
      </c>
      <c r="H285" s="16" t="str">
        <f ca="1">IFERROR(IF(贷款未偿还*贷款已清偿,贷款明细[[#This Row],[期初余额]]*贷款年利率/12,""), "")</f>
        <v/>
      </c>
      <c r="I285" s="16" t="str">
        <f ca="1">IFERROR(IF(贷款未偿还*贷款已清偿,贷款明细[[#This Row],[期初余额]]-贷款明细[[#This Row],[本金]],""), "")</f>
        <v/>
      </c>
      <c r="J285" s="3"/>
      <c r="K285" s="6"/>
    </row>
    <row r="286" spans="1:11" ht="20.100000000000001" customHeight="1" x14ac:dyDescent="0.25">
      <c r="A286" s="6"/>
      <c r="C286" s="14" t="str">
        <f ca="1">IFERROR(IF(贷款未偿还*贷款已清偿,贷款还款期数,""), "")</f>
        <v/>
      </c>
      <c r="D286" s="15" t="str">
        <f ca="1">IFERROR(IF(贷款未偿还*贷款已清偿,还款日期,""), "")</f>
        <v/>
      </c>
      <c r="E286" s="16" t="str">
        <f ca="1">IFERROR(IF(贷款未偿还*贷款已清偿,I285,""), "")</f>
        <v/>
      </c>
      <c r="F286" s="16" t="str">
        <f ca="1">IFERROR(IF(贷款未偿还*贷款已清偿,贷款明细[[#This Row],[本金]]+贷款明细[[#This Row],[利息]],""), "")</f>
        <v/>
      </c>
      <c r="G286" s="16" t="str">
        <f ca="1">IFERROR(IF(贷款未偿还*贷款已清偿,贷款金额/贷款分期次数,""), "")</f>
        <v/>
      </c>
      <c r="H286" s="16" t="str">
        <f ca="1">IFERROR(IF(贷款未偿还*贷款已清偿,贷款明细[[#This Row],[期初余额]]*贷款年利率/12,""), "")</f>
        <v/>
      </c>
      <c r="I286" s="16" t="str">
        <f ca="1">IFERROR(IF(贷款未偿还*贷款已清偿,贷款明细[[#This Row],[期初余额]]-贷款明细[[#This Row],[本金]],""), "")</f>
        <v/>
      </c>
      <c r="J286" s="3"/>
      <c r="K286" s="6"/>
    </row>
    <row r="287" spans="1:11" ht="20.100000000000001" customHeight="1" x14ac:dyDescent="0.25">
      <c r="A287" s="6"/>
      <c r="C287" s="14" t="str">
        <f ca="1">IFERROR(IF(贷款未偿还*贷款已清偿,贷款还款期数,""), "")</f>
        <v/>
      </c>
      <c r="D287" s="15" t="str">
        <f ca="1">IFERROR(IF(贷款未偿还*贷款已清偿,还款日期,""), "")</f>
        <v/>
      </c>
      <c r="E287" s="16" t="str">
        <f ca="1">IFERROR(IF(贷款未偿还*贷款已清偿,I286,""), "")</f>
        <v/>
      </c>
      <c r="F287" s="16" t="str">
        <f ca="1">IFERROR(IF(贷款未偿还*贷款已清偿,贷款明细[[#This Row],[本金]]+贷款明细[[#This Row],[利息]],""), "")</f>
        <v/>
      </c>
      <c r="G287" s="16" t="str">
        <f ca="1">IFERROR(IF(贷款未偿还*贷款已清偿,贷款金额/贷款分期次数,""), "")</f>
        <v/>
      </c>
      <c r="H287" s="16" t="str">
        <f ca="1">IFERROR(IF(贷款未偿还*贷款已清偿,贷款明细[[#This Row],[期初余额]]*贷款年利率/12,""), "")</f>
        <v/>
      </c>
      <c r="I287" s="16" t="str">
        <f ca="1">IFERROR(IF(贷款未偿还*贷款已清偿,贷款明细[[#This Row],[期初余额]]-贷款明细[[#This Row],[本金]],""), "")</f>
        <v/>
      </c>
      <c r="J287" s="3"/>
      <c r="K287" s="6"/>
    </row>
    <row r="288" spans="1:11" ht="20.100000000000001" customHeight="1" x14ac:dyDescent="0.25">
      <c r="A288" s="6"/>
      <c r="C288" s="14" t="str">
        <f ca="1">IFERROR(IF(贷款未偿还*贷款已清偿,贷款还款期数,""), "")</f>
        <v/>
      </c>
      <c r="D288" s="15" t="str">
        <f ca="1">IFERROR(IF(贷款未偿还*贷款已清偿,还款日期,""), "")</f>
        <v/>
      </c>
      <c r="E288" s="16" t="str">
        <f ca="1">IFERROR(IF(贷款未偿还*贷款已清偿,I287,""), "")</f>
        <v/>
      </c>
      <c r="F288" s="16" t="str">
        <f ca="1">IFERROR(IF(贷款未偿还*贷款已清偿,贷款明细[[#This Row],[本金]]+贷款明细[[#This Row],[利息]],""), "")</f>
        <v/>
      </c>
      <c r="G288" s="16" t="str">
        <f ca="1">IFERROR(IF(贷款未偿还*贷款已清偿,贷款金额/贷款分期次数,""), "")</f>
        <v/>
      </c>
      <c r="H288" s="16" t="str">
        <f ca="1">IFERROR(IF(贷款未偿还*贷款已清偿,贷款明细[[#This Row],[期初余额]]*贷款年利率/12,""), "")</f>
        <v/>
      </c>
      <c r="I288" s="16" t="str">
        <f ca="1">IFERROR(IF(贷款未偿还*贷款已清偿,贷款明细[[#This Row],[期初余额]]-贷款明细[[#This Row],[本金]],""), "")</f>
        <v/>
      </c>
      <c r="J288" s="3"/>
      <c r="K288" s="6"/>
    </row>
    <row r="289" spans="1:11" ht="20.100000000000001" customHeight="1" x14ac:dyDescent="0.25">
      <c r="A289" s="6"/>
      <c r="C289" s="14" t="str">
        <f ca="1">IFERROR(IF(贷款未偿还*贷款已清偿,贷款还款期数,""), "")</f>
        <v/>
      </c>
      <c r="D289" s="15" t="str">
        <f ca="1">IFERROR(IF(贷款未偿还*贷款已清偿,还款日期,""), "")</f>
        <v/>
      </c>
      <c r="E289" s="16" t="str">
        <f ca="1">IFERROR(IF(贷款未偿还*贷款已清偿,I288,""), "")</f>
        <v/>
      </c>
      <c r="F289" s="16" t="str">
        <f ca="1">IFERROR(IF(贷款未偿还*贷款已清偿,贷款明细[[#This Row],[本金]]+贷款明细[[#This Row],[利息]],""), "")</f>
        <v/>
      </c>
      <c r="G289" s="16" t="str">
        <f ca="1">IFERROR(IF(贷款未偿还*贷款已清偿,贷款金额/贷款分期次数,""), "")</f>
        <v/>
      </c>
      <c r="H289" s="16" t="str">
        <f ca="1">IFERROR(IF(贷款未偿还*贷款已清偿,贷款明细[[#This Row],[期初余额]]*贷款年利率/12,""), "")</f>
        <v/>
      </c>
      <c r="I289" s="16" t="str">
        <f ca="1">IFERROR(IF(贷款未偿还*贷款已清偿,贷款明细[[#This Row],[期初余额]]-贷款明细[[#This Row],[本金]],""), "")</f>
        <v/>
      </c>
      <c r="J289" s="3"/>
      <c r="K289" s="6"/>
    </row>
    <row r="290" spans="1:11" ht="20.100000000000001" customHeight="1" x14ac:dyDescent="0.25">
      <c r="A290" s="6"/>
      <c r="C290" s="14" t="str">
        <f ca="1">IFERROR(IF(贷款未偿还*贷款已清偿,贷款还款期数,""), "")</f>
        <v/>
      </c>
      <c r="D290" s="15" t="str">
        <f ca="1">IFERROR(IF(贷款未偿还*贷款已清偿,还款日期,""), "")</f>
        <v/>
      </c>
      <c r="E290" s="16" t="str">
        <f ca="1">IFERROR(IF(贷款未偿还*贷款已清偿,I289,""), "")</f>
        <v/>
      </c>
      <c r="F290" s="16" t="str">
        <f ca="1">IFERROR(IF(贷款未偿还*贷款已清偿,贷款明细[[#This Row],[本金]]+贷款明细[[#This Row],[利息]],""), "")</f>
        <v/>
      </c>
      <c r="G290" s="16" t="str">
        <f ca="1">IFERROR(IF(贷款未偿还*贷款已清偿,贷款金额/贷款分期次数,""), "")</f>
        <v/>
      </c>
      <c r="H290" s="16" t="str">
        <f ca="1">IFERROR(IF(贷款未偿还*贷款已清偿,贷款明细[[#This Row],[期初余额]]*贷款年利率/12,""), "")</f>
        <v/>
      </c>
      <c r="I290" s="16" t="str">
        <f ca="1">IFERROR(IF(贷款未偿还*贷款已清偿,贷款明细[[#This Row],[期初余额]]-贷款明细[[#This Row],[本金]],""), "")</f>
        <v/>
      </c>
      <c r="J290" s="3"/>
      <c r="K290" s="6"/>
    </row>
    <row r="291" spans="1:11" ht="20.100000000000001" customHeight="1" x14ac:dyDescent="0.25">
      <c r="A291" s="6"/>
      <c r="C291" s="14" t="str">
        <f ca="1">IFERROR(IF(贷款未偿还*贷款已清偿,贷款还款期数,""), "")</f>
        <v/>
      </c>
      <c r="D291" s="15" t="str">
        <f ca="1">IFERROR(IF(贷款未偿还*贷款已清偿,还款日期,""), "")</f>
        <v/>
      </c>
      <c r="E291" s="16" t="str">
        <f ca="1">IFERROR(IF(贷款未偿还*贷款已清偿,I290,""), "")</f>
        <v/>
      </c>
      <c r="F291" s="16" t="str">
        <f ca="1">IFERROR(IF(贷款未偿还*贷款已清偿,贷款明细[[#This Row],[本金]]+贷款明细[[#This Row],[利息]],""), "")</f>
        <v/>
      </c>
      <c r="G291" s="16" t="str">
        <f ca="1">IFERROR(IF(贷款未偿还*贷款已清偿,贷款金额/贷款分期次数,""), "")</f>
        <v/>
      </c>
      <c r="H291" s="16" t="str">
        <f ca="1">IFERROR(IF(贷款未偿还*贷款已清偿,贷款明细[[#This Row],[期初余额]]*贷款年利率/12,""), "")</f>
        <v/>
      </c>
      <c r="I291" s="16" t="str">
        <f ca="1">IFERROR(IF(贷款未偿还*贷款已清偿,贷款明细[[#This Row],[期初余额]]-贷款明细[[#This Row],[本金]],""), "")</f>
        <v/>
      </c>
      <c r="J291" s="3"/>
      <c r="K291" s="6"/>
    </row>
    <row r="292" spans="1:11" ht="20.100000000000001" customHeight="1" x14ac:dyDescent="0.25">
      <c r="A292" s="6"/>
      <c r="C292" s="14" t="str">
        <f ca="1">IFERROR(IF(贷款未偿还*贷款已清偿,贷款还款期数,""), "")</f>
        <v/>
      </c>
      <c r="D292" s="15" t="str">
        <f ca="1">IFERROR(IF(贷款未偿还*贷款已清偿,还款日期,""), "")</f>
        <v/>
      </c>
      <c r="E292" s="16" t="str">
        <f ca="1">IFERROR(IF(贷款未偿还*贷款已清偿,I291,""), "")</f>
        <v/>
      </c>
      <c r="F292" s="16" t="str">
        <f ca="1">IFERROR(IF(贷款未偿还*贷款已清偿,贷款明细[[#This Row],[本金]]+贷款明细[[#This Row],[利息]],""), "")</f>
        <v/>
      </c>
      <c r="G292" s="16" t="str">
        <f ca="1">IFERROR(IF(贷款未偿还*贷款已清偿,贷款金额/贷款分期次数,""), "")</f>
        <v/>
      </c>
      <c r="H292" s="16" t="str">
        <f ca="1">IFERROR(IF(贷款未偿还*贷款已清偿,贷款明细[[#This Row],[期初余额]]*贷款年利率/12,""), "")</f>
        <v/>
      </c>
      <c r="I292" s="16" t="str">
        <f ca="1">IFERROR(IF(贷款未偿还*贷款已清偿,贷款明细[[#This Row],[期初余额]]-贷款明细[[#This Row],[本金]],""), "")</f>
        <v/>
      </c>
      <c r="J292" s="3"/>
      <c r="K292" s="6"/>
    </row>
    <row r="293" spans="1:11" ht="20.100000000000001" customHeight="1" x14ac:dyDescent="0.25">
      <c r="A293" s="6"/>
      <c r="C293" s="14" t="str">
        <f ca="1">IFERROR(IF(贷款未偿还*贷款已清偿,贷款还款期数,""), "")</f>
        <v/>
      </c>
      <c r="D293" s="15" t="str">
        <f ca="1">IFERROR(IF(贷款未偿还*贷款已清偿,还款日期,""), "")</f>
        <v/>
      </c>
      <c r="E293" s="16" t="str">
        <f ca="1">IFERROR(IF(贷款未偿还*贷款已清偿,I292,""), "")</f>
        <v/>
      </c>
      <c r="F293" s="16" t="str">
        <f ca="1">IFERROR(IF(贷款未偿还*贷款已清偿,贷款明细[[#This Row],[本金]]+贷款明细[[#This Row],[利息]],""), "")</f>
        <v/>
      </c>
      <c r="G293" s="16" t="str">
        <f ca="1">IFERROR(IF(贷款未偿还*贷款已清偿,贷款金额/贷款分期次数,""), "")</f>
        <v/>
      </c>
      <c r="H293" s="16" t="str">
        <f ca="1">IFERROR(IF(贷款未偿还*贷款已清偿,贷款明细[[#This Row],[期初余额]]*贷款年利率/12,""), "")</f>
        <v/>
      </c>
      <c r="I293" s="16" t="str">
        <f ca="1">IFERROR(IF(贷款未偿还*贷款已清偿,贷款明细[[#This Row],[期初余额]]-贷款明细[[#This Row],[本金]],""), "")</f>
        <v/>
      </c>
      <c r="J293" s="3"/>
      <c r="K293" s="6"/>
    </row>
    <row r="294" spans="1:11" ht="20.100000000000001" customHeight="1" x14ac:dyDescent="0.25">
      <c r="A294" s="6"/>
      <c r="C294" s="14" t="str">
        <f ca="1">IFERROR(IF(贷款未偿还*贷款已清偿,贷款还款期数,""), "")</f>
        <v/>
      </c>
      <c r="D294" s="15" t="str">
        <f ca="1">IFERROR(IF(贷款未偿还*贷款已清偿,还款日期,""), "")</f>
        <v/>
      </c>
      <c r="E294" s="16" t="str">
        <f ca="1">IFERROR(IF(贷款未偿还*贷款已清偿,I293,""), "")</f>
        <v/>
      </c>
      <c r="F294" s="16" t="str">
        <f ca="1">IFERROR(IF(贷款未偿还*贷款已清偿,贷款明细[[#This Row],[本金]]+贷款明细[[#This Row],[利息]],""), "")</f>
        <v/>
      </c>
      <c r="G294" s="16" t="str">
        <f ca="1">IFERROR(IF(贷款未偿还*贷款已清偿,贷款金额/贷款分期次数,""), "")</f>
        <v/>
      </c>
      <c r="H294" s="16" t="str">
        <f ca="1">IFERROR(IF(贷款未偿还*贷款已清偿,贷款明细[[#This Row],[期初余额]]*贷款年利率/12,""), "")</f>
        <v/>
      </c>
      <c r="I294" s="16" t="str">
        <f ca="1">IFERROR(IF(贷款未偿还*贷款已清偿,贷款明细[[#This Row],[期初余额]]-贷款明细[[#This Row],[本金]],""), "")</f>
        <v/>
      </c>
      <c r="J294" s="3"/>
      <c r="K294" s="6"/>
    </row>
    <row r="295" spans="1:11" ht="20.100000000000001" customHeight="1" x14ac:dyDescent="0.25">
      <c r="A295" s="6"/>
      <c r="C295" s="14" t="str">
        <f ca="1">IFERROR(IF(贷款未偿还*贷款已清偿,贷款还款期数,""), "")</f>
        <v/>
      </c>
      <c r="D295" s="15" t="str">
        <f ca="1">IFERROR(IF(贷款未偿还*贷款已清偿,还款日期,""), "")</f>
        <v/>
      </c>
      <c r="E295" s="16" t="str">
        <f ca="1">IFERROR(IF(贷款未偿还*贷款已清偿,I294,""), "")</f>
        <v/>
      </c>
      <c r="F295" s="16" t="str">
        <f ca="1">IFERROR(IF(贷款未偿还*贷款已清偿,贷款明细[[#This Row],[本金]]+贷款明细[[#This Row],[利息]],""), "")</f>
        <v/>
      </c>
      <c r="G295" s="16" t="str">
        <f ca="1">IFERROR(IF(贷款未偿还*贷款已清偿,贷款金额/贷款分期次数,""), "")</f>
        <v/>
      </c>
      <c r="H295" s="16" t="str">
        <f ca="1">IFERROR(IF(贷款未偿还*贷款已清偿,贷款明细[[#This Row],[期初余额]]*贷款年利率/12,""), "")</f>
        <v/>
      </c>
      <c r="I295" s="16" t="str">
        <f ca="1">IFERROR(IF(贷款未偿还*贷款已清偿,贷款明细[[#This Row],[期初余额]]-贷款明细[[#This Row],[本金]],""), "")</f>
        <v/>
      </c>
      <c r="J295" s="3"/>
      <c r="K295" s="6"/>
    </row>
    <row r="296" spans="1:11" ht="20.100000000000001" customHeight="1" x14ac:dyDescent="0.25">
      <c r="A296" s="6"/>
      <c r="C296" s="14" t="str">
        <f ca="1">IFERROR(IF(贷款未偿还*贷款已清偿,贷款还款期数,""), "")</f>
        <v/>
      </c>
      <c r="D296" s="15" t="str">
        <f ca="1">IFERROR(IF(贷款未偿还*贷款已清偿,还款日期,""), "")</f>
        <v/>
      </c>
      <c r="E296" s="16" t="str">
        <f ca="1">IFERROR(IF(贷款未偿还*贷款已清偿,I295,""), "")</f>
        <v/>
      </c>
      <c r="F296" s="16" t="str">
        <f ca="1">IFERROR(IF(贷款未偿还*贷款已清偿,贷款明细[[#This Row],[本金]]+贷款明细[[#This Row],[利息]],""), "")</f>
        <v/>
      </c>
      <c r="G296" s="16" t="str">
        <f ca="1">IFERROR(IF(贷款未偿还*贷款已清偿,贷款金额/贷款分期次数,""), "")</f>
        <v/>
      </c>
      <c r="H296" s="16" t="str">
        <f ca="1">IFERROR(IF(贷款未偿还*贷款已清偿,贷款明细[[#This Row],[期初余额]]*贷款年利率/12,""), "")</f>
        <v/>
      </c>
      <c r="I296" s="16" t="str">
        <f ca="1">IFERROR(IF(贷款未偿还*贷款已清偿,贷款明细[[#This Row],[期初余额]]-贷款明细[[#This Row],[本金]],""), "")</f>
        <v/>
      </c>
      <c r="J296" s="3"/>
      <c r="K296" s="6"/>
    </row>
    <row r="297" spans="1:11" ht="20.100000000000001" customHeight="1" x14ac:dyDescent="0.25">
      <c r="A297" s="6"/>
      <c r="C297" s="14" t="str">
        <f ca="1">IFERROR(IF(贷款未偿还*贷款已清偿,贷款还款期数,""), "")</f>
        <v/>
      </c>
      <c r="D297" s="15" t="str">
        <f ca="1">IFERROR(IF(贷款未偿还*贷款已清偿,还款日期,""), "")</f>
        <v/>
      </c>
      <c r="E297" s="16" t="str">
        <f ca="1">IFERROR(IF(贷款未偿还*贷款已清偿,I296,""), "")</f>
        <v/>
      </c>
      <c r="F297" s="16" t="str">
        <f ca="1">IFERROR(IF(贷款未偿还*贷款已清偿,贷款明细[[#This Row],[本金]]+贷款明细[[#This Row],[利息]],""), "")</f>
        <v/>
      </c>
      <c r="G297" s="16" t="str">
        <f ca="1">IFERROR(IF(贷款未偿还*贷款已清偿,贷款金额/贷款分期次数,""), "")</f>
        <v/>
      </c>
      <c r="H297" s="16" t="str">
        <f ca="1">IFERROR(IF(贷款未偿还*贷款已清偿,贷款明细[[#This Row],[期初余额]]*贷款年利率/12,""), "")</f>
        <v/>
      </c>
      <c r="I297" s="16" t="str">
        <f ca="1">IFERROR(IF(贷款未偿还*贷款已清偿,贷款明细[[#This Row],[期初余额]]-贷款明细[[#This Row],[本金]],""), "")</f>
        <v/>
      </c>
      <c r="J297" s="3"/>
      <c r="K297" s="6"/>
    </row>
    <row r="298" spans="1:11" ht="20.100000000000001" customHeight="1" x14ac:dyDescent="0.25">
      <c r="A298" s="6"/>
      <c r="C298" s="14" t="str">
        <f ca="1">IFERROR(IF(贷款未偿还*贷款已清偿,贷款还款期数,""), "")</f>
        <v/>
      </c>
      <c r="D298" s="15" t="str">
        <f ca="1">IFERROR(IF(贷款未偿还*贷款已清偿,还款日期,""), "")</f>
        <v/>
      </c>
      <c r="E298" s="16" t="str">
        <f ca="1">IFERROR(IF(贷款未偿还*贷款已清偿,I297,""), "")</f>
        <v/>
      </c>
      <c r="F298" s="16" t="str">
        <f ca="1">IFERROR(IF(贷款未偿还*贷款已清偿,贷款明细[[#This Row],[本金]]+贷款明细[[#This Row],[利息]],""), "")</f>
        <v/>
      </c>
      <c r="G298" s="16" t="str">
        <f ca="1">IFERROR(IF(贷款未偿还*贷款已清偿,贷款金额/贷款分期次数,""), "")</f>
        <v/>
      </c>
      <c r="H298" s="16" t="str">
        <f ca="1">IFERROR(IF(贷款未偿还*贷款已清偿,贷款明细[[#This Row],[期初余额]]*贷款年利率/12,""), "")</f>
        <v/>
      </c>
      <c r="I298" s="16" t="str">
        <f ca="1">IFERROR(IF(贷款未偿还*贷款已清偿,贷款明细[[#This Row],[期初余额]]-贷款明细[[#This Row],[本金]],""), "")</f>
        <v/>
      </c>
      <c r="J298" s="3"/>
      <c r="K298" s="6"/>
    </row>
    <row r="299" spans="1:11" ht="20.100000000000001" customHeight="1" x14ac:dyDescent="0.25">
      <c r="A299" s="6"/>
      <c r="C299" s="14" t="str">
        <f ca="1">IFERROR(IF(贷款未偿还*贷款已清偿,贷款还款期数,""), "")</f>
        <v/>
      </c>
      <c r="D299" s="15" t="str">
        <f ca="1">IFERROR(IF(贷款未偿还*贷款已清偿,还款日期,""), "")</f>
        <v/>
      </c>
      <c r="E299" s="16" t="str">
        <f ca="1">IFERROR(IF(贷款未偿还*贷款已清偿,I298,""), "")</f>
        <v/>
      </c>
      <c r="F299" s="16" t="str">
        <f ca="1">IFERROR(IF(贷款未偿还*贷款已清偿,贷款明细[[#This Row],[本金]]+贷款明细[[#This Row],[利息]],""), "")</f>
        <v/>
      </c>
      <c r="G299" s="16" t="str">
        <f ca="1">IFERROR(IF(贷款未偿还*贷款已清偿,贷款金额/贷款分期次数,""), "")</f>
        <v/>
      </c>
      <c r="H299" s="16" t="str">
        <f ca="1">IFERROR(IF(贷款未偿还*贷款已清偿,贷款明细[[#This Row],[期初余额]]*贷款年利率/12,""), "")</f>
        <v/>
      </c>
      <c r="I299" s="16" t="str">
        <f ca="1">IFERROR(IF(贷款未偿还*贷款已清偿,贷款明细[[#This Row],[期初余额]]-贷款明细[[#This Row],[本金]],""), "")</f>
        <v/>
      </c>
      <c r="J299" s="3"/>
      <c r="K299" s="6"/>
    </row>
    <row r="300" spans="1:11" ht="20.100000000000001" customHeight="1" x14ac:dyDescent="0.25">
      <c r="A300" s="6"/>
      <c r="C300" s="14" t="str">
        <f ca="1">IFERROR(IF(贷款未偿还*贷款已清偿,贷款还款期数,""), "")</f>
        <v/>
      </c>
      <c r="D300" s="15" t="str">
        <f ca="1">IFERROR(IF(贷款未偿还*贷款已清偿,还款日期,""), "")</f>
        <v/>
      </c>
      <c r="E300" s="16" t="str">
        <f ca="1">IFERROR(IF(贷款未偿还*贷款已清偿,I299,""), "")</f>
        <v/>
      </c>
      <c r="F300" s="16" t="str">
        <f ca="1">IFERROR(IF(贷款未偿还*贷款已清偿,贷款明细[[#This Row],[本金]]+贷款明细[[#This Row],[利息]],""), "")</f>
        <v/>
      </c>
      <c r="G300" s="16" t="str">
        <f ca="1">IFERROR(IF(贷款未偿还*贷款已清偿,贷款金额/贷款分期次数,""), "")</f>
        <v/>
      </c>
      <c r="H300" s="16" t="str">
        <f ca="1">IFERROR(IF(贷款未偿还*贷款已清偿,贷款明细[[#This Row],[期初余额]]*贷款年利率/12,""), "")</f>
        <v/>
      </c>
      <c r="I300" s="16" t="str">
        <f ca="1">IFERROR(IF(贷款未偿还*贷款已清偿,贷款明细[[#This Row],[期初余额]]-贷款明细[[#This Row],[本金]],""), "")</f>
        <v/>
      </c>
      <c r="J300" s="3"/>
      <c r="K300" s="6"/>
    </row>
    <row r="301" spans="1:11" ht="20.100000000000001" customHeight="1" x14ac:dyDescent="0.25">
      <c r="A301" s="6"/>
      <c r="C301" s="14" t="str">
        <f ca="1">IFERROR(IF(贷款未偿还*贷款已清偿,贷款还款期数,""), "")</f>
        <v/>
      </c>
      <c r="D301" s="15" t="str">
        <f ca="1">IFERROR(IF(贷款未偿还*贷款已清偿,还款日期,""), "")</f>
        <v/>
      </c>
      <c r="E301" s="16" t="str">
        <f ca="1">IFERROR(IF(贷款未偿还*贷款已清偿,I300,""), "")</f>
        <v/>
      </c>
      <c r="F301" s="16" t="str">
        <f ca="1">IFERROR(IF(贷款未偿还*贷款已清偿,贷款明细[[#This Row],[本金]]+贷款明细[[#This Row],[利息]],""), "")</f>
        <v/>
      </c>
      <c r="G301" s="16" t="str">
        <f ca="1">IFERROR(IF(贷款未偿还*贷款已清偿,贷款金额/贷款分期次数,""), "")</f>
        <v/>
      </c>
      <c r="H301" s="16" t="str">
        <f ca="1">IFERROR(IF(贷款未偿还*贷款已清偿,贷款明细[[#This Row],[期初余额]]*贷款年利率/12,""), "")</f>
        <v/>
      </c>
      <c r="I301" s="16" t="str">
        <f ca="1">IFERROR(IF(贷款未偿还*贷款已清偿,贷款明细[[#This Row],[期初余额]]-贷款明细[[#This Row],[本金]],""), "")</f>
        <v/>
      </c>
      <c r="J301" s="3"/>
      <c r="K301" s="6"/>
    </row>
    <row r="302" spans="1:11" ht="20.100000000000001" customHeight="1" x14ac:dyDescent="0.25">
      <c r="A302" s="6"/>
      <c r="C302" s="14" t="str">
        <f ca="1">IFERROR(IF(贷款未偿还*贷款已清偿,贷款还款期数,""), "")</f>
        <v/>
      </c>
      <c r="D302" s="15" t="str">
        <f ca="1">IFERROR(IF(贷款未偿还*贷款已清偿,还款日期,""), "")</f>
        <v/>
      </c>
      <c r="E302" s="16" t="str">
        <f ca="1">IFERROR(IF(贷款未偿还*贷款已清偿,I301,""), "")</f>
        <v/>
      </c>
      <c r="F302" s="16" t="str">
        <f ca="1">IFERROR(IF(贷款未偿还*贷款已清偿,贷款明细[[#This Row],[本金]]+贷款明细[[#This Row],[利息]],""), "")</f>
        <v/>
      </c>
      <c r="G302" s="16" t="str">
        <f ca="1">IFERROR(IF(贷款未偿还*贷款已清偿,贷款金额/贷款分期次数,""), "")</f>
        <v/>
      </c>
      <c r="H302" s="16" t="str">
        <f ca="1">IFERROR(IF(贷款未偿还*贷款已清偿,贷款明细[[#This Row],[期初余额]]*贷款年利率/12,""), "")</f>
        <v/>
      </c>
      <c r="I302" s="16" t="str">
        <f ca="1">IFERROR(IF(贷款未偿还*贷款已清偿,贷款明细[[#This Row],[期初余额]]-贷款明细[[#This Row],[本金]],""), "")</f>
        <v/>
      </c>
      <c r="J302" s="3"/>
      <c r="K302" s="6"/>
    </row>
    <row r="303" spans="1:11" ht="20.100000000000001" customHeight="1" x14ac:dyDescent="0.25">
      <c r="A303" s="6"/>
      <c r="C303" s="14" t="str">
        <f ca="1">IFERROR(IF(贷款未偿还*贷款已清偿,贷款还款期数,""), "")</f>
        <v/>
      </c>
      <c r="D303" s="15" t="str">
        <f ca="1">IFERROR(IF(贷款未偿还*贷款已清偿,还款日期,""), "")</f>
        <v/>
      </c>
      <c r="E303" s="16" t="str">
        <f ca="1">IFERROR(IF(贷款未偿还*贷款已清偿,I302,""), "")</f>
        <v/>
      </c>
      <c r="F303" s="16" t="str">
        <f ca="1">IFERROR(IF(贷款未偿还*贷款已清偿,贷款明细[[#This Row],[本金]]+贷款明细[[#This Row],[利息]],""), "")</f>
        <v/>
      </c>
      <c r="G303" s="16" t="str">
        <f ca="1">IFERROR(IF(贷款未偿还*贷款已清偿,贷款金额/贷款分期次数,""), "")</f>
        <v/>
      </c>
      <c r="H303" s="16" t="str">
        <f ca="1">IFERROR(IF(贷款未偿还*贷款已清偿,贷款明细[[#This Row],[期初余额]]*贷款年利率/12,""), "")</f>
        <v/>
      </c>
      <c r="I303" s="16" t="str">
        <f ca="1">IFERROR(IF(贷款未偿还*贷款已清偿,贷款明细[[#This Row],[期初余额]]-贷款明细[[#This Row],[本金]],""), "")</f>
        <v/>
      </c>
      <c r="J303" s="3"/>
      <c r="K303" s="6"/>
    </row>
    <row r="304" spans="1:11" ht="20.100000000000001" customHeight="1" x14ac:dyDescent="0.25">
      <c r="A304" s="6"/>
      <c r="C304" s="14" t="str">
        <f ca="1">IFERROR(IF(贷款未偿还*贷款已清偿,贷款还款期数,""), "")</f>
        <v/>
      </c>
      <c r="D304" s="15" t="str">
        <f ca="1">IFERROR(IF(贷款未偿还*贷款已清偿,还款日期,""), "")</f>
        <v/>
      </c>
      <c r="E304" s="16" t="str">
        <f ca="1">IFERROR(IF(贷款未偿还*贷款已清偿,I303,""), "")</f>
        <v/>
      </c>
      <c r="F304" s="16" t="str">
        <f ca="1">IFERROR(IF(贷款未偿还*贷款已清偿,贷款明细[[#This Row],[本金]]+贷款明细[[#This Row],[利息]],""), "")</f>
        <v/>
      </c>
      <c r="G304" s="16" t="str">
        <f ca="1">IFERROR(IF(贷款未偿还*贷款已清偿,贷款金额/贷款分期次数,""), "")</f>
        <v/>
      </c>
      <c r="H304" s="16" t="str">
        <f ca="1">IFERROR(IF(贷款未偿还*贷款已清偿,贷款明细[[#This Row],[期初余额]]*贷款年利率/12,""), "")</f>
        <v/>
      </c>
      <c r="I304" s="16" t="str">
        <f ca="1">IFERROR(IF(贷款未偿还*贷款已清偿,贷款明细[[#This Row],[期初余额]]-贷款明细[[#This Row],[本金]],""), "")</f>
        <v/>
      </c>
      <c r="J304" s="3"/>
      <c r="K304" s="6"/>
    </row>
    <row r="305" spans="1:11" ht="20.100000000000001" customHeight="1" x14ac:dyDescent="0.25">
      <c r="A305" s="6"/>
      <c r="C305" s="14" t="str">
        <f ca="1">IFERROR(IF(贷款未偿还*贷款已清偿,贷款还款期数,""), "")</f>
        <v/>
      </c>
      <c r="D305" s="15" t="str">
        <f ca="1">IFERROR(IF(贷款未偿还*贷款已清偿,还款日期,""), "")</f>
        <v/>
      </c>
      <c r="E305" s="16" t="str">
        <f ca="1">IFERROR(IF(贷款未偿还*贷款已清偿,I304,""), "")</f>
        <v/>
      </c>
      <c r="F305" s="16" t="str">
        <f ca="1">IFERROR(IF(贷款未偿还*贷款已清偿,贷款明细[[#This Row],[本金]]+贷款明细[[#This Row],[利息]],""), "")</f>
        <v/>
      </c>
      <c r="G305" s="16" t="str">
        <f ca="1">IFERROR(IF(贷款未偿还*贷款已清偿,贷款金额/贷款分期次数,""), "")</f>
        <v/>
      </c>
      <c r="H305" s="16" t="str">
        <f ca="1">IFERROR(IF(贷款未偿还*贷款已清偿,贷款明细[[#This Row],[期初余额]]*贷款年利率/12,""), "")</f>
        <v/>
      </c>
      <c r="I305" s="16" t="str">
        <f ca="1">IFERROR(IF(贷款未偿还*贷款已清偿,贷款明细[[#This Row],[期初余额]]-贷款明细[[#This Row],[本金]],""), "")</f>
        <v/>
      </c>
      <c r="J305" s="3"/>
      <c r="K305" s="6"/>
    </row>
    <row r="306" spans="1:11" ht="20.100000000000001" customHeight="1" x14ac:dyDescent="0.25">
      <c r="A306" s="6"/>
      <c r="C306" s="14" t="str">
        <f ca="1">IFERROR(IF(贷款未偿还*贷款已清偿,贷款还款期数,""), "")</f>
        <v/>
      </c>
      <c r="D306" s="15" t="str">
        <f ca="1">IFERROR(IF(贷款未偿还*贷款已清偿,还款日期,""), "")</f>
        <v/>
      </c>
      <c r="E306" s="16" t="str">
        <f ca="1">IFERROR(IF(贷款未偿还*贷款已清偿,I305,""), "")</f>
        <v/>
      </c>
      <c r="F306" s="16" t="str">
        <f ca="1">IFERROR(IF(贷款未偿还*贷款已清偿,贷款明细[[#This Row],[本金]]+贷款明细[[#This Row],[利息]],""), "")</f>
        <v/>
      </c>
      <c r="G306" s="16" t="str">
        <f ca="1">IFERROR(IF(贷款未偿还*贷款已清偿,贷款金额/贷款分期次数,""), "")</f>
        <v/>
      </c>
      <c r="H306" s="16" t="str">
        <f ca="1">IFERROR(IF(贷款未偿还*贷款已清偿,贷款明细[[#This Row],[期初余额]]*贷款年利率/12,""), "")</f>
        <v/>
      </c>
      <c r="I306" s="16" t="str">
        <f ca="1">IFERROR(IF(贷款未偿还*贷款已清偿,贷款明细[[#This Row],[期初余额]]-贷款明细[[#This Row],[本金]],""), "")</f>
        <v/>
      </c>
      <c r="J306" s="3"/>
      <c r="K306" s="6"/>
    </row>
    <row r="307" spans="1:11" ht="20.100000000000001" customHeight="1" x14ac:dyDescent="0.25">
      <c r="A307" s="6"/>
      <c r="C307" s="14" t="str">
        <f ca="1">IFERROR(IF(贷款未偿还*贷款已清偿,贷款还款期数,""), "")</f>
        <v/>
      </c>
      <c r="D307" s="15" t="str">
        <f ca="1">IFERROR(IF(贷款未偿还*贷款已清偿,还款日期,""), "")</f>
        <v/>
      </c>
      <c r="E307" s="16" t="str">
        <f ca="1">IFERROR(IF(贷款未偿还*贷款已清偿,I306,""), "")</f>
        <v/>
      </c>
      <c r="F307" s="16" t="str">
        <f ca="1">IFERROR(IF(贷款未偿还*贷款已清偿,贷款明细[[#This Row],[本金]]+贷款明细[[#This Row],[利息]],""), "")</f>
        <v/>
      </c>
      <c r="G307" s="16" t="str">
        <f ca="1">IFERROR(IF(贷款未偿还*贷款已清偿,贷款金额/贷款分期次数,""), "")</f>
        <v/>
      </c>
      <c r="H307" s="16" t="str">
        <f ca="1">IFERROR(IF(贷款未偿还*贷款已清偿,贷款明细[[#This Row],[期初余额]]*贷款年利率/12,""), "")</f>
        <v/>
      </c>
      <c r="I307" s="16" t="str">
        <f ca="1">IFERROR(IF(贷款未偿还*贷款已清偿,贷款明细[[#This Row],[期初余额]]-贷款明细[[#This Row],[本金]],""), "")</f>
        <v/>
      </c>
      <c r="J307" s="3"/>
      <c r="K307" s="6"/>
    </row>
    <row r="308" spans="1:11" ht="20.100000000000001" customHeight="1" x14ac:dyDescent="0.25">
      <c r="A308" s="6"/>
      <c r="C308" s="14" t="str">
        <f ca="1">IFERROR(IF(贷款未偿还*贷款已清偿,贷款还款期数,""), "")</f>
        <v/>
      </c>
      <c r="D308" s="15" t="str">
        <f ca="1">IFERROR(IF(贷款未偿还*贷款已清偿,还款日期,""), "")</f>
        <v/>
      </c>
      <c r="E308" s="16" t="str">
        <f ca="1">IFERROR(IF(贷款未偿还*贷款已清偿,I307,""), "")</f>
        <v/>
      </c>
      <c r="F308" s="16" t="str">
        <f ca="1">IFERROR(IF(贷款未偿还*贷款已清偿,贷款明细[[#This Row],[本金]]+贷款明细[[#This Row],[利息]],""), "")</f>
        <v/>
      </c>
      <c r="G308" s="16" t="str">
        <f ca="1">IFERROR(IF(贷款未偿还*贷款已清偿,贷款金额/贷款分期次数,""), "")</f>
        <v/>
      </c>
      <c r="H308" s="16" t="str">
        <f ca="1">IFERROR(IF(贷款未偿还*贷款已清偿,贷款明细[[#This Row],[期初余额]]*贷款年利率/12,""), "")</f>
        <v/>
      </c>
      <c r="I308" s="16" t="str">
        <f ca="1">IFERROR(IF(贷款未偿还*贷款已清偿,贷款明细[[#This Row],[期初余额]]-贷款明细[[#This Row],[本金]],""), "")</f>
        <v/>
      </c>
      <c r="J308" s="3"/>
      <c r="K308" s="6"/>
    </row>
    <row r="309" spans="1:11" ht="20.100000000000001" customHeight="1" x14ac:dyDescent="0.25">
      <c r="A309" s="6"/>
      <c r="C309" s="14" t="str">
        <f ca="1">IFERROR(IF(贷款未偿还*贷款已清偿,贷款还款期数,""), "")</f>
        <v/>
      </c>
      <c r="D309" s="15" t="str">
        <f ca="1">IFERROR(IF(贷款未偿还*贷款已清偿,还款日期,""), "")</f>
        <v/>
      </c>
      <c r="E309" s="16" t="str">
        <f ca="1">IFERROR(IF(贷款未偿还*贷款已清偿,I308,""), "")</f>
        <v/>
      </c>
      <c r="F309" s="16" t="str">
        <f ca="1">IFERROR(IF(贷款未偿还*贷款已清偿,贷款明细[[#This Row],[本金]]+贷款明细[[#This Row],[利息]],""), "")</f>
        <v/>
      </c>
      <c r="G309" s="16" t="str">
        <f ca="1">IFERROR(IF(贷款未偿还*贷款已清偿,贷款金额/贷款分期次数,""), "")</f>
        <v/>
      </c>
      <c r="H309" s="16" t="str">
        <f ca="1">IFERROR(IF(贷款未偿还*贷款已清偿,贷款明细[[#This Row],[期初余额]]*贷款年利率/12,""), "")</f>
        <v/>
      </c>
      <c r="I309" s="16" t="str">
        <f ca="1">IFERROR(IF(贷款未偿还*贷款已清偿,贷款明细[[#This Row],[期初余额]]-贷款明细[[#This Row],[本金]],""), "")</f>
        <v/>
      </c>
      <c r="J309" s="3"/>
      <c r="K309" s="6"/>
    </row>
    <row r="310" spans="1:11" ht="20.100000000000001" customHeight="1" x14ac:dyDescent="0.25">
      <c r="A310" s="6"/>
      <c r="C310" s="14" t="str">
        <f ca="1">IFERROR(IF(贷款未偿还*贷款已清偿,贷款还款期数,""), "")</f>
        <v/>
      </c>
      <c r="D310" s="15" t="str">
        <f ca="1">IFERROR(IF(贷款未偿还*贷款已清偿,还款日期,""), "")</f>
        <v/>
      </c>
      <c r="E310" s="16" t="str">
        <f ca="1">IFERROR(IF(贷款未偿还*贷款已清偿,I309,""), "")</f>
        <v/>
      </c>
      <c r="F310" s="16" t="str">
        <f ca="1">IFERROR(IF(贷款未偿还*贷款已清偿,贷款明细[[#This Row],[本金]]+贷款明细[[#This Row],[利息]],""), "")</f>
        <v/>
      </c>
      <c r="G310" s="16" t="str">
        <f ca="1">IFERROR(IF(贷款未偿还*贷款已清偿,贷款金额/贷款分期次数,""), "")</f>
        <v/>
      </c>
      <c r="H310" s="16" t="str">
        <f ca="1">IFERROR(IF(贷款未偿还*贷款已清偿,贷款明细[[#This Row],[期初余额]]*贷款年利率/12,""), "")</f>
        <v/>
      </c>
      <c r="I310" s="16" t="str">
        <f ca="1">IFERROR(IF(贷款未偿还*贷款已清偿,贷款明细[[#This Row],[期初余额]]-贷款明细[[#This Row],[本金]],""), "")</f>
        <v/>
      </c>
      <c r="J310" s="3"/>
      <c r="K310" s="6"/>
    </row>
    <row r="311" spans="1:11" ht="20.100000000000001" customHeight="1" x14ac:dyDescent="0.25">
      <c r="A311" s="6"/>
      <c r="C311" s="14" t="str">
        <f ca="1">IFERROR(IF(贷款未偿还*贷款已清偿,贷款还款期数,""), "")</f>
        <v/>
      </c>
      <c r="D311" s="15" t="str">
        <f ca="1">IFERROR(IF(贷款未偿还*贷款已清偿,还款日期,""), "")</f>
        <v/>
      </c>
      <c r="E311" s="16" t="str">
        <f ca="1">IFERROR(IF(贷款未偿还*贷款已清偿,I310,""), "")</f>
        <v/>
      </c>
      <c r="F311" s="16" t="str">
        <f ca="1">IFERROR(IF(贷款未偿还*贷款已清偿,贷款明细[[#This Row],[本金]]+贷款明细[[#This Row],[利息]],""), "")</f>
        <v/>
      </c>
      <c r="G311" s="16" t="str">
        <f ca="1">IFERROR(IF(贷款未偿还*贷款已清偿,贷款金额/贷款分期次数,""), "")</f>
        <v/>
      </c>
      <c r="H311" s="16" t="str">
        <f ca="1">IFERROR(IF(贷款未偿还*贷款已清偿,贷款明细[[#This Row],[期初余额]]*贷款年利率/12,""), "")</f>
        <v/>
      </c>
      <c r="I311" s="16" t="str">
        <f ca="1">IFERROR(IF(贷款未偿还*贷款已清偿,贷款明细[[#This Row],[期初余额]]-贷款明细[[#This Row],[本金]],""), "")</f>
        <v/>
      </c>
      <c r="J311" s="3"/>
      <c r="K311" s="6"/>
    </row>
    <row r="312" spans="1:11" ht="20.100000000000001" customHeight="1" x14ac:dyDescent="0.25">
      <c r="A312" s="6"/>
      <c r="C312" s="14" t="str">
        <f ca="1">IFERROR(IF(贷款未偿还*贷款已清偿,贷款还款期数,""), "")</f>
        <v/>
      </c>
      <c r="D312" s="15" t="str">
        <f ca="1">IFERROR(IF(贷款未偿还*贷款已清偿,还款日期,""), "")</f>
        <v/>
      </c>
      <c r="E312" s="16" t="str">
        <f ca="1">IFERROR(IF(贷款未偿还*贷款已清偿,I311,""), "")</f>
        <v/>
      </c>
      <c r="F312" s="16" t="str">
        <f ca="1">IFERROR(IF(贷款未偿还*贷款已清偿,贷款明细[[#This Row],[本金]]+贷款明细[[#This Row],[利息]],""), "")</f>
        <v/>
      </c>
      <c r="G312" s="16" t="str">
        <f ca="1">IFERROR(IF(贷款未偿还*贷款已清偿,贷款金额/贷款分期次数,""), "")</f>
        <v/>
      </c>
      <c r="H312" s="16" t="str">
        <f ca="1">IFERROR(IF(贷款未偿还*贷款已清偿,贷款明细[[#This Row],[期初余额]]*贷款年利率/12,""), "")</f>
        <v/>
      </c>
      <c r="I312" s="16" t="str">
        <f ca="1">IFERROR(IF(贷款未偿还*贷款已清偿,贷款明细[[#This Row],[期初余额]]-贷款明细[[#This Row],[本金]],""), "")</f>
        <v/>
      </c>
      <c r="J312" s="3"/>
      <c r="K312" s="6"/>
    </row>
    <row r="313" spans="1:11" ht="20.100000000000001" customHeight="1" x14ac:dyDescent="0.25">
      <c r="A313" s="6"/>
      <c r="C313" s="14" t="str">
        <f ca="1">IFERROR(IF(贷款未偿还*贷款已清偿,贷款还款期数,""), "")</f>
        <v/>
      </c>
      <c r="D313" s="15" t="str">
        <f ca="1">IFERROR(IF(贷款未偿还*贷款已清偿,还款日期,""), "")</f>
        <v/>
      </c>
      <c r="E313" s="16" t="str">
        <f ca="1">IFERROR(IF(贷款未偿还*贷款已清偿,I312,""), "")</f>
        <v/>
      </c>
      <c r="F313" s="16" t="str">
        <f ca="1">IFERROR(IF(贷款未偿还*贷款已清偿,贷款明细[[#This Row],[本金]]+贷款明细[[#This Row],[利息]],""), "")</f>
        <v/>
      </c>
      <c r="G313" s="16" t="str">
        <f ca="1">IFERROR(IF(贷款未偿还*贷款已清偿,贷款金额/贷款分期次数,""), "")</f>
        <v/>
      </c>
      <c r="H313" s="16" t="str">
        <f ca="1">IFERROR(IF(贷款未偿还*贷款已清偿,贷款明细[[#This Row],[期初余额]]*贷款年利率/12,""), "")</f>
        <v/>
      </c>
      <c r="I313" s="16" t="str">
        <f ca="1">IFERROR(IF(贷款未偿还*贷款已清偿,贷款明细[[#This Row],[期初余额]]-贷款明细[[#This Row],[本金]],""), "")</f>
        <v/>
      </c>
      <c r="J313" s="3"/>
      <c r="K313" s="6"/>
    </row>
    <row r="314" spans="1:11" ht="20.100000000000001" customHeight="1" x14ac:dyDescent="0.25">
      <c r="A314" s="6"/>
      <c r="C314" s="14" t="str">
        <f ca="1">IFERROR(IF(贷款未偿还*贷款已清偿,贷款还款期数,""), "")</f>
        <v/>
      </c>
      <c r="D314" s="15" t="str">
        <f ca="1">IFERROR(IF(贷款未偿还*贷款已清偿,还款日期,""), "")</f>
        <v/>
      </c>
      <c r="E314" s="16" t="str">
        <f ca="1">IFERROR(IF(贷款未偿还*贷款已清偿,I313,""), "")</f>
        <v/>
      </c>
      <c r="F314" s="16" t="str">
        <f ca="1">IFERROR(IF(贷款未偿还*贷款已清偿,贷款明细[[#This Row],[本金]]+贷款明细[[#This Row],[利息]],""), "")</f>
        <v/>
      </c>
      <c r="G314" s="16" t="str">
        <f ca="1">IFERROR(IF(贷款未偿还*贷款已清偿,贷款金额/贷款分期次数,""), "")</f>
        <v/>
      </c>
      <c r="H314" s="16" t="str">
        <f ca="1">IFERROR(IF(贷款未偿还*贷款已清偿,贷款明细[[#This Row],[期初余额]]*贷款年利率/12,""), "")</f>
        <v/>
      </c>
      <c r="I314" s="16" t="str">
        <f ca="1">IFERROR(IF(贷款未偿还*贷款已清偿,贷款明细[[#This Row],[期初余额]]-贷款明细[[#This Row],[本金]],""), "")</f>
        <v/>
      </c>
      <c r="J314" s="3"/>
      <c r="K314" s="6"/>
    </row>
    <row r="315" spans="1:11" ht="20.100000000000001" customHeight="1" x14ac:dyDescent="0.25">
      <c r="A315" s="6"/>
      <c r="C315" s="14" t="str">
        <f ca="1">IFERROR(IF(贷款未偿还*贷款已清偿,贷款还款期数,""), "")</f>
        <v/>
      </c>
      <c r="D315" s="15" t="str">
        <f ca="1">IFERROR(IF(贷款未偿还*贷款已清偿,还款日期,""), "")</f>
        <v/>
      </c>
      <c r="E315" s="16" t="str">
        <f ca="1">IFERROR(IF(贷款未偿还*贷款已清偿,I314,""), "")</f>
        <v/>
      </c>
      <c r="F315" s="16" t="str">
        <f ca="1">IFERROR(IF(贷款未偿还*贷款已清偿,贷款明细[[#This Row],[本金]]+贷款明细[[#This Row],[利息]],""), "")</f>
        <v/>
      </c>
      <c r="G315" s="16" t="str">
        <f ca="1">IFERROR(IF(贷款未偿还*贷款已清偿,贷款金额/贷款分期次数,""), "")</f>
        <v/>
      </c>
      <c r="H315" s="16" t="str">
        <f ca="1">IFERROR(IF(贷款未偿还*贷款已清偿,贷款明细[[#This Row],[期初余额]]*贷款年利率/12,""), "")</f>
        <v/>
      </c>
      <c r="I315" s="16" t="str">
        <f ca="1">IFERROR(IF(贷款未偿还*贷款已清偿,贷款明细[[#This Row],[期初余额]]-贷款明细[[#This Row],[本金]],""), "")</f>
        <v/>
      </c>
      <c r="J315" s="3"/>
      <c r="K315" s="6"/>
    </row>
    <row r="316" spans="1:11" ht="20.100000000000001" customHeight="1" x14ac:dyDescent="0.25">
      <c r="A316" s="6"/>
      <c r="C316" s="14" t="str">
        <f ca="1">IFERROR(IF(贷款未偿还*贷款已清偿,贷款还款期数,""), "")</f>
        <v/>
      </c>
      <c r="D316" s="15" t="str">
        <f ca="1">IFERROR(IF(贷款未偿还*贷款已清偿,还款日期,""), "")</f>
        <v/>
      </c>
      <c r="E316" s="16" t="str">
        <f ca="1">IFERROR(IF(贷款未偿还*贷款已清偿,I315,""), "")</f>
        <v/>
      </c>
      <c r="F316" s="16" t="str">
        <f ca="1">IFERROR(IF(贷款未偿还*贷款已清偿,贷款明细[[#This Row],[本金]]+贷款明细[[#This Row],[利息]],""), "")</f>
        <v/>
      </c>
      <c r="G316" s="16" t="str">
        <f ca="1">IFERROR(IF(贷款未偿还*贷款已清偿,贷款金额/贷款分期次数,""), "")</f>
        <v/>
      </c>
      <c r="H316" s="16" t="str">
        <f ca="1">IFERROR(IF(贷款未偿还*贷款已清偿,贷款明细[[#This Row],[期初余额]]*贷款年利率/12,""), "")</f>
        <v/>
      </c>
      <c r="I316" s="16" t="str">
        <f ca="1">IFERROR(IF(贷款未偿还*贷款已清偿,贷款明细[[#This Row],[期初余额]]-贷款明细[[#This Row],[本金]],""), "")</f>
        <v/>
      </c>
      <c r="J316" s="3"/>
      <c r="K316" s="6"/>
    </row>
    <row r="317" spans="1:11" ht="20.100000000000001" customHeight="1" x14ac:dyDescent="0.25">
      <c r="A317" s="6"/>
      <c r="C317" s="14" t="str">
        <f ca="1">IFERROR(IF(贷款未偿还*贷款已清偿,贷款还款期数,""), "")</f>
        <v/>
      </c>
      <c r="D317" s="15" t="str">
        <f ca="1">IFERROR(IF(贷款未偿还*贷款已清偿,还款日期,""), "")</f>
        <v/>
      </c>
      <c r="E317" s="16" t="str">
        <f ca="1">IFERROR(IF(贷款未偿还*贷款已清偿,I316,""), "")</f>
        <v/>
      </c>
      <c r="F317" s="16" t="str">
        <f ca="1">IFERROR(IF(贷款未偿还*贷款已清偿,贷款明细[[#This Row],[本金]]+贷款明细[[#This Row],[利息]],""), "")</f>
        <v/>
      </c>
      <c r="G317" s="16" t="str">
        <f ca="1">IFERROR(IF(贷款未偿还*贷款已清偿,贷款金额/贷款分期次数,""), "")</f>
        <v/>
      </c>
      <c r="H317" s="16" t="str">
        <f ca="1">IFERROR(IF(贷款未偿还*贷款已清偿,贷款明细[[#This Row],[期初余额]]*贷款年利率/12,""), "")</f>
        <v/>
      </c>
      <c r="I317" s="16" t="str">
        <f ca="1">IFERROR(IF(贷款未偿还*贷款已清偿,贷款明细[[#This Row],[期初余额]]-贷款明细[[#This Row],[本金]],""), "")</f>
        <v/>
      </c>
      <c r="J317" s="3"/>
      <c r="K317" s="6"/>
    </row>
    <row r="318" spans="1:11" ht="20.100000000000001" customHeight="1" x14ac:dyDescent="0.25">
      <c r="A318" s="6"/>
      <c r="C318" s="14" t="str">
        <f ca="1">IFERROR(IF(贷款未偿还*贷款已清偿,贷款还款期数,""), "")</f>
        <v/>
      </c>
      <c r="D318" s="15" t="str">
        <f ca="1">IFERROR(IF(贷款未偿还*贷款已清偿,还款日期,""), "")</f>
        <v/>
      </c>
      <c r="E318" s="16" t="str">
        <f ca="1">IFERROR(IF(贷款未偿还*贷款已清偿,I317,""), "")</f>
        <v/>
      </c>
      <c r="F318" s="16" t="str">
        <f ca="1">IFERROR(IF(贷款未偿还*贷款已清偿,贷款明细[[#This Row],[本金]]+贷款明细[[#This Row],[利息]],""), "")</f>
        <v/>
      </c>
      <c r="G318" s="16" t="str">
        <f ca="1">IFERROR(IF(贷款未偿还*贷款已清偿,贷款金额/贷款分期次数,""), "")</f>
        <v/>
      </c>
      <c r="H318" s="16" t="str">
        <f ca="1">IFERROR(IF(贷款未偿还*贷款已清偿,贷款明细[[#This Row],[期初余额]]*贷款年利率/12,""), "")</f>
        <v/>
      </c>
      <c r="I318" s="16" t="str">
        <f ca="1">IFERROR(IF(贷款未偿还*贷款已清偿,贷款明细[[#This Row],[期初余额]]-贷款明细[[#This Row],[本金]],""), "")</f>
        <v/>
      </c>
      <c r="J318" s="3"/>
      <c r="K318" s="6"/>
    </row>
    <row r="319" spans="1:11" ht="20.100000000000001" customHeight="1" x14ac:dyDescent="0.25">
      <c r="A319" s="6"/>
      <c r="C319" s="14" t="str">
        <f ca="1">IFERROR(IF(贷款未偿还*贷款已清偿,贷款还款期数,""), "")</f>
        <v/>
      </c>
      <c r="D319" s="15" t="str">
        <f ca="1">IFERROR(IF(贷款未偿还*贷款已清偿,还款日期,""), "")</f>
        <v/>
      </c>
      <c r="E319" s="16" t="str">
        <f ca="1">IFERROR(IF(贷款未偿还*贷款已清偿,I318,""), "")</f>
        <v/>
      </c>
      <c r="F319" s="16" t="str">
        <f ca="1">IFERROR(IF(贷款未偿还*贷款已清偿,贷款明细[[#This Row],[本金]]+贷款明细[[#This Row],[利息]],""), "")</f>
        <v/>
      </c>
      <c r="G319" s="16" t="str">
        <f ca="1">IFERROR(IF(贷款未偿还*贷款已清偿,贷款金额/贷款分期次数,""), "")</f>
        <v/>
      </c>
      <c r="H319" s="16" t="str">
        <f ca="1">IFERROR(IF(贷款未偿还*贷款已清偿,贷款明细[[#This Row],[期初余额]]*贷款年利率/12,""), "")</f>
        <v/>
      </c>
      <c r="I319" s="16" t="str">
        <f ca="1">IFERROR(IF(贷款未偿还*贷款已清偿,贷款明细[[#This Row],[期初余额]]-贷款明细[[#This Row],[本金]],""), "")</f>
        <v/>
      </c>
      <c r="J319" s="3"/>
      <c r="K319" s="6"/>
    </row>
    <row r="320" spans="1:11" ht="20.100000000000001" customHeight="1" x14ac:dyDescent="0.25">
      <c r="A320" s="6"/>
      <c r="C320" s="14" t="str">
        <f ca="1">IFERROR(IF(贷款未偿还*贷款已清偿,贷款还款期数,""), "")</f>
        <v/>
      </c>
      <c r="D320" s="15" t="str">
        <f ca="1">IFERROR(IF(贷款未偿还*贷款已清偿,还款日期,""), "")</f>
        <v/>
      </c>
      <c r="E320" s="16" t="str">
        <f ca="1">IFERROR(IF(贷款未偿还*贷款已清偿,I319,""), "")</f>
        <v/>
      </c>
      <c r="F320" s="16" t="str">
        <f ca="1">IFERROR(IF(贷款未偿还*贷款已清偿,贷款明细[[#This Row],[本金]]+贷款明细[[#This Row],[利息]],""), "")</f>
        <v/>
      </c>
      <c r="G320" s="16" t="str">
        <f ca="1">IFERROR(IF(贷款未偿还*贷款已清偿,贷款金额/贷款分期次数,""), "")</f>
        <v/>
      </c>
      <c r="H320" s="16" t="str">
        <f ca="1">IFERROR(IF(贷款未偿还*贷款已清偿,贷款明细[[#This Row],[期初余额]]*贷款年利率/12,""), "")</f>
        <v/>
      </c>
      <c r="I320" s="16" t="str">
        <f ca="1">IFERROR(IF(贷款未偿还*贷款已清偿,贷款明细[[#This Row],[期初余额]]-贷款明细[[#This Row],[本金]],""), "")</f>
        <v/>
      </c>
      <c r="J320" s="3"/>
      <c r="K320" s="6"/>
    </row>
    <row r="321" spans="1:11" ht="20.100000000000001" customHeight="1" x14ac:dyDescent="0.25">
      <c r="A321" s="6"/>
      <c r="C321" s="14" t="str">
        <f ca="1">IFERROR(IF(贷款未偿还*贷款已清偿,贷款还款期数,""), "")</f>
        <v/>
      </c>
      <c r="D321" s="15" t="str">
        <f ca="1">IFERROR(IF(贷款未偿还*贷款已清偿,还款日期,""), "")</f>
        <v/>
      </c>
      <c r="E321" s="16" t="str">
        <f ca="1">IFERROR(IF(贷款未偿还*贷款已清偿,I320,""), "")</f>
        <v/>
      </c>
      <c r="F321" s="16" t="str">
        <f ca="1">IFERROR(IF(贷款未偿还*贷款已清偿,贷款明细[[#This Row],[本金]]+贷款明细[[#This Row],[利息]],""), "")</f>
        <v/>
      </c>
      <c r="G321" s="16" t="str">
        <f ca="1">IFERROR(IF(贷款未偿还*贷款已清偿,贷款金额/贷款分期次数,""), "")</f>
        <v/>
      </c>
      <c r="H321" s="16" t="str">
        <f ca="1">IFERROR(IF(贷款未偿还*贷款已清偿,贷款明细[[#This Row],[期初余额]]*贷款年利率/12,""), "")</f>
        <v/>
      </c>
      <c r="I321" s="16" t="str">
        <f ca="1">IFERROR(IF(贷款未偿还*贷款已清偿,贷款明细[[#This Row],[期初余额]]-贷款明细[[#This Row],[本金]],""), "")</f>
        <v/>
      </c>
      <c r="J321" s="3"/>
      <c r="K321" s="6"/>
    </row>
    <row r="322" spans="1:11" ht="20.100000000000001" customHeight="1" x14ac:dyDescent="0.25">
      <c r="A322" s="6"/>
      <c r="C322" s="14" t="str">
        <f ca="1">IFERROR(IF(贷款未偿还*贷款已清偿,贷款还款期数,""), "")</f>
        <v/>
      </c>
      <c r="D322" s="15" t="str">
        <f ca="1">IFERROR(IF(贷款未偿还*贷款已清偿,还款日期,""), "")</f>
        <v/>
      </c>
      <c r="E322" s="16" t="str">
        <f ca="1">IFERROR(IF(贷款未偿还*贷款已清偿,I321,""), "")</f>
        <v/>
      </c>
      <c r="F322" s="16" t="str">
        <f ca="1">IFERROR(IF(贷款未偿还*贷款已清偿,贷款明细[[#This Row],[本金]]+贷款明细[[#This Row],[利息]],""), "")</f>
        <v/>
      </c>
      <c r="G322" s="16" t="str">
        <f ca="1">IFERROR(IF(贷款未偿还*贷款已清偿,贷款金额/贷款分期次数,""), "")</f>
        <v/>
      </c>
      <c r="H322" s="16" t="str">
        <f ca="1">IFERROR(IF(贷款未偿还*贷款已清偿,贷款明细[[#This Row],[期初余额]]*贷款年利率/12,""), "")</f>
        <v/>
      </c>
      <c r="I322" s="16" t="str">
        <f ca="1">IFERROR(IF(贷款未偿还*贷款已清偿,贷款明细[[#This Row],[期初余额]]-贷款明细[[#This Row],[本金]],""), "")</f>
        <v/>
      </c>
      <c r="J322" s="3"/>
      <c r="K322" s="6"/>
    </row>
    <row r="323" spans="1:11" ht="20.100000000000001" customHeight="1" x14ac:dyDescent="0.25">
      <c r="A323" s="6"/>
      <c r="C323" s="14" t="str">
        <f ca="1">IFERROR(IF(贷款未偿还*贷款已清偿,贷款还款期数,""), "")</f>
        <v/>
      </c>
      <c r="D323" s="15" t="str">
        <f ca="1">IFERROR(IF(贷款未偿还*贷款已清偿,还款日期,""), "")</f>
        <v/>
      </c>
      <c r="E323" s="16" t="str">
        <f ca="1">IFERROR(IF(贷款未偿还*贷款已清偿,I322,""), "")</f>
        <v/>
      </c>
      <c r="F323" s="16" t="str">
        <f ca="1">IFERROR(IF(贷款未偿还*贷款已清偿,贷款明细[[#This Row],[本金]]+贷款明细[[#This Row],[利息]],""), "")</f>
        <v/>
      </c>
      <c r="G323" s="16" t="str">
        <f ca="1">IFERROR(IF(贷款未偿还*贷款已清偿,贷款金额/贷款分期次数,""), "")</f>
        <v/>
      </c>
      <c r="H323" s="16" t="str">
        <f ca="1">IFERROR(IF(贷款未偿还*贷款已清偿,贷款明细[[#This Row],[期初余额]]*贷款年利率/12,""), "")</f>
        <v/>
      </c>
      <c r="I323" s="16" t="str">
        <f ca="1">IFERROR(IF(贷款未偿还*贷款已清偿,贷款明细[[#This Row],[期初余额]]-贷款明细[[#This Row],[本金]],""), "")</f>
        <v/>
      </c>
      <c r="J323" s="3"/>
      <c r="K323" s="6"/>
    </row>
    <row r="324" spans="1:11" ht="20.100000000000001" customHeight="1" x14ac:dyDescent="0.25">
      <c r="A324" s="6"/>
      <c r="C324" s="14" t="str">
        <f ca="1">IFERROR(IF(贷款未偿还*贷款已清偿,贷款还款期数,""), "")</f>
        <v/>
      </c>
      <c r="D324" s="15" t="str">
        <f ca="1">IFERROR(IF(贷款未偿还*贷款已清偿,还款日期,""), "")</f>
        <v/>
      </c>
      <c r="E324" s="16" t="str">
        <f ca="1">IFERROR(IF(贷款未偿还*贷款已清偿,I323,""), "")</f>
        <v/>
      </c>
      <c r="F324" s="16" t="str">
        <f ca="1">IFERROR(IF(贷款未偿还*贷款已清偿,贷款明细[[#This Row],[本金]]+贷款明细[[#This Row],[利息]],""), "")</f>
        <v/>
      </c>
      <c r="G324" s="16" t="str">
        <f ca="1">IFERROR(IF(贷款未偿还*贷款已清偿,贷款金额/贷款分期次数,""), "")</f>
        <v/>
      </c>
      <c r="H324" s="16" t="str">
        <f ca="1">IFERROR(IF(贷款未偿还*贷款已清偿,贷款明细[[#This Row],[期初余额]]*贷款年利率/12,""), "")</f>
        <v/>
      </c>
      <c r="I324" s="16" t="str">
        <f ca="1">IFERROR(IF(贷款未偿还*贷款已清偿,贷款明细[[#This Row],[期初余额]]-贷款明细[[#This Row],[本金]],""), "")</f>
        <v/>
      </c>
      <c r="J324" s="3"/>
      <c r="K324" s="6"/>
    </row>
    <row r="325" spans="1:11" ht="20.100000000000001" customHeight="1" x14ac:dyDescent="0.25">
      <c r="A325" s="6"/>
      <c r="C325" s="14" t="str">
        <f ca="1">IFERROR(IF(贷款未偿还*贷款已清偿,贷款还款期数,""), "")</f>
        <v/>
      </c>
      <c r="D325" s="15" t="str">
        <f ca="1">IFERROR(IF(贷款未偿还*贷款已清偿,还款日期,""), "")</f>
        <v/>
      </c>
      <c r="E325" s="16" t="str">
        <f ca="1">IFERROR(IF(贷款未偿还*贷款已清偿,I324,""), "")</f>
        <v/>
      </c>
      <c r="F325" s="16" t="str">
        <f ca="1">IFERROR(IF(贷款未偿还*贷款已清偿,贷款明细[[#This Row],[本金]]+贷款明细[[#This Row],[利息]],""), "")</f>
        <v/>
      </c>
      <c r="G325" s="16" t="str">
        <f ca="1">IFERROR(IF(贷款未偿还*贷款已清偿,贷款金额/贷款分期次数,""), "")</f>
        <v/>
      </c>
      <c r="H325" s="16" t="str">
        <f ca="1">IFERROR(IF(贷款未偿还*贷款已清偿,贷款明细[[#This Row],[期初余额]]*贷款年利率/12,""), "")</f>
        <v/>
      </c>
      <c r="I325" s="16" t="str">
        <f ca="1">IFERROR(IF(贷款未偿还*贷款已清偿,贷款明细[[#This Row],[期初余额]]-贷款明细[[#This Row],[本金]],""), "")</f>
        <v/>
      </c>
      <c r="J325" s="3"/>
      <c r="K325" s="6"/>
    </row>
    <row r="326" spans="1:11" ht="20.100000000000001" customHeight="1" x14ac:dyDescent="0.25">
      <c r="A326" s="6"/>
      <c r="C326" s="14" t="str">
        <f ca="1">IFERROR(IF(贷款未偿还*贷款已清偿,贷款还款期数,""), "")</f>
        <v/>
      </c>
      <c r="D326" s="15" t="str">
        <f ca="1">IFERROR(IF(贷款未偿还*贷款已清偿,还款日期,""), "")</f>
        <v/>
      </c>
      <c r="E326" s="16" t="str">
        <f ca="1">IFERROR(IF(贷款未偿还*贷款已清偿,I325,""), "")</f>
        <v/>
      </c>
      <c r="F326" s="16" t="str">
        <f ca="1">IFERROR(IF(贷款未偿还*贷款已清偿,贷款明细[[#This Row],[本金]]+贷款明细[[#This Row],[利息]],""), "")</f>
        <v/>
      </c>
      <c r="G326" s="16" t="str">
        <f ca="1">IFERROR(IF(贷款未偿还*贷款已清偿,贷款金额/贷款分期次数,""), "")</f>
        <v/>
      </c>
      <c r="H326" s="16" t="str">
        <f ca="1">IFERROR(IF(贷款未偿还*贷款已清偿,贷款明细[[#This Row],[期初余额]]*贷款年利率/12,""), "")</f>
        <v/>
      </c>
      <c r="I326" s="16" t="str">
        <f ca="1">IFERROR(IF(贷款未偿还*贷款已清偿,贷款明细[[#This Row],[期初余额]]-贷款明细[[#This Row],[本金]],""), "")</f>
        <v/>
      </c>
      <c r="J326" s="3"/>
      <c r="K326" s="6"/>
    </row>
    <row r="327" spans="1:11" ht="20.100000000000001" customHeight="1" x14ac:dyDescent="0.25">
      <c r="A327" s="6"/>
      <c r="C327" s="14" t="str">
        <f ca="1">IFERROR(IF(贷款未偿还*贷款已清偿,贷款还款期数,""), "")</f>
        <v/>
      </c>
      <c r="D327" s="15" t="str">
        <f ca="1">IFERROR(IF(贷款未偿还*贷款已清偿,还款日期,""), "")</f>
        <v/>
      </c>
      <c r="E327" s="16" t="str">
        <f ca="1">IFERROR(IF(贷款未偿还*贷款已清偿,I326,""), "")</f>
        <v/>
      </c>
      <c r="F327" s="16" t="str">
        <f ca="1">IFERROR(IF(贷款未偿还*贷款已清偿,贷款明细[[#This Row],[本金]]+贷款明细[[#This Row],[利息]],""), "")</f>
        <v/>
      </c>
      <c r="G327" s="16" t="str">
        <f ca="1">IFERROR(IF(贷款未偿还*贷款已清偿,贷款金额/贷款分期次数,""), "")</f>
        <v/>
      </c>
      <c r="H327" s="16" t="str">
        <f ca="1">IFERROR(IF(贷款未偿还*贷款已清偿,贷款明细[[#This Row],[期初余额]]*贷款年利率/12,""), "")</f>
        <v/>
      </c>
      <c r="I327" s="16" t="str">
        <f ca="1">IFERROR(IF(贷款未偿还*贷款已清偿,贷款明细[[#This Row],[期初余额]]-贷款明细[[#This Row],[本金]],""), "")</f>
        <v/>
      </c>
      <c r="J327" s="3"/>
      <c r="K327" s="6"/>
    </row>
    <row r="328" spans="1:11" ht="20.100000000000001" customHeight="1" x14ac:dyDescent="0.25">
      <c r="A328" s="6"/>
      <c r="C328" s="14" t="str">
        <f ca="1">IFERROR(IF(贷款未偿还*贷款已清偿,贷款还款期数,""), "")</f>
        <v/>
      </c>
      <c r="D328" s="15" t="str">
        <f ca="1">IFERROR(IF(贷款未偿还*贷款已清偿,还款日期,""), "")</f>
        <v/>
      </c>
      <c r="E328" s="16" t="str">
        <f ca="1">IFERROR(IF(贷款未偿还*贷款已清偿,I327,""), "")</f>
        <v/>
      </c>
      <c r="F328" s="16" t="str">
        <f ca="1">IFERROR(IF(贷款未偿还*贷款已清偿,贷款明细[[#This Row],[本金]]+贷款明细[[#This Row],[利息]],""), "")</f>
        <v/>
      </c>
      <c r="G328" s="16" t="str">
        <f ca="1">IFERROR(IF(贷款未偿还*贷款已清偿,贷款金额/贷款分期次数,""), "")</f>
        <v/>
      </c>
      <c r="H328" s="16" t="str">
        <f ca="1">IFERROR(IF(贷款未偿还*贷款已清偿,贷款明细[[#This Row],[期初余额]]*贷款年利率/12,""), "")</f>
        <v/>
      </c>
      <c r="I328" s="16" t="str">
        <f ca="1">IFERROR(IF(贷款未偿还*贷款已清偿,贷款明细[[#This Row],[期初余额]]-贷款明细[[#This Row],[本金]],""), "")</f>
        <v/>
      </c>
      <c r="J328" s="3"/>
      <c r="K328" s="6"/>
    </row>
    <row r="329" spans="1:11" ht="20.100000000000001" customHeight="1" x14ac:dyDescent="0.25">
      <c r="A329" s="6"/>
      <c r="C329" s="14" t="str">
        <f ca="1">IFERROR(IF(贷款未偿还*贷款已清偿,贷款还款期数,""), "")</f>
        <v/>
      </c>
      <c r="D329" s="15" t="str">
        <f ca="1">IFERROR(IF(贷款未偿还*贷款已清偿,还款日期,""), "")</f>
        <v/>
      </c>
      <c r="E329" s="16" t="str">
        <f ca="1">IFERROR(IF(贷款未偿还*贷款已清偿,I328,""), "")</f>
        <v/>
      </c>
      <c r="F329" s="16" t="str">
        <f ca="1">IFERROR(IF(贷款未偿还*贷款已清偿,贷款明细[[#This Row],[本金]]+贷款明细[[#This Row],[利息]],""), "")</f>
        <v/>
      </c>
      <c r="G329" s="16" t="str">
        <f ca="1">IFERROR(IF(贷款未偿还*贷款已清偿,贷款金额/贷款分期次数,""), "")</f>
        <v/>
      </c>
      <c r="H329" s="16" t="str">
        <f ca="1">IFERROR(IF(贷款未偿还*贷款已清偿,贷款明细[[#This Row],[期初余额]]*贷款年利率/12,""), "")</f>
        <v/>
      </c>
      <c r="I329" s="16" t="str">
        <f ca="1">IFERROR(IF(贷款未偿还*贷款已清偿,贷款明细[[#This Row],[期初余额]]-贷款明细[[#This Row],[本金]],""), "")</f>
        <v/>
      </c>
      <c r="J329" s="3"/>
      <c r="K329" s="6"/>
    </row>
    <row r="330" spans="1:11" ht="20.100000000000001" customHeight="1" x14ac:dyDescent="0.25">
      <c r="A330" s="6"/>
      <c r="C330" s="14" t="str">
        <f ca="1">IFERROR(IF(贷款未偿还*贷款已清偿,贷款还款期数,""), "")</f>
        <v/>
      </c>
      <c r="D330" s="15" t="str">
        <f ca="1">IFERROR(IF(贷款未偿还*贷款已清偿,还款日期,""), "")</f>
        <v/>
      </c>
      <c r="E330" s="16" t="str">
        <f ca="1">IFERROR(IF(贷款未偿还*贷款已清偿,I329,""), "")</f>
        <v/>
      </c>
      <c r="F330" s="16" t="str">
        <f ca="1">IFERROR(IF(贷款未偿还*贷款已清偿,贷款明细[[#This Row],[本金]]+贷款明细[[#This Row],[利息]],""), "")</f>
        <v/>
      </c>
      <c r="G330" s="16" t="str">
        <f ca="1">IFERROR(IF(贷款未偿还*贷款已清偿,贷款金额/贷款分期次数,""), "")</f>
        <v/>
      </c>
      <c r="H330" s="16" t="str">
        <f ca="1">IFERROR(IF(贷款未偿还*贷款已清偿,贷款明细[[#This Row],[期初余额]]*贷款年利率/12,""), "")</f>
        <v/>
      </c>
      <c r="I330" s="16" t="str">
        <f ca="1">IFERROR(IF(贷款未偿还*贷款已清偿,贷款明细[[#This Row],[期初余额]]-贷款明细[[#This Row],[本金]],""), "")</f>
        <v/>
      </c>
      <c r="J330" s="3"/>
      <c r="K330" s="6"/>
    </row>
    <row r="331" spans="1:11" ht="20.100000000000001" customHeight="1" x14ac:dyDescent="0.25">
      <c r="A331" s="6"/>
      <c r="C331" s="14" t="str">
        <f ca="1">IFERROR(IF(贷款未偿还*贷款已清偿,贷款还款期数,""), "")</f>
        <v/>
      </c>
      <c r="D331" s="15" t="str">
        <f ca="1">IFERROR(IF(贷款未偿还*贷款已清偿,还款日期,""), "")</f>
        <v/>
      </c>
      <c r="E331" s="16" t="str">
        <f ca="1">IFERROR(IF(贷款未偿还*贷款已清偿,I330,""), "")</f>
        <v/>
      </c>
      <c r="F331" s="16" t="str">
        <f ca="1">IFERROR(IF(贷款未偿还*贷款已清偿,贷款明细[[#This Row],[本金]]+贷款明细[[#This Row],[利息]],""), "")</f>
        <v/>
      </c>
      <c r="G331" s="16" t="str">
        <f ca="1">IFERROR(IF(贷款未偿还*贷款已清偿,贷款金额/贷款分期次数,""), "")</f>
        <v/>
      </c>
      <c r="H331" s="16" t="str">
        <f ca="1">IFERROR(IF(贷款未偿还*贷款已清偿,贷款明细[[#This Row],[期初余额]]*贷款年利率/12,""), "")</f>
        <v/>
      </c>
      <c r="I331" s="16" t="str">
        <f ca="1">IFERROR(IF(贷款未偿还*贷款已清偿,贷款明细[[#This Row],[期初余额]]-贷款明细[[#This Row],[本金]],""), "")</f>
        <v/>
      </c>
      <c r="J331" s="3"/>
      <c r="K331" s="6"/>
    </row>
    <row r="332" spans="1:11" ht="20.100000000000001" customHeight="1" x14ac:dyDescent="0.25">
      <c r="A332" s="6"/>
      <c r="C332" s="14" t="str">
        <f ca="1">IFERROR(IF(贷款未偿还*贷款已清偿,贷款还款期数,""), "")</f>
        <v/>
      </c>
      <c r="D332" s="15" t="str">
        <f ca="1">IFERROR(IF(贷款未偿还*贷款已清偿,还款日期,""), "")</f>
        <v/>
      </c>
      <c r="E332" s="16" t="str">
        <f ca="1">IFERROR(IF(贷款未偿还*贷款已清偿,I331,""), "")</f>
        <v/>
      </c>
      <c r="F332" s="16" t="str">
        <f ca="1">IFERROR(IF(贷款未偿还*贷款已清偿,贷款明细[[#This Row],[本金]]+贷款明细[[#This Row],[利息]],""), "")</f>
        <v/>
      </c>
      <c r="G332" s="16" t="str">
        <f ca="1">IFERROR(IF(贷款未偿还*贷款已清偿,贷款金额/贷款分期次数,""), "")</f>
        <v/>
      </c>
      <c r="H332" s="16" t="str">
        <f ca="1">IFERROR(IF(贷款未偿还*贷款已清偿,贷款明细[[#This Row],[期初余额]]*贷款年利率/12,""), "")</f>
        <v/>
      </c>
      <c r="I332" s="16" t="str">
        <f ca="1">IFERROR(IF(贷款未偿还*贷款已清偿,贷款明细[[#This Row],[期初余额]]-贷款明细[[#This Row],[本金]],""), "")</f>
        <v/>
      </c>
      <c r="J332" s="3"/>
      <c r="K332" s="6"/>
    </row>
    <row r="333" spans="1:11" ht="20.100000000000001" customHeight="1" x14ac:dyDescent="0.25">
      <c r="A333" s="6"/>
      <c r="C333" s="14" t="str">
        <f ca="1">IFERROR(IF(贷款未偿还*贷款已清偿,贷款还款期数,""), "")</f>
        <v/>
      </c>
      <c r="D333" s="15" t="str">
        <f ca="1">IFERROR(IF(贷款未偿还*贷款已清偿,还款日期,""), "")</f>
        <v/>
      </c>
      <c r="E333" s="16" t="str">
        <f ca="1">IFERROR(IF(贷款未偿还*贷款已清偿,I332,""), "")</f>
        <v/>
      </c>
      <c r="F333" s="16" t="str">
        <f ca="1">IFERROR(IF(贷款未偿还*贷款已清偿,贷款明细[[#This Row],[本金]]+贷款明细[[#This Row],[利息]],""), "")</f>
        <v/>
      </c>
      <c r="G333" s="16" t="str">
        <f ca="1">IFERROR(IF(贷款未偿还*贷款已清偿,贷款金额/贷款分期次数,""), "")</f>
        <v/>
      </c>
      <c r="H333" s="16" t="str">
        <f ca="1">IFERROR(IF(贷款未偿还*贷款已清偿,贷款明细[[#This Row],[期初余额]]*贷款年利率/12,""), "")</f>
        <v/>
      </c>
      <c r="I333" s="16" t="str">
        <f ca="1">IFERROR(IF(贷款未偿还*贷款已清偿,贷款明细[[#This Row],[期初余额]]-贷款明细[[#This Row],[本金]],""), "")</f>
        <v/>
      </c>
      <c r="J333" s="3"/>
      <c r="K333" s="6"/>
    </row>
    <row r="334" spans="1:11" ht="20.100000000000001" customHeight="1" x14ac:dyDescent="0.25">
      <c r="A334" s="6"/>
      <c r="C334" s="14" t="str">
        <f ca="1">IFERROR(IF(贷款未偿还*贷款已清偿,贷款还款期数,""), "")</f>
        <v/>
      </c>
      <c r="D334" s="15" t="str">
        <f ca="1">IFERROR(IF(贷款未偿还*贷款已清偿,还款日期,""), "")</f>
        <v/>
      </c>
      <c r="E334" s="16" t="str">
        <f ca="1">IFERROR(IF(贷款未偿还*贷款已清偿,I333,""), "")</f>
        <v/>
      </c>
      <c r="F334" s="16" t="str">
        <f ca="1">IFERROR(IF(贷款未偿还*贷款已清偿,贷款明细[[#This Row],[本金]]+贷款明细[[#This Row],[利息]],""), "")</f>
        <v/>
      </c>
      <c r="G334" s="16" t="str">
        <f ca="1">IFERROR(IF(贷款未偿还*贷款已清偿,贷款金额/贷款分期次数,""), "")</f>
        <v/>
      </c>
      <c r="H334" s="16" t="str">
        <f ca="1">IFERROR(IF(贷款未偿还*贷款已清偿,贷款明细[[#This Row],[期初余额]]*贷款年利率/12,""), "")</f>
        <v/>
      </c>
      <c r="I334" s="16" t="str">
        <f ca="1">IFERROR(IF(贷款未偿还*贷款已清偿,贷款明细[[#This Row],[期初余额]]-贷款明细[[#This Row],[本金]],""), "")</f>
        <v/>
      </c>
      <c r="J334" s="3"/>
      <c r="K334" s="6"/>
    </row>
    <row r="335" spans="1:11" ht="20.100000000000001" customHeight="1" x14ac:dyDescent="0.25">
      <c r="A335" s="6"/>
      <c r="C335" s="14" t="str">
        <f ca="1">IFERROR(IF(贷款未偿还*贷款已清偿,贷款还款期数,""), "")</f>
        <v/>
      </c>
      <c r="D335" s="15" t="str">
        <f ca="1">IFERROR(IF(贷款未偿还*贷款已清偿,还款日期,""), "")</f>
        <v/>
      </c>
      <c r="E335" s="16" t="str">
        <f ca="1">IFERROR(IF(贷款未偿还*贷款已清偿,I334,""), "")</f>
        <v/>
      </c>
      <c r="F335" s="16" t="str">
        <f ca="1">IFERROR(IF(贷款未偿还*贷款已清偿,贷款明细[[#This Row],[本金]]+贷款明细[[#This Row],[利息]],""), "")</f>
        <v/>
      </c>
      <c r="G335" s="16" t="str">
        <f ca="1">IFERROR(IF(贷款未偿还*贷款已清偿,贷款金额/贷款分期次数,""), "")</f>
        <v/>
      </c>
      <c r="H335" s="16" t="str">
        <f ca="1">IFERROR(IF(贷款未偿还*贷款已清偿,贷款明细[[#This Row],[期初余额]]*贷款年利率/12,""), "")</f>
        <v/>
      </c>
      <c r="I335" s="16" t="str">
        <f ca="1">IFERROR(IF(贷款未偿还*贷款已清偿,贷款明细[[#This Row],[期初余额]]-贷款明细[[#This Row],[本金]],""), "")</f>
        <v/>
      </c>
      <c r="J335" s="3"/>
      <c r="K335" s="6"/>
    </row>
    <row r="336" spans="1:11" ht="20.100000000000001" customHeight="1" x14ac:dyDescent="0.25">
      <c r="A336" s="6"/>
      <c r="C336" s="14" t="str">
        <f ca="1">IFERROR(IF(贷款未偿还*贷款已清偿,贷款还款期数,""), "")</f>
        <v/>
      </c>
      <c r="D336" s="15" t="str">
        <f ca="1">IFERROR(IF(贷款未偿还*贷款已清偿,还款日期,""), "")</f>
        <v/>
      </c>
      <c r="E336" s="16" t="str">
        <f ca="1">IFERROR(IF(贷款未偿还*贷款已清偿,I335,""), "")</f>
        <v/>
      </c>
      <c r="F336" s="16" t="str">
        <f ca="1">IFERROR(IF(贷款未偿还*贷款已清偿,贷款明细[[#This Row],[本金]]+贷款明细[[#This Row],[利息]],""), "")</f>
        <v/>
      </c>
      <c r="G336" s="16" t="str">
        <f ca="1">IFERROR(IF(贷款未偿还*贷款已清偿,贷款金额/贷款分期次数,""), "")</f>
        <v/>
      </c>
      <c r="H336" s="16" t="str">
        <f ca="1">IFERROR(IF(贷款未偿还*贷款已清偿,贷款明细[[#This Row],[期初余额]]*贷款年利率/12,""), "")</f>
        <v/>
      </c>
      <c r="I336" s="16" t="str">
        <f ca="1">IFERROR(IF(贷款未偿还*贷款已清偿,贷款明细[[#This Row],[期初余额]]-贷款明细[[#This Row],[本金]],""), "")</f>
        <v/>
      </c>
      <c r="J336" s="3"/>
      <c r="K336" s="6"/>
    </row>
    <row r="337" spans="1:11" ht="20.100000000000001" customHeight="1" x14ac:dyDescent="0.25">
      <c r="A337" s="6"/>
      <c r="C337" s="14" t="str">
        <f ca="1">IFERROR(IF(贷款未偿还*贷款已清偿,贷款还款期数,""), "")</f>
        <v/>
      </c>
      <c r="D337" s="15" t="str">
        <f ca="1">IFERROR(IF(贷款未偿还*贷款已清偿,还款日期,""), "")</f>
        <v/>
      </c>
      <c r="E337" s="16" t="str">
        <f ca="1">IFERROR(IF(贷款未偿还*贷款已清偿,I336,""), "")</f>
        <v/>
      </c>
      <c r="F337" s="16" t="str">
        <f ca="1">IFERROR(IF(贷款未偿还*贷款已清偿,贷款明细[[#This Row],[本金]]+贷款明细[[#This Row],[利息]],""), "")</f>
        <v/>
      </c>
      <c r="G337" s="16" t="str">
        <f ca="1">IFERROR(IF(贷款未偿还*贷款已清偿,贷款金额/贷款分期次数,""), "")</f>
        <v/>
      </c>
      <c r="H337" s="16" t="str">
        <f ca="1">IFERROR(IF(贷款未偿还*贷款已清偿,贷款明细[[#This Row],[期初余额]]*贷款年利率/12,""), "")</f>
        <v/>
      </c>
      <c r="I337" s="16" t="str">
        <f ca="1">IFERROR(IF(贷款未偿还*贷款已清偿,贷款明细[[#This Row],[期初余额]]-贷款明细[[#This Row],[本金]],""), "")</f>
        <v/>
      </c>
      <c r="J337" s="3"/>
      <c r="K337" s="6"/>
    </row>
    <row r="338" spans="1:11" ht="20.100000000000001" customHeight="1" x14ac:dyDescent="0.25">
      <c r="A338" s="6"/>
      <c r="C338" s="14" t="str">
        <f ca="1">IFERROR(IF(贷款未偿还*贷款已清偿,贷款还款期数,""), "")</f>
        <v/>
      </c>
      <c r="D338" s="15" t="str">
        <f ca="1">IFERROR(IF(贷款未偿还*贷款已清偿,还款日期,""), "")</f>
        <v/>
      </c>
      <c r="E338" s="16" t="str">
        <f ca="1">IFERROR(IF(贷款未偿还*贷款已清偿,I337,""), "")</f>
        <v/>
      </c>
      <c r="F338" s="16" t="str">
        <f ca="1">IFERROR(IF(贷款未偿还*贷款已清偿,贷款明细[[#This Row],[本金]]+贷款明细[[#This Row],[利息]],""), "")</f>
        <v/>
      </c>
      <c r="G338" s="16" t="str">
        <f ca="1">IFERROR(IF(贷款未偿还*贷款已清偿,贷款金额/贷款分期次数,""), "")</f>
        <v/>
      </c>
      <c r="H338" s="16" t="str">
        <f ca="1">IFERROR(IF(贷款未偿还*贷款已清偿,贷款明细[[#This Row],[期初余额]]*贷款年利率/12,""), "")</f>
        <v/>
      </c>
      <c r="I338" s="16" t="str">
        <f ca="1">IFERROR(IF(贷款未偿还*贷款已清偿,贷款明细[[#This Row],[期初余额]]-贷款明细[[#This Row],[本金]],""), "")</f>
        <v/>
      </c>
      <c r="J338" s="3"/>
      <c r="K338" s="6"/>
    </row>
    <row r="339" spans="1:11" ht="20.100000000000001" customHeight="1" x14ac:dyDescent="0.25">
      <c r="A339" s="6"/>
      <c r="C339" s="14" t="str">
        <f ca="1">IFERROR(IF(贷款未偿还*贷款已清偿,贷款还款期数,""), "")</f>
        <v/>
      </c>
      <c r="D339" s="15" t="str">
        <f ca="1">IFERROR(IF(贷款未偿还*贷款已清偿,还款日期,""), "")</f>
        <v/>
      </c>
      <c r="E339" s="16" t="str">
        <f ca="1">IFERROR(IF(贷款未偿还*贷款已清偿,I338,""), "")</f>
        <v/>
      </c>
      <c r="F339" s="16" t="str">
        <f ca="1">IFERROR(IF(贷款未偿还*贷款已清偿,贷款明细[[#This Row],[本金]]+贷款明细[[#This Row],[利息]],""), "")</f>
        <v/>
      </c>
      <c r="G339" s="16" t="str">
        <f ca="1">IFERROR(IF(贷款未偿还*贷款已清偿,贷款金额/贷款分期次数,""), "")</f>
        <v/>
      </c>
      <c r="H339" s="16" t="str">
        <f ca="1">IFERROR(IF(贷款未偿还*贷款已清偿,贷款明细[[#This Row],[期初余额]]*贷款年利率/12,""), "")</f>
        <v/>
      </c>
      <c r="I339" s="16" t="str">
        <f ca="1">IFERROR(IF(贷款未偿还*贷款已清偿,贷款明细[[#This Row],[期初余额]]-贷款明细[[#This Row],[本金]],""), "")</f>
        <v/>
      </c>
      <c r="J339" s="3"/>
      <c r="K339" s="6"/>
    </row>
    <row r="340" spans="1:11" ht="20.100000000000001" customHeight="1" x14ac:dyDescent="0.25">
      <c r="A340" s="6"/>
      <c r="C340" s="14" t="str">
        <f ca="1">IFERROR(IF(贷款未偿还*贷款已清偿,贷款还款期数,""), "")</f>
        <v/>
      </c>
      <c r="D340" s="15" t="str">
        <f ca="1">IFERROR(IF(贷款未偿还*贷款已清偿,还款日期,""), "")</f>
        <v/>
      </c>
      <c r="E340" s="16" t="str">
        <f ca="1">IFERROR(IF(贷款未偿还*贷款已清偿,I339,""), "")</f>
        <v/>
      </c>
      <c r="F340" s="16" t="str">
        <f ca="1">IFERROR(IF(贷款未偿还*贷款已清偿,贷款明细[[#This Row],[本金]]+贷款明细[[#This Row],[利息]],""), "")</f>
        <v/>
      </c>
      <c r="G340" s="16" t="str">
        <f ca="1">IFERROR(IF(贷款未偿还*贷款已清偿,贷款金额/贷款分期次数,""), "")</f>
        <v/>
      </c>
      <c r="H340" s="16" t="str">
        <f ca="1">IFERROR(IF(贷款未偿还*贷款已清偿,贷款明细[[#This Row],[期初余额]]*贷款年利率/12,""), "")</f>
        <v/>
      </c>
      <c r="I340" s="16" t="str">
        <f ca="1">IFERROR(IF(贷款未偿还*贷款已清偿,贷款明细[[#This Row],[期初余额]]-贷款明细[[#This Row],[本金]],""), "")</f>
        <v/>
      </c>
      <c r="J340" s="3"/>
      <c r="K340" s="6"/>
    </row>
    <row r="341" spans="1:11" ht="20.100000000000001" customHeight="1" x14ac:dyDescent="0.25">
      <c r="A341" s="6"/>
      <c r="C341" s="14" t="str">
        <f ca="1">IFERROR(IF(贷款未偿还*贷款已清偿,贷款还款期数,""), "")</f>
        <v/>
      </c>
      <c r="D341" s="15" t="str">
        <f ca="1">IFERROR(IF(贷款未偿还*贷款已清偿,还款日期,""), "")</f>
        <v/>
      </c>
      <c r="E341" s="16" t="str">
        <f ca="1">IFERROR(IF(贷款未偿还*贷款已清偿,I340,""), "")</f>
        <v/>
      </c>
      <c r="F341" s="16" t="str">
        <f ca="1">IFERROR(IF(贷款未偿还*贷款已清偿,贷款明细[[#This Row],[本金]]+贷款明细[[#This Row],[利息]],""), "")</f>
        <v/>
      </c>
      <c r="G341" s="16" t="str">
        <f ca="1">IFERROR(IF(贷款未偿还*贷款已清偿,贷款金额/贷款分期次数,""), "")</f>
        <v/>
      </c>
      <c r="H341" s="16" t="str">
        <f ca="1">IFERROR(IF(贷款未偿还*贷款已清偿,贷款明细[[#This Row],[期初余额]]*贷款年利率/12,""), "")</f>
        <v/>
      </c>
      <c r="I341" s="16" t="str">
        <f ca="1">IFERROR(IF(贷款未偿还*贷款已清偿,贷款明细[[#This Row],[期初余额]]-贷款明细[[#This Row],[本金]],""), "")</f>
        <v/>
      </c>
      <c r="J341" s="3"/>
      <c r="K341" s="6"/>
    </row>
    <row r="342" spans="1:11" ht="20.100000000000001" customHeight="1" x14ac:dyDescent="0.25">
      <c r="A342" s="6"/>
      <c r="C342" s="14" t="str">
        <f ca="1">IFERROR(IF(贷款未偿还*贷款已清偿,贷款还款期数,""), "")</f>
        <v/>
      </c>
      <c r="D342" s="15" t="str">
        <f ca="1">IFERROR(IF(贷款未偿还*贷款已清偿,还款日期,""), "")</f>
        <v/>
      </c>
      <c r="E342" s="16" t="str">
        <f ca="1">IFERROR(IF(贷款未偿还*贷款已清偿,I341,""), "")</f>
        <v/>
      </c>
      <c r="F342" s="16" t="str">
        <f ca="1">IFERROR(IF(贷款未偿还*贷款已清偿,贷款明细[[#This Row],[本金]]+贷款明细[[#This Row],[利息]],""), "")</f>
        <v/>
      </c>
      <c r="G342" s="16" t="str">
        <f ca="1">IFERROR(IF(贷款未偿还*贷款已清偿,贷款金额/贷款分期次数,""), "")</f>
        <v/>
      </c>
      <c r="H342" s="16" t="str">
        <f ca="1">IFERROR(IF(贷款未偿还*贷款已清偿,贷款明细[[#This Row],[期初余额]]*贷款年利率/12,""), "")</f>
        <v/>
      </c>
      <c r="I342" s="16" t="str">
        <f ca="1">IFERROR(IF(贷款未偿还*贷款已清偿,贷款明细[[#This Row],[期初余额]]-贷款明细[[#This Row],[本金]],""), "")</f>
        <v/>
      </c>
      <c r="J342" s="3"/>
      <c r="K342" s="6"/>
    </row>
    <row r="343" spans="1:11" ht="20.100000000000001" customHeight="1" x14ac:dyDescent="0.25">
      <c r="A343" s="6"/>
      <c r="C343" s="14" t="str">
        <f ca="1">IFERROR(IF(贷款未偿还*贷款已清偿,贷款还款期数,""), "")</f>
        <v/>
      </c>
      <c r="D343" s="15" t="str">
        <f ca="1">IFERROR(IF(贷款未偿还*贷款已清偿,还款日期,""), "")</f>
        <v/>
      </c>
      <c r="E343" s="16" t="str">
        <f ca="1">IFERROR(IF(贷款未偿还*贷款已清偿,I342,""), "")</f>
        <v/>
      </c>
      <c r="F343" s="16" t="str">
        <f ca="1">IFERROR(IF(贷款未偿还*贷款已清偿,贷款明细[[#This Row],[本金]]+贷款明细[[#This Row],[利息]],""), "")</f>
        <v/>
      </c>
      <c r="G343" s="16" t="str">
        <f ca="1">IFERROR(IF(贷款未偿还*贷款已清偿,贷款金额/贷款分期次数,""), "")</f>
        <v/>
      </c>
      <c r="H343" s="16" t="str">
        <f ca="1">IFERROR(IF(贷款未偿还*贷款已清偿,贷款明细[[#This Row],[期初余额]]*贷款年利率/12,""), "")</f>
        <v/>
      </c>
      <c r="I343" s="16" t="str">
        <f ca="1">IFERROR(IF(贷款未偿还*贷款已清偿,贷款明细[[#This Row],[期初余额]]-贷款明细[[#This Row],[本金]],""), "")</f>
        <v/>
      </c>
      <c r="J343" s="3"/>
      <c r="K343" s="6"/>
    </row>
    <row r="344" spans="1:11" ht="20.100000000000001" customHeight="1" x14ac:dyDescent="0.25">
      <c r="A344" s="6"/>
      <c r="C344" s="14" t="str">
        <f ca="1">IFERROR(IF(贷款未偿还*贷款已清偿,贷款还款期数,""), "")</f>
        <v/>
      </c>
      <c r="D344" s="15" t="str">
        <f ca="1">IFERROR(IF(贷款未偿还*贷款已清偿,还款日期,""), "")</f>
        <v/>
      </c>
      <c r="E344" s="16" t="str">
        <f ca="1">IFERROR(IF(贷款未偿还*贷款已清偿,I343,""), "")</f>
        <v/>
      </c>
      <c r="F344" s="16" t="str">
        <f ca="1">IFERROR(IF(贷款未偿还*贷款已清偿,贷款明细[[#This Row],[本金]]+贷款明细[[#This Row],[利息]],""), "")</f>
        <v/>
      </c>
      <c r="G344" s="16" t="str">
        <f ca="1">IFERROR(IF(贷款未偿还*贷款已清偿,贷款金额/贷款分期次数,""), "")</f>
        <v/>
      </c>
      <c r="H344" s="16" t="str">
        <f ca="1">IFERROR(IF(贷款未偿还*贷款已清偿,贷款明细[[#This Row],[期初余额]]*贷款年利率/12,""), "")</f>
        <v/>
      </c>
      <c r="I344" s="16" t="str">
        <f ca="1">IFERROR(IF(贷款未偿还*贷款已清偿,贷款明细[[#This Row],[期初余额]]-贷款明细[[#This Row],[本金]],""), "")</f>
        <v/>
      </c>
      <c r="J344" s="3"/>
      <c r="K344" s="6"/>
    </row>
    <row r="345" spans="1:11" ht="20.100000000000001" customHeight="1" x14ac:dyDescent="0.25">
      <c r="A345" s="6"/>
      <c r="C345" s="14" t="str">
        <f ca="1">IFERROR(IF(贷款未偿还*贷款已清偿,贷款还款期数,""), "")</f>
        <v/>
      </c>
      <c r="D345" s="15" t="str">
        <f ca="1">IFERROR(IF(贷款未偿还*贷款已清偿,还款日期,""), "")</f>
        <v/>
      </c>
      <c r="E345" s="16" t="str">
        <f ca="1">IFERROR(IF(贷款未偿还*贷款已清偿,I344,""), "")</f>
        <v/>
      </c>
      <c r="F345" s="16" t="str">
        <f ca="1">IFERROR(IF(贷款未偿还*贷款已清偿,贷款明细[[#This Row],[本金]]+贷款明细[[#This Row],[利息]],""), "")</f>
        <v/>
      </c>
      <c r="G345" s="16" t="str">
        <f ca="1">IFERROR(IF(贷款未偿还*贷款已清偿,贷款金额/贷款分期次数,""), "")</f>
        <v/>
      </c>
      <c r="H345" s="16" t="str">
        <f ca="1">IFERROR(IF(贷款未偿还*贷款已清偿,贷款明细[[#This Row],[期初余额]]*贷款年利率/12,""), "")</f>
        <v/>
      </c>
      <c r="I345" s="16" t="str">
        <f ca="1">IFERROR(IF(贷款未偿还*贷款已清偿,贷款明细[[#This Row],[期初余额]]-贷款明细[[#This Row],[本金]],""), "")</f>
        <v/>
      </c>
      <c r="J345" s="3"/>
      <c r="K345" s="6"/>
    </row>
    <row r="346" spans="1:11" ht="20.100000000000001" customHeight="1" x14ac:dyDescent="0.25">
      <c r="A346" s="6"/>
      <c r="C346" s="14" t="str">
        <f ca="1">IFERROR(IF(贷款未偿还*贷款已清偿,贷款还款期数,""), "")</f>
        <v/>
      </c>
      <c r="D346" s="15" t="str">
        <f ca="1">IFERROR(IF(贷款未偿还*贷款已清偿,还款日期,""), "")</f>
        <v/>
      </c>
      <c r="E346" s="16" t="str">
        <f ca="1">IFERROR(IF(贷款未偿还*贷款已清偿,I345,""), "")</f>
        <v/>
      </c>
      <c r="F346" s="16" t="str">
        <f ca="1">IFERROR(IF(贷款未偿还*贷款已清偿,贷款明细[[#This Row],[本金]]+贷款明细[[#This Row],[利息]],""), "")</f>
        <v/>
      </c>
      <c r="G346" s="16" t="str">
        <f ca="1">IFERROR(IF(贷款未偿还*贷款已清偿,贷款金额/贷款分期次数,""), "")</f>
        <v/>
      </c>
      <c r="H346" s="16" t="str">
        <f ca="1">IFERROR(IF(贷款未偿还*贷款已清偿,贷款明细[[#This Row],[期初余额]]*贷款年利率/12,""), "")</f>
        <v/>
      </c>
      <c r="I346" s="16" t="str">
        <f ca="1">IFERROR(IF(贷款未偿还*贷款已清偿,贷款明细[[#This Row],[期初余额]]-贷款明细[[#This Row],[本金]],""), "")</f>
        <v/>
      </c>
      <c r="J346" s="3"/>
      <c r="K346" s="6"/>
    </row>
    <row r="347" spans="1:11" ht="20.100000000000001" customHeight="1" x14ac:dyDescent="0.25">
      <c r="A347" s="6"/>
      <c r="C347" s="14" t="str">
        <f ca="1">IFERROR(IF(贷款未偿还*贷款已清偿,贷款还款期数,""), "")</f>
        <v/>
      </c>
      <c r="D347" s="15" t="str">
        <f ca="1">IFERROR(IF(贷款未偿还*贷款已清偿,还款日期,""), "")</f>
        <v/>
      </c>
      <c r="E347" s="16" t="str">
        <f ca="1">IFERROR(IF(贷款未偿还*贷款已清偿,I346,""), "")</f>
        <v/>
      </c>
      <c r="F347" s="16" t="str">
        <f ca="1">IFERROR(IF(贷款未偿还*贷款已清偿,贷款明细[[#This Row],[本金]]+贷款明细[[#This Row],[利息]],""), "")</f>
        <v/>
      </c>
      <c r="G347" s="16" t="str">
        <f ca="1">IFERROR(IF(贷款未偿还*贷款已清偿,贷款金额/贷款分期次数,""), "")</f>
        <v/>
      </c>
      <c r="H347" s="16" t="str">
        <f ca="1">IFERROR(IF(贷款未偿还*贷款已清偿,贷款明细[[#This Row],[期初余额]]*贷款年利率/12,""), "")</f>
        <v/>
      </c>
      <c r="I347" s="16" t="str">
        <f ca="1">IFERROR(IF(贷款未偿还*贷款已清偿,贷款明细[[#This Row],[期初余额]]-贷款明细[[#This Row],[本金]],""), "")</f>
        <v/>
      </c>
      <c r="J347" s="3"/>
      <c r="K347" s="6"/>
    </row>
    <row r="348" spans="1:11" ht="20.100000000000001" customHeight="1" x14ac:dyDescent="0.25">
      <c r="A348" s="6"/>
      <c r="C348" s="14" t="str">
        <f ca="1">IFERROR(IF(贷款未偿还*贷款已清偿,贷款还款期数,""), "")</f>
        <v/>
      </c>
      <c r="D348" s="15" t="str">
        <f ca="1">IFERROR(IF(贷款未偿还*贷款已清偿,还款日期,""), "")</f>
        <v/>
      </c>
      <c r="E348" s="16" t="str">
        <f ca="1">IFERROR(IF(贷款未偿还*贷款已清偿,I347,""), "")</f>
        <v/>
      </c>
      <c r="F348" s="16" t="str">
        <f ca="1">IFERROR(IF(贷款未偿还*贷款已清偿,贷款明细[[#This Row],[本金]]+贷款明细[[#This Row],[利息]],""), "")</f>
        <v/>
      </c>
      <c r="G348" s="16" t="str">
        <f ca="1">IFERROR(IF(贷款未偿还*贷款已清偿,贷款金额/贷款分期次数,""), "")</f>
        <v/>
      </c>
      <c r="H348" s="16" t="str">
        <f ca="1">IFERROR(IF(贷款未偿还*贷款已清偿,贷款明细[[#This Row],[期初余额]]*贷款年利率/12,""), "")</f>
        <v/>
      </c>
      <c r="I348" s="16" t="str">
        <f ca="1">IFERROR(IF(贷款未偿还*贷款已清偿,贷款明细[[#This Row],[期初余额]]-贷款明细[[#This Row],[本金]],""), "")</f>
        <v/>
      </c>
      <c r="J348" s="3"/>
      <c r="K348" s="6"/>
    </row>
    <row r="349" spans="1:11" ht="20.100000000000001" customHeight="1" x14ac:dyDescent="0.25">
      <c r="A349" s="6"/>
      <c r="C349" s="14" t="str">
        <f ca="1">IFERROR(IF(贷款未偿还*贷款已清偿,贷款还款期数,""), "")</f>
        <v/>
      </c>
      <c r="D349" s="15" t="str">
        <f ca="1">IFERROR(IF(贷款未偿还*贷款已清偿,还款日期,""), "")</f>
        <v/>
      </c>
      <c r="E349" s="16" t="str">
        <f ca="1">IFERROR(IF(贷款未偿还*贷款已清偿,I348,""), "")</f>
        <v/>
      </c>
      <c r="F349" s="16" t="str">
        <f ca="1">IFERROR(IF(贷款未偿还*贷款已清偿,贷款明细[[#This Row],[本金]]+贷款明细[[#This Row],[利息]],""), "")</f>
        <v/>
      </c>
      <c r="G349" s="16" t="str">
        <f ca="1">IFERROR(IF(贷款未偿还*贷款已清偿,贷款金额/贷款分期次数,""), "")</f>
        <v/>
      </c>
      <c r="H349" s="16" t="str">
        <f ca="1">IFERROR(IF(贷款未偿还*贷款已清偿,贷款明细[[#This Row],[期初余额]]*贷款年利率/12,""), "")</f>
        <v/>
      </c>
      <c r="I349" s="16" t="str">
        <f ca="1">IFERROR(IF(贷款未偿还*贷款已清偿,贷款明细[[#This Row],[期初余额]]-贷款明细[[#This Row],[本金]],""), "")</f>
        <v/>
      </c>
      <c r="J349" s="3"/>
      <c r="K349" s="6"/>
    </row>
    <row r="350" spans="1:11" ht="20.100000000000001" customHeight="1" x14ac:dyDescent="0.25">
      <c r="A350" s="6"/>
      <c r="C350" s="14" t="str">
        <f ca="1">IFERROR(IF(贷款未偿还*贷款已清偿,贷款还款期数,""), "")</f>
        <v/>
      </c>
      <c r="D350" s="15" t="str">
        <f ca="1">IFERROR(IF(贷款未偿还*贷款已清偿,还款日期,""), "")</f>
        <v/>
      </c>
      <c r="E350" s="16" t="str">
        <f ca="1">IFERROR(IF(贷款未偿还*贷款已清偿,I349,""), "")</f>
        <v/>
      </c>
      <c r="F350" s="16" t="str">
        <f ca="1">IFERROR(IF(贷款未偿还*贷款已清偿,贷款明细[[#This Row],[本金]]+贷款明细[[#This Row],[利息]],""), "")</f>
        <v/>
      </c>
      <c r="G350" s="16" t="str">
        <f ca="1">IFERROR(IF(贷款未偿还*贷款已清偿,贷款金额/贷款分期次数,""), "")</f>
        <v/>
      </c>
      <c r="H350" s="16" t="str">
        <f ca="1">IFERROR(IF(贷款未偿还*贷款已清偿,贷款明细[[#This Row],[期初余额]]*贷款年利率/12,""), "")</f>
        <v/>
      </c>
      <c r="I350" s="16" t="str">
        <f ca="1">IFERROR(IF(贷款未偿还*贷款已清偿,贷款明细[[#This Row],[期初余额]]-贷款明细[[#This Row],[本金]],""), "")</f>
        <v/>
      </c>
      <c r="J350" s="3"/>
      <c r="K350" s="6"/>
    </row>
    <row r="351" spans="1:11" ht="20.100000000000001" customHeight="1" x14ac:dyDescent="0.25">
      <c r="A351" s="6"/>
      <c r="C351" s="14" t="str">
        <f ca="1">IFERROR(IF(贷款未偿还*贷款已清偿,贷款还款期数,""), "")</f>
        <v/>
      </c>
      <c r="D351" s="15" t="str">
        <f ca="1">IFERROR(IF(贷款未偿还*贷款已清偿,还款日期,""), "")</f>
        <v/>
      </c>
      <c r="E351" s="16" t="str">
        <f ca="1">IFERROR(IF(贷款未偿还*贷款已清偿,I350,""), "")</f>
        <v/>
      </c>
      <c r="F351" s="16" t="str">
        <f ca="1">IFERROR(IF(贷款未偿还*贷款已清偿,贷款明细[[#This Row],[本金]]+贷款明细[[#This Row],[利息]],""), "")</f>
        <v/>
      </c>
      <c r="G351" s="16" t="str">
        <f ca="1">IFERROR(IF(贷款未偿还*贷款已清偿,贷款金额/贷款分期次数,""), "")</f>
        <v/>
      </c>
      <c r="H351" s="16" t="str">
        <f ca="1">IFERROR(IF(贷款未偿还*贷款已清偿,贷款明细[[#This Row],[期初余额]]*贷款年利率/12,""), "")</f>
        <v/>
      </c>
      <c r="I351" s="16" t="str">
        <f ca="1">IFERROR(IF(贷款未偿还*贷款已清偿,贷款明细[[#This Row],[期初余额]]-贷款明细[[#This Row],[本金]],""), "")</f>
        <v/>
      </c>
      <c r="J351" s="3"/>
      <c r="K351" s="6"/>
    </row>
    <row r="352" spans="1:11" ht="20.100000000000001" customHeight="1" x14ac:dyDescent="0.25">
      <c r="A352" s="6"/>
      <c r="C352" s="14" t="str">
        <f ca="1">IFERROR(IF(贷款未偿还*贷款已清偿,贷款还款期数,""), "")</f>
        <v/>
      </c>
      <c r="D352" s="15" t="str">
        <f ca="1">IFERROR(IF(贷款未偿还*贷款已清偿,还款日期,""), "")</f>
        <v/>
      </c>
      <c r="E352" s="16" t="str">
        <f ca="1">IFERROR(IF(贷款未偿还*贷款已清偿,I351,""), "")</f>
        <v/>
      </c>
      <c r="F352" s="16" t="str">
        <f ca="1">IFERROR(IF(贷款未偿还*贷款已清偿,贷款明细[[#This Row],[本金]]+贷款明细[[#This Row],[利息]],""), "")</f>
        <v/>
      </c>
      <c r="G352" s="16" t="str">
        <f ca="1">IFERROR(IF(贷款未偿还*贷款已清偿,贷款金额/贷款分期次数,""), "")</f>
        <v/>
      </c>
      <c r="H352" s="16" t="str">
        <f ca="1">IFERROR(IF(贷款未偿还*贷款已清偿,贷款明细[[#This Row],[期初余额]]*贷款年利率/12,""), "")</f>
        <v/>
      </c>
      <c r="I352" s="16" t="str">
        <f ca="1">IFERROR(IF(贷款未偿还*贷款已清偿,贷款明细[[#This Row],[期初余额]]-贷款明细[[#This Row],[本金]],""), "")</f>
        <v/>
      </c>
      <c r="J352" s="3"/>
      <c r="K352" s="6"/>
    </row>
    <row r="353" spans="1:11" ht="20.100000000000001" customHeight="1" x14ac:dyDescent="0.25">
      <c r="A353" s="6"/>
      <c r="C353" s="14" t="str">
        <f ca="1">IFERROR(IF(贷款未偿还*贷款已清偿,贷款还款期数,""), "")</f>
        <v/>
      </c>
      <c r="D353" s="15" t="str">
        <f ca="1">IFERROR(IF(贷款未偿还*贷款已清偿,还款日期,""), "")</f>
        <v/>
      </c>
      <c r="E353" s="16" t="str">
        <f ca="1">IFERROR(IF(贷款未偿还*贷款已清偿,I352,""), "")</f>
        <v/>
      </c>
      <c r="F353" s="16" t="str">
        <f ca="1">IFERROR(IF(贷款未偿还*贷款已清偿,贷款明细[[#This Row],[本金]]+贷款明细[[#This Row],[利息]],""), "")</f>
        <v/>
      </c>
      <c r="G353" s="16" t="str">
        <f ca="1">IFERROR(IF(贷款未偿还*贷款已清偿,贷款金额/贷款分期次数,""), "")</f>
        <v/>
      </c>
      <c r="H353" s="16" t="str">
        <f ca="1">IFERROR(IF(贷款未偿还*贷款已清偿,贷款明细[[#This Row],[期初余额]]*贷款年利率/12,""), "")</f>
        <v/>
      </c>
      <c r="I353" s="16" t="str">
        <f ca="1">IFERROR(IF(贷款未偿还*贷款已清偿,贷款明细[[#This Row],[期初余额]]-贷款明细[[#This Row],[本金]],""), "")</f>
        <v/>
      </c>
      <c r="J353" s="3"/>
      <c r="K353" s="6"/>
    </row>
    <row r="354" spans="1:11" ht="20.100000000000001" customHeight="1" x14ac:dyDescent="0.25">
      <c r="A354" s="6"/>
      <c r="C354" s="14" t="str">
        <f ca="1">IFERROR(IF(贷款未偿还*贷款已清偿,贷款还款期数,""), "")</f>
        <v/>
      </c>
      <c r="D354" s="15" t="str">
        <f ca="1">IFERROR(IF(贷款未偿还*贷款已清偿,还款日期,""), "")</f>
        <v/>
      </c>
      <c r="E354" s="16" t="str">
        <f ca="1">IFERROR(IF(贷款未偿还*贷款已清偿,I353,""), "")</f>
        <v/>
      </c>
      <c r="F354" s="16" t="str">
        <f ca="1">IFERROR(IF(贷款未偿还*贷款已清偿,贷款明细[[#This Row],[本金]]+贷款明细[[#This Row],[利息]],""), "")</f>
        <v/>
      </c>
      <c r="G354" s="16" t="str">
        <f ca="1">IFERROR(IF(贷款未偿还*贷款已清偿,贷款金额/贷款分期次数,""), "")</f>
        <v/>
      </c>
      <c r="H354" s="16" t="str">
        <f ca="1">IFERROR(IF(贷款未偿还*贷款已清偿,贷款明细[[#This Row],[期初余额]]*贷款年利率/12,""), "")</f>
        <v/>
      </c>
      <c r="I354" s="16" t="str">
        <f ca="1">IFERROR(IF(贷款未偿还*贷款已清偿,贷款明细[[#This Row],[期初余额]]-贷款明细[[#This Row],[本金]],""), "")</f>
        <v/>
      </c>
      <c r="J354" s="3"/>
      <c r="K354" s="6"/>
    </row>
    <row r="355" spans="1:11" ht="20.100000000000001" customHeight="1" x14ac:dyDescent="0.25">
      <c r="A355" s="6"/>
      <c r="C355" s="14" t="str">
        <f ca="1">IFERROR(IF(贷款未偿还*贷款已清偿,贷款还款期数,""), "")</f>
        <v/>
      </c>
      <c r="D355" s="15" t="str">
        <f ca="1">IFERROR(IF(贷款未偿还*贷款已清偿,还款日期,""), "")</f>
        <v/>
      </c>
      <c r="E355" s="16" t="str">
        <f ca="1">IFERROR(IF(贷款未偿还*贷款已清偿,I354,""), "")</f>
        <v/>
      </c>
      <c r="F355" s="16" t="str">
        <f ca="1">IFERROR(IF(贷款未偿还*贷款已清偿,贷款明细[[#This Row],[本金]]+贷款明细[[#This Row],[利息]],""), "")</f>
        <v/>
      </c>
      <c r="G355" s="16" t="str">
        <f ca="1">IFERROR(IF(贷款未偿还*贷款已清偿,贷款金额/贷款分期次数,""), "")</f>
        <v/>
      </c>
      <c r="H355" s="16" t="str">
        <f ca="1">IFERROR(IF(贷款未偿还*贷款已清偿,贷款明细[[#This Row],[期初余额]]*贷款年利率/12,""), "")</f>
        <v/>
      </c>
      <c r="I355" s="16" t="str">
        <f ca="1">IFERROR(IF(贷款未偿还*贷款已清偿,贷款明细[[#This Row],[期初余额]]-贷款明细[[#This Row],[本金]],""), "")</f>
        <v/>
      </c>
      <c r="J355" s="3"/>
      <c r="K355" s="6"/>
    </row>
    <row r="356" spans="1:11" ht="20.100000000000001" customHeight="1" x14ac:dyDescent="0.25">
      <c r="A356" s="6"/>
      <c r="C356" s="14" t="str">
        <f ca="1">IFERROR(IF(贷款未偿还*贷款已清偿,贷款还款期数,""), "")</f>
        <v/>
      </c>
      <c r="D356" s="15" t="str">
        <f ca="1">IFERROR(IF(贷款未偿还*贷款已清偿,还款日期,""), "")</f>
        <v/>
      </c>
      <c r="E356" s="16" t="str">
        <f ca="1">IFERROR(IF(贷款未偿还*贷款已清偿,I355,""), "")</f>
        <v/>
      </c>
      <c r="F356" s="16" t="str">
        <f ca="1">IFERROR(IF(贷款未偿还*贷款已清偿,贷款明细[[#This Row],[本金]]+贷款明细[[#This Row],[利息]],""), "")</f>
        <v/>
      </c>
      <c r="G356" s="16" t="str">
        <f ca="1">IFERROR(IF(贷款未偿还*贷款已清偿,贷款金额/贷款分期次数,""), "")</f>
        <v/>
      </c>
      <c r="H356" s="16" t="str">
        <f ca="1">IFERROR(IF(贷款未偿还*贷款已清偿,贷款明细[[#This Row],[期初余额]]*贷款年利率/12,""), "")</f>
        <v/>
      </c>
      <c r="I356" s="16" t="str">
        <f ca="1">IFERROR(IF(贷款未偿还*贷款已清偿,贷款明细[[#This Row],[期初余额]]-贷款明细[[#This Row],[本金]],""), "")</f>
        <v/>
      </c>
      <c r="J356" s="3"/>
      <c r="K356" s="6"/>
    </row>
    <row r="357" spans="1:11" ht="20.100000000000001" customHeight="1" x14ac:dyDescent="0.25">
      <c r="A357" s="6"/>
      <c r="C357" s="14" t="str">
        <f ca="1">IFERROR(IF(贷款未偿还*贷款已清偿,贷款还款期数,""), "")</f>
        <v/>
      </c>
      <c r="D357" s="15" t="str">
        <f ca="1">IFERROR(IF(贷款未偿还*贷款已清偿,还款日期,""), "")</f>
        <v/>
      </c>
      <c r="E357" s="16" t="str">
        <f ca="1">IFERROR(IF(贷款未偿还*贷款已清偿,I356,""), "")</f>
        <v/>
      </c>
      <c r="F357" s="16" t="str">
        <f ca="1">IFERROR(IF(贷款未偿还*贷款已清偿,贷款明细[[#This Row],[本金]]+贷款明细[[#This Row],[利息]],""), "")</f>
        <v/>
      </c>
      <c r="G357" s="16" t="str">
        <f ca="1">IFERROR(IF(贷款未偿还*贷款已清偿,贷款金额/贷款分期次数,""), "")</f>
        <v/>
      </c>
      <c r="H357" s="16" t="str">
        <f ca="1">IFERROR(IF(贷款未偿还*贷款已清偿,贷款明细[[#This Row],[期初余额]]*贷款年利率/12,""), "")</f>
        <v/>
      </c>
      <c r="I357" s="16" t="str">
        <f ca="1">IFERROR(IF(贷款未偿还*贷款已清偿,贷款明细[[#This Row],[期初余额]]-贷款明细[[#This Row],[本金]],""), "")</f>
        <v/>
      </c>
      <c r="J357" s="3"/>
      <c r="K357" s="6"/>
    </row>
    <row r="358" spans="1:11" ht="20.100000000000001" customHeight="1" x14ac:dyDescent="0.25">
      <c r="A358" s="6"/>
      <c r="C358" s="14" t="str">
        <f ca="1">IFERROR(IF(贷款未偿还*贷款已清偿,贷款还款期数,""), "")</f>
        <v/>
      </c>
      <c r="D358" s="15" t="str">
        <f ca="1">IFERROR(IF(贷款未偿还*贷款已清偿,还款日期,""), "")</f>
        <v/>
      </c>
      <c r="E358" s="16" t="str">
        <f ca="1">IFERROR(IF(贷款未偿还*贷款已清偿,I357,""), "")</f>
        <v/>
      </c>
      <c r="F358" s="16" t="str">
        <f ca="1">IFERROR(IF(贷款未偿还*贷款已清偿,贷款明细[[#This Row],[本金]]+贷款明细[[#This Row],[利息]],""), "")</f>
        <v/>
      </c>
      <c r="G358" s="16" t="str">
        <f ca="1">IFERROR(IF(贷款未偿还*贷款已清偿,贷款金额/贷款分期次数,""), "")</f>
        <v/>
      </c>
      <c r="H358" s="16" t="str">
        <f ca="1">IFERROR(IF(贷款未偿还*贷款已清偿,贷款明细[[#This Row],[期初余额]]*贷款年利率/12,""), "")</f>
        <v/>
      </c>
      <c r="I358" s="16" t="str">
        <f ca="1">IFERROR(IF(贷款未偿还*贷款已清偿,贷款明细[[#This Row],[期初余额]]-贷款明细[[#This Row],[本金]],""), "")</f>
        <v/>
      </c>
      <c r="J358" s="3"/>
      <c r="K358" s="6"/>
    </row>
    <row r="359" spans="1:11" ht="20.100000000000001" customHeight="1" x14ac:dyDescent="0.25">
      <c r="A359" s="6"/>
      <c r="C359" s="14" t="str">
        <f ca="1">IFERROR(IF(贷款未偿还*贷款已清偿,贷款还款期数,""), "")</f>
        <v/>
      </c>
      <c r="D359" s="15" t="str">
        <f ca="1">IFERROR(IF(贷款未偿还*贷款已清偿,还款日期,""), "")</f>
        <v/>
      </c>
      <c r="E359" s="16" t="str">
        <f ca="1">IFERROR(IF(贷款未偿还*贷款已清偿,I358,""), "")</f>
        <v/>
      </c>
      <c r="F359" s="16" t="str">
        <f ca="1">IFERROR(IF(贷款未偿还*贷款已清偿,贷款明细[[#This Row],[本金]]+贷款明细[[#This Row],[利息]],""), "")</f>
        <v/>
      </c>
      <c r="G359" s="16" t="str">
        <f ca="1">IFERROR(IF(贷款未偿还*贷款已清偿,贷款金额/贷款分期次数,""), "")</f>
        <v/>
      </c>
      <c r="H359" s="16" t="str">
        <f ca="1">IFERROR(IF(贷款未偿还*贷款已清偿,贷款明细[[#This Row],[期初余额]]*贷款年利率/12,""), "")</f>
        <v/>
      </c>
      <c r="I359" s="16" t="str">
        <f ca="1">IFERROR(IF(贷款未偿还*贷款已清偿,贷款明细[[#This Row],[期初余额]]-贷款明细[[#This Row],[本金]],""), "")</f>
        <v/>
      </c>
      <c r="J359" s="3"/>
      <c r="K359" s="6"/>
    </row>
    <row r="360" spans="1:11" ht="20.100000000000001" customHeight="1" x14ac:dyDescent="0.25">
      <c r="A360" s="6"/>
      <c r="C360" s="14" t="str">
        <f ca="1">IFERROR(IF(贷款未偿还*贷款已清偿,贷款还款期数,""), "")</f>
        <v/>
      </c>
      <c r="D360" s="15" t="str">
        <f ca="1">IFERROR(IF(贷款未偿还*贷款已清偿,还款日期,""), "")</f>
        <v/>
      </c>
      <c r="E360" s="16" t="str">
        <f ca="1">IFERROR(IF(贷款未偿还*贷款已清偿,I359,""), "")</f>
        <v/>
      </c>
      <c r="F360" s="16" t="str">
        <f ca="1">IFERROR(IF(贷款未偿还*贷款已清偿,贷款明细[[#This Row],[本金]]+贷款明细[[#This Row],[利息]],""), "")</f>
        <v/>
      </c>
      <c r="G360" s="16" t="str">
        <f ca="1">IFERROR(IF(贷款未偿还*贷款已清偿,贷款金额/贷款分期次数,""), "")</f>
        <v/>
      </c>
      <c r="H360" s="16" t="str">
        <f ca="1">IFERROR(IF(贷款未偿还*贷款已清偿,贷款明细[[#This Row],[期初余额]]*贷款年利率/12,""), "")</f>
        <v/>
      </c>
      <c r="I360" s="16" t="str">
        <f ca="1">IFERROR(IF(贷款未偿还*贷款已清偿,贷款明细[[#This Row],[期初余额]]-贷款明细[[#This Row],[本金]],""), "")</f>
        <v/>
      </c>
      <c r="J360" s="3"/>
      <c r="K360" s="6"/>
    </row>
    <row r="361" spans="1:11" ht="20.100000000000001" customHeight="1" x14ac:dyDescent="0.25">
      <c r="A361" s="6"/>
      <c r="C361" s="14" t="str">
        <f ca="1">IFERROR(IF(贷款未偿还*贷款已清偿,贷款还款期数,""), "")</f>
        <v/>
      </c>
      <c r="D361" s="15" t="str">
        <f ca="1">IFERROR(IF(贷款未偿还*贷款已清偿,还款日期,""), "")</f>
        <v/>
      </c>
      <c r="E361" s="16" t="str">
        <f ca="1">IFERROR(IF(贷款未偿还*贷款已清偿,I360,""), "")</f>
        <v/>
      </c>
      <c r="F361" s="16" t="str">
        <f ca="1">IFERROR(IF(贷款未偿还*贷款已清偿,贷款明细[[#This Row],[本金]]+贷款明细[[#This Row],[利息]],""), "")</f>
        <v/>
      </c>
      <c r="G361" s="16" t="str">
        <f ca="1">IFERROR(IF(贷款未偿还*贷款已清偿,贷款金额/贷款分期次数,""), "")</f>
        <v/>
      </c>
      <c r="H361" s="16" t="str">
        <f ca="1">IFERROR(IF(贷款未偿还*贷款已清偿,贷款明细[[#This Row],[期初余额]]*贷款年利率/12,""), "")</f>
        <v/>
      </c>
      <c r="I361" s="16" t="str">
        <f ca="1">IFERROR(IF(贷款未偿还*贷款已清偿,贷款明细[[#This Row],[期初余额]]-贷款明细[[#This Row],[本金]],""), "")</f>
        <v/>
      </c>
      <c r="J361" s="3"/>
      <c r="K361" s="6"/>
    </row>
    <row r="362" spans="1:11" ht="20.100000000000001" customHeight="1" x14ac:dyDescent="0.25">
      <c r="A362" s="6"/>
      <c r="C362" s="14" t="str">
        <f ca="1">IFERROR(IF(贷款未偿还*贷款已清偿,贷款还款期数,""), "")</f>
        <v/>
      </c>
      <c r="D362" s="15" t="str">
        <f ca="1">IFERROR(IF(贷款未偿还*贷款已清偿,还款日期,""), "")</f>
        <v/>
      </c>
      <c r="E362" s="16" t="str">
        <f ca="1">IFERROR(IF(贷款未偿还*贷款已清偿,I361,""), "")</f>
        <v/>
      </c>
      <c r="F362" s="16" t="str">
        <f ca="1">IFERROR(IF(贷款未偿还*贷款已清偿,贷款明细[[#This Row],[本金]]+贷款明细[[#This Row],[利息]],""), "")</f>
        <v/>
      </c>
      <c r="G362" s="16" t="str">
        <f ca="1">IFERROR(IF(贷款未偿还*贷款已清偿,贷款金额/贷款分期次数,""), "")</f>
        <v/>
      </c>
      <c r="H362" s="16" t="str">
        <f ca="1">IFERROR(IF(贷款未偿还*贷款已清偿,贷款明细[[#This Row],[期初余额]]*贷款年利率/12,""), "")</f>
        <v/>
      </c>
      <c r="I362" s="16" t="str">
        <f ca="1">IFERROR(IF(贷款未偿还*贷款已清偿,贷款明细[[#This Row],[期初余额]]-贷款明细[[#This Row],[本金]],""), "")</f>
        <v/>
      </c>
      <c r="J362" s="3"/>
      <c r="K362" s="6"/>
    </row>
    <row r="363" spans="1:11" ht="20.100000000000001" customHeight="1" x14ac:dyDescent="0.25">
      <c r="A363" s="6"/>
      <c r="C363" s="14" t="str">
        <f ca="1">IFERROR(IF(贷款未偿还*贷款已清偿,贷款还款期数,""), "")</f>
        <v/>
      </c>
      <c r="D363" s="15" t="str">
        <f ca="1">IFERROR(IF(贷款未偿还*贷款已清偿,还款日期,""), "")</f>
        <v/>
      </c>
      <c r="E363" s="16" t="str">
        <f ca="1">IFERROR(IF(贷款未偿还*贷款已清偿,I362,""), "")</f>
        <v/>
      </c>
      <c r="F363" s="16" t="str">
        <f ca="1">IFERROR(IF(贷款未偿还*贷款已清偿,贷款明细[[#This Row],[本金]]+贷款明细[[#This Row],[利息]],""), "")</f>
        <v/>
      </c>
      <c r="G363" s="16" t="str">
        <f ca="1">IFERROR(IF(贷款未偿还*贷款已清偿,贷款金额/贷款分期次数,""), "")</f>
        <v/>
      </c>
      <c r="H363" s="16" t="str">
        <f ca="1">IFERROR(IF(贷款未偿还*贷款已清偿,贷款明细[[#This Row],[期初余额]]*贷款年利率/12,""), "")</f>
        <v/>
      </c>
      <c r="I363" s="16" t="str">
        <f ca="1">IFERROR(IF(贷款未偿还*贷款已清偿,贷款明细[[#This Row],[期初余额]]-贷款明细[[#This Row],[本金]],""), "")</f>
        <v/>
      </c>
      <c r="J363" s="3"/>
      <c r="K363" s="6"/>
    </row>
    <row r="364" spans="1:11" ht="20.100000000000001" customHeight="1" x14ac:dyDescent="0.25">
      <c r="A364" s="6"/>
      <c r="C364" s="14" t="str">
        <f ca="1">IFERROR(IF(贷款未偿还*贷款已清偿,贷款还款期数,""), "")</f>
        <v/>
      </c>
      <c r="D364" s="15" t="str">
        <f ca="1">IFERROR(IF(贷款未偿还*贷款已清偿,还款日期,""), "")</f>
        <v/>
      </c>
      <c r="E364" s="16" t="str">
        <f ca="1">IFERROR(IF(贷款未偿还*贷款已清偿,I363,""), "")</f>
        <v/>
      </c>
      <c r="F364" s="16" t="str">
        <f ca="1">IFERROR(IF(贷款未偿还*贷款已清偿,贷款明细[[#This Row],[本金]]+贷款明细[[#This Row],[利息]],""), "")</f>
        <v/>
      </c>
      <c r="G364" s="16" t="str">
        <f ca="1">IFERROR(IF(贷款未偿还*贷款已清偿,贷款金额/贷款分期次数,""), "")</f>
        <v/>
      </c>
      <c r="H364" s="16" t="str">
        <f ca="1">IFERROR(IF(贷款未偿还*贷款已清偿,贷款明细[[#This Row],[期初余额]]*贷款年利率/12,""), "")</f>
        <v/>
      </c>
      <c r="I364" s="16" t="str">
        <f ca="1">IFERROR(IF(贷款未偿还*贷款已清偿,贷款明细[[#This Row],[期初余额]]-贷款明细[[#This Row],[本金]],""), "")</f>
        <v/>
      </c>
      <c r="J364" s="3"/>
      <c r="K364" s="6"/>
    </row>
    <row r="365" spans="1:11" ht="20.100000000000001" customHeight="1" x14ac:dyDescent="0.25">
      <c r="A365" s="6"/>
      <c r="C365" s="14" t="str">
        <f ca="1">IFERROR(IF(贷款未偿还*贷款已清偿,贷款还款期数,""), "")</f>
        <v/>
      </c>
      <c r="D365" s="15" t="str">
        <f ca="1">IFERROR(IF(贷款未偿还*贷款已清偿,还款日期,""), "")</f>
        <v/>
      </c>
      <c r="E365" s="16" t="str">
        <f ca="1">IFERROR(IF(贷款未偿还*贷款已清偿,I364,""), "")</f>
        <v/>
      </c>
      <c r="F365" s="16" t="str">
        <f ca="1">IFERROR(IF(贷款未偿还*贷款已清偿,贷款明细[[#This Row],[本金]]+贷款明细[[#This Row],[利息]],""), "")</f>
        <v/>
      </c>
      <c r="G365" s="16" t="str">
        <f ca="1">IFERROR(IF(贷款未偿还*贷款已清偿,贷款金额/贷款分期次数,""), "")</f>
        <v/>
      </c>
      <c r="H365" s="16" t="str">
        <f ca="1">IFERROR(IF(贷款未偿还*贷款已清偿,贷款明细[[#This Row],[期初余额]]*贷款年利率/12,""), "")</f>
        <v/>
      </c>
      <c r="I365" s="16" t="str">
        <f ca="1">IFERROR(IF(贷款未偿还*贷款已清偿,贷款明细[[#This Row],[期初余额]]-贷款明细[[#This Row],[本金]],""), "")</f>
        <v/>
      </c>
      <c r="J365" s="3"/>
      <c r="K365" s="6"/>
    </row>
    <row r="366" spans="1:11" ht="20.100000000000001" customHeight="1" x14ac:dyDescent="0.25">
      <c r="A366" s="6"/>
      <c r="C366" s="14" t="str">
        <f ca="1">IFERROR(IF(贷款未偿还*贷款已清偿,贷款还款期数,""), "")</f>
        <v/>
      </c>
      <c r="D366" s="15" t="str">
        <f ca="1">IFERROR(IF(贷款未偿还*贷款已清偿,还款日期,""), "")</f>
        <v/>
      </c>
      <c r="E366" s="16" t="str">
        <f ca="1">IFERROR(IF(贷款未偿还*贷款已清偿,I365,""), "")</f>
        <v/>
      </c>
      <c r="F366" s="16" t="str">
        <f ca="1">IFERROR(IF(贷款未偿还*贷款已清偿,贷款明细[[#This Row],[本金]]+贷款明细[[#This Row],[利息]],""), "")</f>
        <v/>
      </c>
      <c r="G366" s="16" t="str">
        <f ca="1">IFERROR(IF(贷款未偿还*贷款已清偿,贷款金额/贷款分期次数,""), "")</f>
        <v/>
      </c>
      <c r="H366" s="16" t="str">
        <f ca="1">IFERROR(IF(贷款未偿还*贷款已清偿,贷款明细[[#This Row],[期初余额]]*贷款年利率/12,""), "")</f>
        <v/>
      </c>
      <c r="I366" s="16" t="str">
        <f ca="1">IFERROR(IF(贷款未偿还*贷款已清偿,贷款明细[[#This Row],[期初余额]]-贷款明细[[#This Row],[本金]],""), "")</f>
        <v/>
      </c>
      <c r="J366" s="3"/>
      <c r="K366" s="6"/>
    </row>
    <row r="367" spans="1:11" ht="20.100000000000001" customHeight="1" x14ac:dyDescent="0.25">
      <c r="A367" s="6"/>
      <c r="C367" s="14" t="str">
        <f ca="1">IFERROR(IF(贷款未偿还*贷款已清偿,贷款还款期数,""), "")</f>
        <v/>
      </c>
      <c r="D367" s="15" t="str">
        <f ca="1">IFERROR(IF(贷款未偿还*贷款已清偿,还款日期,""), "")</f>
        <v/>
      </c>
      <c r="E367" s="16" t="str">
        <f ca="1">IFERROR(IF(贷款未偿还*贷款已清偿,I366,""), "")</f>
        <v/>
      </c>
      <c r="F367" s="16" t="str">
        <f ca="1">IFERROR(IF(贷款未偿还*贷款已清偿,贷款明细[[#This Row],[本金]]+贷款明细[[#This Row],[利息]],""), "")</f>
        <v/>
      </c>
      <c r="G367" s="16" t="str">
        <f ca="1">IFERROR(IF(贷款未偿还*贷款已清偿,贷款金额/贷款分期次数,""), "")</f>
        <v/>
      </c>
      <c r="H367" s="16" t="str">
        <f ca="1">IFERROR(IF(贷款未偿还*贷款已清偿,贷款明细[[#This Row],[期初余额]]*贷款年利率/12,""), "")</f>
        <v/>
      </c>
      <c r="I367" s="16" t="str">
        <f ca="1">IFERROR(IF(贷款未偿还*贷款已清偿,贷款明细[[#This Row],[期初余额]]-贷款明细[[#This Row],[本金]],""), "")</f>
        <v/>
      </c>
      <c r="J367" s="3"/>
      <c r="K367" s="6"/>
    </row>
    <row r="368" spans="1:11" ht="20.100000000000001" customHeight="1" x14ac:dyDescent="0.25">
      <c r="A368" s="6"/>
      <c r="C368" s="14" t="str">
        <f ca="1">IFERROR(IF(贷款未偿还*贷款已清偿,贷款还款期数,""), "")</f>
        <v/>
      </c>
      <c r="D368" s="15" t="str">
        <f ca="1">IFERROR(IF(贷款未偿还*贷款已清偿,还款日期,""), "")</f>
        <v/>
      </c>
      <c r="E368" s="16" t="str">
        <f ca="1">IFERROR(IF(贷款未偿还*贷款已清偿,I367,""), "")</f>
        <v/>
      </c>
      <c r="F368" s="16" t="str">
        <f ca="1">IFERROR(IF(贷款未偿还*贷款已清偿,贷款明细[[#This Row],[本金]]+贷款明细[[#This Row],[利息]],""), "")</f>
        <v/>
      </c>
      <c r="G368" s="16" t="str">
        <f ca="1">IFERROR(IF(贷款未偿还*贷款已清偿,贷款金额/贷款分期次数,""), "")</f>
        <v/>
      </c>
      <c r="H368" s="16" t="str">
        <f ca="1">IFERROR(IF(贷款未偿还*贷款已清偿,贷款明细[[#This Row],[期初余额]]*贷款年利率/12,""), "")</f>
        <v/>
      </c>
      <c r="I368" s="16" t="str">
        <f ca="1">IFERROR(IF(贷款未偿还*贷款已清偿,贷款明细[[#This Row],[期初余额]]-贷款明细[[#This Row],[本金]],""), "")</f>
        <v/>
      </c>
      <c r="J368" s="3"/>
      <c r="K368" s="6"/>
    </row>
    <row r="369" spans="1:11" ht="20.100000000000001" customHeight="1" x14ac:dyDescent="0.25">
      <c r="A369" s="6"/>
      <c r="C369" s="14" t="str">
        <f ca="1">IFERROR(IF(贷款未偿还*贷款已清偿,贷款还款期数,""), "")</f>
        <v/>
      </c>
      <c r="D369" s="15" t="str">
        <f ca="1">IFERROR(IF(贷款未偿还*贷款已清偿,还款日期,""), "")</f>
        <v/>
      </c>
      <c r="E369" s="16" t="str">
        <f ca="1">IFERROR(IF(贷款未偿还*贷款已清偿,I368,""), "")</f>
        <v/>
      </c>
      <c r="F369" s="16" t="str">
        <f ca="1">IFERROR(IF(贷款未偿还*贷款已清偿,贷款明细[[#This Row],[本金]]+贷款明细[[#This Row],[利息]],""), "")</f>
        <v/>
      </c>
      <c r="G369" s="16" t="str">
        <f ca="1">IFERROR(IF(贷款未偿还*贷款已清偿,贷款金额/贷款分期次数,""), "")</f>
        <v/>
      </c>
      <c r="H369" s="16" t="str">
        <f ca="1">IFERROR(IF(贷款未偿还*贷款已清偿,贷款明细[[#This Row],[期初余额]]*贷款年利率/12,""), "")</f>
        <v/>
      </c>
      <c r="I369" s="16" t="str">
        <f ca="1">IFERROR(IF(贷款未偿还*贷款已清偿,贷款明细[[#This Row],[期初余额]]-贷款明细[[#This Row],[本金]],""), "")</f>
        <v/>
      </c>
      <c r="J369" s="3"/>
      <c r="K369" s="6"/>
    </row>
    <row r="370" spans="1:11" ht="20.100000000000001" customHeight="1" x14ac:dyDescent="0.25">
      <c r="A370" s="6"/>
      <c r="C370" s="14" t="str">
        <f ca="1">IFERROR(IF(贷款未偿还*贷款已清偿,贷款还款期数,""), "")</f>
        <v/>
      </c>
      <c r="D370" s="15" t="str">
        <f ca="1">IFERROR(IF(贷款未偿还*贷款已清偿,还款日期,""), "")</f>
        <v/>
      </c>
      <c r="E370" s="16" t="str">
        <f ca="1">IFERROR(IF(贷款未偿还*贷款已清偿,I369,""), "")</f>
        <v/>
      </c>
      <c r="F370" s="16" t="str">
        <f ca="1">IFERROR(IF(贷款未偿还*贷款已清偿,贷款明细[[#This Row],[本金]]+贷款明细[[#This Row],[利息]],""), "")</f>
        <v/>
      </c>
      <c r="G370" s="16" t="str">
        <f ca="1">IFERROR(IF(贷款未偿还*贷款已清偿,贷款金额/贷款分期次数,""), "")</f>
        <v/>
      </c>
      <c r="H370" s="16" t="str">
        <f ca="1">IFERROR(IF(贷款未偿还*贷款已清偿,贷款明细[[#This Row],[期初余额]]*贷款年利率/12,""), "")</f>
        <v/>
      </c>
      <c r="I370" s="16" t="str">
        <f ca="1">IFERROR(IF(贷款未偿还*贷款已清偿,贷款明细[[#This Row],[期初余额]]-贷款明细[[#This Row],[本金]],""), "")</f>
        <v/>
      </c>
      <c r="J370" s="3"/>
      <c r="K370" s="6"/>
    </row>
    <row r="371" spans="1:11" ht="20.100000000000001" customHeight="1" x14ac:dyDescent="0.25">
      <c r="A371" s="6"/>
      <c r="C371" s="14" t="str">
        <f ca="1">IFERROR(IF(贷款未偿还*贷款已清偿,贷款还款期数,""), "")</f>
        <v/>
      </c>
      <c r="D371" s="15" t="str">
        <f ca="1">IFERROR(IF(贷款未偿还*贷款已清偿,还款日期,""), "")</f>
        <v/>
      </c>
      <c r="E371" s="16" t="str">
        <f ca="1">IFERROR(IF(贷款未偿还*贷款已清偿,I370,""), "")</f>
        <v/>
      </c>
      <c r="F371" s="16" t="str">
        <f ca="1">IFERROR(IF(贷款未偿还*贷款已清偿,贷款明细[[#This Row],[本金]]+贷款明细[[#This Row],[利息]],""), "")</f>
        <v/>
      </c>
      <c r="G371" s="16" t="str">
        <f ca="1">IFERROR(IF(贷款未偿还*贷款已清偿,贷款金额/贷款分期次数,""), "")</f>
        <v/>
      </c>
      <c r="H371" s="16" t="str">
        <f ca="1">IFERROR(IF(贷款未偿还*贷款已清偿,贷款明细[[#This Row],[期初余额]]*贷款年利率/12,""), "")</f>
        <v/>
      </c>
      <c r="I371" s="16" t="str">
        <f ca="1">IFERROR(IF(贷款未偿还*贷款已清偿,贷款明细[[#This Row],[期初余额]]-贷款明细[[#This Row],[本金]],""), "")</f>
        <v/>
      </c>
      <c r="J371" s="3"/>
      <c r="K371" s="6"/>
    </row>
    <row r="372" spans="1:1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</row>
  </sheetData>
  <mergeCells count="1">
    <mergeCell ref="C1:I1"/>
  </mergeCells>
  <phoneticPr fontId="28" type="noConversion"/>
  <conditionalFormatting sqref="D12:H371">
    <cfRule type="expression" dxfId="23" priority="2" stopIfTrue="1">
      <formula>NOT(贷款未偿还)</formula>
    </cfRule>
    <cfRule type="expression" dxfId="22" priority="3" stopIfTrue="1">
      <formula>IF(ROW(D12)=最后一行行数,TRUE,FALSE)</formula>
    </cfRule>
  </conditionalFormatting>
  <conditionalFormatting sqref="C12:C371">
    <cfRule type="expression" dxfId="21" priority="4" stopIfTrue="1">
      <formula>NOT(贷款未偿还)</formula>
    </cfRule>
    <cfRule type="expression" dxfId="20" priority="5" stopIfTrue="1">
      <formula>IF(ROW(C12)=最后一行行数,TRUE,FALSE)</formula>
    </cfRule>
  </conditionalFormatting>
  <conditionalFormatting sqref="I12:J371">
    <cfRule type="expression" dxfId="19" priority="6" stopIfTrue="1">
      <formula>NOT(贷款未偿还)</formula>
    </cfRule>
    <cfRule type="expression" dxfId="18" priority="7" stopIfTrue="1">
      <formula>IF(ROW(I12)=最后一行行数,TRUE,FALSE)</formula>
    </cfRule>
  </conditionalFormatting>
  <conditionalFormatting sqref="C12:J371">
    <cfRule type="expression" dxfId="17" priority="1">
      <formula>$C12=""</formula>
    </cfRule>
  </conditionalFormatting>
  <printOptions horizontalCentered="1"/>
  <pageMargins left="0.4" right="0.4" top="0.4" bottom="0.4" header="0.3" footer="0.3"/>
  <pageSetup paperSize="9" scale="75" fitToHeight="0" orientation="portrait" r:id="rId1"/>
  <headerFooter differentFirst="1">
    <oddFooter>Page &amp;P of &amp;N</oddFooter>
  </headerFooter>
  <ignoredErrors>
    <ignoredError sqref="F9 F7" unlockedFormula="1"/>
    <ignoredError sqref="E12 E13:E371" calculatedColumn="1"/>
  </ignoredErrors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6.5" x14ac:dyDescent="0.3"/>
  <sheetData>
    <row r="1" spans="1:1" ht="17.25" x14ac:dyDescent="0.3">
      <c r="A1" s="28" t="s">
        <v>17</v>
      </c>
    </row>
  </sheetData>
  <phoneticPr fontId="2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rgb="FF63636D"/>
  </sheetPr>
  <dimension ref="A1:E3"/>
  <sheetViews>
    <sheetView workbookViewId="0">
      <selection activeCell="A3" sqref="A3"/>
    </sheetView>
  </sheetViews>
  <sheetFormatPr defaultRowHeight="16.5" x14ac:dyDescent="0.3"/>
  <cols>
    <col min="1" max="1" width="27.44140625" bestFit="1" customWidth="1"/>
    <col min="2" max="3" width="4.88671875" bestFit="1" customWidth="1"/>
    <col min="4" max="4" width="10.21875" bestFit="1" customWidth="1"/>
    <col min="5" max="5" width="11" bestFit="1" customWidth="1"/>
  </cols>
  <sheetData>
    <row r="1" spans="1:5" x14ac:dyDescent="0.3">
      <c r="A1" s="22" t="str">
        <f>[1]!edb()</f>
        <v>Wind</v>
      </c>
    </row>
    <row r="2" spans="1:5" x14ac:dyDescent="0.3">
      <c r="A2" s="23" t="s">
        <v>18</v>
      </c>
      <c r="B2" s="23" t="s">
        <v>19</v>
      </c>
      <c r="C2" s="23" t="s">
        <v>20</v>
      </c>
      <c r="D2" s="23" t="s">
        <v>21</v>
      </c>
      <c r="E2" s="24">
        <v>45371</v>
      </c>
    </row>
    <row r="3" spans="1:5" x14ac:dyDescent="0.3">
      <c r="A3" s="23" t="s">
        <v>22</v>
      </c>
      <c r="B3" s="23" t="s">
        <v>23</v>
      </c>
      <c r="C3" s="23" t="s">
        <v>24</v>
      </c>
      <c r="D3" s="23" t="s">
        <v>25</v>
      </c>
      <c r="E3" s="25">
        <v>3.95</v>
      </c>
    </row>
  </sheetData>
  <phoneticPr fontId="21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EA25CC0A0AC24199CDC46C25B8B0BC" ma:contentTypeVersion="10" ma:contentTypeDescription="Create a new document." ma:contentTypeScope="" ma:versionID="e3b47856d4cf355c0dacb39e1084d14f">
  <xsd:schema xmlns:xsd="http://www.w3.org/2001/XMLSchema" xmlns:xs="http://www.w3.org/2001/XMLSchema" xmlns:p="http://schemas.microsoft.com/office/2006/metadata/properties" xmlns:ns1="http://schemas.microsoft.com/sharepoint/v3" xmlns:ns2="6dc4bcd6-49db-4c07-9060-8acfc67cef9f" xmlns:ns3="fb0879af-3eba-417a-a55a-ffe6dcd6ca77" targetNamespace="http://schemas.microsoft.com/office/2006/metadata/properties" ma:root="true" ma:fieldsID="a845a615265fdb1f7b12cc65ac20ecbd" ns1:_="" ns2:_="" ns3:_="">
    <xsd:import namespace="http://schemas.microsoft.com/sharepoint/v3"/>
    <xsd:import namespace="6dc4bcd6-49db-4c07-9060-8acfc67cef9f"/>
    <xsd:import namespace="fb0879af-3eba-417a-a55a-ffe6dcd6ca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4bcd6-49db-4c07-9060-8acfc67cef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0879af-3eba-417a-a55a-ffe6dcd6ca7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3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4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F676122-7EF5-4FD7-B672-08F0B8FC1D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dc4bcd6-49db-4c07-9060-8acfc67cef9f"/>
    <ds:schemaRef ds:uri="fb0879af-3eba-417a-a55a-ffe6dcd6ca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4F91CE3-C58C-4E76-9DA8-D93EEEA78136}">
  <ds:schemaRefs>
    <ds:schemaRef ds:uri="http://purl.org/dc/terms/"/>
    <ds:schemaRef ds:uri="fb0879af-3eba-417a-a55a-ffe6dcd6ca77"/>
    <ds:schemaRef ds:uri="http://schemas.microsoft.com/office/2006/documentManagement/types"/>
    <ds:schemaRef ds:uri="http://www.w3.org/XML/1998/namespace"/>
    <ds:schemaRef ds:uri="http://schemas.microsoft.com/sharepoint/v3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6dc4bcd6-49db-4c07-9060-8acfc67cef9f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2EA4DC2-5468-46D3-9CB3-A7301676DD3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6</vt:i4>
      </vt:variant>
    </vt:vector>
  </HeadingPairs>
  <TitlesOfParts>
    <vt:vector size="8" baseType="lpstr">
      <vt:lpstr>贷款计算器（等额本金）</vt:lpstr>
      <vt:lpstr>Sheet1</vt:lpstr>
      <vt:lpstr>贷款分期次数</vt:lpstr>
      <vt:lpstr>贷款金额</vt:lpstr>
      <vt:lpstr>贷款开始日期</vt:lpstr>
      <vt:lpstr>贷款年利率</vt:lpstr>
      <vt:lpstr>贷款年限</vt:lpstr>
      <vt:lpstr>利息总额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2018-08-02T01:23:17Z</dcterms:created>
  <dcterms:modified xsi:type="dcterms:W3CDTF">2024-04-17T06:44:57Z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0x010100DEEA25CC0A0AC24199CDC46C25B8B0BC</vt:lpwstr>
  </property>
</Properties>
</file>