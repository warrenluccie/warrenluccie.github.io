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30975" yWindow="1875" windowWidth="21600" windowHeight="11385"/>
  </bookViews>
  <sheets>
    <sheet name="期权定价计算器 -亚式权定价计算器" sheetId="2" r:id="rId1"/>
    <sheet name="Wind模板" sheetId="3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C36" i="2"/>
  <c r="I7" i="2" l="1"/>
</calcChain>
</file>

<file path=xl/comments1.xml><?xml version="1.0" encoding="utf-8"?>
<comments xmlns="http://schemas.openxmlformats.org/spreadsheetml/2006/main">
  <authors>
    <author>Liu ZhiXuan</author>
    <author>Wang XiuFeng</author>
  </authors>
  <commentList>
    <comment ref="C23" authorId="0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36" authorId="1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<sst xmlns="http://schemas.openxmlformats.org/spreadsheetml/2006/main" count="58" uniqueCount="54">
  <si>
    <t>30</t>
  </si>
  <si>
    <t>认购</t>
  </si>
  <si>
    <t>买入</t>
  </si>
  <si>
    <t>1</t>
  </si>
  <si>
    <t>权益</t>
  </si>
  <si>
    <t>1</t>
    <phoneticPr fontId="1" type="noConversion"/>
  </si>
  <si>
    <t>101</t>
    <phoneticPr fontId="1" type="noConversion"/>
  </si>
  <si>
    <t>20230621</t>
    <phoneticPr fontId="1" type="noConversion"/>
  </si>
  <si>
    <t>20240619</t>
    <phoneticPr fontId="1" type="noConversion"/>
  </si>
  <si>
    <t>100</t>
    <phoneticPr fontId="1" type="noConversion"/>
  </si>
  <si>
    <t>2.357</t>
    <phoneticPr fontId="1" type="noConversion"/>
  </si>
  <si>
    <t>13.95</t>
    <phoneticPr fontId="1" type="noConversion"/>
  </si>
  <si>
    <t>几何平均价格</t>
    <phoneticPr fontId="1" type="noConversion"/>
  </si>
  <si>
    <t>使用该模板前，请升级Wind终端至最新版。</t>
  </si>
  <si>
    <t>参数设置区</t>
    <phoneticPr fontId="5" type="noConversion"/>
  </si>
  <si>
    <t>结果区</t>
    <phoneticPr fontId="5" type="noConversion"/>
  </si>
  <si>
    <t>标的价格</t>
    <phoneticPr fontId="5" type="noConversion"/>
  </si>
  <si>
    <t>理论价</t>
    <phoneticPr fontId="1" type="noConversion"/>
  </si>
  <si>
    <t>标的类别</t>
    <phoneticPr fontId="5" type="noConversion"/>
  </si>
  <si>
    <t>Delta</t>
    <phoneticPr fontId="1" type="noConversion"/>
  </si>
  <si>
    <t>买卖方向</t>
    <phoneticPr fontId="5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</si>
  <si>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</si>
  <si>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</si>
  <si>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</si>
  <si>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>Rho</t>
    <phoneticPr fontId="1" type="noConversion"/>
  </si>
  <si>
    <t>合约乘数</t>
    <phoneticPr fontId="5" type="noConversion"/>
  </si>
  <si>
    <t>利率(%)</t>
    <phoneticPr fontId="5" type="noConversion"/>
  </si>
  <si>
    <t>股息率(%)</t>
    <phoneticPr fontId="5" type="noConversion"/>
  </si>
  <si>
    <t>第二货币利率(%)</t>
    <phoneticPr fontId="5" type="noConversion"/>
  </si>
  <si>
    <t>日历类型</t>
    <phoneticPr fontId="1" type="noConversion"/>
  </si>
  <si>
    <t>交易日</t>
  </si>
  <si>
    <t>权益</t>
    <phoneticPr fontId="1" type="noConversion"/>
  </si>
  <si>
    <t>认购</t>
    <phoneticPr fontId="1" type="noConversion"/>
  </si>
  <si>
    <t>买入</t>
    <phoneticPr fontId="1" type="noConversion"/>
  </si>
  <si>
    <t>自然日</t>
    <phoneticPr fontId="1" type="noConversion"/>
  </si>
  <si>
    <t>期货</t>
    <phoneticPr fontId="1" type="noConversion"/>
  </si>
  <si>
    <t>认沽</t>
    <phoneticPr fontId="1" type="noConversion"/>
  </si>
  <si>
    <t>卖出</t>
    <phoneticPr fontId="1" type="noConversion"/>
  </si>
  <si>
    <t>交易日</t>
    <phoneticPr fontId="1" type="noConversion"/>
  </si>
  <si>
    <t>外汇</t>
    <phoneticPr fontId="1" type="noConversion"/>
  </si>
  <si>
    <t>期权定价计算器 -亚式期权定价计算器</t>
    <phoneticPr fontId="5" type="noConversion"/>
  </si>
  <si>
    <t>认购/认沽</t>
    <phoneticPr fontId="5" type="noConversion"/>
  </si>
  <si>
    <t>起始日期</t>
    <phoneticPr fontId="5" type="noConversion"/>
  </si>
  <si>
    <t>到期日期</t>
    <phoneticPr fontId="5" type="noConversion"/>
  </si>
  <si>
    <t>手数</t>
    <phoneticPr fontId="5" type="noConversion"/>
  </si>
  <si>
    <t>行权价格</t>
    <phoneticPr fontId="5" type="noConversion"/>
  </si>
  <si>
    <t>类型</t>
    <phoneticPr fontId="5" type="noConversion"/>
  </si>
  <si>
    <t>平均开始日期</t>
    <phoneticPr fontId="5" type="noConversion"/>
  </si>
  <si>
    <t>平均结束日期</t>
    <phoneticPr fontId="5" type="noConversion"/>
  </si>
  <si>
    <t>平均价计算频率</t>
    <phoneticPr fontId="5" type="noConversion"/>
  </si>
  <si>
    <t>当前平均价</t>
    <phoneticPr fontId="5" type="noConversion"/>
  </si>
  <si>
    <t>波动率(%)</t>
    <phoneticPr fontId="1" type="noConversion"/>
  </si>
  <si>
    <t>算数平均价格</t>
    <phoneticPr fontId="1" type="noConversion"/>
  </si>
  <si>
    <t>亚式期权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</si>
</sst>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.####"/>
    <numFmt numFmtId="177" formatCode="0.00_ "/>
    <numFmt numFmtId="178" formatCode="0.0000_ "/>
    <numFmt numFmtId="179" formatCode="#,##0.##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0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3" borderId="0" xfId="0" applyFill="1" applyAlignment="1"/>
    <xf numFmtId="0" fontId="4" fillId="3" borderId="0" xfId="0" applyFont="1" applyFill="1">
      <alignment vertical="center"/>
    </xf>
    <xf numFmtId="0" fontId="0" fillId="2" borderId="0" xfId="0" applyFill="1">
      <alignment vertical="center"/>
    </xf>
    <xf numFmtId="0" fontId="0" fillId="4" borderId="0" xfId="0" applyFill="1" applyAlignment="1"/>
    <xf numFmtId="0" fontId="0" fillId="2" borderId="0" xfId="0" applyFill="1" applyAlignment="1"/>
    <xf numFmtId="0" fontId="6" fillId="2" borderId="1" xfId="0" applyFont="1" applyFill="1" applyBorder="1" applyAlignment="1">
      <alignment vertical="top"/>
    </xf>
    <xf numFmtId="0" fontId="0" fillId="2" borderId="1" xfId="0" applyFill="1" applyBorder="1" applyAlignment="1"/>
    <xf numFmtId="0" fontId="7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49" fontId="0" fillId="2" borderId="0" xfId="0" applyNumberFormat="1" applyFill="1" applyAlignment="1">
      <alignment horizontal="right" vertical="center"/>
    </xf>
    <xf numFmtId="0" fontId="8" fillId="5" borderId="0" xfId="0" applyFont="1" applyFill="1" applyAlignment="1"/>
    <xf numFmtId="177" fontId="8" fillId="7" borderId="0" xfId="0" applyNumberFormat="1" applyFont="1" applyFill="1">
      <alignment vertical="center"/>
    </xf>
    <xf numFmtId="0" fontId="7" fillId="2" borderId="0" xfId="0" applyFont="1" applyFill="1" applyAlignment="1"/>
    <xf numFmtId="0" fontId="8" fillId="2" borderId="0" xfId="0" applyFont="1" applyFill="1" applyAlignment="1"/>
    <xf numFmtId="177" fontId="9" fillId="2" borderId="0" xfId="0" applyNumberFormat="1" applyFont="1" applyFill="1" applyAlignment="1">
      <alignment horizontal="right" vertical="center"/>
    </xf>
    <xf numFmtId="0" fontId="10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7" fillId="2" borderId="0" xfId="0" applyFont="1" applyFill="1" applyAlignment="1">
      <alignment horizontal="center"/>
    </xf>
    <xf numFmtId="176" fontId="0" fillId="2" borderId="0" xfId="0" applyNumberFormat="1" applyFill="1" applyAlignment="1">
      <alignment horizontal="right" vertical="center"/>
    </xf>
    <xf numFmtId="0" fontId="0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2" fillId="2" borderId="0" xfId="0" applyFont="1" applyFill="1" applyAlignment="1">
      <alignment horizontal="right" vertical="center"/>
    </xf>
    <xf numFmtId="176" fontId="12" fillId="2" borderId="0" xfId="0" applyNumberFormat="1" applyFont="1" applyFill="1" applyAlignment="1">
      <alignment horizontal="right" vertical="center"/>
    </xf>
    <xf numFmtId="178" fontId="9" fillId="7" borderId="0" xfId="0" applyNumberFormat="1" applyFont="1" applyFill="1" applyAlignment="1">
      <alignment horizontal="right" vertical="center"/>
    </xf>
    <xf numFmtId="178" fontId="7" fillId="2" borderId="0" xfId="0" applyNumberFormat="1" applyFont="1" applyFill="1" applyAlignment="1"/>
    <xf numFmtId="178" fontId="9" fillId="2" borderId="0" xfId="0" applyNumberFormat="1" applyFont="1" applyFill="1" applyAlignment="1">
      <alignment horizontal="right" vertical="center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9" fontId="12" fillId="0" borderId="0" xfId="0" applyNumberFormat="1" applyFont="1" applyAlignment="1">
      <alignment horizontal="right" vertical="center"/>
    </xf>
    <xf numFmtId="179" fontId="12" fillId="2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0</xdr:col>
      <xdr:colOff>638175</xdr:colOff>
      <xdr:row>0</xdr:row>
      <xdr:rowOff>355477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897CFEA-7EF6-466F-B2B6-367CF3379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T50"/>
  <sheetViews>
    <sheetView tabSelected="1" workbookViewId="0">
      <selection activeCell="C46" sqref="C46"/>
    </sheetView>
  </sheetViews>
  <sheetFormatPr defaultRowHeight="14.25" x14ac:dyDescent="0.2"/>
  <cols>
    <col min="1" max="1" width="9" style="3"/>
    <col min="2" max="2" width="6.125" style="3" customWidth="1"/>
    <col min="3" max="3" width="13.625" style="3" customWidth="1"/>
    <col min="4" max="4" width="22.625" style="3" customWidth="1"/>
    <col min="5" max="7" width="8.625" style="3" customWidth="1"/>
    <col min="8" max="8" width="11.625" style="3" customWidth="1"/>
    <col min="9" max="10" width="8.625" style="3" customWidth="1"/>
    <col min="11" max="12" width="9" style="3"/>
    <col min="13" max="13" width="9.125" style="3" bestFit="1" customWidth="1"/>
    <col min="14" max="15" width="8.625" style="3" customWidth="1"/>
    <col min="16" max="16" width="15.625" style="3" customWidth="1"/>
    <col min="17" max="17" width="19.625" style="3" customWidth="1"/>
    <col min="18" max="21" width="8.625" style="3" customWidth="1"/>
    <col min="22" max="16384" width="9" style="3"/>
  </cols>
  <sheetData>
    <row r="1" spans="1:16" ht="30.75" customHeight="1" x14ac:dyDescent="0.2">
      <c r="A1" s="1"/>
      <c r="B1" s="1"/>
      <c r="C1" s="1"/>
      <c r="D1" s="2" t="s">
        <v>40</v>
      </c>
      <c r="E1" s="2"/>
      <c r="F1" s="2"/>
      <c r="G1" s="1"/>
      <c r="H1" s="1"/>
      <c r="I1" s="1"/>
      <c r="J1" s="1"/>
      <c r="K1" s="1"/>
    </row>
    <row r="2" spans="1:16" x14ac:dyDescent="0.2">
      <c r="A2" s="4"/>
      <c r="B2" s="4"/>
      <c r="C2" s="4"/>
      <c r="D2" s="4" t="s">
        <v>13</v>
      </c>
      <c r="E2" s="4"/>
      <c r="F2" s="4"/>
      <c r="G2" s="4"/>
      <c r="H2" s="4"/>
      <c r="I2" s="4"/>
      <c r="J2" s="4"/>
      <c r="K2" s="4"/>
    </row>
    <row r="3" spans="1:16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6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4"/>
    </row>
    <row r="5" spans="1:16" ht="17.25" x14ac:dyDescent="0.35">
      <c r="A5" s="4"/>
      <c r="B5" s="5"/>
      <c r="C5" s="6" t="s">
        <v>14</v>
      </c>
      <c r="D5" s="7"/>
      <c r="E5" s="8"/>
      <c r="F5" s="8"/>
      <c r="G5" s="8"/>
      <c r="H5" s="6" t="s">
        <v>15</v>
      </c>
      <c r="I5" s="7"/>
      <c r="J5" s="5"/>
      <c r="K5" s="4"/>
    </row>
    <row r="6" spans="1:16" x14ac:dyDescent="0.2">
      <c r="A6" s="4"/>
      <c r="B6" s="5"/>
      <c r="C6" s="5"/>
      <c r="D6" s="5"/>
      <c r="E6" s="5"/>
      <c r="F6" s="5"/>
      <c r="G6" s="5"/>
      <c r="H6" s="5"/>
      <c r="I6" s="5"/>
      <c r="J6" s="5"/>
      <c r="K6" s="4"/>
    </row>
    <row r="7" spans="1:16" ht="16.5" x14ac:dyDescent="0.35">
      <c r="A7" s="4"/>
      <c r="B7" s="5"/>
      <c r="C7" s="11" t="s">
        <v>16</v>
      </c>
      <c r="D7" s="29">
        <v>120</v>
      </c>
      <c r="E7" s="29"/>
      <c r="F7" s="8"/>
      <c r="G7" s="8"/>
      <c r="H7" s="12" t="s">
        <v>17</v>
      </c>
      <c r="I7" s="25">
        <f>C36</f>
        <v>20.260000000000002</v>
      </c>
      <c r="J7" s="5"/>
      <c r="K7" s="4"/>
    </row>
    <row r="8" spans="1:16" ht="16.5" x14ac:dyDescent="0.35">
      <c r="A8" s="4"/>
      <c r="B8" s="5"/>
      <c r="C8" s="11" t="s">
        <v>18</v>
      </c>
      <c r="D8" s="29" t="s">
        <v>4</v>
      </c>
      <c r="E8" s="29"/>
      <c r="F8" s="8"/>
      <c r="G8" s="13"/>
      <c r="H8" s="14" t="s">
        <v>19</v>
      </c>
      <c r="I8" s="26">
        <f>D36</f>
        <v>20.260000000000002</v>
      </c>
      <c r="J8" s="5"/>
      <c r="K8" s="4"/>
    </row>
    <row r="9" spans="1:16" ht="16.5" x14ac:dyDescent="0.35">
      <c r="A9" s="4"/>
      <c r="B9" s="5"/>
      <c r="C9" s="11" t="s">
        <v>20</v>
      </c>
      <c r="D9" s="29" t="s">
        <v>2</v>
      </c>
      <c r="E9" s="29"/>
      <c r="F9" s="8"/>
      <c r="G9" s="13"/>
      <c r="H9" s="12" t="s">
        <v>21</v>
      </c>
      <c r="I9" s="25">
        <f>E36</f>
        <v>16.88</v>
      </c>
      <c r="J9" s="5"/>
      <c r="K9" s="4"/>
    </row>
    <row r="10" spans="1:16" ht="16.5" x14ac:dyDescent="0.35">
      <c r="A10" s="4"/>
      <c r="B10" s="5"/>
      <c r="C10" s="11" t="s">
        <v>41</v>
      </c>
      <c r="D10" s="29" t="s">
        <v>1</v>
      </c>
      <c r="E10" s="29"/>
      <c r="F10" s="8"/>
      <c r="G10" s="13"/>
      <c r="H10" s="14" t="s">
        <v>22</v>
      </c>
      <c r="I10" s="27">
        <f>F36</f>
        <v>0.96960000000000002</v>
      </c>
      <c r="J10" s="5"/>
      <c r="K10" s="4"/>
    </row>
    <row r="11" spans="1:16" ht="16.5" x14ac:dyDescent="0.35">
      <c r="A11" s="4"/>
      <c r="B11" s="5"/>
      <c r="C11" s="11" t="s">
        <v>42</v>
      </c>
      <c r="D11" s="29" t="s">
        <v>7</v>
      </c>
      <c r="E11" s="29"/>
      <c r="F11" s="8"/>
      <c r="G11" s="13"/>
      <c r="H11" s="12" t="s">
        <v>23</v>
      </c>
      <c r="I11" s="25">
        <f>G36</f>
        <v>3.0000000000000001E-3</v>
      </c>
      <c r="J11" s="5"/>
      <c r="K11" s="4"/>
    </row>
    <row r="12" spans="1:16" ht="16.5" x14ac:dyDescent="0.35">
      <c r="A12" s="4"/>
      <c r="B12" s="5"/>
      <c r="C12" s="11" t="s">
        <v>43</v>
      </c>
      <c r="D12" s="29" t="s">
        <v>8</v>
      </c>
      <c r="E12" s="29"/>
      <c r="F12" s="8"/>
      <c r="G12" s="13"/>
      <c r="H12" s="14" t="s">
        <v>24</v>
      </c>
      <c r="I12" s="27">
        <f>H36</f>
        <v>-2.7000000000000001E-3</v>
      </c>
      <c r="J12" s="15"/>
      <c r="K12" s="4"/>
    </row>
    <row r="13" spans="1:16" ht="16.5" x14ac:dyDescent="0.35">
      <c r="A13" s="4"/>
      <c r="B13" s="5"/>
      <c r="C13" s="11" t="s">
        <v>44</v>
      </c>
      <c r="D13" s="29" t="s">
        <v>3</v>
      </c>
      <c r="E13" s="29"/>
      <c r="F13" s="8"/>
      <c r="G13" s="13"/>
      <c r="H13" s="8"/>
      <c r="I13" s="13"/>
      <c r="J13" s="5"/>
      <c r="K13" s="4"/>
    </row>
    <row r="14" spans="1:16" ht="16.5" x14ac:dyDescent="0.35">
      <c r="A14" s="4"/>
      <c r="B14" s="5"/>
      <c r="C14" s="11" t="s">
        <v>25</v>
      </c>
      <c r="D14" s="29" t="s">
        <v>3</v>
      </c>
      <c r="E14" s="29"/>
      <c r="F14" s="8"/>
      <c r="G14" s="13"/>
      <c r="H14" s="8"/>
      <c r="I14" s="13"/>
      <c r="J14" s="5"/>
      <c r="K14" s="4"/>
    </row>
    <row r="15" spans="1:16" ht="16.5" x14ac:dyDescent="0.35">
      <c r="A15" s="4"/>
      <c r="B15" s="5"/>
      <c r="C15" s="11" t="s">
        <v>45</v>
      </c>
      <c r="D15" s="29" t="s">
        <v>9</v>
      </c>
      <c r="E15" s="29"/>
      <c r="F15" s="8"/>
      <c r="G15" s="13"/>
      <c r="H15" s="8"/>
      <c r="I15" s="13"/>
      <c r="J15" s="5"/>
      <c r="K15" s="4"/>
      <c r="L15" s="9"/>
      <c r="O15" s="30"/>
      <c r="P15" s="30"/>
    </row>
    <row r="16" spans="1:16" ht="16.5" x14ac:dyDescent="0.35">
      <c r="A16" s="4"/>
      <c r="B16" s="5"/>
      <c r="C16" s="11" t="s">
        <v>46</v>
      </c>
      <c r="D16" s="29" t="s">
        <v>12</v>
      </c>
      <c r="E16" s="29"/>
      <c r="F16" s="8"/>
      <c r="G16" s="13"/>
      <c r="H16" s="8"/>
      <c r="I16" s="13"/>
      <c r="J16" s="5"/>
      <c r="K16" s="4"/>
      <c r="L16" s="10"/>
      <c r="O16" s="30"/>
      <c r="P16" s="30"/>
    </row>
    <row r="17" spans="1:20" ht="16.5" x14ac:dyDescent="0.35">
      <c r="A17" s="4"/>
      <c r="B17" s="5"/>
      <c r="C17" s="11" t="s">
        <v>47</v>
      </c>
      <c r="D17" s="29" t="s">
        <v>7</v>
      </c>
      <c r="E17" s="29"/>
      <c r="F17" s="8"/>
      <c r="G17" s="13"/>
      <c r="H17" s="8"/>
      <c r="I17" s="13"/>
      <c r="J17" s="5"/>
      <c r="K17" s="4"/>
      <c r="L17" s="10"/>
    </row>
    <row r="18" spans="1:20" ht="16.5" x14ac:dyDescent="0.35">
      <c r="A18" s="4"/>
      <c r="B18" s="5"/>
      <c r="C18" s="11" t="s">
        <v>48</v>
      </c>
      <c r="D18" s="29" t="s">
        <v>8</v>
      </c>
      <c r="E18" s="29"/>
      <c r="F18" s="8"/>
      <c r="G18" s="13"/>
      <c r="H18" s="8"/>
      <c r="I18" s="13"/>
      <c r="J18" s="5"/>
      <c r="K18" s="4"/>
      <c r="L18" s="10"/>
    </row>
    <row r="19" spans="1:20" ht="16.5" x14ac:dyDescent="0.35">
      <c r="A19" s="4"/>
      <c r="B19" s="5"/>
      <c r="C19" s="11" t="s">
        <v>49</v>
      </c>
      <c r="D19" s="29" t="s">
        <v>0</v>
      </c>
      <c r="E19" s="29"/>
      <c r="F19" s="8"/>
      <c r="G19" s="13"/>
      <c r="H19" s="8"/>
      <c r="I19" s="13"/>
      <c r="J19" s="5"/>
      <c r="K19" s="4"/>
      <c r="L19" s="10"/>
      <c r="P19" s="19"/>
    </row>
    <row r="20" spans="1:20" ht="16.5" x14ac:dyDescent="0.35">
      <c r="A20" s="4"/>
      <c r="B20" s="5"/>
      <c r="C20" s="11" t="s">
        <v>50</v>
      </c>
      <c r="D20" s="29" t="s">
        <v>6</v>
      </c>
      <c r="E20" s="29"/>
      <c r="F20" s="8"/>
      <c r="G20" s="13"/>
      <c r="H20" s="8"/>
      <c r="I20" s="13"/>
      <c r="J20" s="5"/>
      <c r="K20" s="4"/>
      <c r="L20" s="10"/>
    </row>
    <row r="21" spans="1:20" ht="16.5" x14ac:dyDescent="0.35">
      <c r="A21" s="4"/>
      <c r="B21" s="5"/>
      <c r="C21" s="11" t="s">
        <v>51</v>
      </c>
      <c r="D21" s="29" t="s">
        <v>11</v>
      </c>
      <c r="E21" s="29"/>
      <c r="F21" s="8"/>
      <c r="G21" s="13"/>
      <c r="H21" s="8"/>
      <c r="I21" s="13"/>
      <c r="J21" s="5"/>
      <c r="K21" s="4"/>
      <c r="L21" s="10"/>
    </row>
    <row r="22" spans="1:20" ht="16.5" x14ac:dyDescent="0.35">
      <c r="A22" s="4"/>
      <c r="B22" s="5"/>
      <c r="C22" s="11" t="s">
        <v>26</v>
      </c>
      <c r="D22" s="29" t="s">
        <v>10</v>
      </c>
      <c r="E22" s="29"/>
      <c r="F22" s="8"/>
      <c r="G22" s="13"/>
      <c r="H22" s="8"/>
      <c r="I22" s="13"/>
      <c r="J22" s="5"/>
      <c r="K22" s="4"/>
      <c r="L22" s="10"/>
    </row>
    <row r="23" spans="1:20" ht="16.5" x14ac:dyDescent="0.35">
      <c r="A23" s="4"/>
      <c r="B23" s="5"/>
      <c r="C23" s="11" t="s">
        <v>28</v>
      </c>
      <c r="D23" s="29">
        <v>0</v>
      </c>
      <c r="E23" s="29"/>
      <c r="F23" s="8"/>
      <c r="G23" s="13"/>
      <c r="H23" s="8"/>
      <c r="I23" s="13"/>
      <c r="J23" s="5"/>
      <c r="K23" s="4"/>
      <c r="L23" s="10"/>
    </row>
    <row r="24" spans="1:20" ht="16.5" x14ac:dyDescent="0.35">
      <c r="A24" s="4"/>
      <c r="C24" s="11" t="s">
        <v>27</v>
      </c>
      <c r="D24" s="29" t="s">
        <v>5</v>
      </c>
      <c r="E24" s="29"/>
      <c r="K24" s="4"/>
      <c r="L24" s="10"/>
      <c r="N24" s="10"/>
    </row>
    <row r="25" spans="1:20" ht="16.5" x14ac:dyDescent="0.35">
      <c r="A25" s="4"/>
      <c r="C25" s="11" t="s">
        <v>29</v>
      </c>
      <c r="D25" s="28" t="s">
        <v>30</v>
      </c>
      <c r="E25" s="28"/>
      <c r="K25" s="4"/>
      <c r="L25" s="10"/>
      <c r="N25" s="10"/>
    </row>
    <row r="26" spans="1:20" x14ac:dyDescent="0.2">
      <c r="A26" s="4"/>
      <c r="K26" s="4"/>
      <c r="L26" s="10"/>
      <c r="N26" s="20"/>
      <c r="O26" s="20"/>
      <c r="P26" s="20"/>
      <c r="Q26" s="20"/>
      <c r="R26" s="20"/>
      <c r="S26" s="20"/>
      <c r="T26" s="20"/>
    </row>
    <row r="27" spans="1:20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10"/>
    </row>
    <row r="28" spans="1:20" x14ac:dyDescent="0.2">
      <c r="L28" s="10"/>
    </row>
    <row r="31" spans="1:20" x14ac:dyDescent="0.2">
      <c r="C31" s="16"/>
      <c r="D31" s="16"/>
    </row>
    <row r="32" spans="1:20" x14ac:dyDescent="0.2">
      <c r="C32" s="21"/>
      <c r="D32" s="2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1:15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6"/>
    </row>
    <row r="34" spans="1:15" s="16" customFormat="1" hidden="1" x14ac:dyDescent="0.2">
      <c r="A34" s="21"/>
      <c r="B34" s="22"/>
      <c r="C34" s="22"/>
      <c r="D34" s="23"/>
      <c r="E34" s="22"/>
      <c r="F34" s="22"/>
      <c r="G34" s="22"/>
      <c r="H34" s="22"/>
      <c r="I34" s="22"/>
      <c r="J34" s="22"/>
      <c r="K34" s="22"/>
      <c r="L34" s="22"/>
      <c r="M34" s="22"/>
      <c r="N34" s="21"/>
    </row>
    <row r="35" spans="1:15" s="17" customFormat="1" hidden="1" x14ac:dyDescent="0.2">
      <c r="A35" s="21"/>
      <c r="B35" s="22"/>
      <c r="C35" s="22"/>
      <c r="D35" s="22"/>
      <c r="E35" s="24"/>
      <c r="F35" s="24"/>
      <c r="G35" s="24"/>
      <c r="H35" s="24"/>
      <c r="I35" s="24"/>
      <c r="J35" s="24"/>
      <c r="K35" s="22"/>
      <c r="L35" s="22"/>
      <c r="M35" s="22"/>
      <c r="N35" s="21"/>
    </row>
    <row r="36" spans="1:15" s="17" customFormat="1" hidden="1" x14ac:dyDescent="0.2">
      <c r="A36" s="21"/>
      <c r="B36" s="22"/>
      <c r="C36" s="31">
        <f>[1]!wset("ovc_asians","avePriceValue="&amp;D20,"avgStartDay="&amp;D17,"avgEndDay="&amp;D18,"avgFreq="&amp;D19,"optionType="&amp;D10,"direction="&amp;D9,"startDate="&amp;D11,"endDate="&amp;D12,"exercisePrice="&amp;D15,"count="&amp;D13,"multiplier="&amp;D14,"underlyingPrice="&amp;D7,"interestRateValue="&amp;D22,"volatilityValue="&amp;D21,"underlyingType="&amp;D8,"dividendYield="&amp;D24,"type="&amp;D16,"secondInterestRate="&amp;D23,"dateType="&amp;D25,"field=priceTotal,priceSingle,pricePercent,delta,gamma,vega,theta,rho","cols=8;rows=1")</f>
        <v>20.260000000000002</v>
      </c>
      <c r="D36" s="32">
        <v>20.260000000000002</v>
      </c>
      <c r="E36" s="32">
        <v>16.88</v>
      </c>
      <c r="F36" s="32">
        <v>0.96960000000000002</v>
      </c>
      <c r="G36" s="32">
        <v>3.0000000000000001E-3</v>
      </c>
      <c r="H36" s="32">
        <v>-2.7000000000000001E-3</v>
      </c>
      <c r="I36" s="33">
        <v>-6.4000000000000003E-3</v>
      </c>
      <c r="J36" s="33">
        <v>0.43169999999999997</v>
      </c>
      <c r="K36" s="22"/>
      <c r="L36" s="22"/>
      <c r="M36" s="22"/>
      <c r="N36" s="21"/>
    </row>
    <row r="37" spans="1:15" s="17" customFormat="1" hidden="1" x14ac:dyDescent="0.2">
      <c r="A37" s="21"/>
      <c r="B37" s="22"/>
      <c r="C37" s="22"/>
      <c r="D37" s="22" t="s">
        <v>31</v>
      </c>
      <c r="E37" s="22" t="s">
        <v>52</v>
      </c>
      <c r="F37" s="22"/>
      <c r="G37" s="22" t="s">
        <v>32</v>
      </c>
      <c r="H37" s="22" t="s">
        <v>33</v>
      </c>
      <c r="I37" s="22" t="s">
        <v>34</v>
      </c>
      <c r="J37" s="22"/>
      <c r="K37" s="22"/>
      <c r="L37" s="22"/>
      <c r="M37" s="22"/>
      <c r="N37" s="21"/>
    </row>
    <row r="38" spans="1:15" s="17" customFormat="1" hidden="1" x14ac:dyDescent="0.2">
      <c r="A38" s="21"/>
      <c r="B38" s="22"/>
      <c r="C38" s="22"/>
      <c r="D38" s="22" t="s">
        <v>35</v>
      </c>
      <c r="E38" s="22" t="s">
        <v>12</v>
      </c>
      <c r="F38" s="22"/>
      <c r="G38" s="22" t="s">
        <v>36</v>
      </c>
      <c r="H38" s="22" t="s">
        <v>37</v>
      </c>
      <c r="I38" s="22" t="s">
        <v>38</v>
      </c>
      <c r="J38" s="22"/>
      <c r="K38" s="22"/>
      <c r="L38" s="22"/>
      <c r="M38" s="22"/>
      <c r="N38" s="21"/>
    </row>
    <row r="39" spans="1:15" s="17" customFormat="1" hidden="1" x14ac:dyDescent="0.2">
      <c r="A39" s="21"/>
      <c r="B39" s="22"/>
      <c r="C39" s="22"/>
      <c r="D39" s="22" t="s">
        <v>39</v>
      </c>
      <c r="E39" s="22"/>
      <c r="F39" s="22"/>
      <c r="G39" s="22"/>
      <c r="H39" s="22"/>
      <c r="I39" s="22"/>
      <c r="J39" s="22"/>
      <c r="K39" s="22"/>
      <c r="L39" s="22"/>
      <c r="M39" s="22"/>
      <c r="N39" s="21"/>
    </row>
    <row r="40" spans="1:15" s="17" customFormat="1" hidden="1" x14ac:dyDescent="0.2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1"/>
    </row>
    <row r="41" spans="1:15" s="17" customFormat="1" hidden="1" x14ac:dyDescent="0.2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5" s="17" customFormat="1" hidden="1" x14ac:dyDescent="0.2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5" s="16" customFormat="1" x14ac:dyDescent="0.2">
      <c r="B43" s="17"/>
    </row>
    <row r="44" spans="1:15" x14ac:dyDescent="0.2">
      <c r="C44" s="18"/>
      <c r="D44" s="1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x14ac:dyDescent="0.2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5" x14ac:dyDescent="0.2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5" x14ac:dyDescent="0.2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5" x14ac:dyDescent="0.2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3:14" x14ac:dyDescent="0.2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3:14" x14ac:dyDescent="0.2">
      <c r="E50" s="18"/>
      <c r="F50" s="18"/>
      <c r="G50" s="18"/>
      <c r="H50" s="18"/>
      <c r="I50" s="18"/>
      <c r="J50" s="18"/>
      <c r="K50" s="18"/>
      <c r="L50" s="18"/>
      <c r="M50" s="18"/>
      <c r="N50" s="18"/>
    </row>
  </sheetData>
  <dataConsolidate/>
  <mergeCells count="20">
    <mergeCell ref="D22:E22"/>
    <mergeCell ref="D23:E23"/>
    <mergeCell ref="D24:E24"/>
    <mergeCell ref="O15:P16"/>
    <mergeCell ref="D25:E25"/>
    <mergeCell ref="D7:E7"/>
    <mergeCell ref="D8:E8"/>
    <mergeCell ref="D9:E9"/>
    <mergeCell ref="D10:E10"/>
    <mergeCell ref="D11:E11"/>
    <mergeCell ref="D17:E17"/>
    <mergeCell ref="D18:E18"/>
    <mergeCell ref="D19:E19"/>
    <mergeCell ref="D20:E20"/>
    <mergeCell ref="D12:E12"/>
    <mergeCell ref="D13:E13"/>
    <mergeCell ref="D14:E14"/>
    <mergeCell ref="D15:E15"/>
    <mergeCell ref="D16:E16"/>
    <mergeCell ref="D21:E21"/>
  </mergeCells>
  <phoneticPr fontId="1" type="noConversion"/>
  <dataValidations count="5">
    <dataValidation type="list" allowBlank="1" showInputMessage="1" showErrorMessage="1" sqref="D25:E25">
      <formula1>$I$37:$I$38</formula1>
    </dataValidation>
    <dataValidation type="list" allowBlank="1" showInputMessage="1" showErrorMessage="1" sqref="D9:E9">
      <formula1>$H$37:$H$38</formula1>
    </dataValidation>
    <dataValidation type="list" allowBlank="1" showInputMessage="1" showErrorMessage="1" sqref="D10:E10">
      <formula1>$G$37:$G$38</formula1>
    </dataValidation>
    <dataValidation type="list" allowBlank="1" showInputMessage="1" showErrorMessage="1" sqref="D16:E16">
      <formula1>$E$37:$E$38</formula1>
    </dataValidation>
    <dataValidation type="list" allowBlank="1" showInputMessage="1" showErrorMessage="1" sqref="D8:E8">
      <formula1>$D$37:$D$39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34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期权定价计算器 -亚式权定价计算器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XiuFeng</dc:creator>
  <cp:lastModifiedBy>Cui YongQiang</cp:lastModifiedBy>
  <dcterms:created xsi:type="dcterms:W3CDTF">2023-06-20T08:34:01Z</dcterms:created>
  <dcterms:modified xsi:type="dcterms:W3CDTF">2023-11-24T01:37:47Z</dcterms:modified>
</cp:coreProperties>
</file>