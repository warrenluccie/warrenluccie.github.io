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8700"/>
  </bookViews>
  <sheets>
    <sheet name="指数历史财务比率比较" sheetId="1" r:id="rId1"/>
    <sheet name="Wind模板" sheetId="3" state="veryHidden" r:id="rId2"/>
    <sheet name="Data" sheetId="2" state="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I35" i="1"/>
  <c r="G36" i="1"/>
  <c r="I36" i="1"/>
  <c r="G37" i="1"/>
  <c r="I37" i="1"/>
  <c r="G38" i="1"/>
  <c r="I38" i="1"/>
  <c r="G39" i="1"/>
  <c r="I39" i="1"/>
  <c r="G40" i="1"/>
  <c r="I40" i="1"/>
  <c r="G41" i="1"/>
  <c r="I41" i="1"/>
  <c r="G42" i="1"/>
  <c r="I42" i="1"/>
  <c r="G43" i="1"/>
  <c r="I43" i="1"/>
  <c r="G44" i="1"/>
  <c r="I44" i="1"/>
  <c r="G45" i="1"/>
  <c r="I45" i="1"/>
  <c r="G46" i="1"/>
  <c r="I46" i="1"/>
  <c r="G47" i="1"/>
  <c r="I47" i="1"/>
  <c r="G48" i="1"/>
  <c r="I48" i="1"/>
  <c r="G49" i="1"/>
  <c r="I49" i="1"/>
  <c r="G50" i="1"/>
  <c r="I50" i="1"/>
  <c r="G51" i="1"/>
  <c r="I51" i="1"/>
  <c r="G52" i="1"/>
  <c r="I52" i="1"/>
  <c r="G53" i="1"/>
  <c r="I53" i="1"/>
  <c r="G54" i="1"/>
  <c r="I54" i="1"/>
  <c r="G55" i="1"/>
  <c r="I55" i="1"/>
  <c r="G56" i="1"/>
  <c r="I56" i="1"/>
  <c r="G57" i="1"/>
  <c r="I57" i="1"/>
  <c r="G58" i="1"/>
  <c r="I58" i="1"/>
  <c r="G59" i="1"/>
  <c r="I59" i="1"/>
  <c r="G60" i="1"/>
  <c r="I60" i="1"/>
  <c r="G61" i="1"/>
  <c r="I61" i="1"/>
  <c r="G62" i="1"/>
  <c r="I62" i="1"/>
  <c r="G63" i="1"/>
  <c r="I63" i="1"/>
  <c r="G64" i="1"/>
  <c r="I64" i="1"/>
  <c r="G65" i="1"/>
  <c r="I65" i="1"/>
  <c r="G66" i="1"/>
  <c r="I66" i="1"/>
  <c r="G67" i="1"/>
  <c r="I67" i="1"/>
  <c r="G68" i="1"/>
  <c r="I68" i="1"/>
  <c r="G69" i="1"/>
  <c r="I69" i="1"/>
  <c r="G70" i="1"/>
  <c r="I70" i="1"/>
  <c r="G71" i="1"/>
  <c r="I71" i="1"/>
  <c r="G72" i="1"/>
  <c r="I72" i="1"/>
  <c r="G73" i="1"/>
  <c r="I73" i="1"/>
  <c r="G74" i="1"/>
  <c r="I74" i="1"/>
  <c r="G75" i="1"/>
  <c r="I75" i="1"/>
  <c r="G76" i="1"/>
  <c r="I76" i="1"/>
  <c r="G77" i="1"/>
  <c r="I77" i="1"/>
  <c r="G78" i="1"/>
  <c r="I78" i="1"/>
  <c r="G79" i="1"/>
  <c r="I79" i="1"/>
  <c r="G80" i="1"/>
  <c r="I80" i="1"/>
  <c r="G81" i="1"/>
  <c r="I81" i="1"/>
  <c r="G82" i="1"/>
  <c r="I82" i="1"/>
  <c r="G83" i="1"/>
  <c r="I83" i="1"/>
  <c r="G84" i="1"/>
  <c r="I84" i="1"/>
  <c r="G85" i="1"/>
  <c r="I85" i="1"/>
  <c r="G86" i="1"/>
  <c r="I86" i="1"/>
  <c r="G87" i="1"/>
  <c r="I87" i="1"/>
  <c r="G88" i="1"/>
  <c r="I88" i="1"/>
  <c r="G89" i="1"/>
  <c r="I89" i="1"/>
  <c r="G90" i="1"/>
  <c r="I90" i="1"/>
  <c r="G91" i="1"/>
  <c r="I91" i="1"/>
  <c r="G92" i="1"/>
  <c r="I92" i="1"/>
  <c r="G93" i="1"/>
  <c r="I93" i="1"/>
  <c r="G94" i="1"/>
  <c r="I94" i="1"/>
  <c r="G95" i="1"/>
  <c r="I95" i="1"/>
  <c r="G96" i="1"/>
  <c r="I96" i="1"/>
  <c r="G97" i="1"/>
  <c r="I97" i="1"/>
  <c r="G98" i="1"/>
  <c r="I98" i="1"/>
  <c r="G99" i="1"/>
  <c r="I99" i="1"/>
  <c r="G100" i="1"/>
  <c r="I100" i="1"/>
  <c r="G101" i="1"/>
  <c r="I101" i="1"/>
  <c r="G102" i="1"/>
  <c r="I102" i="1"/>
  <c r="I34" i="1"/>
  <c r="G34" i="1"/>
  <c r="E102" i="1"/>
  <c r="E96" i="1"/>
  <c r="E97" i="1"/>
  <c r="E98" i="1"/>
  <c r="E99" i="1"/>
  <c r="E100" i="1"/>
  <c r="E101" i="1"/>
  <c r="E92" i="1"/>
  <c r="E93" i="1"/>
  <c r="E94" i="1"/>
  <c r="E95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C8" i="1"/>
  <c r="K96" i="1" l="1"/>
  <c r="K86" i="1"/>
  <c r="K97" i="1"/>
  <c r="K92" i="1"/>
  <c r="K73" i="1"/>
  <c r="K95" i="1"/>
  <c r="K84" i="1"/>
  <c r="K88" i="1"/>
  <c r="K75" i="1"/>
  <c r="K91" i="1"/>
  <c r="K89" i="1"/>
  <c r="K70" i="1"/>
  <c r="K94" i="1"/>
  <c r="K79" i="1"/>
  <c r="K81" i="1"/>
  <c r="K77" i="1"/>
  <c r="K98" i="1"/>
  <c r="K101" i="1"/>
  <c r="K76" i="1"/>
  <c r="K87" i="1"/>
  <c r="K72" i="1"/>
  <c r="K90" i="1"/>
  <c r="K100" i="1"/>
  <c r="K82" i="1"/>
  <c r="K78" i="1"/>
  <c r="K93" i="1"/>
  <c r="K102" i="1"/>
  <c r="K85" i="1"/>
  <c r="K71" i="1"/>
  <c r="K74" i="1"/>
  <c r="K80" i="1"/>
  <c r="K83" i="1"/>
  <c r="K99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34" i="1"/>
  <c r="K33" i="1"/>
  <c r="M2" i="2"/>
  <c r="B2" i="2"/>
  <c r="M5" i="2"/>
  <c r="B5" i="2"/>
  <c r="M1" i="2"/>
  <c r="B1" i="2"/>
  <c r="E4" i="1"/>
  <c r="I4" i="1"/>
  <c r="I33" i="1" l="1"/>
  <c r="G33" i="1"/>
  <c r="K64" i="1"/>
  <c r="K52" i="1"/>
  <c r="K40" i="1"/>
  <c r="K58" i="1"/>
  <c r="K46" i="1"/>
  <c r="K65" i="1"/>
  <c r="K53" i="1"/>
  <c r="K41" i="1"/>
  <c r="K62" i="1"/>
  <c r="K50" i="1"/>
  <c r="K38" i="1"/>
  <c r="K59" i="1"/>
  <c r="K47" i="1"/>
  <c r="K35" i="1"/>
  <c r="K68" i="1"/>
  <c r="K56" i="1"/>
  <c r="K44" i="1"/>
  <c r="K67" i="1"/>
  <c r="K55" i="1"/>
  <c r="K43" i="1"/>
  <c r="K66" i="1"/>
  <c r="K54" i="1"/>
  <c r="K42" i="1"/>
  <c r="K63" i="1"/>
  <c r="K51" i="1"/>
  <c r="K39" i="1"/>
  <c r="K61" i="1"/>
  <c r="K49" i="1"/>
  <c r="K37" i="1"/>
  <c r="K60" i="1"/>
  <c r="K48" i="1"/>
  <c r="K36" i="1"/>
  <c r="K69" i="1"/>
  <c r="K57" i="1"/>
  <c r="K45" i="1"/>
  <c r="K34" i="1" l="1"/>
</calcChain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M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<sst xmlns="http://schemas.openxmlformats.org/spreadsheetml/2006/main" count="59" uniqueCount="38">
  <si>
    <t>日期</t>
  </si>
  <si>
    <t>Date</t>
  </si>
  <si>
    <t>市盈率PE(TTM)</t>
  </si>
  <si>
    <t>市销率PS(TTM)</t>
  </si>
  <si>
    <t>股息率(近12个月)</t>
  </si>
  <si>
    <t>pe_ttm</t>
  </si>
  <si>
    <t>ps_ttm</t>
  </si>
  <si>
    <t>dividendyield2</t>
  </si>
  <si>
    <t>市净率PB(LF,内地)</t>
  </si>
  <si>
    <t>pb_lf</t>
  </si>
  <si>
    <t>指数代码</t>
    <phoneticPr fontId="10" type="noConversion"/>
  </si>
  <si>
    <t>指数简称</t>
    <phoneticPr fontId="2" type="noConversion"/>
  </si>
  <si>
    <t>绝对差额</t>
  </si>
  <si>
    <t>绝对差额</t>
    <phoneticPr fontId="2" type="noConversion"/>
  </si>
  <si>
    <t>单季度.净资产收益率ROE</t>
  </si>
  <si>
    <t>单季度.总资产净利率ROA</t>
  </si>
  <si>
    <t>单季度.销售净利率</t>
  </si>
  <si>
    <t>单季度.营业收入同比增长率</t>
  </si>
  <si>
    <t>单季度.归属母公司股东的净利润同比增长率</t>
  </si>
  <si>
    <t>qfa_roe</t>
  </si>
  <si>
    <t>qfa_roa</t>
  </si>
  <si>
    <t>qfa_netprofitmargin</t>
  </si>
  <si>
    <t>qfa_yoysales</t>
  </si>
  <si>
    <t>qfa_yoynetprofit</t>
  </si>
  <si>
    <t>单季度营收同比(%)</t>
  </si>
  <si>
    <t>差异比较方式</t>
    <phoneticPr fontId="2" type="noConversion"/>
  </si>
  <si>
    <t>单季度净利同比(%)</t>
    <phoneticPr fontId="2" type="noConversion"/>
  </si>
  <si>
    <t>单季度净利率(%)</t>
    <phoneticPr fontId="2" type="noConversion"/>
  </si>
  <si>
    <t>单季度ROE(%)</t>
    <phoneticPr fontId="2" type="noConversion"/>
  </si>
  <si>
    <t>单季度ROA(%)</t>
    <phoneticPr fontId="2" type="noConversion"/>
  </si>
  <si>
    <t>881001.WI</t>
    <phoneticPr fontId="2" type="noConversion"/>
  </si>
  <si>
    <t>对比指数</t>
    <phoneticPr fontId="10" type="noConversion"/>
  </si>
  <si>
    <t>对比指数简称</t>
    <phoneticPr fontId="2" type="noConversion"/>
  </si>
  <si>
    <t>指数指标</t>
    <phoneticPr fontId="10" type="noConversion"/>
  </si>
  <si>
    <t>比值</t>
    <phoneticPr fontId="2" type="noConversion"/>
  </si>
  <si>
    <t>882004.WI</t>
    <phoneticPr fontId="2" type="noConversion"/>
  </si>
  <si>
    <t>指数历史财务比率比较</t>
    <phoneticPr fontId="7" type="noConversion"/>
  </si>
  <si>
    <t>指数历史财务比率比较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</si>
</sst>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\-mm\-dd"/>
    <numFmt numFmtId="177" formatCode="0.0000"/>
    <numFmt numFmtId="178" formatCode="0.00_);[Red]\(0.00\)"/>
  </numFmts>
  <fonts count="23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5"/>
      <color theme="3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0" tint="-0.49998474074526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  <font>
      <sz val="9"/>
      <color theme="1"/>
      <name val="等线"/>
      <family val="3"/>
      <charset val="134"/>
      <scheme val="minor"/>
    </font>
    <font>
      <b/>
      <sz val="12"/>
      <name val="微软雅黑"/>
      <family val="2"/>
      <charset val="134"/>
    </font>
    <font>
      <sz val="11"/>
      <color theme="1"/>
      <name val="Arial"/>
      <family val="2"/>
    </font>
    <font>
      <b/>
      <sz val="12"/>
      <name val="Arial"/>
      <family val="2"/>
    </font>
    <font>
      <sz val="11"/>
      <color theme="0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0"/>
      <color theme="1"/>
      <name val="Arial"/>
      <family val="2"/>
    </font>
    <font>
      <b/>
      <sz val="10"/>
      <name val="微软雅黑"/>
      <family val="2"/>
      <charset val="134"/>
    </font>
    <font>
      <b/>
      <sz val="14"/>
      <name val="微软雅黑"/>
      <family val="2"/>
      <charset val="134"/>
    </font>
    <font>
      <sz val="12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41">
    <xf numFmtId="0" fontId="0" fillId="0" borderId="0" xfId="0"/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2" borderId="0" xfId="0" applyFill="1" applyAlignment="1"/>
    <xf numFmtId="0" fontId="8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/>
    <xf numFmtId="14" fontId="5" fillId="3" borderId="1" xfId="2" applyNumberFormat="1" applyFont="1" applyFill="1">
      <alignment vertical="center"/>
    </xf>
    <xf numFmtId="0" fontId="1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4" fillId="4" borderId="0" xfId="0" applyFont="1" applyFill="1" applyAlignment="1"/>
    <xf numFmtId="0" fontId="15" fillId="3" borderId="2" xfId="0" applyFont="1" applyFill="1" applyBorder="1" applyAlignment="1">
      <alignment vertical="top"/>
    </xf>
    <xf numFmtId="0" fontId="16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49" fontId="11" fillId="5" borderId="0" xfId="0" applyNumberFormat="1" applyFont="1" applyFill="1" applyAlignment="1">
      <alignment horizontal="right" vertical="center"/>
    </xf>
    <xf numFmtId="176" fontId="18" fillId="2" borderId="0" xfId="0" applyNumberFormat="1" applyFont="1" applyFill="1" applyAlignment="1">
      <alignment horizontal="right" vertical="center"/>
    </xf>
    <xf numFmtId="0" fontId="17" fillId="6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1" fillId="5" borderId="0" xfId="0" applyNumberFormat="1" applyFont="1" applyFill="1" applyAlignment="1">
      <alignment horizontal="right" vertical="center" indent="1"/>
    </xf>
    <xf numFmtId="49" fontId="1" fillId="5" borderId="0" xfId="0" applyNumberFormat="1" applyFont="1" applyFill="1" applyAlignment="1">
      <alignment horizontal="right" vertical="center" indent="1"/>
    </xf>
    <xf numFmtId="176" fontId="13" fillId="3" borderId="2" xfId="0" applyNumberFormat="1" applyFont="1" applyFill="1" applyBorder="1" applyAlignment="1">
      <alignment vertical="top"/>
    </xf>
    <xf numFmtId="0" fontId="0" fillId="0" borderId="0" xfId="0" applyNumberFormat="1" applyAlignment="1">
      <alignment horizontal="left"/>
    </xf>
    <xf numFmtId="14" fontId="19" fillId="3" borderId="0" xfId="0" applyNumberFormat="1" applyFont="1" applyFill="1" applyBorder="1" applyAlignment="1">
      <alignment horizontal="right" vertical="center"/>
    </xf>
    <xf numFmtId="14" fontId="19" fillId="6" borderId="0" xfId="0" applyNumberFormat="1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top"/>
    </xf>
    <xf numFmtId="176" fontId="20" fillId="3" borderId="2" xfId="0" applyNumberFormat="1" applyFont="1" applyFill="1" applyBorder="1" applyAlignment="1">
      <alignment horizontal="right" vertical="top"/>
    </xf>
    <xf numFmtId="14" fontId="19" fillId="3" borderId="0" xfId="0" applyNumberFormat="1" applyFont="1" applyFill="1" applyBorder="1" applyAlignment="1">
      <alignment horizontal="center" vertical="center"/>
    </xf>
    <xf numFmtId="14" fontId="19" fillId="6" borderId="0" xfId="0" applyNumberFormat="1" applyFont="1" applyFill="1" applyBorder="1" applyAlignment="1">
      <alignment horizontal="center" vertical="center"/>
    </xf>
    <xf numFmtId="178" fontId="19" fillId="3" borderId="0" xfId="1" applyNumberFormat="1" applyFont="1" applyFill="1" applyBorder="1" applyAlignment="1">
      <alignment horizontal="right" vertical="center"/>
    </xf>
    <xf numFmtId="178" fontId="19" fillId="3" borderId="0" xfId="1" applyNumberFormat="1" applyFont="1" applyFill="1" applyBorder="1" applyAlignment="1">
      <alignment horizontal="left" vertical="center"/>
    </xf>
    <xf numFmtId="178" fontId="19" fillId="6" borderId="0" xfId="1" applyNumberFormat="1" applyFont="1" applyFill="1" applyBorder="1" applyAlignment="1">
      <alignment horizontal="right" vertical="center"/>
    </xf>
    <xf numFmtId="178" fontId="19" fillId="6" borderId="0" xfId="1" applyNumberFormat="1" applyFont="1" applyFill="1" applyBorder="1" applyAlignment="1">
      <alignment horizontal="left" vertical="center"/>
    </xf>
    <xf numFmtId="176" fontId="21" fillId="3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</cellXfs>
  <cellStyles count="3">
    <cellStyle name="标题 1" xfId="2" builtinId="16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指数历史财务比率比较!$K$33</c:f>
              <c:strCache>
                <c:ptCount val="1"/>
                <c:pt idx="0">
                  <c:v>绝对差额</c:v>
                </c:pt>
              </c:strCache>
            </c:strRef>
          </c:tx>
          <c:spPr>
            <a:solidFill>
              <a:schemeClr val="bg2">
                <a:alpha val="64000"/>
              </a:schemeClr>
            </a:solidFill>
            <a:ln>
              <a:noFill/>
            </a:ln>
            <a:effectLst/>
          </c:spPr>
          <c:cat>
            <c:numRef>
              <c:f>指数历史财务比率比较!$E$34:$E$102</c:f>
              <c:numCache>
                <c:formatCode>m/d/yyyy</c:formatCode>
                <c:ptCount val="69"/>
                <c:pt idx="0">
                  <c:v>45107</c:v>
                </c:pt>
                <c:pt idx="1">
                  <c:v>45016</c:v>
                </c:pt>
                <c:pt idx="2">
                  <c:v>44926</c:v>
                </c:pt>
                <c:pt idx="3">
                  <c:v>44834</c:v>
                </c:pt>
                <c:pt idx="4">
                  <c:v>44742</c:v>
                </c:pt>
                <c:pt idx="5">
                  <c:v>44651</c:v>
                </c:pt>
                <c:pt idx="6">
                  <c:v>44561</c:v>
                </c:pt>
                <c:pt idx="7">
                  <c:v>44469</c:v>
                </c:pt>
                <c:pt idx="8">
                  <c:v>44377</c:v>
                </c:pt>
                <c:pt idx="9">
                  <c:v>44286</c:v>
                </c:pt>
                <c:pt idx="10">
                  <c:v>44196</c:v>
                </c:pt>
                <c:pt idx="11">
                  <c:v>44104</c:v>
                </c:pt>
                <c:pt idx="12">
                  <c:v>44012</c:v>
                </c:pt>
                <c:pt idx="13">
                  <c:v>43921</c:v>
                </c:pt>
                <c:pt idx="14">
                  <c:v>43830</c:v>
                </c:pt>
                <c:pt idx="15">
                  <c:v>43738</c:v>
                </c:pt>
                <c:pt idx="16">
                  <c:v>43646</c:v>
                </c:pt>
                <c:pt idx="17">
                  <c:v>43555</c:v>
                </c:pt>
                <c:pt idx="18">
                  <c:v>43465</c:v>
                </c:pt>
                <c:pt idx="19">
                  <c:v>43373</c:v>
                </c:pt>
                <c:pt idx="20">
                  <c:v>43281</c:v>
                </c:pt>
                <c:pt idx="21">
                  <c:v>43190</c:v>
                </c:pt>
                <c:pt idx="22">
                  <c:v>43100</c:v>
                </c:pt>
                <c:pt idx="23">
                  <c:v>43008</c:v>
                </c:pt>
                <c:pt idx="24">
                  <c:v>42916</c:v>
                </c:pt>
                <c:pt idx="25">
                  <c:v>42825</c:v>
                </c:pt>
                <c:pt idx="26">
                  <c:v>42735</c:v>
                </c:pt>
                <c:pt idx="27">
                  <c:v>42643</c:v>
                </c:pt>
                <c:pt idx="28">
                  <c:v>42551</c:v>
                </c:pt>
                <c:pt idx="29">
                  <c:v>42460</c:v>
                </c:pt>
                <c:pt idx="30">
                  <c:v>42369</c:v>
                </c:pt>
                <c:pt idx="31">
                  <c:v>42277</c:v>
                </c:pt>
                <c:pt idx="32">
                  <c:v>42185</c:v>
                </c:pt>
                <c:pt idx="33">
                  <c:v>42094</c:v>
                </c:pt>
                <c:pt idx="34">
                  <c:v>42004</c:v>
                </c:pt>
                <c:pt idx="35">
                  <c:v>41912</c:v>
                </c:pt>
                <c:pt idx="36">
                  <c:v>41820</c:v>
                </c:pt>
                <c:pt idx="37">
                  <c:v>41729</c:v>
                </c:pt>
                <c:pt idx="38">
                  <c:v>41639</c:v>
                </c:pt>
                <c:pt idx="39">
                  <c:v>41547</c:v>
                </c:pt>
                <c:pt idx="40">
                  <c:v>41455</c:v>
                </c:pt>
                <c:pt idx="41">
                  <c:v>41364</c:v>
                </c:pt>
                <c:pt idx="42">
                  <c:v>41274</c:v>
                </c:pt>
                <c:pt idx="43">
                  <c:v>41182</c:v>
                </c:pt>
                <c:pt idx="44">
                  <c:v>41090</c:v>
                </c:pt>
                <c:pt idx="45">
                  <c:v>40999</c:v>
                </c:pt>
                <c:pt idx="46">
                  <c:v>40908</c:v>
                </c:pt>
                <c:pt idx="47">
                  <c:v>40816</c:v>
                </c:pt>
                <c:pt idx="48">
                  <c:v>40724</c:v>
                </c:pt>
                <c:pt idx="49">
                  <c:v>40633</c:v>
                </c:pt>
                <c:pt idx="50">
                  <c:v>40543</c:v>
                </c:pt>
                <c:pt idx="51">
                  <c:v>40451</c:v>
                </c:pt>
                <c:pt idx="52">
                  <c:v>40359</c:v>
                </c:pt>
                <c:pt idx="53">
                  <c:v>40268</c:v>
                </c:pt>
                <c:pt idx="54">
                  <c:v>40178</c:v>
                </c:pt>
                <c:pt idx="55">
                  <c:v>40086</c:v>
                </c:pt>
                <c:pt idx="56">
                  <c:v>39994</c:v>
                </c:pt>
                <c:pt idx="57">
                  <c:v>39903</c:v>
                </c:pt>
                <c:pt idx="58">
                  <c:v>39813</c:v>
                </c:pt>
                <c:pt idx="59">
                  <c:v>39721</c:v>
                </c:pt>
                <c:pt idx="60">
                  <c:v>39629</c:v>
                </c:pt>
                <c:pt idx="61">
                  <c:v>39538</c:v>
                </c:pt>
                <c:pt idx="62">
                  <c:v>39447</c:v>
                </c:pt>
                <c:pt idx="63">
                  <c:v>39355</c:v>
                </c:pt>
                <c:pt idx="64">
                  <c:v>39263</c:v>
                </c:pt>
                <c:pt idx="65">
                  <c:v>39172</c:v>
                </c:pt>
                <c:pt idx="66">
                  <c:v>39082</c:v>
                </c:pt>
                <c:pt idx="67">
                  <c:v>38990</c:v>
                </c:pt>
                <c:pt idx="68">
                  <c:v>38898</c:v>
                </c:pt>
              </c:numCache>
            </c:numRef>
          </c:cat>
          <c:val>
            <c:numRef>
              <c:f>指数历史财务比率比较!$K$34:$K$102</c:f>
              <c:numCache>
                <c:formatCode>0.00_);[Red]\(0.00\)</c:formatCode>
                <c:ptCount val="69"/>
                <c:pt idx="0">
                  <c:v>0.21229999999999993</c:v>
                </c:pt>
                <c:pt idx="1">
                  <c:v>-0.2641</c:v>
                </c:pt>
                <c:pt idx="2">
                  <c:v>-1.8824000000000001</c:v>
                </c:pt>
                <c:pt idx="3">
                  <c:v>-0.3822000000000001</c:v>
                </c:pt>
                <c:pt idx="4">
                  <c:v>-0.7517999999999998</c:v>
                </c:pt>
                <c:pt idx="5">
                  <c:v>-0.66470000000000007</c:v>
                </c:pt>
                <c:pt idx="6">
                  <c:v>-2.0254000000000003</c:v>
                </c:pt>
                <c:pt idx="7">
                  <c:v>-0.70060000000000011</c:v>
                </c:pt>
                <c:pt idx="8">
                  <c:v>-0.52490000000000014</c:v>
                </c:pt>
                <c:pt idx="9">
                  <c:v>-0.54289999999999994</c:v>
                </c:pt>
                <c:pt idx="10">
                  <c:v>-1.5470999999999999</c:v>
                </c:pt>
                <c:pt idx="11">
                  <c:v>-0.16210000000000013</c:v>
                </c:pt>
                <c:pt idx="12">
                  <c:v>-0.18140000000000001</c:v>
                </c:pt>
                <c:pt idx="13">
                  <c:v>-1.5557000000000001</c:v>
                </c:pt>
                <c:pt idx="14">
                  <c:v>-2.3563999999999998</c:v>
                </c:pt>
                <c:pt idx="15">
                  <c:v>-0.18559999999999999</c:v>
                </c:pt>
                <c:pt idx="16">
                  <c:v>-0.52809999999999979</c:v>
                </c:pt>
                <c:pt idx="17">
                  <c:v>-0.57270000000000021</c:v>
                </c:pt>
                <c:pt idx="18">
                  <c:v>-2.2111999999999998</c:v>
                </c:pt>
                <c:pt idx="19">
                  <c:v>-0.32059999999999977</c:v>
                </c:pt>
                <c:pt idx="20">
                  <c:v>0.11189999999999989</c:v>
                </c:pt>
                <c:pt idx="21">
                  <c:v>-5.7100000000000151E-2</c:v>
                </c:pt>
                <c:pt idx="22">
                  <c:v>0.60599999999999987</c:v>
                </c:pt>
                <c:pt idx="23">
                  <c:v>-0.10490000000000022</c:v>
                </c:pt>
                <c:pt idx="24">
                  <c:v>0.10919999999999996</c:v>
                </c:pt>
                <c:pt idx="25">
                  <c:v>0.12190000000000012</c:v>
                </c:pt>
                <c:pt idx="26">
                  <c:v>0.9977999999999998</c:v>
                </c:pt>
                <c:pt idx="27">
                  <c:v>0.28279999999999994</c:v>
                </c:pt>
                <c:pt idx="28">
                  <c:v>0.35359999999999969</c:v>
                </c:pt>
                <c:pt idx="29">
                  <c:v>0.35049999999999981</c:v>
                </c:pt>
                <c:pt idx="30">
                  <c:v>1.1717</c:v>
                </c:pt>
                <c:pt idx="31">
                  <c:v>0.15290000000000026</c:v>
                </c:pt>
                <c:pt idx="32">
                  <c:v>1.5300000000000313E-2</c:v>
                </c:pt>
                <c:pt idx="33">
                  <c:v>0.10339999999999971</c:v>
                </c:pt>
                <c:pt idx="34">
                  <c:v>0.8367</c:v>
                </c:pt>
                <c:pt idx="35">
                  <c:v>-0.28359999999999985</c:v>
                </c:pt>
                <c:pt idx="36">
                  <c:v>-9.9499999999999922E-2</c:v>
                </c:pt>
                <c:pt idx="37">
                  <c:v>-0.13839999999999986</c:v>
                </c:pt>
                <c:pt idx="38">
                  <c:v>0.22890000000000033</c:v>
                </c:pt>
                <c:pt idx="39">
                  <c:v>-0.25890000000000013</c:v>
                </c:pt>
                <c:pt idx="40">
                  <c:v>-0.16789999999999994</c:v>
                </c:pt>
                <c:pt idx="41">
                  <c:v>-0.46839999999999993</c:v>
                </c:pt>
                <c:pt idx="42">
                  <c:v>-0.20389999999999997</c:v>
                </c:pt>
                <c:pt idx="43">
                  <c:v>-0.50269999999999992</c:v>
                </c:pt>
                <c:pt idx="44">
                  <c:v>-0.44110000000000005</c:v>
                </c:pt>
                <c:pt idx="45">
                  <c:v>-0.42350000000000021</c:v>
                </c:pt>
                <c:pt idx="46">
                  <c:v>0.31530000000000014</c:v>
                </c:pt>
                <c:pt idx="47">
                  <c:v>-0.37559999999999993</c:v>
                </c:pt>
                <c:pt idx="48">
                  <c:v>-0.5006999999999997</c:v>
                </c:pt>
                <c:pt idx="49">
                  <c:v>-0.39710000000000045</c:v>
                </c:pt>
                <c:pt idx="50">
                  <c:v>0.23510000000000009</c:v>
                </c:pt>
                <c:pt idx="51">
                  <c:v>-0.39529999999999976</c:v>
                </c:pt>
                <c:pt idx="52">
                  <c:v>-2.0299999999999763E-2</c:v>
                </c:pt>
                <c:pt idx="53">
                  <c:v>-0.31540000000000035</c:v>
                </c:pt>
                <c:pt idx="54">
                  <c:v>0.49460000000000015</c:v>
                </c:pt>
                <c:pt idx="55">
                  <c:v>-0.39319999999999977</c:v>
                </c:pt>
                <c:pt idx="56">
                  <c:v>-0.32240000000000002</c:v>
                </c:pt>
                <c:pt idx="57">
                  <c:v>-0.72710000000000008</c:v>
                </c:pt>
                <c:pt idx="58">
                  <c:v>-0.97819999999999996</c:v>
                </c:pt>
                <c:pt idx="59">
                  <c:v>-1.5825</c:v>
                </c:pt>
                <c:pt idx="60">
                  <c:v>-0.96209999999999996</c:v>
                </c:pt>
                <c:pt idx="61">
                  <c:v>-1.4491999999999998</c:v>
                </c:pt>
                <c:pt idx="62">
                  <c:v>-1.1831999999999994</c:v>
                </c:pt>
                <c:pt idx="63">
                  <c:v>-1.3942999999999999</c:v>
                </c:pt>
                <c:pt idx="64">
                  <c:v>-1.2905000000000002</c:v>
                </c:pt>
                <c:pt idx="65">
                  <c:v>-1.2241999999999997</c:v>
                </c:pt>
                <c:pt idx="66">
                  <c:v>-2.34</c:v>
                </c:pt>
                <c:pt idx="67">
                  <c:v>-1.8019000000000001</c:v>
                </c:pt>
                <c:pt idx="68">
                  <c:v>-1.2643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7-4251-A28E-04E2967F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130096"/>
        <c:axId val="1007136336"/>
      </c:areaChart>
      <c:lineChart>
        <c:grouping val="standard"/>
        <c:varyColors val="0"/>
        <c:ser>
          <c:idx val="0"/>
          <c:order val="0"/>
          <c:tx>
            <c:strRef>
              <c:f>指数历史财务比率比较!$G$33</c:f>
              <c:strCache>
                <c:ptCount val="1"/>
                <c:pt idx="0">
                  <c:v>Fetching...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指数历史财务比率比较!$E$34:$E$102</c:f>
              <c:numCache>
                <c:formatCode>m/d/yyyy</c:formatCode>
                <c:ptCount val="69"/>
                <c:pt idx="0">
                  <c:v>45107</c:v>
                </c:pt>
                <c:pt idx="1">
                  <c:v>45016</c:v>
                </c:pt>
                <c:pt idx="2">
                  <c:v>44926</c:v>
                </c:pt>
                <c:pt idx="3">
                  <c:v>44834</c:v>
                </c:pt>
                <c:pt idx="4">
                  <c:v>44742</c:v>
                </c:pt>
                <c:pt idx="5">
                  <c:v>44651</c:v>
                </c:pt>
                <c:pt idx="6">
                  <c:v>44561</c:v>
                </c:pt>
                <c:pt idx="7">
                  <c:v>44469</c:v>
                </c:pt>
                <c:pt idx="8">
                  <c:v>44377</c:v>
                </c:pt>
                <c:pt idx="9">
                  <c:v>44286</c:v>
                </c:pt>
                <c:pt idx="10">
                  <c:v>44196</c:v>
                </c:pt>
                <c:pt idx="11">
                  <c:v>44104</c:v>
                </c:pt>
                <c:pt idx="12">
                  <c:v>44012</c:v>
                </c:pt>
                <c:pt idx="13">
                  <c:v>43921</c:v>
                </c:pt>
                <c:pt idx="14">
                  <c:v>43830</c:v>
                </c:pt>
                <c:pt idx="15">
                  <c:v>43738</c:v>
                </c:pt>
                <c:pt idx="16">
                  <c:v>43646</c:v>
                </c:pt>
                <c:pt idx="17">
                  <c:v>43555</c:v>
                </c:pt>
                <c:pt idx="18">
                  <c:v>43465</c:v>
                </c:pt>
                <c:pt idx="19">
                  <c:v>43373</c:v>
                </c:pt>
                <c:pt idx="20">
                  <c:v>43281</c:v>
                </c:pt>
                <c:pt idx="21">
                  <c:v>43190</c:v>
                </c:pt>
                <c:pt idx="22">
                  <c:v>43100</c:v>
                </c:pt>
                <c:pt idx="23">
                  <c:v>43008</c:v>
                </c:pt>
                <c:pt idx="24">
                  <c:v>42916</c:v>
                </c:pt>
                <c:pt idx="25">
                  <c:v>42825</c:v>
                </c:pt>
                <c:pt idx="26">
                  <c:v>42735</c:v>
                </c:pt>
                <c:pt idx="27">
                  <c:v>42643</c:v>
                </c:pt>
                <c:pt idx="28">
                  <c:v>42551</c:v>
                </c:pt>
                <c:pt idx="29">
                  <c:v>42460</c:v>
                </c:pt>
                <c:pt idx="30">
                  <c:v>42369</c:v>
                </c:pt>
                <c:pt idx="31">
                  <c:v>42277</c:v>
                </c:pt>
                <c:pt idx="32">
                  <c:v>42185</c:v>
                </c:pt>
                <c:pt idx="33">
                  <c:v>42094</c:v>
                </c:pt>
                <c:pt idx="34">
                  <c:v>42004</c:v>
                </c:pt>
                <c:pt idx="35">
                  <c:v>41912</c:v>
                </c:pt>
                <c:pt idx="36">
                  <c:v>41820</c:v>
                </c:pt>
                <c:pt idx="37">
                  <c:v>41729</c:v>
                </c:pt>
                <c:pt idx="38">
                  <c:v>41639</c:v>
                </c:pt>
                <c:pt idx="39">
                  <c:v>41547</c:v>
                </c:pt>
                <c:pt idx="40">
                  <c:v>41455</c:v>
                </c:pt>
                <c:pt idx="41">
                  <c:v>41364</c:v>
                </c:pt>
                <c:pt idx="42">
                  <c:v>41274</c:v>
                </c:pt>
                <c:pt idx="43">
                  <c:v>41182</c:v>
                </c:pt>
                <c:pt idx="44">
                  <c:v>41090</c:v>
                </c:pt>
                <c:pt idx="45">
                  <c:v>40999</c:v>
                </c:pt>
                <c:pt idx="46">
                  <c:v>40908</c:v>
                </c:pt>
                <c:pt idx="47">
                  <c:v>40816</c:v>
                </c:pt>
                <c:pt idx="48">
                  <c:v>40724</c:v>
                </c:pt>
                <c:pt idx="49">
                  <c:v>40633</c:v>
                </c:pt>
                <c:pt idx="50">
                  <c:v>40543</c:v>
                </c:pt>
                <c:pt idx="51">
                  <c:v>40451</c:v>
                </c:pt>
                <c:pt idx="52">
                  <c:v>40359</c:v>
                </c:pt>
                <c:pt idx="53">
                  <c:v>40268</c:v>
                </c:pt>
                <c:pt idx="54">
                  <c:v>40178</c:v>
                </c:pt>
                <c:pt idx="55">
                  <c:v>40086</c:v>
                </c:pt>
                <c:pt idx="56">
                  <c:v>39994</c:v>
                </c:pt>
                <c:pt idx="57">
                  <c:v>39903</c:v>
                </c:pt>
                <c:pt idx="58">
                  <c:v>39813</c:v>
                </c:pt>
                <c:pt idx="59">
                  <c:v>39721</c:v>
                </c:pt>
                <c:pt idx="60">
                  <c:v>39629</c:v>
                </c:pt>
                <c:pt idx="61">
                  <c:v>39538</c:v>
                </c:pt>
                <c:pt idx="62">
                  <c:v>39447</c:v>
                </c:pt>
                <c:pt idx="63">
                  <c:v>39355</c:v>
                </c:pt>
                <c:pt idx="64">
                  <c:v>39263</c:v>
                </c:pt>
                <c:pt idx="65">
                  <c:v>39172</c:v>
                </c:pt>
                <c:pt idx="66">
                  <c:v>39082</c:v>
                </c:pt>
                <c:pt idx="67">
                  <c:v>38990</c:v>
                </c:pt>
                <c:pt idx="68">
                  <c:v>38898</c:v>
                </c:pt>
              </c:numCache>
            </c:numRef>
          </c:cat>
          <c:val>
            <c:numRef>
              <c:f>指数历史财务比率比较!$G$34:$G$102</c:f>
              <c:numCache>
                <c:formatCode>0.00_);[Red]\(0.00\)</c:formatCode>
                <c:ptCount val="69"/>
                <c:pt idx="0">
                  <c:v>2.5598999999999998</c:v>
                </c:pt>
                <c:pt idx="1">
                  <c:v>2.1926000000000001</c:v>
                </c:pt>
                <c:pt idx="2">
                  <c:v>-0.54730000000000001</c:v>
                </c:pt>
                <c:pt idx="3">
                  <c:v>2.0097</c:v>
                </c:pt>
                <c:pt idx="4">
                  <c:v>1.9853000000000001</c:v>
                </c:pt>
                <c:pt idx="5">
                  <c:v>1.8859999999999999</c:v>
                </c:pt>
                <c:pt idx="6">
                  <c:v>-0.56040000000000001</c:v>
                </c:pt>
                <c:pt idx="7">
                  <c:v>1.8912</c:v>
                </c:pt>
                <c:pt idx="8">
                  <c:v>2.4142999999999999</c:v>
                </c:pt>
                <c:pt idx="9">
                  <c:v>2.1736</c:v>
                </c:pt>
                <c:pt idx="10">
                  <c:v>0.22189999999999999</c:v>
                </c:pt>
                <c:pt idx="11">
                  <c:v>2.7235999999999998</c:v>
                </c:pt>
                <c:pt idx="12">
                  <c:v>2.1812999999999998</c:v>
                </c:pt>
                <c:pt idx="13">
                  <c:v>0.4017</c:v>
                </c:pt>
                <c:pt idx="14">
                  <c:v>-1.2282</c:v>
                </c:pt>
                <c:pt idx="15">
                  <c:v>2.4769999999999999</c:v>
                </c:pt>
                <c:pt idx="16">
                  <c:v>2.3816000000000002</c:v>
                </c:pt>
                <c:pt idx="17">
                  <c:v>2.2303999999999999</c:v>
                </c:pt>
                <c:pt idx="18">
                  <c:v>-1.012</c:v>
                </c:pt>
                <c:pt idx="19">
                  <c:v>2.3969</c:v>
                </c:pt>
                <c:pt idx="20">
                  <c:v>3.1471</c:v>
                </c:pt>
                <c:pt idx="21">
                  <c:v>2.7210999999999999</c:v>
                </c:pt>
                <c:pt idx="22">
                  <c:v>2.952</c:v>
                </c:pt>
                <c:pt idx="23">
                  <c:v>2.7797999999999998</c:v>
                </c:pt>
                <c:pt idx="24">
                  <c:v>3.0331999999999999</c:v>
                </c:pt>
                <c:pt idx="25">
                  <c:v>2.8340000000000001</c:v>
                </c:pt>
                <c:pt idx="26">
                  <c:v>3.2443</c:v>
                </c:pt>
                <c:pt idx="27">
                  <c:v>2.8963999999999999</c:v>
                </c:pt>
                <c:pt idx="28">
                  <c:v>3.2406999999999999</c:v>
                </c:pt>
                <c:pt idx="29">
                  <c:v>2.8868</c:v>
                </c:pt>
                <c:pt idx="30">
                  <c:v>3.1758000000000002</c:v>
                </c:pt>
                <c:pt idx="31">
                  <c:v>2.6448</c:v>
                </c:pt>
                <c:pt idx="32">
                  <c:v>3.5445000000000002</c:v>
                </c:pt>
                <c:pt idx="33">
                  <c:v>3.0737999999999999</c:v>
                </c:pt>
                <c:pt idx="34">
                  <c:v>3.3666</c:v>
                </c:pt>
                <c:pt idx="35">
                  <c:v>3.0746000000000002</c:v>
                </c:pt>
                <c:pt idx="36">
                  <c:v>3.5110999999999999</c:v>
                </c:pt>
                <c:pt idx="37">
                  <c:v>3.2118000000000002</c:v>
                </c:pt>
                <c:pt idx="38">
                  <c:v>3.2341000000000002</c:v>
                </c:pt>
                <c:pt idx="39">
                  <c:v>3.2363</c:v>
                </c:pt>
                <c:pt idx="40">
                  <c:v>3.4525000000000001</c:v>
                </c:pt>
                <c:pt idx="41">
                  <c:v>2.9697</c:v>
                </c:pt>
                <c:pt idx="42">
                  <c:v>2.7934999999999999</c:v>
                </c:pt>
                <c:pt idx="43">
                  <c:v>2.7250999999999999</c:v>
                </c:pt>
                <c:pt idx="44">
                  <c:v>3.1604999999999999</c:v>
                </c:pt>
                <c:pt idx="45">
                  <c:v>3.0815999999999999</c:v>
                </c:pt>
                <c:pt idx="46">
                  <c:v>3.4420000000000002</c:v>
                </c:pt>
                <c:pt idx="47">
                  <c:v>3.4104000000000001</c:v>
                </c:pt>
                <c:pt idx="48">
                  <c:v>3.6838000000000002</c:v>
                </c:pt>
                <c:pt idx="49">
                  <c:v>3.6362999999999999</c:v>
                </c:pt>
                <c:pt idx="50">
                  <c:v>4.1414</c:v>
                </c:pt>
                <c:pt idx="51">
                  <c:v>3.6833</c:v>
                </c:pt>
                <c:pt idx="52">
                  <c:v>4.1096000000000004</c:v>
                </c:pt>
                <c:pt idx="53">
                  <c:v>3.5501999999999998</c:v>
                </c:pt>
                <c:pt idx="54">
                  <c:v>3.8580000000000001</c:v>
                </c:pt>
                <c:pt idx="55">
                  <c:v>3.3921000000000001</c:v>
                </c:pt>
                <c:pt idx="56">
                  <c:v>3.4127999999999998</c:v>
                </c:pt>
                <c:pt idx="57">
                  <c:v>2.0529999999999999</c:v>
                </c:pt>
                <c:pt idx="58">
                  <c:v>-0.53620000000000001</c:v>
                </c:pt>
                <c:pt idx="59">
                  <c:v>1.7277</c:v>
                </c:pt>
                <c:pt idx="60">
                  <c:v>3.2585000000000002</c:v>
                </c:pt>
                <c:pt idx="61">
                  <c:v>2.5954999999999999</c:v>
                </c:pt>
                <c:pt idx="62">
                  <c:v>3.0022000000000002</c:v>
                </c:pt>
                <c:pt idx="63">
                  <c:v>2.8210000000000002</c:v>
                </c:pt>
                <c:pt idx="64">
                  <c:v>3.1320999999999999</c:v>
                </c:pt>
                <c:pt idx="65">
                  <c:v>2.4336000000000002</c:v>
                </c:pt>
                <c:pt idx="66">
                  <c:v>0.48859999999999998</c:v>
                </c:pt>
                <c:pt idx="67">
                  <c:v>1.5197000000000001</c:v>
                </c:pt>
                <c:pt idx="68">
                  <c:v>1.7949999999999999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7-4251-A28E-04E2967F14A1}"/>
            </c:ext>
          </c:extLst>
        </c:ser>
        <c:ser>
          <c:idx val="1"/>
          <c:order val="1"/>
          <c:tx>
            <c:strRef>
              <c:f>指数历史财务比率比较!$I$33</c:f>
              <c:strCache>
                <c:ptCount val="1"/>
                <c:pt idx="0">
                  <c:v>Fetching...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指数历史财务比率比较!$E$34:$E$102</c:f>
              <c:numCache>
                <c:formatCode>m/d/yyyy</c:formatCode>
                <c:ptCount val="69"/>
                <c:pt idx="0">
                  <c:v>45107</c:v>
                </c:pt>
                <c:pt idx="1">
                  <c:v>45016</c:v>
                </c:pt>
                <c:pt idx="2">
                  <c:v>44926</c:v>
                </c:pt>
                <c:pt idx="3">
                  <c:v>44834</c:v>
                </c:pt>
                <c:pt idx="4">
                  <c:v>44742</c:v>
                </c:pt>
                <c:pt idx="5">
                  <c:v>44651</c:v>
                </c:pt>
                <c:pt idx="6">
                  <c:v>44561</c:v>
                </c:pt>
                <c:pt idx="7">
                  <c:v>44469</c:v>
                </c:pt>
                <c:pt idx="8">
                  <c:v>44377</c:v>
                </c:pt>
                <c:pt idx="9">
                  <c:v>44286</c:v>
                </c:pt>
                <c:pt idx="10">
                  <c:v>44196</c:v>
                </c:pt>
                <c:pt idx="11">
                  <c:v>44104</c:v>
                </c:pt>
                <c:pt idx="12">
                  <c:v>44012</c:v>
                </c:pt>
                <c:pt idx="13">
                  <c:v>43921</c:v>
                </c:pt>
                <c:pt idx="14">
                  <c:v>43830</c:v>
                </c:pt>
                <c:pt idx="15">
                  <c:v>43738</c:v>
                </c:pt>
                <c:pt idx="16">
                  <c:v>43646</c:v>
                </c:pt>
                <c:pt idx="17">
                  <c:v>43555</c:v>
                </c:pt>
                <c:pt idx="18">
                  <c:v>43465</c:v>
                </c:pt>
                <c:pt idx="19">
                  <c:v>43373</c:v>
                </c:pt>
                <c:pt idx="20">
                  <c:v>43281</c:v>
                </c:pt>
                <c:pt idx="21">
                  <c:v>43190</c:v>
                </c:pt>
                <c:pt idx="22">
                  <c:v>43100</c:v>
                </c:pt>
                <c:pt idx="23">
                  <c:v>43008</c:v>
                </c:pt>
                <c:pt idx="24">
                  <c:v>42916</c:v>
                </c:pt>
                <c:pt idx="25">
                  <c:v>42825</c:v>
                </c:pt>
                <c:pt idx="26">
                  <c:v>42735</c:v>
                </c:pt>
                <c:pt idx="27">
                  <c:v>42643</c:v>
                </c:pt>
                <c:pt idx="28">
                  <c:v>42551</c:v>
                </c:pt>
                <c:pt idx="29">
                  <c:v>42460</c:v>
                </c:pt>
                <c:pt idx="30">
                  <c:v>42369</c:v>
                </c:pt>
                <c:pt idx="31">
                  <c:v>42277</c:v>
                </c:pt>
                <c:pt idx="32">
                  <c:v>42185</c:v>
                </c:pt>
                <c:pt idx="33">
                  <c:v>42094</c:v>
                </c:pt>
                <c:pt idx="34">
                  <c:v>42004</c:v>
                </c:pt>
                <c:pt idx="35">
                  <c:v>41912</c:v>
                </c:pt>
                <c:pt idx="36">
                  <c:v>41820</c:v>
                </c:pt>
                <c:pt idx="37">
                  <c:v>41729</c:v>
                </c:pt>
                <c:pt idx="38">
                  <c:v>41639</c:v>
                </c:pt>
                <c:pt idx="39">
                  <c:v>41547</c:v>
                </c:pt>
                <c:pt idx="40">
                  <c:v>41455</c:v>
                </c:pt>
                <c:pt idx="41">
                  <c:v>41364</c:v>
                </c:pt>
                <c:pt idx="42">
                  <c:v>41274</c:v>
                </c:pt>
                <c:pt idx="43">
                  <c:v>41182</c:v>
                </c:pt>
                <c:pt idx="44">
                  <c:v>41090</c:v>
                </c:pt>
                <c:pt idx="45">
                  <c:v>40999</c:v>
                </c:pt>
                <c:pt idx="46">
                  <c:v>40908</c:v>
                </c:pt>
                <c:pt idx="47">
                  <c:v>40816</c:v>
                </c:pt>
                <c:pt idx="48">
                  <c:v>40724</c:v>
                </c:pt>
                <c:pt idx="49">
                  <c:v>40633</c:v>
                </c:pt>
                <c:pt idx="50">
                  <c:v>40543</c:v>
                </c:pt>
                <c:pt idx="51">
                  <c:v>40451</c:v>
                </c:pt>
                <c:pt idx="52">
                  <c:v>40359</c:v>
                </c:pt>
                <c:pt idx="53">
                  <c:v>40268</c:v>
                </c:pt>
                <c:pt idx="54">
                  <c:v>40178</c:v>
                </c:pt>
                <c:pt idx="55">
                  <c:v>40086</c:v>
                </c:pt>
                <c:pt idx="56">
                  <c:v>39994</c:v>
                </c:pt>
                <c:pt idx="57">
                  <c:v>39903</c:v>
                </c:pt>
                <c:pt idx="58">
                  <c:v>39813</c:v>
                </c:pt>
                <c:pt idx="59">
                  <c:v>39721</c:v>
                </c:pt>
                <c:pt idx="60">
                  <c:v>39629</c:v>
                </c:pt>
                <c:pt idx="61">
                  <c:v>39538</c:v>
                </c:pt>
                <c:pt idx="62">
                  <c:v>39447</c:v>
                </c:pt>
                <c:pt idx="63">
                  <c:v>39355</c:v>
                </c:pt>
                <c:pt idx="64">
                  <c:v>39263</c:v>
                </c:pt>
                <c:pt idx="65">
                  <c:v>39172</c:v>
                </c:pt>
                <c:pt idx="66">
                  <c:v>39082</c:v>
                </c:pt>
                <c:pt idx="67">
                  <c:v>38990</c:v>
                </c:pt>
                <c:pt idx="68">
                  <c:v>38898</c:v>
                </c:pt>
              </c:numCache>
            </c:numRef>
          </c:cat>
          <c:val>
            <c:numRef>
              <c:f>指数历史财务比率比较!$I$34:$I$102</c:f>
              <c:numCache>
                <c:formatCode>0.00_);[Red]\(0.00\)</c:formatCode>
                <c:ptCount val="69"/>
                <c:pt idx="0">
                  <c:v>2.3475999999999999</c:v>
                </c:pt>
                <c:pt idx="1">
                  <c:v>2.4567000000000001</c:v>
                </c:pt>
                <c:pt idx="2">
                  <c:v>1.3351</c:v>
                </c:pt>
                <c:pt idx="3">
                  <c:v>2.3919000000000001</c:v>
                </c:pt>
                <c:pt idx="4">
                  <c:v>2.7370999999999999</c:v>
                </c:pt>
                <c:pt idx="5">
                  <c:v>2.5507</c:v>
                </c:pt>
                <c:pt idx="6">
                  <c:v>1.4650000000000001</c:v>
                </c:pt>
                <c:pt idx="7">
                  <c:v>2.5918000000000001</c:v>
                </c:pt>
                <c:pt idx="8">
                  <c:v>2.9392</c:v>
                </c:pt>
                <c:pt idx="9">
                  <c:v>2.7164999999999999</c:v>
                </c:pt>
                <c:pt idx="10">
                  <c:v>1.7689999999999999</c:v>
                </c:pt>
                <c:pt idx="11">
                  <c:v>2.8856999999999999</c:v>
                </c:pt>
                <c:pt idx="12">
                  <c:v>2.3626999999999998</c:v>
                </c:pt>
                <c:pt idx="13">
                  <c:v>1.9574</c:v>
                </c:pt>
                <c:pt idx="14">
                  <c:v>1.1282000000000001</c:v>
                </c:pt>
                <c:pt idx="15">
                  <c:v>2.6625999999999999</c:v>
                </c:pt>
                <c:pt idx="16">
                  <c:v>2.9097</c:v>
                </c:pt>
                <c:pt idx="17">
                  <c:v>2.8031000000000001</c:v>
                </c:pt>
                <c:pt idx="18">
                  <c:v>1.1992</c:v>
                </c:pt>
                <c:pt idx="19">
                  <c:v>2.7174999999999998</c:v>
                </c:pt>
                <c:pt idx="20">
                  <c:v>3.0352000000000001</c:v>
                </c:pt>
                <c:pt idx="21">
                  <c:v>2.7782</c:v>
                </c:pt>
                <c:pt idx="22">
                  <c:v>2.3460000000000001</c:v>
                </c:pt>
                <c:pt idx="23">
                  <c:v>2.8847</c:v>
                </c:pt>
                <c:pt idx="24">
                  <c:v>2.9239999999999999</c:v>
                </c:pt>
                <c:pt idx="25">
                  <c:v>2.7121</c:v>
                </c:pt>
                <c:pt idx="26">
                  <c:v>2.2465000000000002</c:v>
                </c:pt>
                <c:pt idx="27">
                  <c:v>2.6135999999999999</c:v>
                </c:pt>
                <c:pt idx="28">
                  <c:v>2.8871000000000002</c:v>
                </c:pt>
                <c:pt idx="29">
                  <c:v>2.5363000000000002</c:v>
                </c:pt>
                <c:pt idx="30">
                  <c:v>2.0041000000000002</c:v>
                </c:pt>
                <c:pt idx="31">
                  <c:v>2.4918999999999998</c:v>
                </c:pt>
                <c:pt idx="32">
                  <c:v>3.5291999999999999</c:v>
                </c:pt>
                <c:pt idx="33">
                  <c:v>2.9704000000000002</c:v>
                </c:pt>
                <c:pt idx="34">
                  <c:v>2.5299</c:v>
                </c:pt>
                <c:pt idx="35">
                  <c:v>3.3582000000000001</c:v>
                </c:pt>
                <c:pt idx="36">
                  <c:v>3.6105999999999998</c:v>
                </c:pt>
                <c:pt idx="37">
                  <c:v>3.3502000000000001</c:v>
                </c:pt>
                <c:pt idx="38">
                  <c:v>3.0051999999999999</c:v>
                </c:pt>
                <c:pt idx="39">
                  <c:v>3.4952000000000001</c:v>
                </c:pt>
                <c:pt idx="40">
                  <c:v>3.6204000000000001</c:v>
                </c:pt>
                <c:pt idx="41">
                  <c:v>3.4380999999999999</c:v>
                </c:pt>
                <c:pt idx="42">
                  <c:v>2.9973999999999998</c:v>
                </c:pt>
                <c:pt idx="43">
                  <c:v>3.2277999999999998</c:v>
                </c:pt>
                <c:pt idx="44">
                  <c:v>3.6015999999999999</c:v>
                </c:pt>
                <c:pt idx="45">
                  <c:v>3.5051000000000001</c:v>
                </c:pt>
                <c:pt idx="46">
                  <c:v>3.1267</c:v>
                </c:pt>
                <c:pt idx="47">
                  <c:v>3.786</c:v>
                </c:pt>
                <c:pt idx="48">
                  <c:v>4.1844999999999999</c:v>
                </c:pt>
                <c:pt idx="49">
                  <c:v>4.0334000000000003</c:v>
                </c:pt>
                <c:pt idx="50">
                  <c:v>3.9062999999999999</c:v>
                </c:pt>
                <c:pt idx="51">
                  <c:v>4.0785999999999998</c:v>
                </c:pt>
                <c:pt idx="52">
                  <c:v>4.1299000000000001</c:v>
                </c:pt>
                <c:pt idx="53">
                  <c:v>3.8656000000000001</c:v>
                </c:pt>
                <c:pt idx="54">
                  <c:v>3.3633999999999999</c:v>
                </c:pt>
                <c:pt idx="55">
                  <c:v>3.7852999999999999</c:v>
                </c:pt>
                <c:pt idx="56">
                  <c:v>3.7351999999999999</c:v>
                </c:pt>
                <c:pt idx="57">
                  <c:v>2.7801</c:v>
                </c:pt>
                <c:pt idx="58">
                  <c:v>0.442</c:v>
                </c:pt>
                <c:pt idx="59">
                  <c:v>3.3102</c:v>
                </c:pt>
                <c:pt idx="60">
                  <c:v>4.2206000000000001</c:v>
                </c:pt>
                <c:pt idx="61">
                  <c:v>4.0446999999999997</c:v>
                </c:pt>
                <c:pt idx="62">
                  <c:v>4.1853999999999996</c:v>
                </c:pt>
                <c:pt idx="63">
                  <c:v>4.2153</c:v>
                </c:pt>
                <c:pt idx="64">
                  <c:v>4.4226000000000001</c:v>
                </c:pt>
                <c:pt idx="65">
                  <c:v>3.6577999999999999</c:v>
                </c:pt>
                <c:pt idx="66">
                  <c:v>2.8285999999999998</c:v>
                </c:pt>
                <c:pt idx="67">
                  <c:v>3.3216000000000001</c:v>
                </c:pt>
                <c:pt idx="68">
                  <c:v>3.0592999999999999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7-4251-A28E-04E2967F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130512"/>
        <c:axId val="1007140080"/>
      </c:lineChart>
      <c:dateAx>
        <c:axId val="1007130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40080"/>
        <c:crosses val="autoZero"/>
        <c:auto val="1"/>
        <c:lblOffset val="100"/>
        <c:baseTimeUnit val="months"/>
        <c:majorUnit val="1"/>
        <c:majorTimeUnit val="years"/>
      </c:dateAx>
      <c:valAx>
        <c:axId val="10071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30512"/>
        <c:crosses val="autoZero"/>
        <c:crossBetween val="between"/>
      </c:valAx>
      <c:valAx>
        <c:axId val="1007136336"/>
        <c:scaling>
          <c:orientation val="minMax"/>
        </c:scaling>
        <c:delete val="0"/>
        <c:axPos val="r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30096"/>
        <c:crosses val="max"/>
        <c:crossBetween val="between"/>
      </c:valAx>
      <c:dateAx>
        <c:axId val="10071300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071363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85725</xdr:rowOff>
    </xdr:from>
    <xdr:ext cx="607152" cy="219075"/>
    <xdr:pic>
      <xdr:nvPicPr>
        <xdr:cNvPr id="5" name="图片 4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85725"/>
          <a:ext cx="607152" cy="219075"/>
        </a:xfrm>
        <a:prstGeom prst="rect">
          <a:avLst/>
        </a:prstGeom>
      </xdr:spPr>
    </xdr:pic>
    <xdr:clientData/>
  </xdr:oneCellAnchor>
  <xdr:twoCellAnchor>
    <xdr:from>
      <xdr:col>2</xdr:col>
      <xdr:colOff>33337</xdr:colOff>
      <xdr:row>8</xdr:row>
      <xdr:rowOff>85724</xdr:rowOff>
    </xdr:from>
    <xdr:to>
      <xdr:col>13</xdr:col>
      <xdr:colOff>0</xdr:colOff>
      <xdr:row>30</xdr:row>
      <xdr:rowOff>133349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R307"/>
  <sheetViews>
    <sheetView showGridLines="0" tabSelected="1" workbookViewId="0">
      <selection activeCell="D105" sqref="D105"/>
    </sheetView>
  </sheetViews>
  <sheetFormatPr defaultRowHeight="14.25"/>
  <cols>
    <col min="1" max="1" width="3.25" style="6" customWidth="1"/>
    <col min="2" max="2" width="1.75" style="6" customWidth="1"/>
    <col min="3" max="3" width="22.625" style="6" customWidth="1"/>
    <col min="4" max="4" width="1.625" style="6" customWidth="1"/>
    <col min="5" max="5" width="22.625" style="6" customWidth="1"/>
    <col min="6" max="6" width="1.625" style="6" customWidth="1"/>
    <col min="7" max="7" width="22.625" style="6" customWidth="1"/>
    <col min="8" max="8" width="1.625" style="6" customWidth="1"/>
    <col min="9" max="9" width="22.625" style="6" customWidth="1"/>
    <col min="10" max="10" width="1.625" style="6" customWidth="1"/>
    <col min="11" max="11" width="22.625" style="6" customWidth="1"/>
    <col min="12" max="12" width="1.625" style="6" customWidth="1"/>
    <col min="13" max="13" width="22.625" style="6" customWidth="1"/>
    <col min="14" max="14" width="1.75" style="6" customWidth="1"/>
    <col min="15" max="15" width="8.25" style="15" customWidth="1"/>
    <col min="16" max="17" width="9" style="11"/>
    <col min="18" max="18" width="17.375" style="11" hidden="1" customWidth="1"/>
    <col min="19" max="16384" width="9" style="6"/>
  </cols>
  <sheetData>
    <row r="1" spans="2:15" ht="28.5" customHeight="1">
      <c r="B1" s="4"/>
      <c r="C1" s="4"/>
      <c r="D1" s="4"/>
      <c r="E1" s="39" t="s">
        <v>36</v>
      </c>
      <c r="F1" s="39"/>
      <c r="G1" s="39"/>
      <c r="H1" s="39"/>
      <c r="I1" s="39"/>
      <c r="J1" s="39"/>
      <c r="K1" s="39"/>
      <c r="L1" s="21"/>
      <c r="M1" s="17"/>
      <c r="N1" s="4"/>
      <c r="O1" s="5"/>
    </row>
    <row r="2" spans="2:1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/>
    </row>
    <row r="3" spans="2:15" ht="22.5" thickBot="1">
      <c r="B3" s="7"/>
      <c r="C3" s="8" t="s">
        <v>10</v>
      </c>
      <c r="D3" s="8"/>
      <c r="E3" s="16" t="s">
        <v>35</v>
      </c>
      <c r="G3" s="8" t="s">
        <v>31</v>
      </c>
      <c r="H3" s="8"/>
      <c r="I3" s="23" t="s">
        <v>30</v>
      </c>
      <c r="K3" s="8" t="s">
        <v>33</v>
      </c>
      <c r="L3" s="8"/>
      <c r="M3" s="24" t="s">
        <v>24</v>
      </c>
      <c r="N3" s="7"/>
      <c r="O3" s="5"/>
    </row>
    <row r="4" spans="2:15" ht="23.25" thickTop="1" thickBot="1">
      <c r="B4" s="7"/>
      <c r="C4" s="8" t="s">
        <v>11</v>
      </c>
      <c r="D4" s="8"/>
      <c r="E4" s="22" t="str">
        <f>[1]!s_info_name(E3)</f>
        <v>可选消费</v>
      </c>
      <c r="G4" s="8" t="s">
        <v>32</v>
      </c>
      <c r="H4" s="8"/>
      <c r="I4" s="22" t="str">
        <f>[1]!s_info_name(I3)</f>
        <v>万得全A</v>
      </c>
      <c r="K4" s="8" t="s">
        <v>25</v>
      </c>
      <c r="L4" s="8"/>
      <c r="M4" s="24" t="s">
        <v>12</v>
      </c>
      <c r="N4" s="7"/>
      <c r="O4" s="5"/>
    </row>
    <row r="5" spans="2:15" ht="8.25" customHeight="1" thickTop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/>
    </row>
    <row r="6" spans="2:15" ht="9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5"/>
    </row>
    <row r="7" spans="2:15">
      <c r="B7" s="7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7"/>
      <c r="O7" s="5"/>
    </row>
    <row r="8" spans="2:15" ht="21">
      <c r="B8" s="7"/>
      <c r="C8" s="37" t="str">
        <f>M3&amp;"历史比较"</f>
        <v>单季度营收同比(%)历史比较</v>
      </c>
      <c r="D8" s="37"/>
      <c r="E8" s="38"/>
      <c r="F8" s="38"/>
      <c r="G8" s="38"/>
      <c r="H8" s="38"/>
      <c r="I8" s="38"/>
      <c r="J8" s="38"/>
      <c r="K8" s="38"/>
      <c r="L8" s="38"/>
      <c r="M8" s="38"/>
      <c r="N8" s="7"/>
      <c r="O8" s="5"/>
    </row>
    <row r="9" spans="2:15"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7"/>
      <c r="O9" s="5"/>
    </row>
    <row r="10" spans="2:15">
      <c r="B10" s="7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7"/>
      <c r="O10" s="5"/>
    </row>
    <row r="11" spans="2:15">
      <c r="B11" s="7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7"/>
      <c r="O11" s="5"/>
    </row>
    <row r="12" spans="2:15">
      <c r="B12" s="7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7"/>
      <c r="O12" s="5"/>
    </row>
    <row r="13" spans="2:15">
      <c r="B13" s="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7"/>
      <c r="O13" s="5"/>
    </row>
    <row r="14" spans="2:15">
      <c r="B14" s="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7"/>
      <c r="O14" s="5"/>
    </row>
    <row r="15" spans="2:15">
      <c r="B15" s="7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7"/>
      <c r="O15" s="5"/>
    </row>
    <row r="16" spans="2:15">
      <c r="B16" s="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7"/>
      <c r="O16" s="5"/>
    </row>
    <row r="17" spans="2:18">
      <c r="B17" s="7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7"/>
      <c r="O17" s="5"/>
    </row>
    <row r="18" spans="2:18">
      <c r="B18" s="7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7"/>
      <c r="O18" s="5"/>
    </row>
    <row r="19" spans="2:18">
      <c r="B19" s="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7"/>
      <c r="O19" s="5"/>
    </row>
    <row r="20" spans="2:18">
      <c r="B20" s="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7"/>
      <c r="O20" s="5"/>
    </row>
    <row r="21" spans="2:18">
      <c r="B21" s="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7"/>
      <c r="O21" s="5"/>
    </row>
    <row r="22" spans="2:18">
      <c r="B22" s="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7"/>
      <c r="O22" s="5"/>
    </row>
    <row r="23" spans="2:18">
      <c r="B23" s="7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7"/>
      <c r="O23" s="5"/>
    </row>
    <row r="24" spans="2:18">
      <c r="B24" s="7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7"/>
      <c r="O24" s="5"/>
      <c r="R24" s="26"/>
    </row>
    <row r="25" spans="2:18">
      <c r="B25" s="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7"/>
      <c r="O25" s="5"/>
      <c r="R25" s="11" t="s">
        <v>24</v>
      </c>
    </row>
    <row r="26" spans="2:18">
      <c r="B26" s="7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7"/>
      <c r="O26" s="5"/>
      <c r="R26" s="6" t="s">
        <v>26</v>
      </c>
    </row>
    <row r="27" spans="2:18">
      <c r="B27" s="7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7"/>
      <c r="O27" s="5"/>
      <c r="R27" s="6" t="s">
        <v>27</v>
      </c>
    </row>
    <row r="28" spans="2:18">
      <c r="B28" s="7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7"/>
      <c r="O28" s="5"/>
      <c r="R28" s="6" t="s">
        <v>28</v>
      </c>
    </row>
    <row r="29" spans="2:18">
      <c r="B29" s="7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7"/>
      <c r="O29" s="5"/>
      <c r="R29" s="6" t="s">
        <v>29</v>
      </c>
    </row>
    <row r="30" spans="2:18">
      <c r="B30" s="7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7"/>
      <c r="O30" s="5"/>
    </row>
    <row r="31" spans="2:18"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7"/>
      <c r="O31" s="5"/>
    </row>
    <row r="32" spans="2:18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"/>
      <c r="R32" s="11" t="s">
        <v>13</v>
      </c>
    </row>
    <row r="33" spans="2:18" ht="18">
      <c r="B33" s="7"/>
      <c r="C33" s="13"/>
      <c r="D33" s="13"/>
      <c r="E33" s="13"/>
      <c r="F33" s="13"/>
      <c r="G33" s="29" t="str">
        <f>E4</f>
        <v>可选消费</v>
      </c>
      <c r="H33" s="29"/>
      <c r="I33" s="29" t="str">
        <f>I4</f>
        <v>万得全A</v>
      </c>
      <c r="J33" s="29"/>
      <c r="K33" s="30" t="str">
        <f>M4</f>
        <v>绝对差额</v>
      </c>
      <c r="L33" s="25"/>
      <c r="M33" s="25"/>
      <c r="N33" s="12"/>
      <c r="O33" s="5"/>
      <c r="R33" s="11" t="s">
        <v>34</v>
      </c>
    </row>
    <row r="34" spans="2:18" ht="16.5">
      <c r="B34" s="7"/>
      <c r="C34" s="19"/>
      <c r="D34" s="27"/>
      <c r="E34" s="31">
        <f>Data!A5</f>
        <v>45107</v>
      </c>
      <c r="F34" s="19"/>
      <c r="G34" s="33">
        <f>IF(M$3="单季度营收同比(%)",Data!F5,IF(M$3="单季度净利同比(%)",Data!G5,IF(M$3="单季度净利率(%)",Data!H5,IF(M$3="单季度ROE(%)",Data!I5,IF(M$3="单季度ROA(%)",Data!J5,)))))</f>
        <v>2.5598999999999998</v>
      </c>
      <c r="H34" s="19"/>
      <c r="I34" s="33">
        <f>IF(M$3="单季度营收同比(%)",Data!Q5,IF(M$3="单季度净利同比(%)",Data!R5,IF(M$3="单季度净利率(%)",Data!S5,IF(M$3="单季度ROE(%)",Data!T5,IF(M$3="单季度ROA(%)",Data!U5,)))))</f>
        <v>2.3475999999999999</v>
      </c>
      <c r="J34" s="34"/>
      <c r="K34" s="33">
        <f t="shared" ref="K34:K69" si="0">IFERROR(IF(M$4="绝对差额",G34-I34,IF(M$4="比值",G34/I34,)),0)</f>
        <v>0.21229999999999993</v>
      </c>
      <c r="L34" s="19"/>
      <c r="M34" s="19"/>
      <c r="N34" s="12"/>
      <c r="O34" s="5"/>
    </row>
    <row r="35" spans="2:18" ht="16.5">
      <c r="B35" s="7"/>
      <c r="C35" s="18"/>
      <c r="D35" s="28"/>
      <c r="E35" s="32">
        <f>Data!A6</f>
        <v>45016</v>
      </c>
      <c r="F35" s="18"/>
      <c r="G35" s="35">
        <f>IF(M$3="单季度营收同比(%)",Data!F6,IF(M$3="单季度净利同比(%)",Data!G6,IF(M$3="单季度净利率(%)",Data!H6,IF(M$3="单季度ROE(%)",Data!I6,IF(M$3="单季度ROA(%)",Data!J6,)))))</f>
        <v>2.1926000000000001</v>
      </c>
      <c r="H35" s="18"/>
      <c r="I35" s="35">
        <f>IF(M$3="单季度营收同比(%)",Data!Q6,IF(M$3="单季度净利同比(%)",Data!R6,IF(M$3="单季度净利率(%)",Data!S6,IF(M$3="单季度ROE(%)",Data!T6,IF(M$3="单季度ROA(%)",Data!U6,)))))</f>
        <v>2.4567000000000001</v>
      </c>
      <c r="J35" s="36"/>
      <c r="K35" s="35">
        <f t="shared" si="0"/>
        <v>-0.2641</v>
      </c>
      <c r="L35" s="18"/>
      <c r="M35" s="18"/>
      <c r="N35" s="12"/>
      <c r="O35" s="5"/>
    </row>
    <row r="36" spans="2:18" ht="16.5">
      <c r="B36" s="7"/>
      <c r="C36" s="19"/>
      <c r="D36" s="27"/>
      <c r="E36" s="31">
        <f>Data!A7</f>
        <v>44926</v>
      </c>
      <c r="F36" s="19"/>
      <c r="G36" s="33">
        <f>IF(M$3="单季度营收同比(%)",Data!F7,IF(M$3="单季度净利同比(%)",Data!G7,IF(M$3="单季度净利率(%)",Data!H7,IF(M$3="单季度ROE(%)",Data!I7,IF(M$3="单季度ROA(%)",Data!J7,)))))</f>
        <v>-0.54730000000000001</v>
      </c>
      <c r="H36" s="19"/>
      <c r="I36" s="33">
        <f>IF(M$3="单季度营收同比(%)",Data!Q7,IF(M$3="单季度净利同比(%)",Data!R7,IF(M$3="单季度净利率(%)",Data!S7,IF(M$3="单季度ROE(%)",Data!T7,IF(M$3="单季度ROA(%)",Data!U7,)))))</f>
        <v>1.3351</v>
      </c>
      <c r="J36" s="34"/>
      <c r="K36" s="33">
        <f t="shared" si="0"/>
        <v>-1.8824000000000001</v>
      </c>
      <c r="L36" s="19"/>
      <c r="M36" s="19"/>
      <c r="N36" s="12"/>
      <c r="O36" s="5"/>
    </row>
    <row r="37" spans="2:18" ht="16.5">
      <c r="B37" s="7"/>
      <c r="C37" s="18"/>
      <c r="D37" s="28"/>
      <c r="E37" s="32">
        <f>Data!A8</f>
        <v>44834</v>
      </c>
      <c r="F37" s="18"/>
      <c r="G37" s="35">
        <f>IF(M$3="单季度营收同比(%)",Data!F8,IF(M$3="单季度净利同比(%)",Data!G8,IF(M$3="单季度净利率(%)",Data!H8,IF(M$3="单季度ROE(%)",Data!I8,IF(M$3="单季度ROA(%)",Data!J8,)))))</f>
        <v>2.0097</v>
      </c>
      <c r="H37" s="18"/>
      <c r="I37" s="35">
        <f>IF(M$3="单季度营收同比(%)",Data!Q8,IF(M$3="单季度净利同比(%)",Data!R8,IF(M$3="单季度净利率(%)",Data!S8,IF(M$3="单季度ROE(%)",Data!T8,IF(M$3="单季度ROA(%)",Data!U8,)))))</f>
        <v>2.3919000000000001</v>
      </c>
      <c r="J37" s="36"/>
      <c r="K37" s="35">
        <f t="shared" si="0"/>
        <v>-0.3822000000000001</v>
      </c>
      <c r="L37" s="18"/>
      <c r="M37" s="18"/>
      <c r="N37" s="12"/>
      <c r="O37" s="5"/>
    </row>
    <row r="38" spans="2:18" ht="16.5">
      <c r="B38" s="7"/>
      <c r="C38" s="19"/>
      <c r="D38" s="27"/>
      <c r="E38" s="31">
        <f>Data!A9</f>
        <v>44742</v>
      </c>
      <c r="F38" s="19"/>
      <c r="G38" s="33">
        <f>IF(M$3="单季度营收同比(%)",Data!F9,IF(M$3="单季度净利同比(%)",Data!G9,IF(M$3="单季度净利率(%)",Data!H9,IF(M$3="单季度ROE(%)",Data!I9,IF(M$3="单季度ROA(%)",Data!J9,)))))</f>
        <v>1.9853000000000001</v>
      </c>
      <c r="H38" s="19"/>
      <c r="I38" s="33">
        <f>IF(M$3="单季度营收同比(%)",Data!Q9,IF(M$3="单季度净利同比(%)",Data!R9,IF(M$3="单季度净利率(%)",Data!S9,IF(M$3="单季度ROE(%)",Data!T9,IF(M$3="单季度ROA(%)",Data!U9,)))))</f>
        <v>2.7370999999999999</v>
      </c>
      <c r="J38" s="34"/>
      <c r="K38" s="33">
        <f t="shared" si="0"/>
        <v>-0.7517999999999998</v>
      </c>
      <c r="L38" s="19"/>
      <c r="M38" s="19"/>
      <c r="N38" s="12"/>
      <c r="O38" s="5"/>
    </row>
    <row r="39" spans="2:18" ht="16.5">
      <c r="B39" s="7"/>
      <c r="C39" s="18"/>
      <c r="D39" s="28"/>
      <c r="E39" s="32">
        <f>Data!A10</f>
        <v>44651</v>
      </c>
      <c r="F39" s="18"/>
      <c r="G39" s="35">
        <f>IF(M$3="单季度营收同比(%)",Data!F10,IF(M$3="单季度净利同比(%)",Data!G10,IF(M$3="单季度净利率(%)",Data!H10,IF(M$3="单季度ROE(%)",Data!I10,IF(M$3="单季度ROA(%)",Data!J10,)))))</f>
        <v>1.8859999999999999</v>
      </c>
      <c r="H39" s="18"/>
      <c r="I39" s="35">
        <f>IF(M$3="单季度营收同比(%)",Data!Q10,IF(M$3="单季度净利同比(%)",Data!R10,IF(M$3="单季度净利率(%)",Data!S10,IF(M$3="单季度ROE(%)",Data!T10,IF(M$3="单季度ROA(%)",Data!U10,)))))</f>
        <v>2.5507</v>
      </c>
      <c r="J39" s="36"/>
      <c r="K39" s="35">
        <f t="shared" si="0"/>
        <v>-0.66470000000000007</v>
      </c>
      <c r="L39" s="18"/>
      <c r="M39" s="18"/>
      <c r="N39" s="12"/>
      <c r="O39" s="5"/>
    </row>
    <row r="40" spans="2:18" ht="16.5">
      <c r="B40" s="7"/>
      <c r="C40" s="19"/>
      <c r="D40" s="27"/>
      <c r="E40" s="31">
        <f>Data!A11</f>
        <v>44561</v>
      </c>
      <c r="F40" s="19"/>
      <c r="G40" s="33">
        <f>IF(M$3="单季度营收同比(%)",Data!F11,IF(M$3="单季度净利同比(%)",Data!G11,IF(M$3="单季度净利率(%)",Data!H11,IF(M$3="单季度ROE(%)",Data!I11,IF(M$3="单季度ROA(%)",Data!J11,)))))</f>
        <v>-0.56040000000000001</v>
      </c>
      <c r="H40" s="19"/>
      <c r="I40" s="33">
        <f>IF(M$3="单季度营收同比(%)",Data!Q11,IF(M$3="单季度净利同比(%)",Data!R11,IF(M$3="单季度净利率(%)",Data!S11,IF(M$3="单季度ROE(%)",Data!T11,IF(M$3="单季度ROA(%)",Data!U11,)))))</f>
        <v>1.4650000000000001</v>
      </c>
      <c r="J40" s="34"/>
      <c r="K40" s="33">
        <f t="shared" si="0"/>
        <v>-2.0254000000000003</v>
      </c>
      <c r="L40" s="19"/>
      <c r="M40" s="19"/>
      <c r="N40" s="12"/>
      <c r="O40" s="5"/>
    </row>
    <row r="41" spans="2:18" ht="16.5">
      <c r="B41" s="7"/>
      <c r="C41" s="18"/>
      <c r="D41" s="28"/>
      <c r="E41" s="32">
        <f>Data!A12</f>
        <v>44469</v>
      </c>
      <c r="F41" s="18"/>
      <c r="G41" s="35">
        <f>IF(M$3="单季度营收同比(%)",Data!F12,IF(M$3="单季度净利同比(%)",Data!G12,IF(M$3="单季度净利率(%)",Data!H12,IF(M$3="单季度ROE(%)",Data!I12,IF(M$3="单季度ROA(%)",Data!J12,)))))</f>
        <v>1.8912</v>
      </c>
      <c r="H41" s="18"/>
      <c r="I41" s="35">
        <f>IF(M$3="单季度营收同比(%)",Data!Q12,IF(M$3="单季度净利同比(%)",Data!R12,IF(M$3="单季度净利率(%)",Data!S12,IF(M$3="单季度ROE(%)",Data!T12,IF(M$3="单季度ROA(%)",Data!U12,)))))</f>
        <v>2.5918000000000001</v>
      </c>
      <c r="J41" s="36"/>
      <c r="K41" s="35">
        <f t="shared" si="0"/>
        <v>-0.70060000000000011</v>
      </c>
      <c r="L41" s="18"/>
      <c r="M41" s="18"/>
      <c r="N41" s="12"/>
      <c r="O41" s="5"/>
    </row>
    <row r="42" spans="2:18" ht="16.5">
      <c r="B42" s="7"/>
      <c r="C42" s="19"/>
      <c r="D42" s="27"/>
      <c r="E42" s="31">
        <f>Data!A13</f>
        <v>44377</v>
      </c>
      <c r="F42" s="19"/>
      <c r="G42" s="33">
        <f>IF(M$3="单季度营收同比(%)",Data!F13,IF(M$3="单季度净利同比(%)",Data!G13,IF(M$3="单季度净利率(%)",Data!H13,IF(M$3="单季度ROE(%)",Data!I13,IF(M$3="单季度ROA(%)",Data!J13,)))))</f>
        <v>2.4142999999999999</v>
      </c>
      <c r="H42" s="19"/>
      <c r="I42" s="33">
        <f>IF(M$3="单季度营收同比(%)",Data!Q13,IF(M$3="单季度净利同比(%)",Data!R13,IF(M$3="单季度净利率(%)",Data!S13,IF(M$3="单季度ROE(%)",Data!T13,IF(M$3="单季度ROA(%)",Data!U13,)))))</f>
        <v>2.9392</v>
      </c>
      <c r="J42" s="34"/>
      <c r="K42" s="33">
        <f t="shared" si="0"/>
        <v>-0.52490000000000014</v>
      </c>
      <c r="L42" s="19"/>
      <c r="M42" s="19"/>
      <c r="N42" s="12"/>
      <c r="O42" s="5"/>
    </row>
    <row r="43" spans="2:18" ht="16.5">
      <c r="B43" s="7"/>
      <c r="C43" s="18"/>
      <c r="D43" s="28"/>
      <c r="E43" s="32">
        <f>Data!A14</f>
        <v>44286</v>
      </c>
      <c r="F43" s="18"/>
      <c r="G43" s="35">
        <f>IF(M$3="单季度营收同比(%)",Data!F14,IF(M$3="单季度净利同比(%)",Data!G14,IF(M$3="单季度净利率(%)",Data!H14,IF(M$3="单季度ROE(%)",Data!I14,IF(M$3="单季度ROA(%)",Data!J14,)))))</f>
        <v>2.1736</v>
      </c>
      <c r="H43" s="18"/>
      <c r="I43" s="35">
        <f>IF(M$3="单季度营收同比(%)",Data!Q14,IF(M$3="单季度净利同比(%)",Data!R14,IF(M$3="单季度净利率(%)",Data!S14,IF(M$3="单季度ROE(%)",Data!T14,IF(M$3="单季度ROA(%)",Data!U14,)))))</f>
        <v>2.7164999999999999</v>
      </c>
      <c r="J43" s="36"/>
      <c r="K43" s="35">
        <f t="shared" si="0"/>
        <v>-0.54289999999999994</v>
      </c>
      <c r="L43" s="18"/>
      <c r="M43" s="18"/>
      <c r="N43" s="12"/>
      <c r="O43" s="5"/>
    </row>
    <row r="44" spans="2:18" ht="16.5">
      <c r="B44" s="7"/>
      <c r="C44" s="19"/>
      <c r="D44" s="27"/>
      <c r="E44" s="31">
        <f>Data!A15</f>
        <v>44196</v>
      </c>
      <c r="F44" s="19"/>
      <c r="G44" s="33">
        <f>IF(M$3="单季度营收同比(%)",Data!F15,IF(M$3="单季度净利同比(%)",Data!G15,IF(M$3="单季度净利率(%)",Data!H15,IF(M$3="单季度ROE(%)",Data!I15,IF(M$3="单季度ROA(%)",Data!J15,)))))</f>
        <v>0.22189999999999999</v>
      </c>
      <c r="H44" s="19"/>
      <c r="I44" s="33">
        <f>IF(M$3="单季度营收同比(%)",Data!Q15,IF(M$3="单季度净利同比(%)",Data!R15,IF(M$3="单季度净利率(%)",Data!S15,IF(M$3="单季度ROE(%)",Data!T15,IF(M$3="单季度ROA(%)",Data!U15,)))))</f>
        <v>1.7689999999999999</v>
      </c>
      <c r="J44" s="34"/>
      <c r="K44" s="33">
        <f t="shared" si="0"/>
        <v>-1.5470999999999999</v>
      </c>
      <c r="L44" s="19"/>
      <c r="M44" s="19"/>
      <c r="N44" s="12"/>
      <c r="O44" s="5"/>
    </row>
    <row r="45" spans="2:18" ht="16.5">
      <c r="B45" s="7"/>
      <c r="C45" s="18"/>
      <c r="D45" s="28"/>
      <c r="E45" s="32">
        <f>Data!A16</f>
        <v>44104</v>
      </c>
      <c r="F45" s="18"/>
      <c r="G45" s="35">
        <f>IF(M$3="单季度营收同比(%)",Data!F16,IF(M$3="单季度净利同比(%)",Data!G16,IF(M$3="单季度净利率(%)",Data!H16,IF(M$3="单季度ROE(%)",Data!I16,IF(M$3="单季度ROA(%)",Data!J16,)))))</f>
        <v>2.7235999999999998</v>
      </c>
      <c r="H45" s="18"/>
      <c r="I45" s="35">
        <f>IF(M$3="单季度营收同比(%)",Data!Q16,IF(M$3="单季度净利同比(%)",Data!R16,IF(M$3="单季度净利率(%)",Data!S16,IF(M$3="单季度ROE(%)",Data!T16,IF(M$3="单季度ROA(%)",Data!U16,)))))</f>
        <v>2.8856999999999999</v>
      </c>
      <c r="J45" s="36"/>
      <c r="K45" s="35">
        <f t="shared" si="0"/>
        <v>-0.16210000000000013</v>
      </c>
      <c r="L45" s="18"/>
      <c r="M45" s="18"/>
      <c r="N45" s="12"/>
      <c r="O45" s="5"/>
    </row>
    <row r="46" spans="2:18" ht="16.5">
      <c r="B46" s="7"/>
      <c r="C46" s="19"/>
      <c r="D46" s="27"/>
      <c r="E46" s="31">
        <f>Data!A17</f>
        <v>44012</v>
      </c>
      <c r="F46" s="19"/>
      <c r="G46" s="33">
        <f>IF(M$3="单季度营收同比(%)",Data!F17,IF(M$3="单季度净利同比(%)",Data!G17,IF(M$3="单季度净利率(%)",Data!H17,IF(M$3="单季度ROE(%)",Data!I17,IF(M$3="单季度ROA(%)",Data!J17,)))))</f>
        <v>2.1812999999999998</v>
      </c>
      <c r="H46" s="19"/>
      <c r="I46" s="33">
        <f>IF(M$3="单季度营收同比(%)",Data!Q17,IF(M$3="单季度净利同比(%)",Data!R17,IF(M$3="单季度净利率(%)",Data!S17,IF(M$3="单季度ROE(%)",Data!T17,IF(M$3="单季度ROA(%)",Data!U17,)))))</f>
        <v>2.3626999999999998</v>
      </c>
      <c r="J46" s="34"/>
      <c r="K46" s="33">
        <f t="shared" si="0"/>
        <v>-0.18140000000000001</v>
      </c>
      <c r="L46" s="19"/>
      <c r="M46" s="19"/>
      <c r="N46" s="12"/>
      <c r="O46" s="5"/>
    </row>
    <row r="47" spans="2:18" ht="16.5">
      <c r="B47" s="7"/>
      <c r="C47" s="18"/>
      <c r="D47" s="28"/>
      <c r="E47" s="32">
        <f>Data!A18</f>
        <v>43921</v>
      </c>
      <c r="F47" s="18"/>
      <c r="G47" s="35">
        <f>IF(M$3="单季度营收同比(%)",Data!F18,IF(M$3="单季度净利同比(%)",Data!G18,IF(M$3="单季度净利率(%)",Data!H18,IF(M$3="单季度ROE(%)",Data!I18,IF(M$3="单季度ROA(%)",Data!J18,)))))</f>
        <v>0.4017</v>
      </c>
      <c r="H47" s="18"/>
      <c r="I47" s="35">
        <f>IF(M$3="单季度营收同比(%)",Data!Q18,IF(M$3="单季度净利同比(%)",Data!R18,IF(M$3="单季度净利率(%)",Data!S18,IF(M$3="单季度ROE(%)",Data!T18,IF(M$3="单季度ROA(%)",Data!U18,)))))</f>
        <v>1.9574</v>
      </c>
      <c r="J47" s="36"/>
      <c r="K47" s="35">
        <f t="shared" si="0"/>
        <v>-1.5557000000000001</v>
      </c>
      <c r="L47" s="18"/>
      <c r="M47" s="18"/>
      <c r="N47" s="12"/>
      <c r="O47" s="5"/>
    </row>
    <row r="48" spans="2:18" ht="16.5">
      <c r="B48" s="7"/>
      <c r="C48" s="19"/>
      <c r="D48" s="27"/>
      <c r="E48" s="31">
        <f>Data!A19</f>
        <v>43830</v>
      </c>
      <c r="F48" s="19"/>
      <c r="G48" s="33">
        <f>IF(M$3="单季度营收同比(%)",Data!F19,IF(M$3="单季度净利同比(%)",Data!G19,IF(M$3="单季度净利率(%)",Data!H19,IF(M$3="单季度ROE(%)",Data!I19,IF(M$3="单季度ROA(%)",Data!J19,)))))</f>
        <v>-1.2282</v>
      </c>
      <c r="H48" s="19"/>
      <c r="I48" s="33">
        <f>IF(M$3="单季度营收同比(%)",Data!Q19,IF(M$3="单季度净利同比(%)",Data!R19,IF(M$3="单季度净利率(%)",Data!S19,IF(M$3="单季度ROE(%)",Data!T19,IF(M$3="单季度ROA(%)",Data!U19,)))))</f>
        <v>1.1282000000000001</v>
      </c>
      <c r="J48" s="34"/>
      <c r="K48" s="33">
        <f t="shared" si="0"/>
        <v>-2.3563999999999998</v>
      </c>
      <c r="L48" s="19"/>
      <c r="M48" s="19"/>
      <c r="N48" s="12"/>
      <c r="O48" s="5"/>
    </row>
    <row r="49" spans="2:15" ht="16.5">
      <c r="B49" s="7"/>
      <c r="C49" s="18"/>
      <c r="D49" s="28"/>
      <c r="E49" s="32">
        <f>Data!A20</f>
        <v>43738</v>
      </c>
      <c r="F49" s="18"/>
      <c r="G49" s="35">
        <f>IF(M$3="单季度营收同比(%)",Data!F20,IF(M$3="单季度净利同比(%)",Data!G20,IF(M$3="单季度净利率(%)",Data!H20,IF(M$3="单季度ROE(%)",Data!I20,IF(M$3="单季度ROA(%)",Data!J20,)))))</f>
        <v>2.4769999999999999</v>
      </c>
      <c r="H49" s="18"/>
      <c r="I49" s="35">
        <f>IF(M$3="单季度营收同比(%)",Data!Q20,IF(M$3="单季度净利同比(%)",Data!R20,IF(M$3="单季度净利率(%)",Data!S20,IF(M$3="单季度ROE(%)",Data!T20,IF(M$3="单季度ROA(%)",Data!U20,)))))</f>
        <v>2.6625999999999999</v>
      </c>
      <c r="J49" s="36"/>
      <c r="K49" s="35">
        <f t="shared" si="0"/>
        <v>-0.18559999999999999</v>
      </c>
      <c r="L49" s="18"/>
      <c r="M49" s="18"/>
      <c r="N49" s="12"/>
      <c r="O49" s="5"/>
    </row>
    <row r="50" spans="2:15" ht="16.5">
      <c r="B50" s="7"/>
      <c r="C50" s="19"/>
      <c r="D50" s="27"/>
      <c r="E50" s="31">
        <f>Data!A21</f>
        <v>43646</v>
      </c>
      <c r="F50" s="19"/>
      <c r="G50" s="33">
        <f>IF(M$3="单季度营收同比(%)",Data!F21,IF(M$3="单季度净利同比(%)",Data!G21,IF(M$3="单季度净利率(%)",Data!H21,IF(M$3="单季度ROE(%)",Data!I21,IF(M$3="单季度ROA(%)",Data!J21,)))))</f>
        <v>2.3816000000000002</v>
      </c>
      <c r="H50" s="19"/>
      <c r="I50" s="33">
        <f>IF(M$3="单季度营收同比(%)",Data!Q21,IF(M$3="单季度净利同比(%)",Data!R21,IF(M$3="单季度净利率(%)",Data!S21,IF(M$3="单季度ROE(%)",Data!T21,IF(M$3="单季度ROA(%)",Data!U21,)))))</f>
        <v>2.9097</v>
      </c>
      <c r="J50" s="34"/>
      <c r="K50" s="33">
        <f t="shared" si="0"/>
        <v>-0.52809999999999979</v>
      </c>
      <c r="L50" s="19"/>
      <c r="M50" s="19"/>
      <c r="N50" s="12"/>
      <c r="O50" s="5"/>
    </row>
    <row r="51" spans="2:15" ht="16.5">
      <c r="B51" s="7"/>
      <c r="C51" s="18"/>
      <c r="D51" s="28"/>
      <c r="E51" s="32">
        <f>Data!A22</f>
        <v>43555</v>
      </c>
      <c r="F51" s="18"/>
      <c r="G51" s="35">
        <f>IF(M$3="单季度营收同比(%)",Data!F22,IF(M$3="单季度净利同比(%)",Data!G22,IF(M$3="单季度净利率(%)",Data!H22,IF(M$3="单季度ROE(%)",Data!I22,IF(M$3="单季度ROA(%)",Data!J22,)))))</f>
        <v>2.2303999999999999</v>
      </c>
      <c r="H51" s="18"/>
      <c r="I51" s="35">
        <f>IF(M$3="单季度营收同比(%)",Data!Q22,IF(M$3="单季度净利同比(%)",Data!R22,IF(M$3="单季度净利率(%)",Data!S22,IF(M$3="单季度ROE(%)",Data!T22,IF(M$3="单季度ROA(%)",Data!U22,)))))</f>
        <v>2.8031000000000001</v>
      </c>
      <c r="J51" s="36"/>
      <c r="K51" s="35">
        <f t="shared" si="0"/>
        <v>-0.57270000000000021</v>
      </c>
      <c r="L51" s="18"/>
      <c r="M51" s="18"/>
      <c r="N51" s="12"/>
      <c r="O51" s="5"/>
    </row>
    <row r="52" spans="2:15" ht="16.5">
      <c r="B52" s="7"/>
      <c r="C52" s="19"/>
      <c r="D52" s="27"/>
      <c r="E52" s="31">
        <f>Data!A23</f>
        <v>43465</v>
      </c>
      <c r="F52" s="19"/>
      <c r="G52" s="33">
        <f>IF(M$3="单季度营收同比(%)",Data!F23,IF(M$3="单季度净利同比(%)",Data!G23,IF(M$3="单季度净利率(%)",Data!H23,IF(M$3="单季度ROE(%)",Data!I23,IF(M$3="单季度ROA(%)",Data!J23,)))))</f>
        <v>-1.012</v>
      </c>
      <c r="H52" s="19"/>
      <c r="I52" s="33">
        <f>IF(M$3="单季度营收同比(%)",Data!Q23,IF(M$3="单季度净利同比(%)",Data!R23,IF(M$3="单季度净利率(%)",Data!S23,IF(M$3="单季度ROE(%)",Data!T23,IF(M$3="单季度ROA(%)",Data!U23,)))))</f>
        <v>1.1992</v>
      </c>
      <c r="J52" s="34"/>
      <c r="K52" s="33">
        <f t="shared" si="0"/>
        <v>-2.2111999999999998</v>
      </c>
      <c r="L52" s="19"/>
      <c r="M52" s="19"/>
      <c r="N52" s="12"/>
      <c r="O52" s="5"/>
    </row>
    <row r="53" spans="2:15" ht="16.5">
      <c r="B53" s="7"/>
      <c r="C53" s="18"/>
      <c r="D53" s="28"/>
      <c r="E53" s="32">
        <f>Data!A24</f>
        <v>43373</v>
      </c>
      <c r="F53" s="18"/>
      <c r="G53" s="35">
        <f>IF(M$3="单季度营收同比(%)",Data!F24,IF(M$3="单季度净利同比(%)",Data!G24,IF(M$3="单季度净利率(%)",Data!H24,IF(M$3="单季度ROE(%)",Data!I24,IF(M$3="单季度ROA(%)",Data!J24,)))))</f>
        <v>2.3969</v>
      </c>
      <c r="H53" s="18"/>
      <c r="I53" s="35">
        <f>IF(M$3="单季度营收同比(%)",Data!Q24,IF(M$3="单季度净利同比(%)",Data!R24,IF(M$3="单季度净利率(%)",Data!S24,IF(M$3="单季度ROE(%)",Data!T24,IF(M$3="单季度ROA(%)",Data!U24,)))))</f>
        <v>2.7174999999999998</v>
      </c>
      <c r="J53" s="36"/>
      <c r="K53" s="35">
        <f t="shared" si="0"/>
        <v>-0.32059999999999977</v>
      </c>
      <c r="L53" s="18"/>
      <c r="M53" s="18"/>
      <c r="N53" s="12"/>
      <c r="O53" s="5"/>
    </row>
    <row r="54" spans="2:15" ht="16.5">
      <c r="B54" s="7"/>
      <c r="C54" s="19"/>
      <c r="D54" s="27"/>
      <c r="E54" s="31">
        <f>Data!A25</f>
        <v>43281</v>
      </c>
      <c r="F54" s="19"/>
      <c r="G54" s="33">
        <f>IF(M$3="单季度营收同比(%)",Data!F25,IF(M$3="单季度净利同比(%)",Data!G25,IF(M$3="单季度净利率(%)",Data!H25,IF(M$3="单季度ROE(%)",Data!I25,IF(M$3="单季度ROA(%)",Data!J25,)))))</f>
        <v>3.1471</v>
      </c>
      <c r="H54" s="19"/>
      <c r="I54" s="33">
        <f>IF(M$3="单季度营收同比(%)",Data!Q25,IF(M$3="单季度净利同比(%)",Data!R25,IF(M$3="单季度净利率(%)",Data!S25,IF(M$3="单季度ROE(%)",Data!T25,IF(M$3="单季度ROA(%)",Data!U25,)))))</f>
        <v>3.0352000000000001</v>
      </c>
      <c r="J54" s="34"/>
      <c r="K54" s="33">
        <f t="shared" si="0"/>
        <v>0.11189999999999989</v>
      </c>
      <c r="L54" s="19"/>
      <c r="M54" s="19"/>
      <c r="N54" s="12"/>
      <c r="O54" s="5"/>
    </row>
    <row r="55" spans="2:15" ht="16.5">
      <c r="B55" s="7"/>
      <c r="C55" s="18"/>
      <c r="D55" s="28"/>
      <c r="E55" s="32">
        <f>Data!A26</f>
        <v>43190</v>
      </c>
      <c r="F55" s="18"/>
      <c r="G55" s="35">
        <f>IF(M$3="单季度营收同比(%)",Data!F26,IF(M$3="单季度净利同比(%)",Data!G26,IF(M$3="单季度净利率(%)",Data!H26,IF(M$3="单季度ROE(%)",Data!I26,IF(M$3="单季度ROA(%)",Data!J26,)))))</f>
        <v>2.7210999999999999</v>
      </c>
      <c r="H55" s="18"/>
      <c r="I55" s="35">
        <f>IF(M$3="单季度营收同比(%)",Data!Q26,IF(M$3="单季度净利同比(%)",Data!R26,IF(M$3="单季度净利率(%)",Data!S26,IF(M$3="单季度ROE(%)",Data!T26,IF(M$3="单季度ROA(%)",Data!U26,)))))</f>
        <v>2.7782</v>
      </c>
      <c r="J55" s="36"/>
      <c r="K55" s="35">
        <f t="shared" si="0"/>
        <v>-5.7100000000000151E-2</v>
      </c>
      <c r="L55" s="18"/>
      <c r="M55" s="18"/>
      <c r="N55" s="12"/>
      <c r="O55" s="5"/>
    </row>
    <row r="56" spans="2:15" ht="16.5">
      <c r="B56" s="7"/>
      <c r="C56" s="19"/>
      <c r="D56" s="27"/>
      <c r="E56" s="31">
        <f>Data!A27</f>
        <v>43100</v>
      </c>
      <c r="F56" s="19"/>
      <c r="G56" s="33">
        <f>IF(M$3="单季度营收同比(%)",Data!F27,IF(M$3="单季度净利同比(%)",Data!G27,IF(M$3="单季度净利率(%)",Data!H27,IF(M$3="单季度ROE(%)",Data!I27,IF(M$3="单季度ROA(%)",Data!J27,)))))</f>
        <v>2.952</v>
      </c>
      <c r="H56" s="19"/>
      <c r="I56" s="33">
        <f>IF(M$3="单季度营收同比(%)",Data!Q27,IF(M$3="单季度净利同比(%)",Data!R27,IF(M$3="单季度净利率(%)",Data!S27,IF(M$3="单季度ROE(%)",Data!T27,IF(M$3="单季度ROA(%)",Data!U27,)))))</f>
        <v>2.3460000000000001</v>
      </c>
      <c r="J56" s="34"/>
      <c r="K56" s="33">
        <f t="shared" si="0"/>
        <v>0.60599999999999987</v>
      </c>
      <c r="L56" s="19"/>
      <c r="M56" s="19"/>
      <c r="N56" s="12"/>
      <c r="O56" s="5"/>
    </row>
    <row r="57" spans="2:15" ht="16.5">
      <c r="B57" s="7"/>
      <c r="C57" s="18"/>
      <c r="D57" s="28"/>
      <c r="E57" s="32">
        <f>Data!A28</f>
        <v>43008</v>
      </c>
      <c r="F57" s="18"/>
      <c r="G57" s="35">
        <f>IF(M$3="单季度营收同比(%)",Data!F28,IF(M$3="单季度净利同比(%)",Data!G28,IF(M$3="单季度净利率(%)",Data!H28,IF(M$3="单季度ROE(%)",Data!I28,IF(M$3="单季度ROA(%)",Data!J28,)))))</f>
        <v>2.7797999999999998</v>
      </c>
      <c r="H57" s="18"/>
      <c r="I57" s="35">
        <f>IF(M$3="单季度营收同比(%)",Data!Q28,IF(M$3="单季度净利同比(%)",Data!R28,IF(M$3="单季度净利率(%)",Data!S28,IF(M$3="单季度ROE(%)",Data!T28,IF(M$3="单季度ROA(%)",Data!U28,)))))</f>
        <v>2.8847</v>
      </c>
      <c r="J57" s="36"/>
      <c r="K57" s="35">
        <f t="shared" si="0"/>
        <v>-0.10490000000000022</v>
      </c>
      <c r="L57" s="18"/>
      <c r="M57" s="18"/>
      <c r="N57" s="12"/>
      <c r="O57" s="5"/>
    </row>
    <row r="58" spans="2:15" ht="16.5">
      <c r="B58" s="7"/>
      <c r="C58" s="19"/>
      <c r="D58" s="27"/>
      <c r="E58" s="31">
        <f>Data!A29</f>
        <v>42916</v>
      </c>
      <c r="F58" s="19"/>
      <c r="G58" s="33">
        <f>IF(M$3="单季度营收同比(%)",Data!F29,IF(M$3="单季度净利同比(%)",Data!G29,IF(M$3="单季度净利率(%)",Data!H29,IF(M$3="单季度ROE(%)",Data!I29,IF(M$3="单季度ROA(%)",Data!J29,)))))</f>
        <v>3.0331999999999999</v>
      </c>
      <c r="H58" s="19"/>
      <c r="I58" s="33">
        <f>IF(M$3="单季度营收同比(%)",Data!Q29,IF(M$3="单季度净利同比(%)",Data!R29,IF(M$3="单季度净利率(%)",Data!S29,IF(M$3="单季度ROE(%)",Data!T29,IF(M$3="单季度ROA(%)",Data!U29,)))))</f>
        <v>2.9239999999999999</v>
      </c>
      <c r="J58" s="34"/>
      <c r="K58" s="33">
        <f t="shared" si="0"/>
        <v>0.10919999999999996</v>
      </c>
      <c r="L58" s="19"/>
      <c r="M58" s="19"/>
      <c r="N58" s="12"/>
      <c r="O58" s="5"/>
    </row>
    <row r="59" spans="2:15" ht="16.5">
      <c r="B59" s="7"/>
      <c r="C59" s="18"/>
      <c r="D59" s="28"/>
      <c r="E59" s="32">
        <f>Data!A30</f>
        <v>42825</v>
      </c>
      <c r="F59" s="18"/>
      <c r="G59" s="35">
        <f>IF(M$3="单季度营收同比(%)",Data!F30,IF(M$3="单季度净利同比(%)",Data!G30,IF(M$3="单季度净利率(%)",Data!H30,IF(M$3="单季度ROE(%)",Data!I30,IF(M$3="单季度ROA(%)",Data!J30,)))))</f>
        <v>2.8340000000000001</v>
      </c>
      <c r="H59" s="18"/>
      <c r="I59" s="35">
        <f>IF(M$3="单季度营收同比(%)",Data!Q30,IF(M$3="单季度净利同比(%)",Data!R30,IF(M$3="单季度净利率(%)",Data!S30,IF(M$3="单季度ROE(%)",Data!T30,IF(M$3="单季度ROA(%)",Data!U30,)))))</f>
        <v>2.7121</v>
      </c>
      <c r="J59" s="36"/>
      <c r="K59" s="35">
        <f t="shared" si="0"/>
        <v>0.12190000000000012</v>
      </c>
      <c r="L59" s="18"/>
      <c r="M59" s="18"/>
      <c r="N59" s="12"/>
      <c r="O59" s="5"/>
    </row>
    <row r="60" spans="2:15" ht="16.5">
      <c r="B60" s="7"/>
      <c r="C60" s="19"/>
      <c r="D60" s="27"/>
      <c r="E60" s="31">
        <f>Data!A31</f>
        <v>42735</v>
      </c>
      <c r="F60" s="19"/>
      <c r="G60" s="33">
        <f>IF(M$3="单季度营收同比(%)",Data!F31,IF(M$3="单季度净利同比(%)",Data!G31,IF(M$3="单季度净利率(%)",Data!H31,IF(M$3="单季度ROE(%)",Data!I31,IF(M$3="单季度ROA(%)",Data!J31,)))))</f>
        <v>3.2443</v>
      </c>
      <c r="H60" s="19"/>
      <c r="I60" s="33">
        <f>IF(M$3="单季度营收同比(%)",Data!Q31,IF(M$3="单季度净利同比(%)",Data!R31,IF(M$3="单季度净利率(%)",Data!S31,IF(M$3="单季度ROE(%)",Data!T31,IF(M$3="单季度ROA(%)",Data!U31,)))))</f>
        <v>2.2465000000000002</v>
      </c>
      <c r="J60" s="34"/>
      <c r="K60" s="33">
        <f t="shared" si="0"/>
        <v>0.9977999999999998</v>
      </c>
      <c r="L60" s="19"/>
      <c r="M60" s="19"/>
      <c r="N60" s="12"/>
      <c r="O60" s="5"/>
    </row>
    <row r="61" spans="2:15" ht="16.5">
      <c r="B61" s="7"/>
      <c r="C61" s="18"/>
      <c r="D61" s="28"/>
      <c r="E61" s="32">
        <f>Data!A32</f>
        <v>42643</v>
      </c>
      <c r="F61" s="18"/>
      <c r="G61" s="35">
        <f>IF(M$3="单季度营收同比(%)",Data!F32,IF(M$3="单季度净利同比(%)",Data!G32,IF(M$3="单季度净利率(%)",Data!H32,IF(M$3="单季度ROE(%)",Data!I32,IF(M$3="单季度ROA(%)",Data!J32,)))))</f>
        <v>2.8963999999999999</v>
      </c>
      <c r="H61" s="18"/>
      <c r="I61" s="35">
        <f>IF(M$3="单季度营收同比(%)",Data!Q32,IF(M$3="单季度净利同比(%)",Data!R32,IF(M$3="单季度净利率(%)",Data!S32,IF(M$3="单季度ROE(%)",Data!T32,IF(M$3="单季度ROA(%)",Data!U32,)))))</f>
        <v>2.6135999999999999</v>
      </c>
      <c r="J61" s="36"/>
      <c r="K61" s="35">
        <f t="shared" si="0"/>
        <v>0.28279999999999994</v>
      </c>
      <c r="L61" s="18"/>
      <c r="M61" s="18"/>
      <c r="N61" s="12"/>
      <c r="O61" s="5"/>
    </row>
    <row r="62" spans="2:15" ht="16.5">
      <c r="B62" s="7"/>
      <c r="C62" s="19"/>
      <c r="D62" s="27"/>
      <c r="E62" s="31">
        <f>Data!A33</f>
        <v>42551</v>
      </c>
      <c r="F62" s="19"/>
      <c r="G62" s="33">
        <f>IF(M$3="单季度营收同比(%)",Data!F33,IF(M$3="单季度净利同比(%)",Data!G33,IF(M$3="单季度净利率(%)",Data!H33,IF(M$3="单季度ROE(%)",Data!I33,IF(M$3="单季度ROA(%)",Data!J33,)))))</f>
        <v>3.2406999999999999</v>
      </c>
      <c r="H62" s="19"/>
      <c r="I62" s="33">
        <f>IF(M$3="单季度营收同比(%)",Data!Q33,IF(M$3="单季度净利同比(%)",Data!R33,IF(M$3="单季度净利率(%)",Data!S33,IF(M$3="单季度ROE(%)",Data!T33,IF(M$3="单季度ROA(%)",Data!U33,)))))</f>
        <v>2.8871000000000002</v>
      </c>
      <c r="J62" s="34"/>
      <c r="K62" s="33">
        <f t="shared" si="0"/>
        <v>0.35359999999999969</v>
      </c>
      <c r="L62" s="19"/>
      <c r="M62" s="19"/>
      <c r="N62" s="12"/>
      <c r="O62" s="5"/>
    </row>
    <row r="63" spans="2:15" ht="16.5">
      <c r="B63" s="7"/>
      <c r="C63" s="18"/>
      <c r="D63" s="28"/>
      <c r="E63" s="32">
        <f>Data!A34</f>
        <v>42460</v>
      </c>
      <c r="F63" s="18"/>
      <c r="G63" s="35">
        <f>IF(M$3="单季度营收同比(%)",Data!F34,IF(M$3="单季度净利同比(%)",Data!G34,IF(M$3="单季度净利率(%)",Data!H34,IF(M$3="单季度ROE(%)",Data!I34,IF(M$3="单季度ROA(%)",Data!J34,)))))</f>
        <v>2.8868</v>
      </c>
      <c r="H63" s="18"/>
      <c r="I63" s="35">
        <f>IF(M$3="单季度营收同比(%)",Data!Q34,IF(M$3="单季度净利同比(%)",Data!R34,IF(M$3="单季度净利率(%)",Data!S34,IF(M$3="单季度ROE(%)",Data!T34,IF(M$3="单季度ROA(%)",Data!U34,)))))</f>
        <v>2.5363000000000002</v>
      </c>
      <c r="J63" s="36"/>
      <c r="K63" s="35">
        <f t="shared" si="0"/>
        <v>0.35049999999999981</v>
      </c>
      <c r="L63" s="18"/>
      <c r="M63" s="18"/>
      <c r="N63" s="12"/>
      <c r="O63" s="5"/>
    </row>
    <row r="64" spans="2:15" ht="16.5">
      <c r="B64" s="7"/>
      <c r="C64" s="19"/>
      <c r="D64" s="27"/>
      <c r="E64" s="31">
        <f>Data!A35</f>
        <v>42369</v>
      </c>
      <c r="F64" s="19"/>
      <c r="G64" s="33">
        <f>IF(M$3="单季度营收同比(%)",Data!F35,IF(M$3="单季度净利同比(%)",Data!G35,IF(M$3="单季度净利率(%)",Data!H35,IF(M$3="单季度ROE(%)",Data!I35,IF(M$3="单季度ROA(%)",Data!J35,)))))</f>
        <v>3.1758000000000002</v>
      </c>
      <c r="H64" s="19"/>
      <c r="I64" s="33">
        <f>IF(M$3="单季度营收同比(%)",Data!Q35,IF(M$3="单季度净利同比(%)",Data!R35,IF(M$3="单季度净利率(%)",Data!S35,IF(M$3="单季度ROE(%)",Data!T35,IF(M$3="单季度ROA(%)",Data!U35,)))))</f>
        <v>2.0041000000000002</v>
      </c>
      <c r="J64" s="34"/>
      <c r="K64" s="33">
        <f t="shared" si="0"/>
        <v>1.1717</v>
      </c>
      <c r="L64" s="19"/>
      <c r="M64" s="19"/>
      <c r="N64" s="12"/>
      <c r="O64" s="5"/>
    </row>
    <row r="65" spans="1:15" ht="16.5">
      <c r="B65" s="7"/>
      <c r="C65" s="18"/>
      <c r="D65" s="28"/>
      <c r="E65" s="32">
        <f>Data!A36</f>
        <v>42277</v>
      </c>
      <c r="F65" s="18"/>
      <c r="G65" s="35">
        <f>IF(M$3="单季度营收同比(%)",Data!F36,IF(M$3="单季度净利同比(%)",Data!G36,IF(M$3="单季度净利率(%)",Data!H36,IF(M$3="单季度ROE(%)",Data!I36,IF(M$3="单季度ROA(%)",Data!J36,)))))</f>
        <v>2.6448</v>
      </c>
      <c r="H65" s="18"/>
      <c r="I65" s="35">
        <f>IF(M$3="单季度营收同比(%)",Data!Q36,IF(M$3="单季度净利同比(%)",Data!R36,IF(M$3="单季度净利率(%)",Data!S36,IF(M$3="单季度ROE(%)",Data!T36,IF(M$3="单季度ROA(%)",Data!U36,)))))</f>
        <v>2.4918999999999998</v>
      </c>
      <c r="J65" s="36"/>
      <c r="K65" s="35">
        <f t="shared" si="0"/>
        <v>0.15290000000000026</v>
      </c>
      <c r="L65" s="18"/>
      <c r="M65" s="18"/>
      <c r="N65" s="12"/>
      <c r="O65" s="5"/>
    </row>
    <row r="66" spans="1:15" ht="16.5">
      <c r="B66" s="7"/>
      <c r="C66" s="19"/>
      <c r="D66" s="27"/>
      <c r="E66" s="31">
        <f>Data!A37</f>
        <v>42185</v>
      </c>
      <c r="F66" s="19"/>
      <c r="G66" s="33">
        <f>IF(M$3="单季度营收同比(%)",Data!F37,IF(M$3="单季度净利同比(%)",Data!G37,IF(M$3="单季度净利率(%)",Data!H37,IF(M$3="单季度ROE(%)",Data!I37,IF(M$3="单季度ROA(%)",Data!J37,)))))</f>
        <v>3.5445000000000002</v>
      </c>
      <c r="H66" s="19"/>
      <c r="I66" s="33">
        <f>IF(M$3="单季度营收同比(%)",Data!Q37,IF(M$3="单季度净利同比(%)",Data!R37,IF(M$3="单季度净利率(%)",Data!S37,IF(M$3="单季度ROE(%)",Data!T37,IF(M$3="单季度ROA(%)",Data!U37,)))))</f>
        <v>3.5291999999999999</v>
      </c>
      <c r="J66" s="34"/>
      <c r="K66" s="33">
        <f t="shared" si="0"/>
        <v>1.5300000000000313E-2</v>
      </c>
      <c r="L66" s="19"/>
      <c r="M66" s="19"/>
      <c r="N66" s="12"/>
      <c r="O66" s="5"/>
    </row>
    <row r="67" spans="1:15" ht="16.5">
      <c r="B67" s="7"/>
      <c r="C67" s="18"/>
      <c r="D67" s="28"/>
      <c r="E67" s="32">
        <f>Data!A38</f>
        <v>42094</v>
      </c>
      <c r="F67" s="18"/>
      <c r="G67" s="35">
        <f>IF(M$3="单季度营收同比(%)",Data!F38,IF(M$3="单季度净利同比(%)",Data!G38,IF(M$3="单季度净利率(%)",Data!H38,IF(M$3="单季度ROE(%)",Data!I38,IF(M$3="单季度ROA(%)",Data!J38,)))))</f>
        <v>3.0737999999999999</v>
      </c>
      <c r="H67" s="18"/>
      <c r="I67" s="35">
        <f>IF(M$3="单季度营收同比(%)",Data!Q38,IF(M$3="单季度净利同比(%)",Data!R38,IF(M$3="单季度净利率(%)",Data!S38,IF(M$3="单季度ROE(%)",Data!T38,IF(M$3="单季度ROA(%)",Data!U38,)))))</f>
        <v>2.9704000000000002</v>
      </c>
      <c r="J67" s="36"/>
      <c r="K67" s="35">
        <f t="shared" si="0"/>
        <v>0.10339999999999971</v>
      </c>
      <c r="L67" s="18"/>
      <c r="M67" s="18"/>
      <c r="N67" s="12"/>
      <c r="O67" s="5"/>
    </row>
    <row r="68" spans="1:15" ht="16.5">
      <c r="B68" s="7"/>
      <c r="C68" s="19"/>
      <c r="D68" s="27"/>
      <c r="E68" s="31">
        <f>Data!A39</f>
        <v>42004</v>
      </c>
      <c r="F68" s="19"/>
      <c r="G68" s="33">
        <f>IF(M$3="单季度营收同比(%)",Data!F39,IF(M$3="单季度净利同比(%)",Data!G39,IF(M$3="单季度净利率(%)",Data!H39,IF(M$3="单季度ROE(%)",Data!I39,IF(M$3="单季度ROA(%)",Data!J39,)))))</f>
        <v>3.3666</v>
      </c>
      <c r="H68" s="19"/>
      <c r="I68" s="33">
        <f>IF(M$3="单季度营收同比(%)",Data!Q39,IF(M$3="单季度净利同比(%)",Data!R39,IF(M$3="单季度净利率(%)",Data!S39,IF(M$3="单季度ROE(%)",Data!T39,IF(M$3="单季度ROA(%)",Data!U39,)))))</f>
        <v>2.5299</v>
      </c>
      <c r="J68" s="34"/>
      <c r="K68" s="33">
        <f t="shared" si="0"/>
        <v>0.8367</v>
      </c>
      <c r="L68" s="19"/>
      <c r="M68" s="19"/>
      <c r="N68" s="7"/>
      <c r="O68" s="5"/>
    </row>
    <row r="69" spans="1:15" ht="16.5">
      <c r="B69" s="7"/>
      <c r="C69" s="18"/>
      <c r="D69" s="28"/>
      <c r="E69" s="32">
        <f>Data!A40</f>
        <v>41912</v>
      </c>
      <c r="F69" s="18"/>
      <c r="G69" s="35">
        <f>IF(M$3="单季度营收同比(%)",Data!F40,IF(M$3="单季度净利同比(%)",Data!G40,IF(M$3="单季度净利率(%)",Data!H40,IF(M$3="单季度ROE(%)",Data!I40,IF(M$3="单季度ROA(%)",Data!J40,)))))</f>
        <v>3.0746000000000002</v>
      </c>
      <c r="H69" s="18"/>
      <c r="I69" s="35">
        <f>IF(M$3="单季度营收同比(%)",Data!Q40,IF(M$3="单季度净利同比(%)",Data!R40,IF(M$3="单季度净利率(%)",Data!S40,IF(M$3="单季度ROE(%)",Data!T40,IF(M$3="单季度ROA(%)",Data!U40,)))))</f>
        <v>3.3582000000000001</v>
      </c>
      <c r="J69" s="36"/>
      <c r="K69" s="35">
        <f t="shared" si="0"/>
        <v>-0.28359999999999985</v>
      </c>
      <c r="L69" s="18"/>
      <c r="M69" s="18"/>
      <c r="N69" s="7"/>
      <c r="O69" s="5"/>
    </row>
    <row r="70" spans="1:15" ht="16.5">
      <c r="B70" s="7"/>
      <c r="C70" s="19"/>
      <c r="D70" s="27"/>
      <c r="E70" s="31">
        <f>Data!A41</f>
        <v>41820</v>
      </c>
      <c r="F70" s="19"/>
      <c r="G70" s="33">
        <f>IF(M$3="单季度营收同比(%)",Data!F41,IF(M$3="单季度净利同比(%)",Data!G41,IF(M$3="单季度净利率(%)",Data!H41,IF(M$3="单季度ROE(%)",Data!I41,IF(M$3="单季度ROA(%)",Data!J41,)))))</f>
        <v>3.5110999999999999</v>
      </c>
      <c r="H70" s="19"/>
      <c r="I70" s="33">
        <f>IF(M$3="单季度营收同比(%)",Data!Q41,IF(M$3="单季度净利同比(%)",Data!R41,IF(M$3="单季度净利率(%)",Data!S41,IF(M$3="单季度ROE(%)",Data!T41,IF(M$3="单季度ROA(%)",Data!U41,)))))</f>
        <v>3.6105999999999998</v>
      </c>
      <c r="J70" s="34"/>
      <c r="K70" s="33">
        <f t="shared" ref="K70:K92" si="1">IFERROR(IF(M$4="绝对差额",G70-I70,IF(M$4="比值",G70/I70,)),0)</f>
        <v>-9.9499999999999922E-2</v>
      </c>
      <c r="L70" s="19"/>
      <c r="M70" s="19"/>
      <c r="N70" s="7"/>
      <c r="O70" s="5"/>
    </row>
    <row r="71" spans="1:15" ht="16.5">
      <c r="A71" s="5"/>
      <c r="B71" s="7"/>
      <c r="C71" s="18"/>
      <c r="D71" s="28"/>
      <c r="E71" s="32">
        <f>Data!A42</f>
        <v>41729</v>
      </c>
      <c r="F71" s="18"/>
      <c r="G71" s="35">
        <f>IF(M$3="单季度营收同比(%)",Data!F42,IF(M$3="单季度净利同比(%)",Data!G42,IF(M$3="单季度净利率(%)",Data!H42,IF(M$3="单季度ROE(%)",Data!I42,IF(M$3="单季度ROA(%)",Data!J42,)))))</f>
        <v>3.2118000000000002</v>
      </c>
      <c r="H71" s="18"/>
      <c r="I71" s="35">
        <f>IF(M$3="单季度营收同比(%)",Data!Q42,IF(M$3="单季度净利同比(%)",Data!R42,IF(M$3="单季度净利率(%)",Data!S42,IF(M$3="单季度ROE(%)",Data!T42,IF(M$3="单季度ROA(%)",Data!U42,)))))</f>
        <v>3.3502000000000001</v>
      </c>
      <c r="J71" s="36"/>
      <c r="K71" s="35">
        <f t="shared" si="1"/>
        <v>-0.13839999999999986</v>
      </c>
      <c r="L71" s="18"/>
      <c r="M71" s="18"/>
      <c r="N71" s="7"/>
      <c r="O71" s="5"/>
    </row>
    <row r="72" spans="1:15" ht="16.5">
      <c r="A72" s="5"/>
      <c r="B72" s="7"/>
      <c r="C72" s="19"/>
      <c r="D72" s="27"/>
      <c r="E72" s="31">
        <f>Data!A43</f>
        <v>41639</v>
      </c>
      <c r="F72" s="19"/>
      <c r="G72" s="33">
        <f>IF(M$3="单季度营收同比(%)",Data!F43,IF(M$3="单季度净利同比(%)",Data!G43,IF(M$3="单季度净利率(%)",Data!H43,IF(M$3="单季度ROE(%)",Data!I43,IF(M$3="单季度ROA(%)",Data!J43,)))))</f>
        <v>3.2341000000000002</v>
      </c>
      <c r="H72" s="19"/>
      <c r="I72" s="33">
        <f>IF(M$3="单季度营收同比(%)",Data!Q43,IF(M$3="单季度净利同比(%)",Data!R43,IF(M$3="单季度净利率(%)",Data!S43,IF(M$3="单季度ROE(%)",Data!T43,IF(M$3="单季度ROA(%)",Data!U43,)))))</f>
        <v>3.0051999999999999</v>
      </c>
      <c r="J72" s="34"/>
      <c r="K72" s="33">
        <f t="shared" si="1"/>
        <v>0.22890000000000033</v>
      </c>
      <c r="L72" s="19"/>
      <c r="M72" s="19"/>
      <c r="N72" s="7"/>
      <c r="O72" s="5"/>
    </row>
    <row r="73" spans="1:15" ht="16.5">
      <c r="A73" s="5"/>
      <c r="B73" s="7"/>
      <c r="C73" s="18"/>
      <c r="D73" s="28"/>
      <c r="E73" s="32">
        <f>Data!A44</f>
        <v>41547</v>
      </c>
      <c r="F73" s="18"/>
      <c r="G73" s="35">
        <f>IF(M$3="单季度营收同比(%)",Data!F44,IF(M$3="单季度净利同比(%)",Data!G44,IF(M$3="单季度净利率(%)",Data!H44,IF(M$3="单季度ROE(%)",Data!I44,IF(M$3="单季度ROA(%)",Data!J44,)))))</f>
        <v>3.2363</v>
      </c>
      <c r="H73" s="18"/>
      <c r="I73" s="35">
        <f>IF(M$3="单季度营收同比(%)",Data!Q44,IF(M$3="单季度净利同比(%)",Data!R44,IF(M$3="单季度净利率(%)",Data!S44,IF(M$3="单季度ROE(%)",Data!T44,IF(M$3="单季度ROA(%)",Data!U44,)))))</f>
        <v>3.4952000000000001</v>
      </c>
      <c r="J73" s="36"/>
      <c r="K73" s="35">
        <f t="shared" si="1"/>
        <v>-0.25890000000000013</v>
      </c>
      <c r="L73" s="18"/>
      <c r="M73" s="18"/>
      <c r="N73" s="7"/>
      <c r="O73" s="5"/>
    </row>
    <row r="74" spans="1:15" ht="16.5">
      <c r="A74" s="5"/>
      <c r="B74" s="7"/>
      <c r="C74" s="19"/>
      <c r="D74" s="27"/>
      <c r="E74" s="31">
        <f>Data!A45</f>
        <v>41455</v>
      </c>
      <c r="F74" s="19"/>
      <c r="G74" s="33">
        <f>IF(M$3="单季度营收同比(%)",Data!F45,IF(M$3="单季度净利同比(%)",Data!G45,IF(M$3="单季度净利率(%)",Data!H45,IF(M$3="单季度ROE(%)",Data!I45,IF(M$3="单季度ROA(%)",Data!J45,)))))</f>
        <v>3.4525000000000001</v>
      </c>
      <c r="H74" s="19"/>
      <c r="I74" s="33">
        <f>IF(M$3="单季度营收同比(%)",Data!Q45,IF(M$3="单季度净利同比(%)",Data!R45,IF(M$3="单季度净利率(%)",Data!S45,IF(M$3="单季度ROE(%)",Data!T45,IF(M$3="单季度ROA(%)",Data!U45,)))))</f>
        <v>3.6204000000000001</v>
      </c>
      <c r="J74" s="34"/>
      <c r="K74" s="33">
        <f t="shared" si="1"/>
        <v>-0.16789999999999994</v>
      </c>
      <c r="L74" s="19"/>
      <c r="M74" s="19"/>
      <c r="N74" s="7"/>
      <c r="O74" s="5"/>
    </row>
    <row r="75" spans="1:15" ht="16.5">
      <c r="A75" s="5"/>
      <c r="B75" s="7"/>
      <c r="C75" s="18"/>
      <c r="D75" s="28"/>
      <c r="E75" s="32">
        <f>Data!A46</f>
        <v>41364</v>
      </c>
      <c r="F75" s="18"/>
      <c r="G75" s="35">
        <f>IF(M$3="单季度营收同比(%)",Data!F46,IF(M$3="单季度净利同比(%)",Data!G46,IF(M$3="单季度净利率(%)",Data!H46,IF(M$3="单季度ROE(%)",Data!I46,IF(M$3="单季度ROA(%)",Data!J46,)))))</f>
        <v>2.9697</v>
      </c>
      <c r="H75" s="18"/>
      <c r="I75" s="35">
        <f>IF(M$3="单季度营收同比(%)",Data!Q46,IF(M$3="单季度净利同比(%)",Data!R46,IF(M$3="单季度净利率(%)",Data!S46,IF(M$3="单季度ROE(%)",Data!T46,IF(M$3="单季度ROA(%)",Data!U46,)))))</f>
        <v>3.4380999999999999</v>
      </c>
      <c r="J75" s="36"/>
      <c r="K75" s="35">
        <f t="shared" si="1"/>
        <v>-0.46839999999999993</v>
      </c>
      <c r="L75" s="18"/>
      <c r="M75" s="18"/>
      <c r="N75" s="7"/>
      <c r="O75" s="5"/>
    </row>
    <row r="76" spans="1:15" ht="16.5">
      <c r="A76" s="5"/>
      <c r="B76" s="7"/>
      <c r="C76" s="19"/>
      <c r="D76" s="27"/>
      <c r="E76" s="31">
        <f>Data!A47</f>
        <v>41274</v>
      </c>
      <c r="F76" s="19"/>
      <c r="G76" s="33">
        <f>IF(M$3="单季度营收同比(%)",Data!F47,IF(M$3="单季度净利同比(%)",Data!G47,IF(M$3="单季度净利率(%)",Data!H47,IF(M$3="单季度ROE(%)",Data!I47,IF(M$3="单季度ROA(%)",Data!J47,)))))</f>
        <v>2.7934999999999999</v>
      </c>
      <c r="H76" s="19"/>
      <c r="I76" s="33">
        <f>IF(M$3="单季度营收同比(%)",Data!Q47,IF(M$3="单季度净利同比(%)",Data!R47,IF(M$3="单季度净利率(%)",Data!S47,IF(M$3="单季度ROE(%)",Data!T47,IF(M$3="单季度ROA(%)",Data!U47,)))))</f>
        <v>2.9973999999999998</v>
      </c>
      <c r="J76" s="34"/>
      <c r="K76" s="33">
        <f t="shared" si="1"/>
        <v>-0.20389999999999997</v>
      </c>
      <c r="L76" s="19"/>
      <c r="M76" s="19"/>
      <c r="N76" s="7"/>
      <c r="O76" s="5"/>
    </row>
    <row r="77" spans="1:15" ht="16.5">
      <c r="A77" s="5"/>
      <c r="B77" s="7"/>
      <c r="C77" s="18"/>
      <c r="D77" s="28"/>
      <c r="E77" s="32">
        <f>Data!A48</f>
        <v>41182</v>
      </c>
      <c r="F77" s="18"/>
      <c r="G77" s="35">
        <f>IF(M$3="单季度营收同比(%)",Data!F48,IF(M$3="单季度净利同比(%)",Data!G48,IF(M$3="单季度净利率(%)",Data!H48,IF(M$3="单季度ROE(%)",Data!I48,IF(M$3="单季度ROA(%)",Data!J48,)))))</f>
        <v>2.7250999999999999</v>
      </c>
      <c r="H77" s="18"/>
      <c r="I77" s="35">
        <f>IF(M$3="单季度营收同比(%)",Data!Q48,IF(M$3="单季度净利同比(%)",Data!R48,IF(M$3="单季度净利率(%)",Data!S48,IF(M$3="单季度ROE(%)",Data!T48,IF(M$3="单季度ROA(%)",Data!U48,)))))</f>
        <v>3.2277999999999998</v>
      </c>
      <c r="J77" s="36"/>
      <c r="K77" s="35">
        <f t="shared" si="1"/>
        <v>-0.50269999999999992</v>
      </c>
      <c r="L77" s="18"/>
      <c r="M77" s="18"/>
      <c r="N77" s="7"/>
      <c r="O77" s="5"/>
    </row>
    <row r="78" spans="1:15" ht="16.5">
      <c r="A78" s="5"/>
      <c r="B78" s="7"/>
      <c r="C78" s="19"/>
      <c r="D78" s="27"/>
      <c r="E78" s="31">
        <f>Data!A49</f>
        <v>41090</v>
      </c>
      <c r="F78" s="19"/>
      <c r="G78" s="33">
        <f>IF(M$3="单季度营收同比(%)",Data!F49,IF(M$3="单季度净利同比(%)",Data!G49,IF(M$3="单季度净利率(%)",Data!H49,IF(M$3="单季度ROE(%)",Data!I49,IF(M$3="单季度ROA(%)",Data!J49,)))))</f>
        <v>3.1604999999999999</v>
      </c>
      <c r="H78" s="19"/>
      <c r="I78" s="33">
        <f>IF(M$3="单季度营收同比(%)",Data!Q49,IF(M$3="单季度净利同比(%)",Data!R49,IF(M$3="单季度净利率(%)",Data!S49,IF(M$3="单季度ROE(%)",Data!T49,IF(M$3="单季度ROA(%)",Data!U49,)))))</f>
        <v>3.6015999999999999</v>
      </c>
      <c r="J78" s="34"/>
      <c r="K78" s="33">
        <f t="shared" si="1"/>
        <v>-0.44110000000000005</v>
      </c>
      <c r="L78" s="19"/>
      <c r="M78" s="19"/>
      <c r="N78" s="7"/>
      <c r="O78" s="5"/>
    </row>
    <row r="79" spans="1:15" ht="16.5">
      <c r="A79" s="5"/>
      <c r="B79" s="7"/>
      <c r="C79" s="18"/>
      <c r="D79" s="28"/>
      <c r="E79" s="32">
        <f>Data!A50</f>
        <v>40999</v>
      </c>
      <c r="F79" s="18"/>
      <c r="G79" s="35">
        <f>IF(M$3="单季度营收同比(%)",Data!F50,IF(M$3="单季度净利同比(%)",Data!G50,IF(M$3="单季度净利率(%)",Data!H50,IF(M$3="单季度ROE(%)",Data!I50,IF(M$3="单季度ROA(%)",Data!J50,)))))</f>
        <v>3.0815999999999999</v>
      </c>
      <c r="H79" s="18"/>
      <c r="I79" s="35">
        <f>IF(M$3="单季度营收同比(%)",Data!Q50,IF(M$3="单季度净利同比(%)",Data!R50,IF(M$3="单季度净利率(%)",Data!S50,IF(M$3="单季度ROE(%)",Data!T50,IF(M$3="单季度ROA(%)",Data!U50,)))))</f>
        <v>3.5051000000000001</v>
      </c>
      <c r="J79" s="36"/>
      <c r="K79" s="35">
        <f t="shared" si="1"/>
        <v>-0.42350000000000021</v>
      </c>
      <c r="L79" s="18"/>
      <c r="M79" s="18"/>
      <c r="N79" s="7"/>
      <c r="O79" s="5"/>
    </row>
    <row r="80" spans="1:15" ht="16.5">
      <c r="A80" s="5"/>
      <c r="B80" s="7"/>
      <c r="C80" s="19"/>
      <c r="D80" s="27"/>
      <c r="E80" s="31">
        <f>Data!A51</f>
        <v>40908</v>
      </c>
      <c r="F80" s="19"/>
      <c r="G80" s="33">
        <f>IF(M$3="单季度营收同比(%)",Data!F51,IF(M$3="单季度净利同比(%)",Data!G51,IF(M$3="单季度净利率(%)",Data!H51,IF(M$3="单季度ROE(%)",Data!I51,IF(M$3="单季度ROA(%)",Data!J51,)))))</f>
        <v>3.4420000000000002</v>
      </c>
      <c r="H80" s="19"/>
      <c r="I80" s="33">
        <f>IF(M$3="单季度营收同比(%)",Data!Q51,IF(M$3="单季度净利同比(%)",Data!R51,IF(M$3="单季度净利率(%)",Data!S51,IF(M$3="单季度ROE(%)",Data!T51,IF(M$3="单季度ROA(%)",Data!U51,)))))</f>
        <v>3.1267</v>
      </c>
      <c r="J80" s="34"/>
      <c r="K80" s="33">
        <f t="shared" si="1"/>
        <v>0.31530000000000014</v>
      </c>
      <c r="L80" s="19"/>
      <c r="M80" s="19"/>
      <c r="N80" s="7"/>
      <c r="O80" s="5"/>
    </row>
    <row r="81" spans="1:15" ht="16.5">
      <c r="A81" s="5"/>
      <c r="B81" s="7"/>
      <c r="C81" s="18"/>
      <c r="D81" s="28"/>
      <c r="E81" s="32">
        <f>Data!A52</f>
        <v>40816</v>
      </c>
      <c r="F81" s="18"/>
      <c r="G81" s="35">
        <f>IF(M$3="单季度营收同比(%)",Data!F52,IF(M$3="单季度净利同比(%)",Data!G52,IF(M$3="单季度净利率(%)",Data!H52,IF(M$3="单季度ROE(%)",Data!I52,IF(M$3="单季度ROA(%)",Data!J52,)))))</f>
        <v>3.4104000000000001</v>
      </c>
      <c r="H81" s="18"/>
      <c r="I81" s="35">
        <f>IF(M$3="单季度营收同比(%)",Data!Q52,IF(M$3="单季度净利同比(%)",Data!R52,IF(M$3="单季度净利率(%)",Data!S52,IF(M$3="单季度ROE(%)",Data!T52,IF(M$3="单季度ROA(%)",Data!U52,)))))</f>
        <v>3.786</v>
      </c>
      <c r="J81" s="36"/>
      <c r="K81" s="35">
        <f t="shared" si="1"/>
        <v>-0.37559999999999993</v>
      </c>
      <c r="L81" s="18"/>
      <c r="M81" s="18"/>
      <c r="N81" s="7"/>
      <c r="O81" s="5"/>
    </row>
    <row r="82" spans="1:15" ht="16.5">
      <c r="A82" s="5"/>
      <c r="B82" s="7"/>
      <c r="C82" s="19"/>
      <c r="D82" s="27"/>
      <c r="E82" s="31">
        <f>Data!A53</f>
        <v>40724</v>
      </c>
      <c r="F82" s="19"/>
      <c r="G82" s="33">
        <f>IF(M$3="单季度营收同比(%)",Data!F53,IF(M$3="单季度净利同比(%)",Data!G53,IF(M$3="单季度净利率(%)",Data!H53,IF(M$3="单季度ROE(%)",Data!I53,IF(M$3="单季度ROA(%)",Data!J53,)))))</f>
        <v>3.6838000000000002</v>
      </c>
      <c r="H82" s="19"/>
      <c r="I82" s="33">
        <f>IF(M$3="单季度营收同比(%)",Data!Q53,IF(M$3="单季度净利同比(%)",Data!R53,IF(M$3="单季度净利率(%)",Data!S53,IF(M$3="单季度ROE(%)",Data!T53,IF(M$3="单季度ROA(%)",Data!U53,)))))</f>
        <v>4.1844999999999999</v>
      </c>
      <c r="J82" s="34"/>
      <c r="K82" s="33">
        <f t="shared" si="1"/>
        <v>-0.5006999999999997</v>
      </c>
      <c r="L82" s="19"/>
      <c r="M82" s="19"/>
      <c r="N82" s="7"/>
      <c r="O82" s="5"/>
    </row>
    <row r="83" spans="1:15" ht="16.5">
      <c r="B83" s="7"/>
      <c r="C83" s="18"/>
      <c r="D83" s="28"/>
      <c r="E83" s="32">
        <f>Data!A54</f>
        <v>40633</v>
      </c>
      <c r="F83" s="18"/>
      <c r="G83" s="35">
        <f>IF(M$3="单季度营收同比(%)",Data!F54,IF(M$3="单季度净利同比(%)",Data!G54,IF(M$3="单季度净利率(%)",Data!H54,IF(M$3="单季度ROE(%)",Data!I54,IF(M$3="单季度ROA(%)",Data!J54,)))))</f>
        <v>3.6362999999999999</v>
      </c>
      <c r="H83" s="18"/>
      <c r="I83" s="35">
        <f>IF(M$3="单季度营收同比(%)",Data!Q54,IF(M$3="单季度净利同比(%)",Data!R54,IF(M$3="单季度净利率(%)",Data!S54,IF(M$3="单季度ROE(%)",Data!T54,IF(M$3="单季度ROA(%)",Data!U54,)))))</f>
        <v>4.0334000000000003</v>
      </c>
      <c r="J83" s="36"/>
      <c r="K83" s="35">
        <f t="shared" si="1"/>
        <v>-0.39710000000000045</v>
      </c>
      <c r="L83" s="18"/>
      <c r="M83" s="18"/>
      <c r="N83" s="7"/>
      <c r="O83" s="5"/>
    </row>
    <row r="84" spans="1:15" ht="16.5">
      <c r="B84" s="7"/>
      <c r="C84" s="19"/>
      <c r="D84" s="27"/>
      <c r="E84" s="31">
        <f>Data!A55</f>
        <v>40543</v>
      </c>
      <c r="F84" s="19"/>
      <c r="G84" s="33">
        <f>IF(M$3="单季度营收同比(%)",Data!F55,IF(M$3="单季度净利同比(%)",Data!G55,IF(M$3="单季度净利率(%)",Data!H55,IF(M$3="单季度ROE(%)",Data!I55,IF(M$3="单季度ROA(%)",Data!J55,)))))</f>
        <v>4.1414</v>
      </c>
      <c r="H84" s="19"/>
      <c r="I84" s="33">
        <f>IF(M$3="单季度营收同比(%)",Data!Q55,IF(M$3="单季度净利同比(%)",Data!R55,IF(M$3="单季度净利率(%)",Data!S55,IF(M$3="单季度ROE(%)",Data!T55,IF(M$3="单季度ROA(%)",Data!U55,)))))</f>
        <v>3.9062999999999999</v>
      </c>
      <c r="J84" s="34"/>
      <c r="K84" s="33">
        <f t="shared" si="1"/>
        <v>0.23510000000000009</v>
      </c>
      <c r="L84" s="19"/>
      <c r="M84" s="19"/>
      <c r="N84" s="7"/>
      <c r="O84" s="5"/>
    </row>
    <row r="85" spans="1:15" ht="16.5">
      <c r="B85" s="7"/>
      <c r="C85" s="18"/>
      <c r="D85" s="28"/>
      <c r="E85" s="32">
        <f>Data!A56</f>
        <v>40451</v>
      </c>
      <c r="F85" s="18"/>
      <c r="G85" s="35">
        <f>IF(M$3="单季度营收同比(%)",Data!F56,IF(M$3="单季度净利同比(%)",Data!G56,IF(M$3="单季度净利率(%)",Data!H56,IF(M$3="单季度ROE(%)",Data!I56,IF(M$3="单季度ROA(%)",Data!J56,)))))</f>
        <v>3.6833</v>
      </c>
      <c r="H85" s="18"/>
      <c r="I85" s="35">
        <f>IF(M$3="单季度营收同比(%)",Data!Q56,IF(M$3="单季度净利同比(%)",Data!R56,IF(M$3="单季度净利率(%)",Data!S56,IF(M$3="单季度ROE(%)",Data!T56,IF(M$3="单季度ROA(%)",Data!U56,)))))</f>
        <v>4.0785999999999998</v>
      </c>
      <c r="J85" s="36"/>
      <c r="K85" s="35">
        <f t="shared" si="1"/>
        <v>-0.39529999999999976</v>
      </c>
      <c r="L85" s="18"/>
      <c r="M85" s="18"/>
      <c r="N85" s="7"/>
      <c r="O85" s="5"/>
    </row>
    <row r="86" spans="1:15" ht="16.5">
      <c r="B86" s="7"/>
      <c r="C86" s="19"/>
      <c r="D86" s="27"/>
      <c r="E86" s="31">
        <f>Data!A57</f>
        <v>40359</v>
      </c>
      <c r="F86" s="19"/>
      <c r="G86" s="33">
        <f>IF(M$3="单季度营收同比(%)",Data!F57,IF(M$3="单季度净利同比(%)",Data!G57,IF(M$3="单季度净利率(%)",Data!H57,IF(M$3="单季度ROE(%)",Data!I57,IF(M$3="单季度ROA(%)",Data!J57,)))))</f>
        <v>4.1096000000000004</v>
      </c>
      <c r="H86" s="19"/>
      <c r="I86" s="33">
        <f>IF(M$3="单季度营收同比(%)",Data!Q57,IF(M$3="单季度净利同比(%)",Data!R57,IF(M$3="单季度净利率(%)",Data!S57,IF(M$3="单季度ROE(%)",Data!T57,IF(M$3="单季度ROA(%)",Data!U57,)))))</f>
        <v>4.1299000000000001</v>
      </c>
      <c r="J86" s="34"/>
      <c r="K86" s="33">
        <f t="shared" si="1"/>
        <v>-2.0299999999999763E-2</v>
      </c>
      <c r="L86" s="19"/>
      <c r="M86" s="19"/>
      <c r="N86" s="7"/>
      <c r="O86" s="5"/>
    </row>
    <row r="87" spans="1:15" ht="16.5">
      <c r="B87" s="7"/>
      <c r="C87" s="18"/>
      <c r="D87" s="28"/>
      <c r="E87" s="32">
        <f>Data!A58</f>
        <v>40268</v>
      </c>
      <c r="F87" s="18"/>
      <c r="G87" s="35">
        <f>IF(M$3="单季度营收同比(%)",Data!F58,IF(M$3="单季度净利同比(%)",Data!G58,IF(M$3="单季度净利率(%)",Data!H58,IF(M$3="单季度ROE(%)",Data!I58,IF(M$3="单季度ROA(%)",Data!J58,)))))</f>
        <v>3.5501999999999998</v>
      </c>
      <c r="H87" s="18"/>
      <c r="I87" s="35">
        <f>IF(M$3="单季度营收同比(%)",Data!Q58,IF(M$3="单季度净利同比(%)",Data!R58,IF(M$3="单季度净利率(%)",Data!S58,IF(M$3="单季度ROE(%)",Data!T58,IF(M$3="单季度ROA(%)",Data!U58,)))))</f>
        <v>3.8656000000000001</v>
      </c>
      <c r="J87" s="36"/>
      <c r="K87" s="35">
        <f t="shared" si="1"/>
        <v>-0.31540000000000035</v>
      </c>
      <c r="L87" s="18"/>
      <c r="M87" s="18"/>
      <c r="N87" s="7"/>
      <c r="O87" s="5"/>
    </row>
    <row r="88" spans="1:15" ht="16.5">
      <c r="B88" s="7"/>
      <c r="C88" s="19"/>
      <c r="D88" s="27"/>
      <c r="E88" s="31">
        <f>Data!A59</f>
        <v>40178</v>
      </c>
      <c r="F88" s="19"/>
      <c r="G88" s="33">
        <f>IF(M$3="单季度营收同比(%)",Data!F59,IF(M$3="单季度净利同比(%)",Data!G59,IF(M$3="单季度净利率(%)",Data!H59,IF(M$3="单季度ROE(%)",Data!I59,IF(M$3="单季度ROA(%)",Data!J59,)))))</f>
        <v>3.8580000000000001</v>
      </c>
      <c r="H88" s="19"/>
      <c r="I88" s="33">
        <f>IF(M$3="单季度营收同比(%)",Data!Q59,IF(M$3="单季度净利同比(%)",Data!R59,IF(M$3="单季度净利率(%)",Data!S59,IF(M$3="单季度ROE(%)",Data!T59,IF(M$3="单季度ROA(%)",Data!U59,)))))</f>
        <v>3.3633999999999999</v>
      </c>
      <c r="J88" s="34"/>
      <c r="K88" s="33">
        <f t="shared" si="1"/>
        <v>0.49460000000000015</v>
      </c>
      <c r="L88" s="19"/>
      <c r="M88" s="19"/>
      <c r="N88" s="7"/>
      <c r="O88" s="5"/>
    </row>
    <row r="89" spans="1:15" ht="16.5">
      <c r="B89" s="7"/>
      <c r="C89" s="18"/>
      <c r="D89" s="28"/>
      <c r="E89" s="32">
        <f>Data!A60</f>
        <v>40086</v>
      </c>
      <c r="F89" s="18"/>
      <c r="G89" s="35">
        <f>IF(M$3="单季度营收同比(%)",Data!F60,IF(M$3="单季度净利同比(%)",Data!G60,IF(M$3="单季度净利率(%)",Data!H60,IF(M$3="单季度ROE(%)",Data!I60,IF(M$3="单季度ROA(%)",Data!J60,)))))</f>
        <v>3.3921000000000001</v>
      </c>
      <c r="H89" s="18"/>
      <c r="I89" s="35">
        <f>IF(M$3="单季度营收同比(%)",Data!Q60,IF(M$3="单季度净利同比(%)",Data!R60,IF(M$3="单季度净利率(%)",Data!S60,IF(M$3="单季度ROE(%)",Data!T60,IF(M$3="单季度ROA(%)",Data!U60,)))))</f>
        <v>3.7852999999999999</v>
      </c>
      <c r="J89" s="36"/>
      <c r="K89" s="35">
        <f t="shared" si="1"/>
        <v>-0.39319999999999977</v>
      </c>
      <c r="L89" s="18"/>
      <c r="M89" s="18"/>
      <c r="N89" s="7"/>
      <c r="O89" s="5"/>
    </row>
    <row r="90" spans="1:15" ht="16.5">
      <c r="B90" s="7"/>
      <c r="C90" s="19"/>
      <c r="D90" s="27"/>
      <c r="E90" s="31">
        <f>Data!A61</f>
        <v>39994</v>
      </c>
      <c r="F90" s="19"/>
      <c r="G90" s="33">
        <f>IF(M$3="单季度营收同比(%)",Data!F61,IF(M$3="单季度净利同比(%)",Data!G61,IF(M$3="单季度净利率(%)",Data!H61,IF(M$3="单季度ROE(%)",Data!I61,IF(M$3="单季度ROA(%)",Data!J61,)))))</f>
        <v>3.4127999999999998</v>
      </c>
      <c r="H90" s="19"/>
      <c r="I90" s="33">
        <f>IF(M$3="单季度营收同比(%)",Data!Q61,IF(M$3="单季度净利同比(%)",Data!R61,IF(M$3="单季度净利率(%)",Data!S61,IF(M$3="单季度ROE(%)",Data!T61,IF(M$3="单季度ROA(%)",Data!U61,)))))</f>
        <v>3.7351999999999999</v>
      </c>
      <c r="J90" s="34"/>
      <c r="K90" s="33">
        <f t="shared" si="1"/>
        <v>-0.32240000000000002</v>
      </c>
      <c r="L90" s="19"/>
      <c r="M90" s="19"/>
      <c r="N90" s="7"/>
      <c r="O90" s="5"/>
    </row>
    <row r="91" spans="1:15" ht="16.5">
      <c r="B91" s="7"/>
      <c r="C91" s="18"/>
      <c r="D91" s="28"/>
      <c r="E91" s="32">
        <f>Data!A62</f>
        <v>39903</v>
      </c>
      <c r="F91" s="18"/>
      <c r="G91" s="35">
        <f>IF(M$3="单季度营收同比(%)",Data!F62,IF(M$3="单季度净利同比(%)",Data!G62,IF(M$3="单季度净利率(%)",Data!H62,IF(M$3="单季度ROE(%)",Data!I62,IF(M$3="单季度ROA(%)",Data!J62,)))))</f>
        <v>2.0529999999999999</v>
      </c>
      <c r="H91" s="18"/>
      <c r="I91" s="35">
        <f>IF(M$3="单季度营收同比(%)",Data!Q62,IF(M$3="单季度净利同比(%)",Data!R62,IF(M$3="单季度净利率(%)",Data!S62,IF(M$3="单季度ROE(%)",Data!T62,IF(M$3="单季度ROA(%)",Data!U62,)))))</f>
        <v>2.7801</v>
      </c>
      <c r="J91" s="36"/>
      <c r="K91" s="35">
        <f t="shared" si="1"/>
        <v>-0.72710000000000008</v>
      </c>
      <c r="L91" s="18"/>
      <c r="M91" s="18"/>
      <c r="N91" s="7"/>
      <c r="O91" s="5"/>
    </row>
    <row r="92" spans="1:15" ht="16.5">
      <c r="B92" s="7"/>
      <c r="C92" s="19"/>
      <c r="D92" s="27"/>
      <c r="E92" s="31">
        <f>Data!A63</f>
        <v>39813</v>
      </c>
      <c r="F92" s="19"/>
      <c r="G92" s="33">
        <f>IF(M$3="单季度营收同比(%)",Data!F63,IF(M$3="单季度净利同比(%)",Data!G63,IF(M$3="单季度净利率(%)",Data!H63,IF(M$3="单季度ROE(%)",Data!I63,IF(M$3="单季度ROA(%)",Data!J63,)))))</f>
        <v>-0.53620000000000001</v>
      </c>
      <c r="H92" s="19"/>
      <c r="I92" s="33">
        <f>IF(M$3="单季度营收同比(%)",Data!Q63,IF(M$3="单季度净利同比(%)",Data!R63,IF(M$3="单季度净利率(%)",Data!S63,IF(M$3="单季度ROE(%)",Data!T63,IF(M$3="单季度ROA(%)",Data!U63,)))))</f>
        <v>0.442</v>
      </c>
      <c r="J92" s="34"/>
      <c r="K92" s="33">
        <f t="shared" si="1"/>
        <v>-0.97819999999999996</v>
      </c>
      <c r="L92" s="19"/>
      <c r="M92" s="19"/>
      <c r="N92" s="7"/>
      <c r="O92" s="5"/>
    </row>
    <row r="93" spans="1:15" ht="16.5">
      <c r="B93" s="7"/>
      <c r="C93" s="18"/>
      <c r="D93" s="28"/>
      <c r="E93" s="32">
        <f>Data!A64</f>
        <v>39721</v>
      </c>
      <c r="F93" s="18"/>
      <c r="G93" s="35">
        <f>IF(M$3="单季度营收同比(%)",Data!F64,IF(M$3="单季度净利同比(%)",Data!G64,IF(M$3="单季度净利率(%)",Data!H64,IF(M$3="单季度ROE(%)",Data!I64,IF(M$3="单季度ROA(%)",Data!J64,)))))</f>
        <v>1.7277</v>
      </c>
      <c r="H93" s="18"/>
      <c r="I93" s="35">
        <f>IF(M$3="单季度营收同比(%)",Data!Q64,IF(M$3="单季度净利同比(%)",Data!R64,IF(M$3="单季度净利率(%)",Data!S64,IF(M$3="单季度ROE(%)",Data!T64,IF(M$3="单季度ROA(%)",Data!U64,)))))</f>
        <v>3.3102</v>
      </c>
      <c r="J93" s="36"/>
      <c r="K93" s="35">
        <f t="shared" ref="K93:K101" si="2">IFERROR(IF(M$4="绝对差额",G93-I93,IF(M$4="比值",G93/I93,)),0)</f>
        <v>-1.5825</v>
      </c>
      <c r="L93" s="18"/>
      <c r="M93" s="18"/>
      <c r="N93" s="7"/>
      <c r="O93" s="5"/>
    </row>
    <row r="94" spans="1:15" ht="16.5">
      <c r="B94" s="7"/>
      <c r="C94" s="19"/>
      <c r="D94" s="27"/>
      <c r="E94" s="31">
        <f>Data!A65</f>
        <v>39629</v>
      </c>
      <c r="F94" s="19"/>
      <c r="G94" s="33">
        <f>IF(M$3="单季度营收同比(%)",Data!F65,IF(M$3="单季度净利同比(%)",Data!G65,IF(M$3="单季度净利率(%)",Data!H65,IF(M$3="单季度ROE(%)",Data!I65,IF(M$3="单季度ROA(%)",Data!J65,)))))</f>
        <v>3.2585000000000002</v>
      </c>
      <c r="H94" s="19"/>
      <c r="I94" s="33">
        <f>IF(M$3="单季度营收同比(%)",Data!Q65,IF(M$3="单季度净利同比(%)",Data!R65,IF(M$3="单季度净利率(%)",Data!S65,IF(M$3="单季度ROE(%)",Data!T65,IF(M$3="单季度ROA(%)",Data!U65,)))))</f>
        <v>4.2206000000000001</v>
      </c>
      <c r="J94" s="34"/>
      <c r="K94" s="33">
        <f t="shared" si="2"/>
        <v>-0.96209999999999996</v>
      </c>
      <c r="L94" s="19"/>
      <c r="M94" s="19"/>
      <c r="N94" s="7"/>
      <c r="O94" s="5"/>
    </row>
    <row r="95" spans="1:15" ht="16.5">
      <c r="B95" s="7"/>
      <c r="C95" s="18"/>
      <c r="D95" s="28"/>
      <c r="E95" s="32">
        <f>Data!A66</f>
        <v>39538</v>
      </c>
      <c r="F95" s="18"/>
      <c r="G95" s="35">
        <f>IF(M$3="单季度营收同比(%)",Data!F66,IF(M$3="单季度净利同比(%)",Data!G66,IF(M$3="单季度净利率(%)",Data!H66,IF(M$3="单季度ROE(%)",Data!I66,IF(M$3="单季度ROA(%)",Data!J66,)))))</f>
        <v>2.5954999999999999</v>
      </c>
      <c r="H95" s="18"/>
      <c r="I95" s="35">
        <f>IF(M$3="单季度营收同比(%)",Data!Q66,IF(M$3="单季度净利同比(%)",Data!R66,IF(M$3="单季度净利率(%)",Data!S66,IF(M$3="单季度ROE(%)",Data!T66,IF(M$3="单季度ROA(%)",Data!U66,)))))</f>
        <v>4.0446999999999997</v>
      </c>
      <c r="J95" s="36"/>
      <c r="K95" s="35">
        <f t="shared" si="2"/>
        <v>-1.4491999999999998</v>
      </c>
      <c r="L95" s="18"/>
      <c r="M95" s="18"/>
      <c r="N95" s="7"/>
      <c r="O95" s="5"/>
    </row>
    <row r="96" spans="1:15" ht="16.5">
      <c r="B96" s="7"/>
      <c r="C96" s="19"/>
      <c r="D96" s="27"/>
      <c r="E96" s="31">
        <f>Data!A67</f>
        <v>39447</v>
      </c>
      <c r="F96" s="19"/>
      <c r="G96" s="33">
        <f>IF(M$3="单季度营收同比(%)",Data!F67,IF(M$3="单季度净利同比(%)",Data!G67,IF(M$3="单季度净利率(%)",Data!H67,IF(M$3="单季度ROE(%)",Data!I67,IF(M$3="单季度ROA(%)",Data!J67,)))))</f>
        <v>3.0022000000000002</v>
      </c>
      <c r="H96" s="19"/>
      <c r="I96" s="33">
        <f>IF(M$3="单季度营收同比(%)",Data!Q67,IF(M$3="单季度净利同比(%)",Data!R67,IF(M$3="单季度净利率(%)",Data!S67,IF(M$3="单季度ROE(%)",Data!T67,IF(M$3="单季度ROA(%)",Data!U67,)))))</f>
        <v>4.1853999999999996</v>
      </c>
      <c r="J96" s="34"/>
      <c r="K96" s="33">
        <f t="shared" si="2"/>
        <v>-1.1831999999999994</v>
      </c>
      <c r="L96" s="19"/>
      <c r="M96" s="19"/>
      <c r="N96" s="7"/>
      <c r="O96" s="5"/>
    </row>
    <row r="97" spans="2:15" ht="16.5">
      <c r="B97" s="7"/>
      <c r="C97" s="18"/>
      <c r="D97" s="28"/>
      <c r="E97" s="32">
        <f>Data!A68</f>
        <v>39355</v>
      </c>
      <c r="F97" s="18"/>
      <c r="G97" s="35">
        <f>IF(M$3="单季度营收同比(%)",Data!F68,IF(M$3="单季度净利同比(%)",Data!G68,IF(M$3="单季度净利率(%)",Data!H68,IF(M$3="单季度ROE(%)",Data!I68,IF(M$3="单季度ROA(%)",Data!J68,)))))</f>
        <v>2.8210000000000002</v>
      </c>
      <c r="H97" s="18"/>
      <c r="I97" s="35">
        <f>IF(M$3="单季度营收同比(%)",Data!Q68,IF(M$3="单季度净利同比(%)",Data!R68,IF(M$3="单季度净利率(%)",Data!S68,IF(M$3="单季度ROE(%)",Data!T68,IF(M$3="单季度ROA(%)",Data!U68,)))))</f>
        <v>4.2153</v>
      </c>
      <c r="J97" s="36"/>
      <c r="K97" s="35">
        <f t="shared" si="2"/>
        <v>-1.3942999999999999</v>
      </c>
      <c r="L97" s="18"/>
      <c r="M97" s="18"/>
      <c r="N97" s="7"/>
      <c r="O97" s="5"/>
    </row>
    <row r="98" spans="2:15" ht="16.5">
      <c r="B98" s="7"/>
      <c r="C98" s="19"/>
      <c r="D98" s="27"/>
      <c r="E98" s="31">
        <f>Data!A69</f>
        <v>39263</v>
      </c>
      <c r="F98" s="19"/>
      <c r="G98" s="33">
        <f>IF(M$3="单季度营收同比(%)",Data!F69,IF(M$3="单季度净利同比(%)",Data!G69,IF(M$3="单季度净利率(%)",Data!H69,IF(M$3="单季度ROE(%)",Data!I69,IF(M$3="单季度ROA(%)",Data!J69,)))))</f>
        <v>3.1320999999999999</v>
      </c>
      <c r="H98" s="19"/>
      <c r="I98" s="33">
        <f>IF(M$3="单季度营收同比(%)",Data!Q69,IF(M$3="单季度净利同比(%)",Data!R69,IF(M$3="单季度净利率(%)",Data!S69,IF(M$3="单季度ROE(%)",Data!T69,IF(M$3="单季度ROA(%)",Data!U69,)))))</f>
        <v>4.4226000000000001</v>
      </c>
      <c r="J98" s="34"/>
      <c r="K98" s="33">
        <f t="shared" si="2"/>
        <v>-1.2905000000000002</v>
      </c>
      <c r="L98" s="19"/>
      <c r="M98" s="19"/>
      <c r="N98" s="7"/>
      <c r="O98" s="5"/>
    </row>
    <row r="99" spans="2:15" ht="16.5">
      <c r="B99" s="7"/>
      <c r="C99" s="18"/>
      <c r="D99" s="28"/>
      <c r="E99" s="32">
        <f>Data!A70</f>
        <v>39172</v>
      </c>
      <c r="F99" s="18"/>
      <c r="G99" s="35">
        <f>IF(M$3="单季度营收同比(%)",Data!F70,IF(M$3="单季度净利同比(%)",Data!G70,IF(M$3="单季度净利率(%)",Data!H70,IF(M$3="单季度ROE(%)",Data!I70,IF(M$3="单季度ROA(%)",Data!J70,)))))</f>
        <v>2.4336000000000002</v>
      </c>
      <c r="H99" s="18"/>
      <c r="I99" s="35">
        <f>IF(M$3="单季度营收同比(%)",Data!Q70,IF(M$3="单季度净利同比(%)",Data!R70,IF(M$3="单季度净利率(%)",Data!S70,IF(M$3="单季度ROE(%)",Data!T70,IF(M$3="单季度ROA(%)",Data!U70,)))))</f>
        <v>3.6577999999999999</v>
      </c>
      <c r="J99" s="36"/>
      <c r="K99" s="35">
        <f t="shared" si="2"/>
        <v>-1.2241999999999997</v>
      </c>
      <c r="L99" s="18"/>
      <c r="M99" s="18"/>
      <c r="N99" s="7"/>
      <c r="O99" s="5"/>
    </row>
    <row r="100" spans="2:15" ht="16.5">
      <c r="B100" s="7"/>
      <c r="C100" s="19"/>
      <c r="D100" s="27"/>
      <c r="E100" s="31">
        <f>Data!A71</f>
        <v>39082</v>
      </c>
      <c r="F100" s="19"/>
      <c r="G100" s="33">
        <f>IF(M$3="单季度营收同比(%)",Data!F71,IF(M$3="单季度净利同比(%)",Data!G71,IF(M$3="单季度净利率(%)",Data!H71,IF(M$3="单季度ROE(%)",Data!I71,IF(M$3="单季度ROA(%)",Data!J71,)))))</f>
        <v>0.48859999999999998</v>
      </c>
      <c r="H100" s="19"/>
      <c r="I100" s="33">
        <f>IF(M$3="单季度营收同比(%)",Data!Q71,IF(M$3="单季度净利同比(%)",Data!R71,IF(M$3="单季度净利率(%)",Data!S71,IF(M$3="单季度ROE(%)",Data!T71,IF(M$3="单季度ROA(%)",Data!U71,)))))</f>
        <v>2.8285999999999998</v>
      </c>
      <c r="J100" s="34"/>
      <c r="K100" s="33">
        <f t="shared" si="2"/>
        <v>-2.34</v>
      </c>
      <c r="L100" s="19"/>
      <c r="M100" s="19"/>
      <c r="N100" s="7"/>
      <c r="O100" s="5"/>
    </row>
    <row r="101" spans="2:15" ht="16.5">
      <c r="B101" s="7"/>
      <c r="C101" s="18"/>
      <c r="D101" s="28"/>
      <c r="E101" s="32">
        <f>Data!A72</f>
        <v>38990</v>
      </c>
      <c r="F101" s="18"/>
      <c r="G101" s="35">
        <f>IF(M$3="单季度营收同比(%)",Data!F72,IF(M$3="单季度净利同比(%)",Data!G72,IF(M$3="单季度净利率(%)",Data!H72,IF(M$3="单季度ROE(%)",Data!I72,IF(M$3="单季度ROA(%)",Data!J72,)))))</f>
        <v>1.5197000000000001</v>
      </c>
      <c r="H101" s="18"/>
      <c r="I101" s="35">
        <f>IF(M$3="单季度营收同比(%)",Data!Q72,IF(M$3="单季度净利同比(%)",Data!R72,IF(M$3="单季度净利率(%)",Data!S72,IF(M$3="单季度ROE(%)",Data!T72,IF(M$3="单季度ROA(%)",Data!U72,)))))</f>
        <v>3.3216000000000001</v>
      </c>
      <c r="J101" s="36"/>
      <c r="K101" s="35">
        <f t="shared" si="2"/>
        <v>-1.8019000000000001</v>
      </c>
      <c r="L101" s="18"/>
      <c r="M101" s="18"/>
      <c r="N101" s="7"/>
      <c r="O101" s="5"/>
    </row>
    <row r="102" spans="2:15" ht="16.5">
      <c r="B102" s="7"/>
      <c r="C102" s="19"/>
      <c r="D102" s="27"/>
      <c r="E102" s="31">
        <f>Data!A73</f>
        <v>38898</v>
      </c>
      <c r="F102" s="19"/>
      <c r="G102" s="33">
        <f>IF(M$3="单季度营收同比(%)",Data!F73,IF(M$3="单季度净利同比(%)",Data!G73,IF(M$3="单季度净利率(%)",Data!H73,IF(M$3="单季度ROE(%)",Data!I73,IF(M$3="单季度ROA(%)",Data!J73,)))))</f>
        <v>1.7949999999999999</v>
      </c>
      <c r="H102" s="19"/>
      <c r="I102" s="33">
        <f>IF(M$3="单季度营收同比(%)",Data!Q73,IF(M$3="单季度净利同比(%)",Data!R73,IF(M$3="单季度净利率(%)",Data!S73,IF(M$3="单季度ROE(%)",Data!T73,IF(M$3="单季度ROA(%)",Data!U73,)))))</f>
        <v>3.0592999999999999</v>
      </c>
      <c r="J102" s="34"/>
      <c r="K102" s="33">
        <f t="shared" ref="K102" si="3">IFERROR(IF(M$4="绝对差额",G102-I102,IF(M$4="比值",G102/I102,)),0)</f>
        <v>-1.2643</v>
      </c>
      <c r="L102" s="19"/>
      <c r="M102" s="19"/>
      <c r="N102" s="7"/>
      <c r="O102" s="5"/>
    </row>
    <row r="103" spans="2:1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"/>
    </row>
    <row r="104" spans="2:15">
      <c r="B104" s="14"/>
      <c r="F104" s="10"/>
      <c r="G104" s="10"/>
      <c r="H104" s="10"/>
      <c r="I104" s="10"/>
      <c r="J104" s="10"/>
      <c r="K104" s="10"/>
      <c r="L104" s="10"/>
      <c r="M104" s="10"/>
      <c r="N104" s="10"/>
      <c r="O104" s="5"/>
    </row>
    <row r="105" spans="2:15">
      <c r="B105" s="14"/>
      <c r="F105" s="10"/>
      <c r="G105" s="10"/>
      <c r="H105" s="10"/>
      <c r="I105" s="10"/>
      <c r="J105" s="10"/>
      <c r="K105" s="10"/>
      <c r="L105" s="10"/>
      <c r="M105" s="10"/>
      <c r="N105" s="10"/>
      <c r="O105" s="5"/>
    </row>
    <row r="106" spans="2:15">
      <c r="B106" s="14"/>
      <c r="F106" s="10"/>
      <c r="G106" s="10"/>
      <c r="H106" s="10"/>
      <c r="I106" s="10"/>
      <c r="J106" s="10"/>
      <c r="K106" s="10"/>
      <c r="L106" s="10"/>
      <c r="M106" s="10"/>
      <c r="N106" s="10"/>
      <c r="O106" s="5"/>
    </row>
    <row r="107" spans="2:15">
      <c r="B107" s="14"/>
      <c r="F107" s="10"/>
      <c r="G107" s="10"/>
      <c r="H107" s="10"/>
      <c r="I107" s="10"/>
      <c r="J107" s="10"/>
      <c r="K107" s="10"/>
      <c r="L107" s="10"/>
      <c r="M107" s="10"/>
      <c r="N107" s="10"/>
      <c r="O107" s="5"/>
    </row>
    <row r="108" spans="2:15">
      <c r="B108" s="14"/>
      <c r="F108" s="10"/>
      <c r="G108" s="10"/>
      <c r="H108" s="10"/>
      <c r="I108" s="10"/>
      <c r="J108" s="10"/>
      <c r="K108" s="10"/>
      <c r="L108" s="10"/>
      <c r="M108" s="10"/>
      <c r="N108" s="10"/>
      <c r="O108" s="5"/>
    </row>
    <row r="109" spans="2:15">
      <c r="B109" s="14"/>
      <c r="F109" s="10"/>
      <c r="G109" s="10"/>
      <c r="H109" s="10"/>
      <c r="I109" s="10"/>
      <c r="J109" s="10"/>
      <c r="K109" s="10"/>
      <c r="L109" s="10"/>
      <c r="M109" s="10"/>
      <c r="N109" s="10"/>
      <c r="O109" s="5"/>
    </row>
    <row r="110" spans="2:15">
      <c r="B110" s="14"/>
      <c r="F110" s="10"/>
      <c r="G110" s="10"/>
      <c r="H110" s="10"/>
      <c r="I110" s="10"/>
      <c r="J110" s="10"/>
      <c r="K110" s="10"/>
      <c r="L110" s="10"/>
      <c r="M110" s="10"/>
      <c r="N110" s="10"/>
      <c r="O110" s="5"/>
    </row>
    <row r="111" spans="2:15">
      <c r="B111" s="14"/>
      <c r="F111" s="10"/>
      <c r="G111" s="10"/>
      <c r="H111" s="10"/>
      <c r="I111" s="10"/>
      <c r="J111" s="10"/>
      <c r="K111" s="10"/>
      <c r="L111" s="10"/>
      <c r="M111" s="10"/>
      <c r="N111" s="10"/>
      <c r="O111" s="5"/>
    </row>
    <row r="112" spans="2:15">
      <c r="B112" s="14"/>
      <c r="F112" s="10"/>
      <c r="G112" s="10"/>
      <c r="H112" s="10"/>
      <c r="I112" s="10"/>
      <c r="J112" s="10"/>
      <c r="K112" s="10"/>
      <c r="L112" s="10"/>
      <c r="M112" s="10"/>
      <c r="N112" s="10"/>
      <c r="O112" s="5"/>
    </row>
    <row r="113" spans="2:15">
      <c r="B113" s="14"/>
      <c r="F113" s="10"/>
      <c r="G113" s="10"/>
      <c r="H113" s="10"/>
      <c r="I113" s="10"/>
      <c r="J113" s="10"/>
      <c r="K113" s="10"/>
      <c r="L113" s="10"/>
      <c r="M113" s="10"/>
      <c r="N113" s="10"/>
      <c r="O113" s="5"/>
    </row>
    <row r="114" spans="2:15">
      <c r="B114" s="14"/>
      <c r="F114" s="10"/>
      <c r="G114" s="10"/>
      <c r="H114" s="10"/>
      <c r="I114" s="10"/>
      <c r="J114" s="10"/>
      <c r="K114" s="10"/>
      <c r="L114" s="10"/>
      <c r="M114" s="10"/>
      <c r="N114" s="10"/>
      <c r="O114" s="5"/>
    </row>
    <row r="115" spans="2:15">
      <c r="B115" s="14"/>
      <c r="F115" s="10"/>
      <c r="G115" s="10"/>
      <c r="H115" s="10"/>
      <c r="I115" s="10"/>
      <c r="J115" s="10"/>
      <c r="K115" s="10"/>
      <c r="L115" s="10"/>
      <c r="M115" s="10"/>
      <c r="N115" s="10"/>
      <c r="O115" s="5"/>
    </row>
    <row r="116" spans="2:15">
      <c r="B116" s="14"/>
      <c r="F116" s="10"/>
      <c r="G116" s="10"/>
      <c r="H116" s="10"/>
      <c r="I116" s="10"/>
      <c r="J116" s="10"/>
      <c r="K116" s="10"/>
      <c r="L116" s="10"/>
      <c r="M116" s="10"/>
      <c r="N116" s="10"/>
      <c r="O116" s="5"/>
    </row>
    <row r="117" spans="2:15">
      <c r="B117" s="14"/>
      <c r="F117" s="10"/>
      <c r="G117" s="10"/>
      <c r="H117" s="10"/>
      <c r="I117" s="10"/>
      <c r="J117" s="10"/>
      <c r="K117" s="10"/>
      <c r="L117" s="10"/>
      <c r="M117" s="10"/>
      <c r="N117" s="10"/>
      <c r="O117" s="5"/>
    </row>
    <row r="118" spans="2:15">
      <c r="B118" s="14"/>
      <c r="F118" s="10"/>
      <c r="G118" s="10"/>
      <c r="H118" s="10"/>
      <c r="I118" s="10"/>
      <c r="J118" s="10"/>
      <c r="K118" s="10"/>
      <c r="L118" s="10"/>
      <c r="M118" s="10"/>
      <c r="N118" s="10"/>
      <c r="O118" s="5"/>
    </row>
    <row r="119" spans="2:15">
      <c r="B119" s="14"/>
      <c r="F119" s="10"/>
      <c r="G119" s="10"/>
      <c r="H119" s="10"/>
      <c r="I119" s="10"/>
      <c r="J119" s="10"/>
      <c r="K119" s="10"/>
      <c r="L119" s="10"/>
      <c r="M119" s="10"/>
      <c r="N119" s="10"/>
      <c r="O119" s="5"/>
    </row>
    <row r="120" spans="2:15">
      <c r="B120" s="14"/>
      <c r="F120" s="10"/>
      <c r="G120" s="10"/>
      <c r="H120" s="10"/>
      <c r="I120" s="10"/>
      <c r="J120" s="10"/>
      <c r="K120" s="10"/>
      <c r="L120" s="10"/>
      <c r="M120" s="10"/>
      <c r="N120" s="10"/>
      <c r="O120" s="5"/>
    </row>
    <row r="121" spans="2:15">
      <c r="B121" s="14"/>
      <c r="F121" s="10"/>
      <c r="G121" s="10"/>
      <c r="H121" s="10"/>
      <c r="I121" s="10"/>
      <c r="J121" s="10"/>
      <c r="K121" s="10"/>
      <c r="L121" s="10"/>
      <c r="M121" s="10"/>
      <c r="N121" s="10"/>
      <c r="O121" s="5"/>
    </row>
    <row r="122" spans="2:15">
      <c r="B122" s="14"/>
      <c r="F122" s="10"/>
      <c r="G122" s="10"/>
      <c r="H122" s="10"/>
      <c r="I122" s="10"/>
      <c r="J122" s="10"/>
      <c r="K122" s="10"/>
      <c r="L122" s="10"/>
      <c r="M122" s="10"/>
      <c r="N122" s="10"/>
      <c r="O122" s="5"/>
    </row>
    <row r="123" spans="2:15">
      <c r="B123" s="14"/>
      <c r="F123" s="10"/>
      <c r="G123" s="10"/>
      <c r="H123" s="10"/>
      <c r="I123" s="10"/>
      <c r="J123" s="10"/>
      <c r="K123" s="10"/>
      <c r="L123" s="10"/>
      <c r="M123" s="10"/>
      <c r="N123" s="10"/>
      <c r="O123" s="5"/>
    </row>
    <row r="124" spans="2:15">
      <c r="B124" s="14"/>
      <c r="F124" s="10"/>
      <c r="G124" s="10"/>
      <c r="H124" s="10"/>
      <c r="I124" s="10"/>
      <c r="J124" s="10"/>
      <c r="K124" s="10"/>
      <c r="L124" s="10"/>
      <c r="M124" s="10"/>
      <c r="N124" s="10"/>
      <c r="O124" s="5"/>
    </row>
    <row r="125" spans="2:15">
      <c r="B125" s="14"/>
      <c r="F125" s="10"/>
      <c r="G125" s="10"/>
      <c r="H125" s="10"/>
      <c r="I125" s="10"/>
      <c r="J125" s="10"/>
      <c r="K125" s="10"/>
      <c r="L125" s="10"/>
      <c r="M125" s="10"/>
      <c r="N125" s="10"/>
      <c r="O125" s="5"/>
    </row>
    <row r="126" spans="2:15">
      <c r="B126" s="14"/>
      <c r="F126" s="10"/>
      <c r="G126" s="10"/>
      <c r="H126" s="10"/>
      <c r="I126" s="10"/>
      <c r="J126" s="10"/>
      <c r="K126" s="10"/>
      <c r="L126" s="10"/>
      <c r="M126" s="10"/>
      <c r="N126" s="10"/>
      <c r="O126" s="5"/>
    </row>
    <row r="127" spans="2:15">
      <c r="B127" s="14"/>
      <c r="F127" s="10"/>
      <c r="G127" s="10"/>
      <c r="H127" s="10"/>
      <c r="I127" s="10"/>
      <c r="J127" s="10"/>
      <c r="K127" s="10"/>
      <c r="L127" s="10"/>
      <c r="M127" s="10"/>
      <c r="N127" s="10"/>
      <c r="O127" s="5"/>
    </row>
    <row r="128" spans="2:15">
      <c r="B128" s="14"/>
      <c r="F128" s="10"/>
      <c r="G128" s="10"/>
      <c r="H128" s="10"/>
      <c r="I128" s="10"/>
      <c r="J128" s="10"/>
      <c r="K128" s="10"/>
      <c r="L128" s="10"/>
      <c r="M128" s="10"/>
      <c r="N128" s="10"/>
      <c r="O128" s="5"/>
    </row>
    <row r="129" spans="2:15">
      <c r="B129" s="14"/>
      <c r="F129" s="10"/>
      <c r="G129" s="10"/>
      <c r="H129" s="10"/>
      <c r="I129" s="10"/>
      <c r="J129" s="10"/>
      <c r="K129" s="10"/>
      <c r="L129" s="10"/>
      <c r="M129" s="10"/>
      <c r="N129" s="10"/>
      <c r="O129" s="5"/>
    </row>
    <row r="130" spans="2:15">
      <c r="B130" s="14"/>
      <c r="F130" s="10"/>
      <c r="G130" s="10"/>
      <c r="H130" s="10"/>
      <c r="I130" s="10"/>
      <c r="J130" s="10"/>
      <c r="K130" s="10"/>
      <c r="L130" s="10"/>
      <c r="M130" s="10"/>
      <c r="N130" s="10"/>
      <c r="O130" s="5"/>
    </row>
    <row r="131" spans="2:15">
      <c r="B131" s="14"/>
      <c r="F131" s="10"/>
      <c r="G131" s="10"/>
      <c r="H131" s="10"/>
      <c r="I131" s="10"/>
      <c r="J131" s="10"/>
      <c r="K131" s="10"/>
      <c r="L131" s="10"/>
      <c r="M131" s="10"/>
      <c r="N131" s="10"/>
      <c r="O131" s="5"/>
    </row>
    <row r="132" spans="2:15">
      <c r="B132" s="14"/>
      <c r="F132" s="10"/>
      <c r="G132" s="10"/>
      <c r="H132" s="10"/>
      <c r="I132" s="10"/>
      <c r="J132" s="10"/>
      <c r="K132" s="10"/>
      <c r="L132" s="10"/>
      <c r="M132" s="10"/>
      <c r="N132" s="10"/>
      <c r="O132" s="5"/>
    </row>
    <row r="133" spans="2:15">
      <c r="B133" s="14"/>
      <c r="F133" s="10"/>
      <c r="G133" s="10"/>
      <c r="H133" s="10"/>
      <c r="I133" s="10"/>
      <c r="J133" s="10"/>
      <c r="K133" s="10"/>
      <c r="L133" s="10"/>
      <c r="M133" s="10"/>
      <c r="N133" s="10"/>
      <c r="O133" s="5"/>
    </row>
    <row r="134" spans="2:15">
      <c r="B134" s="14"/>
      <c r="F134" s="10"/>
      <c r="G134" s="10"/>
      <c r="H134" s="10"/>
      <c r="I134" s="10"/>
      <c r="J134" s="10"/>
      <c r="K134" s="10"/>
      <c r="L134" s="10"/>
      <c r="M134" s="10"/>
      <c r="N134" s="10"/>
      <c r="O134" s="5"/>
    </row>
    <row r="135" spans="2:15">
      <c r="B135" s="14"/>
      <c r="F135" s="10"/>
      <c r="G135" s="10"/>
      <c r="H135" s="10"/>
      <c r="I135" s="10"/>
      <c r="J135" s="10"/>
      <c r="K135" s="10"/>
      <c r="L135" s="10"/>
      <c r="M135" s="10"/>
      <c r="N135" s="10"/>
      <c r="O135" s="5"/>
    </row>
    <row r="136" spans="2:15">
      <c r="B136" s="14"/>
      <c r="F136" s="10"/>
      <c r="G136" s="10"/>
      <c r="H136" s="10"/>
      <c r="I136" s="10"/>
      <c r="J136" s="10"/>
      <c r="K136" s="10"/>
      <c r="L136" s="10"/>
      <c r="M136" s="10"/>
      <c r="N136" s="10"/>
      <c r="O136" s="5"/>
    </row>
    <row r="137" spans="2:15">
      <c r="B137" s="14"/>
      <c r="F137" s="10"/>
      <c r="G137" s="10"/>
      <c r="H137" s="10"/>
      <c r="I137" s="10"/>
      <c r="J137" s="10"/>
      <c r="K137" s="10"/>
      <c r="L137" s="10"/>
      <c r="M137" s="10"/>
      <c r="N137" s="10"/>
      <c r="O137" s="5"/>
    </row>
    <row r="138" spans="2:15">
      <c r="B138" s="14"/>
      <c r="F138" s="10"/>
      <c r="G138" s="10"/>
      <c r="H138" s="10"/>
      <c r="I138" s="10"/>
      <c r="J138" s="10"/>
      <c r="K138" s="10"/>
      <c r="L138" s="10"/>
      <c r="M138" s="10"/>
      <c r="N138" s="10"/>
      <c r="O138" s="5"/>
    </row>
    <row r="139" spans="2:15">
      <c r="B139" s="14"/>
      <c r="F139" s="10"/>
      <c r="G139" s="10"/>
      <c r="H139" s="10"/>
      <c r="I139" s="10"/>
      <c r="J139" s="10"/>
      <c r="K139" s="10"/>
      <c r="L139" s="10"/>
      <c r="M139" s="10"/>
      <c r="N139" s="10"/>
      <c r="O139" s="5"/>
    </row>
    <row r="140" spans="2:15">
      <c r="B140" s="14"/>
      <c r="F140" s="10"/>
      <c r="G140" s="10"/>
      <c r="H140" s="10"/>
      <c r="I140" s="10"/>
      <c r="J140" s="10"/>
      <c r="K140" s="10"/>
      <c r="L140" s="10"/>
      <c r="M140" s="10"/>
      <c r="N140" s="10"/>
      <c r="O140" s="5"/>
    </row>
    <row r="141" spans="2:15">
      <c r="B141" s="14"/>
      <c r="F141" s="10"/>
      <c r="G141" s="10"/>
      <c r="H141" s="10"/>
      <c r="I141" s="10"/>
      <c r="J141" s="10"/>
      <c r="K141" s="10"/>
      <c r="L141" s="10"/>
      <c r="M141" s="10"/>
      <c r="N141" s="10"/>
      <c r="O141" s="5"/>
    </row>
    <row r="142" spans="2:15">
      <c r="B142" s="14"/>
      <c r="F142" s="10"/>
      <c r="G142" s="10"/>
      <c r="H142" s="10"/>
      <c r="I142" s="10"/>
      <c r="J142" s="10"/>
      <c r="K142" s="10"/>
      <c r="L142" s="10"/>
      <c r="M142" s="10"/>
      <c r="N142" s="10"/>
      <c r="O142" s="5"/>
    </row>
    <row r="143" spans="2:15">
      <c r="B143" s="14"/>
      <c r="F143" s="10"/>
      <c r="G143" s="10"/>
      <c r="H143" s="10"/>
      <c r="I143" s="10"/>
      <c r="J143" s="10"/>
      <c r="K143" s="10"/>
      <c r="L143" s="10"/>
      <c r="M143" s="10"/>
      <c r="N143" s="10"/>
      <c r="O143" s="5"/>
    </row>
    <row r="144" spans="2:15">
      <c r="B144" s="14"/>
      <c r="F144" s="10"/>
      <c r="G144" s="10"/>
      <c r="H144" s="10"/>
      <c r="I144" s="10"/>
      <c r="J144" s="10"/>
      <c r="K144" s="10"/>
      <c r="L144" s="10"/>
      <c r="M144" s="10"/>
      <c r="N144" s="10"/>
      <c r="O144" s="5"/>
    </row>
    <row r="145" spans="2:15">
      <c r="B145" s="14"/>
      <c r="F145" s="10"/>
      <c r="G145" s="10"/>
      <c r="H145" s="10"/>
      <c r="I145" s="10"/>
      <c r="J145" s="10"/>
      <c r="K145" s="10"/>
      <c r="L145" s="10"/>
      <c r="M145" s="10"/>
      <c r="N145" s="10"/>
      <c r="O145" s="5"/>
    </row>
    <row r="146" spans="2:15">
      <c r="B146" s="14"/>
      <c r="F146" s="10"/>
      <c r="G146" s="10"/>
      <c r="H146" s="10"/>
      <c r="I146" s="10"/>
      <c r="J146" s="10"/>
      <c r="K146" s="10"/>
      <c r="L146" s="10"/>
      <c r="M146" s="10"/>
      <c r="N146" s="10"/>
      <c r="O146" s="5"/>
    </row>
    <row r="147" spans="2:15">
      <c r="B147" s="14"/>
      <c r="F147" s="10"/>
      <c r="G147" s="10"/>
      <c r="H147" s="10"/>
      <c r="I147" s="10"/>
      <c r="J147" s="10"/>
      <c r="K147" s="10"/>
      <c r="L147" s="10"/>
      <c r="M147" s="10"/>
      <c r="N147" s="10"/>
      <c r="O147" s="5"/>
    </row>
    <row r="148" spans="2:15">
      <c r="B148" s="14"/>
      <c r="F148" s="10"/>
      <c r="G148" s="10"/>
      <c r="H148" s="10"/>
      <c r="I148" s="10"/>
      <c r="J148" s="10"/>
      <c r="K148" s="10"/>
      <c r="L148" s="10"/>
      <c r="M148" s="10"/>
      <c r="N148" s="10"/>
      <c r="O148" s="5"/>
    </row>
    <row r="149" spans="2:15">
      <c r="B149" s="14"/>
      <c r="F149" s="10"/>
      <c r="G149" s="10"/>
      <c r="H149" s="10"/>
      <c r="I149" s="10"/>
      <c r="J149" s="10"/>
      <c r="K149" s="10"/>
      <c r="L149" s="10"/>
      <c r="M149" s="10"/>
      <c r="N149" s="10"/>
      <c r="O149" s="5"/>
    </row>
    <row r="150" spans="2:15">
      <c r="B150" s="14"/>
      <c r="F150" s="10"/>
      <c r="G150" s="10"/>
      <c r="H150" s="10"/>
      <c r="I150" s="10"/>
      <c r="J150" s="10"/>
      <c r="K150" s="10"/>
      <c r="L150" s="10"/>
      <c r="M150" s="10"/>
      <c r="N150" s="10"/>
      <c r="O150" s="5"/>
    </row>
    <row r="151" spans="2:15">
      <c r="B151" s="14"/>
      <c r="F151" s="10"/>
      <c r="G151" s="10"/>
      <c r="H151" s="10"/>
      <c r="I151" s="10"/>
      <c r="J151" s="10"/>
      <c r="K151" s="10"/>
      <c r="L151" s="10"/>
      <c r="M151" s="10"/>
      <c r="N151" s="10"/>
      <c r="O151" s="5"/>
    </row>
    <row r="152" spans="2:15">
      <c r="B152" s="14"/>
      <c r="F152" s="10"/>
      <c r="G152" s="10"/>
      <c r="H152" s="10"/>
      <c r="I152" s="10"/>
      <c r="J152" s="10"/>
      <c r="K152" s="10"/>
      <c r="L152" s="10"/>
      <c r="M152" s="10"/>
      <c r="N152" s="10"/>
      <c r="O152" s="5"/>
    </row>
    <row r="153" spans="2:15">
      <c r="B153" s="14"/>
      <c r="F153" s="10"/>
      <c r="G153" s="10"/>
      <c r="H153" s="10"/>
      <c r="I153" s="10"/>
      <c r="J153" s="10"/>
      <c r="K153" s="10"/>
      <c r="L153" s="10"/>
      <c r="M153" s="10"/>
      <c r="N153" s="10"/>
      <c r="O153" s="5"/>
    </row>
    <row r="154" spans="2:15">
      <c r="B154" s="14"/>
      <c r="F154" s="10"/>
      <c r="G154" s="10"/>
      <c r="H154" s="10"/>
      <c r="I154" s="10"/>
      <c r="J154" s="10"/>
      <c r="K154" s="10"/>
      <c r="L154" s="10"/>
      <c r="M154" s="10"/>
      <c r="N154" s="10"/>
      <c r="O154" s="5"/>
    </row>
    <row r="155" spans="2:15">
      <c r="B155" s="14"/>
      <c r="F155" s="10"/>
      <c r="G155" s="10"/>
      <c r="H155" s="10"/>
      <c r="I155" s="10"/>
      <c r="J155" s="10"/>
      <c r="K155" s="10"/>
      <c r="L155" s="10"/>
      <c r="M155" s="10"/>
      <c r="N155" s="10"/>
      <c r="O155" s="5"/>
    </row>
    <row r="156" spans="2:15">
      <c r="B156" s="14"/>
      <c r="F156" s="10"/>
      <c r="G156" s="10"/>
      <c r="H156" s="10"/>
      <c r="I156" s="10"/>
      <c r="J156" s="10"/>
      <c r="K156" s="10"/>
      <c r="L156" s="10"/>
      <c r="M156" s="10"/>
      <c r="N156" s="10"/>
      <c r="O156" s="5"/>
    </row>
    <row r="157" spans="2:15">
      <c r="B157" s="14"/>
      <c r="F157" s="10"/>
      <c r="G157" s="10"/>
      <c r="H157" s="10"/>
      <c r="I157" s="10"/>
      <c r="J157" s="10"/>
      <c r="K157" s="10"/>
      <c r="L157" s="10"/>
      <c r="M157" s="10"/>
      <c r="N157" s="10"/>
      <c r="O157" s="5"/>
    </row>
    <row r="158" spans="2:15">
      <c r="B158" s="14"/>
      <c r="F158" s="10"/>
      <c r="G158" s="10"/>
      <c r="H158" s="10"/>
      <c r="I158" s="10"/>
      <c r="J158" s="10"/>
      <c r="K158" s="10"/>
      <c r="L158" s="10"/>
      <c r="M158" s="10"/>
      <c r="N158" s="10"/>
      <c r="O158" s="5"/>
    </row>
    <row r="159" spans="2:15">
      <c r="B159" s="14"/>
      <c r="F159" s="10"/>
      <c r="G159" s="10"/>
      <c r="H159" s="10"/>
      <c r="I159" s="10"/>
      <c r="J159" s="10"/>
      <c r="K159" s="10"/>
      <c r="L159" s="10"/>
      <c r="M159" s="10"/>
      <c r="N159" s="10"/>
      <c r="O159" s="5"/>
    </row>
    <row r="160" spans="2:15">
      <c r="B160" s="14"/>
      <c r="F160" s="10"/>
      <c r="G160" s="10"/>
      <c r="H160" s="10"/>
      <c r="I160" s="10"/>
      <c r="J160" s="10"/>
      <c r="K160" s="10"/>
      <c r="L160" s="10"/>
      <c r="M160" s="10"/>
      <c r="N160" s="10"/>
      <c r="O160" s="5"/>
    </row>
    <row r="161" spans="2:15">
      <c r="B161" s="14"/>
      <c r="F161" s="10"/>
      <c r="G161" s="10"/>
      <c r="H161" s="10"/>
      <c r="I161" s="10"/>
      <c r="J161" s="10"/>
      <c r="K161" s="10"/>
      <c r="L161" s="10"/>
      <c r="M161" s="10"/>
      <c r="N161" s="10"/>
      <c r="O161" s="5"/>
    </row>
    <row r="162" spans="2:15">
      <c r="B162" s="14"/>
      <c r="F162" s="10"/>
      <c r="G162" s="10"/>
      <c r="H162" s="10"/>
      <c r="I162" s="10"/>
      <c r="J162" s="10"/>
      <c r="K162" s="10"/>
      <c r="L162" s="10"/>
      <c r="M162" s="10"/>
      <c r="N162" s="10"/>
      <c r="O162" s="5"/>
    </row>
    <row r="163" spans="2:15">
      <c r="B163" s="14"/>
      <c r="F163" s="10"/>
      <c r="G163" s="10"/>
      <c r="H163" s="10"/>
      <c r="I163" s="10"/>
      <c r="J163" s="10"/>
      <c r="K163" s="10"/>
      <c r="L163" s="10"/>
      <c r="M163" s="10"/>
      <c r="N163" s="10"/>
      <c r="O163" s="5"/>
    </row>
    <row r="164" spans="2:15">
      <c r="B164" s="14"/>
      <c r="F164" s="10"/>
      <c r="G164" s="10"/>
      <c r="H164" s="10"/>
      <c r="I164" s="10"/>
      <c r="J164" s="10"/>
      <c r="K164" s="10"/>
      <c r="L164" s="10"/>
      <c r="M164" s="10"/>
      <c r="N164" s="10"/>
      <c r="O164" s="5"/>
    </row>
    <row r="165" spans="2:15">
      <c r="B165" s="14"/>
      <c r="F165" s="10"/>
      <c r="G165" s="10"/>
      <c r="H165" s="10"/>
      <c r="I165" s="10"/>
      <c r="J165" s="10"/>
      <c r="K165" s="10"/>
      <c r="L165" s="10"/>
      <c r="M165" s="10"/>
      <c r="N165" s="10"/>
      <c r="O165" s="5"/>
    </row>
    <row r="166" spans="2:15">
      <c r="B166" s="14"/>
      <c r="F166" s="10"/>
      <c r="G166" s="10"/>
      <c r="H166" s="10"/>
      <c r="I166" s="10"/>
      <c r="J166" s="10"/>
      <c r="K166" s="10"/>
      <c r="L166" s="10"/>
      <c r="M166" s="10"/>
      <c r="N166" s="10"/>
      <c r="O166" s="5"/>
    </row>
    <row r="167" spans="2:15">
      <c r="B167" s="14"/>
      <c r="F167" s="10"/>
      <c r="G167" s="10"/>
      <c r="H167" s="10"/>
      <c r="I167" s="10"/>
      <c r="J167" s="10"/>
      <c r="K167" s="10"/>
      <c r="L167" s="10"/>
      <c r="M167" s="10"/>
      <c r="N167" s="10"/>
      <c r="O167" s="5"/>
    </row>
    <row r="168" spans="2:15">
      <c r="B168" s="14"/>
      <c r="F168" s="10"/>
      <c r="G168" s="10"/>
      <c r="H168" s="10"/>
      <c r="I168" s="10"/>
      <c r="J168" s="10"/>
      <c r="K168" s="10"/>
      <c r="L168" s="10"/>
      <c r="M168" s="10"/>
      <c r="N168" s="10"/>
      <c r="O168" s="5"/>
    </row>
    <row r="169" spans="2:15">
      <c r="B169" s="14"/>
      <c r="F169" s="10"/>
      <c r="G169" s="10"/>
      <c r="H169" s="10"/>
      <c r="I169" s="10"/>
      <c r="J169" s="10"/>
      <c r="K169" s="10"/>
      <c r="L169" s="10"/>
      <c r="M169" s="10"/>
      <c r="N169" s="10"/>
      <c r="O169" s="5"/>
    </row>
    <row r="170" spans="2:15">
      <c r="B170" s="14"/>
      <c r="F170" s="10"/>
      <c r="G170" s="10"/>
      <c r="H170" s="10"/>
      <c r="I170" s="10"/>
      <c r="J170" s="10"/>
      <c r="K170" s="10"/>
      <c r="L170" s="10"/>
      <c r="M170" s="10"/>
      <c r="N170" s="10"/>
      <c r="O170" s="5"/>
    </row>
    <row r="171" spans="2:15">
      <c r="B171" s="14"/>
      <c r="F171" s="10"/>
      <c r="G171" s="10"/>
      <c r="H171" s="10"/>
      <c r="I171" s="10"/>
      <c r="J171" s="10"/>
      <c r="K171" s="10"/>
      <c r="L171" s="10"/>
      <c r="M171" s="10"/>
      <c r="N171" s="10"/>
      <c r="O171" s="5"/>
    </row>
    <row r="172" spans="2:15">
      <c r="B172" s="14"/>
      <c r="F172" s="10"/>
      <c r="G172" s="10"/>
      <c r="H172" s="10"/>
      <c r="I172" s="10"/>
      <c r="J172" s="10"/>
      <c r="K172" s="10"/>
      <c r="L172" s="10"/>
      <c r="M172" s="10"/>
      <c r="N172" s="10"/>
      <c r="O172" s="5"/>
    </row>
    <row r="173" spans="2:15">
      <c r="B173" s="14"/>
      <c r="F173" s="10"/>
      <c r="G173" s="10"/>
      <c r="H173" s="10"/>
      <c r="I173" s="10"/>
      <c r="J173" s="10"/>
      <c r="K173" s="10"/>
      <c r="L173" s="10"/>
      <c r="M173" s="10"/>
      <c r="N173" s="10"/>
      <c r="O173" s="5"/>
    </row>
    <row r="174" spans="2:15">
      <c r="B174" s="14"/>
      <c r="F174" s="10"/>
      <c r="G174" s="10"/>
      <c r="H174" s="10"/>
      <c r="I174" s="10"/>
      <c r="J174" s="10"/>
      <c r="K174" s="10"/>
      <c r="L174" s="10"/>
      <c r="M174" s="10"/>
      <c r="N174" s="10"/>
      <c r="O174" s="5"/>
    </row>
    <row r="175" spans="2:15">
      <c r="B175" s="14"/>
      <c r="F175" s="10"/>
      <c r="G175" s="10"/>
      <c r="H175" s="10"/>
      <c r="I175" s="10"/>
      <c r="J175" s="10"/>
      <c r="K175" s="10"/>
      <c r="L175" s="10"/>
      <c r="M175" s="10"/>
      <c r="N175" s="10"/>
      <c r="O175" s="5"/>
    </row>
    <row r="176" spans="2:15">
      <c r="B176" s="14"/>
      <c r="F176" s="10"/>
      <c r="G176" s="10"/>
      <c r="H176" s="10"/>
      <c r="I176" s="10"/>
      <c r="J176" s="10"/>
      <c r="K176" s="10"/>
      <c r="L176" s="10"/>
      <c r="M176" s="10"/>
      <c r="N176" s="10"/>
      <c r="O176" s="5"/>
    </row>
    <row r="177" spans="2:15">
      <c r="B177" s="14"/>
      <c r="F177" s="10"/>
      <c r="G177" s="10"/>
      <c r="H177" s="10"/>
      <c r="I177" s="10"/>
      <c r="J177" s="10"/>
      <c r="K177" s="10"/>
      <c r="L177" s="10"/>
      <c r="M177" s="10"/>
      <c r="N177" s="10"/>
      <c r="O177" s="5"/>
    </row>
    <row r="178" spans="2:15">
      <c r="B178" s="14"/>
      <c r="F178" s="10"/>
      <c r="G178" s="10"/>
      <c r="H178" s="10"/>
      <c r="I178" s="10"/>
      <c r="J178" s="10"/>
      <c r="K178" s="10"/>
      <c r="L178" s="10"/>
      <c r="M178" s="10"/>
      <c r="N178" s="10"/>
      <c r="O178" s="5"/>
    </row>
    <row r="179" spans="2:15">
      <c r="B179" s="14"/>
      <c r="F179" s="10"/>
      <c r="G179" s="10"/>
      <c r="H179" s="10"/>
      <c r="I179" s="10"/>
      <c r="J179" s="10"/>
      <c r="K179" s="10"/>
      <c r="L179" s="10"/>
      <c r="M179" s="10"/>
      <c r="N179" s="10"/>
      <c r="O179" s="5"/>
    </row>
    <row r="180" spans="2:15">
      <c r="B180" s="14"/>
      <c r="F180" s="10"/>
      <c r="G180" s="10"/>
      <c r="H180" s="10"/>
      <c r="I180" s="10"/>
      <c r="J180" s="10"/>
      <c r="K180" s="10"/>
      <c r="L180" s="10"/>
      <c r="M180" s="10"/>
      <c r="N180" s="10"/>
      <c r="O180" s="5"/>
    </row>
    <row r="181" spans="2:15">
      <c r="B181" s="14"/>
      <c r="F181" s="10"/>
      <c r="G181" s="10"/>
      <c r="H181" s="10"/>
      <c r="I181" s="10"/>
      <c r="J181" s="10"/>
      <c r="K181" s="10"/>
      <c r="L181" s="10"/>
      <c r="M181" s="10"/>
      <c r="N181" s="10"/>
      <c r="O181" s="5"/>
    </row>
    <row r="182" spans="2:15">
      <c r="B182" s="14"/>
      <c r="F182" s="10"/>
      <c r="G182" s="10"/>
      <c r="H182" s="10"/>
      <c r="I182" s="10"/>
      <c r="J182" s="10"/>
      <c r="K182" s="10"/>
      <c r="L182" s="10"/>
      <c r="M182" s="10"/>
      <c r="N182" s="10"/>
      <c r="O182" s="5"/>
    </row>
    <row r="183" spans="2:15">
      <c r="B183" s="14"/>
      <c r="F183" s="10"/>
      <c r="G183" s="10"/>
      <c r="H183" s="10"/>
      <c r="I183" s="10"/>
      <c r="J183" s="10"/>
      <c r="K183" s="10"/>
      <c r="L183" s="10"/>
      <c r="M183" s="10"/>
      <c r="N183" s="10"/>
      <c r="O183" s="5"/>
    </row>
    <row r="184" spans="2:15">
      <c r="B184" s="14"/>
      <c r="F184" s="10"/>
      <c r="G184" s="10"/>
      <c r="H184" s="10"/>
      <c r="I184" s="10"/>
      <c r="J184" s="10"/>
      <c r="K184" s="10"/>
      <c r="L184" s="10"/>
      <c r="M184" s="10"/>
      <c r="N184" s="10"/>
      <c r="O184" s="5"/>
    </row>
    <row r="185" spans="2:15">
      <c r="B185" s="14"/>
      <c r="F185" s="10"/>
      <c r="G185" s="10"/>
      <c r="H185" s="10"/>
      <c r="I185" s="10"/>
      <c r="J185" s="10"/>
      <c r="K185" s="10"/>
      <c r="L185" s="10"/>
      <c r="M185" s="10"/>
      <c r="N185" s="10"/>
      <c r="O185" s="5"/>
    </row>
    <row r="186" spans="2:15">
      <c r="B186" s="14"/>
      <c r="F186" s="10"/>
      <c r="G186" s="10"/>
      <c r="H186" s="10"/>
      <c r="I186" s="10"/>
      <c r="J186" s="10"/>
      <c r="K186" s="10"/>
      <c r="L186" s="10"/>
      <c r="M186" s="10"/>
      <c r="N186" s="10"/>
      <c r="O186" s="5"/>
    </row>
    <row r="187" spans="2:15">
      <c r="B187" s="14"/>
      <c r="F187" s="10"/>
      <c r="G187" s="10"/>
      <c r="H187" s="10"/>
      <c r="I187" s="10"/>
      <c r="J187" s="10"/>
      <c r="K187" s="10"/>
      <c r="L187" s="10"/>
      <c r="M187" s="10"/>
      <c r="N187" s="10"/>
      <c r="O187" s="5"/>
    </row>
    <row r="188" spans="2:15">
      <c r="B188" s="14"/>
      <c r="F188" s="10"/>
      <c r="G188" s="10"/>
      <c r="H188" s="10"/>
      <c r="I188" s="10"/>
      <c r="J188" s="10"/>
      <c r="K188" s="10"/>
      <c r="L188" s="10"/>
      <c r="M188" s="10"/>
      <c r="N188" s="10"/>
      <c r="O188" s="5"/>
    </row>
    <row r="189" spans="2:15">
      <c r="B189" s="14"/>
      <c r="F189" s="10"/>
      <c r="G189" s="10"/>
      <c r="H189" s="10"/>
      <c r="I189" s="10"/>
      <c r="J189" s="10"/>
      <c r="K189" s="10"/>
      <c r="L189" s="10"/>
      <c r="M189" s="10"/>
      <c r="N189" s="10"/>
      <c r="O189" s="5"/>
    </row>
    <row r="190" spans="2:15">
      <c r="B190" s="14"/>
      <c r="F190" s="10"/>
      <c r="G190" s="10"/>
      <c r="H190" s="10"/>
      <c r="I190" s="10"/>
      <c r="J190" s="10"/>
      <c r="K190" s="10"/>
      <c r="L190" s="10"/>
      <c r="M190" s="10"/>
      <c r="N190" s="10"/>
      <c r="O190" s="5"/>
    </row>
    <row r="191" spans="2:15">
      <c r="B191" s="14"/>
      <c r="F191" s="10"/>
      <c r="G191" s="10"/>
      <c r="H191" s="10"/>
      <c r="I191" s="10"/>
      <c r="J191" s="10"/>
      <c r="K191" s="10"/>
      <c r="L191" s="10"/>
      <c r="M191" s="10"/>
      <c r="N191" s="10"/>
      <c r="O191" s="5"/>
    </row>
    <row r="192" spans="2:15">
      <c r="B192" s="14"/>
      <c r="F192" s="10"/>
      <c r="G192" s="10"/>
      <c r="H192" s="10"/>
      <c r="I192" s="10"/>
      <c r="J192" s="10"/>
      <c r="K192" s="10"/>
      <c r="L192" s="10"/>
      <c r="M192" s="10"/>
      <c r="N192" s="10"/>
      <c r="O192" s="5"/>
    </row>
    <row r="193" spans="2:15">
      <c r="B193" s="14"/>
      <c r="F193" s="10"/>
      <c r="G193" s="10"/>
      <c r="H193" s="10"/>
      <c r="I193" s="10"/>
      <c r="J193" s="10"/>
      <c r="K193" s="10"/>
      <c r="L193" s="10"/>
      <c r="M193" s="10"/>
      <c r="N193" s="10"/>
      <c r="O193" s="5"/>
    </row>
    <row r="194" spans="2:15">
      <c r="B194" s="14"/>
      <c r="F194" s="10"/>
      <c r="G194" s="10"/>
      <c r="H194" s="10"/>
      <c r="I194" s="10"/>
      <c r="J194" s="10"/>
      <c r="K194" s="10"/>
      <c r="L194" s="10"/>
      <c r="M194" s="10"/>
      <c r="N194" s="10"/>
      <c r="O194" s="5"/>
    </row>
    <row r="195" spans="2:15">
      <c r="B195" s="14"/>
      <c r="F195" s="10"/>
      <c r="G195" s="10"/>
      <c r="H195" s="10"/>
      <c r="I195" s="10"/>
      <c r="J195" s="10"/>
      <c r="K195" s="10"/>
      <c r="L195" s="10"/>
      <c r="M195" s="10"/>
      <c r="N195" s="10"/>
      <c r="O195" s="5"/>
    </row>
    <row r="196" spans="2:15">
      <c r="B196" s="14"/>
      <c r="F196" s="10"/>
      <c r="G196" s="10"/>
      <c r="H196" s="10"/>
      <c r="I196" s="10"/>
      <c r="J196" s="10"/>
      <c r="K196" s="10"/>
      <c r="L196" s="10"/>
      <c r="M196" s="10"/>
      <c r="N196" s="10"/>
      <c r="O196" s="5"/>
    </row>
    <row r="197" spans="2:15">
      <c r="B197" s="14"/>
      <c r="F197" s="10"/>
      <c r="G197" s="10"/>
      <c r="H197" s="10"/>
      <c r="I197" s="10"/>
      <c r="J197" s="10"/>
      <c r="K197" s="10"/>
      <c r="L197" s="10"/>
      <c r="M197" s="10"/>
      <c r="N197" s="10"/>
      <c r="O197" s="5"/>
    </row>
    <row r="198" spans="2:15">
      <c r="B198" s="14"/>
      <c r="F198" s="10"/>
      <c r="G198" s="10"/>
      <c r="H198" s="10"/>
      <c r="I198" s="10"/>
      <c r="J198" s="10"/>
      <c r="K198" s="10"/>
      <c r="L198" s="10"/>
      <c r="M198" s="10"/>
      <c r="N198" s="10"/>
      <c r="O198" s="5"/>
    </row>
    <row r="199" spans="2:15">
      <c r="B199" s="14"/>
      <c r="F199" s="10"/>
      <c r="G199" s="10"/>
      <c r="H199" s="10"/>
      <c r="I199" s="10"/>
      <c r="J199" s="10"/>
      <c r="K199" s="10"/>
      <c r="L199" s="10"/>
      <c r="M199" s="10"/>
      <c r="N199" s="10"/>
      <c r="O199" s="5"/>
    </row>
    <row r="200" spans="2:15">
      <c r="B200" s="14"/>
      <c r="F200" s="10"/>
      <c r="G200" s="10"/>
      <c r="H200" s="10"/>
      <c r="I200" s="10"/>
      <c r="J200" s="10"/>
      <c r="K200" s="10"/>
      <c r="L200" s="10"/>
      <c r="M200" s="10"/>
      <c r="N200" s="10"/>
      <c r="O200" s="5"/>
    </row>
    <row r="201" spans="2:15">
      <c r="B201" s="14"/>
      <c r="F201" s="10"/>
      <c r="G201" s="10"/>
      <c r="H201" s="10"/>
      <c r="I201" s="10"/>
      <c r="J201" s="10"/>
      <c r="K201" s="10"/>
      <c r="L201" s="10"/>
      <c r="M201" s="10"/>
      <c r="N201" s="10"/>
      <c r="O201" s="5"/>
    </row>
    <row r="202" spans="2:15">
      <c r="B202" s="14"/>
      <c r="F202" s="10"/>
      <c r="G202" s="10"/>
      <c r="H202" s="10"/>
      <c r="I202" s="10"/>
      <c r="J202" s="10"/>
      <c r="K202" s="10"/>
      <c r="L202" s="10"/>
      <c r="M202" s="10"/>
      <c r="N202" s="10"/>
      <c r="O202" s="5"/>
    </row>
    <row r="203" spans="2:15">
      <c r="B203" s="14"/>
      <c r="F203" s="10"/>
      <c r="G203" s="10"/>
      <c r="H203" s="10"/>
      <c r="I203" s="10"/>
      <c r="J203" s="10"/>
      <c r="K203" s="10"/>
      <c r="L203" s="10"/>
      <c r="M203" s="10"/>
      <c r="N203" s="10"/>
      <c r="O203" s="5"/>
    </row>
    <row r="204" spans="2:15">
      <c r="B204" s="14"/>
      <c r="F204" s="10"/>
      <c r="G204" s="10"/>
      <c r="H204" s="10"/>
      <c r="I204" s="10"/>
      <c r="J204" s="10"/>
      <c r="K204" s="10"/>
      <c r="L204" s="10"/>
      <c r="M204" s="10"/>
      <c r="N204" s="10"/>
      <c r="O204" s="5"/>
    </row>
    <row r="205" spans="2:15">
      <c r="B205" s="14"/>
      <c r="F205" s="10"/>
      <c r="G205" s="10"/>
      <c r="H205" s="10"/>
      <c r="I205" s="10"/>
      <c r="J205" s="10"/>
      <c r="K205" s="10"/>
      <c r="L205" s="10"/>
      <c r="M205" s="10"/>
      <c r="N205" s="10"/>
      <c r="O205" s="5"/>
    </row>
    <row r="206" spans="2:15">
      <c r="B206" s="14"/>
      <c r="F206" s="10"/>
      <c r="G206" s="10"/>
      <c r="H206" s="10"/>
      <c r="I206" s="10"/>
      <c r="J206" s="10"/>
      <c r="K206" s="10"/>
      <c r="L206" s="10"/>
      <c r="M206" s="10"/>
      <c r="N206" s="10"/>
      <c r="O206" s="5"/>
    </row>
    <row r="207" spans="2:15">
      <c r="B207" s="14"/>
      <c r="F207" s="10"/>
      <c r="G207" s="10"/>
      <c r="H207" s="10"/>
      <c r="I207" s="10"/>
      <c r="J207" s="10"/>
      <c r="K207" s="10"/>
      <c r="L207" s="10"/>
      <c r="M207" s="10"/>
      <c r="N207" s="10"/>
      <c r="O207" s="5"/>
    </row>
    <row r="208" spans="2:15">
      <c r="B208" s="14"/>
      <c r="F208" s="10"/>
      <c r="G208" s="10"/>
      <c r="H208" s="10"/>
      <c r="I208" s="10"/>
      <c r="J208" s="10"/>
      <c r="K208" s="10"/>
      <c r="L208" s="10"/>
      <c r="M208" s="10"/>
      <c r="N208" s="10"/>
      <c r="O208" s="5"/>
    </row>
    <row r="209" spans="2:15">
      <c r="B209" s="14"/>
      <c r="F209" s="10"/>
      <c r="G209" s="10"/>
      <c r="H209" s="10"/>
      <c r="I209" s="10"/>
      <c r="J209" s="10"/>
      <c r="K209" s="10"/>
      <c r="L209" s="10"/>
      <c r="M209" s="10"/>
      <c r="N209" s="10"/>
      <c r="O209" s="5"/>
    </row>
    <row r="210" spans="2:15">
      <c r="B210" s="14"/>
      <c r="F210" s="10"/>
      <c r="G210" s="10"/>
      <c r="H210" s="10"/>
      <c r="I210" s="10"/>
      <c r="J210" s="10"/>
      <c r="K210" s="10"/>
      <c r="L210" s="10"/>
      <c r="M210" s="10"/>
      <c r="N210" s="10"/>
      <c r="O210" s="5"/>
    </row>
    <row r="211" spans="2:15">
      <c r="B211" s="14"/>
      <c r="F211" s="10"/>
      <c r="G211" s="10"/>
      <c r="H211" s="10"/>
      <c r="I211" s="10"/>
      <c r="J211" s="10"/>
      <c r="K211" s="10"/>
      <c r="L211" s="10"/>
      <c r="M211" s="10"/>
      <c r="N211" s="10"/>
      <c r="O211" s="5"/>
    </row>
    <row r="212" spans="2:15">
      <c r="B212" s="14"/>
      <c r="F212" s="10"/>
      <c r="G212" s="10"/>
      <c r="H212" s="10"/>
      <c r="I212" s="10"/>
      <c r="J212" s="10"/>
      <c r="K212" s="10"/>
      <c r="L212" s="10"/>
      <c r="M212" s="10"/>
      <c r="N212" s="10"/>
      <c r="O212" s="5"/>
    </row>
    <row r="213" spans="2:15">
      <c r="B213" s="14"/>
      <c r="F213" s="10"/>
      <c r="G213" s="10"/>
      <c r="H213" s="10"/>
      <c r="I213" s="10"/>
      <c r="J213" s="10"/>
      <c r="K213" s="10"/>
      <c r="L213" s="10"/>
      <c r="M213" s="10"/>
      <c r="N213" s="10"/>
      <c r="O213" s="5"/>
    </row>
    <row r="214" spans="2:15">
      <c r="B214" s="14"/>
      <c r="F214" s="10"/>
      <c r="G214" s="10"/>
      <c r="H214" s="10"/>
      <c r="I214" s="10"/>
      <c r="J214" s="10"/>
      <c r="K214" s="10"/>
      <c r="L214" s="10"/>
      <c r="M214" s="10"/>
      <c r="N214" s="10"/>
      <c r="O214" s="5"/>
    </row>
    <row r="215" spans="2:15">
      <c r="B215" s="14"/>
      <c r="F215" s="10"/>
      <c r="G215" s="10"/>
      <c r="H215" s="10"/>
      <c r="I215" s="10"/>
      <c r="J215" s="10"/>
      <c r="K215" s="10"/>
      <c r="L215" s="10"/>
      <c r="M215" s="10"/>
      <c r="N215" s="10"/>
      <c r="O215" s="5"/>
    </row>
    <row r="216" spans="2:15">
      <c r="B216" s="14"/>
      <c r="F216" s="10"/>
      <c r="G216" s="10"/>
      <c r="H216" s="10"/>
      <c r="I216" s="10"/>
      <c r="J216" s="10"/>
      <c r="K216" s="10"/>
      <c r="L216" s="10"/>
      <c r="M216" s="10"/>
      <c r="N216" s="10"/>
      <c r="O216" s="5"/>
    </row>
    <row r="217" spans="2:15">
      <c r="B217" s="14"/>
      <c r="F217" s="10"/>
      <c r="G217" s="10"/>
      <c r="H217" s="10"/>
      <c r="I217" s="10"/>
      <c r="J217" s="10"/>
      <c r="K217" s="10"/>
      <c r="L217" s="10"/>
      <c r="M217" s="10"/>
      <c r="N217" s="10"/>
      <c r="O217" s="5"/>
    </row>
    <row r="218" spans="2:15">
      <c r="B218" s="14"/>
      <c r="F218" s="10"/>
      <c r="G218" s="10"/>
      <c r="H218" s="10"/>
      <c r="I218" s="10"/>
      <c r="J218" s="10"/>
      <c r="K218" s="10"/>
      <c r="L218" s="10"/>
      <c r="M218" s="10"/>
      <c r="N218" s="10"/>
      <c r="O218" s="5"/>
    </row>
    <row r="219" spans="2:15">
      <c r="B219" s="14"/>
      <c r="F219" s="10"/>
      <c r="G219" s="10"/>
      <c r="H219" s="10"/>
      <c r="I219" s="10"/>
      <c r="J219" s="10"/>
      <c r="K219" s="10"/>
      <c r="L219" s="10"/>
      <c r="M219" s="10"/>
      <c r="N219" s="10"/>
      <c r="O219" s="5"/>
    </row>
    <row r="220" spans="2:15">
      <c r="B220" s="14"/>
      <c r="F220" s="10"/>
      <c r="G220" s="10"/>
      <c r="H220" s="10"/>
      <c r="I220" s="10"/>
      <c r="J220" s="10"/>
      <c r="K220" s="10"/>
      <c r="L220" s="10"/>
      <c r="M220" s="10"/>
      <c r="N220" s="10"/>
      <c r="O220" s="5"/>
    </row>
    <row r="221" spans="2:15">
      <c r="B221" s="14"/>
      <c r="F221" s="10"/>
      <c r="G221" s="10"/>
      <c r="H221" s="10"/>
      <c r="I221" s="10"/>
      <c r="J221" s="10"/>
      <c r="K221" s="10"/>
      <c r="L221" s="10"/>
      <c r="M221" s="10"/>
      <c r="N221" s="10"/>
      <c r="O221" s="5"/>
    </row>
    <row r="222" spans="2:15">
      <c r="B222" s="14"/>
      <c r="F222" s="10"/>
      <c r="G222" s="10"/>
      <c r="H222" s="10"/>
      <c r="I222" s="10"/>
      <c r="J222" s="10"/>
      <c r="K222" s="10"/>
      <c r="L222" s="10"/>
      <c r="M222" s="10"/>
      <c r="N222" s="10"/>
      <c r="O222" s="5"/>
    </row>
    <row r="223" spans="2:15">
      <c r="B223" s="14"/>
      <c r="F223" s="10"/>
      <c r="G223" s="10"/>
      <c r="H223" s="10"/>
      <c r="I223" s="10"/>
      <c r="J223" s="10"/>
      <c r="K223" s="10"/>
      <c r="L223" s="10"/>
      <c r="M223" s="10"/>
      <c r="N223" s="10"/>
      <c r="O223" s="5"/>
    </row>
    <row r="224" spans="2:15">
      <c r="B224" s="14"/>
      <c r="F224" s="10"/>
      <c r="G224" s="10"/>
      <c r="H224" s="10"/>
      <c r="I224" s="10"/>
      <c r="J224" s="10"/>
      <c r="K224" s="10"/>
      <c r="L224" s="10"/>
      <c r="M224" s="10"/>
      <c r="N224" s="10"/>
      <c r="O224" s="5"/>
    </row>
    <row r="225" spans="2:15">
      <c r="B225" s="14"/>
      <c r="F225" s="10"/>
      <c r="G225" s="10"/>
      <c r="H225" s="10"/>
      <c r="I225" s="10"/>
      <c r="J225" s="10"/>
      <c r="K225" s="10"/>
      <c r="L225" s="10"/>
      <c r="M225" s="10"/>
      <c r="N225" s="10"/>
      <c r="O225" s="5"/>
    </row>
    <row r="226" spans="2:15">
      <c r="B226" s="14"/>
      <c r="F226" s="10"/>
      <c r="G226" s="10"/>
      <c r="H226" s="10"/>
      <c r="I226" s="10"/>
      <c r="J226" s="10"/>
      <c r="K226" s="10"/>
      <c r="L226" s="10"/>
      <c r="M226" s="10"/>
      <c r="N226" s="10"/>
      <c r="O226" s="5"/>
    </row>
    <row r="227" spans="2:15">
      <c r="B227" s="14"/>
      <c r="F227" s="10"/>
      <c r="G227" s="10"/>
      <c r="H227" s="10"/>
      <c r="I227" s="10"/>
      <c r="J227" s="10"/>
      <c r="K227" s="10"/>
      <c r="L227" s="10"/>
      <c r="M227" s="10"/>
      <c r="N227" s="10"/>
      <c r="O227" s="5"/>
    </row>
    <row r="228" spans="2:15">
      <c r="B228" s="14"/>
      <c r="F228" s="10"/>
      <c r="G228" s="10"/>
      <c r="H228" s="10"/>
      <c r="I228" s="10"/>
      <c r="J228" s="10"/>
      <c r="K228" s="10"/>
      <c r="L228" s="10"/>
      <c r="M228" s="10"/>
      <c r="N228" s="10"/>
      <c r="O228" s="5"/>
    </row>
    <row r="229" spans="2:15">
      <c r="B229" s="14"/>
      <c r="F229" s="10"/>
      <c r="G229" s="10"/>
      <c r="H229" s="10"/>
      <c r="I229" s="10"/>
      <c r="J229" s="10"/>
      <c r="K229" s="10"/>
      <c r="L229" s="10"/>
      <c r="M229" s="10"/>
      <c r="N229" s="10"/>
      <c r="O229" s="5"/>
    </row>
    <row r="230" spans="2:15">
      <c r="B230" s="14"/>
      <c r="F230" s="10"/>
      <c r="G230" s="10"/>
      <c r="H230" s="10"/>
      <c r="I230" s="10"/>
      <c r="J230" s="10"/>
      <c r="K230" s="10"/>
      <c r="L230" s="10"/>
      <c r="M230" s="10"/>
      <c r="N230" s="10"/>
      <c r="O230" s="5"/>
    </row>
    <row r="231" spans="2:15">
      <c r="B231" s="14"/>
      <c r="F231" s="10"/>
      <c r="G231" s="10"/>
      <c r="H231" s="10"/>
      <c r="I231" s="10"/>
      <c r="J231" s="10"/>
      <c r="K231" s="10"/>
      <c r="L231" s="10"/>
      <c r="M231" s="10"/>
      <c r="N231" s="10"/>
      <c r="O231" s="5"/>
    </row>
    <row r="232" spans="2:15">
      <c r="B232" s="14"/>
      <c r="F232" s="10"/>
      <c r="G232" s="10"/>
      <c r="H232" s="10"/>
      <c r="I232" s="10"/>
      <c r="J232" s="10"/>
      <c r="K232" s="10"/>
      <c r="L232" s="10"/>
      <c r="M232" s="10"/>
      <c r="N232" s="10"/>
      <c r="O232" s="5"/>
    </row>
    <row r="233" spans="2:15">
      <c r="B233" s="14"/>
      <c r="F233" s="10"/>
      <c r="G233" s="10"/>
      <c r="H233" s="10"/>
      <c r="I233" s="10"/>
      <c r="J233" s="10"/>
      <c r="K233" s="10"/>
      <c r="L233" s="10"/>
      <c r="M233" s="10"/>
      <c r="N233" s="10"/>
      <c r="O233" s="5"/>
    </row>
    <row r="234" spans="2:15">
      <c r="B234" s="14"/>
      <c r="F234" s="10"/>
      <c r="G234" s="10"/>
      <c r="H234" s="10"/>
      <c r="I234" s="10"/>
      <c r="J234" s="10"/>
      <c r="K234" s="10"/>
      <c r="L234" s="10"/>
      <c r="M234" s="10"/>
      <c r="N234" s="10"/>
      <c r="O234" s="5"/>
    </row>
    <row r="235" spans="2:15">
      <c r="B235" s="14"/>
      <c r="F235" s="10"/>
      <c r="G235" s="10"/>
      <c r="H235" s="10"/>
      <c r="I235" s="10"/>
      <c r="J235" s="10"/>
      <c r="K235" s="10"/>
      <c r="L235" s="10"/>
      <c r="M235" s="10"/>
      <c r="N235" s="10"/>
      <c r="O235" s="5"/>
    </row>
    <row r="236" spans="2:15">
      <c r="B236" s="14"/>
      <c r="F236" s="10"/>
      <c r="G236" s="10"/>
      <c r="H236" s="10"/>
      <c r="I236" s="10"/>
      <c r="J236" s="10"/>
      <c r="K236" s="10"/>
      <c r="L236" s="10"/>
      <c r="M236" s="10"/>
      <c r="N236" s="10"/>
      <c r="O236" s="5"/>
    </row>
    <row r="237" spans="2:15">
      <c r="B237" s="14"/>
      <c r="F237" s="10"/>
      <c r="G237" s="10"/>
      <c r="H237" s="10"/>
      <c r="I237" s="10"/>
      <c r="J237" s="10"/>
      <c r="K237" s="10"/>
      <c r="L237" s="10"/>
      <c r="M237" s="10"/>
      <c r="N237" s="10"/>
      <c r="O237" s="5"/>
    </row>
    <row r="238" spans="2:15">
      <c r="B238" s="14"/>
      <c r="F238" s="10"/>
      <c r="G238" s="10"/>
      <c r="H238" s="10"/>
      <c r="I238" s="10"/>
      <c r="J238" s="10"/>
      <c r="K238" s="10"/>
      <c r="L238" s="10"/>
      <c r="M238" s="10"/>
      <c r="N238" s="10"/>
      <c r="O238" s="5"/>
    </row>
    <row r="239" spans="2:15">
      <c r="B239" s="14"/>
      <c r="F239" s="10"/>
      <c r="G239" s="10"/>
      <c r="H239" s="10"/>
      <c r="I239" s="10"/>
      <c r="J239" s="10"/>
      <c r="K239" s="10"/>
      <c r="L239" s="10"/>
      <c r="M239" s="10"/>
      <c r="N239" s="10"/>
      <c r="O239" s="5"/>
    </row>
    <row r="240" spans="2:15">
      <c r="B240" s="14"/>
      <c r="F240" s="10"/>
      <c r="G240" s="10"/>
      <c r="H240" s="10"/>
      <c r="I240" s="10"/>
      <c r="J240" s="10"/>
      <c r="K240" s="10"/>
      <c r="L240" s="10"/>
      <c r="M240" s="10"/>
      <c r="N240" s="10"/>
      <c r="O240" s="5"/>
    </row>
    <row r="241" spans="2:15">
      <c r="B241" s="14"/>
      <c r="F241" s="10"/>
      <c r="G241" s="10"/>
      <c r="H241" s="10"/>
      <c r="I241" s="10"/>
      <c r="J241" s="10"/>
      <c r="K241" s="10"/>
      <c r="L241" s="10"/>
      <c r="M241" s="10"/>
      <c r="N241" s="10"/>
      <c r="O241" s="5"/>
    </row>
    <row r="242" spans="2:15">
      <c r="B242" s="14"/>
      <c r="F242" s="10"/>
      <c r="G242" s="10"/>
      <c r="H242" s="10"/>
      <c r="I242" s="10"/>
      <c r="J242" s="10"/>
      <c r="K242" s="10"/>
      <c r="L242" s="10"/>
      <c r="M242" s="10"/>
      <c r="N242" s="10"/>
      <c r="O242" s="5"/>
    </row>
    <row r="243" spans="2:15">
      <c r="B243" s="14"/>
      <c r="F243" s="10"/>
      <c r="G243" s="10"/>
      <c r="H243" s="10"/>
      <c r="I243" s="10"/>
      <c r="J243" s="10"/>
      <c r="K243" s="10"/>
      <c r="L243" s="10"/>
      <c r="M243" s="10"/>
      <c r="N243" s="10"/>
      <c r="O243" s="5"/>
    </row>
    <row r="244" spans="2:15">
      <c r="B244" s="14"/>
      <c r="F244" s="10"/>
      <c r="G244" s="10"/>
      <c r="H244" s="10"/>
      <c r="I244" s="10"/>
      <c r="J244" s="10"/>
      <c r="K244" s="10"/>
      <c r="L244" s="10"/>
      <c r="M244" s="10"/>
      <c r="N244" s="10"/>
      <c r="O244" s="5"/>
    </row>
    <row r="245" spans="2:15">
      <c r="B245" s="14"/>
      <c r="F245" s="10"/>
      <c r="G245" s="10"/>
      <c r="H245" s="10"/>
      <c r="I245" s="10"/>
      <c r="J245" s="10"/>
      <c r="K245" s="10"/>
      <c r="L245" s="10"/>
      <c r="M245" s="10"/>
      <c r="N245" s="10"/>
      <c r="O245" s="5"/>
    </row>
    <row r="246" spans="2:15">
      <c r="B246" s="14"/>
      <c r="F246" s="10"/>
      <c r="G246" s="10"/>
      <c r="H246" s="10"/>
      <c r="I246" s="10"/>
      <c r="J246" s="10"/>
      <c r="K246" s="10"/>
      <c r="L246" s="10"/>
      <c r="M246" s="10"/>
      <c r="N246" s="10"/>
      <c r="O246" s="5"/>
    </row>
    <row r="247" spans="2:15">
      <c r="B247" s="14"/>
      <c r="F247" s="10"/>
      <c r="G247" s="10"/>
      <c r="H247" s="10"/>
      <c r="I247" s="10"/>
      <c r="J247" s="10"/>
      <c r="K247" s="10"/>
      <c r="L247" s="10"/>
      <c r="M247" s="10"/>
      <c r="N247" s="10"/>
      <c r="O247" s="5"/>
    </row>
    <row r="248" spans="2:15">
      <c r="B248" s="14"/>
      <c r="F248" s="10"/>
      <c r="G248" s="10"/>
      <c r="H248" s="10"/>
      <c r="I248" s="10"/>
      <c r="J248" s="10"/>
      <c r="K248" s="10"/>
      <c r="L248" s="10"/>
      <c r="M248" s="10"/>
      <c r="N248" s="10"/>
      <c r="O248" s="5"/>
    </row>
    <row r="249" spans="2:15">
      <c r="B249" s="14"/>
      <c r="F249" s="10"/>
      <c r="G249" s="10"/>
      <c r="H249" s="10"/>
      <c r="I249" s="10"/>
      <c r="J249" s="10"/>
      <c r="K249" s="10"/>
      <c r="L249" s="10"/>
      <c r="M249" s="10"/>
      <c r="N249" s="10"/>
      <c r="O249" s="5"/>
    </row>
    <row r="250" spans="2:15">
      <c r="B250" s="14"/>
      <c r="F250" s="10"/>
      <c r="G250" s="10"/>
      <c r="H250" s="10"/>
      <c r="I250" s="10"/>
      <c r="J250" s="10"/>
      <c r="K250" s="10"/>
      <c r="L250" s="10"/>
      <c r="M250" s="10"/>
      <c r="N250" s="10"/>
      <c r="O250" s="5"/>
    </row>
    <row r="251" spans="2:15">
      <c r="B251" s="14"/>
      <c r="F251" s="10"/>
      <c r="G251" s="10"/>
      <c r="H251" s="10"/>
      <c r="I251" s="10"/>
      <c r="J251" s="10"/>
      <c r="K251" s="10"/>
      <c r="L251" s="10"/>
      <c r="M251" s="10"/>
      <c r="N251" s="10"/>
      <c r="O251" s="5"/>
    </row>
    <row r="252" spans="2:15">
      <c r="B252" s="14"/>
      <c r="F252" s="10"/>
      <c r="G252" s="10"/>
      <c r="H252" s="10"/>
      <c r="I252" s="10"/>
      <c r="J252" s="10"/>
      <c r="K252" s="10"/>
      <c r="L252" s="10"/>
      <c r="M252" s="10"/>
      <c r="N252" s="10"/>
      <c r="O252" s="5"/>
    </row>
    <row r="253" spans="2:15">
      <c r="B253" s="14"/>
      <c r="F253" s="10"/>
      <c r="G253" s="10"/>
      <c r="H253" s="10"/>
      <c r="I253" s="10"/>
      <c r="J253" s="10"/>
      <c r="K253" s="10"/>
      <c r="L253" s="10"/>
      <c r="M253" s="10"/>
      <c r="N253" s="10"/>
      <c r="O253" s="5"/>
    </row>
    <row r="254" spans="2:15">
      <c r="B254" s="14"/>
      <c r="F254" s="10"/>
      <c r="G254" s="10"/>
      <c r="H254" s="10"/>
      <c r="I254" s="10"/>
      <c r="J254" s="10"/>
      <c r="K254" s="10"/>
      <c r="L254" s="10"/>
      <c r="M254" s="10"/>
      <c r="N254" s="10"/>
      <c r="O254" s="5"/>
    </row>
    <row r="255" spans="2:15">
      <c r="B255" s="14"/>
      <c r="F255" s="10"/>
      <c r="G255" s="10"/>
      <c r="H255" s="10"/>
      <c r="I255" s="10"/>
      <c r="J255" s="10"/>
      <c r="K255" s="10"/>
      <c r="L255" s="10"/>
      <c r="M255" s="10"/>
      <c r="N255" s="10"/>
      <c r="O255" s="5"/>
    </row>
    <row r="256" spans="2:15">
      <c r="B256" s="14"/>
      <c r="F256" s="10"/>
      <c r="G256" s="10"/>
      <c r="H256" s="10"/>
      <c r="I256" s="10"/>
      <c r="J256" s="10"/>
      <c r="K256" s="10"/>
      <c r="L256" s="10"/>
      <c r="M256" s="10"/>
      <c r="N256" s="10"/>
      <c r="O256" s="5"/>
    </row>
    <row r="257" spans="2:15">
      <c r="B257" s="14"/>
      <c r="F257" s="10"/>
      <c r="G257" s="10"/>
      <c r="H257" s="10"/>
      <c r="I257" s="10"/>
      <c r="J257" s="10"/>
      <c r="K257" s="10"/>
      <c r="L257" s="10"/>
      <c r="M257" s="10"/>
      <c r="N257" s="10"/>
      <c r="O257" s="5"/>
    </row>
    <row r="258" spans="2:15">
      <c r="B258" s="14"/>
      <c r="F258" s="10"/>
      <c r="G258" s="10"/>
      <c r="H258" s="10"/>
      <c r="I258" s="10"/>
      <c r="J258" s="10"/>
      <c r="K258" s="10"/>
      <c r="L258" s="10"/>
      <c r="M258" s="10"/>
      <c r="N258" s="10"/>
      <c r="O258" s="5"/>
    </row>
    <row r="259" spans="2:15">
      <c r="B259" s="14"/>
      <c r="F259" s="10"/>
      <c r="G259" s="10"/>
      <c r="H259" s="10"/>
      <c r="I259" s="10"/>
      <c r="J259" s="10"/>
      <c r="K259" s="10"/>
      <c r="L259" s="10"/>
      <c r="M259" s="10"/>
      <c r="N259" s="10"/>
      <c r="O259" s="5"/>
    </row>
    <row r="260" spans="2:15">
      <c r="B260" s="14"/>
      <c r="F260" s="10"/>
      <c r="G260" s="10"/>
      <c r="H260" s="10"/>
      <c r="I260" s="10"/>
      <c r="J260" s="10"/>
      <c r="K260" s="10"/>
      <c r="L260" s="10"/>
      <c r="M260" s="10"/>
      <c r="N260" s="10"/>
      <c r="O260" s="5"/>
    </row>
    <row r="261" spans="2:15">
      <c r="B261" s="14"/>
      <c r="F261" s="10"/>
      <c r="G261" s="10"/>
      <c r="H261" s="10"/>
      <c r="I261" s="10"/>
      <c r="J261" s="10"/>
      <c r="K261" s="10"/>
      <c r="L261" s="10"/>
      <c r="M261" s="10"/>
      <c r="N261" s="10"/>
      <c r="O261" s="5"/>
    </row>
    <row r="262" spans="2:15">
      <c r="B262" s="14"/>
      <c r="F262" s="10"/>
      <c r="G262" s="10"/>
      <c r="H262" s="10"/>
      <c r="I262" s="10"/>
      <c r="J262" s="10"/>
      <c r="K262" s="10"/>
      <c r="L262" s="10"/>
      <c r="M262" s="10"/>
      <c r="N262" s="10"/>
      <c r="O262" s="5"/>
    </row>
    <row r="263" spans="2:15">
      <c r="B263" s="14"/>
      <c r="F263" s="10"/>
      <c r="G263" s="10"/>
      <c r="H263" s="10"/>
      <c r="I263" s="10"/>
      <c r="J263" s="10"/>
      <c r="K263" s="10"/>
      <c r="L263" s="10"/>
      <c r="M263" s="10"/>
      <c r="N263" s="10"/>
      <c r="O263" s="5"/>
    </row>
    <row r="264" spans="2:15">
      <c r="B264" s="14"/>
      <c r="F264" s="10"/>
      <c r="G264" s="10"/>
      <c r="H264" s="10"/>
      <c r="I264" s="10"/>
      <c r="J264" s="10"/>
      <c r="K264" s="10"/>
      <c r="L264" s="10"/>
      <c r="M264" s="10"/>
      <c r="N264" s="10"/>
      <c r="O264" s="5"/>
    </row>
    <row r="265" spans="2:15">
      <c r="B265" s="14"/>
      <c r="F265" s="10"/>
      <c r="G265" s="10"/>
      <c r="H265" s="10"/>
      <c r="I265" s="10"/>
      <c r="J265" s="10"/>
      <c r="K265" s="10"/>
      <c r="L265" s="10"/>
      <c r="M265" s="10"/>
      <c r="N265" s="10"/>
      <c r="O265" s="5"/>
    </row>
    <row r="266" spans="2:15">
      <c r="B266" s="14"/>
      <c r="F266" s="10"/>
      <c r="G266" s="10"/>
      <c r="H266" s="10"/>
      <c r="I266" s="10"/>
      <c r="J266" s="10"/>
      <c r="K266" s="10"/>
      <c r="L266" s="10"/>
      <c r="M266" s="10"/>
      <c r="N266" s="10"/>
      <c r="O266" s="5"/>
    </row>
    <row r="267" spans="2:15">
      <c r="B267" s="14"/>
      <c r="F267" s="10"/>
      <c r="G267" s="10"/>
      <c r="H267" s="10"/>
      <c r="I267" s="10"/>
      <c r="J267" s="10"/>
      <c r="K267" s="10"/>
      <c r="L267" s="10"/>
      <c r="M267" s="10"/>
      <c r="N267" s="10"/>
      <c r="O267" s="5"/>
    </row>
    <row r="268" spans="2:15">
      <c r="B268" s="14"/>
      <c r="F268" s="10"/>
      <c r="G268" s="10"/>
      <c r="H268" s="10"/>
      <c r="I268" s="10"/>
      <c r="J268" s="10"/>
      <c r="K268" s="10"/>
      <c r="L268" s="10"/>
      <c r="M268" s="10"/>
      <c r="N268" s="10"/>
      <c r="O268" s="5"/>
    </row>
    <row r="269" spans="2:15">
      <c r="B269" s="14"/>
      <c r="F269" s="10"/>
      <c r="G269" s="10"/>
      <c r="H269" s="10"/>
      <c r="I269" s="10"/>
      <c r="J269" s="10"/>
      <c r="K269" s="10"/>
      <c r="L269" s="10"/>
      <c r="M269" s="10"/>
      <c r="N269" s="10"/>
      <c r="O269" s="5"/>
    </row>
    <row r="270" spans="2:15">
      <c r="B270" s="14"/>
      <c r="F270" s="10"/>
      <c r="G270" s="10"/>
      <c r="H270" s="10"/>
      <c r="I270" s="10"/>
      <c r="J270" s="10"/>
      <c r="K270" s="10"/>
      <c r="L270" s="10"/>
      <c r="M270" s="10"/>
      <c r="N270" s="10"/>
      <c r="O270" s="5"/>
    </row>
    <row r="271" spans="2:15">
      <c r="B271" s="14"/>
      <c r="F271" s="10"/>
      <c r="G271" s="10"/>
      <c r="H271" s="10"/>
      <c r="I271" s="10"/>
      <c r="J271" s="10"/>
      <c r="K271" s="10"/>
      <c r="L271" s="10"/>
      <c r="M271" s="10"/>
      <c r="N271" s="10"/>
      <c r="O271" s="5"/>
    </row>
    <row r="272" spans="2:15">
      <c r="B272" s="14"/>
      <c r="F272" s="10"/>
      <c r="G272" s="10"/>
      <c r="H272" s="10"/>
      <c r="I272" s="10"/>
      <c r="J272" s="10"/>
      <c r="K272" s="10"/>
      <c r="L272" s="10"/>
      <c r="M272" s="10"/>
      <c r="N272" s="10"/>
      <c r="O272" s="5"/>
    </row>
    <row r="273" spans="2:15">
      <c r="B273" s="14"/>
      <c r="F273" s="10"/>
      <c r="G273" s="10"/>
      <c r="H273" s="10"/>
      <c r="I273" s="10"/>
      <c r="J273" s="10"/>
      <c r="K273" s="10"/>
      <c r="L273" s="10"/>
      <c r="M273" s="10"/>
      <c r="N273" s="10"/>
      <c r="O273" s="5"/>
    </row>
    <row r="274" spans="2:15">
      <c r="B274" s="14"/>
      <c r="F274" s="10"/>
      <c r="G274" s="10"/>
      <c r="H274" s="10"/>
      <c r="I274" s="10"/>
      <c r="J274" s="10"/>
      <c r="K274" s="10"/>
      <c r="L274" s="10"/>
      <c r="M274" s="10"/>
      <c r="N274" s="10"/>
      <c r="O274" s="5"/>
    </row>
    <row r="275" spans="2:15">
      <c r="B275" s="14"/>
      <c r="F275" s="10"/>
      <c r="G275" s="10"/>
      <c r="H275" s="10"/>
      <c r="I275" s="10"/>
      <c r="J275" s="10"/>
      <c r="K275" s="10"/>
      <c r="L275" s="10"/>
      <c r="M275" s="10"/>
      <c r="N275" s="10"/>
      <c r="O275" s="5"/>
    </row>
    <row r="276" spans="2:15">
      <c r="B276" s="14"/>
      <c r="F276" s="10"/>
      <c r="G276" s="10"/>
      <c r="H276" s="10"/>
      <c r="I276" s="10"/>
      <c r="J276" s="10"/>
      <c r="K276" s="10"/>
      <c r="L276" s="10"/>
      <c r="M276" s="10"/>
      <c r="N276" s="10"/>
      <c r="O276" s="5"/>
    </row>
    <row r="277" spans="2:15">
      <c r="B277" s="14"/>
      <c r="F277" s="10"/>
      <c r="G277" s="10"/>
      <c r="H277" s="10"/>
      <c r="I277" s="10"/>
      <c r="J277" s="10"/>
      <c r="K277" s="10"/>
      <c r="L277" s="10"/>
      <c r="M277" s="10"/>
      <c r="N277" s="10"/>
      <c r="O277" s="5"/>
    </row>
    <row r="278" spans="2:15">
      <c r="B278" s="14"/>
      <c r="F278" s="10"/>
      <c r="G278" s="10"/>
      <c r="H278" s="10"/>
      <c r="I278" s="10"/>
      <c r="J278" s="10"/>
      <c r="K278" s="10"/>
      <c r="L278" s="10"/>
      <c r="M278" s="10"/>
      <c r="N278" s="10"/>
      <c r="O278" s="5"/>
    </row>
    <row r="279" spans="2:15">
      <c r="B279" s="14"/>
      <c r="F279" s="10"/>
      <c r="G279" s="10"/>
      <c r="H279" s="10"/>
      <c r="I279" s="10"/>
      <c r="J279" s="10"/>
      <c r="K279" s="10"/>
      <c r="L279" s="10"/>
      <c r="M279" s="10"/>
      <c r="N279" s="10"/>
      <c r="O279" s="5"/>
    </row>
    <row r="280" spans="2:15">
      <c r="B280" s="14"/>
      <c r="F280" s="10"/>
      <c r="G280" s="10"/>
      <c r="H280" s="10"/>
      <c r="I280" s="10"/>
      <c r="J280" s="10"/>
      <c r="K280" s="10"/>
      <c r="L280" s="10"/>
      <c r="M280" s="10"/>
      <c r="N280" s="10"/>
      <c r="O280" s="5"/>
    </row>
    <row r="281" spans="2:15">
      <c r="B281" s="14"/>
      <c r="F281" s="10"/>
      <c r="G281" s="10"/>
      <c r="H281" s="10"/>
      <c r="I281" s="10"/>
      <c r="J281" s="10"/>
      <c r="K281" s="10"/>
      <c r="L281" s="10"/>
      <c r="M281" s="10"/>
      <c r="N281" s="10"/>
      <c r="O281" s="5"/>
    </row>
    <row r="282" spans="2:15">
      <c r="B282" s="14"/>
      <c r="F282" s="10"/>
      <c r="G282" s="10"/>
      <c r="H282" s="10"/>
      <c r="I282" s="10"/>
      <c r="J282" s="10"/>
      <c r="K282" s="10"/>
      <c r="L282" s="10"/>
      <c r="M282" s="10"/>
      <c r="N282" s="10"/>
      <c r="O282" s="5"/>
    </row>
    <row r="283" spans="2:15">
      <c r="B283" s="14"/>
      <c r="F283" s="10"/>
      <c r="G283" s="10"/>
      <c r="H283" s="10"/>
      <c r="I283" s="10"/>
      <c r="J283" s="10"/>
      <c r="K283" s="10"/>
      <c r="L283" s="10"/>
      <c r="M283" s="10"/>
      <c r="N283" s="10"/>
      <c r="O283" s="5"/>
    </row>
    <row r="284" spans="2:15">
      <c r="B284" s="14"/>
      <c r="F284" s="10"/>
      <c r="G284" s="10"/>
      <c r="H284" s="10"/>
      <c r="I284" s="10"/>
      <c r="J284" s="10"/>
      <c r="K284" s="10"/>
      <c r="L284" s="10"/>
      <c r="M284" s="10"/>
      <c r="N284" s="10"/>
      <c r="O284" s="5"/>
    </row>
    <row r="285" spans="2:15">
      <c r="B285" s="14"/>
      <c r="F285" s="10"/>
      <c r="G285" s="10"/>
      <c r="H285" s="10"/>
      <c r="I285" s="10"/>
      <c r="J285" s="10"/>
      <c r="K285" s="10"/>
      <c r="L285" s="10"/>
      <c r="M285" s="10"/>
      <c r="N285" s="10"/>
      <c r="O285" s="5"/>
    </row>
    <row r="286" spans="2:15">
      <c r="B286" s="14"/>
      <c r="F286" s="10"/>
      <c r="G286" s="10"/>
      <c r="H286" s="10"/>
      <c r="I286" s="10"/>
      <c r="J286" s="10"/>
      <c r="K286" s="10"/>
      <c r="L286" s="10"/>
      <c r="M286" s="10"/>
      <c r="N286" s="10"/>
      <c r="O286" s="5"/>
    </row>
    <row r="287" spans="2:15">
      <c r="B287" s="14"/>
      <c r="F287" s="10"/>
      <c r="G287" s="10"/>
      <c r="H287" s="10"/>
      <c r="I287" s="10"/>
      <c r="J287" s="10"/>
      <c r="K287" s="10"/>
      <c r="L287" s="10"/>
      <c r="M287" s="10"/>
      <c r="N287" s="10"/>
      <c r="O287" s="5"/>
    </row>
    <row r="288" spans="2:15">
      <c r="B288" s="14"/>
      <c r="F288" s="10"/>
      <c r="G288" s="10"/>
      <c r="H288" s="10"/>
      <c r="I288" s="10"/>
      <c r="J288" s="10"/>
      <c r="K288" s="10"/>
      <c r="L288" s="10"/>
      <c r="M288" s="10"/>
      <c r="N288" s="10"/>
      <c r="O288" s="5"/>
    </row>
    <row r="289" spans="2:15">
      <c r="B289" s="14"/>
      <c r="F289" s="10"/>
      <c r="G289" s="10"/>
      <c r="H289" s="10"/>
      <c r="I289" s="10"/>
      <c r="J289" s="10"/>
      <c r="K289" s="10"/>
      <c r="L289" s="10"/>
      <c r="M289" s="10"/>
      <c r="N289" s="10"/>
      <c r="O289" s="5"/>
    </row>
    <row r="290" spans="2:15">
      <c r="B290" s="14"/>
      <c r="F290" s="10"/>
      <c r="G290" s="10"/>
      <c r="H290" s="10"/>
      <c r="I290" s="10"/>
      <c r="J290" s="10"/>
      <c r="K290" s="10"/>
      <c r="L290" s="10"/>
      <c r="M290" s="10"/>
      <c r="N290" s="10"/>
      <c r="O290" s="5"/>
    </row>
    <row r="291" spans="2:15">
      <c r="B291" s="14"/>
      <c r="F291" s="10"/>
      <c r="G291" s="10"/>
      <c r="H291" s="10"/>
      <c r="I291" s="10"/>
      <c r="J291" s="10"/>
      <c r="K291" s="10"/>
      <c r="L291" s="10"/>
      <c r="M291" s="10"/>
      <c r="N291" s="10"/>
      <c r="O291" s="5"/>
    </row>
    <row r="292" spans="2:15">
      <c r="B292" s="14"/>
      <c r="F292" s="10"/>
      <c r="G292" s="10"/>
      <c r="H292" s="10"/>
      <c r="I292" s="10"/>
      <c r="J292" s="10"/>
      <c r="K292" s="10"/>
      <c r="L292" s="10"/>
      <c r="M292" s="10"/>
      <c r="N292" s="10"/>
      <c r="O292" s="5"/>
    </row>
    <row r="293" spans="2:15">
      <c r="B293" s="14"/>
      <c r="F293" s="10"/>
      <c r="G293" s="10"/>
      <c r="H293" s="10"/>
      <c r="I293" s="10"/>
      <c r="J293" s="10"/>
      <c r="K293" s="10"/>
      <c r="L293" s="10"/>
      <c r="M293" s="10"/>
      <c r="N293" s="10"/>
      <c r="O293" s="5"/>
    </row>
    <row r="294" spans="2:15">
      <c r="B294" s="14"/>
      <c r="F294" s="10"/>
      <c r="G294" s="10"/>
      <c r="H294" s="10"/>
      <c r="I294" s="10"/>
      <c r="J294" s="10"/>
      <c r="K294" s="10"/>
      <c r="L294" s="10"/>
      <c r="M294" s="10"/>
      <c r="N294" s="10"/>
      <c r="O294" s="5"/>
    </row>
    <row r="295" spans="2:15">
      <c r="B295" s="14"/>
      <c r="F295" s="10"/>
      <c r="G295" s="10"/>
      <c r="H295" s="10"/>
      <c r="I295" s="10"/>
      <c r="J295" s="10"/>
      <c r="K295" s="10"/>
      <c r="L295" s="10"/>
      <c r="M295" s="10"/>
      <c r="N295" s="10"/>
      <c r="O295" s="5"/>
    </row>
    <row r="296" spans="2:15">
      <c r="B296" s="14"/>
      <c r="F296" s="10"/>
      <c r="G296" s="10"/>
      <c r="H296" s="10"/>
      <c r="I296" s="10"/>
      <c r="J296" s="10"/>
      <c r="K296" s="10"/>
      <c r="L296" s="10"/>
      <c r="M296" s="10"/>
      <c r="N296" s="10"/>
      <c r="O296" s="5"/>
    </row>
    <row r="297" spans="2:15">
      <c r="B297" s="14"/>
      <c r="F297" s="10"/>
      <c r="G297" s="10"/>
      <c r="H297" s="10"/>
      <c r="I297" s="10"/>
      <c r="J297" s="10"/>
      <c r="K297" s="10"/>
      <c r="L297" s="10"/>
      <c r="M297" s="10"/>
      <c r="N297" s="10"/>
      <c r="O297" s="5"/>
    </row>
    <row r="298" spans="2:15">
      <c r="B298" s="14"/>
      <c r="F298" s="10"/>
      <c r="G298" s="10"/>
      <c r="H298" s="10"/>
      <c r="I298" s="10"/>
      <c r="J298" s="10"/>
      <c r="K298" s="10"/>
      <c r="L298" s="10"/>
      <c r="M298" s="10"/>
      <c r="N298" s="10"/>
      <c r="O298" s="5"/>
    </row>
    <row r="299" spans="2:15">
      <c r="B299" s="14"/>
      <c r="F299" s="10"/>
      <c r="G299" s="10"/>
      <c r="H299" s="10"/>
      <c r="I299" s="10"/>
      <c r="J299" s="10"/>
      <c r="K299" s="10"/>
      <c r="L299" s="10"/>
      <c r="M299" s="10"/>
      <c r="N299" s="10"/>
      <c r="O299" s="5"/>
    </row>
    <row r="300" spans="2:15">
      <c r="B300" s="14"/>
      <c r="F300" s="10"/>
      <c r="G300" s="10"/>
      <c r="H300" s="10"/>
      <c r="I300" s="10"/>
      <c r="J300" s="10"/>
      <c r="K300" s="10"/>
      <c r="L300" s="10"/>
      <c r="M300" s="10"/>
      <c r="N300" s="10"/>
      <c r="O300" s="5"/>
    </row>
    <row r="301" spans="2:15">
      <c r="B301" s="14"/>
      <c r="F301" s="10"/>
      <c r="G301" s="10"/>
      <c r="H301" s="10"/>
      <c r="I301" s="10"/>
      <c r="J301" s="10"/>
      <c r="K301" s="10"/>
      <c r="L301" s="10"/>
      <c r="M301" s="10"/>
      <c r="N301" s="10"/>
      <c r="O301" s="5"/>
    </row>
    <row r="302" spans="2:15">
      <c r="B302" s="14"/>
      <c r="F302" s="10"/>
      <c r="G302" s="10"/>
      <c r="H302" s="10"/>
      <c r="I302" s="10"/>
      <c r="J302" s="10"/>
      <c r="K302" s="10"/>
      <c r="L302" s="10"/>
      <c r="M302" s="10"/>
      <c r="N302" s="10"/>
      <c r="O302" s="5"/>
    </row>
    <row r="303" spans="2:15">
      <c r="B303" s="14"/>
      <c r="F303" s="10"/>
      <c r="G303" s="10"/>
      <c r="H303" s="10"/>
      <c r="I303" s="10"/>
      <c r="J303" s="10"/>
      <c r="K303" s="10"/>
      <c r="L303" s="10"/>
      <c r="M303" s="10"/>
      <c r="N303" s="10"/>
      <c r="O303" s="5"/>
    </row>
    <row r="304" spans="2:15">
      <c r="B304" s="14"/>
      <c r="F304" s="10"/>
      <c r="G304" s="10"/>
      <c r="H304" s="10"/>
      <c r="I304" s="10"/>
      <c r="J304" s="10"/>
      <c r="K304" s="10"/>
      <c r="L304" s="10"/>
      <c r="M304" s="10"/>
      <c r="N304" s="10"/>
      <c r="O304" s="5"/>
    </row>
    <row r="305" spans="2:15">
      <c r="B305" s="14"/>
      <c r="F305" s="10"/>
      <c r="G305" s="10"/>
      <c r="H305" s="10"/>
      <c r="I305" s="10"/>
      <c r="J305" s="10"/>
      <c r="K305" s="10"/>
      <c r="L305" s="10"/>
      <c r="M305" s="10"/>
      <c r="N305" s="10"/>
      <c r="O305" s="5"/>
    </row>
    <row r="306" spans="2:15">
      <c r="B306" s="14"/>
      <c r="F306" s="10"/>
      <c r="G306" s="10"/>
      <c r="H306" s="10"/>
      <c r="I306" s="10"/>
      <c r="J306" s="10"/>
      <c r="K306" s="10"/>
      <c r="L306" s="10"/>
      <c r="M306" s="10"/>
      <c r="N306" s="10"/>
      <c r="O306" s="5"/>
    </row>
    <row r="307" spans="2:15">
      <c r="B307" s="14"/>
      <c r="F307" s="10"/>
      <c r="G307" s="10"/>
      <c r="H307" s="10"/>
      <c r="I307" s="10"/>
      <c r="J307" s="10"/>
      <c r="K307" s="10"/>
      <c r="L307" s="10"/>
      <c r="M307" s="10"/>
      <c r="N307" s="10"/>
      <c r="O307" s="5"/>
    </row>
  </sheetData>
  <mergeCells count="2">
    <mergeCell ref="C8:M8"/>
    <mergeCell ref="E1:K1"/>
  </mergeCells>
  <phoneticPr fontId="2" type="noConversion"/>
  <dataValidations count="2">
    <dataValidation type="list" allowBlank="1" showInputMessage="1" showErrorMessage="1" sqref="M3">
      <formula1>$R$25:$R$29</formula1>
    </dataValidation>
    <dataValidation type="list" allowBlank="1" showInputMessage="1" showErrorMessage="1" sqref="M4">
      <formula1>$R$32:$R$33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 ht="17.25">
      <c r="A1" s="40" t="s">
        <v>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3636D"/>
  </sheetPr>
  <dimension ref="A1:V73"/>
  <sheetViews>
    <sheetView zoomScaleNormal="100" workbookViewId="0">
      <selection activeCell="M6" sqref="M6"/>
    </sheetView>
  </sheetViews>
  <sheetFormatPr defaultColWidth="14.25" defaultRowHeight="14.25"/>
  <cols>
    <col min="1" max="1" width="11.625" bestFit="1" customWidth="1"/>
    <col min="2" max="2" width="14.125" bestFit="1" customWidth="1"/>
    <col min="3" max="3" width="16.625" bestFit="1" customWidth="1"/>
    <col min="4" max="4" width="14.125" bestFit="1" customWidth="1"/>
    <col min="5" max="5" width="16.375" bestFit="1" customWidth="1"/>
    <col min="6" max="6" width="23.625" bestFit="1" customWidth="1"/>
    <col min="7" max="7" width="23.875" bestFit="1" customWidth="1"/>
    <col min="8" max="8" width="18.5" bestFit="1" customWidth="1"/>
    <col min="9" max="9" width="26" bestFit="1" customWidth="1"/>
    <col min="10" max="10" width="40.5" bestFit="1" customWidth="1"/>
    <col min="11" max="11" width="10.125" bestFit="1" customWidth="1"/>
    <col min="12" max="12" width="11.625" bestFit="1" customWidth="1"/>
    <col min="13" max="13" width="14.125" bestFit="1" customWidth="1"/>
    <col min="14" max="14" width="16.625" bestFit="1" customWidth="1"/>
    <col min="15" max="15" width="14.125" bestFit="1" customWidth="1"/>
    <col min="16" max="16" width="16.375" bestFit="1" customWidth="1"/>
    <col min="17" max="17" width="23.625" bestFit="1" customWidth="1"/>
    <col min="18" max="18" width="23.875" bestFit="1" customWidth="1"/>
    <col min="19" max="19" width="18.5" bestFit="1" customWidth="1"/>
    <col min="20" max="20" width="26" bestFit="1" customWidth="1"/>
    <col min="21" max="21" width="40.5" bestFit="1" customWidth="1"/>
  </cols>
  <sheetData>
    <row r="1" spans="1:21">
      <c r="A1" s="1"/>
      <c r="B1" s="1" t="str">
        <f>[1]!s_info_name(B2)</f>
        <v>可选消费</v>
      </c>
      <c r="L1" s="1"/>
      <c r="M1" s="1" t="str">
        <f>[1]!s_info_name(M2)</f>
        <v>万得全A</v>
      </c>
    </row>
    <row r="2" spans="1:21">
      <c r="A2" s="1"/>
      <c r="B2" s="20" t="str">
        <f>指数历史财务比率比较!E3</f>
        <v>882004.WI</v>
      </c>
      <c r="L2" s="1"/>
      <c r="M2" s="20" t="str">
        <f>指数历史财务比率比较!I3</f>
        <v>881001.WI</v>
      </c>
    </row>
    <row r="3" spans="1:21">
      <c r="A3" s="1" t="s">
        <v>0</v>
      </c>
      <c r="B3" s="1" t="s">
        <v>2</v>
      </c>
      <c r="C3" s="1" t="s">
        <v>8</v>
      </c>
      <c r="D3" s="1" t="s">
        <v>3</v>
      </c>
      <c r="E3" s="1" t="s">
        <v>4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L3" s="1" t="s">
        <v>0</v>
      </c>
      <c r="M3" s="1" t="s">
        <v>2</v>
      </c>
      <c r="N3" s="1" t="s">
        <v>8</v>
      </c>
      <c r="O3" s="1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</row>
    <row r="4" spans="1:21">
      <c r="A4" s="1" t="s">
        <v>1</v>
      </c>
      <c r="B4" s="1" t="s">
        <v>5</v>
      </c>
      <c r="C4" s="1" t="s">
        <v>9</v>
      </c>
      <c r="D4" s="1" t="s">
        <v>6</v>
      </c>
      <c r="E4" s="1" t="s">
        <v>7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L4" s="1" t="s">
        <v>1</v>
      </c>
      <c r="M4" s="1" t="s">
        <v>5</v>
      </c>
      <c r="N4" s="1" t="s">
        <v>9</v>
      </c>
      <c r="O4" s="1" t="s">
        <v>6</v>
      </c>
      <c r="P4" s="1" t="s">
        <v>7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</row>
    <row r="5" spans="1:21">
      <c r="A5" s="2">
        <v>45107</v>
      </c>
      <c r="B5" s="3">
        <f>[1]!WSD(B2,B4:J4,"-69Q","","Per=FQ","Days=Alldays","TradingCalendar=SSE","Sort=D","rptType=1","cols=9;rows=69")</f>
        <v>32.738700866699219</v>
      </c>
      <c r="C5" s="3">
        <v>2.3087000846862793</v>
      </c>
      <c r="D5" s="3">
        <v>1.3668</v>
      </c>
      <c r="E5" s="3">
        <v>1.7472000000000001</v>
      </c>
      <c r="F5" s="3">
        <v>2.5598999999999998</v>
      </c>
      <c r="G5" s="3">
        <v>1.0827</v>
      </c>
      <c r="H5" s="3">
        <v>5.8941999999999997</v>
      </c>
      <c r="I5" s="3">
        <v>20.6736</v>
      </c>
      <c r="J5" s="3">
        <v>30.246600000000001</v>
      </c>
      <c r="L5" s="2">
        <v>45107</v>
      </c>
      <c r="M5" s="3">
        <f>[1]!WSD(M2,M4:U4,"-69Q","","Per=FQ","Days=Alldays","TradingCalendar=SSE","Sort=D","rptType=1","cols=9;rows=69")</f>
        <v>17.332099914550781</v>
      </c>
      <c r="N5" s="3">
        <v>1.6267000436782837</v>
      </c>
      <c r="O5" s="3">
        <v>1.2947</v>
      </c>
      <c r="P5" s="3">
        <v>2.1183999999999998</v>
      </c>
      <c r="Q5" s="3">
        <v>2.3475999999999999</v>
      </c>
      <c r="R5" s="3">
        <v>0.38679999999999998</v>
      </c>
      <c r="S5" s="3">
        <v>8.6357999999999997</v>
      </c>
      <c r="T5" s="3">
        <v>1.4551000000000001</v>
      </c>
      <c r="U5" s="3">
        <v>-9.2790999999999997</v>
      </c>
    </row>
    <row r="6" spans="1:21">
      <c r="A6" s="2">
        <v>45016</v>
      </c>
      <c r="B6" s="3">
        <v>41.427101135253906</v>
      </c>
      <c r="C6" s="3">
        <v>2.3317000865936279</v>
      </c>
      <c r="D6" s="3">
        <v>1.3779999999999999</v>
      </c>
      <c r="E6" s="3">
        <v>1.7341</v>
      </c>
      <c r="F6" s="3">
        <v>2.1926000000000001</v>
      </c>
      <c r="G6" s="3">
        <v>0.93189999999999995</v>
      </c>
      <c r="H6" s="3">
        <v>5.5620000000000003</v>
      </c>
      <c r="I6" s="3">
        <v>3.3054000000000001</v>
      </c>
      <c r="J6" s="3">
        <v>17.712299999999999</v>
      </c>
      <c r="L6" s="2">
        <v>45016</v>
      </c>
      <c r="M6" s="3">
        <v>17.920999526977539</v>
      </c>
      <c r="N6" s="3">
        <v>1.6777000427246094</v>
      </c>
      <c r="O6" s="3">
        <v>1.3271999999999999</v>
      </c>
      <c r="P6" s="3">
        <v>1.917</v>
      </c>
      <c r="Q6" s="3">
        <v>2.4567000000000001</v>
      </c>
      <c r="R6" s="3">
        <v>0.40479999999999999</v>
      </c>
      <c r="S6" s="3">
        <v>9.4062999999999999</v>
      </c>
      <c r="T6" s="3">
        <v>3.8157000000000001</v>
      </c>
      <c r="U6" s="3">
        <v>1.9473</v>
      </c>
    </row>
    <row r="7" spans="1:21">
      <c r="A7" s="2">
        <v>44926</v>
      </c>
      <c r="B7" s="3">
        <v>41.151100158691406</v>
      </c>
      <c r="C7" s="3">
        <v>2.2167000770568848</v>
      </c>
      <c r="D7" s="3">
        <v>1.3237000000000001</v>
      </c>
      <c r="E7" s="3">
        <v>1.7233000000000001</v>
      </c>
      <c r="F7" s="3">
        <v>-0.54730000000000001</v>
      </c>
      <c r="G7" s="3">
        <v>-0.22770000000000001</v>
      </c>
      <c r="H7" s="3">
        <v>-1.2367999999999999</v>
      </c>
      <c r="I7" s="3">
        <v>1.6698999999999999</v>
      </c>
      <c r="J7" s="3">
        <v>-29.024699999999999</v>
      </c>
      <c r="L7" s="2">
        <v>44926</v>
      </c>
      <c r="M7" s="3">
        <v>16.71769905090332</v>
      </c>
      <c r="N7" s="3">
        <v>1.5877000093460083</v>
      </c>
      <c r="O7" s="3">
        <v>1.2399</v>
      </c>
      <c r="P7" s="3">
        <v>2.0571999999999999</v>
      </c>
      <c r="Q7" s="3">
        <v>1.3351</v>
      </c>
      <c r="R7" s="3">
        <v>0.22500000000000001</v>
      </c>
      <c r="S7" s="3">
        <v>4.5445000000000002</v>
      </c>
      <c r="T7" s="3">
        <v>2.6032999999999999</v>
      </c>
      <c r="U7" s="3">
        <v>-8.4558999999999997</v>
      </c>
    </row>
    <row r="8" spans="1:21">
      <c r="A8" s="2">
        <v>44834</v>
      </c>
      <c r="B8" s="3">
        <v>41.038600921630859</v>
      </c>
      <c r="C8" s="3">
        <v>2.1781001091003418</v>
      </c>
      <c r="D8" s="3">
        <v>1.2995000000000001</v>
      </c>
      <c r="E8" s="3">
        <v>1.9263999999999999</v>
      </c>
      <c r="F8" s="3">
        <v>2.0097</v>
      </c>
      <c r="G8" s="3">
        <v>0.85489999999999999</v>
      </c>
      <c r="H8" s="3">
        <v>4.7794999999999996</v>
      </c>
      <c r="I8" s="3">
        <v>11.0663</v>
      </c>
      <c r="J8" s="3">
        <v>9.6456</v>
      </c>
      <c r="L8" s="2">
        <v>44834</v>
      </c>
      <c r="M8" s="3">
        <v>16.21820068359375</v>
      </c>
      <c r="N8" s="3">
        <v>1.5778000354766846</v>
      </c>
      <c r="O8" s="3">
        <v>1.2198</v>
      </c>
      <c r="P8" s="3">
        <v>2.0865999999999998</v>
      </c>
      <c r="Q8" s="3">
        <v>2.3919000000000001</v>
      </c>
      <c r="R8" s="3">
        <v>0.39510000000000001</v>
      </c>
      <c r="S8" s="3">
        <v>8.4212000000000007</v>
      </c>
      <c r="T8" s="3">
        <v>6.7824</v>
      </c>
      <c r="U8" s="3">
        <v>-0.55179999999999996</v>
      </c>
    </row>
    <row r="9" spans="1:21">
      <c r="A9" s="2">
        <v>44742</v>
      </c>
      <c r="B9" s="3">
        <v>45.249198913574219</v>
      </c>
      <c r="C9" s="3">
        <v>2.5929999351501465</v>
      </c>
      <c r="D9" s="3">
        <v>1.4915</v>
      </c>
      <c r="E9" s="3">
        <v>1.7261</v>
      </c>
      <c r="F9" s="3">
        <v>1.9853000000000001</v>
      </c>
      <c r="G9" s="3">
        <v>0.83220000000000005</v>
      </c>
      <c r="H9" s="3">
        <v>5.3226000000000004</v>
      </c>
      <c r="I9" s="3">
        <v>-9.1631999999999998</v>
      </c>
      <c r="J9" s="3">
        <v>-15.8423</v>
      </c>
      <c r="L9" s="2">
        <v>44742</v>
      </c>
      <c r="M9" s="3">
        <v>18.258199691772461</v>
      </c>
      <c r="N9" s="3">
        <v>1.7939000129699707</v>
      </c>
      <c r="O9" s="3">
        <v>1.3828</v>
      </c>
      <c r="P9" s="3">
        <v>1.6921999999999999</v>
      </c>
      <c r="Q9" s="3">
        <v>2.7370999999999999</v>
      </c>
      <c r="R9" s="3">
        <v>0.45679999999999998</v>
      </c>
      <c r="S9" s="3">
        <v>9.4431999999999992</v>
      </c>
      <c r="T9" s="3">
        <v>5.3189000000000002</v>
      </c>
      <c r="U9" s="3">
        <v>-0.35070000000000001</v>
      </c>
    </row>
    <row r="10" spans="1:21">
      <c r="A10" s="2">
        <v>44651</v>
      </c>
      <c r="B10" s="3">
        <v>34.195598602294922</v>
      </c>
      <c r="C10" s="3">
        <v>2.2307999134063721</v>
      </c>
      <c r="D10" s="3">
        <v>1.2714000000000001</v>
      </c>
      <c r="E10" s="3">
        <v>1.7423</v>
      </c>
      <c r="F10" s="3">
        <v>1.8859999999999999</v>
      </c>
      <c r="G10" s="3">
        <v>0.80410000000000004</v>
      </c>
      <c r="H10" s="3">
        <v>4.8875999999999999</v>
      </c>
      <c r="I10" s="3">
        <v>-1.5472999999999999</v>
      </c>
      <c r="J10" s="3">
        <v>-11.8687</v>
      </c>
      <c r="L10" s="2">
        <v>44651</v>
      </c>
      <c r="M10" s="3">
        <v>17.552200317382813</v>
      </c>
      <c r="N10" s="3">
        <v>1.7417999505996704</v>
      </c>
      <c r="O10" s="3">
        <v>1.3560000000000001</v>
      </c>
      <c r="P10" s="3">
        <v>1.6335999999999999</v>
      </c>
      <c r="Q10" s="3">
        <v>2.5507</v>
      </c>
      <c r="R10" s="3">
        <v>0.42599999999999999</v>
      </c>
      <c r="S10" s="3">
        <v>9.2178000000000004</v>
      </c>
      <c r="T10" s="3">
        <v>10.682700000000001</v>
      </c>
      <c r="U10" s="3">
        <v>3.0445000000000002</v>
      </c>
    </row>
    <row r="11" spans="1:21">
      <c r="A11" s="2">
        <v>44561</v>
      </c>
      <c r="B11" s="3">
        <v>40.805000305175781</v>
      </c>
      <c r="C11" s="3">
        <v>2.7915999889373779</v>
      </c>
      <c r="D11" s="3">
        <v>1.5688</v>
      </c>
      <c r="E11" s="3">
        <v>1.4416</v>
      </c>
      <c r="F11" s="3">
        <v>-0.56040000000000001</v>
      </c>
      <c r="G11" s="3">
        <v>-0.1971</v>
      </c>
      <c r="H11" s="3">
        <v>-1.0264</v>
      </c>
      <c r="I11" s="3">
        <v>-3.6888000000000001</v>
      </c>
      <c r="J11" s="3">
        <v>-367.76350000000002</v>
      </c>
      <c r="L11" s="2">
        <v>44561</v>
      </c>
      <c r="M11" s="3">
        <v>20.109199523925781</v>
      </c>
      <c r="N11" s="3">
        <v>2.0295000076293945</v>
      </c>
      <c r="O11" s="3">
        <v>1.5638000000000001</v>
      </c>
      <c r="P11" s="3">
        <v>1.4398</v>
      </c>
      <c r="Q11" s="3">
        <v>1.4650000000000001</v>
      </c>
      <c r="R11" s="3">
        <v>0.24410000000000001</v>
      </c>
      <c r="S11" s="3">
        <v>4.7104999999999997</v>
      </c>
      <c r="T11" s="3">
        <v>9.7886000000000006</v>
      </c>
      <c r="U11" s="3">
        <v>-10.3347</v>
      </c>
    </row>
    <row r="12" spans="1:21">
      <c r="A12" s="2">
        <v>44469</v>
      </c>
      <c r="B12" s="3">
        <v>33.939300537109375</v>
      </c>
      <c r="C12" s="3">
        <v>2.598099946975708</v>
      </c>
      <c r="D12" s="3">
        <v>1.4253</v>
      </c>
      <c r="E12" s="3">
        <v>1.5547</v>
      </c>
      <c r="F12" s="3">
        <v>1.8912</v>
      </c>
      <c r="G12" s="3">
        <v>0.85340000000000005</v>
      </c>
      <c r="H12" s="3">
        <v>4.9926000000000004</v>
      </c>
      <c r="I12" s="3">
        <v>-3.1684999999999999</v>
      </c>
      <c r="J12" s="3">
        <v>-28.8203</v>
      </c>
      <c r="L12" s="2">
        <v>44469</v>
      </c>
      <c r="M12" s="3">
        <v>19.114700317382813</v>
      </c>
      <c r="N12" s="3">
        <v>2.0074000358581543</v>
      </c>
      <c r="O12" s="3">
        <v>1.5515000000000001</v>
      </c>
      <c r="P12" s="3">
        <v>1.5034000000000001</v>
      </c>
      <c r="Q12" s="3">
        <v>2.5918000000000001</v>
      </c>
      <c r="R12" s="3">
        <v>0.41849999999999998</v>
      </c>
      <c r="S12" s="3">
        <v>8.8516999999999992</v>
      </c>
      <c r="T12" s="3">
        <v>14.636900000000001</v>
      </c>
      <c r="U12" s="3">
        <v>-1.4507000000000001</v>
      </c>
    </row>
    <row r="13" spans="1:21">
      <c r="A13" s="2">
        <v>44377</v>
      </c>
      <c r="B13" s="3">
        <v>38.72869873046875</v>
      </c>
      <c r="C13" s="3">
        <v>2.8575000762939453</v>
      </c>
      <c r="D13" s="3">
        <v>1.6002000000000001</v>
      </c>
      <c r="E13" s="3">
        <v>1.2537</v>
      </c>
      <c r="F13" s="3">
        <v>2.4142999999999999</v>
      </c>
      <c r="G13" s="3">
        <v>1.0643</v>
      </c>
      <c r="H13" s="3">
        <v>5.9584000000000001</v>
      </c>
      <c r="I13" s="3">
        <v>11.362399999999999</v>
      </c>
      <c r="J13" s="3">
        <v>15.4917</v>
      </c>
      <c r="L13" s="2">
        <v>44377</v>
      </c>
      <c r="M13" s="3">
        <v>20.88599967956543</v>
      </c>
      <c r="N13" s="3">
        <v>2.0666000843048096</v>
      </c>
      <c r="O13" s="3">
        <v>1.6473</v>
      </c>
      <c r="P13" s="3">
        <v>1.5251999999999999</v>
      </c>
      <c r="Q13" s="3">
        <v>2.9392</v>
      </c>
      <c r="R13" s="3">
        <v>0.48010000000000003</v>
      </c>
      <c r="S13" s="3">
        <v>9.8167000000000009</v>
      </c>
      <c r="T13" s="3">
        <v>23.51</v>
      </c>
      <c r="U13" s="3">
        <v>36.8688</v>
      </c>
    </row>
    <row r="14" spans="1:21">
      <c r="A14" s="2">
        <v>44286</v>
      </c>
      <c r="B14" s="3">
        <v>53.500099182128906</v>
      </c>
      <c r="C14" s="3">
        <v>2.6459999084472656</v>
      </c>
      <c r="D14" s="3">
        <v>1.6129</v>
      </c>
      <c r="E14" s="3">
        <v>1.3312999999999999</v>
      </c>
      <c r="F14" s="3">
        <v>2.1736</v>
      </c>
      <c r="G14" s="3">
        <v>0.95099999999999996</v>
      </c>
      <c r="H14" s="3">
        <v>5.4351000000000003</v>
      </c>
      <c r="I14" s="3">
        <v>51.363500000000002</v>
      </c>
      <c r="J14" s="3">
        <v>437.26979999999998</v>
      </c>
      <c r="L14" s="2">
        <v>44286</v>
      </c>
      <c r="M14" s="3">
        <v>21.487699508666992</v>
      </c>
      <c r="N14" s="3">
        <v>1.9390000104904175</v>
      </c>
      <c r="O14" s="3">
        <v>1.6347</v>
      </c>
      <c r="P14" s="3">
        <v>1.4699</v>
      </c>
      <c r="Q14" s="3">
        <v>2.7164999999999999</v>
      </c>
      <c r="R14" s="3">
        <v>0.43440000000000001</v>
      </c>
      <c r="S14" s="3">
        <v>9.8397000000000006</v>
      </c>
      <c r="T14" s="3">
        <v>31.2318</v>
      </c>
      <c r="U14" s="3">
        <v>53.584600000000002</v>
      </c>
    </row>
    <row r="15" spans="1:21">
      <c r="A15" s="2">
        <v>44196</v>
      </c>
      <c r="B15" s="3">
        <v>66.347900390625</v>
      </c>
      <c r="C15" s="3">
        <v>2.7844998836517334</v>
      </c>
      <c r="D15" s="3">
        <v>1.6874</v>
      </c>
      <c r="E15" s="3">
        <v>1.2732000000000001</v>
      </c>
      <c r="F15" s="3">
        <v>0.22189999999999999</v>
      </c>
      <c r="G15" s="3">
        <v>0.22320000000000001</v>
      </c>
      <c r="H15" s="3">
        <v>1.0376000000000001</v>
      </c>
      <c r="I15" s="3">
        <v>7.1300999999999997</v>
      </c>
      <c r="J15" s="3">
        <v>110.7861</v>
      </c>
      <c r="L15" s="2">
        <v>44196</v>
      </c>
      <c r="M15" s="3">
        <v>23.357700347900391</v>
      </c>
      <c r="N15" s="3">
        <v>2.026900053024292</v>
      </c>
      <c r="O15" s="3">
        <v>1.6802999999999999</v>
      </c>
      <c r="P15" s="3">
        <v>1.4414</v>
      </c>
      <c r="Q15" s="3">
        <v>1.7689999999999999</v>
      </c>
      <c r="R15" s="3">
        <v>0.29339999999999999</v>
      </c>
      <c r="S15" s="3">
        <v>5.7788000000000004</v>
      </c>
      <c r="T15" s="3">
        <v>9.2775999999999996</v>
      </c>
      <c r="U15" s="3">
        <v>61.348199999999999</v>
      </c>
    </row>
    <row r="16" spans="1:21">
      <c r="A16" s="2">
        <v>44104</v>
      </c>
      <c r="B16" s="3">
        <v>62.364898681640625</v>
      </c>
      <c r="C16" s="3">
        <v>2.4660000801086426</v>
      </c>
      <c r="D16" s="3">
        <v>1.4597</v>
      </c>
      <c r="E16" s="3">
        <v>1.403</v>
      </c>
      <c r="F16" s="3">
        <v>2.7235999999999998</v>
      </c>
      <c r="G16" s="3">
        <v>1.1932</v>
      </c>
      <c r="H16" s="3">
        <v>6.2252000000000001</v>
      </c>
      <c r="I16" s="3">
        <v>7.7473000000000001</v>
      </c>
      <c r="J16" s="3">
        <v>11.810600000000001</v>
      </c>
      <c r="L16" s="2">
        <v>44104</v>
      </c>
      <c r="M16" s="3">
        <v>22.449600219726563</v>
      </c>
      <c r="N16" s="3">
        <v>1.9129999876022339</v>
      </c>
      <c r="O16" s="3">
        <v>1.5580000000000001</v>
      </c>
      <c r="P16" s="3">
        <v>1.5712999999999999</v>
      </c>
      <c r="Q16" s="3">
        <v>2.8856999999999999</v>
      </c>
      <c r="R16" s="3">
        <v>0.45119999999999999</v>
      </c>
      <c r="S16" s="3">
        <v>10.313800000000001</v>
      </c>
      <c r="T16" s="3">
        <v>7.5597000000000003</v>
      </c>
      <c r="U16" s="3">
        <v>18.063500000000001</v>
      </c>
    </row>
    <row r="17" spans="1:21">
      <c r="A17" s="2">
        <v>44012</v>
      </c>
      <c r="B17" s="3">
        <v>51.834098815917969</v>
      </c>
      <c r="C17" s="3">
        <v>2.1686999797821045</v>
      </c>
      <c r="D17" s="3">
        <v>1.2574000000000001</v>
      </c>
      <c r="E17" s="3">
        <v>1.8715999999999999</v>
      </c>
      <c r="F17" s="3">
        <v>2.1812999999999998</v>
      </c>
      <c r="G17" s="3">
        <v>0.96589999999999998</v>
      </c>
      <c r="H17" s="3">
        <v>5.4482999999999997</v>
      </c>
      <c r="I17" s="3">
        <v>-2.0901000000000001</v>
      </c>
      <c r="J17" s="3">
        <v>-7.5713999999999997</v>
      </c>
      <c r="L17" s="2">
        <v>44012</v>
      </c>
      <c r="M17" s="3">
        <v>19.623100280761719</v>
      </c>
      <c r="N17" s="3">
        <v>1.7461999654769897</v>
      </c>
      <c r="O17" s="3">
        <v>1.42</v>
      </c>
      <c r="P17" s="3">
        <v>1.6054999999999999</v>
      </c>
      <c r="Q17" s="3">
        <v>2.3626999999999998</v>
      </c>
      <c r="R17" s="3">
        <v>0.3649</v>
      </c>
      <c r="S17" s="3">
        <v>8.5279000000000007</v>
      </c>
      <c r="T17" s="3">
        <v>3.9447000000000001</v>
      </c>
      <c r="U17" s="3">
        <v>-11.648999999999999</v>
      </c>
    </row>
    <row r="18" spans="1:21">
      <c r="A18" s="2">
        <v>43921</v>
      </c>
      <c r="B18" s="3">
        <v>27.21980094909668</v>
      </c>
      <c r="C18" s="3">
        <v>1.8389999866485596</v>
      </c>
      <c r="D18" s="3">
        <v>1.0122</v>
      </c>
      <c r="E18" s="3">
        <v>1.9303999999999999</v>
      </c>
      <c r="F18" s="3">
        <v>0.4017</v>
      </c>
      <c r="G18" s="3">
        <v>0.158</v>
      </c>
      <c r="H18" s="3">
        <v>1.2295</v>
      </c>
      <c r="I18" s="3">
        <v>-26.493099999999998</v>
      </c>
      <c r="J18" s="3">
        <v>-84.098399999999998</v>
      </c>
      <c r="L18" s="2">
        <v>43921</v>
      </c>
      <c r="M18" s="3">
        <v>15.893500328063965</v>
      </c>
      <c r="N18" s="3">
        <v>1.559999942779541</v>
      </c>
      <c r="O18" s="3">
        <v>1.2398</v>
      </c>
      <c r="P18" s="3">
        <v>1.7988999999999999</v>
      </c>
      <c r="Q18" s="3">
        <v>1.9574</v>
      </c>
      <c r="R18" s="3">
        <v>0.30480000000000002</v>
      </c>
      <c r="S18" s="3">
        <v>8.2827000000000002</v>
      </c>
      <c r="T18" s="3">
        <v>-8.0267999999999997</v>
      </c>
      <c r="U18" s="3">
        <v>-24.24</v>
      </c>
    </row>
    <row r="19" spans="1:21">
      <c r="A19" s="2">
        <v>43830</v>
      </c>
      <c r="B19" s="3">
        <v>33.094501495361328</v>
      </c>
      <c r="C19" s="3">
        <v>2.0169999599456787</v>
      </c>
      <c r="D19" s="3">
        <v>1.1312</v>
      </c>
      <c r="E19" s="3">
        <v>1.8446</v>
      </c>
      <c r="F19" s="3">
        <v>-1.2282</v>
      </c>
      <c r="G19" s="3">
        <v>-0.41349999999999998</v>
      </c>
      <c r="H19" s="3">
        <v>-1.8479000000000001</v>
      </c>
      <c r="I19" s="3">
        <v>10.179</v>
      </c>
      <c r="J19" s="3">
        <v>-14.4505</v>
      </c>
      <c r="L19" s="2">
        <v>43830</v>
      </c>
      <c r="M19" s="3">
        <v>17.497699737548828</v>
      </c>
      <c r="N19" s="3">
        <v>1.7007999420166016</v>
      </c>
      <c r="O19" s="3">
        <v>1.3411</v>
      </c>
      <c r="P19" s="3">
        <v>1.7159</v>
      </c>
      <c r="Q19" s="3">
        <v>1.1282000000000001</v>
      </c>
      <c r="R19" s="3">
        <v>0.19550000000000001</v>
      </c>
      <c r="S19" s="3">
        <v>3.8233000000000001</v>
      </c>
      <c r="T19" s="3">
        <v>9.4258000000000006</v>
      </c>
      <c r="U19" s="3">
        <v>-1.9641</v>
      </c>
    </row>
    <row r="20" spans="1:21">
      <c r="A20" s="2">
        <v>43738</v>
      </c>
      <c r="B20" s="3">
        <v>31.177999496459961</v>
      </c>
      <c r="C20" s="3">
        <v>1.9301999807357788</v>
      </c>
      <c r="D20" s="3">
        <v>1.0298</v>
      </c>
      <c r="E20" s="3">
        <v>2.0670000000000002</v>
      </c>
      <c r="F20" s="3">
        <v>2.4769999999999999</v>
      </c>
      <c r="G20" s="3">
        <v>1.1397999999999999</v>
      </c>
      <c r="H20" s="3">
        <v>6.0682</v>
      </c>
      <c r="I20" s="3">
        <v>-1.0338000000000001</v>
      </c>
      <c r="J20" s="3">
        <v>4.7847</v>
      </c>
      <c r="L20" s="2">
        <v>43738</v>
      </c>
      <c r="M20" s="3">
        <v>16.859600067138672</v>
      </c>
      <c r="N20" s="3">
        <v>1.6613999605178833</v>
      </c>
      <c r="O20" s="3">
        <v>1.2690999999999999</v>
      </c>
      <c r="P20" s="3">
        <v>1.8740000000000001</v>
      </c>
      <c r="Q20" s="3">
        <v>2.6625999999999999</v>
      </c>
      <c r="R20" s="3">
        <v>0.43059999999999998</v>
      </c>
      <c r="S20" s="3">
        <v>9.2064000000000004</v>
      </c>
      <c r="T20" s="3">
        <v>8.0421999999999993</v>
      </c>
      <c r="U20" s="3">
        <v>6.9101999999999997</v>
      </c>
    </row>
    <row r="21" spans="1:21">
      <c r="A21" s="2">
        <v>43646</v>
      </c>
      <c r="B21" s="3">
        <v>29.344900131225586</v>
      </c>
      <c r="C21" s="3">
        <v>1.9574999809265137</v>
      </c>
      <c r="D21" s="3">
        <v>1.0415000000000001</v>
      </c>
      <c r="E21" s="3">
        <v>2.1406000000000001</v>
      </c>
      <c r="F21" s="3">
        <v>2.3816000000000002</v>
      </c>
      <c r="G21" s="3">
        <v>1.0851999999999999</v>
      </c>
      <c r="H21" s="3">
        <v>5.7462999999999997</v>
      </c>
      <c r="I21" s="3">
        <v>-3.9531000000000001</v>
      </c>
      <c r="J21" s="3">
        <v>-20.1374</v>
      </c>
      <c r="L21" s="2">
        <v>43646</v>
      </c>
      <c r="M21" s="3">
        <v>17.122100830078125</v>
      </c>
      <c r="N21" s="3">
        <v>1.6696000099182129</v>
      </c>
      <c r="O21" s="3">
        <v>1.2884</v>
      </c>
      <c r="P21" s="3">
        <v>1.9097999999999999</v>
      </c>
      <c r="Q21" s="3">
        <v>2.9097</v>
      </c>
      <c r="R21" s="3">
        <v>0.46989999999999998</v>
      </c>
      <c r="S21" s="3">
        <v>9.9379000000000008</v>
      </c>
      <c r="T21" s="3">
        <v>8.9762000000000004</v>
      </c>
      <c r="U21" s="3">
        <v>3.9205999999999999</v>
      </c>
    </row>
    <row r="22" spans="1:21">
      <c r="A22" s="2">
        <v>43555</v>
      </c>
      <c r="B22" s="3">
        <v>22.936300277709961</v>
      </c>
      <c r="C22" s="3">
        <v>2.1264998912811279</v>
      </c>
      <c r="D22" s="3">
        <v>1.1064000000000001</v>
      </c>
      <c r="E22" s="3">
        <v>1.9185000000000001</v>
      </c>
      <c r="F22" s="3">
        <v>2.2303999999999999</v>
      </c>
      <c r="G22" s="3">
        <v>1.0215000000000001</v>
      </c>
      <c r="H22" s="3">
        <v>5.5582000000000003</v>
      </c>
      <c r="I22" s="3">
        <v>-3.2168000000000001</v>
      </c>
      <c r="J22" s="3">
        <v>-14.0464</v>
      </c>
      <c r="L22" s="2">
        <v>43555</v>
      </c>
      <c r="M22" s="3">
        <v>17.536300659179688</v>
      </c>
      <c r="N22" s="3">
        <v>1.7734999656677246</v>
      </c>
      <c r="O22" s="3">
        <v>1.3868</v>
      </c>
      <c r="P22" s="3">
        <v>1.6931</v>
      </c>
      <c r="Q22" s="3">
        <v>2.8031000000000001</v>
      </c>
      <c r="R22" s="3">
        <v>0.45069999999999999</v>
      </c>
      <c r="S22" s="3">
        <v>9.8533000000000008</v>
      </c>
      <c r="T22" s="3">
        <v>11.837999999999999</v>
      </c>
      <c r="U22" s="3">
        <v>9.9184999999999999</v>
      </c>
    </row>
    <row r="23" spans="1:21">
      <c r="A23" s="2">
        <v>43465</v>
      </c>
      <c r="B23" s="3">
        <v>15.654600143432617</v>
      </c>
      <c r="C23" s="3">
        <v>1.6995999813079834</v>
      </c>
      <c r="D23" s="3">
        <v>0.89139999999999997</v>
      </c>
      <c r="E23" s="3">
        <v>2.3298000000000001</v>
      </c>
      <c r="F23" s="3">
        <v>-1.012</v>
      </c>
      <c r="G23" s="3">
        <v>-0.36370000000000002</v>
      </c>
      <c r="H23" s="3">
        <v>-1.6112</v>
      </c>
      <c r="I23" s="3">
        <v>-3.5535999999999999</v>
      </c>
      <c r="J23" s="3">
        <v>-135.3057</v>
      </c>
      <c r="L23" s="2">
        <v>43465</v>
      </c>
      <c r="M23" s="3">
        <v>13.146100044250488</v>
      </c>
      <c r="N23" s="3">
        <v>1.4153000116348267</v>
      </c>
      <c r="O23" s="3">
        <v>1.1101000000000001</v>
      </c>
      <c r="P23" s="3">
        <v>2.1899000000000002</v>
      </c>
      <c r="Q23" s="3">
        <v>1.1992</v>
      </c>
      <c r="R23" s="3">
        <v>0.21060000000000001</v>
      </c>
      <c r="S23" s="3">
        <v>3.9594</v>
      </c>
      <c r="T23" s="3">
        <v>10.7546</v>
      </c>
      <c r="U23" s="3">
        <v>-46.033799999999999</v>
      </c>
    </row>
    <row r="24" spans="1:21">
      <c r="A24" s="2">
        <v>43373</v>
      </c>
      <c r="B24" s="3">
        <v>17.632600784301758</v>
      </c>
      <c r="C24" s="3">
        <v>1.9622000455856323</v>
      </c>
      <c r="D24" s="3">
        <v>1.0241</v>
      </c>
      <c r="E24" s="3">
        <v>2.0118</v>
      </c>
      <c r="F24" s="3">
        <v>2.3969</v>
      </c>
      <c r="G24" s="3">
        <v>1.0939000000000001</v>
      </c>
      <c r="H24" s="3">
        <v>5.282</v>
      </c>
      <c r="I24" s="3">
        <v>4.7099000000000002</v>
      </c>
      <c r="J24" s="3">
        <v>-4.3460000000000001</v>
      </c>
      <c r="L24" s="2">
        <v>43373</v>
      </c>
      <c r="M24" s="3">
        <v>14.962699890136719</v>
      </c>
      <c r="N24" s="3">
        <v>1.6366000175476074</v>
      </c>
      <c r="O24" s="3">
        <v>1.2974000000000001</v>
      </c>
      <c r="P24" s="3">
        <v>1.9307000000000001</v>
      </c>
      <c r="Q24" s="3">
        <v>2.7174999999999998</v>
      </c>
      <c r="R24" s="3">
        <v>0.43259999999999998</v>
      </c>
      <c r="S24" s="3">
        <v>9.2091999999999992</v>
      </c>
      <c r="T24" s="3">
        <v>12.9855</v>
      </c>
      <c r="U24" s="3">
        <v>3.9138999999999999</v>
      </c>
    </row>
    <row r="25" spans="1:21">
      <c r="A25" s="2">
        <v>43281</v>
      </c>
      <c r="B25" s="3">
        <v>20.957500457763672</v>
      </c>
      <c r="C25" s="3">
        <v>2.3138999938964844</v>
      </c>
      <c r="D25" s="3">
        <v>1.2050000000000001</v>
      </c>
      <c r="E25" s="3">
        <v>1.4558</v>
      </c>
      <c r="F25" s="3">
        <v>3.1471</v>
      </c>
      <c r="G25" s="3">
        <v>1.4423999999999999</v>
      </c>
      <c r="H25" s="3">
        <v>6.7008999999999999</v>
      </c>
      <c r="I25" s="3">
        <v>12.793900000000001</v>
      </c>
      <c r="J25" s="3">
        <v>15.3186</v>
      </c>
      <c r="L25" s="2">
        <v>43281</v>
      </c>
      <c r="M25" s="3">
        <v>15.991900444030762</v>
      </c>
      <c r="N25" s="3">
        <v>1.7130999565124512</v>
      </c>
      <c r="O25" s="3">
        <v>1.3783000000000001</v>
      </c>
      <c r="P25" s="3">
        <v>1.9298999999999999</v>
      </c>
      <c r="Q25" s="3">
        <v>3.0352000000000001</v>
      </c>
      <c r="R25" s="3">
        <v>0.48630000000000001</v>
      </c>
      <c r="S25" s="3">
        <v>10.268000000000001</v>
      </c>
      <c r="T25" s="3">
        <v>13.6723</v>
      </c>
      <c r="U25" s="3">
        <v>15.0977</v>
      </c>
    </row>
    <row r="26" spans="1:21">
      <c r="A26" s="2">
        <v>43190</v>
      </c>
      <c r="B26" s="3">
        <v>23.665599822998047</v>
      </c>
      <c r="C26" s="3">
        <v>2.5947000980377197</v>
      </c>
      <c r="D26" s="3">
        <v>1.3712</v>
      </c>
      <c r="E26" s="3">
        <v>1.4886999999999999</v>
      </c>
      <c r="F26" s="3">
        <v>2.7210999999999999</v>
      </c>
      <c r="G26" s="3">
        <v>1.286</v>
      </c>
      <c r="H26" s="3">
        <v>6.3460999999999999</v>
      </c>
      <c r="I26" s="3">
        <v>15.295299999999999</v>
      </c>
      <c r="J26" s="3">
        <v>8.8284000000000002</v>
      </c>
      <c r="L26" s="2">
        <v>43190</v>
      </c>
      <c r="M26" s="3">
        <v>18.451799392700195</v>
      </c>
      <c r="N26" s="3">
        <v>1.9366999864578247</v>
      </c>
      <c r="O26" s="3">
        <v>1.5993999999999999</v>
      </c>
      <c r="P26" s="3">
        <v>1.4356</v>
      </c>
      <c r="Q26" s="3">
        <v>2.7782</v>
      </c>
      <c r="R26" s="3">
        <v>0.44190000000000002</v>
      </c>
      <c r="S26" s="3">
        <v>10.0823</v>
      </c>
      <c r="T26" s="3">
        <v>11.774800000000001</v>
      </c>
      <c r="U26" s="3">
        <v>14</v>
      </c>
    </row>
    <row r="27" spans="1:21">
      <c r="A27" s="2">
        <v>43100</v>
      </c>
      <c r="B27" s="3">
        <v>24.760099411010742</v>
      </c>
      <c r="C27" s="3">
        <v>2.7539000511169434</v>
      </c>
      <c r="D27" s="3">
        <v>1.4430000000000001</v>
      </c>
      <c r="E27" s="3">
        <v>1.4460999999999999</v>
      </c>
      <c r="F27" s="3">
        <v>2.952</v>
      </c>
      <c r="G27" s="3">
        <v>1.3721000000000001</v>
      </c>
      <c r="H27" s="3">
        <v>5.5876000000000001</v>
      </c>
      <c r="I27" s="3">
        <v>15.6622</v>
      </c>
      <c r="J27" s="3">
        <v>1.6836</v>
      </c>
      <c r="L27" s="2">
        <v>43100</v>
      </c>
      <c r="M27" s="3">
        <v>19.531200408935547</v>
      </c>
      <c r="N27" s="3">
        <v>2.0257999897003174</v>
      </c>
      <c r="O27" s="3">
        <v>1.6727000000000001</v>
      </c>
      <c r="P27" s="3">
        <v>1.4117</v>
      </c>
      <c r="Q27" s="3">
        <v>2.3460000000000001</v>
      </c>
      <c r="R27" s="3">
        <v>0.3745</v>
      </c>
      <c r="S27" s="3">
        <v>7.3010999999999999</v>
      </c>
      <c r="T27" s="3">
        <v>12.688599999999999</v>
      </c>
      <c r="U27" s="3">
        <v>15.900499999999999</v>
      </c>
    </row>
    <row r="28" spans="1:21">
      <c r="A28" s="2">
        <v>43008</v>
      </c>
      <c r="B28" s="3">
        <v>26.341299057006836</v>
      </c>
      <c r="C28" s="3">
        <v>2.9765000343322754</v>
      </c>
      <c r="D28" s="3">
        <v>1.5411999999999999</v>
      </c>
      <c r="E28" s="3">
        <v>1.4329000000000001</v>
      </c>
      <c r="F28" s="3">
        <v>2.7797999999999998</v>
      </c>
      <c r="G28" s="3">
        <v>1.3038000000000001</v>
      </c>
      <c r="H28" s="3">
        <v>6.0340999999999996</v>
      </c>
      <c r="I28" s="3">
        <v>17.5564</v>
      </c>
      <c r="J28" s="3">
        <v>12.6129</v>
      </c>
      <c r="L28" s="2">
        <v>43008</v>
      </c>
      <c r="M28" s="3">
        <v>20.650800704956055</v>
      </c>
      <c r="N28" s="3">
        <v>2.1252000331878662</v>
      </c>
      <c r="O28" s="3">
        <v>1.7493000000000001</v>
      </c>
      <c r="P28" s="3">
        <v>1.4146000000000001</v>
      </c>
      <c r="Q28" s="3">
        <v>2.8847</v>
      </c>
      <c r="R28" s="3">
        <v>0.44440000000000002</v>
      </c>
      <c r="S28" s="3">
        <v>9.9602000000000004</v>
      </c>
      <c r="T28" s="3">
        <v>20.839200000000002</v>
      </c>
      <c r="U28" s="3">
        <v>23.832799999999999</v>
      </c>
    </row>
    <row r="29" spans="1:21">
      <c r="A29" s="2">
        <v>42916</v>
      </c>
      <c r="B29" s="3">
        <v>26.85890007019043</v>
      </c>
      <c r="C29" s="3">
        <v>3.0146000385284424</v>
      </c>
      <c r="D29" s="3">
        <v>1.5833999999999999</v>
      </c>
      <c r="E29" s="3">
        <v>1.5236000000000001</v>
      </c>
      <c r="F29" s="3">
        <v>3.0331999999999999</v>
      </c>
      <c r="G29" s="3">
        <v>1.4225000000000001</v>
      </c>
      <c r="H29" s="3">
        <v>6.7145999999999999</v>
      </c>
      <c r="I29" s="3">
        <v>19.9176</v>
      </c>
      <c r="J29" s="3">
        <v>12.567600000000001</v>
      </c>
      <c r="L29" s="2">
        <v>42916</v>
      </c>
      <c r="M29" s="3">
        <v>20.182399749755859</v>
      </c>
      <c r="N29" s="3">
        <v>2.0334000587463379</v>
      </c>
      <c r="O29" s="3">
        <v>1.7269000000000001</v>
      </c>
      <c r="P29" s="3">
        <v>1.2904</v>
      </c>
      <c r="Q29" s="3">
        <v>2.9239999999999999</v>
      </c>
      <c r="R29" s="3">
        <v>0.4471</v>
      </c>
      <c r="S29" s="3">
        <v>10.053699999999999</v>
      </c>
      <c r="T29" s="3">
        <v>20.866099999999999</v>
      </c>
      <c r="U29" s="3">
        <v>14.948600000000001</v>
      </c>
    </row>
    <row r="30" spans="1:21">
      <c r="A30" s="2">
        <v>42825</v>
      </c>
      <c r="B30" s="3">
        <v>29.36829948425293</v>
      </c>
      <c r="C30" s="3">
        <v>3.1398000717163086</v>
      </c>
      <c r="D30" s="3">
        <v>1.6995</v>
      </c>
      <c r="E30" s="3">
        <v>1.1064000000000001</v>
      </c>
      <c r="F30" s="3">
        <v>2.8340000000000001</v>
      </c>
      <c r="G30" s="3">
        <v>1.3343</v>
      </c>
      <c r="H30" s="3">
        <v>6.5137999999999998</v>
      </c>
      <c r="I30" s="3">
        <v>14.645099999999999</v>
      </c>
      <c r="J30" s="3">
        <v>18.3246</v>
      </c>
      <c r="L30" s="2">
        <v>42825</v>
      </c>
      <c r="M30" s="3">
        <v>21.717800140380859</v>
      </c>
      <c r="N30" s="3">
        <v>2.1020998954772949</v>
      </c>
      <c r="O30" s="3">
        <v>1.8560000000000001</v>
      </c>
      <c r="P30" s="3">
        <v>1.2398</v>
      </c>
      <c r="Q30" s="3">
        <v>2.7121</v>
      </c>
      <c r="R30" s="3">
        <v>0.41160000000000002</v>
      </c>
      <c r="S30" s="3">
        <v>9.7813999999999997</v>
      </c>
      <c r="T30" s="3">
        <v>23.003</v>
      </c>
      <c r="U30" s="3">
        <v>21.632100000000001</v>
      </c>
    </row>
    <row r="31" spans="1:21">
      <c r="A31" s="2">
        <v>42735</v>
      </c>
      <c r="B31" s="3">
        <v>29.02869987487793</v>
      </c>
      <c r="C31" s="3">
        <v>3.140700101852417</v>
      </c>
      <c r="D31" s="3">
        <v>1.6511</v>
      </c>
      <c r="E31" s="3">
        <v>1.1772</v>
      </c>
      <c r="F31" s="3">
        <v>3.2443</v>
      </c>
      <c r="G31" s="3">
        <v>1.4839</v>
      </c>
      <c r="H31" s="3">
        <v>6.0031999999999996</v>
      </c>
      <c r="I31" s="3">
        <v>18.225200000000001</v>
      </c>
      <c r="J31" s="3">
        <v>24.0075</v>
      </c>
      <c r="L31" s="2">
        <v>42735</v>
      </c>
      <c r="M31" s="3">
        <v>21.395599365234375</v>
      </c>
      <c r="N31" s="3">
        <v>2.0460999011993408</v>
      </c>
      <c r="O31" s="3">
        <v>1.8079000000000001</v>
      </c>
      <c r="P31" s="3">
        <v>1.3157000000000001</v>
      </c>
      <c r="Q31" s="3">
        <v>2.2465000000000002</v>
      </c>
      <c r="R31" s="3">
        <v>0.34760000000000002</v>
      </c>
      <c r="S31" s="3">
        <v>7.0305</v>
      </c>
      <c r="T31" s="3">
        <v>18.374700000000001</v>
      </c>
      <c r="U31" s="3">
        <v>27.728200000000001</v>
      </c>
    </row>
    <row r="32" spans="1:21">
      <c r="A32" s="2">
        <v>42643</v>
      </c>
      <c r="B32" s="3">
        <v>30.359600067138672</v>
      </c>
      <c r="C32" s="3">
        <v>3.2757000923156738</v>
      </c>
      <c r="D32" s="3">
        <v>1.6953</v>
      </c>
      <c r="E32" s="3">
        <v>1.2016</v>
      </c>
      <c r="F32" s="3">
        <v>2.8963999999999999</v>
      </c>
      <c r="G32" s="3">
        <v>1.3346</v>
      </c>
      <c r="H32" s="3">
        <v>6.1498999999999997</v>
      </c>
      <c r="I32" s="3">
        <v>19.284300000000002</v>
      </c>
      <c r="J32" s="3">
        <v>27.2758</v>
      </c>
      <c r="L32" s="2">
        <v>42643</v>
      </c>
      <c r="M32" s="3">
        <v>21.648899078369141</v>
      </c>
      <c r="N32" s="3">
        <v>2.0722999572753906</v>
      </c>
      <c r="O32" s="3">
        <v>1.7682</v>
      </c>
      <c r="P32" s="3">
        <v>1.3887</v>
      </c>
      <c r="Q32" s="3">
        <v>2.6135999999999999</v>
      </c>
      <c r="R32" s="3">
        <v>0.39550000000000002</v>
      </c>
      <c r="S32" s="3">
        <v>9.6395999999999997</v>
      </c>
      <c r="T32" s="3">
        <v>9.0586000000000002</v>
      </c>
      <c r="U32" s="3">
        <v>19.1557</v>
      </c>
    </row>
    <row r="33" spans="1:22">
      <c r="A33" s="2">
        <v>42551</v>
      </c>
      <c r="B33" s="3">
        <v>29.759000778198242</v>
      </c>
      <c r="C33" s="3">
        <v>3.2881999015808105</v>
      </c>
      <c r="D33" s="3">
        <v>1.6316999999999999</v>
      </c>
      <c r="E33" s="3">
        <v>1.2926</v>
      </c>
      <c r="F33" s="3">
        <v>3.2406999999999999</v>
      </c>
      <c r="G33" s="3">
        <v>1.4918</v>
      </c>
      <c r="H33" s="3">
        <v>7.0171000000000001</v>
      </c>
      <c r="I33" s="3">
        <v>7.6219000000000001</v>
      </c>
      <c r="J33" s="3">
        <v>7.8901000000000003</v>
      </c>
      <c r="L33" s="2">
        <v>42551</v>
      </c>
      <c r="M33" s="3">
        <v>20.452600479125977</v>
      </c>
      <c r="N33" s="3">
        <v>2.0267000198364258</v>
      </c>
      <c r="O33" s="3">
        <v>1.7010000000000001</v>
      </c>
      <c r="P33" s="3">
        <v>1.4322999999999999</v>
      </c>
      <c r="Q33" s="3">
        <v>2.8871000000000002</v>
      </c>
      <c r="R33" s="3">
        <v>0.44450000000000001</v>
      </c>
      <c r="S33" s="3">
        <v>10.618</v>
      </c>
      <c r="T33" s="3">
        <v>1.2890999999999999</v>
      </c>
      <c r="U33" s="3">
        <v>-6.9583000000000004</v>
      </c>
    </row>
    <row r="34" spans="1:22">
      <c r="A34" s="2">
        <v>42460</v>
      </c>
      <c r="B34" s="3">
        <v>30.943700790405273</v>
      </c>
      <c r="C34" s="3">
        <v>3.3966999053955078</v>
      </c>
      <c r="D34" s="3">
        <v>1.7135</v>
      </c>
      <c r="E34" s="3">
        <v>1.1301000000000001</v>
      </c>
      <c r="F34" s="3">
        <v>2.8868</v>
      </c>
      <c r="G34" s="3">
        <v>1.361</v>
      </c>
      <c r="H34" s="3">
        <v>6.1981000000000002</v>
      </c>
      <c r="I34" s="3">
        <v>10.7722</v>
      </c>
      <c r="J34" s="3">
        <v>13.6698</v>
      </c>
      <c r="L34" s="2">
        <v>42460</v>
      </c>
      <c r="M34" s="3">
        <v>19.714700698852539</v>
      </c>
      <c r="N34" s="3">
        <v>2.0562999248504639</v>
      </c>
      <c r="O34" s="3">
        <v>1.7081</v>
      </c>
      <c r="P34" s="3">
        <v>1.3774</v>
      </c>
      <c r="Q34" s="3">
        <v>2.5363000000000002</v>
      </c>
      <c r="R34" s="3">
        <v>0.38269999999999998</v>
      </c>
      <c r="S34" s="3">
        <v>9.7317</v>
      </c>
      <c r="T34" s="3">
        <v>5.54</v>
      </c>
      <c r="U34" s="3">
        <v>-1.0072000000000001</v>
      </c>
    </row>
    <row r="35" spans="1:22">
      <c r="A35" s="2">
        <v>42369</v>
      </c>
      <c r="B35" s="3">
        <v>38.066898345947266</v>
      </c>
      <c r="C35" s="3">
        <v>4.1733999252319336</v>
      </c>
      <c r="D35" s="3">
        <v>2.08</v>
      </c>
      <c r="E35" s="3">
        <v>0.94579999999999997</v>
      </c>
      <c r="F35" s="3">
        <v>3.1758000000000002</v>
      </c>
      <c r="G35" s="3">
        <v>1.4623999999999999</v>
      </c>
      <c r="H35" s="3">
        <v>5.6162999999999998</v>
      </c>
      <c r="I35" s="3">
        <v>14.0199</v>
      </c>
      <c r="J35" s="3">
        <v>7.9930000000000003</v>
      </c>
      <c r="L35" s="2">
        <v>42369</v>
      </c>
      <c r="M35" s="3">
        <v>23.154800415039063</v>
      </c>
      <c r="N35" s="3">
        <v>2.4956998825073242</v>
      </c>
      <c r="O35" s="3">
        <v>2.0036999999999998</v>
      </c>
      <c r="P35" s="3">
        <v>1.1747000000000001</v>
      </c>
      <c r="Q35" s="3">
        <v>2.0041000000000002</v>
      </c>
      <c r="R35" s="3">
        <v>0.30459999999999998</v>
      </c>
      <c r="S35" s="3">
        <v>6.3773999999999997</v>
      </c>
      <c r="T35" s="3">
        <v>2.3799000000000001</v>
      </c>
      <c r="U35" s="3">
        <v>-10.126099999999999</v>
      </c>
    </row>
    <row r="36" spans="1:22">
      <c r="A36" s="2">
        <v>42277</v>
      </c>
      <c r="B36" s="3">
        <v>28.577299118041992</v>
      </c>
      <c r="C36" s="3">
        <v>3.2888998985290527</v>
      </c>
      <c r="D36" s="3">
        <v>1.5703</v>
      </c>
      <c r="E36" s="3">
        <v>1.2724</v>
      </c>
      <c r="F36" s="3">
        <v>2.6448</v>
      </c>
      <c r="G36" s="3">
        <v>1.2302</v>
      </c>
      <c r="H36" s="3">
        <v>5.5442</v>
      </c>
      <c r="I36" s="3">
        <v>5.1501999999999999</v>
      </c>
      <c r="J36" s="3">
        <v>3.7766000000000002</v>
      </c>
      <c r="L36" s="2">
        <v>42277</v>
      </c>
      <c r="M36" s="3">
        <v>18.037300109863281</v>
      </c>
      <c r="N36" s="3">
        <v>2.0764999389648438</v>
      </c>
      <c r="O36" s="3">
        <v>1.6009</v>
      </c>
      <c r="P36" s="3">
        <v>1.4642999999999999</v>
      </c>
      <c r="Q36" s="3">
        <v>2.4918999999999998</v>
      </c>
      <c r="R36" s="3">
        <v>0.3614</v>
      </c>
      <c r="S36" s="3">
        <v>8.6715999999999998</v>
      </c>
      <c r="T36" s="3">
        <v>-2.7206000000000001</v>
      </c>
      <c r="U36" s="3">
        <v>-12.2331</v>
      </c>
    </row>
    <row r="37" spans="1:22">
      <c r="A37" s="2">
        <v>42185</v>
      </c>
      <c r="B37" s="3">
        <v>39.447700500488281</v>
      </c>
      <c r="C37" s="3">
        <v>4.5050997734069824</v>
      </c>
      <c r="D37" s="3">
        <v>2.1379999999999999</v>
      </c>
      <c r="E37" s="3">
        <v>0.77700000000000002</v>
      </c>
      <c r="F37" s="3">
        <v>3.5445000000000002</v>
      </c>
      <c r="G37" s="3">
        <v>1.6565000000000001</v>
      </c>
      <c r="H37" s="3">
        <v>7.0335000000000001</v>
      </c>
      <c r="I37" s="3">
        <v>4.1679000000000004</v>
      </c>
      <c r="J37" s="3">
        <v>20.602799999999998</v>
      </c>
      <c r="L37" s="2">
        <v>42185</v>
      </c>
      <c r="M37" s="3">
        <v>26.229000091552734</v>
      </c>
      <c r="N37" s="3">
        <v>2.9679000377655029</v>
      </c>
      <c r="O37" s="3">
        <v>2.2395999999999998</v>
      </c>
      <c r="P37" s="3">
        <v>0.90069999999999995</v>
      </c>
      <c r="Q37" s="3">
        <v>3.5291999999999999</v>
      </c>
      <c r="R37" s="3">
        <v>0.51180000000000003</v>
      </c>
      <c r="S37" s="3">
        <v>11.1936</v>
      </c>
      <c r="T37" s="3">
        <v>1.9017999999999999</v>
      </c>
      <c r="U37" s="3">
        <v>12.8155</v>
      </c>
    </row>
    <row r="38" spans="1:22">
      <c r="A38" s="2">
        <v>42094</v>
      </c>
      <c r="B38" s="3">
        <v>31.37700080871582</v>
      </c>
      <c r="C38" s="3">
        <v>3.7939999103546143</v>
      </c>
      <c r="D38" s="3">
        <v>1.6649</v>
      </c>
      <c r="E38" s="3">
        <v>0.99639999999999995</v>
      </c>
      <c r="F38" s="3">
        <v>3.0737999999999999</v>
      </c>
      <c r="G38" s="3">
        <v>1.4253</v>
      </c>
      <c r="H38" s="3">
        <v>6.1326000000000001</v>
      </c>
      <c r="I38" s="3">
        <v>4.7849000000000004</v>
      </c>
      <c r="J38" s="3">
        <v>11.1479</v>
      </c>
      <c r="L38" s="2">
        <v>42094</v>
      </c>
      <c r="M38" s="3">
        <v>21.798700332641602</v>
      </c>
      <c r="N38" s="3">
        <v>2.5901999473571777</v>
      </c>
      <c r="O38" s="3">
        <v>1.8492</v>
      </c>
      <c r="P38" s="3">
        <v>1.2391000000000001</v>
      </c>
      <c r="Q38" s="3">
        <v>2.9704000000000002</v>
      </c>
      <c r="R38" s="3">
        <v>0.43</v>
      </c>
      <c r="S38" s="3">
        <v>10.1736</v>
      </c>
      <c r="T38" s="3">
        <v>-0.30520000000000003</v>
      </c>
      <c r="U38" s="3">
        <v>2.7002999999999999</v>
      </c>
    </row>
    <row r="39" spans="1:22">
      <c r="A39" s="2">
        <v>42004</v>
      </c>
      <c r="B39" s="3">
        <v>23.560699462890625</v>
      </c>
      <c r="C39" s="3">
        <v>2.8199000358581543</v>
      </c>
      <c r="D39" s="3">
        <v>1.2035</v>
      </c>
      <c r="E39" s="3">
        <v>1.4325000000000001</v>
      </c>
      <c r="F39" s="3">
        <v>3.3666</v>
      </c>
      <c r="G39" s="3">
        <v>1.5377000000000001</v>
      </c>
      <c r="H39" s="3">
        <v>5.7644000000000002</v>
      </c>
      <c r="I39" s="3">
        <v>11.0844</v>
      </c>
      <c r="J39" s="3">
        <v>18.9163</v>
      </c>
      <c r="L39" s="2">
        <v>42004</v>
      </c>
      <c r="M39" s="3">
        <v>17.426200866699219</v>
      </c>
      <c r="N39" s="3">
        <v>2.1789000034332275</v>
      </c>
      <c r="O39" s="3">
        <v>1.5009999999999999</v>
      </c>
      <c r="P39" s="3">
        <v>1.5839000000000001</v>
      </c>
      <c r="Q39" s="3">
        <v>2.5299</v>
      </c>
      <c r="R39" s="3">
        <v>0.36299999999999999</v>
      </c>
      <c r="S39" s="3">
        <v>6.8154000000000003</v>
      </c>
      <c r="T39" s="3">
        <v>5.0900999999999996</v>
      </c>
      <c r="U39" s="3">
        <v>-4.8513000000000002</v>
      </c>
    </row>
    <row r="40" spans="1:22">
      <c r="A40" s="2">
        <v>41912</v>
      </c>
      <c r="B40" s="3">
        <v>22.5177001953125</v>
      </c>
      <c r="C40" s="3">
        <v>2.8002998828887939</v>
      </c>
      <c r="D40" s="3">
        <v>1.1452</v>
      </c>
      <c r="E40" s="3">
        <v>1.5293000000000001</v>
      </c>
      <c r="F40" s="3">
        <v>3.0746000000000002</v>
      </c>
      <c r="G40" s="3">
        <v>1.4097</v>
      </c>
      <c r="H40" s="3">
        <v>5.6557000000000004</v>
      </c>
      <c r="I40" s="3">
        <v>6.2953999999999999</v>
      </c>
      <c r="J40" s="3">
        <v>8.0915999999999997</v>
      </c>
      <c r="L40" s="2">
        <v>41912</v>
      </c>
      <c r="M40" s="3">
        <v>13.692299842834473</v>
      </c>
      <c r="N40" s="3">
        <v>1.7647000551223755</v>
      </c>
      <c r="O40" s="3">
        <v>1.1733</v>
      </c>
      <c r="P40" s="3">
        <v>2.0110999999999999</v>
      </c>
      <c r="Q40" s="3">
        <v>3.3582000000000001</v>
      </c>
      <c r="R40" s="3">
        <v>0.46460000000000001</v>
      </c>
      <c r="S40" s="3">
        <v>9.4695999999999998</v>
      </c>
      <c r="T40" s="3">
        <v>6.3410000000000002</v>
      </c>
      <c r="U40" s="3">
        <v>8.7375000000000007</v>
      </c>
    </row>
    <row r="41" spans="1:22">
      <c r="A41" s="2">
        <v>41820</v>
      </c>
      <c r="B41" s="3">
        <v>19.410499572753906</v>
      </c>
      <c r="C41" s="3">
        <v>2.4021999835968018</v>
      </c>
      <c r="D41" s="3">
        <v>0.96360000000000001</v>
      </c>
      <c r="E41" s="3">
        <v>1.6660999999999999</v>
      </c>
      <c r="F41" s="3">
        <v>3.5110999999999999</v>
      </c>
      <c r="G41" s="3">
        <v>1.6125</v>
      </c>
      <c r="H41" s="3">
        <v>6.2535999999999996</v>
      </c>
      <c r="I41" s="3">
        <v>5.2972999999999999</v>
      </c>
      <c r="J41" s="3">
        <v>8.8366000000000007</v>
      </c>
      <c r="L41" s="2">
        <v>41820</v>
      </c>
      <c r="M41" s="3">
        <v>11.942500114440918</v>
      </c>
      <c r="N41" s="3">
        <v>1.5413999557495117</v>
      </c>
      <c r="O41" s="3">
        <v>1.0065</v>
      </c>
      <c r="P41" s="3">
        <v>2.0697999999999999</v>
      </c>
      <c r="Q41" s="3">
        <v>3.6105999999999998</v>
      </c>
      <c r="R41" s="3">
        <v>0.49419999999999997</v>
      </c>
      <c r="S41" s="3">
        <v>9.7964000000000002</v>
      </c>
      <c r="T41" s="3">
        <v>6.4122000000000003</v>
      </c>
      <c r="U41" s="3">
        <v>11.4171</v>
      </c>
    </row>
    <row r="42" spans="1:22">
      <c r="A42" s="2">
        <v>41729</v>
      </c>
      <c r="B42" s="3">
        <v>20.078899383544922</v>
      </c>
      <c r="C42" s="3">
        <v>2.3380999565124512</v>
      </c>
      <c r="D42" s="3">
        <v>0.95950000000000002</v>
      </c>
      <c r="E42" s="3">
        <v>1.3589</v>
      </c>
      <c r="F42" s="3">
        <v>3.2118000000000002</v>
      </c>
      <c r="G42" s="3">
        <v>1.4802</v>
      </c>
      <c r="H42" s="3">
        <v>5.8333000000000004</v>
      </c>
      <c r="I42" s="3">
        <v>8.9009999999999998</v>
      </c>
      <c r="J42" s="3">
        <v>19.016999999999999</v>
      </c>
      <c r="L42" s="2">
        <v>41729</v>
      </c>
      <c r="M42" s="3">
        <v>11.83430004119873</v>
      </c>
      <c r="N42" s="3">
        <v>1.5240999460220337</v>
      </c>
      <c r="O42" s="3">
        <v>0.99250000000000005</v>
      </c>
      <c r="P42" s="3">
        <v>2.2342</v>
      </c>
      <c r="Q42" s="3">
        <v>3.3502000000000001</v>
      </c>
      <c r="R42" s="3">
        <v>0.4642</v>
      </c>
      <c r="S42" s="3">
        <v>9.7917000000000005</v>
      </c>
      <c r="T42" s="3">
        <v>6.2935999999999996</v>
      </c>
      <c r="U42" s="3">
        <v>8.4882000000000009</v>
      </c>
    </row>
    <row r="43" spans="1:22">
      <c r="A43" s="2">
        <v>41639</v>
      </c>
      <c r="B43" s="3">
        <v>20.651199340820313</v>
      </c>
      <c r="C43" s="3">
        <v>2.4116001129150391</v>
      </c>
      <c r="D43" s="3">
        <v>0.97060000000000002</v>
      </c>
      <c r="E43" s="3">
        <v>1.3594999999999999</v>
      </c>
      <c r="F43" s="3">
        <v>3.2341000000000002</v>
      </c>
      <c r="G43" s="3">
        <v>1.5184</v>
      </c>
      <c r="H43" s="3">
        <v>5.6142000000000003</v>
      </c>
      <c r="I43" s="3">
        <v>9.8969000000000005</v>
      </c>
      <c r="J43" s="3">
        <v>29.323699999999999</v>
      </c>
      <c r="L43" s="2">
        <v>41639</v>
      </c>
      <c r="M43" s="3">
        <v>12.412899971008301</v>
      </c>
      <c r="N43" s="3">
        <v>1.5966000556945801</v>
      </c>
      <c r="O43" s="3">
        <v>1.0302</v>
      </c>
      <c r="P43" s="3">
        <v>2.2161</v>
      </c>
      <c r="Q43" s="3">
        <v>3.0051999999999999</v>
      </c>
      <c r="R43" s="3">
        <v>0.42120000000000002</v>
      </c>
      <c r="S43" s="3">
        <v>7.4406999999999996</v>
      </c>
      <c r="T43" s="3">
        <v>8.2140000000000004</v>
      </c>
      <c r="U43" s="3">
        <v>11.7516</v>
      </c>
    </row>
    <row r="44" spans="1:22">
      <c r="A44" s="2">
        <v>41547</v>
      </c>
      <c r="B44" s="3">
        <v>22.863800048828125</v>
      </c>
      <c r="C44" s="3">
        <v>2.5892999172210693</v>
      </c>
      <c r="D44" s="3">
        <v>1.0404</v>
      </c>
      <c r="E44" s="3">
        <v>1.3669</v>
      </c>
      <c r="F44" s="3">
        <v>3.2363</v>
      </c>
      <c r="G44" s="3">
        <v>1.4885999999999999</v>
      </c>
      <c r="H44" s="3">
        <v>5.7439999999999998</v>
      </c>
      <c r="I44" s="3">
        <v>13.835100000000001</v>
      </c>
      <c r="J44" s="3">
        <v>32.749699999999997</v>
      </c>
      <c r="L44" s="2">
        <v>41547</v>
      </c>
      <c r="M44" s="3">
        <v>13.167099952697754</v>
      </c>
      <c r="N44" s="3">
        <v>1.6814999580383301</v>
      </c>
      <c r="O44" s="3">
        <v>1.0694999999999999</v>
      </c>
      <c r="P44" s="3">
        <v>2.2057000000000002</v>
      </c>
      <c r="Q44" s="3">
        <v>3.4952000000000001</v>
      </c>
      <c r="R44" s="3">
        <v>0.48099999999999998</v>
      </c>
      <c r="S44" s="3">
        <v>9.298</v>
      </c>
      <c r="T44" s="3">
        <v>11.166399999999999</v>
      </c>
      <c r="U44" s="3">
        <v>21.445799999999998</v>
      </c>
    </row>
    <row r="45" spans="1:22">
      <c r="A45" s="2">
        <v>41455</v>
      </c>
      <c r="B45" s="3">
        <v>18.500600814819336</v>
      </c>
      <c r="C45" s="3">
        <v>2.0515999794006348</v>
      </c>
      <c r="D45" s="3">
        <v>0.83020000000000005</v>
      </c>
      <c r="E45" s="3">
        <v>1.5802</v>
      </c>
      <c r="F45" s="3">
        <v>3.4525000000000001</v>
      </c>
      <c r="G45" s="3">
        <v>1.6046</v>
      </c>
      <c r="H45" s="3">
        <v>5.9459</v>
      </c>
      <c r="I45" s="3">
        <v>17.555599999999998</v>
      </c>
      <c r="J45" s="3">
        <v>23.8398</v>
      </c>
      <c r="L45" s="2">
        <v>41455</v>
      </c>
      <c r="M45" s="3">
        <v>12.123000144958496</v>
      </c>
      <c r="N45" s="3">
        <v>1.5349999666213989</v>
      </c>
      <c r="O45" s="3">
        <v>0.9778</v>
      </c>
      <c r="P45" s="3">
        <v>2.2829000000000002</v>
      </c>
      <c r="Q45" s="3">
        <v>3.6204000000000001</v>
      </c>
      <c r="R45" s="3">
        <v>0.49469999999999997</v>
      </c>
      <c r="S45" s="3">
        <v>9.3407999999999998</v>
      </c>
      <c r="T45" s="3">
        <v>10.430199999999999</v>
      </c>
      <c r="U45" s="3">
        <v>13.285600000000001</v>
      </c>
    </row>
    <row r="46" spans="1:22">
      <c r="A46" s="2">
        <v>41364</v>
      </c>
      <c r="B46" s="3">
        <v>19.552700042724609</v>
      </c>
      <c r="C46" s="3">
        <v>2.1161000728607178</v>
      </c>
      <c r="D46" s="3">
        <v>0.87990000000000002</v>
      </c>
      <c r="E46" s="3">
        <v>1.3526</v>
      </c>
      <c r="F46" s="3">
        <v>2.9697</v>
      </c>
      <c r="G46" s="3">
        <v>1.3911</v>
      </c>
      <c r="H46" s="3">
        <v>5.3394000000000004</v>
      </c>
      <c r="I46" s="3">
        <v>13.3096</v>
      </c>
      <c r="J46" s="3">
        <v>10.758900000000001</v>
      </c>
      <c r="L46" s="2">
        <v>41364</v>
      </c>
      <c r="M46" s="3">
        <v>13.761599540710449</v>
      </c>
      <c r="N46" s="3">
        <v>1.7166999578475952</v>
      </c>
      <c r="O46" s="3">
        <v>1.1001000000000001</v>
      </c>
      <c r="P46" s="3">
        <v>2.0394000000000001</v>
      </c>
      <c r="Q46" s="3">
        <v>3.4380999999999999</v>
      </c>
      <c r="R46" s="3">
        <v>0.47510000000000002</v>
      </c>
      <c r="S46" s="3">
        <v>9.6163000000000007</v>
      </c>
      <c r="T46" s="3">
        <v>8.6297999999999995</v>
      </c>
      <c r="U46" s="3">
        <v>11.186500000000001</v>
      </c>
    </row>
    <row r="47" spans="1:22">
      <c r="A47" s="2">
        <v>41274</v>
      </c>
      <c r="B47" s="3">
        <v>18.301200866699219</v>
      </c>
      <c r="C47" s="3">
        <v>2.1131999492645264</v>
      </c>
      <c r="D47" s="3">
        <v>0.85570000000000002</v>
      </c>
      <c r="E47" s="3">
        <v>1.4231</v>
      </c>
      <c r="F47" s="3">
        <v>2.7934999999999999</v>
      </c>
      <c r="G47" s="3">
        <v>1.343</v>
      </c>
      <c r="H47" s="3">
        <v>4.8319000000000001</v>
      </c>
      <c r="I47" s="3">
        <v>5.7016</v>
      </c>
      <c r="J47" s="3">
        <v>-1.5895999999999999</v>
      </c>
      <c r="K47" s="3"/>
      <c r="L47" s="2">
        <v>41274</v>
      </c>
      <c r="M47" s="3">
        <v>13.884900093078613</v>
      </c>
      <c r="N47" s="3">
        <v>1.7603000402450562</v>
      </c>
      <c r="O47" s="3">
        <v>1.1226</v>
      </c>
      <c r="P47" s="3">
        <v>2.0661999999999998</v>
      </c>
      <c r="Q47" s="3">
        <v>2.9973999999999998</v>
      </c>
      <c r="R47" s="3">
        <v>0.41880000000000001</v>
      </c>
      <c r="S47" s="3">
        <v>7.1650999999999998</v>
      </c>
      <c r="T47" s="3">
        <v>12.3163</v>
      </c>
      <c r="U47" s="3">
        <v>8.7423999999999999</v>
      </c>
      <c r="V47" s="3"/>
    </row>
    <row r="48" spans="1:22">
      <c r="A48" s="2">
        <v>41182</v>
      </c>
      <c r="B48" s="3">
        <v>16.596900939941406</v>
      </c>
      <c r="C48" s="3">
        <v>2.0192999839782715</v>
      </c>
      <c r="D48" s="3">
        <v>0.79390000000000005</v>
      </c>
      <c r="E48" s="3">
        <v>1.5145999999999999</v>
      </c>
      <c r="F48" s="3">
        <v>2.7250999999999999</v>
      </c>
      <c r="G48" s="3">
        <v>1.3066</v>
      </c>
      <c r="H48" s="3">
        <v>5.0697999999999999</v>
      </c>
      <c r="I48" s="3">
        <v>7.7626999999999997</v>
      </c>
      <c r="J48" s="3">
        <v>-4.5605000000000002</v>
      </c>
      <c r="K48" s="3"/>
      <c r="L48" s="2">
        <v>41182</v>
      </c>
      <c r="M48" s="3">
        <v>12.708800315856934</v>
      </c>
      <c r="N48" s="3">
        <v>1.6827000379562378</v>
      </c>
      <c r="O48" s="3">
        <v>1.0486</v>
      </c>
      <c r="P48" s="3">
        <v>2.2296</v>
      </c>
      <c r="Q48" s="3">
        <v>3.2277999999999998</v>
      </c>
      <c r="R48" s="3">
        <v>0.44319999999999998</v>
      </c>
      <c r="S48" s="3">
        <v>8.4809000000000001</v>
      </c>
      <c r="T48" s="3">
        <v>6.1098999999999997</v>
      </c>
      <c r="U48" s="3">
        <v>-2.3054999999999999</v>
      </c>
      <c r="V48" s="3"/>
    </row>
    <row r="49" spans="1:21">
      <c r="A49" s="2">
        <v>41090</v>
      </c>
      <c r="B49" s="3">
        <v>17.942300796508789</v>
      </c>
      <c r="C49" s="3">
        <v>2.275399923324585</v>
      </c>
      <c r="D49" s="3">
        <v>0.86580000000000001</v>
      </c>
      <c r="E49" s="3">
        <v>1.2431000000000001</v>
      </c>
      <c r="F49" s="3">
        <v>3.1604999999999999</v>
      </c>
      <c r="G49" s="3">
        <v>1.5087999999999999</v>
      </c>
      <c r="H49" s="3">
        <v>5.7114000000000003</v>
      </c>
      <c r="I49" s="3">
        <v>4.76</v>
      </c>
      <c r="J49" s="3">
        <v>0.42330000000000001</v>
      </c>
      <c r="L49" s="2">
        <v>41090</v>
      </c>
      <c r="M49" s="3">
        <v>13.441800117492676</v>
      </c>
      <c r="N49" s="3">
        <v>1.8578000068664551</v>
      </c>
      <c r="O49" s="3">
        <v>1.1317999999999999</v>
      </c>
      <c r="P49" s="3">
        <v>1.8876999999999999</v>
      </c>
      <c r="Q49" s="3">
        <v>3.6015999999999999</v>
      </c>
      <c r="R49" s="3">
        <v>0.49270000000000003</v>
      </c>
      <c r="S49" s="3">
        <v>9.0945</v>
      </c>
      <c r="T49" s="3">
        <v>7.2366999999999999</v>
      </c>
      <c r="U49" s="3">
        <v>-1.3183</v>
      </c>
    </row>
    <row r="50" spans="1:21">
      <c r="A50" s="2">
        <v>40999</v>
      </c>
      <c r="B50" s="3">
        <v>18.122299194335938</v>
      </c>
      <c r="C50" s="3">
        <v>2.4072999954223633</v>
      </c>
      <c r="D50" s="3">
        <v>0.87580000000000002</v>
      </c>
      <c r="E50" s="3">
        <v>1.0142</v>
      </c>
      <c r="F50" s="3">
        <v>3.0815999999999999</v>
      </c>
      <c r="G50" s="3">
        <v>1.4670000000000001</v>
      </c>
      <c r="H50" s="3">
        <v>5.5753000000000004</v>
      </c>
      <c r="I50" s="3">
        <v>6.8013000000000003</v>
      </c>
      <c r="J50" s="3">
        <v>0.60189999999999999</v>
      </c>
      <c r="L50" s="2">
        <v>40999</v>
      </c>
      <c r="M50" s="3">
        <v>13.497799873352051</v>
      </c>
      <c r="N50" s="3">
        <v>1.8910000324249268</v>
      </c>
      <c r="O50" s="3">
        <v>1.1704000000000001</v>
      </c>
      <c r="P50" s="3">
        <v>1.7285999999999999</v>
      </c>
      <c r="Q50" s="3">
        <v>3.5051000000000001</v>
      </c>
      <c r="R50" s="3">
        <v>0.48899999999999999</v>
      </c>
      <c r="S50" s="3">
        <v>9.4147999999999996</v>
      </c>
      <c r="T50" s="3">
        <v>10.597799999999999</v>
      </c>
      <c r="U50" s="3">
        <v>0.98570000000000002</v>
      </c>
    </row>
    <row r="51" spans="1:21">
      <c r="A51" s="2">
        <v>40908</v>
      </c>
      <c r="B51" s="3">
        <v>17.269100189208984</v>
      </c>
      <c r="C51" s="3">
        <v>2.3278999328613281</v>
      </c>
      <c r="D51" s="3">
        <v>0.85040000000000004</v>
      </c>
      <c r="E51" s="3">
        <v>1.0708</v>
      </c>
      <c r="F51" s="3">
        <v>3.4420000000000002</v>
      </c>
      <c r="G51" s="3">
        <v>1.6890000000000001</v>
      </c>
      <c r="H51" s="3">
        <v>5.5313999999999997</v>
      </c>
      <c r="I51" s="3">
        <v>17.3032</v>
      </c>
      <c r="J51" s="3">
        <v>-7.1519000000000004</v>
      </c>
      <c r="L51" s="2">
        <v>40908</v>
      </c>
      <c r="M51" s="3">
        <v>12.88129997253418</v>
      </c>
      <c r="N51" s="3">
        <v>1.8966000080108643</v>
      </c>
      <c r="O51" s="3">
        <v>1.1702999999999999</v>
      </c>
      <c r="P51" s="3">
        <v>1.8046</v>
      </c>
      <c r="Q51" s="3">
        <v>3.1267</v>
      </c>
      <c r="R51" s="3">
        <v>0.43990000000000001</v>
      </c>
      <c r="S51" s="3">
        <v>7.4130000000000003</v>
      </c>
      <c r="T51" s="3">
        <v>16.233499999999999</v>
      </c>
      <c r="U51" s="3">
        <v>-6.5359999999999996</v>
      </c>
    </row>
    <row r="52" spans="1:21">
      <c r="A52" s="2">
        <v>40816</v>
      </c>
      <c r="B52" s="3">
        <v>20.445699691772461</v>
      </c>
      <c r="C52" s="3">
        <v>2.8148999214172363</v>
      </c>
      <c r="D52" s="3">
        <v>0.996</v>
      </c>
      <c r="E52" s="3">
        <v>0.97529999999999994</v>
      </c>
      <c r="F52" s="3">
        <v>3.4104000000000001</v>
      </c>
      <c r="G52" s="3">
        <v>1.5663</v>
      </c>
      <c r="H52" s="3">
        <v>5.4885999999999999</v>
      </c>
      <c r="I52" s="3">
        <v>18.901</v>
      </c>
      <c r="J52" s="3">
        <v>16.045100000000001</v>
      </c>
      <c r="L52" s="2">
        <v>40816</v>
      </c>
      <c r="M52" s="3">
        <v>14.235199928283691</v>
      </c>
      <c r="N52" s="3">
        <v>2.1203000545501709</v>
      </c>
      <c r="O52" s="3">
        <v>1.3358000000000001</v>
      </c>
      <c r="P52" s="3">
        <v>1.6595</v>
      </c>
      <c r="Q52" s="3">
        <v>3.786</v>
      </c>
      <c r="R52" s="3">
        <v>0.52800000000000002</v>
      </c>
      <c r="S52" s="3">
        <v>9.3264999999999993</v>
      </c>
      <c r="T52" s="3">
        <v>25.4253</v>
      </c>
      <c r="U52" s="3">
        <v>13.1927</v>
      </c>
    </row>
    <row r="53" spans="1:21">
      <c r="A53" s="2">
        <v>40724</v>
      </c>
      <c r="B53" s="3">
        <v>23.953800201416016</v>
      </c>
      <c r="C53" s="3">
        <v>3.3148000240325928</v>
      </c>
      <c r="D53" s="3">
        <v>1.175</v>
      </c>
      <c r="E53" s="3">
        <v>0.78820000000000001</v>
      </c>
      <c r="F53" s="3">
        <v>3.6838000000000002</v>
      </c>
      <c r="G53" s="3">
        <v>1.7048000000000001</v>
      </c>
      <c r="H53" s="3">
        <v>5.7058999999999997</v>
      </c>
      <c r="I53" s="3">
        <v>17.961600000000001</v>
      </c>
      <c r="J53" s="3">
        <v>19.5947</v>
      </c>
      <c r="L53" s="2">
        <v>40724</v>
      </c>
      <c r="M53" s="3">
        <v>17.222700119018555</v>
      </c>
      <c r="N53" s="3">
        <v>2.543100118637085</v>
      </c>
      <c r="O53" s="3">
        <v>1.6237999999999999</v>
      </c>
      <c r="P53" s="3">
        <v>1.5198</v>
      </c>
      <c r="Q53" s="3">
        <v>4.1844999999999999</v>
      </c>
      <c r="R53" s="3">
        <v>0.58440000000000003</v>
      </c>
      <c r="S53" s="3">
        <v>10.001799999999999</v>
      </c>
      <c r="T53" s="3">
        <v>25.6389</v>
      </c>
      <c r="U53" s="3">
        <v>21.245699999999999</v>
      </c>
    </row>
    <row r="54" spans="1:21">
      <c r="A54" s="2">
        <v>40633</v>
      </c>
      <c r="B54" s="3">
        <v>27.986600875854492</v>
      </c>
      <c r="C54" s="3">
        <v>3.6675999164581299</v>
      </c>
      <c r="D54" s="3">
        <v>1.3803000000000001</v>
      </c>
      <c r="E54" s="3">
        <v>0.59819999999999995</v>
      </c>
      <c r="F54" s="3">
        <v>3.6362999999999999</v>
      </c>
      <c r="G54" s="3">
        <v>1.7271000000000001</v>
      </c>
      <c r="H54" s="3">
        <v>5.9231999999999996</v>
      </c>
      <c r="I54" s="3">
        <v>32.6511</v>
      </c>
      <c r="J54" s="3">
        <v>34.892200000000003</v>
      </c>
      <c r="L54" s="2">
        <v>40633</v>
      </c>
      <c r="M54" s="3">
        <v>19.33489990234375</v>
      </c>
      <c r="N54" s="3">
        <v>2.7421000003814697</v>
      </c>
      <c r="O54" s="3">
        <v>1.8439000000000001</v>
      </c>
      <c r="P54" s="3">
        <v>1.0904</v>
      </c>
      <c r="Q54" s="3">
        <v>4.0334000000000003</v>
      </c>
      <c r="R54" s="3">
        <v>0.5655</v>
      </c>
      <c r="S54" s="3">
        <v>10.45</v>
      </c>
      <c r="T54" s="3">
        <v>28.965199999999999</v>
      </c>
      <c r="U54" s="3">
        <v>24.522099999999998</v>
      </c>
    </row>
    <row r="55" spans="1:21">
      <c r="A55" s="2">
        <v>40543</v>
      </c>
      <c r="B55" s="3">
        <v>29.198999404907227</v>
      </c>
      <c r="C55" s="3">
        <v>3.7521998882293701</v>
      </c>
      <c r="D55" s="3">
        <v>1.4086000000000001</v>
      </c>
      <c r="E55" s="3">
        <v>0.58260000000000001</v>
      </c>
      <c r="F55" s="3">
        <v>4.1414</v>
      </c>
      <c r="G55" s="3">
        <v>1.9277</v>
      </c>
      <c r="H55" s="3">
        <v>6.0824999999999996</v>
      </c>
      <c r="I55" s="3">
        <v>43.201300000000003</v>
      </c>
      <c r="J55" s="3">
        <v>47.601100000000002</v>
      </c>
      <c r="L55" s="2">
        <v>40543</v>
      </c>
      <c r="M55" s="3">
        <v>20.078800201416016</v>
      </c>
      <c r="N55" s="3">
        <v>2.7509000301361084</v>
      </c>
      <c r="O55" s="3">
        <v>1.8786</v>
      </c>
      <c r="P55" s="3">
        <v>1.1409</v>
      </c>
      <c r="Q55" s="3">
        <v>3.9062999999999999</v>
      </c>
      <c r="R55" s="3">
        <v>0.54220000000000002</v>
      </c>
      <c r="S55" s="3">
        <v>9.1920999999999999</v>
      </c>
      <c r="T55" s="3">
        <v>28.930900000000001</v>
      </c>
      <c r="U55" s="3">
        <v>40.362900000000003</v>
      </c>
    </row>
    <row r="56" spans="1:21">
      <c r="A56" s="2">
        <v>40451</v>
      </c>
      <c r="B56" s="3">
        <v>30.467399597167969</v>
      </c>
      <c r="C56" s="3">
        <v>4.0763998031616211</v>
      </c>
      <c r="D56" s="3">
        <v>1.4572000000000001</v>
      </c>
      <c r="E56" s="3">
        <v>0.61639999999999995</v>
      </c>
      <c r="F56" s="3">
        <v>3.6833</v>
      </c>
      <c r="G56" s="3">
        <v>1.6858</v>
      </c>
      <c r="H56" s="3">
        <v>5.6203000000000003</v>
      </c>
      <c r="I56" s="3">
        <v>38.865499999999997</v>
      </c>
      <c r="J56" s="3">
        <v>36.876899999999999</v>
      </c>
      <c r="L56" s="2">
        <v>40451</v>
      </c>
      <c r="M56" s="3">
        <v>19.477100372314453</v>
      </c>
      <c r="N56" s="3">
        <v>2.7411000728607178</v>
      </c>
      <c r="O56" s="3">
        <v>1.8199000000000001</v>
      </c>
      <c r="P56" s="3">
        <v>1.2727999999999999</v>
      </c>
      <c r="Q56" s="3">
        <v>4.0785999999999998</v>
      </c>
      <c r="R56" s="3">
        <v>0.53939999999999999</v>
      </c>
      <c r="S56" s="3">
        <v>10.3253</v>
      </c>
      <c r="T56" s="3">
        <v>30.421600000000002</v>
      </c>
      <c r="U56" s="3">
        <v>27.760999999999999</v>
      </c>
    </row>
    <row r="57" spans="1:21">
      <c r="A57" s="2">
        <v>40359</v>
      </c>
      <c r="B57" s="3">
        <v>26.169000625610352</v>
      </c>
      <c r="C57" s="3">
        <v>3.3217000961303711</v>
      </c>
      <c r="D57" s="3">
        <v>1.252</v>
      </c>
      <c r="E57" s="3">
        <v>0.69420000000000004</v>
      </c>
      <c r="F57" s="3">
        <v>4.1096000000000004</v>
      </c>
      <c r="G57" s="3">
        <v>1.8814</v>
      </c>
      <c r="H57" s="3">
        <v>5.7995999999999999</v>
      </c>
      <c r="I57" s="3">
        <v>51.377600000000001</v>
      </c>
      <c r="J57" s="3">
        <v>50.014099999999999</v>
      </c>
      <c r="L57" s="2">
        <v>40359</v>
      </c>
      <c r="M57" s="3">
        <v>18.745199203491211</v>
      </c>
      <c r="N57" s="3">
        <v>2.5308001041412354</v>
      </c>
      <c r="O57" s="3">
        <v>1.6958</v>
      </c>
      <c r="P57" s="3">
        <v>1.3912</v>
      </c>
      <c r="Q57" s="3">
        <v>4.1299000000000001</v>
      </c>
      <c r="R57" s="3">
        <v>0.60470000000000002</v>
      </c>
      <c r="S57" s="3">
        <v>9.8295999999999992</v>
      </c>
      <c r="T57" s="3">
        <v>41.938400000000001</v>
      </c>
      <c r="U57" s="3">
        <v>31.9071</v>
      </c>
    </row>
    <row r="58" spans="1:21">
      <c r="A58" s="2">
        <v>40268</v>
      </c>
      <c r="B58" s="3">
        <v>45.478099822998047</v>
      </c>
      <c r="C58" s="3">
        <v>4.3857002258300781</v>
      </c>
      <c r="D58" s="3">
        <v>1.8109</v>
      </c>
      <c r="E58" s="3">
        <v>0.42259999999999998</v>
      </c>
      <c r="F58" s="3">
        <v>3.5501999999999998</v>
      </c>
      <c r="G58" s="3">
        <v>1.6135999999999999</v>
      </c>
      <c r="H58" s="3">
        <v>5.4992999999999999</v>
      </c>
      <c r="I58" s="3">
        <v>55.441600000000001</v>
      </c>
      <c r="J58" s="3">
        <v>114.11060000000001</v>
      </c>
      <c r="L58" s="2">
        <v>40268</v>
      </c>
      <c r="M58" s="3">
        <v>30.253400802612305</v>
      </c>
      <c r="N58" s="3">
        <v>3.3382999897003174</v>
      </c>
      <c r="O58" s="3">
        <v>2.4108000000000001</v>
      </c>
      <c r="P58" s="3">
        <v>1.0392999999999999</v>
      </c>
      <c r="Q58" s="3">
        <v>3.8656000000000001</v>
      </c>
      <c r="R58" s="3">
        <v>0.56859999999999999</v>
      </c>
      <c r="S58" s="3">
        <v>10.216699999999999</v>
      </c>
      <c r="T58" s="3">
        <v>48.573500000000003</v>
      </c>
      <c r="U58" s="3">
        <v>64.552700000000002</v>
      </c>
    </row>
    <row r="59" spans="1:21">
      <c r="A59" s="2">
        <v>40178</v>
      </c>
      <c r="B59" s="3">
        <v>57.970600128173828</v>
      </c>
      <c r="C59" s="3">
        <v>4.5118999481201172</v>
      </c>
      <c r="D59" s="3">
        <v>1.8683000000000001</v>
      </c>
      <c r="E59" s="3">
        <v>0.43709999999999999</v>
      </c>
      <c r="F59" s="3">
        <v>3.8580000000000001</v>
      </c>
      <c r="G59" s="3">
        <v>1.6469</v>
      </c>
      <c r="H59" s="3">
        <v>5.6021999999999998</v>
      </c>
      <c r="I59" s="3">
        <v>48.195099999999996</v>
      </c>
      <c r="J59" s="3">
        <v>793.2654</v>
      </c>
      <c r="L59" s="2">
        <v>40178</v>
      </c>
      <c r="M59" s="3">
        <v>35.122600555419922</v>
      </c>
      <c r="N59" s="3">
        <v>3.5555999279022217</v>
      </c>
      <c r="O59" s="3">
        <v>2.5802</v>
      </c>
      <c r="P59" s="3">
        <v>1.0349999999999999</v>
      </c>
      <c r="Q59" s="3">
        <v>3.3633999999999999</v>
      </c>
      <c r="R59" s="3">
        <v>0.48909999999999998</v>
      </c>
      <c r="S59" s="3">
        <v>8.0140999999999991</v>
      </c>
      <c r="T59" s="3">
        <v>32.060600000000001</v>
      </c>
      <c r="U59" s="3">
        <v>688.03089999999997</v>
      </c>
    </row>
    <row r="60" spans="1:21">
      <c r="A60" s="2">
        <v>40086</v>
      </c>
      <c r="B60" s="3">
        <v>55.122898101806641</v>
      </c>
      <c r="C60" s="3">
        <v>3.6157999038696289</v>
      </c>
      <c r="D60" s="3">
        <v>1.448</v>
      </c>
      <c r="E60" s="3">
        <v>0.60629999999999995</v>
      </c>
      <c r="F60" s="3">
        <v>3.3921000000000001</v>
      </c>
      <c r="G60" s="3">
        <v>1.4428000000000001</v>
      </c>
      <c r="H60" s="3">
        <v>5.1406999999999998</v>
      </c>
      <c r="I60" s="3">
        <v>18.845600000000001</v>
      </c>
      <c r="J60" s="3">
        <v>121.12269999999999</v>
      </c>
      <c r="L60" s="2">
        <v>40086</v>
      </c>
      <c r="M60" s="3">
        <v>31.432100296020508</v>
      </c>
      <c r="N60" s="3">
        <v>3.1236000061035156</v>
      </c>
      <c r="O60" s="3">
        <v>2.1377999999999999</v>
      </c>
      <c r="P60" s="3">
        <v>1.2866</v>
      </c>
      <c r="Q60" s="3">
        <v>3.7852999999999999</v>
      </c>
      <c r="R60" s="3">
        <v>0.53239999999999998</v>
      </c>
      <c r="S60" s="3">
        <v>9.9313000000000002</v>
      </c>
      <c r="T60" s="3">
        <v>2.2635000000000001</v>
      </c>
      <c r="U60" s="3">
        <v>26.485900000000001</v>
      </c>
    </row>
    <row r="61" spans="1:21">
      <c r="A61" s="2">
        <v>39994</v>
      </c>
      <c r="B61" s="3">
        <v>56.046699523925781</v>
      </c>
      <c r="C61" s="3">
        <v>3.7056000232696533</v>
      </c>
      <c r="D61" s="3">
        <v>1.3675999999999999</v>
      </c>
      <c r="E61" s="3">
        <v>0.63170000000000004</v>
      </c>
      <c r="F61" s="3">
        <v>3.4127999999999998</v>
      </c>
      <c r="G61" s="3">
        <v>1.4724999999999999</v>
      </c>
      <c r="H61" s="3">
        <v>5.2054</v>
      </c>
      <c r="I61" s="3">
        <v>0.91610000000000003</v>
      </c>
      <c r="J61" s="3">
        <v>15.142200000000001</v>
      </c>
      <c r="L61" s="2">
        <v>39994</v>
      </c>
      <c r="M61" s="3">
        <v>32.432598114013672</v>
      </c>
      <c r="N61" s="3">
        <v>3.3933000564575195</v>
      </c>
      <c r="O61" s="3">
        <v>2.2252999999999998</v>
      </c>
      <c r="P61" s="3">
        <v>1.2283999999999999</v>
      </c>
      <c r="Q61" s="3">
        <v>3.7351999999999999</v>
      </c>
      <c r="R61" s="3">
        <v>0.53349999999999997</v>
      </c>
      <c r="S61" s="3">
        <v>10.69</v>
      </c>
      <c r="T61" s="3">
        <v>-9.3397000000000006</v>
      </c>
      <c r="U61" s="3">
        <v>-2.7850000000000001</v>
      </c>
    </row>
    <row r="62" spans="1:21">
      <c r="A62" s="2">
        <v>39903</v>
      </c>
      <c r="B62" s="3">
        <v>34.896900177001953</v>
      </c>
      <c r="C62" s="3">
        <v>3.0590000152587891</v>
      </c>
      <c r="D62" s="3">
        <v>1.0598000000000001</v>
      </c>
      <c r="E62" s="3">
        <v>0.92190000000000005</v>
      </c>
      <c r="F62" s="3">
        <v>2.0529999999999999</v>
      </c>
      <c r="G62" s="3">
        <v>0.85070000000000001</v>
      </c>
      <c r="H62" s="3">
        <v>3.5598999999999998</v>
      </c>
      <c r="I62" s="3">
        <v>-10.6517</v>
      </c>
      <c r="J62" s="3">
        <v>-19.7087</v>
      </c>
      <c r="L62" s="2">
        <v>39903</v>
      </c>
      <c r="M62" s="3">
        <v>20.519599914550781</v>
      </c>
      <c r="N62" s="3">
        <v>2.692500114440918</v>
      </c>
      <c r="O62" s="3">
        <v>1.7249000000000001</v>
      </c>
      <c r="P62" s="3">
        <v>1.546</v>
      </c>
      <c r="Q62" s="3">
        <v>2.7801</v>
      </c>
      <c r="R62" s="3">
        <v>0.41499999999999998</v>
      </c>
      <c r="S62" s="3">
        <v>9.2356999999999996</v>
      </c>
      <c r="T62" s="3">
        <v>-12.619300000000001</v>
      </c>
      <c r="U62" s="3">
        <v>-25.200700000000001</v>
      </c>
    </row>
    <row r="63" spans="1:21">
      <c r="A63" s="2">
        <v>39813</v>
      </c>
      <c r="B63" s="3">
        <v>20.15049934387207</v>
      </c>
      <c r="C63" s="3">
        <v>2.0713999271392822</v>
      </c>
      <c r="D63" s="3">
        <v>0.71289999999999998</v>
      </c>
      <c r="E63" s="3">
        <v>1.3947000000000001</v>
      </c>
      <c r="F63" s="3">
        <v>-0.53620000000000001</v>
      </c>
      <c r="G63" s="3">
        <v>-0.34920000000000001</v>
      </c>
      <c r="H63" s="3">
        <v>-1.4948999999999999</v>
      </c>
      <c r="I63" s="3">
        <v>-12.023</v>
      </c>
      <c r="J63" s="3">
        <v>-123.2029</v>
      </c>
      <c r="L63" s="2">
        <v>39813</v>
      </c>
      <c r="M63" s="3">
        <v>14.424699783325195</v>
      </c>
      <c r="N63" s="3">
        <v>2.1082999706268311</v>
      </c>
      <c r="O63" s="3">
        <v>1.3063</v>
      </c>
      <c r="P63" s="3">
        <v>2.0672999999999999</v>
      </c>
      <c r="Q63" s="3">
        <v>0.442</v>
      </c>
      <c r="R63" s="3">
        <v>8.6499999999999994E-2</v>
      </c>
      <c r="S63" s="3">
        <v>1.5430999999999999</v>
      </c>
      <c r="T63" s="3">
        <v>-4.7439999999999998</v>
      </c>
      <c r="U63" s="3">
        <v>-88.2363</v>
      </c>
    </row>
    <row r="64" spans="1:21">
      <c r="A64" s="2">
        <v>39721</v>
      </c>
      <c r="B64" s="3">
        <v>21.242099761962891</v>
      </c>
      <c r="C64" s="3">
        <v>2.3736999034881592</v>
      </c>
      <c r="D64" s="3">
        <v>0.82210000000000005</v>
      </c>
      <c r="E64" s="3">
        <v>1.2108000000000001</v>
      </c>
      <c r="F64" s="3">
        <v>1.7277</v>
      </c>
      <c r="G64" s="3">
        <v>0.73699999999999999</v>
      </c>
      <c r="H64" s="3">
        <v>2.8458999999999999</v>
      </c>
      <c r="I64" s="3">
        <v>7.3879000000000001</v>
      </c>
      <c r="J64" s="3">
        <v>-33.002400000000002</v>
      </c>
      <c r="L64" s="2">
        <v>39721</v>
      </c>
      <c r="M64" s="3">
        <v>17.472499847412109</v>
      </c>
      <c r="N64" s="3">
        <v>2.7018001079559326</v>
      </c>
      <c r="O64" s="3">
        <v>1.6859</v>
      </c>
      <c r="P64" s="3">
        <v>1.6749000000000001</v>
      </c>
      <c r="Q64" s="3">
        <v>3.3102</v>
      </c>
      <c r="R64" s="3">
        <v>0.52139999999999997</v>
      </c>
      <c r="S64" s="3">
        <v>8.2189999999999994</v>
      </c>
      <c r="T64" s="3">
        <v>20.255299999999998</v>
      </c>
      <c r="U64" s="3">
        <v>-12.3157</v>
      </c>
    </row>
    <row r="65" spans="1:21">
      <c r="A65" s="2">
        <v>39629</v>
      </c>
      <c r="B65" s="3">
        <v>27.352899551391602</v>
      </c>
      <c r="C65" s="3">
        <v>2.9834001064300537</v>
      </c>
      <c r="D65" s="3">
        <v>1.0387999999999999</v>
      </c>
      <c r="E65" s="3">
        <v>1.1394</v>
      </c>
      <c r="F65" s="3">
        <v>3.2585000000000002</v>
      </c>
      <c r="G65" s="3">
        <v>1.3637999999999999</v>
      </c>
      <c r="H65" s="3">
        <v>4.5476000000000001</v>
      </c>
      <c r="I65" s="3">
        <v>15.2562</v>
      </c>
      <c r="J65" s="3">
        <v>21.6435</v>
      </c>
      <c r="L65" s="2">
        <v>39629</v>
      </c>
      <c r="M65" s="3">
        <v>22.087699890136719</v>
      </c>
      <c r="N65" s="3">
        <v>3.3373000621795654</v>
      </c>
      <c r="O65" s="3">
        <v>2.1829999999999998</v>
      </c>
      <c r="P65" s="3">
        <v>1.2753000000000001</v>
      </c>
      <c r="Q65" s="3">
        <v>4.2206000000000001</v>
      </c>
      <c r="R65" s="3">
        <v>0.66990000000000005</v>
      </c>
      <c r="S65" s="3">
        <v>9.9418000000000006</v>
      </c>
      <c r="T65" s="3">
        <v>28.661200000000001</v>
      </c>
      <c r="U65" s="3">
        <v>13.1896</v>
      </c>
    </row>
    <row r="66" spans="1:21">
      <c r="A66" s="2">
        <v>39538</v>
      </c>
      <c r="B66" s="3">
        <v>48.608100891113281</v>
      </c>
      <c r="C66" s="3">
        <v>4.4503998756408691</v>
      </c>
      <c r="D66" s="3">
        <v>1.6465000000000001</v>
      </c>
      <c r="E66" s="3">
        <v>0.52629999999999999</v>
      </c>
      <c r="F66" s="3">
        <v>2.5954999999999999</v>
      </c>
      <c r="G66" s="3">
        <v>1.1193</v>
      </c>
      <c r="H66" s="3">
        <v>3.9216000000000002</v>
      </c>
      <c r="I66" s="3">
        <v>23.4681</v>
      </c>
      <c r="J66" s="3">
        <v>29.415800000000001</v>
      </c>
      <c r="L66" s="2">
        <v>39538</v>
      </c>
      <c r="M66" s="3">
        <v>30.87700080871582</v>
      </c>
      <c r="N66" s="3">
        <v>4.2659997940063477</v>
      </c>
      <c r="O66" s="3">
        <v>3.0451000000000001</v>
      </c>
      <c r="P66" s="3">
        <v>0.51119999999999999</v>
      </c>
      <c r="Q66" s="3">
        <v>4.0446999999999997</v>
      </c>
      <c r="R66" s="3">
        <v>0.65969999999999995</v>
      </c>
      <c r="S66" s="3">
        <v>10.8926</v>
      </c>
      <c r="T66" s="3">
        <v>26.2453</v>
      </c>
      <c r="U66" s="3">
        <v>28.534800000000001</v>
      </c>
    </row>
    <row r="67" spans="1:21">
      <c r="A67" s="2">
        <v>39447</v>
      </c>
      <c r="B67" s="3">
        <v>73.033096313476563</v>
      </c>
      <c r="C67" s="3">
        <v>6.0798001289367676</v>
      </c>
      <c r="D67" s="3">
        <v>2.2210999999999999</v>
      </c>
      <c r="E67" s="3">
        <v>0.3876</v>
      </c>
      <c r="F67" s="3">
        <v>3.0022000000000002</v>
      </c>
      <c r="G67" s="3">
        <v>1.2908999999999999</v>
      </c>
      <c r="H67" s="3">
        <v>4.4532999999999996</v>
      </c>
      <c r="I67" s="3">
        <v>19.407599999999999</v>
      </c>
      <c r="J67" s="3">
        <v>901.82349999999997</v>
      </c>
      <c r="L67" s="2">
        <v>39447</v>
      </c>
      <c r="M67" s="3">
        <v>49.252998352050781</v>
      </c>
      <c r="N67" s="3">
        <v>6.546299934387207</v>
      </c>
      <c r="O67" s="3">
        <v>4.7413999999999996</v>
      </c>
      <c r="P67" s="3">
        <v>0.35210000000000002</v>
      </c>
      <c r="Q67" s="3">
        <v>4.1853999999999996</v>
      </c>
      <c r="R67" s="3">
        <v>0.63470000000000004</v>
      </c>
      <c r="S67" s="3">
        <v>9.8869000000000007</v>
      </c>
      <c r="T67" s="3">
        <v>21.998999999999999</v>
      </c>
      <c r="U67" s="3">
        <v>67.066100000000006</v>
      </c>
    </row>
    <row r="68" spans="1:21">
      <c r="A68" s="2">
        <v>39355</v>
      </c>
      <c r="B68" s="3">
        <v>93.835098266601563</v>
      </c>
      <c r="C68" s="3">
        <v>6.9078998565673828</v>
      </c>
      <c r="D68" s="3">
        <v>2.4897999999999998</v>
      </c>
      <c r="E68" s="3">
        <v>0.37919999999999998</v>
      </c>
      <c r="F68" s="3">
        <v>2.8210000000000002</v>
      </c>
      <c r="G68" s="3">
        <v>1.2146999999999999</v>
      </c>
      <c r="H68" s="3">
        <v>4.2850000000000001</v>
      </c>
      <c r="I68" s="3">
        <v>33.957999999999998</v>
      </c>
      <c r="J68" s="3">
        <v>133.4221</v>
      </c>
      <c r="L68" s="2">
        <v>39355</v>
      </c>
      <c r="M68" s="3">
        <v>52.882099151611328</v>
      </c>
      <c r="N68" s="3">
        <v>6.6662998199462891</v>
      </c>
      <c r="O68" s="3">
        <v>4.5148000000000001</v>
      </c>
      <c r="P68" s="3">
        <v>0.45400000000000001</v>
      </c>
      <c r="Q68" s="3">
        <v>4.2153</v>
      </c>
      <c r="R68" s="3">
        <v>0.57150000000000001</v>
      </c>
      <c r="S68" s="3">
        <v>10.6998</v>
      </c>
      <c r="T68" s="3">
        <v>22.575299999999999</v>
      </c>
      <c r="U68" s="3">
        <v>44.449300000000001</v>
      </c>
    </row>
    <row r="69" spans="1:21">
      <c r="A69" s="2">
        <v>39263</v>
      </c>
      <c r="B69" s="3">
        <v>88.356399536132813</v>
      </c>
      <c r="C69" s="3">
        <v>5.2427000999450684</v>
      </c>
      <c r="D69" s="3">
        <v>1.9823</v>
      </c>
      <c r="E69" s="3">
        <v>0.41389999999999999</v>
      </c>
      <c r="F69" s="3">
        <v>3.1320999999999999</v>
      </c>
      <c r="G69" s="3">
        <v>1.3388</v>
      </c>
      <c r="H69" s="3">
        <v>4.2915999999999999</v>
      </c>
      <c r="I69" s="3">
        <v>34.3521</v>
      </c>
      <c r="J69" s="3">
        <v>103.8605</v>
      </c>
      <c r="L69" s="2">
        <v>39263</v>
      </c>
      <c r="M69" s="3">
        <v>44.592098236083984</v>
      </c>
      <c r="N69" s="3">
        <v>4.8010997772216797</v>
      </c>
      <c r="O69" s="3">
        <v>3.0419</v>
      </c>
      <c r="P69" s="3">
        <v>0.57869999999999999</v>
      </c>
      <c r="Q69" s="3">
        <v>4.4226000000000001</v>
      </c>
      <c r="R69" s="3">
        <v>0.67</v>
      </c>
      <c r="S69" s="3">
        <v>10.205299999999999</v>
      </c>
      <c r="T69" s="3">
        <v>21.7409</v>
      </c>
      <c r="U69" s="3">
        <v>69.102999999999994</v>
      </c>
    </row>
    <row r="70" spans="1:21">
      <c r="A70" s="2">
        <v>39172</v>
      </c>
      <c r="B70" s="3">
        <v>91.011802673339844</v>
      </c>
      <c r="C70" s="3">
        <v>3.9662001132965088</v>
      </c>
      <c r="D70" s="3">
        <v>1.5662</v>
      </c>
      <c r="E70" s="3">
        <v>0.57520000000000004</v>
      </c>
      <c r="F70" s="3">
        <v>2.4336000000000002</v>
      </c>
      <c r="G70" s="3">
        <v>1.0562</v>
      </c>
      <c r="H70" s="3">
        <v>3.8115999999999999</v>
      </c>
      <c r="I70" s="3">
        <v>32.830399999999997</v>
      </c>
      <c r="J70" s="3">
        <v>89.041300000000007</v>
      </c>
      <c r="L70" s="2">
        <v>39172</v>
      </c>
      <c r="M70" s="3">
        <v>45.782299041748047</v>
      </c>
      <c r="N70" s="3">
        <v>4.0313000679016113</v>
      </c>
      <c r="O70" s="3">
        <v>2.5718999999999999</v>
      </c>
      <c r="P70" s="3">
        <v>0.58879999999999999</v>
      </c>
      <c r="Q70" s="3">
        <v>3.6577999999999999</v>
      </c>
      <c r="R70" s="3">
        <v>0.58950000000000002</v>
      </c>
      <c r="S70" s="3">
        <v>8.9483999999999995</v>
      </c>
      <c r="T70" s="3">
        <v>26.235700000000001</v>
      </c>
      <c r="U70" s="3">
        <v>95.389899999999997</v>
      </c>
    </row>
    <row r="71" spans="1:21">
      <c r="A71" s="2">
        <v>39082</v>
      </c>
      <c r="B71" s="3">
        <v>85.032798767089844</v>
      </c>
      <c r="C71" s="3">
        <v>2.583899974822998</v>
      </c>
      <c r="D71" s="3">
        <v>1.0482</v>
      </c>
      <c r="E71" s="3">
        <v>0.9617</v>
      </c>
      <c r="F71" s="3">
        <v>0.48859999999999998</v>
      </c>
      <c r="G71" s="3">
        <v>0.16969999999999999</v>
      </c>
      <c r="H71" s="3">
        <v>0.55940000000000001</v>
      </c>
      <c r="I71" s="3">
        <v>24.506900000000002</v>
      </c>
      <c r="J71" s="3">
        <v>121.1093</v>
      </c>
      <c r="L71" s="2">
        <v>39082</v>
      </c>
      <c r="M71" s="3">
        <v>39.283901214599609</v>
      </c>
      <c r="N71" s="3">
        <v>3.1763999462127686</v>
      </c>
      <c r="O71" s="3">
        <v>2.0196000000000001</v>
      </c>
      <c r="P71" s="3">
        <v>0.85609999999999997</v>
      </c>
      <c r="Q71" s="3">
        <v>2.8285999999999998</v>
      </c>
      <c r="R71" s="3">
        <v>0.52910000000000001</v>
      </c>
      <c r="S71" s="3">
        <v>5.9321000000000002</v>
      </c>
      <c r="T71" s="3">
        <v>33.957299999999996</v>
      </c>
      <c r="U71" s="3">
        <v>516.55190000000005</v>
      </c>
    </row>
    <row r="72" spans="1:21">
      <c r="A72" s="2">
        <v>38990</v>
      </c>
      <c r="B72" s="3">
        <v>92.510696411132813</v>
      </c>
      <c r="C72" s="3">
        <v>2.2637999057769775</v>
      </c>
      <c r="D72" s="3">
        <v>0.84730000000000005</v>
      </c>
      <c r="E72" s="3">
        <v>1.2547999999999999</v>
      </c>
      <c r="F72" s="3">
        <v>1.5197000000000001</v>
      </c>
      <c r="G72" s="3">
        <v>0.67349999999999999</v>
      </c>
      <c r="H72" s="3">
        <v>2.4876999999999998</v>
      </c>
      <c r="I72" s="3">
        <v>17.9941</v>
      </c>
      <c r="J72" s="3">
        <v>153.21449999999999</v>
      </c>
      <c r="L72" s="2">
        <v>38990</v>
      </c>
      <c r="M72" s="3">
        <v>30.173900604248047</v>
      </c>
      <c r="N72" s="3">
        <v>2.2943000793457031</v>
      </c>
      <c r="O72" s="3">
        <v>1.2747999999999999</v>
      </c>
      <c r="P72" s="3">
        <v>1.4922</v>
      </c>
      <c r="Q72" s="3">
        <v>3.3216000000000001</v>
      </c>
      <c r="R72" s="3">
        <v>0.70069999999999999</v>
      </c>
      <c r="S72" s="3">
        <v>7.0172999999999996</v>
      </c>
      <c r="T72" s="3">
        <v>24.299099999999999</v>
      </c>
      <c r="U72" s="3">
        <v>56.311199999999999</v>
      </c>
    </row>
    <row r="73" spans="1:21">
      <c r="A73" s="2">
        <v>38898</v>
      </c>
      <c r="B73" s="3">
        <v>97.34429931640625</v>
      </c>
      <c r="C73" s="3">
        <v>2.2783000469207764</v>
      </c>
      <c r="D73" s="3">
        <v>0.87609999999999999</v>
      </c>
      <c r="E73" s="3">
        <v>1.2438</v>
      </c>
      <c r="F73" s="3">
        <v>1.7949999999999999</v>
      </c>
      <c r="G73" s="3">
        <v>0.65890000000000004</v>
      </c>
      <c r="H73" s="3">
        <v>2.2951000000000001</v>
      </c>
      <c r="I73" s="3">
        <v>13.076499999999999</v>
      </c>
      <c r="J73" s="3">
        <v>62.626899999999999</v>
      </c>
      <c r="L73" s="2">
        <v>38898</v>
      </c>
      <c r="M73" s="3">
        <v>30.88909912109375</v>
      </c>
      <c r="N73" s="3">
        <v>2.3145999908447266</v>
      </c>
      <c r="O73" s="3">
        <v>1.1342000000000001</v>
      </c>
      <c r="P73" s="3">
        <v>1.784</v>
      </c>
      <c r="Q73" s="3">
        <v>3.0592999999999999</v>
      </c>
      <c r="R73" s="3">
        <v>0.89670000000000005</v>
      </c>
      <c r="S73" s="3">
        <v>5.5481999999999996</v>
      </c>
      <c r="T73" s="3">
        <v>22.500800000000002</v>
      </c>
      <c r="U73" s="3">
        <v>26.0716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指数历史财务比率比较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2023-10-10T09:03:32Z</dcterms:modified>
</cp:coreProperties>
</file>