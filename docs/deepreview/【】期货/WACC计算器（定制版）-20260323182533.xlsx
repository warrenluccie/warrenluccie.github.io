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2260" windowHeight="12645"/>
  </bookViews>
  <sheets>
    <sheet name="WACC计算器定制版" sheetId="1" r:id="rId1"/>
    <sheet name="Wind模板" sheetId="2" state="veryHidden" r:id="rId2"/>
  </sheets>
  <externalReferences>
    <externalReference r:id="rId3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4" i="1" l="1"/>
  <c r="G24" i="1"/>
  <c r="D20" i="1"/>
  <c r="G20" i="1"/>
  <c r="D19" i="1"/>
  <c r="D5" i="1"/>
  <c r="G4" i="1" l="1"/>
  <c r="M48" i="1"/>
  <c r="D17" i="1" l="1"/>
</calcChain>
</file>

<file path=xl/sharedStrings.xml><?xml version="1.0" encoding="utf-8"?>
<sst xmlns="http://schemas.openxmlformats.org/spreadsheetml/2006/main" count="50" uniqueCount="50">
  <si>
    <t>一年定存利率(税前)</t>
  </si>
  <si>
    <t>五年期国债收益率</t>
    <phoneticPr fontId="2" type="noConversion"/>
  </si>
  <si>
    <t>十年期国债收益率</t>
    <phoneticPr fontId="2" type="noConversion"/>
  </si>
  <si>
    <t>最新发行的一年期央票利率</t>
    <phoneticPr fontId="2" type="noConversion"/>
  </si>
  <si>
    <t>银行间市场七日回购利率</t>
    <phoneticPr fontId="2" type="noConversion"/>
  </si>
  <si>
    <t>自定义收益率</t>
    <phoneticPr fontId="2" type="noConversion"/>
  </si>
  <si>
    <t>10年沪深指数平均收益</t>
    <phoneticPr fontId="2" type="noConversion"/>
  </si>
  <si>
    <t>10年上证综指平均收益</t>
    <phoneticPr fontId="2" type="noConversion"/>
  </si>
  <si>
    <t>5年沪深指数平均收益</t>
    <phoneticPr fontId="2" type="noConversion"/>
  </si>
  <si>
    <t>5年沪深300指数平均收益</t>
    <phoneticPr fontId="2" type="noConversion"/>
  </si>
  <si>
    <t>5年上证综指平均收益</t>
    <phoneticPr fontId="2" type="noConversion"/>
  </si>
  <si>
    <t>10年恒生指数平均收益</t>
    <phoneticPr fontId="2" type="noConversion"/>
  </si>
  <si>
    <t>10年道琼斯工业指数平均收益</t>
    <phoneticPr fontId="2" type="noConversion"/>
  </si>
  <si>
    <t>10年纳斯达克综合指数平均收益</t>
    <phoneticPr fontId="2" type="noConversion"/>
  </si>
  <si>
    <t>10年标准普尔500指数平均收益</t>
    <phoneticPr fontId="2" type="noConversion"/>
  </si>
  <si>
    <t>5年恒生指数平均收益</t>
    <phoneticPr fontId="2" type="noConversion"/>
  </si>
  <si>
    <t>5年道琼斯工业指数平均收益</t>
    <phoneticPr fontId="2" type="noConversion"/>
  </si>
  <si>
    <t>5年纳斯达克综合指数平均收益</t>
    <phoneticPr fontId="2" type="noConversion"/>
  </si>
  <si>
    <t>5年标准普尔500指数平均收益</t>
    <phoneticPr fontId="2" type="noConversion"/>
  </si>
  <si>
    <t>自定义市场收益率</t>
    <phoneticPr fontId="2" type="noConversion"/>
  </si>
  <si>
    <t>一年定存利率(税前)</t>
    <phoneticPr fontId="2" type="noConversion"/>
  </si>
  <si>
    <t>Wind代码：</t>
    <phoneticPr fontId="6" type="noConversion"/>
  </si>
  <si>
    <t>截止日期：</t>
    <phoneticPr fontId="6" type="noConversion"/>
  </si>
  <si>
    <t>资本结构</t>
    <phoneticPr fontId="6" type="noConversion"/>
  </si>
  <si>
    <t>成本结构</t>
    <phoneticPr fontId="6" type="noConversion"/>
  </si>
  <si>
    <t>结果</t>
    <phoneticPr fontId="6" type="noConversion"/>
  </si>
  <si>
    <t>股权资本E(万元）</t>
    <phoneticPr fontId="12" type="noConversion"/>
  </si>
  <si>
    <t>债务资本D(万元）</t>
    <phoneticPr fontId="12" type="noConversion"/>
  </si>
  <si>
    <t>普通股价值(万元)：</t>
    <phoneticPr fontId="6" type="noConversion"/>
  </si>
  <si>
    <t>优先股价值(万元)：</t>
    <phoneticPr fontId="6" type="noConversion"/>
  </si>
  <si>
    <t>短期债务(万元)：</t>
    <phoneticPr fontId="6" type="noConversion"/>
  </si>
  <si>
    <t>长期债务(万元)：</t>
    <phoneticPr fontId="6" type="noConversion"/>
  </si>
  <si>
    <t>市场收益率(%)：</t>
    <phoneticPr fontId="6" type="noConversion"/>
  </si>
  <si>
    <t>短期利率(%)：</t>
    <phoneticPr fontId="6" type="noConversion"/>
  </si>
  <si>
    <t>长期利率(%)：</t>
    <phoneticPr fontId="6" type="noConversion"/>
  </si>
  <si>
    <t>债券调整系数：</t>
    <phoneticPr fontId="6" type="noConversion"/>
  </si>
  <si>
    <t>所得税率(%)：</t>
    <phoneticPr fontId="6" type="noConversion"/>
  </si>
  <si>
    <t>股权成本Ke=</t>
    <phoneticPr fontId="6" type="noConversion"/>
  </si>
  <si>
    <t>债务成本Kd=</t>
    <phoneticPr fontId="6" type="noConversion"/>
  </si>
  <si>
    <t>加权平均资本成本WACC(%)</t>
    <phoneticPr fontId="6" type="noConversion"/>
  </si>
  <si>
    <t>总资本(万元)</t>
    <phoneticPr fontId="6" type="noConversion"/>
  </si>
  <si>
    <t>10年沪深指数平均收益</t>
  </si>
  <si>
    <t>WACC计算器(定制版）</t>
    <phoneticPr fontId="2" type="noConversion"/>
  </si>
  <si>
    <t>Beta：</t>
    <phoneticPr fontId="6" type="noConversion"/>
  </si>
  <si>
    <t>无风险收益率(%)：</t>
    <phoneticPr fontId="6" type="noConversion"/>
  </si>
  <si>
    <t>无风险收益率参照标的：</t>
    <phoneticPr fontId="6" type="noConversion"/>
  </si>
  <si>
    <t>市场收益率参照标的：</t>
    <phoneticPr fontId="6" type="noConversion"/>
  </si>
  <si>
    <t>002123.SZ</t>
    <phoneticPr fontId="6" type="noConversion"/>
  </si>
  <si>
    <t>公司简称：</t>
    <phoneticPr fontId="6" type="noConversion"/>
  </si>
  <si>
    <t>WACC计算器（定制版）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</si>
</sst>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 * #,##0.00_ ;_ * \-#,##0.00_ ;_ * &quot;-&quot;??_ ;_ @_ "/>
    <numFmt numFmtId="176" formatCode="#,##0.####"/>
    <numFmt numFmtId="177" formatCode="yyyy/mm/dd"/>
    <numFmt numFmtId="179" formatCode="0.00_);[Red]\(0.00\)"/>
    <numFmt numFmtId="180" formatCode="#,##0.##"/>
  </numFmts>
  <fonts count="22">
    <font>
      <sz val="11"/>
      <color theme="1"/>
      <name val="等线"/>
      <family val="2"/>
      <scheme val="minor"/>
    </font>
    <font>
      <sz val="14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sz val="20"/>
      <color theme="0"/>
      <name val="微软雅黑"/>
      <family val="2"/>
      <charset val="134"/>
    </font>
    <font>
      <sz val="16"/>
      <color theme="1"/>
      <name val="微软雅黑"/>
      <family val="2"/>
      <charset val="134"/>
    </font>
    <font>
      <sz val="14"/>
      <color theme="1"/>
      <name val="等线"/>
      <family val="2"/>
      <scheme val="minor"/>
    </font>
    <font>
      <sz val="9"/>
      <name val="宋体"/>
      <family val="3"/>
      <charset val="134"/>
    </font>
    <font>
      <sz val="11"/>
      <color theme="1"/>
      <name val="等线"/>
      <family val="2"/>
      <scheme val="minor"/>
    </font>
    <font>
      <b/>
      <sz val="14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10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sz val="9"/>
      <name val="等线"/>
      <family val="2"/>
      <charset val="134"/>
      <scheme val="minor"/>
    </font>
    <font>
      <sz val="14"/>
      <color theme="1"/>
      <name val="Arial"/>
      <family val="2"/>
    </font>
    <font>
      <b/>
      <sz val="14"/>
      <name val="微软雅黑"/>
      <family val="2"/>
      <charset val="134"/>
    </font>
    <font>
      <b/>
      <sz val="14"/>
      <name val="Arial"/>
      <family val="2"/>
    </font>
    <font>
      <b/>
      <sz val="14"/>
      <color theme="1"/>
      <name val="Arial"/>
      <family val="2"/>
    </font>
    <font>
      <sz val="11"/>
      <color theme="0"/>
      <name val="等线"/>
      <family val="2"/>
      <scheme val="minor"/>
    </font>
    <font>
      <sz val="14"/>
      <color theme="1"/>
      <name val="Arial "/>
    </font>
    <font>
      <sz val="11"/>
      <name val="等线"/>
      <family val="2"/>
      <scheme val="minor"/>
    </font>
    <font>
      <sz val="14"/>
      <color theme="0"/>
      <name val="等线"/>
      <family val="2"/>
      <scheme val="minor"/>
    </font>
    <font>
      <sz val="12"/>
      <name val="微软雅黑"/>
      <family val="2"/>
      <charset val="134"/>
    </font>
  </fonts>
  <fills count="8">
    <fill>
      <patternFill patternType="none"/>
    </fill>
    <fill>
      <patternFill patternType="gray125"/>
    </fill>
    <fill>
      <patternFill patternType="solid">
        <fgColor rgb="FF63636D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rgb="FFF4F4F4"/>
        <bgColor indexed="64"/>
      </patternFill>
    </fill>
    <fill>
      <patternFill patternType="solid">
        <fgColor rgb="FFE4C658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0" tint="-0.14996795556505021"/>
      </bottom>
      <diagonal/>
    </border>
  </borders>
  <cellStyleXfs count="3">
    <xf numFmtId="0" fontId="0" fillId="0" borderId="0"/>
    <xf numFmtId="43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</cellStyleXfs>
  <cellXfs count="38">
    <xf numFmtId="0" fontId="0" fillId="0" borderId="0" xfId="0"/>
    <xf numFmtId="0" fontId="0" fillId="2" borderId="0" xfId="0" applyFill="1"/>
    <xf numFmtId="0" fontId="5" fillId="0" borderId="0" xfId="0" applyFont="1"/>
    <xf numFmtId="176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49" fontId="0" fillId="0" borderId="0" xfId="0" applyNumberFormat="1" applyAlignment="1">
      <alignment horizontal="right"/>
    </xf>
    <xf numFmtId="0" fontId="3" fillId="2" borderId="0" xfId="0" applyFont="1" applyFill="1" applyAlignment="1">
      <alignment vertical="center"/>
    </xf>
    <xf numFmtId="49" fontId="5" fillId="0" borderId="0" xfId="0" applyNumberFormat="1" applyFont="1" applyAlignment="1">
      <alignment horizontal="right"/>
    </xf>
    <xf numFmtId="176" fontId="5" fillId="0" borderId="0" xfId="0" applyNumberFormat="1" applyFont="1" applyAlignment="1">
      <alignment horizontal="right"/>
    </xf>
    <xf numFmtId="0" fontId="4" fillId="3" borderId="0" xfId="0" applyFont="1" applyFill="1"/>
    <xf numFmtId="49" fontId="4" fillId="3" borderId="0" xfId="0" applyNumberFormat="1" applyFont="1" applyFill="1" applyAlignment="1">
      <alignment horizontal="right"/>
    </xf>
    <xf numFmtId="0" fontId="9" fillId="6" borderId="0" xfId="0" applyFont="1" applyFill="1" applyBorder="1" applyAlignment="1"/>
    <xf numFmtId="0" fontId="9" fillId="4" borderId="0" xfId="0" applyFont="1" applyFill="1" applyAlignment="1"/>
    <xf numFmtId="0" fontId="10" fillId="7" borderId="1" xfId="0" applyFont="1" applyFill="1" applyBorder="1" applyAlignment="1">
      <alignment vertical="center"/>
    </xf>
    <xf numFmtId="0" fontId="11" fillId="7" borderId="0" xfId="0" applyFont="1" applyFill="1" applyAlignment="1">
      <alignment vertical="center"/>
    </xf>
    <xf numFmtId="49" fontId="13" fillId="5" borderId="0" xfId="0" applyNumberFormat="1" applyFont="1" applyFill="1" applyAlignment="1">
      <alignment horizontal="right" vertical="center"/>
    </xf>
    <xf numFmtId="177" fontId="13" fillId="5" borderId="0" xfId="0" applyNumberFormat="1" applyFont="1" applyFill="1" applyAlignment="1">
      <alignment horizontal="right" vertical="center"/>
    </xf>
    <xf numFmtId="0" fontId="14" fillId="7" borderId="1" xfId="0" applyFont="1" applyFill="1" applyBorder="1" applyAlignment="1">
      <alignment vertical="center"/>
    </xf>
    <xf numFmtId="0" fontId="8" fillId="7" borderId="0" xfId="0" applyFont="1" applyFill="1" applyAlignment="1">
      <alignment vertical="center"/>
    </xf>
    <xf numFmtId="49" fontId="1" fillId="5" borderId="0" xfId="0" applyNumberFormat="1" applyFont="1" applyFill="1" applyAlignment="1">
      <alignment horizontal="right" vertical="center"/>
    </xf>
    <xf numFmtId="49" fontId="1" fillId="5" borderId="0" xfId="0" applyNumberFormat="1" applyFont="1" applyFill="1" applyAlignment="1">
      <alignment horizontal="right" vertical="center" wrapText="1"/>
    </xf>
    <xf numFmtId="0" fontId="13" fillId="0" borderId="0" xfId="0" applyFont="1"/>
    <xf numFmtId="0" fontId="15" fillId="7" borderId="1" xfId="0" applyFont="1" applyFill="1" applyBorder="1" applyAlignment="1">
      <alignment vertical="center"/>
    </xf>
    <xf numFmtId="0" fontId="16" fillId="7" borderId="0" xfId="0" applyFont="1" applyFill="1" applyAlignment="1">
      <alignment vertical="center"/>
    </xf>
    <xf numFmtId="0" fontId="17" fillId="0" borderId="0" xfId="0" applyFont="1"/>
    <xf numFmtId="43" fontId="13" fillId="5" borderId="0" xfId="1" applyFont="1" applyFill="1" applyAlignment="1">
      <alignment horizontal="right" vertical="center"/>
    </xf>
    <xf numFmtId="179" fontId="13" fillId="3" borderId="0" xfId="0" applyNumberFormat="1" applyFont="1" applyFill="1"/>
    <xf numFmtId="179" fontId="13" fillId="5" borderId="0" xfId="2" applyNumberFormat="1" applyFont="1" applyFill="1" applyAlignment="1">
      <alignment horizontal="right" vertical="center"/>
    </xf>
    <xf numFmtId="43" fontId="13" fillId="3" borderId="0" xfId="1" applyFont="1" applyFill="1" applyAlignment="1"/>
    <xf numFmtId="43" fontId="18" fillId="4" borderId="0" xfId="1" applyFont="1" applyFill="1" applyAlignment="1">
      <alignment horizontal="right"/>
    </xf>
    <xf numFmtId="0" fontId="19" fillId="0" borderId="0" xfId="0" applyFont="1"/>
    <xf numFmtId="0" fontId="20" fillId="0" borderId="0" xfId="0" applyFont="1"/>
    <xf numFmtId="49" fontId="20" fillId="0" borderId="0" xfId="0" applyNumberFormat="1" applyFont="1" applyAlignment="1">
      <alignment horizontal="right"/>
    </xf>
    <xf numFmtId="180" fontId="0" fillId="0" borderId="0" xfId="0" applyNumberFormat="1" applyAlignment="1">
      <alignment horizontal="right"/>
    </xf>
    <xf numFmtId="180" fontId="17" fillId="0" borderId="0" xfId="0" applyNumberFormat="1" applyFont="1" applyAlignment="1">
      <alignment horizontal="right"/>
    </xf>
    <xf numFmtId="0" fontId="21" fillId="0" borderId="0" xfId="0" applyFont="1" applyAlignment="1"/>
    <xf numFmtId="0" fontId="3" fillId="2" borderId="0" xfId="0" applyFont="1" applyFill="1" applyAlignment="1">
      <alignment horizontal="center" vertical="center"/>
    </xf>
  </cellXfs>
  <cellStyles count="3">
    <cellStyle name="百分比" xfId="2" builtinId="5"/>
    <cellStyle name="常规" xfId="0" builtinId="0"/>
    <cellStyle name="千位分隔" xfId="1" builtinId="3"/>
  </cellStyles>
  <dxfs count="0"/>
  <tableStyles count="0" defaultTableStyle="TableStyleMedium2" defaultPivotStyle="PivotStyleLight16"/>
  <colors>
    <mruColors>
      <color rgb="FF6363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0</xdr:row>
      <xdr:rowOff>76200</xdr:rowOff>
    </xdr:from>
    <xdr:ext cx="607152" cy="219075"/>
    <xdr:pic>
      <xdr:nvPicPr>
        <xdr:cNvPr id="2" name="图片 1">
          <a:extLst>
            <a:ext uri="{FF2B5EF4-FFF2-40B4-BE49-F238E27FC236}">
              <a16:creationId xmlns:a16="http://schemas.microsoft.com/office/drawing/2014/main" id="{B14FCFAF-B093-46EB-A7C7-03D9D00247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075" y="76200"/>
          <a:ext cx="607152" cy="2190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\Wind.NET.Client\WindNET\DataBrowse\XLA\Wind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S_INFO_NAME"/>
      <definedName name="wset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63636D"/>
  </sheetPr>
  <dimension ref="A1:R65"/>
  <sheetViews>
    <sheetView showGridLines="0" tabSelected="1" zoomScale="91" zoomScaleNormal="91" workbookViewId="0">
      <selection activeCell="A36" sqref="A36"/>
    </sheetView>
  </sheetViews>
  <sheetFormatPr defaultRowHeight="18"/>
  <cols>
    <col min="1" max="1" width="3.625" customWidth="1"/>
    <col min="2" max="2" width="1.625" customWidth="1"/>
    <col min="3" max="4" width="38.625" style="2" customWidth="1"/>
    <col min="5" max="5" width="3.25" customWidth="1"/>
    <col min="6" max="7" width="38.625" customWidth="1"/>
    <col min="8" max="8" width="1.625" customWidth="1"/>
    <col min="9" max="9" width="3.625" customWidth="1"/>
    <col min="10" max="10" width="21.5" bestFit="1" customWidth="1"/>
    <col min="11" max="11" width="15.625" hidden="1" customWidth="1"/>
    <col min="12" max="12" width="12.625" customWidth="1"/>
    <col min="13" max="13" width="4.625" style="31" customWidth="1"/>
    <col min="14" max="15" width="10.625" style="25" customWidth="1"/>
    <col min="16" max="16" width="8.625" style="25" customWidth="1"/>
    <col min="17" max="17" width="13.625" style="25" customWidth="1"/>
    <col min="18" max="18" width="10.625" style="25" customWidth="1"/>
    <col min="19" max="19" width="24.5" customWidth="1"/>
    <col min="20" max="21" width="9" customWidth="1"/>
  </cols>
  <sheetData>
    <row r="1" spans="1:10" ht="27.75">
      <c r="A1" s="1"/>
      <c r="B1" s="1"/>
      <c r="C1" s="37" t="s">
        <v>42</v>
      </c>
      <c r="D1" s="37"/>
      <c r="E1" s="37"/>
      <c r="F1" s="37"/>
      <c r="G1" s="37"/>
      <c r="H1" s="7"/>
      <c r="I1" s="7"/>
    </row>
    <row r="2" spans="1:10" ht="12" customHeight="1">
      <c r="A2" s="10"/>
      <c r="B2" s="10"/>
      <c r="C2" s="10"/>
      <c r="D2" s="10"/>
      <c r="E2" s="10"/>
      <c r="F2" s="10"/>
      <c r="G2" s="10"/>
      <c r="H2" s="10"/>
      <c r="I2" s="10"/>
    </row>
    <row r="3" spans="1:10" ht="10.5" customHeight="1">
      <c r="A3" s="10"/>
      <c r="C3"/>
      <c r="D3"/>
      <c r="I3" s="10"/>
    </row>
    <row r="4" spans="1:10" ht="22.5">
      <c r="A4" s="10"/>
      <c r="C4" s="12" t="s">
        <v>21</v>
      </c>
      <c r="D4" s="16" t="s">
        <v>47</v>
      </c>
      <c r="F4" s="13" t="s">
        <v>22</v>
      </c>
      <c r="G4" s="17">
        <f ca="1">TODAY()</f>
        <v>45399</v>
      </c>
      <c r="I4" s="11"/>
    </row>
    <row r="5" spans="1:10" ht="22.5">
      <c r="A5" s="10"/>
      <c r="C5" s="13" t="s">
        <v>48</v>
      </c>
      <c r="D5" s="30" t="str">
        <f>[1]!S_INFO_NAME(D4)</f>
        <v>梦网科技</v>
      </c>
      <c r="I5" s="11"/>
    </row>
    <row r="6" spans="1:10" ht="10.5" customHeight="1">
      <c r="A6" s="10"/>
      <c r="C6"/>
      <c r="G6" s="22"/>
      <c r="I6" s="10"/>
    </row>
    <row r="7" spans="1:10" ht="22.5">
      <c r="A7" s="10"/>
      <c r="C7" s="14" t="s">
        <v>23</v>
      </c>
      <c r="D7" s="18"/>
      <c r="E7" s="14"/>
      <c r="F7" s="14"/>
      <c r="G7" s="23"/>
      <c r="I7" s="11"/>
    </row>
    <row r="8" spans="1:10" ht="10.5" customHeight="1">
      <c r="A8" s="10"/>
      <c r="C8"/>
      <c r="G8" s="22"/>
      <c r="I8" s="11"/>
    </row>
    <row r="9" spans="1:10" ht="22.5">
      <c r="A9" s="10"/>
      <c r="C9" s="15" t="s">
        <v>26</v>
      </c>
      <c r="D9" s="19"/>
      <c r="F9" s="15" t="s">
        <v>27</v>
      </c>
      <c r="G9" s="24"/>
      <c r="I9" s="11"/>
    </row>
    <row r="10" spans="1:10" ht="22.5">
      <c r="A10" s="10"/>
      <c r="C10" s="12" t="s">
        <v>28</v>
      </c>
      <c r="D10" s="26">
        <v>1266338.6000000001</v>
      </c>
      <c r="F10" s="12" t="s">
        <v>30</v>
      </c>
      <c r="G10" s="26">
        <v>155476.26999999999</v>
      </c>
      <c r="I10" s="11"/>
    </row>
    <row r="11" spans="1:10" ht="22.5">
      <c r="A11" s="10"/>
      <c r="C11" s="13" t="s">
        <v>29</v>
      </c>
      <c r="D11" s="26">
        <v>0</v>
      </c>
      <c r="F11" s="13" t="s">
        <v>31</v>
      </c>
      <c r="G11" s="26">
        <v>22632.74</v>
      </c>
      <c r="I11" s="11"/>
      <c r="J11" s="5"/>
    </row>
    <row r="12" spans="1:10" ht="10.5" customHeight="1">
      <c r="A12" s="10"/>
      <c r="C12"/>
      <c r="G12" s="22"/>
      <c r="I12" s="10"/>
    </row>
    <row r="13" spans="1:10" ht="22.5">
      <c r="A13" s="10"/>
      <c r="C13" s="14" t="s">
        <v>24</v>
      </c>
      <c r="D13" s="18"/>
      <c r="E13" s="14"/>
      <c r="F13" s="14"/>
      <c r="G13" s="23"/>
      <c r="I13" s="11"/>
      <c r="J13" s="6"/>
    </row>
    <row r="14" spans="1:10" ht="10.5" customHeight="1">
      <c r="A14" s="10"/>
      <c r="C14"/>
      <c r="G14" s="22"/>
      <c r="I14" s="11"/>
      <c r="J14" s="6"/>
    </row>
    <row r="15" spans="1:10" ht="22.5">
      <c r="A15" s="10"/>
      <c r="C15" s="12" t="s">
        <v>43</v>
      </c>
      <c r="D15" s="26">
        <v>1.05</v>
      </c>
      <c r="F15" s="12" t="s">
        <v>33</v>
      </c>
      <c r="G15" s="26">
        <v>1.5</v>
      </c>
      <c r="I15" s="11"/>
      <c r="J15" s="6"/>
    </row>
    <row r="16" spans="1:10" ht="22.5">
      <c r="A16" s="10"/>
      <c r="C16" s="13" t="s">
        <v>45</v>
      </c>
      <c r="D16" s="20" t="s">
        <v>0</v>
      </c>
      <c r="F16" s="13" t="s">
        <v>34</v>
      </c>
      <c r="G16" s="26">
        <v>4.75</v>
      </c>
      <c r="I16" s="11"/>
      <c r="J16" s="6"/>
    </row>
    <row r="17" spans="1:11" ht="22.5">
      <c r="A17" s="10"/>
      <c r="C17" s="13" t="s">
        <v>44</v>
      </c>
      <c r="D17" s="27">
        <f ca="1">VALUE(M48)</f>
        <v>1.5</v>
      </c>
      <c r="F17" s="12" t="s">
        <v>35</v>
      </c>
      <c r="G17" s="26">
        <v>2</v>
      </c>
      <c r="I17" s="11"/>
      <c r="J17" s="6"/>
    </row>
    <row r="18" spans="1:11" ht="22.5">
      <c r="A18" s="10"/>
      <c r="C18" s="13" t="s">
        <v>46</v>
      </c>
      <c r="D18" s="21" t="s">
        <v>41</v>
      </c>
      <c r="F18" s="13" t="s">
        <v>36</v>
      </c>
      <c r="G18" s="28">
        <v>25</v>
      </c>
      <c r="I18" s="11"/>
    </row>
    <row r="19" spans="1:11" ht="22.5">
      <c r="A19" s="10"/>
      <c r="C19" s="13" t="s">
        <v>32</v>
      </c>
      <c r="D19" s="29">
        <f>VALUE(N48)</f>
        <v>5.2594579836813731</v>
      </c>
      <c r="I19" s="11"/>
      <c r="J19" s="6"/>
    </row>
    <row r="20" spans="1:11" ht="22.5">
      <c r="A20" s="10"/>
      <c r="C20" s="13" t="s">
        <v>37</v>
      </c>
      <c r="D20" s="30">
        <f>VALUE(O48)</f>
        <v>5.4474308828654419</v>
      </c>
      <c r="F20" s="12" t="s">
        <v>38</v>
      </c>
      <c r="G20" s="29">
        <f>VALUE(P48)</f>
        <v>2.8694779674537525</v>
      </c>
      <c r="I20" s="11"/>
      <c r="J20" s="6"/>
    </row>
    <row r="21" spans="1:11" ht="10.5" customHeight="1">
      <c r="A21" s="10"/>
      <c r="C21"/>
      <c r="G21" s="22"/>
      <c r="I21" s="10"/>
    </row>
    <row r="22" spans="1:11" ht="22.5">
      <c r="A22" s="10"/>
      <c r="C22" s="14" t="s">
        <v>25</v>
      </c>
      <c r="D22" s="18"/>
      <c r="E22" s="14"/>
      <c r="F22" s="14"/>
      <c r="G22" s="23"/>
      <c r="I22" s="11"/>
      <c r="J22" s="6"/>
    </row>
    <row r="23" spans="1:11" ht="10.5" customHeight="1">
      <c r="A23" s="10"/>
      <c r="C23"/>
      <c r="G23" s="22"/>
      <c r="I23" s="11"/>
      <c r="J23" s="6"/>
    </row>
    <row r="24" spans="1:11" ht="22.5">
      <c r="A24" s="10"/>
      <c r="C24" s="12" t="s">
        <v>39</v>
      </c>
      <c r="D24" s="27">
        <f>VALUE(R48)</f>
        <v>5.129553904557735</v>
      </c>
      <c r="F24" s="12" t="s">
        <v>40</v>
      </c>
      <c r="G24" s="29">
        <f>VALUE(Q48)</f>
        <v>1444447.61</v>
      </c>
      <c r="I24" s="11"/>
      <c r="J24" s="6"/>
    </row>
    <row r="25" spans="1:11" ht="10.5" customHeight="1">
      <c r="A25" s="10"/>
      <c r="C25"/>
      <c r="D25"/>
      <c r="I25" s="10"/>
    </row>
    <row r="26" spans="1:11" ht="22.5">
      <c r="A26" s="10"/>
      <c r="B26" s="10"/>
      <c r="C26" s="10"/>
      <c r="D26" s="10"/>
      <c r="E26" s="10"/>
      <c r="F26" s="10"/>
      <c r="G26" s="10"/>
      <c r="H26" s="10"/>
      <c r="I26" s="10"/>
      <c r="J26" s="6"/>
      <c r="K26" s="31" t="s">
        <v>20</v>
      </c>
    </row>
    <row r="27" spans="1:11" ht="22.5">
      <c r="A27" s="10"/>
      <c r="B27" s="10"/>
      <c r="C27" s="10"/>
      <c r="D27" s="10"/>
      <c r="E27" s="10"/>
      <c r="F27" s="10"/>
      <c r="G27" s="10"/>
      <c r="H27" s="10"/>
      <c r="I27" s="10"/>
      <c r="K27" s="31" t="s">
        <v>1</v>
      </c>
    </row>
    <row r="28" spans="1:11" ht="22.5">
      <c r="A28" s="10"/>
      <c r="B28" s="10"/>
      <c r="C28" s="10"/>
      <c r="D28" s="10"/>
      <c r="E28" s="10"/>
      <c r="F28" s="10"/>
      <c r="G28" s="10"/>
      <c r="H28" s="10"/>
      <c r="I28" s="10"/>
      <c r="K28" s="31" t="s">
        <v>2</v>
      </c>
    </row>
    <row r="29" spans="1:11" ht="22.5">
      <c r="A29" s="10"/>
      <c r="B29" s="10"/>
      <c r="C29" s="10"/>
      <c r="D29" s="10"/>
      <c r="E29" s="10"/>
      <c r="F29" s="10"/>
      <c r="G29" s="10"/>
      <c r="H29" s="10"/>
      <c r="I29" s="10"/>
      <c r="K29" s="31" t="s">
        <v>3</v>
      </c>
    </row>
    <row r="30" spans="1:11" ht="22.5">
      <c r="A30" s="10"/>
      <c r="B30" s="10"/>
      <c r="C30" s="10"/>
      <c r="D30" s="10"/>
      <c r="E30" s="10"/>
      <c r="F30" s="10"/>
      <c r="G30" s="10"/>
      <c r="H30" s="10"/>
      <c r="I30" s="10"/>
      <c r="K30" s="31" t="s">
        <v>4</v>
      </c>
    </row>
    <row r="31" spans="1:11" ht="22.5">
      <c r="A31" s="10"/>
      <c r="B31" s="10"/>
      <c r="C31" s="10"/>
      <c r="D31" s="10"/>
      <c r="E31" s="10"/>
      <c r="F31" s="10"/>
      <c r="G31" s="10"/>
      <c r="H31" s="10"/>
      <c r="I31" s="10"/>
      <c r="K31" s="31" t="s">
        <v>5</v>
      </c>
    </row>
    <row r="32" spans="1:11" ht="22.5">
      <c r="A32" s="10"/>
      <c r="B32" s="10"/>
      <c r="C32" s="10"/>
      <c r="D32" s="10"/>
      <c r="E32" s="10"/>
      <c r="F32" s="10"/>
      <c r="G32" s="10"/>
      <c r="H32" s="10"/>
      <c r="I32" s="10"/>
      <c r="K32" s="31"/>
    </row>
    <row r="33" spans="1:18" ht="22.5">
      <c r="A33" s="10"/>
      <c r="B33" s="10"/>
      <c r="C33" s="10"/>
      <c r="D33" s="10"/>
      <c r="E33" s="10"/>
      <c r="F33" s="10"/>
      <c r="G33" s="10"/>
      <c r="H33" s="10"/>
      <c r="I33" s="10"/>
      <c r="K33" s="31" t="s">
        <v>6</v>
      </c>
    </row>
    <row r="34" spans="1:18" ht="22.5">
      <c r="A34" s="10"/>
      <c r="B34" s="10"/>
      <c r="C34" s="10"/>
      <c r="D34" s="10"/>
      <c r="E34" s="10"/>
      <c r="F34" s="10"/>
      <c r="G34" s="10"/>
      <c r="H34" s="10"/>
      <c r="I34" s="10"/>
      <c r="K34" s="31" t="s">
        <v>7</v>
      </c>
    </row>
    <row r="35" spans="1:18">
      <c r="D35" s="8"/>
      <c r="K35" s="31" t="s">
        <v>8</v>
      </c>
    </row>
    <row r="36" spans="1:18">
      <c r="D36" s="8"/>
      <c r="K36" s="31" t="s">
        <v>9</v>
      </c>
    </row>
    <row r="37" spans="1:18">
      <c r="D37" s="8"/>
      <c r="K37" s="31" t="s">
        <v>10</v>
      </c>
    </row>
    <row r="38" spans="1:18">
      <c r="D38" s="8"/>
      <c r="K38" s="31" t="s">
        <v>11</v>
      </c>
    </row>
    <row r="39" spans="1:18">
      <c r="D39" s="8"/>
      <c r="K39" s="31" t="s">
        <v>12</v>
      </c>
    </row>
    <row r="40" spans="1:18">
      <c r="D40" s="8"/>
      <c r="K40" s="31" t="s">
        <v>13</v>
      </c>
    </row>
    <row r="41" spans="1:18">
      <c r="D41" s="8"/>
      <c r="K41" s="31" t="s">
        <v>14</v>
      </c>
    </row>
    <row r="42" spans="1:18">
      <c r="D42" s="8"/>
      <c r="K42" s="31" t="s">
        <v>15</v>
      </c>
    </row>
    <row r="43" spans="1:18">
      <c r="D43" s="8"/>
      <c r="K43" s="31" t="s">
        <v>16</v>
      </c>
    </row>
    <row r="44" spans="1:18">
      <c r="D44" s="8"/>
      <c r="K44" s="31" t="s">
        <v>17</v>
      </c>
    </row>
    <row r="45" spans="1:18">
      <c r="D45" s="8"/>
      <c r="K45" s="31" t="s">
        <v>18</v>
      </c>
    </row>
    <row r="46" spans="1:18">
      <c r="D46" s="8"/>
      <c r="K46" s="31" t="s">
        <v>19</v>
      </c>
    </row>
    <row r="47" spans="1:18">
      <c r="D47" s="8"/>
    </row>
    <row r="48" spans="1:18" s="25" customFormat="1">
      <c r="C48" s="32"/>
      <c r="D48" s="33"/>
      <c r="M48" s="34">
        <f ca="1">[1]!wset("wacccalculator","windCode="&amp;D4,"endDate="&amp;TEXT(G4,"YYYYMMDD"),"commonStockPrice="&amp;TEXT(D10,"0.00"),"preferenceStockPrice="&amp;TEXT(D11,"0.00"),"shortTermDebt="&amp;TEXT(G10,"0.00"),"longTermDebt="&amp;TEXT(G11,"0.00"),"riskFreeYield="&amp;D16,"Beta="&amp;TEXT(D15,"0.00"),"marketYieldIndex="&amp;D18,"shortTermYield="&amp;TEXT(G15,"0.00"),"longTermYield="&amp;TEXT(G16,"0.00"),"bondAdjustParam="&amp;TEXT(G17,"0.00"),"incomeTax="&amp;TEXT(G18,"0.00"),"field=risk_free_yield,market_yield,ke,kd,total_capital,wacc","cols=6;rows=1")</f>
        <v>1.5</v>
      </c>
      <c r="N48" s="35">
        <v>5.2594579836813731</v>
      </c>
      <c r="O48" s="35">
        <v>5.4474308828654419</v>
      </c>
      <c r="P48" s="35">
        <v>2.8694779674537525</v>
      </c>
      <c r="Q48" s="35">
        <v>1444447.61</v>
      </c>
      <c r="R48" s="35">
        <v>5.129553904557735</v>
      </c>
    </row>
    <row r="50" spans="4:7">
      <c r="D50" s="9"/>
      <c r="E50" s="3"/>
      <c r="F50" s="4"/>
      <c r="G50" s="4"/>
    </row>
    <row r="65" spans="4:4">
      <c r="D65"/>
    </row>
  </sheetData>
  <mergeCells count="1">
    <mergeCell ref="C1:G1"/>
  </mergeCells>
  <phoneticPr fontId="6" type="noConversion"/>
  <dataValidations count="2">
    <dataValidation type="list" allowBlank="1" showInputMessage="1" showErrorMessage="1" sqref="D18">
      <formula1>$K$33:$K$46</formula1>
    </dataValidation>
    <dataValidation type="list" allowBlank="1" showInputMessage="1" showErrorMessage="1" sqref="D16">
      <formula1>$K$26:$K$31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4.25"/>
  <sheetData>
    <row r="1" spans="1:1" ht="17.25">
      <c r="A1" s="36" t="s">
        <v>49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WACC计算器定制版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2024-04-17T08:07:28Z</dcterms:modified>
</cp:coreProperties>
</file>