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yqcui\SVN\WindRes\Management\API\QntProduct\PT\yqcui\Excel插件模板库项目\20230727 模板库-更新计划1期\债券\"/>
    </mc:Choice>
  </mc:AlternateContent>
  <bookViews>
    <workbookView xWindow="0" yWindow="0" windowWidth="28800" windowHeight="12240"/>
  </bookViews>
  <sheets>
    <sheet name="国债期货对冲分析" sheetId="1" r:id="rId1"/>
    <sheet name="回归结果" sheetId="2" state="hidden" r:id="rId2"/>
    <sheet name="可交割券列表" sheetId="4" state="hidden" r:id="rId3"/>
    <sheet name="使用说明" sheetId="3" r:id="rId4"/>
    <sheet name="Wind模板" sheetId="5" state="veryHidden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F31" i="1" l="1"/>
  <c r="D4" i="1"/>
  <c r="D5" i="1"/>
  <c r="B3" i="4" l="1"/>
  <c r="D9" i="1" l="1"/>
  <c r="D10" i="1"/>
  <c r="D11" i="1"/>
  <c r="J1" i="2" l="1"/>
  <c r="I1" i="2"/>
  <c r="H1" i="2"/>
  <c r="D31" i="1"/>
  <c r="B2" i="2"/>
  <c r="H11" i="1"/>
  <c r="O11" i="1"/>
  <c r="Q10" i="1"/>
  <c r="Q11" i="1"/>
  <c r="F12" i="1" l="1"/>
  <c r="M11" i="1"/>
  <c r="K11" i="1"/>
  <c r="Q9" i="1"/>
  <c r="Q1" i="2" l="1"/>
  <c r="N1" i="2"/>
  <c r="P1" i="2"/>
  <c r="O1" i="2"/>
  <c r="I24" i="2"/>
  <c r="J360" i="2"/>
  <c r="I17" i="2"/>
  <c r="H162" i="2"/>
  <c r="H178" i="2"/>
  <c r="J88" i="2"/>
  <c r="I165" i="2"/>
  <c r="H366" i="2"/>
  <c r="I299" i="2"/>
  <c r="J97" i="2"/>
  <c r="J218" i="2"/>
  <c r="H64" i="2"/>
  <c r="J172" i="2"/>
  <c r="J399" i="2"/>
  <c r="J21" i="2"/>
  <c r="J306" i="2"/>
  <c r="I357" i="2"/>
  <c r="I460" i="2"/>
  <c r="H2" i="2"/>
  <c r="I8" i="2"/>
  <c r="H424" i="2"/>
  <c r="J383" i="2"/>
  <c r="J128" i="2"/>
  <c r="H372" i="2"/>
  <c r="J56" i="2"/>
  <c r="I3" i="2"/>
  <c r="H387" i="2"/>
  <c r="I356" i="2"/>
  <c r="I309" i="2"/>
  <c r="I360" i="2"/>
  <c r="H15" i="2"/>
  <c r="H386" i="2"/>
  <c r="H320" i="2"/>
  <c r="I152" i="2"/>
  <c r="H442" i="2"/>
  <c r="H300" i="2"/>
  <c r="J254" i="2"/>
  <c r="I72" i="2"/>
  <c r="J472" i="2"/>
  <c r="J280" i="2"/>
  <c r="H4" i="2"/>
  <c r="H413" i="2"/>
  <c r="H13" i="2"/>
  <c r="J431" i="2"/>
  <c r="I164" i="2"/>
  <c r="H307" i="2"/>
  <c r="I289" i="2"/>
  <c r="J206" i="2"/>
  <c r="H486" i="2"/>
  <c r="I465" i="2"/>
  <c r="I311" i="2"/>
  <c r="H460" i="2"/>
  <c r="J183" i="2"/>
  <c r="J463" i="2"/>
  <c r="J376" i="2"/>
  <c r="J145" i="2"/>
  <c r="I243" i="2"/>
  <c r="J485" i="2"/>
  <c r="I44" i="2"/>
  <c r="H122" i="2"/>
  <c r="I409" i="2"/>
  <c r="I450" i="2"/>
  <c r="I387" i="2"/>
  <c r="H47" i="2"/>
  <c r="J125" i="2"/>
  <c r="J449" i="2"/>
  <c r="J166" i="2"/>
  <c r="H120" i="2"/>
  <c r="H436" i="2"/>
  <c r="H285" i="2"/>
  <c r="I371" i="2"/>
  <c r="I229" i="2"/>
  <c r="J220" i="2"/>
  <c r="J271" i="2"/>
  <c r="H148" i="2"/>
  <c r="J187" i="2"/>
  <c r="J486" i="2"/>
  <c r="J230" i="2"/>
  <c r="H338" i="2"/>
  <c r="I480" i="2"/>
  <c r="I414" i="2"/>
  <c r="J49" i="2"/>
  <c r="I6" i="2"/>
  <c r="J387" i="2"/>
  <c r="H283" i="2"/>
  <c r="J11" i="2"/>
  <c r="H290" i="2"/>
  <c r="I130" i="2"/>
  <c r="I241" i="2"/>
  <c r="H480" i="2"/>
  <c r="J452" i="2"/>
  <c r="J157" i="2"/>
  <c r="J272" i="2"/>
  <c r="J437" i="2"/>
  <c r="J104" i="2"/>
  <c r="H194" i="2"/>
  <c r="J479" i="2"/>
  <c r="J2" i="2"/>
  <c r="I85" i="2"/>
  <c r="H56" i="2"/>
  <c r="H208" i="2"/>
  <c r="H456" i="2"/>
  <c r="H161" i="2"/>
  <c r="H165" i="2"/>
  <c r="H124" i="2"/>
  <c r="H405" i="2"/>
  <c r="I293" i="2"/>
  <c r="H291" i="2"/>
  <c r="J188" i="2"/>
  <c r="I51" i="2"/>
  <c r="H203" i="2"/>
  <c r="J4" i="2"/>
  <c r="H159" i="2"/>
  <c r="H256" i="2"/>
  <c r="J290" i="2"/>
  <c r="J53" i="2"/>
  <c r="H221" i="2"/>
  <c r="H136" i="2"/>
  <c r="I372" i="2"/>
  <c r="I98" i="2"/>
  <c r="H25" i="2"/>
  <c r="H349" i="2"/>
  <c r="I258" i="2"/>
  <c r="H363" i="2"/>
  <c r="J109" i="2"/>
  <c r="I335" i="2"/>
  <c r="I416" i="2"/>
  <c r="I312" i="2"/>
  <c r="I418" i="2"/>
  <c r="J225" i="2"/>
  <c r="H115" i="2"/>
  <c r="J407" i="2"/>
  <c r="J459" i="2"/>
  <c r="J96" i="2"/>
  <c r="J276" i="2"/>
  <c r="J89" i="2"/>
  <c r="H248" i="2"/>
  <c r="H55" i="2"/>
  <c r="J323" i="2"/>
  <c r="I199" i="2"/>
  <c r="J135" i="2"/>
  <c r="J106" i="2"/>
  <c r="J111" i="2"/>
  <c r="H324" i="2"/>
  <c r="J138" i="2"/>
  <c r="J174" i="2"/>
  <c r="J460" i="2"/>
  <c r="H133" i="2"/>
  <c r="I198" i="2"/>
  <c r="H367" i="2"/>
  <c r="H483" i="2"/>
  <c r="J196" i="2"/>
  <c r="J299" i="2"/>
  <c r="J282" i="2"/>
  <c r="J474" i="2"/>
  <c r="J378" i="2"/>
  <c r="I448" i="2"/>
  <c r="I46" i="2"/>
  <c r="J161" i="2"/>
  <c r="I107" i="2"/>
  <c r="I223" i="2"/>
  <c r="H340" i="2"/>
  <c r="I303" i="2"/>
  <c r="H392" i="2"/>
  <c r="H343" i="2"/>
  <c r="J391" i="2"/>
  <c r="I9" i="2"/>
  <c r="J199" i="2"/>
  <c r="H232" i="2"/>
  <c r="J358" i="2"/>
  <c r="H102" i="2"/>
  <c r="H319" i="2"/>
  <c r="J59" i="2"/>
  <c r="H86" i="2"/>
  <c r="J139" i="2"/>
  <c r="H361" i="2"/>
  <c r="H41" i="2"/>
  <c r="I346" i="2"/>
  <c r="I492" i="2"/>
  <c r="I470" i="2"/>
  <c r="H325" i="2"/>
  <c r="I113" i="2"/>
  <c r="J153" i="2"/>
  <c r="I156" i="2"/>
  <c r="H154" i="2"/>
  <c r="I83" i="2"/>
  <c r="J10" i="2"/>
  <c r="H261" i="2"/>
  <c r="I406" i="2"/>
  <c r="I186" i="2"/>
  <c r="J64" i="2"/>
  <c r="H29" i="2"/>
  <c r="J58" i="2"/>
  <c r="H19" i="2"/>
  <c r="I392" i="2"/>
  <c r="H39" i="2"/>
  <c r="J38" i="2"/>
  <c r="J134" i="2"/>
  <c r="I123" i="2"/>
  <c r="I57" i="2"/>
  <c r="I31" i="2"/>
  <c r="H492" i="2"/>
  <c r="H219" i="2"/>
  <c r="I13" i="2"/>
  <c r="J457" i="2"/>
  <c r="J219" i="2"/>
  <c r="H71" i="2"/>
  <c r="I95" i="2"/>
  <c r="J149" i="2"/>
  <c r="I114" i="2"/>
  <c r="I318" i="2"/>
  <c r="I215" i="2"/>
  <c r="H16" i="2"/>
  <c r="I382" i="2"/>
  <c r="J300" i="2"/>
  <c r="H134" i="2"/>
  <c r="J253" i="2"/>
  <c r="H276" i="2"/>
  <c r="J192" i="2"/>
  <c r="I74" i="2"/>
  <c r="J72" i="2"/>
  <c r="I194" i="2"/>
  <c r="H418" i="2"/>
  <c r="J286" i="2"/>
  <c r="I271" i="2"/>
  <c r="H371" i="2"/>
  <c r="H30" i="2"/>
  <c r="H137" i="2"/>
  <c r="I84" i="2"/>
  <c r="J317" i="2"/>
  <c r="H345" i="2"/>
  <c r="I121" i="2"/>
  <c r="I126" i="2"/>
  <c r="I308" i="2"/>
  <c r="H275" i="2"/>
  <c r="J67" i="2"/>
  <c r="J262" i="2"/>
  <c r="J409" i="2"/>
  <c r="J94" i="2"/>
  <c r="H152" i="2"/>
  <c r="I52" i="2"/>
  <c r="I16" i="2"/>
  <c r="H327" i="2"/>
  <c r="H223" i="2"/>
  <c r="I179" i="2"/>
  <c r="H469" i="2"/>
  <c r="J288" i="2"/>
  <c r="J438" i="2"/>
  <c r="J332" i="2"/>
  <c r="J177" i="2"/>
  <c r="I291" i="2"/>
  <c r="I102" i="2"/>
  <c r="I78" i="2"/>
  <c r="H10" i="1"/>
  <c r="M10" i="1" s="1"/>
  <c r="J257" i="2"/>
  <c r="I488" i="2"/>
  <c r="H332" i="2"/>
  <c r="H292" i="2"/>
  <c r="J108" i="2"/>
  <c r="I68" i="2"/>
  <c r="I364" i="2"/>
  <c r="I461" i="2"/>
  <c r="I33" i="2"/>
  <c r="J112" i="2"/>
  <c r="H48" i="2"/>
  <c r="I79" i="2"/>
  <c r="H242" i="2"/>
  <c r="J303" i="2"/>
  <c r="J311" i="2"/>
  <c r="H170" i="2"/>
  <c r="H225" i="2"/>
  <c r="H284" i="2"/>
  <c r="I491" i="2"/>
  <c r="H57" i="2"/>
  <c r="J102" i="2"/>
  <c r="J236" i="2"/>
  <c r="J279" i="2"/>
  <c r="J71" i="2"/>
  <c r="H333" i="2"/>
  <c r="I468" i="2"/>
  <c r="J266" i="2"/>
  <c r="H73" i="2"/>
  <c r="I281" i="2"/>
  <c r="I355" i="2"/>
  <c r="J130" i="2"/>
  <c r="I388" i="2"/>
  <c r="J50" i="2"/>
  <c r="J78" i="2"/>
  <c r="J380" i="2"/>
  <c r="J8" i="2"/>
  <c r="I11" i="2"/>
  <c r="H295" i="2"/>
  <c r="H355" i="2"/>
  <c r="I368" i="2"/>
  <c r="J42" i="2"/>
  <c r="J335" i="2"/>
  <c r="H22" i="2"/>
  <c r="H156" i="2"/>
  <c r="I481" i="2"/>
  <c r="J401" i="2"/>
  <c r="J45" i="2"/>
  <c r="J325" i="2"/>
  <c r="H263" i="2"/>
  <c r="I206" i="2"/>
  <c r="I133" i="2"/>
  <c r="J18" i="2"/>
  <c r="I180" i="2"/>
  <c r="J488" i="2"/>
  <c r="J238" i="2"/>
  <c r="H430" i="2"/>
  <c r="H464" i="2"/>
  <c r="J464" i="2"/>
  <c r="J33" i="2"/>
  <c r="J394" i="2"/>
  <c r="J471" i="2"/>
  <c r="I157" i="2"/>
  <c r="J307" i="2"/>
  <c r="I404" i="2"/>
  <c r="J147" i="2"/>
  <c r="J41" i="2"/>
  <c r="I280" i="2"/>
  <c r="J371" i="2"/>
  <c r="I59" i="2"/>
  <c r="J25" i="2"/>
  <c r="J173" i="2"/>
  <c r="J75" i="2"/>
  <c r="I383" i="2"/>
  <c r="J222" i="2"/>
  <c r="H26" i="2"/>
  <c r="H104" i="2"/>
  <c r="J350" i="2"/>
  <c r="I222" i="2"/>
  <c r="J107" i="2"/>
  <c r="I244" i="2"/>
  <c r="J297" i="2"/>
  <c r="J61" i="2"/>
  <c r="H187" i="2"/>
  <c r="I381" i="2"/>
  <c r="H230" i="2"/>
  <c r="H305" i="2"/>
  <c r="J195" i="2"/>
  <c r="H265" i="2"/>
  <c r="H244" i="2"/>
  <c r="H199" i="2"/>
  <c r="I178" i="2"/>
  <c r="H488" i="2"/>
  <c r="H255" i="2"/>
  <c r="H18" i="2"/>
  <c r="I166" i="2"/>
  <c r="J60" i="2"/>
  <c r="I369" i="2"/>
  <c r="H393" i="2"/>
  <c r="H280" i="2"/>
  <c r="J209" i="2"/>
  <c r="J347" i="2"/>
  <c r="I301" i="2"/>
  <c r="I76" i="2"/>
  <c r="J329" i="2"/>
  <c r="H404" i="2"/>
  <c r="J264" i="2"/>
  <c r="I128" i="2"/>
  <c r="H121" i="2"/>
  <c r="J211" i="2"/>
  <c r="I265" i="2"/>
  <c r="J336" i="2"/>
  <c r="H357" i="2"/>
  <c r="I478" i="2"/>
  <c r="J373" i="2"/>
  <c r="I213" i="2"/>
  <c r="J419" i="2"/>
  <c r="I329" i="2"/>
  <c r="H54" i="2"/>
  <c r="J3" i="2"/>
  <c r="H264" i="2"/>
  <c r="I495" i="2"/>
  <c r="H149" i="2"/>
  <c r="I39" i="2"/>
  <c r="J47" i="2"/>
  <c r="J82" i="2"/>
  <c r="H334" i="2"/>
  <c r="J353" i="2"/>
  <c r="J291" i="2"/>
  <c r="H111" i="2"/>
  <c r="H180" i="2"/>
  <c r="J405" i="2"/>
  <c r="H72" i="2"/>
  <c r="I453" i="2"/>
  <c r="I300" i="2"/>
  <c r="J167" i="2"/>
  <c r="I129" i="2"/>
  <c r="I399" i="2"/>
  <c r="J12" i="2"/>
  <c r="J430" i="2"/>
  <c r="J476" i="2"/>
  <c r="H310" i="2"/>
  <c r="J491" i="2"/>
  <c r="H311" i="2"/>
  <c r="I427" i="2"/>
  <c r="I269" i="2"/>
  <c r="H184" i="2"/>
  <c r="I275" i="2"/>
  <c r="J201" i="2"/>
  <c r="H87" i="2"/>
  <c r="J411" i="2"/>
  <c r="J159" i="2"/>
  <c r="I323" i="2"/>
  <c r="H218" i="2"/>
  <c r="H376" i="2"/>
  <c r="I219" i="2"/>
  <c r="I489" i="2"/>
  <c r="I109" i="2"/>
  <c r="I358" i="2"/>
  <c r="J268" i="2"/>
  <c r="I192" i="2"/>
  <c r="H380" i="2"/>
  <c r="H277" i="2"/>
  <c r="J189" i="2"/>
  <c r="I298" i="2"/>
  <c r="J446" i="2"/>
  <c r="I353" i="2"/>
  <c r="H11" i="2"/>
  <c r="J203" i="2"/>
  <c r="J237" i="2"/>
  <c r="I146" i="2"/>
  <c r="J150" i="2"/>
  <c r="H90" i="2"/>
  <c r="H328" i="2"/>
  <c r="I100" i="2"/>
  <c r="I212" i="2"/>
  <c r="I377" i="2"/>
  <c r="I73" i="2"/>
  <c r="H494" i="2"/>
  <c r="H282" i="2"/>
  <c r="H317" i="2"/>
  <c r="J155" i="2"/>
  <c r="J421" i="2"/>
  <c r="J20" i="2"/>
  <c r="J338" i="2"/>
  <c r="J388" i="2"/>
  <c r="I330" i="2"/>
  <c r="H484" i="2"/>
  <c r="H109" i="2"/>
  <c r="I435" i="2"/>
  <c r="H316" i="2"/>
  <c r="J382" i="2"/>
  <c r="H449" i="2"/>
  <c r="H209" i="2"/>
  <c r="H128" i="2"/>
  <c r="H448" i="2"/>
  <c r="H155" i="2"/>
  <c r="I218" i="2"/>
  <c r="H144" i="2"/>
  <c r="J73" i="2"/>
  <c r="I396" i="2"/>
  <c r="J295" i="2"/>
  <c r="H278" i="2"/>
  <c r="H412" i="2"/>
  <c r="J142" i="2"/>
  <c r="I332" i="2"/>
  <c r="H118" i="2"/>
  <c r="I90" i="2"/>
  <c r="J337" i="2"/>
  <c r="J441" i="2"/>
  <c r="J357" i="2"/>
  <c r="I437" i="2"/>
  <c r="I159" i="2"/>
  <c r="J354" i="2"/>
  <c r="H369" i="2"/>
  <c r="J342" i="2"/>
  <c r="H79" i="2"/>
  <c r="H267" i="2"/>
  <c r="I321" i="2"/>
  <c r="J310" i="2"/>
  <c r="H27" i="2"/>
  <c r="J16" i="2"/>
  <c r="H409" i="2"/>
  <c r="J226" i="2"/>
  <c r="H475" i="2"/>
  <c r="H107" i="2"/>
  <c r="J278" i="2"/>
  <c r="J487" i="2"/>
  <c r="I231" i="2"/>
  <c r="I493" i="2"/>
  <c r="I230" i="2"/>
  <c r="J197" i="2"/>
  <c r="I221" i="2"/>
  <c r="J330" i="2"/>
  <c r="I442" i="2"/>
  <c r="J86" i="2"/>
  <c r="I54" i="2"/>
  <c r="H360" i="2"/>
  <c r="I261" i="2"/>
  <c r="H196" i="2"/>
  <c r="J415" i="2"/>
  <c r="I475" i="2"/>
  <c r="J137" i="2"/>
  <c r="H97" i="2"/>
  <c r="I257" i="2"/>
  <c r="J244" i="2"/>
  <c r="I366" i="2"/>
  <c r="H257" i="2"/>
  <c r="I81" i="2"/>
  <c r="H287" i="2"/>
  <c r="I327" i="2"/>
  <c r="I315" i="2"/>
  <c r="I111" i="2"/>
  <c r="H239" i="2"/>
  <c r="J370" i="2"/>
  <c r="H114" i="2"/>
  <c r="H116" i="2"/>
  <c r="H12" i="2"/>
  <c r="I290" i="2"/>
  <c r="H394" i="2"/>
  <c r="H288" i="2"/>
  <c r="H205" i="2"/>
  <c r="H489" i="2"/>
  <c r="I464" i="2"/>
  <c r="H294" i="2"/>
  <c r="J165" i="2"/>
  <c r="J182" i="2"/>
  <c r="J208" i="2"/>
  <c r="I476" i="2"/>
  <c r="H93" i="2"/>
  <c r="H153" i="2"/>
  <c r="H84" i="2"/>
  <c r="H200" i="2"/>
  <c r="H402" i="2"/>
  <c r="I322" i="2"/>
  <c r="I484" i="2"/>
  <c r="I150" i="2"/>
  <c r="J294" i="2"/>
  <c r="H431" i="2"/>
  <c r="I447" i="2"/>
  <c r="I408" i="2"/>
  <c r="J17" i="2"/>
  <c r="I41" i="2"/>
  <c r="I367" i="2"/>
  <c r="H377" i="2"/>
  <c r="H172" i="2"/>
  <c r="H185" i="2"/>
  <c r="H140" i="2"/>
  <c r="J322" i="2"/>
  <c r="J122" i="2"/>
  <c r="I477" i="2"/>
  <c r="I137" i="2"/>
  <c r="J386" i="2"/>
  <c r="H474" i="2"/>
  <c r="H77" i="2"/>
  <c r="H66" i="2"/>
  <c r="J406" i="2"/>
  <c r="J427" i="2"/>
  <c r="J27" i="2"/>
  <c r="J324" i="2"/>
  <c r="I302" i="2"/>
  <c r="J80" i="2"/>
  <c r="H228" i="2"/>
  <c r="I443" i="2"/>
  <c r="I423" i="2"/>
  <c r="I136" i="2"/>
  <c r="H401" i="2"/>
  <c r="J74" i="2"/>
  <c r="J448" i="2"/>
  <c r="H9" i="1"/>
  <c r="J105" i="2"/>
  <c r="H169" i="2"/>
  <c r="J110" i="2"/>
  <c r="H117" i="2"/>
  <c r="I70" i="2"/>
  <c r="H407" i="2"/>
  <c r="H43" i="2"/>
  <c r="H214" i="2"/>
  <c r="J461" i="2"/>
  <c r="J114" i="2"/>
  <c r="H21" i="2"/>
  <c r="I20" i="2"/>
  <c r="J54" i="2"/>
  <c r="I149" i="2"/>
  <c r="J247" i="2"/>
  <c r="H252" i="2"/>
  <c r="I273" i="2"/>
  <c r="J251" i="2"/>
  <c r="I202" i="2"/>
  <c r="J420" i="2"/>
  <c r="I316" i="2"/>
  <c r="H177" i="2"/>
  <c r="O9" i="1"/>
  <c r="J381" i="2"/>
  <c r="I397" i="2"/>
  <c r="H381" i="2"/>
  <c r="H35" i="2"/>
  <c r="I313" i="2"/>
  <c r="J284" i="2"/>
  <c r="J143" i="2"/>
  <c r="H3" i="2"/>
  <c r="H368" i="2"/>
  <c r="J349" i="2"/>
  <c r="I304" i="2"/>
  <c r="I486" i="2"/>
  <c r="I174" i="2"/>
  <c r="I345" i="2"/>
  <c r="J287" i="2"/>
  <c r="H198" i="2"/>
  <c r="I91" i="2"/>
  <c r="J301" i="2"/>
  <c r="J328" i="2"/>
  <c r="H202" i="2"/>
  <c r="J39" i="2"/>
  <c r="J481" i="2"/>
  <c r="I119" i="2"/>
  <c r="I29" i="2"/>
  <c r="I182" i="2"/>
  <c r="J450" i="2"/>
  <c r="H188" i="2"/>
  <c r="H9" i="2"/>
  <c r="J482" i="2"/>
  <c r="I248" i="2"/>
  <c r="H453" i="2"/>
  <c r="J81" i="2"/>
  <c r="I363" i="2"/>
  <c r="I175" i="2"/>
  <c r="I319" i="2"/>
  <c r="I201" i="2"/>
  <c r="J158" i="2"/>
  <c r="J468" i="2"/>
  <c r="I310" i="2"/>
  <c r="I459" i="2"/>
  <c r="H353" i="2"/>
  <c r="H213" i="2"/>
  <c r="I26" i="2"/>
  <c r="I352" i="2"/>
  <c r="I452" i="2"/>
  <c r="I272" i="2"/>
  <c r="I317" i="2"/>
  <c r="I110" i="2"/>
  <c r="I251" i="2"/>
  <c r="H457" i="2"/>
  <c r="J466" i="2"/>
  <c r="H452" i="2"/>
  <c r="I235" i="2"/>
  <c r="I189" i="2"/>
  <c r="I181" i="2"/>
  <c r="I103" i="2"/>
  <c r="I252" i="2"/>
  <c r="J123" i="2"/>
  <c r="I82" i="2"/>
  <c r="I118" i="2"/>
  <c r="H28" i="2"/>
  <c r="J22" i="2"/>
  <c r="H237" i="2"/>
  <c r="H304" i="2"/>
  <c r="I247" i="2"/>
  <c r="H88" i="2"/>
  <c r="H441" i="2"/>
  <c r="J398" i="2"/>
  <c r="J267" i="2"/>
  <c r="H281" i="2"/>
  <c r="H163" i="2"/>
  <c r="I211" i="2"/>
  <c r="J101" i="2"/>
  <c r="I143" i="2"/>
  <c r="H52" i="2"/>
  <c r="I326" i="2"/>
  <c r="I394" i="2"/>
  <c r="H423" i="2"/>
  <c r="I47" i="2"/>
  <c r="H145" i="2"/>
  <c r="H246" i="2"/>
  <c r="I216" i="2"/>
  <c r="O10" i="1"/>
  <c r="J120" i="2"/>
  <c r="I224" i="2"/>
  <c r="I439" i="2"/>
  <c r="I135" i="2"/>
  <c r="I402" i="2"/>
  <c r="I411" i="2"/>
  <c r="H450" i="2"/>
  <c r="J302" i="2"/>
  <c r="I236" i="2"/>
  <c r="J442" i="2"/>
  <c r="H240" i="2"/>
  <c r="I209" i="2"/>
  <c r="H98" i="2"/>
  <c r="H375" i="2"/>
  <c r="I384" i="2"/>
  <c r="H32" i="2"/>
  <c r="I34" i="2"/>
  <c r="H336" i="2"/>
  <c r="I197" i="2"/>
  <c r="J320" i="2"/>
  <c r="H272" i="2"/>
  <c r="I431" i="2"/>
  <c r="H160" i="2"/>
  <c r="I53" i="2"/>
  <c r="I21" i="2"/>
  <c r="I105" i="2"/>
  <c r="I429" i="2"/>
  <c r="J30" i="2"/>
  <c r="J66" i="2"/>
  <c r="I22" i="2"/>
  <c r="H438" i="2"/>
  <c r="H485" i="2"/>
  <c r="I422" i="2"/>
  <c r="I208" i="2"/>
  <c r="J389" i="2"/>
  <c r="I262" i="2"/>
  <c r="I185" i="2"/>
  <c r="I359" i="2"/>
  <c r="J234" i="2"/>
  <c r="I96" i="2"/>
  <c r="H40" i="2"/>
  <c r="J92" i="2"/>
  <c r="H455" i="2"/>
  <c r="H417" i="2"/>
  <c r="H314" i="2"/>
  <c r="K10" i="1"/>
  <c r="H451" i="2"/>
  <c r="I217" i="2"/>
  <c r="H459" i="2"/>
  <c r="I49" i="2"/>
  <c r="J435" i="2"/>
  <c r="J367" i="2"/>
  <c r="I314" i="2"/>
  <c r="J249" i="2"/>
  <c r="I417" i="2"/>
  <c r="H34" i="2"/>
  <c r="H143" i="2"/>
  <c r="I351" i="2"/>
  <c r="I284" i="2"/>
  <c r="J315" i="2"/>
  <c r="H127" i="2"/>
  <c r="J178" i="2"/>
  <c r="J40" i="2"/>
  <c r="J265" i="2"/>
  <c r="H495" i="2"/>
  <c r="H191" i="2"/>
  <c r="J136" i="2"/>
  <c r="D15" i="1"/>
  <c r="H103" i="2"/>
  <c r="J339" i="2"/>
  <c r="J223" i="2"/>
  <c r="J393" i="2"/>
  <c r="J467" i="2"/>
  <c r="J235" i="2"/>
  <c r="J362" i="2"/>
  <c r="H99" i="2"/>
  <c r="I390" i="2"/>
  <c r="I37" i="2"/>
  <c r="I260" i="2"/>
  <c r="I188" i="2"/>
  <c r="J390" i="2"/>
  <c r="H370" i="2"/>
  <c r="H249" i="2"/>
  <c r="H468" i="2"/>
  <c r="I337" i="2"/>
  <c r="J63" i="2"/>
  <c r="I278" i="2"/>
  <c r="J140" i="2"/>
  <c r="I35" i="2"/>
  <c r="I131" i="2"/>
  <c r="J190" i="2"/>
  <c r="J313" i="2"/>
  <c r="H112" i="2"/>
  <c r="J395" i="2"/>
  <c r="I77" i="2"/>
  <c r="J227" i="2"/>
  <c r="J164" i="2"/>
  <c r="I467" i="2"/>
  <c r="I430" i="2"/>
  <c r="I97" i="2"/>
  <c r="I407" i="2"/>
  <c r="I145" i="2"/>
  <c r="H241" i="2"/>
  <c r="J273" i="2"/>
  <c r="J334" i="2"/>
  <c r="I287" i="2"/>
  <c r="H61" i="2"/>
  <c r="H463" i="2"/>
  <c r="I415" i="2"/>
  <c r="I253" i="2"/>
  <c r="H434" i="2"/>
  <c r="J175" i="2"/>
  <c r="H190" i="2"/>
  <c r="J263" i="2"/>
  <c r="H254" i="2"/>
  <c r="J455" i="2"/>
  <c r="J169" i="2"/>
  <c r="I264" i="2"/>
  <c r="H251" i="2"/>
  <c r="I490" i="2"/>
  <c r="I148" i="2"/>
  <c r="I32" i="2"/>
  <c r="H10" i="2"/>
  <c r="I457" i="2"/>
  <c r="H63" i="2"/>
  <c r="J163" i="2"/>
  <c r="J424" i="2"/>
  <c r="I494" i="2"/>
  <c r="J19" i="2"/>
  <c r="J258" i="2"/>
  <c r="I226" i="2"/>
  <c r="I158" i="2"/>
  <c r="J372" i="2"/>
  <c r="H271" i="2"/>
  <c r="J212" i="2"/>
  <c r="J445" i="2"/>
  <c r="H408" i="2"/>
  <c r="J214" i="2"/>
  <c r="I200" i="2"/>
  <c r="I412" i="2"/>
  <c r="I362" i="2"/>
  <c r="I325" i="2"/>
  <c r="J348" i="2"/>
  <c r="H414" i="2"/>
  <c r="H201" i="2"/>
  <c r="J51" i="2"/>
  <c r="H164" i="2"/>
  <c r="H65" i="2"/>
  <c r="I65" i="2"/>
  <c r="I203" i="2"/>
  <c r="I101" i="2"/>
  <c r="I354" i="2"/>
  <c r="I196" i="2"/>
  <c r="J68" i="2"/>
  <c r="I173" i="2"/>
  <c r="J352" i="2"/>
  <c r="H171" i="2"/>
  <c r="J270" i="2"/>
  <c r="J146" i="2"/>
  <c r="J13" i="2"/>
  <c r="I205" i="2"/>
  <c r="H302" i="2"/>
  <c r="I62" i="2"/>
  <c r="I168" i="2"/>
  <c r="J48" i="2"/>
  <c r="H210" i="2"/>
  <c r="I385" i="2"/>
  <c r="I296" i="2"/>
  <c r="I471" i="2"/>
  <c r="J489" i="2"/>
  <c r="H226" i="2"/>
  <c r="I61" i="2"/>
  <c r="M9" i="1"/>
  <c r="H378" i="2"/>
  <c r="H471" i="2"/>
  <c r="J473" i="2"/>
  <c r="J185" i="2"/>
  <c r="J364" i="2"/>
  <c r="J231" i="2"/>
  <c r="H70" i="2"/>
  <c r="I169" i="2"/>
  <c r="J215" i="2"/>
  <c r="I237" i="2"/>
  <c r="I432" i="2"/>
  <c r="J374" i="2"/>
  <c r="I266" i="2"/>
  <c r="H364" i="2"/>
  <c r="H58" i="2"/>
  <c r="J151" i="2"/>
  <c r="J423" i="2"/>
  <c r="H293" i="2"/>
  <c r="J6" i="2"/>
  <c r="I380" i="2"/>
  <c r="I38" i="2"/>
  <c r="J7" i="2"/>
  <c r="I472" i="2"/>
  <c r="H472" i="2"/>
  <c r="J148" i="2"/>
  <c r="I434" i="2"/>
  <c r="J283" i="2"/>
  <c r="J444" i="2"/>
  <c r="H301" i="2"/>
  <c r="I420" i="2"/>
  <c r="I176" i="2"/>
  <c r="H437" i="2"/>
  <c r="J252" i="2"/>
  <c r="J495" i="2"/>
  <c r="H410" i="2"/>
  <c r="J319" i="2"/>
  <c r="J9" i="2"/>
  <c r="I58" i="2"/>
  <c r="H182" i="2"/>
  <c r="I87" i="2"/>
  <c r="I139" i="2"/>
  <c r="I398" i="2"/>
  <c r="I112" i="2"/>
  <c r="H204" i="2"/>
  <c r="H113" i="2"/>
  <c r="J144" i="2"/>
  <c r="J91" i="2"/>
  <c r="J377" i="2"/>
  <c r="I75" i="2"/>
  <c r="I171" i="2"/>
  <c r="H490" i="2"/>
  <c r="H312" i="2"/>
  <c r="I210" i="2"/>
  <c r="H342" i="2"/>
  <c r="I162" i="2"/>
  <c r="H20" i="2"/>
  <c r="J132" i="2"/>
  <c r="I153" i="2"/>
  <c r="J365" i="2"/>
  <c r="I183" i="2"/>
  <c r="I18" i="2"/>
  <c r="I378" i="2"/>
  <c r="I451" i="2"/>
  <c r="I204" i="2"/>
  <c r="I23" i="2"/>
  <c r="J242" i="2"/>
  <c r="H428" i="2"/>
  <c r="H396" i="2"/>
  <c r="H435" i="2"/>
  <c r="I279" i="2"/>
  <c r="I373" i="2"/>
  <c r="I2" i="2"/>
  <c r="I36" i="2"/>
  <c r="J296" i="2"/>
  <c r="H231" i="2"/>
  <c r="H238" i="2"/>
  <c r="H42" i="2"/>
  <c r="J246" i="2"/>
  <c r="H216" i="2"/>
  <c r="H329" i="2"/>
  <c r="H141" i="2"/>
  <c r="J326" i="2"/>
  <c r="I255" i="2"/>
  <c r="J87" i="2"/>
  <c r="J221" i="2"/>
  <c r="I170" i="2"/>
  <c r="H313" i="2"/>
  <c r="I220" i="2"/>
  <c r="J126" i="2"/>
  <c r="I155" i="2"/>
  <c r="I60" i="2"/>
  <c r="J416" i="2"/>
  <c r="H250" i="2"/>
  <c r="J118" i="2"/>
  <c r="J465" i="2"/>
  <c r="I370" i="2"/>
  <c r="H215" i="2"/>
  <c r="H68" i="2"/>
  <c r="H306" i="2"/>
  <c r="H354" i="2"/>
  <c r="I413" i="2"/>
  <c r="I331" i="2"/>
  <c r="H482" i="2"/>
  <c r="J414" i="2"/>
  <c r="H224" i="2"/>
  <c r="J239" i="2"/>
  <c r="H173" i="2"/>
  <c r="H356" i="2"/>
  <c r="H391" i="2"/>
  <c r="H179" i="2"/>
  <c r="H23" i="2"/>
  <c r="I115" i="2"/>
  <c r="I338" i="2"/>
  <c r="I438" i="2"/>
  <c r="I106" i="2"/>
  <c r="I403" i="2"/>
  <c r="H339" i="2"/>
  <c r="J351" i="2"/>
  <c r="J210" i="2"/>
  <c r="J98" i="2"/>
  <c r="J156" i="2"/>
  <c r="H38" i="2"/>
  <c r="I45" i="2"/>
  <c r="J184" i="2"/>
  <c r="K9" i="1"/>
  <c r="H192" i="2"/>
  <c r="J83" i="2"/>
  <c r="J259" i="2"/>
  <c r="H132" i="2"/>
  <c r="J453" i="2"/>
  <c r="I28" i="2"/>
  <c r="I141" i="2"/>
  <c r="H359" i="2"/>
  <c r="H439" i="2"/>
  <c r="I191" i="2"/>
  <c r="H130" i="2"/>
  <c r="J490" i="2"/>
  <c r="H400" i="2"/>
  <c r="H383" i="2"/>
  <c r="H385" i="2"/>
  <c r="J213" i="2"/>
  <c r="H49" i="2"/>
  <c r="J95" i="2"/>
  <c r="I347" i="2"/>
  <c r="H279" i="2"/>
  <c r="I441" i="2"/>
  <c r="H348" i="2"/>
  <c r="J228" i="2"/>
  <c r="H222" i="2"/>
  <c r="H326" i="2"/>
  <c r="I426" i="2"/>
  <c r="I12" i="2"/>
  <c r="J232" i="2"/>
  <c r="H129" i="2"/>
  <c r="I440" i="2"/>
  <c r="I10" i="2"/>
  <c r="J168" i="2"/>
  <c r="J117" i="2"/>
  <c r="H31" i="2"/>
  <c r="I116" i="2"/>
  <c r="H374" i="2"/>
  <c r="J316" i="2"/>
  <c r="I277" i="2"/>
  <c r="I193" i="2"/>
  <c r="H151" i="2"/>
  <c r="H105" i="2"/>
  <c r="I7" i="2"/>
  <c r="H443" i="2"/>
  <c r="J15" i="2"/>
  <c r="J179" i="2"/>
  <c r="J115" i="2"/>
  <c r="H186" i="2"/>
  <c r="I458" i="2"/>
  <c r="I43" i="2"/>
  <c r="I444" i="2"/>
  <c r="I25" i="2"/>
  <c r="I419" i="2"/>
  <c r="I242" i="2"/>
  <c r="J90" i="2"/>
  <c r="I395" i="2"/>
  <c r="H245" i="2"/>
  <c r="I386" i="2"/>
  <c r="J422" i="2"/>
  <c r="H315" i="2"/>
  <c r="I93" i="2"/>
  <c r="J440" i="2"/>
  <c r="I71" i="2"/>
  <c r="H33" i="2"/>
  <c r="J76" i="2"/>
  <c r="I463" i="2"/>
  <c r="I80" i="2"/>
  <c r="J5" i="2"/>
  <c r="J484" i="2"/>
  <c r="H146" i="2"/>
  <c r="I127" i="2"/>
  <c r="H420" i="2"/>
  <c r="H467" i="2"/>
  <c r="J356" i="2"/>
  <c r="J35" i="2"/>
  <c r="J43" i="2"/>
  <c r="I64" i="2"/>
  <c r="H289" i="2"/>
  <c r="H24" i="2"/>
  <c r="I140" i="2"/>
  <c r="J28" i="2"/>
  <c r="I67" i="2"/>
  <c r="I425" i="2"/>
  <c r="H491" i="2"/>
  <c r="I283" i="2"/>
  <c r="J14" i="2"/>
  <c r="J366" i="2"/>
  <c r="J298" i="2"/>
  <c r="H330" i="2"/>
  <c r="I449" i="2"/>
  <c r="H253" i="2"/>
  <c r="I66" i="2"/>
  <c r="H81" i="2"/>
  <c r="H142" i="2"/>
  <c r="H337" i="2"/>
  <c r="J483" i="2"/>
  <c r="H110" i="2"/>
  <c r="J217" i="2"/>
  <c r="H234" i="2"/>
  <c r="H461" i="2"/>
  <c r="H126" i="2"/>
  <c r="I4" i="2"/>
  <c r="H350" i="2"/>
  <c r="H91" i="2"/>
  <c r="I376" i="2"/>
  <c r="I410" i="2"/>
  <c r="J289" i="2"/>
  <c r="J269" i="2"/>
  <c r="J194" i="2"/>
  <c r="J260" i="2"/>
  <c r="J162" i="2"/>
  <c r="J434" i="2"/>
  <c r="H286" i="2"/>
  <c r="J454" i="2"/>
  <c r="I30" i="2"/>
  <c r="H212" i="2"/>
  <c r="J99" i="2"/>
  <c r="J170" i="2"/>
  <c r="I259" i="2"/>
  <c r="H344" i="2"/>
  <c r="H60" i="2"/>
  <c r="H479" i="2"/>
  <c r="H195" i="2"/>
  <c r="I473" i="2"/>
  <c r="I267" i="2"/>
  <c r="I305" i="2"/>
  <c r="J141" i="2"/>
  <c r="I238" i="2"/>
  <c r="J410" i="2"/>
  <c r="J397" i="2"/>
  <c r="J412" i="2"/>
  <c r="H321" i="2"/>
  <c r="I375" i="2"/>
  <c r="H382" i="2"/>
  <c r="J52" i="2"/>
  <c r="I294" i="2"/>
  <c r="H421" i="2"/>
  <c r="I292" i="2"/>
  <c r="H299" i="2"/>
  <c r="I132" i="2"/>
  <c r="J79" i="2"/>
  <c r="J124" i="2"/>
  <c r="H309" i="2"/>
  <c r="H384" i="2"/>
  <c r="I365" i="2"/>
  <c r="I142" i="2"/>
  <c r="J23" i="2"/>
  <c r="J24" i="2"/>
  <c r="J207" i="2"/>
  <c r="H389" i="2"/>
  <c r="J133" i="2"/>
  <c r="J180" i="2"/>
  <c r="J29" i="2"/>
  <c r="H83" i="2"/>
  <c r="I295" i="2"/>
  <c r="H308" i="2"/>
  <c r="I374" i="2"/>
  <c r="H243" i="2"/>
  <c r="I379" i="2"/>
  <c r="J202" i="2"/>
  <c r="J318" i="2"/>
  <c r="H131" i="2"/>
  <c r="I172" i="2"/>
  <c r="H476" i="2"/>
  <c r="I227" i="2"/>
  <c r="I214" i="2"/>
  <c r="J186" i="2"/>
  <c r="J281" i="2"/>
  <c r="H470" i="2"/>
  <c r="J200" i="2"/>
  <c r="H331" i="2"/>
  <c r="J229" i="2"/>
  <c r="J193" i="2"/>
  <c r="J69" i="2"/>
  <c r="I307" i="2"/>
  <c r="H427" i="2"/>
  <c r="J439" i="2"/>
  <c r="I144" i="2"/>
  <c r="H100" i="2"/>
  <c r="H362" i="2"/>
  <c r="H176" i="2"/>
  <c r="H458" i="2"/>
  <c r="H493" i="2"/>
  <c r="J314" i="2"/>
  <c r="J181" i="2"/>
  <c r="I333" i="2"/>
  <c r="I400" i="2"/>
  <c r="I445" i="2"/>
  <c r="H247" i="2"/>
  <c r="J77" i="2"/>
  <c r="I63" i="2"/>
  <c r="I482" i="2"/>
  <c r="I190" i="2"/>
  <c r="H323" i="2"/>
  <c r="J274" i="2"/>
  <c r="I88" i="2"/>
  <c r="H139" i="2"/>
  <c r="H5" i="2"/>
  <c r="H416" i="2"/>
  <c r="I393" i="2"/>
  <c r="H207" i="2"/>
  <c r="J160" i="2"/>
  <c r="I254" i="2"/>
  <c r="I120" i="2"/>
  <c r="J205" i="2"/>
  <c r="H440" i="2"/>
  <c r="J462" i="2"/>
  <c r="I125" i="2"/>
  <c r="J304" i="2"/>
  <c r="H157" i="2"/>
  <c r="J480" i="2"/>
  <c r="I147" i="2"/>
  <c r="I340" i="2"/>
  <c r="J243" i="2"/>
  <c r="J492" i="2"/>
  <c r="J418" i="2"/>
  <c r="I268" i="2"/>
  <c r="J312" i="2"/>
  <c r="I245" i="2"/>
  <c r="H150" i="2"/>
  <c r="I48" i="2"/>
  <c r="J100" i="2"/>
  <c r="H465" i="2"/>
  <c r="J256" i="2"/>
  <c r="J346" i="2"/>
  <c r="J403" i="2"/>
  <c r="I455" i="2"/>
  <c r="I177" i="2"/>
  <c r="I334" i="2"/>
  <c r="H82" i="2"/>
  <c r="I391" i="2"/>
  <c r="H6" i="2"/>
  <c r="J451" i="2"/>
  <c r="J26" i="2"/>
  <c r="J70" i="2"/>
  <c r="I50" i="2"/>
  <c r="H138" i="2"/>
  <c r="I232" i="2"/>
  <c r="I328" i="2"/>
  <c r="H388" i="2"/>
  <c r="H432" i="2"/>
  <c r="J93" i="2"/>
  <c r="H297" i="2"/>
  <c r="H429" i="2"/>
  <c r="I288" i="2"/>
  <c r="H415" i="2"/>
  <c r="H473" i="2"/>
  <c r="H62" i="2"/>
  <c r="H406" i="2"/>
  <c r="I270" i="2"/>
  <c r="J408" i="2"/>
  <c r="H322" i="2"/>
  <c r="J341" i="2"/>
  <c r="I339" i="2"/>
  <c r="I5" i="2"/>
  <c r="J309" i="2"/>
  <c r="J129" i="2"/>
  <c r="J404" i="2"/>
  <c r="I405" i="2"/>
  <c r="H269" i="2"/>
  <c r="J368" i="2"/>
  <c r="H181" i="2"/>
  <c r="H273" i="2"/>
  <c r="H419" i="2"/>
  <c r="H67" i="2"/>
  <c r="J331" i="2"/>
  <c r="H262" i="2"/>
  <c r="I324" i="2"/>
  <c r="J46" i="2"/>
  <c r="H445" i="2"/>
  <c r="J432" i="2"/>
  <c r="J344" i="2"/>
  <c r="I187" i="2"/>
  <c r="H352" i="2"/>
  <c r="J176" i="2"/>
  <c r="J198" i="2"/>
  <c r="I446" i="2"/>
  <c r="H166" i="2"/>
  <c r="H76" i="2"/>
  <c r="J475" i="2"/>
  <c r="H217" i="2"/>
  <c r="J84" i="2"/>
  <c r="H426" i="2"/>
  <c r="J85" i="2"/>
  <c r="H36" i="2"/>
  <c r="J31" i="2"/>
  <c r="H358" i="2"/>
  <c r="H189" i="2"/>
  <c r="H268" i="2"/>
  <c r="H119" i="2"/>
  <c r="H466" i="2"/>
  <c r="I306" i="2"/>
  <c r="J119" i="2"/>
  <c r="H481" i="2"/>
  <c r="I161" i="2"/>
  <c r="I99" i="2"/>
  <c r="I485" i="2"/>
  <c r="J327" i="2"/>
  <c r="I336" i="2"/>
  <c r="J204" i="2"/>
  <c r="H446" i="2"/>
  <c r="I89" i="2"/>
  <c r="J127" i="2"/>
  <c r="I195" i="2"/>
  <c r="I151" i="2"/>
  <c r="J470" i="2"/>
  <c r="J37" i="2"/>
  <c r="H183" i="2"/>
  <c r="I436" i="2"/>
  <c r="I263" i="2"/>
  <c r="J103" i="2"/>
  <c r="J494" i="2"/>
  <c r="I86" i="2"/>
  <c r="I462" i="2"/>
  <c r="I483" i="2"/>
  <c r="J392" i="2"/>
  <c r="I487" i="2"/>
  <c r="H85" i="2"/>
  <c r="J426" i="2"/>
  <c r="H174" i="2"/>
  <c r="J55" i="2"/>
  <c r="J361" i="2"/>
  <c r="I234" i="2"/>
  <c r="H95" i="2"/>
  <c r="I421" i="2"/>
  <c r="H260" i="2"/>
  <c r="H235" i="2"/>
  <c r="H403" i="2"/>
  <c r="J57" i="2"/>
  <c r="I343" i="2"/>
  <c r="I233" i="2"/>
  <c r="I134" i="2"/>
  <c r="I239" i="2"/>
  <c r="H270" i="2"/>
  <c r="I228" i="2"/>
  <c r="I94" i="2"/>
  <c r="I184" i="2"/>
  <c r="I246" i="2"/>
  <c r="H373" i="2"/>
  <c r="H59" i="2"/>
  <c r="H318" i="2"/>
  <c r="I466" i="2"/>
  <c r="I240" i="2"/>
  <c r="H108" i="2"/>
  <c r="J321" i="2"/>
  <c r="J385" i="2"/>
  <c r="I249" i="2"/>
  <c r="J340" i="2"/>
  <c r="H158" i="2"/>
  <c r="I341" i="2"/>
  <c r="J428" i="2"/>
  <c r="I15" i="2"/>
  <c r="H266" i="2"/>
  <c r="J396" i="2"/>
  <c r="I19" i="2"/>
  <c r="H346" i="2"/>
  <c r="H46" i="2"/>
  <c r="I456" i="2"/>
  <c r="I342" i="2"/>
  <c r="J379" i="2"/>
  <c r="H444" i="2"/>
  <c r="J417" i="2"/>
  <c r="J425" i="2"/>
  <c r="H390" i="2"/>
  <c r="I401" i="2"/>
  <c r="J478" i="2"/>
  <c r="I154" i="2"/>
  <c r="I286" i="2"/>
  <c r="H433" i="2"/>
  <c r="H78" i="2"/>
  <c r="H379" i="2"/>
  <c r="H274" i="2"/>
  <c r="J456" i="2"/>
  <c r="J433" i="2"/>
  <c r="I389" i="2"/>
  <c r="I282" i="2"/>
  <c r="I40" i="2"/>
  <c r="H37" i="2"/>
  <c r="J384" i="2"/>
  <c r="J363" i="2"/>
  <c r="I256" i="2"/>
  <c r="I454" i="2"/>
  <c r="H233" i="2"/>
  <c r="J216" i="2"/>
  <c r="H75" i="2"/>
  <c r="J277" i="2"/>
  <c r="H168" i="2"/>
  <c r="H229" i="2"/>
  <c r="H227" i="2"/>
  <c r="I124" i="2"/>
  <c r="H45" i="2"/>
  <c r="H220" i="2"/>
  <c r="I276" i="2"/>
  <c r="J240" i="2"/>
  <c r="I108" i="2"/>
  <c r="I344" i="2"/>
  <c r="H258" i="2"/>
  <c r="I428" i="2"/>
  <c r="H395" i="2"/>
  <c r="J429" i="2"/>
  <c r="H454" i="2"/>
  <c r="I117" i="2"/>
  <c r="J447" i="2"/>
  <c r="H351" i="2"/>
  <c r="J402" i="2"/>
  <c r="J113" i="2"/>
  <c r="J131" i="2"/>
  <c r="H422" i="2"/>
  <c r="I474" i="2"/>
  <c r="H425" i="2"/>
  <c r="J292" i="2"/>
  <c r="I469" i="2"/>
  <c r="I27" i="2"/>
  <c r="J250" i="2"/>
  <c r="J375" i="2"/>
  <c r="H94" i="2"/>
  <c r="J308" i="2"/>
  <c r="H478" i="2"/>
  <c r="I433" i="2"/>
  <c r="I56" i="2"/>
  <c r="J36" i="2"/>
  <c r="J241" i="2"/>
  <c r="H123" i="2"/>
  <c r="I104" i="2"/>
  <c r="J62" i="2"/>
  <c r="I479" i="2"/>
  <c r="H106" i="2"/>
  <c r="H341" i="2"/>
  <c r="H259" i="2"/>
  <c r="H298" i="2"/>
  <c r="I207" i="2"/>
  <c r="I122" i="2"/>
  <c r="J493" i="2"/>
  <c r="J469" i="2"/>
  <c r="J355" i="2"/>
  <c r="H477" i="2"/>
  <c r="J32" i="2"/>
  <c r="I424" i="2"/>
  <c r="H51" i="2"/>
  <c r="H125" i="2"/>
  <c r="H399" i="2"/>
  <c r="I138" i="2"/>
  <c r="J44" i="2"/>
  <c r="J400" i="2"/>
  <c r="I297" i="2"/>
  <c r="J191" i="2"/>
  <c r="J65" i="2"/>
  <c r="H487" i="2"/>
  <c r="J436" i="2"/>
  <c r="H197" i="2"/>
  <c r="H397" i="2"/>
  <c r="I350" i="2"/>
  <c r="H206" i="2"/>
  <c r="I361" i="2"/>
  <c r="I167" i="2"/>
  <c r="I225" i="2"/>
  <c r="I42" i="2"/>
  <c r="H175" i="2"/>
  <c r="I320" i="2"/>
  <c r="I160" i="2"/>
  <c r="J369" i="2"/>
  <c r="I163" i="2"/>
  <c r="J154" i="2"/>
  <c r="H89" i="2"/>
  <c r="H193" i="2"/>
  <c r="I69" i="2"/>
  <c r="H447" i="2"/>
  <c r="H69" i="2"/>
  <c r="J233" i="2"/>
  <c r="H365" i="2"/>
  <c r="J333" i="2"/>
  <c r="I349" i="2"/>
  <c r="H8" i="2"/>
  <c r="H335" i="2"/>
  <c r="J343" i="2"/>
  <c r="H80" i="2"/>
  <c r="J293" i="2"/>
  <c r="H347" i="2"/>
  <c r="J152" i="2"/>
  <c r="H17" i="2"/>
  <c r="I14" i="2"/>
  <c r="J305" i="2"/>
  <c r="H101" i="2"/>
  <c r="H14" i="2"/>
  <c r="H303" i="2"/>
  <c r="H147" i="2"/>
  <c r="J261" i="2"/>
  <c r="J443" i="2"/>
  <c r="H236" i="2"/>
  <c r="J458" i="2"/>
  <c r="H398" i="2"/>
  <c r="H167" i="2"/>
  <c r="H7" i="2"/>
  <c r="I55" i="2"/>
  <c r="H44" i="2"/>
  <c r="J245" i="2"/>
  <c r="H411" i="2"/>
  <c r="J248" i="2"/>
  <c r="H96" i="2"/>
  <c r="H211" i="2"/>
  <c r="H462" i="2"/>
  <c r="J275" i="2"/>
  <c r="I92" i="2"/>
  <c r="I348" i="2"/>
  <c r="I285" i="2"/>
  <c r="H50" i="2"/>
  <c r="J34" i="2"/>
  <c r="J255" i="2"/>
  <c r="J116" i="2"/>
  <c r="H135" i="2"/>
  <c r="J359" i="2"/>
  <c r="J121" i="2"/>
  <c r="I250" i="2"/>
  <c r="H296" i="2"/>
  <c r="H53" i="2"/>
  <c r="H92" i="2"/>
  <c r="J477" i="2"/>
  <c r="J345" i="2"/>
  <c r="J413" i="2"/>
  <c r="I274" i="2"/>
  <c r="J224" i="2"/>
  <c r="J171" i="2"/>
  <c r="J285" i="2"/>
  <c r="H74" i="2"/>
  <c r="I15" i="1"/>
  <c r="B2" i="4" l="1"/>
  <c r="A8" i="4"/>
  <c r="K16" i="1"/>
  <c r="F16" i="1"/>
  <c r="D8" i="1" l="1"/>
  <c r="Q8" i="1"/>
  <c r="O8" i="1"/>
  <c r="H8" i="1"/>
  <c r="K8" i="1"/>
  <c r="M8" i="1"/>
  <c r="M12" i="1" l="1"/>
  <c r="H12" i="1"/>
  <c r="D21" i="1"/>
  <c r="D41" i="1"/>
  <c r="H41" i="1" s="1"/>
  <c r="D34" i="1"/>
  <c r="D26" i="1"/>
  <c r="H26" i="1" s="1"/>
  <c r="F21" i="1"/>
  <c r="F41" i="1"/>
  <c r="F34" i="1"/>
  <c r="F26" i="1"/>
  <c r="D17" i="1"/>
  <c r="G1" i="2"/>
  <c r="F17" i="1"/>
  <c r="I17" i="1" s="1"/>
  <c r="K17" i="1"/>
  <c r="G72" i="2"/>
  <c r="G360" i="2"/>
  <c r="G204" i="2"/>
  <c r="G98" i="2"/>
  <c r="G147" i="2"/>
  <c r="G442" i="2"/>
  <c r="G202" i="2"/>
  <c r="G404" i="2"/>
  <c r="G110" i="2"/>
  <c r="G51" i="2"/>
  <c r="G142" i="2"/>
  <c r="G343" i="2"/>
  <c r="G385" i="2"/>
  <c r="G97" i="2"/>
  <c r="G232" i="2"/>
  <c r="G335" i="2"/>
  <c r="G227" i="2"/>
  <c r="G94" i="2"/>
  <c r="G390" i="2"/>
  <c r="G145" i="2"/>
  <c r="G280" i="2"/>
  <c r="G194" i="2"/>
  <c r="G285" i="2"/>
  <c r="G18" i="2"/>
  <c r="G36" i="2"/>
  <c r="G88" i="2"/>
  <c r="G478" i="2"/>
  <c r="G425" i="2"/>
  <c r="G11" i="2"/>
  <c r="G65" i="2"/>
  <c r="G309" i="2"/>
  <c r="G494" i="2"/>
  <c r="G402" i="2"/>
  <c r="G365" i="2"/>
  <c r="G314" i="2"/>
  <c r="G48" i="2"/>
  <c r="G160" i="2"/>
  <c r="G434" i="2"/>
  <c r="G466" i="2"/>
  <c r="G143" i="2"/>
  <c r="G391" i="2"/>
  <c r="G380" i="2"/>
  <c r="G170" i="2"/>
  <c r="G228" i="2"/>
  <c r="G386" i="2"/>
  <c r="G17" i="2"/>
  <c r="G172" i="2"/>
  <c r="G167" i="2"/>
  <c r="G281" i="2"/>
  <c r="G131" i="2"/>
  <c r="G485" i="2"/>
  <c r="G229" i="2"/>
  <c r="G476" i="2"/>
  <c r="G154" i="2"/>
  <c r="G91" i="2"/>
  <c r="G134" i="2"/>
  <c r="G330" i="2"/>
  <c r="G59" i="2"/>
  <c r="G346" i="2"/>
  <c r="G277" i="2"/>
  <c r="G409" i="2"/>
  <c r="G436" i="2"/>
  <c r="G327" i="2"/>
  <c r="G109" i="2"/>
  <c r="G376" i="2"/>
  <c r="G319" i="2"/>
  <c r="G150" i="2"/>
  <c r="G234" i="2"/>
  <c r="G8" i="2"/>
  <c r="G421" i="2"/>
  <c r="G78" i="2"/>
  <c r="G209" i="2"/>
  <c r="G468" i="2"/>
  <c r="G26" i="2"/>
  <c r="G331" i="2"/>
  <c r="G112" i="2"/>
  <c r="G439" i="2"/>
  <c r="G214" i="2"/>
  <c r="G89" i="2"/>
  <c r="G427" i="2"/>
  <c r="G100" i="2"/>
  <c r="G451" i="2"/>
  <c r="G456" i="2"/>
  <c r="G481" i="2"/>
  <c r="G239" i="2"/>
  <c r="G157" i="2"/>
  <c r="G6" i="2"/>
  <c r="G454" i="2"/>
  <c r="G146" i="2"/>
  <c r="G191" i="2"/>
  <c r="G32" i="2"/>
  <c r="G86" i="2"/>
  <c r="G371" i="2"/>
  <c r="G258" i="2"/>
  <c r="G347" i="2"/>
  <c r="G245" i="2"/>
  <c r="G77" i="2"/>
  <c r="G397" i="2"/>
  <c r="G373" i="2"/>
  <c r="G58" i="2"/>
  <c r="G39" i="2"/>
  <c r="G37" i="2"/>
  <c r="G236" i="2"/>
  <c r="G414" i="2"/>
  <c r="G259" i="2"/>
  <c r="G66" i="2"/>
  <c r="G351" i="2"/>
  <c r="G238" i="2"/>
  <c r="G275" i="2"/>
  <c r="G205" i="2"/>
  <c r="G105" i="2"/>
  <c r="G271" i="2"/>
  <c r="G357" i="2"/>
  <c r="G392" i="2"/>
  <c r="G475" i="2"/>
  <c r="G33" i="2"/>
  <c r="G292" i="2"/>
  <c r="G206" i="2"/>
  <c r="G411" i="2"/>
  <c r="G219" i="2"/>
  <c r="G261" i="2"/>
  <c r="G184" i="2"/>
  <c r="G207" i="2"/>
  <c r="G163" i="2"/>
  <c r="G250" i="2"/>
  <c r="G317" i="2"/>
  <c r="G81" i="2"/>
  <c r="G61" i="2"/>
  <c r="G56" i="2"/>
  <c r="G193" i="2"/>
  <c r="G283" i="2"/>
  <c r="G449" i="2"/>
  <c r="G452" i="2"/>
  <c r="G270" i="2"/>
  <c r="G344" i="2"/>
  <c r="G303" i="2"/>
  <c r="G50" i="2"/>
  <c r="G446" i="2"/>
  <c r="G310" i="2"/>
  <c r="G263" i="2"/>
  <c r="G90" i="2"/>
  <c r="G329" i="2"/>
  <c r="G251" i="2"/>
  <c r="G328" i="2"/>
  <c r="G455" i="2"/>
  <c r="G190" i="2"/>
  <c r="G243" i="2"/>
  <c r="G203" i="2"/>
  <c r="G82" i="2"/>
  <c r="G217" i="2"/>
  <c r="G326" i="2"/>
  <c r="G467" i="2"/>
  <c r="G426" i="2"/>
  <c r="G486" i="2"/>
  <c r="G144" i="2"/>
  <c r="G432" i="2"/>
  <c r="G316" i="2"/>
  <c r="G304" i="2"/>
  <c r="G108" i="2"/>
  <c r="G208" i="2"/>
  <c r="G299" i="2"/>
  <c r="G361" i="2"/>
  <c r="G137" i="2"/>
  <c r="G140" i="2"/>
  <c r="G403" i="2"/>
  <c r="G260" i="2"/>
  <c r="G68" i="2"/>
  <c r="G107" i="2"/>
  <c r="G136" i="2"/>
  <c r="G419" i="2"/>
  <c r="G241" i="2"/>
  <c r="G430" i="2"/>
  <c r="G337" i="2"/>
  <c r="G63" i="2"/>
  <c r="G70" i="2"/>
  <c r="G247" i="2"/>
  <c r="G341" i="2"/>
  <c r="G152" i="2"/>
  <c r="G300" i="2"/>
  <c r="G378" i="2"/>
  <c r="G325" i="2"/>
  <c r="G315" i="2"/>
  <c r="G249" i="2"/>
  <c r="G366" i="2"/>
  <c r="G495" i="2"/>
  <c r="G162" i="2"/>
  <c r="G199" i="2"/>
  <c r="G165" i="2"/>
  <c r="G358" i="2"/>
  <c r="G166" i="2"/>
  <c r="G169" i="2"/>
  <c r="G297" i="2"/>
  <c r="G155" i="2"/>
  <c r="G3" i="2"/>
  <c r="G182" i="2"/>
  <c r="G354" i="2"/>
  <c r="G52" i="2"/>
  <c r="G372" i="2"/>
  <c r="G67" i="2"/>
  <c r="G399" i="2"/>
  <c r="G188" i="2"/>
  <c r="G428" i="2"/>
  <c r="G339" i="2"/>
  <c r="G4" i="2"/>
  <c r="G288" i="2"/>
  <c r="G295" i="2"/>
  <c r="G25" i="2"/>
  <c r="G458" i="2"/>
  <c r="G252" i="2"/>
  <c r="G174" i="2"/>
  <c r="G480" i="2"/>
  <c r="G311" i="2"/>
  <c r="G349" i="2"/>
  <c r="G13" i="2"/>
  <c r="G111" i="2"/>
  <c r="G370" i="2"/>
  <c r="G301" i="2"/>
  <c r="G364" i="2"/>
  <c r="G189" i="2"/>
  <c r="G9" i="2"/>
  <c r="G117" i="2"/>
  <c r="G83" i="2"/>
  <c r="G16" i="2"/>
  <c r="G437" i="2"/>
  <c r="G226" i="2"/>
  <c r="G133" i="2"/>
  <c r="G124" i="2"/>
  <c r="G55" i="2"/>
  <c r="G294" i="2"/>
  <c r="G156" i="2"/>
  <c r="G312" i="2"/>
  <c r="G212" i="2"/>
  <c r="G46" i="2"/>
  <c r="G223" i="2"/>
  <c r="G400" i="2"/>
  <c r="G350" i="2"/>
  <c r="G318" i="2"/>
  <c r="G12" i="2"/>
  <c r="G102" i="2"/>
  <c r="G284" i="2"/>
  <c r="G302" i="2"/>
  <c r="G348" i="2"/>
  <c r="G406" i="2"/>
  <c r="G31" i="2"/>
  <c r="G42" i="2"/>
  <c r="G415" i="2"/>
  <c r="G23" i="2"/>
  <c r="G375" i="2"/>
  <c r="G368" i="2"/>
  <c r="G235" i="2"/>
  <c r="G395" i="2"/>
  <c r="G244" i="2"/>
  <c r="G322" i="2"/>
  <c r="G135" i="2"/>
  <c r="G362" i="2"/>
  <c r="G129" i="2"/>
  <c r="G158" i="2"/>
  <c r="G192" i="2"/>
  <c r="G153" i="2"/>
  <c r="G211" i="2"/>
  <c r="G132" i="2"/>
  <c r="G286" i="2"/>
  <c r="G269" i="2"/>
  <c r="G138" i="2"/>
  <c r="G482" i="2"/>
  <c r="G291" i="2"/>
  <c r="G479" i="2"/>
  <c r="G159" i="2"/>
  <c r="G22" i="2"/>
  <c r="G418" i="2"/>
  <c r="G71" i="2"/>
  <c r="G444" i="2"/>
  <c r="G84" i="2"/>
  <c r="G180" i="2"/>
  <c r="G237" i="2"/>
  <c r="G87" i="2"/>
  <c r="G483" i="2"/>
  <c r="G440" i="2"/>
  <c r="G417" i="2"/>
  <c r="G384" i="2"/>
  <c r="G484" i="2"/>
  <c r="G359" i="2"/>
  <c r="G383" i="2"/>
  <c r="G179" i="2"/>
  <c r="G472" i="2"/>
  <c r="G394" i="2"/>
  <c r="G465" i="2"/>
  <c r="G450" i="2"/>
  <c r="G461" i="2"/>
  <c r="G213" i="2"/>
  <c r="G79" i="2"/>
  <c r="G231" i="2"/>
  <c r="G151" i="2"/>
  <c r="G178" i="2"/>
  <c r="G345" i="2"/>
  <c r="G473" i="2"/>
  <c r="G474" i="2"/>
  <c r="G441" i="2"/>
  <c r="G28" i="2"/>
  <c r="G240" i="2"/>
  <c r="G308" i="2"/>
  <c r="G187" i="2"/>
  <c r="G374" i="2"/>
  <c r="G443" i="2"/>
  <c r="G460" i="2"/>
  <c r="G459" i="2"/>
  <c r="G123" i="2"/>
  <c r="G282" i="2"/>
  <c r="G64" i="2"/>
  <c r="G130" i="2"/>
  <c r="G218" i="2"/>
  <c r="G173" i="2"/>
  <c r="G19" i="2"/>
  <c r="G198" i="2"/>
  <c r="G38" i="2"/>
  <c r="G116" i="2"/>
  <c r="G95" i="2"/>
  <c r="G490" i="2"/>
  <c r="G405" i="2"/>
  <c r="G489" i="2"/>
  <c r="G118" i="2"/>
  <c r="G287" i="2"/>
  <c r="G224" i="2"/>
  <c r="G168" i="2"/>
  <c r="G256" i="2"/>
  <c r="G106" i="2"/>
  <c r="G128" i="2"/>
  <c r="G248" i="2"/>
  <c r="G367" i="2"/>
  <c r="G40" i="2"/>
  <c r="G47" i="2"/>
  <c r="G298" i="2"/>
  <c r="G253" i="2"/>
  <c r="G423" i="2"/>
  <c r="G101" i="2"/>
  <c r="G293" i="2"/>
  <c r="G196" i="2"/>
  <c r="G175" i="2"/>
  <c r="G408" i="2"/>
  <c r="G493" i="2"/>
  <c r="G93" i="2"/>
  <c r="G471" i="2"/>
  <c r="G121" i="2"/>
  <c r="G333" i="2"/>
  <c r="G230" i="2"/>
  <c r="G257" i="2"/>
  <c r="G255" i="2"/>
  <c r="G233" i="2"/>
  <c r="G272" i="2"/>
  <c r="G290" i="2"/>
  <c r="G447" i="2"/>
  <c r="G289" i="2"/>
  <c r="G268" i="2"/>
  <c r="G246" i="2"/>
  <c r="G477" i="2"/>
  <c r="G122" i="2"/>
  <c r="G60" i="2"/>
  <c r="G488" i="2"/>
  <c r="G274" i="2"/>
  <c r="G398" i="2"/>
  <c r="G492" i="2"/>
  <c r="G96" i="2"/>
  <c r="G313" i="2"/>
  <c r="G185" i="2"/>
  <c r="G141" i="2"/>
  <c r="G389" i="2"/>
  <c r="G387" i="2"/>
  <c r="G177" i="2"/>
  <c r="G448" i="2"/>
  <c r="G433" i="2"/>
  <c r="G431" i="2"/>
  <c r="G164" i="2"/>
  <c r="G220" i="2"/>
  <c r="G113" i="2"/>
  <c r="G353" i="2"/>
  <c r="G355" i="2"/>
  <c r="G29" i="2"/>
  <c r="G379" i="2"/>
  <c r="G34" i="2"/>
  <c r="G222" i="2"/>
  <c r="G276" i="2"/>
  <c r="G85" i="2"/>
  <c r="G429" i="2"/>
  <c r="G435" i="2"/>
  <c r="G149" i="2"/>
  <c r="G279" i="2"/>
  <c r="G273" i="2"/>
  <c r="G53" i="2"/>
  <c r="G41" i="2"/>
  <c r="G457" i="2"/>
  <c r="G453" i="2"/>
  <c r="G265" i="2"/>
  <c r="G424" i="2"/>
  <c r="G306" i="2"/>
  <c r="G20" i="2"/>
  <c r="G463" i="2"/>
  <c r="G242" i="2"/>
  <c r="G336" i="2"/>
  <c r="G115" i="2"/>
  <c r="G69" i="2"/>
  <c r="G464" i="2"/>
  <c r="G210" i="2"/>
  <c r="G342" i="2"/>
  <c r="G62" i="2"/>
  <c r="G396" i="2"/>
  <c r="G114" i="2"/>
  <c r="G323" i="2"/>
  <c r="G57" i="2"/>
  <c r="G148" i="2"/>
  <c r="G186" i="2"/>
  <c r="G296" i="2"/>
  <c r="G27" i="2"/>
  <c r="G43" i="2"/>
  <c r="G254" i="2"/>
  <c r="G92" i="2"/>
  <c r="G80" i="2"/>
  <c r="G119" i="2"/>
  <c r="G410" i="2"/>
  <c r="G5" i="2"/>
  <c r="G334" i="2"/>
  <c r="G321" i="2"/>
  <c r="G127" i="2"/>
  <c r="G24" i="2"/>
  <c r="G176" i="2"/>
  <c r="G369" i="2"/>
  <c r="G469" i="2"/>
  <c r="G407" i="2"/>
  <c r="G76" i="2"/>
  <c r="G278" i="2"/>
  <c r="G338" i="2"/>
  <c r="G201" i="2"/>
  <c r="G266" i="2"/>
  <c r="G221" i="2"/>
  <c r="G200" i="2"/>
  <c r="G44" i="2"/>
  <c r="G340" i="2"/>
  <c r="G35" i="2"/>
  <c r="G75" i="2"/>
  <c r="G183" i="2"/>
  <c r="G197" i="2"/>
  <c r="G412" i="2"/>
  <c r="G491" i="2"/>
  <c r="G381" i="2"/>
  <c r="G125" i="2"/>
  <c r="G15" i="2"/>
  <c r="G352" i="2"/>
  <c r="G307" i="2"/>
  <c r="G416" i="2"/>
  <c r="G54" i="2"/>
  <c r="G382" i="2"/>
  <c r="G422" i="2"/>
  <c r="G470" i="2"/>
  <c r="G356" i="2"/>
  <c r="G377" i="2"/>
  <c r="G388" i="2"/>
  <c r="G363" i="2"/>
  <c r="G262" i="2"/>
  <c r="G30" i="2"/>
  <c r="G215" i="2"/>
  <c r="G171" i="2"/>
  <c r="G181" i="2"/>
  <c r="G332" i="2"/>
  <c r="G139" i="2"/>
  <c r="G2" i="2"/>
  <c r="G324" i="2"/>
  <c r="G487" i="2"/>
  <c r="G264" i="2"/>
  <c r="G462" i="2"/>
  <c r="G161" i="2"/>
  <c r="G305" i="2"/>
  <c r="G74" i="2"/>
  <c r="G120" i="2"/>
  <c r="G401" i="2"/>
  <c r="G45" i="2"/>
  <c r="G225" i="2"/>
  <c r="G10" i="2"/>
  <c r="G103" i="2"/>
  <c r="G7" i="2"/>
  <c r="G14" i="2"/>
  <c r="G413" i="2"/>
  <c r="G438" i="2"/>
  <c r="G267" i="2"/>
  <c r="G393" i="2"/>
  <c r="G445" i="2"/>
  <c r="G126" i="2"/>
  <c r="G73" i="2"/>
  <c r="G21" i="2"/>
  <c r="G320" i="2"/>
  <c r="G420" i="2"/>
  <c r="G99" i="2"/>
  <c r="G195" i="2"/>
  <c r="G49" i="2"/>
  <c r="G216" i="2"/>
  <c r="G104" i="2"/>
  <c r="J34" i="1" l="1"/>
  <c r="F104" i="2"/>
  <c r="F216" i="2"/>
  <c r="F49" i="2"/>
  <c r="F195" i="2"/>
  <c r="F99" i="2"/>
  <c r="F420" i="2"/>
  <c r="F320" i="2"/>
  <c r="F21" i="2"/>
  <c r="F73" i="2"/>
  <c r="F126" i="2"/>
  <c r="F445" i="2"/>
  <c r="F393" i="2"/>
  <c r="F267" i="2"/>
  <c r="F438" i="2"/>
  <c r="F413" i="2"/>
  <c r="F14" i="2"/>
  <c r="F7" i="2"/>
  <c r="F103" i="2"/>
  <c r="F10" i="2"/>
  <c r="F225" i="2"/>
  <c r="F45" i="2"/>
  <c r="F401" i="2"/>
  <c r="F120" i="2"/>
  <c r="F74" i="2"/>
  <c r="F305" i="2"/>
  <c r="F161" i="2"/>
  <c r="F462" i="2"/>
  <c r="F264" i="2"/>
  <c r="F487" i="2"/>
  <c r="F324" i="2"/>
  <c r="F2" i="2"/>
  <c r="F139" i="2"/>
  <c r="F332" i="2"/>
  <c r="F181" i="2"/>
  <c r="F171" i="2"/>
  <c r="F215" i="2"/>
  <c r="F30" i="2"/>
  <c r="F262" i="2"/>
  <c r="F363" i="2"/>
  <c r="F388" i="2"/>
  <c r="F377" i="2"/>
  <c r="F356" i="2"/>
  <c r="F470" i="2"/>
  <c r="F422" i="2"/>
  <c r="F382" i="2"/>
  <c r="F54" i="2"/>
  <c r="F416" i="2"/>
  <c r="F307" i="2"/>
  <c r="F352" i="2"/>
  <c r="F15" i="2"/>
  <c r="F125" i="2"/>
  <c r="F381" i="2"/>
  <c r="F491" i="2"/>
  <c r="F412" i="2"/>
  <c r="F197" i="2"/>
  <c r="F183" i="2"/>
  <c r="F75" i="2"/>
  <c r="F35" i="2"/>
  <c r="F340" i="2"/>
  <c r="F44" i="2"/>
  <c r="F200" i="2"/>
  <c r="F221" i="2"/>
  <c r="F266" i="2"/>
  <c r="F201" i="2"/>
  <c r="F338" i="2"/>
  <c r="F278" i="2"/>
  <c r="F76" i="2"/>
  <c r="F407" i="2"/>
  <c r="F469" i="2"/>
  <c r="F369" i="2"/>
  <c r="F176" i="2"/>
  <c r="F24" i="2"/>
  <c r="F127" i="2"/>
  <c r="F321" i="2"/>
  <c r="F334" i="2"/>
  <c r="F5" i="2"/>
  <c r="F410" i="2"/>
  <c r="F119" i="2"/>
  <c r="F80" i="2"/>
  <c r="F92" i="2"/>
  <c r="F254" i="2"/>
  <c r="F43" i="2"/>
  <c r="F27" i="2"/>
  <c r="F296" i="2"/>
  <c r="F186" i="2"/>
  <c r="F148" i="2"/>
  <c r="F57" i="2"/>
  <c r="F323" i="2"/>
  <c r="F114" i="2"/>
  <c r="F396" i="2"/>
  <c r="F62" i="2"/>
  <c r="F342" i="2"/>
  <c r="F210" i="2"/>
  <c r="F464" i="2"/>
  <c r="F69" i="2"/>
  <c r="F115" i="2"/>
  <c r="F336" i="2"/>
  <c r="F242" i="2"/>
  <c r="F463" i="2"/>
  <c r="F20" i="2"/>
  <c r="F306" i="2"/>
  <c r="F424" i="2"/>
  <c r="F265" i="2"/>
  <c r="F453" i="2"/>
  <c r="F457" i="2"/>
  <c r="F41" i="2"/>
  <c r="F53" i="2"/>
  <c r="F273" i="2"/>
  <c r="F279" i="2"/>
  <c r="F149" i="2"/>
  <c r="F435" i="2"/>
  <c r="F429" i="2"/>
  <c r="F85" i="2"/>
  <c r="F276" i="2"/>
  <c r="F222" i="2"/>
  <c r="F34" i="2"/>
  <c r="F379" i="2"/>
  <c r="F29" i="2"/>
  <c r="F355" i="2"/>
  <c r="F353" i="2"/>
  <c r="F113" i="2"/>
  <c r="F220" i="2"/>
  <c r="F164" i="2"/>
  <c r="F431" i="2"/>
  <c r="F433" i="2"/>
  <c r="F448" i="2"/>
  <c r="F177" i="2"/>
  <c r="F387" i="2"/>
  <c r="F389" i="2"/>
  <c r="F141" i="2"/>
  <c r="F185" i="2"/>
  <c r="F313" i="2"/>
  <c r="F96" i="2"/>
  <c r="F492" i="2"/>
  <c r="F398" i="2"/>
  <c r="F274" i="2"/>
  <c r="F488" i="2"/>
  <c r="F60" i="2"/>
  <c r="F122" i="2"/>
  <c r="F477" i="2"/>
  <c r="F246" i="2"/>
  <c r="F268" i="2"/>
  <c r="F289" i="2"/>
  <c r="F447" i="2"/>
  <c r="F290" i="2"/>
  <c r="F272" i="2"/>
  <c r="F233" i="2"/>
  <c r="F255" i="2"/>
  <c r="F257" i="2"/>
  <c r="F230" i="2"/>
  <c r="F333" i="2"/>
  <c r="F121" i="2"/>
  <c r="F471" i="2"/>
  <c r="F93" i="2"/>
  <c r="F493" i="2"/>
  <c r="F408" i="2"/>
  <c r="F175" i="2"/>
  <c r="F196" i="2"/>
  <c r="F293" i="2"/>
  <c r="F101" i="2"/>
  <c r="F423" i="2"/>
  <c r="F253" i="2"/>
  <c r="F298" i="2"/>
  <c r="F47" i="2"/>
  <c r="F40" i="2"/>
  <c r="F367" i="2"/>
  <c r="F248" i="2"/>
  <c r="F128" i="2"/>
  <c r="F106" i="2"/>
  <c r="F256" i="2"/>
  <c r="F168" i="2"/>
  <c r="F224" i="2"/>
  <c r="F287" i="2"/>
  <c r="F118" i="2"/>
  <c r="F489" i="2"/>
  <c r="F405" i="2"/>
  <c r="F490" i="2"/>
  <c r="F95" i="2"/>
  <c r="F116" i="2"/>
  <c r="F38" i="2"/>
  <c r="F198" i="2"/>
  <c r="F19" i="2"/>
  <c r="F173" i="2"/>
  <c r="F218" i="2"/>
  <c r="F130" i="2"/>
  <c r="F64" i="2"/>
  <c r="F282" i="2"/>
  <c r="F123" i="2"/>
  <c r="F459" i="2"/>
  <c r="F460" i="2"/>
  <c r="F443" i="2"/>
  <c r="F374" i="2"/>
  <c r="F187" i="2"/>
  <c r="F308" i="2"/>
  <c r="F240" i="2"/>
  <c r="F28" i="2"/>
  <c r="F441" i="2"/>
  <c r="F474" i="2"/>
  <c r="F473" i="2"/>
  <c r="F345" i="2"/>
  <c r="F178" i="2"/>
  <c r="F151" i="2"/>
  <c r="F231" i="2"/>
  <c r="F79" i="2"/>
  <c r="F213" i="2"/>
  <c r="F461" i="2"/>
  <c r="F450" i="2"/>
  <c r="F465" i="2"/>
  <c r="F394" i="2"/>
  <c r="F472" i="2"/>
  <c r="F179" i="2"/>
  <c r="F383" i="2"/>
  <c r="F359" i="2"/>
  <c r="F484" i="2"/>
  <c r="F384" i="2"/>
  <c r="F417" i="2"/>
  <c r="F440" i="2"/>
  <c r="F483" i="2"/>
  <c r="F87" i="2"/>
  <c r="F237" i="2"/>
  <c r="F180" i="2"/>
  <c r="F84" i="2"/>
  <c r="F444" i="2"/>
  <c r="F71" i="2"/>
  <c r="F418" i="2"/>
  <c r="F22" i="2"/>
  <c r="F159" i="2"/>
  <c r="F479" i="2"/>
  <c r="F291" i="2"/>
  <c r="F482" i="2"/>
  <c r="F138" i="2"/>
  <c r="F269" i="2"/>
  <c r="F286" i="2"/>
  <c r="F132" i="2"/>
  <c r="F211" i="2"/>
  <c r="F153" i="2"/>
  <c r="F192" i="2"/>
  <c r="F158" i="2"/>
  <c r="F129" i="2"/>
  <c r="F362" i="2"/>
  <c r="F135" i="2"/>
  <c r="F322" i="2"/>
  <c r="F244" i="2"/>
  <c r="F395" i="2"/>
  <c r="F235" i="2"/>
  <c r="F368" i="2"/>
  <c r="F375" i="2"/>
  <c r="F23" i="2"/>
  <c r="F415" i="2"/>
  <c r="F42" i="2"/>
  <c r="F31" i="2"/>
  <c r="F406" i="2"/>
  <c r="F348" i="2"/>
  <c r="F302" i="2"/>
  <c r="F284" i="2"/>
  <c r="F102" i="2"/>
  <c r="F12" i="2"/>
  <c r="F318" i="2"/>
  <c r="F350" i="2"/>
  <c r="F400" i="2"/>
  <c r="F223" i="2"/>
  <c r="F46" i="2"/>
  <c r="F212" i="2"/>
  <c r="F312" i="2"/>
  <c r="F156" i="2"/>
  <c r="F294" i="2"/>
  <c r="F55" i="2"/>
  <c r="F124" i="2"/>
  <c r="F133" i="2"/>
  <c r="F226" i="2"/>
  <c r="F437" i="2"/>
  <c r="F16" i="2"/>
  <c r="F83" i="2"/>
  <c r="F117" i="2"/>
  <c r="F9" i="2"/>
  <c r="F189" i="2"/>
  <c r="F364" i="2"/>
  <c r="F301" i="2"/>
  <c r="F370" i="2"/>
  <c r="F111" i="2"/>
  <c r="F13" i="2"/>
  <c r="F349" i="2"/>
  <c r="F311" i="2"/>
  <c r="F480" i="2"/>
  <c r="F174" i="2"/>
  <c r="F252" i="2"/>
  <c r="F458" i="2"/>
  <c r="F25" i="2"/>
  <c r="F295" i="2"/>
  <c r="F288" i="2"/>
  <c r="F4" i="2"/>
  <c r="F339" i="2"/>
  <c r="F428" i="2"/>
  <c r="F188" i="2"/>
  <c r="F399" i="2"/>
  <c r="F67" i="2"/>
  <c r="F372" i="2"/>
  <c r="F52" i="2"/>
  <c r="F354" i="2"/>
  <c r="F182" i="2"/>
  <c r="F3" i="2"/>
  <c r="F155" i="2"/>
  <c r="F297" i="2"/>
  <c r="F169" i="2"/>
  <c r="F166" i="2"/>
  <c r="F358" i="2"/>
  <c r="F165" i="2"/>
  <c r="F199" i="2"/>
  <c r="F162" i="2"/>
  <c r="F495" i="2"/>
  <c r="F366" i="2"/>
  <c r="F249" i="2"/>
  <c r="F315" i="2"/>
  <c r="F325" i="2"/>
  <c r="F378" i="2"/>
  <c r="F300" i="2"/>
  <c r="F152" i="2"/>
  <c r="F341" i="2"/>
  <c r="F247" i="2"/>
  <c r="F70" i="2"/>
  <c r="F63" i="2"/>
  <c r="F337" i="2"/>
  <c r="F430" i="2"/>
  <c r="F241" i="2"/>
  <c r="F419" i="2"/>
  <c r="F136" i="2"/>
  <c r="F107" i="2"/>
  <c r="F68" i="2"/>
  <c r="F260" i="2"/>
  <c r="F403" i="2"/>
  <c r="F140" i="2"/>
  <c r="F137" i="2"/>
  <c r="F361" i="2"/>
  <c r="F299" i="2"/>
  <c r="F208" i="2"/>
  <c r="F108" i="2"/>
  <c r="F304" i="2"/>
  <c r="F316" i="2"/>
  <c r="F432" i="2"/>
  <c r="F144" i="2"/>
  <c r="F486" i="2"/>
  <c r="F426" i="2"/>
  <c r="F467" i="2"/>
  <c r="F326" i="2"/>
  <c r="F217" i="2"/>
  <c r="F82" i="2"/>
  <c r="F203" i="2"/>
  <c r="F243" i="2"/>
  <c r="F190" i="2"/>
  <c r="F455" i="2"/>
  <c r="F328" i="2"/>
  <c r="F251" i="2"/>
  <c r="F329" i="2"/>
  <c r="F90" i="2"/>
  <c r="F263" i="2"/>
  <c r="F310" i="2"/>
  <c r="F446" i="2"/>
  <c r="F50" i="2"/>
  <c r="F303" i="2"/>
  <c r="F344" i="2"/>
  <c r="F270" i="2"/>
  <c r="F452" i="2"/>
  <c r="F449" i="2"/>
  <c r="F283" i="2"/>
  <c r="F193" i="2"/>
  <c r="F56" i="2"/>
  <c r="F61" i="2"/>
  <c r="F81" i="2"/>
  <c r="F317" i="2"/>
  <c r="F250" i="2"/>
  <c r="F163" i="2"/>
  <c r="F207" i="2"/>
  <c r="F184" i="2"/>
  <c r="F261" i="2"/>
  <c r="F219" i="2"/>
  <c r="F411" i="2"/>
  <c r="F206" i="2"/>
  <c r="F292" i="2"/>
  <c r="F33" i="2"/>
  <c r="F475" i="2"/>
  <c r="F392" i="2"/>
  <c r="F357" i="2"/>
  <c r="F271" i="2"/>
  <c r="F105" i="2"/>
  <c r="F205" i="2"/>
  <c r="F275" i="2"/>
  <c r="F238" i="2"/>
  <c r="F351" i="2"/>
  <c r="F66" i="2"/>
  <c r="F259" i="2"/>
  <c r="F414" i="2"/>
  <c r="F236" i="2"/>
  <c r="F37" i="2"/>
  <c r="F39" i="2"/>
  <c r="F58" i="2"/>
  <c r="F373" i="2"/>
  <c r="F397" i="2"/>
  <c r="F77" i="2"/>
  <c r="F245" i="2"/>
  <c r="F347" i="2"/>
  <c r="F258" i="2"/>
  <c r="F371" i="2"/>
  <c r="F86" i="2"/>
  <c r="F32" i="2"/>
  <c r="F191" i="2"/>
  <c r="F146" i="2"/>
  <c r="F454" i="2"/>
  <c r="F6" i="2"/>
  <c r="F157" i="2"/>
  <c r="F239" i="2"/>
  <c r="F481" i="2"/>
  <c r="F456" i="2"/>
  <c r="F451" i="2"/>
  <c r="F100" i="2"/>
  <c r="F427" i="2"/>
  <c r="F89" i="2"/>
  <c r="F214" i="2"/>
  <c r="F439" i="2"/>
  <c r="F112" i="2"/>
  <c r="F331" i="2"/>
  <c r="F26" i="2"/>
  <c r="F468" i="2"/>
  <c r="F209" i="2"/>
  <c r="F78" i="2"/>
  <c r="F421" i="2"/>
  <c r="F8" i="2"/>
  <c r="F234" i="2"/>
  <c r="F150" i="2"/>
  <c r="F319" i="2"/>
  <c r="F376" i="2"/>
  <c r="F109" i="2"/>
  <c r="F327" i="2"/>
  <c r="F436" i="2"/>
  <c r="F409" i="2"/>
  <c r="F277" i="2"/>
  <c r="F346" i="2"/>
  <c r="F59" i="2"/>
  <c r="F330" i="2"/>
  <c r="F134" i="2"/>
  <c r="F91" i="2"/>
  <c r="F154" i="2"/>
  <c r="F476" i="2"/>
  <c r="F229" i="2"/>
  <c r="F485" i="2"/>
  <c r="F131" i="2"/>
  <c r="F281" i="2"/>
  <c r="F167" i="2"/>
  <c r="F172" i="2"/>
  <c r="F17" i="2"/>
  <c r="F386" i="2"/>
  <c r="F228" i="2"/>
  <c r="F170" i="2"/>
  <c r="F380" i="2"/>
  <c r="F391" i="2"/>
  <c r="F143" i="2"/>
  <c r="F466" i="2"/>
  <c r="F434" i="2"/>
  <c r="F160" i="2"/>
  <c r="F48" i="2"/>
  <c r="F314" i="2"/>
  <c r="F365" i="2"/>
  <c r="F402" i="2"/>
  <c r="F494" i="2"/>
  <c r="F309" i="2"/>
  <c r="F65" i="2"/>
  <c r="F11" i="2"/>
  <c r="F425" i="2"/>
  <c r="F478" i="2"/>
  <c r="F88" i="2"/>
  <c r="F36" i="2"/>
  <c r="F18" i="2"/>
  <c r="F285" i="2"/>
  <c r="F194" i="2"/>
  <c r="F280" i="2"/>
  <c r="F145" i="2"/>
  <c r="F390" i="2"/>
  <c r="F94" i="2"/>
  <c r="F227" i="2"/>
  <c r="F335" i="2"/>
  <c r="F232" i="2"/>
  <c r="F97" i="2"/>
  <c r="F385" i="2"/>
  <c r="F343" i="2"/>
  <c r="F142" i="2"/>
  <c r="F51" i="2"/>
  <c r="F110" i="2"/>
  <c r="F404" i="2"/>
  <c r="F202" i="2"/>
  <c r="F442" i="2"/>
  <c r="F147" i="2"/>
  <c r="F98" i="2"/>
  <c r="F204" i="2"/>
  <c r="F360" i="2"/>
  <c r="F72" i="2"/>
  <c r="I16" i="1"/>
  <c r="D25" i="1" s="1"/>
  <c r="E1" i="2"/>
  <c r="J26" i="1"/>
  <c r="L26" i="1" s="1"/>
  <c r="M26" i="1" s="1"/>
  <c r="L34" i="1"/>
  <c r="M34" i="1" s="1"/>
  <c r="J41" i="1"/>
  <c r="J21" i="1"/>
  <c r="E98" i="2"/>
  <c r="E265" i="2"/>
  <c r="E455" i="2"/>
  <c r="E466" i="2"/>
  <c r="E151" i="2"/>
  <c r="E325" i="2"/>
  <c r="E459" i="2"/>
  <c r="E79" i="2"/>
  <c r="E44" i="2"/>
  <c r="E125" i="2"/>
  <c r="E320" i="2"/>
  <c r="E268" i="2"/>
  <c r="E293" i="2"/>
  <c r="E46" i="2"/>
  <c r="E199" i="2"/>
  <c r="E117" i="2"/>
  <c r="E150" i="2"/>
  <c r="E279" i="2"/>
  <c r="E33" i="2"/>
  <c r="E463" i="2"/>
  <c r="E58" i="2"/>
  <c r="E78" i="2"/>
  <c r="E483" i="2"/>
  <c r="E24" i="2"/>
  <c r="E257" i="2"/>
  <c r="E315" i="2"/>
  <c r="E92" i="2"/>
  <c r="E260" i="2"/>
  <c r="E156" i="2"/>
  <c r="E444" i="2"/>
  <c r="E71" i="2"/>
  <c r="E12" i="2"/>
  <c r="E371" i="2"/>
  <c r="E384" i="2"/>
  <c r="E294" i="2"/>
  <c r="E314" i="2"/>
  <c r="E172" i="2"/>
  <c r="E276" i="2"/>
  <c r="E66" i="2"/>
  <c r="E439" i="2"/>
  <c r="E277" i="2"/>
  <c r="E313" i="2"/>
  <c r="E295" i="2"/>
  <c r="E355" i="2"/>
  <c r="E139" i="2"/>
  <c r="E312" i="2"/>
  <c r="E141" i="2"/>
  <c r="E7" i="2"/>
  <c r="E311" i="2"/>
  <c r="E329" i="2"/>
  <c r="E157" i="2"/>
  <c r="E436" i="2"/>
  <c r="E4" i="2"/>
  <c r="E212" i="2"/>
  <c r="E38" i="2"/>
  <c r="E397" i="2"/>
  <c r="E447" i="2"/>
  <c r="E430" i="2"/>
  <c r="E94" i="2"/>
  <c r="E36" i="2"/>
  <c r="E357" i="2"/>
  <c r="E356" i="2"/>
  <c r="E245" i="2"/>
  <c r="E22" i="2"/>
  <c r="E194" i="2"/>
  <c r="E319" i="2"/>
  <c r="E484" i="2"/>
  <c r="E50" i="2"/>
  <c r="E399" i="2"/>
  <c r="E95" i="2"/>
  <c r="E107" i="2"/>
  <c r="E453" i="2"/>
  <c r="E32" i="2"/>
  <c r="E382" i="2"/>
  <c r="E296" i="2"/>
  <c r="E104" i="2"/>
  <c r="E8" i="2"/>
  <c r="E147" i="2"/>
  <c r="E130" i="2"/>
  <c r="E196" i="2"/>
  <c r="E414" i="2"/>
  <c r="E180" i="2"/>
  <c r="E449" i="2"/>
  <c r="E167" i="2"/>
  <c r="E201" i="2"/>
  <c r="E86" i="2"/>
  <c r="E428" i="2"/>
  <c r="E48" i="2"/>
  <c r="E495" i="2"/>
  <c r="E227" i="2"/>
  <c r="E431" i="2"/>
  <c r="E480" i="2"/>
  <c r="E174" i="2"/>
  <c r="E27" i="2"/>
  <c r="E37" i="2"/>
  <c r="E406" i="2"/>
  <c r="E467" i="2"/>
  <c r="E83" i="2"/>
  <c r="E49" i="2"/>
  <c r="E446" i="2"/>
  <c r="E292" i="2"/>
  <c r="E251" i="2"/>
  <c r="E370" i="2"/>
  <c r="E273" i="2"/>
  <c r="E284" i="2"/>
  <c r="E322" i="2"/>
  <c r="E475" i="2"/>
  <c r="E53" i="2"/>
  <c r="E2" i="2"/>
  <c r="E419" i="2"/>
  <c r="E421" i="2"/>
  <c r="E63" i="2"/>
  <c r="E434" i="2"/>
  <c r="E346" i="2"/>
  <c r="E177" i="2"/>
  <c r="E99" i="2"/>
  <c r="E52" i="2"/>
  <c r="E183" i="2"/>
  <c r="E189" i="2"/>
  <c r="E23" i="2"/>
  <c r="E6" i="2"/>
  <c r="E154" i="2"/>
  <c r="E417" i="2"/>
  <c r="E398" i="2"/>
  <c r="E144" i="2"/>
  <c r="E89" i="2"/>
  <c r="E122" i="2"/>
  <c r="E341" i="2"/>
  <c r="E461" i="2"/>
  <c r="E195" i="2"/>
  <c r="E386" i="2"/>
  <c r="E481" i="2"/>
  <c r="E349" i="2"/>
  <c r="E440" i="2"/>
  <c r="E173" i="2"/>
  <c r="E19" i="2"/>
  <c r="E21" i="2"/>
  <c r="E491" i="2"/>
  <c r="E450" i="2"/>
  <c r="E468" i="2"/>
  <c r="E409" i="2"/>
  <c r="E10" i="2"/>
  <c r="E362" i="2"/>
  <c r="E43" i="2"/>
  <c r="E342" i="2"/>
  <c r="E306" i="2"/>
  <c r="E152" i="2"/>
  <c r="E411" i="2"/>
  <c r="E190" i="2"/>
  <c r="E17" i="2"/>
  <c r="E392" i="2"/>
  <c r="E74" i="2"/>
  <c r="E328" i="2"/>
  <c r="E493" i="2"/>
  <c r="E270" i="2"/>
  <c r="E206" i="2"/>
  <c r="E261" i="2"/>
  <c r="E402" i="2"/>
  <c r="E87" i="2"/>
  <c r="E197" i="2"/>
  <c r="E375" i="2"/>
  <c r="E326" i="2"/>
  <c r="E200" i="2"/>
  <c r="E460" i="2"/>
  <c r="E336" i="2"/>
  <c r="E225" i="2"/>
  <c r="E465" i="2"/>
  <c r="E5" i="2"/>
  <c r="E35" i="2"/>
  <c r="E263" i="2"/>
  <c r="E178" i="2"/>
  <c r="E228" i="2"/>
  <c r="E404" i="2"/>
  <c r="E422" i="2"/>
  <c r="E62" i="2"/>
  <c r="E476" i="2"/>
  <c r="E246" i="2"/>
  <c r="E169" i="2"/>
  <c r="E67" i="2"/>
  <c r="E290" i="2"/>
  <c r="E376" i="2"/>
  <c r="E485" i="2"/>
  <c r="E304" i="2"/>
  <c r="E81" i="2"/>
  <c r="E378" i="2"/>
  <c r="E278" i="2"/>
  <c r="E442" i="2"/>
  <c r="E198" i="2"/>
  <c r="E142" i="2"/>
  <c r="E138" i="2"/>
  <c r="E254" i="2"/>
  <c r="E423" i="2"/>
  <c r="E374" i="2"/>
  <c r="E85" i="2"/>
  <c r="E269" i="2"/>
  <c r="E16" i="2"/>
  <c r="E165" i="2"/>
  <c r="E118" i="2"/>
  <c r="E482" i="2"/>
  <c r="E445" i="2"/>
  <c r="E135" i="2"/>
  <c r="E226" i="2"/>
  <c r="E271" i="2"/>
  <c r="E338" i="2"/>
  <c r="E454" i="2"/>
  <c r="E211" i="2"/>
  <c r="E214" i="2"/>
  <c r="E352" i="2"/>
  <c r="E224" i="2"/>
  <c r="E176" i="2"/>
  <c r="E330" i="2"/>
  <c r="E175" i="2"/>
  <c r="E123" i="2"/>
  <c r="E126" i="2"/>
  <c r="E13" i="2"/>
  <c r="E88" i="2"/>
  <c r="E248" i="2"/>
  <c r="E316" i="2"/>
  <c r="E255" i="2"/>
  <c r="E441" i="2"/>
  <c r="E388" i="2"/>
  <c r="E464" i="2"/>
  <c r="E231" i="2"/>
  <c r="E426" i="2"/>
  <c r="E82" i="2"/>
  <c r="E59" i="2"/>
  <c r="E471" i="2"/>
  <c r="E396" i="2"/>
  <c r="E280" i="2"/>
  <c r="E148" i="2"/>
  <c r="E121" i="2"/>
  <c r="E209" i="2"/>
  <c r="E340" i="2"/>
  <c r="E219" i="2"/>
  <c r="E153" i="2"/>
  <c r="E113" i="2"/>
  <c r="E162" i="2"/>
  <c r="E334" i="2"/>
  <c r="E323" i="2"/>
  <c r="E112" i="2"/>
  <c r="E456" i="2"/>
  <c r="E116" i="2"/>
  <c r="E127" i="2"/>
  <c r="E164" i="2"/>
  <c r="E60" i="2"/>
  <c r="E360" i="2"/>
  <c r="E137" i="2"/>
  <c r="E286" i="2"/>
  <c r="E119" i="2"/>
  <c r="E213" i="2"/>
  <c r="E168" i="2"/>
  <c r="E452" i="2"/>
  <c r="E410" i="2"/>
  <c r="E45" i="2"/>
  <c r="E407" i="2"/>
  <c r="E298" i="2"/>
  <c r="E106" i="2"/>
  <c r="E160" i="2"/>
  <c r="E238" i="2"/>
  <c r="E438" i="2"/>
  <c r="E259" i="2"/>
  <c r="E237" i="2"/>
  <c r="E210" i="2"/>
  <c r="E28" i="2"/>
  <c r="E181" i="2"/>
  <c r="E333" i="2"/>
  <c r="E54" i="2"/>
  <c r="E443" i="2"/>
  <c r="E267" i="2"/>
  <c r="E366" i="2"/>
  <c r="E457" i="2"/>
  <c r="E232" i="2"/>
  <c r="E143" i="2"/>
  <c r="E140" i="2"/>
  <c r="E424" i="2"/>
  <c r="E240" i="2"/>
  <c r="E479" i="2"/>
  <c r="E11" i="2"/>
  <c r="E488" i="2"/>
  <c r="E335" i="2"/>
  <c r="E351" i="2"/>
  <c r="E65" i="2"/>
  <c r="E14" i="2"/>
  <c r="E420" i="2"/>
  <c r="E486" i="2"/>
  <c r="E230" i="2"/>
  <c r="E192" i="2"/>
  <c r="E77" i="2"/>
  <c r="E391" i="2"/>
  <c r="E377" i="2"/>
  <c r="E281" i="2"/>
  <c r="E234" i="2"/>
  <c r="E425" i="2"/>
  <c r="E494" i="2"/>
  <c r="E478" i="2"/>
  <c r="E241" i="2"/>
  <c r="E103" i="2"/>
  <c r="E389" i="2"/>
  <c r="E145" i="2"/>
  <c r="E253" i="2"/>
  <c r="E250" i="2"/>
  <c r="E70" i="2"/>
  <c r="E299" i="2"/>
  <c r="E73" i="2"/>
  <c r="E473" i="2"/>
  <c r="E179" i="2"/>
  <c r="E216" i="2"/>
  <c r="E365" i="2"/>
  <c r="E222" i="2"/>
  <c r="E42" i="2"/>
  <c r="E100" i="2"/>
  <c r="E350" i="2"/>
  <c r="E221" i="2"/>
  <c r="E372" i="2"/>
  <c r="E256" i="2"/>
  <c r="E114" i="2"/>
  <c r="E383" i="2"/>
  <c r="E363" i="2"/>
  <c r="E128" i="2"/>
  <c r="E307" i="2"/>
  <c r="E110" i="2"/>
  <c r="E282" i="2"/>
  <c r="E373" i="2"/>
  <c r="E321" i="2"/>
  <c r="E412" i="2"/>
  <c r="E275" i="2"/>
  <c r="E390" i="2"/>
  <c r="E40" i="2"/>
  <c r="E403" i="2"/>
  <c r="E109" i="2"/>
  <c r="E132" i="2"/>
  <c r="E469" i="2"/>
  <c r="E309" i="2"/>
  <c r="E243" i="2"/>
  <c r="E380" i="2"/>
  <c r="E61" i="2"/>
  <c r="E90" i="2"/>
  <c r="E489" i="2"/>
  <c r="E133" i="2"/>
  <c r="E242" i="2"/>
  <c r="E146" i="2"/>
  <c r="E84" i="2"/>
  <c r="E188" i="2"/>
  <c r="E343" i="2"/>
  <c r="E354" i="2"/>
  <c r="E287" i="2"/>
  <c r="E435" i="2"/>
  <c r="E31" i="2"/>
  <c r="E381" i="2"/>
  <c r="E249" i="2"/>
  <c r="E368" i="2"/>
  <c r="E68" i="2"/>
  <c r="E303" i="2"/>
  <c r="E208" i="2"/>
  <c r="E134" i="2"/>
  <c r="E193" i="2"/>
  <c r="E405" i="2"/>
  <c r="E437" i="2"/>
  <c r="E120" i="2"/>
  <c r="E348" i="2"/>
  <c r="E93" i="2"/>
  <c r="E215" i="2"/>
  <c r="E432" i="2"/>
  <c r="E285" i="2"/>
  <c r="E262" i="2"/>
  <c r="E69" i="2"/>
  <c r="E379" i="2"/>
  <c r="E111" i="2"/>
  <c r="E239" i="2"/>
  <c r="E401" i="2"/>
  <c r="E474" i="2"/>
  <c r="E163" i="2"/>
  <c r="E220" i="2"/>
  <c r="E413" i="2"/>
  <c r="E51" i="2"/>
  <c r="E462" i="2"/>
  <c r="E20" i="2"/>
  <c r="E236" i="2"/>
  <c r="E472" i="2"/>
  <c r="E369" i="2"/>
  <c r="E283" i="2"/>
  <c r="E170" i="2"/>
  <c r="E229" i="2"/>
  <c r="E115" i="2"/>
  <c r="E149" i="2"/>
  <c r="E415" i="2"/>
  <c r="E105" i="2"/>
  <c r="E191" i="2"/>
  <c r="E274" i="2"/>
  <c r="E182" i="2"/>
  <c r="E187" i="2"/>
  <c r="E205" i="2"/>
  <c r="E186" i="2"/>
  <c r="E217" i="2"/>
  <c r="E26" i="2"/>
  <c r="E15" i="2"/>
  <c r="E361" i="2"/>
  <c r="E345" i="2"/>
  <c r="E155" i="2"/>
  <c r="E30" i="2"/>
  <c r="E332" i="2"/>
  <c r="E448" i="2"/>
  <c r="E327" i="2"/>
  <c r="E166" i="2"/>
  <c r="E75" i="2"/>
  <c r="E258" i="2"/>
  <c r="E288" i="2"/>
  <c r="E9" i="2"/>
  <c r="E387" i="2"/>
  <c r="E47" i="2"/>
  <c r="E359" i="2"/>
  <c r="E64" i="2"/>
  <c r="E204" i="2"/>
  <c r="E55" i="2"/>
  <c r="E451" i="2"/>
  <c r="E272" i="2"/>
  <c r="E266" i="2"/>
  <c r="E324" i="2"/>
  <c r="E101" i="2"/>
  <c r="E131" i="2"/>
  <c r="E490" i="2"/>
  <c r="E223" i="2"/>
  <c r="E418" i="2"/>
  <c r="E3" i="2"/>
  <c r="E161" i="2"/>
  <c r="E41" i="2"/>
  <c r="E91" i="2"/>
  <c r="E184" i="2"/>
  <c r="E300" i="2"/>
  <c r="E136" i="2"/>
  <c r="E347" i="2"/>
  <c r="E353" i="2"/>
  <c r="E302" i="2"/>
  <c r="E185" i="2"/>
  <c r="E427" i="2"/>
  <c r="E39" i="2"/>
  <c r="E400" i="2"/>
  <c r="E416" i="2"/>
  <c r="E487" i="2"/>
  <c r="E18" i="2"/>
  <c r="E203" i="2"/>
  <c r="E34" i="2"/>
  <c r="E233" i="2"/>
  <c r="E97" i="2"/>
  <c r="E29" i="2"/>
  <c r="E477" i="2"/>
  <c r="E297" i="2"/>
  <c r="E310" i="2"/>
  <c r="E395" i="2"/>
  <c r="E339" i="2"/>
  <c r="E56" i="2"/>
  <c r="E367" i="2"/>
  <c r="E393" i="2"/>
  <c r="E218" i="2"/>
  <c r="E171" i="2"/>
  <c r="E318" i="2"/>
  <c r="E429" i="2"/>
  <c r="E124" i="2"/>
  <c r="E129" i="2"/>
  <c r="E492" i="2"/>
  <c r="E385" i="2"/>
  <c r="E158" i="2"/>
  <c r="E364" i="2"/>
  <c r="E102" i="2"/>
  <c r="E289" i="2"/>
  <c r="E433" i="2"/>
  <c r="E301" i="2"/>
  <c r="E235" i="2"/>
  <c r="E80" i="2"/>
  <c r="E108" i="2"/>
  <c r="E344" i="2"/>
  <c r="E57" i="2"/>
  <c r="E308" i="2"/>
  <c r="E408" i="2"/>
  <c r="E252" i="2"/>
  <c r="E470" i="2"/>
  <c r="E305" i="2"/>
  <c r="E72" i="2"/>
  <c r="E358" i="2"/>
  <c r="E202" i="2"/>
  <c r="E331" i="2"/>
  <c r="E76" i="2"/>
  <c r="E458" i="2"/>
  <c r="E291" i="2"/>
  <c r="E264" i="2"/>
  <c r="E207" i="2"/>
  <c r="E244" i="2"/>
  <c r="E247" i="2"/>
  <c r="E159" i="2"/>
  <c r="E337" i="2"/>
  <c r="E25" i="2"/>
  <c r="E394" i="2"/>
  <c r="E96" i="2"/>
  <c r="E317" i="2"/>
  <c r="D317" i="2" l="1"/>
  <c r="C317" i="2"/>
  <c r="C96" i="2"/>
  <c r="D96" i="2"/>
  <c r="C394" i="2"/>
  <c r="D394" i="2"/>
  <c r="D25" i="2"/>
  <c r="C25" i="2"/>
  <c r="C337" i="2"/>
  <c r="D337" i="2"/>
  <c r="C159" i="2"/>
  <c r="D159" i="2"/>
  <c r="C247" i="2"/>
  <c r="D247" i="2"/>
  <c r="D244" i="2"/>
  <c r="C244" i="2"/>
  <c r="D207" i="2"/>
  <c r="C207" i="2"/>
  <c r="D264" i="2"/>
  <c r="C264" i="2"/>
  <c r="C291" i="2"/>
  <c r="D291" i="2"/>
  <c r="D458" i="2"/>
  <c r="C458" i="2"/>
  <c r="D76" i="2"/>
  <c r="C76" i="2"/>
  <c r="C331" i="2"/>
  <c r="D331" i="2"/>
  <c r="C202" i="2"/>
  <c r="D202" i="2"/>
  <c r="C358" i="2"/>
  <c r="D358" i="2"/>
  <c r="D72" i="2"/>
  <c r="C72" i="2"/>
  <c r="D305" i="2"/>
  <c r="C305" i="2"/>
  <c r="C470" i="2"/>
  <c r="D470" i="2"/>
  <c r="C252" i="2"/>
  <c r="D252" i="2"/>
  <c r="C408" i="2"/>
  <c r="D408" i="2"/>
  <c r="D308" i="2"/>
  <c r="C308" i="2"/>
  <c r="D57" i="2"/>
  <c r="C57" i="2"/>
  <c r="C344" i="2"/>
  <c r="D344" i="2"/>
  <c r="D108" i="2"/>
  <c r="C108" i="2"/>
  <c r="D80" i="2"/>
  <c r="C80" i="2"/>
  <c r="D235" i="2"/>
  <c r="C235" i="2"/>
  <c r="D301" i="2"/>
  <c r="C301" i="2"/>
  <c r="D433" i="2"/>
  <c r="C433" i="2"/>
  <c r="C289" i="2"/>
  <c r="D289" i="2"/>
  <c r="C102" i="2"/>
  <c r="D102" i="2"/>
  <c r="C364" i="2"/>
  <c r="D364" i="2"/>
  <c r="D158" i="2"/>
  <c r="C158" i="2"/>
  <c r="D385" i="2"/>
  <c r="C385" i="2"/>
  <c r="D492" i="2"/>
  <c r="C492" i="2"/>
  <c r="D129" i="2"/>
  <c r="C129" i="2"/>
  <c r="C124" i="2"/>
  <c r="D124" i="2"/>
  <c r="D429" i="2"/>
  <c r="C429" i="2"/>
  <c r="C318" i="2"/>
  <c r="D318" i="2"/>
  <c r="C171" i="2"/>
  <c r="D171" i="2"/>
  <c r="C218" i="2"/>
  <c r="D218" i="2"/>
  <c r="C393" i="2"/>
  <c r="D393" i="2"/>
  <c r="C367" i="2"/>
  <c r="D367" i="2"/>
  <c r="C56" i="2"/>
  <c r="D56" i="2"/>
  <c r="D339" i="2"/>
  <c r="C339" i="2"/>
  <c r="D395" i="2"/>
  <c r="C395" i="2"/>
  <c r="C310" i="2"/>
  <c r="D310" i="2"/>
  <c r="D297" i="2"/>
  <c r="C297" i="2"/>
  <c r="D477" i="2"/>
  <c r="C477" i="2"/>
  <c r="C29" i="2"/>
  <c r="D29" i="2"/>
  <c r="D97" i="2"/>
  <c r="C97" i="2"/>
  <c r="C233" i="2"/>
  <c r="D233" i="2"/>
  <c r="C34" i="2"/>
  <c r="D34" i="2"/>
  <c r="D203" i="2"/>
  <c r="C203" i="2"/>
  <c r="D18" i="2"/>
  <c r="C18" i="2"/>
  <c r="D487" i="2"/>
  <c r="C487" i="2"/>
  <c r="C416" i="2"/>
  <c r="D416" i="2"/>
  <c r="D400" i="2"/>
  <c r="C400" i="2"/>
  <c r="D39" i="2"/>
  <c r="C39" i="2"/>
  <c r="C427" i="2"/>
  <c r="D427" i="2"/>
  <c r="D185" i="2"/>
  <c r="C185" i="2"/>
  <c r="C302" i="2"/>
  <c r="D302" i="2"/>
  <c r="C353" i="2"/>
  <c r="D353" i="2"/>
  <c r="D347" i="2"/>
  <c r="C347" i="2"/>
  <c r="D136" i="2"/>
  <c r="C136" i="2"/>
  <c r="C300" i="2"/>
  <c r="D300" i="2"/>
  <c r="D184" i="2"/>
  <c r="C184" i="2"/>
  <c r="D91" i="2"/>
  <c r="C91" i="2"/>
  <c r="D41" i="2"/>
  <c r="C41" i="2"/>
  <c r="C161" i="2"/>
  <c r="D161" i="2"/>
  <c r="C3" i="2"/>
  <c r="D3" i="2"/>
  <c r="C418" i="2"/>
  <c r="D418" i="2"/>
  <c r="D223" i="2"/>
  <c r="C223" i="2"/>
  <c r="C490" i="2"/>
  <c r="D490" i="2"/>
  <c r="D131" i="2"/>
  <c r="C131" i="2"/>
  <c r="D101" i="2"/>
  <c r="C101" i="2"/>
  <c r="C324" i="2"/>
  <c r="D324" i="2"/>
  <c r="C266" i="2"/>
  <c r="D266" i="2"/>
  <c r="C272" i="2"/>
  <c r="D272" i="2"/>
  <c r="C451" i="2"/>
  <c r="D451" i="2"/>
  <c r="D55" i="2"/>
  <c r="C55" i="2"/>
  <c r="C204" i="2"/>
  <c r="D204" i="2"/>
  <c r="C64" i="2"/>
  <c r="D64" i="2"/>
  <c r="C359" i="2"/>
  <c r="D359" i="2"/>
  <c r="C47" i="2"/>
  <c r="D47" i="2"/>
  <c r="C387" i="2"/>
  <c r="D387" i="2"/>
  <c r="D9" i="2"/>
  <c r="C9" i="2"/>
  <c r="C288" i="2"/>
  <c r="D288" i="2"/>
  <c r="C258" i="2"/>
  <c r="D258" i="2"/>
  <c r="D75" i="2"/>
  <c r="C75" i="2"/>
  <c r="C166" i="2"/>
  <c r="D166" i="2"/>
  <c r="D327" i="2"/>
  <c r="C327" i="2"/>
  <c r="C448" i="2"/>
  <c r="D448" i="2"/>
  <c r="C332" i="2"/>
  <c r="D332" i="2"/>
  <c r="C30" i="2"/>
  <c r="D30" i="2"/>
  <c r="D155" i="2"/>
  <c r="C155" i="2"/>
  <c r="D345" i="2"/>
  <c r="C345" i="2"/>
  <c r="C361" i="2"/>
  <c r="D361" i="2"/>
  <c r="D15" i="2"/>
  <c r="C15" i="2"/>
  <c r="D26" i="2"/>
  <c r="C26" i="2"/>
  <c r="D217" i="2"/>
  <c r="C217" i="2"/>
  <c r="C186" i="2"/>
  <c r="D186" i="2"/>
  <c r="C205" i="2"/>
  <c r="D205" i="2"/>
  <c r="D187" i="2"/>
  <c r="C187" i="2"/>
  <c r="D182" i="2"/>
  <c r="C182" i="2"/>
  <c r="D274" i="2"/>
  <c r="C274" i="2"/>
  <c r="C191" i="2"/>
  <c r="D191" i="2"/>
  <c r="C105" i="2"/>
  <c r="D105" i="2"/>
  <c r="D415" i="2"/>
  <c r="C415" i="2"/>
  <c r="C149" i="2"/>
  <c r="D149" i="2"/>
  <c r="C115" i="2"/>
  <c r="D115" i="2"/>
  <c r="D229" i="2"/>
  <c r="C229" i="2"/>
  <c r="D170" i="2"/>
  <c r="C170" i="2"/>
  <c r="D283" i="2"/>
  <c r="C283" i="2"/>
  <c r="C369" i="2"/>
  <c r="D369" i="2"/>
  <c r="D472" i="2"/>
  <c r="C472" i="2"/>
  <c r="C236" i="2"/>
  <c r="D236" i="2"/>
  <c r="D20" i="2"/>
  <c r="C20" i="2"/>
  <c r="D462" i="2"/>
  <c r="C462" i="2"/>
  <c r="C51" i="2"/>
  <c r="D51" i="2"/>
  <c r="C413" i="2"/>
  <c r="D413" i="2"/>
  <c r="D220" i="2"/>
  <c r="C220" i="2"/>
  <c r="D163" i="2"/>
  <c r="C163" i="2"/>
  <c r="C474" i="2"/>
  <c r="D474" i="2"/>
  <c r="C401" i="2"/>
  <c r="D401" i="2"/>
  <c r="D239" i="2"/>
  <c r="C239" i="2"/>
  <c r="C111" i="2"/>
  <c r="D111" i="2"/>
  <c r="D379" i="2"/>
  <c r="C379" i="2"/>
  <c r="D69" i="2"/>
  <c r="C69" i="2"/>
  <c r="D262" i="2"/>
  <c r="C262" i="2"/>
  <c r="D285" i="2"/>
  <c r="C285" i="2"/>
  <c r="C432" i="2"/>
  <c r="D432" i="2"/>
  <c r="D215" i="2"/>
  <c r="C215" i="2"/>
  <c r="D93" i="2"/>
  <c r="C93" i="2"/>
  <c r="D348" i="2"/>
  <c r="C348" i="2"/>
  <c r="D120" i="2"/>
  <c r="C120" i="2"/>
  <c r="C437" i="2"/>
  <c r="D437" i="2"/>
  <c r="D405" i="2"/>
  <c r="C405" i="2"/>
  <c r="C193" i="2"/>
  <c r="D193" i="2"/>
  <c r="C134" i="2"/>
  <c r="D134" i="2"/>
  <c r="D208" i="2"/>
  <c r="C208" i="2"/>
  <c r="C303" i="2"/>
  <c r="D303" i="2"/>
  <c r="C68" i="2"/>
  <c r="D68" i="2"/>
  <c r="D368" i="2"/>
  <c r="C368" i="2"/>
  <c r="D249" i="2"/>
  <c r="C249" i="2"/>
  <c r="D381" i="2"/>
  <c r="C381" i="2"/>
  <c r="D31" i="2"/>
  <c r="C31" i="2"/>
  <c r="D435" i="2"/>
  <c r="C435" i="2"/>
  <c r="C287" i="2"/>
  <c r="D287" i="2"/>
  <c r="D354" i="2"/>
  <c r="C354" i="2"/>
  <c r="D343" i="2"/>
  <c r="C343" i="2"/>
  <c r="D188" i="2"/>
  <c r="C188" i="2"/>
  <c r="C84" i="2"/>
  <c r="D84" i="2"/>
  <c r="D146" i="2"/>
  <c r="C146" i="2"/>
  <c r="C242" i="2"/>
  <c r="D242" i="2"/>
  <c r="D133" i="2"/>
  <c r="C133" i="2"/>
  <c r="C489" i="2"/>
  <c r="D489" i="2"/>
  <c r="C90" i="2"/>
  <c r="D90" i="2"/>
  <c r="D61" i="2"/>
  <c r="C61" i="2"/>
  <c r="D380" i="2"/>
  <c r="C380" i="2"/>
  <c r="D243" i="2"/>
  <c r="C243" i="2"/>
  <c r="C309" i="2"/>
  <c r="D309" i="2"/>
  <c r="C469" i="2"/>
  <c r="D469" i="2"/>
  <c r="C132" i="2"/>
  <c r="D132" i="2"/>
  <c r="C109" i="2"/>
  <c r="D109" i="2"/>
  <c r="D403" i="2"/>
  <c r="C403" i="2"/>
  <c r="D40" i="2"/>
  <c r="C40" i="2"/>
  <c r="C390" i="2"/>
  <c r="D390" i="2"/>
  <c r="C275" i="2"/>
  <c r="D275" i="2"/>
  <c r="D412" i="2"/>
  <c r="C412" i="2"/>
  <c r="D321" i="2"/>
  <c r="C321" i="2"/>
  <c r="D373" i="2"/>
  <c r="C373" i="2"/>
  <c r="D282" i="2"/>
  <c r="C282" i="2"/>
  <c r="C110" i="2"/>
  <c r="D110" i="2"/>
  <c r="D307" i="2"/>
  <c r="C307" i="2"/>
  <c r="D128" i="2"/>
  <c r="C128" i="2"/>
  <c r="D363" i="2"/>
  <c r="C363" i="2"/>
  <c r="D383" i="2"/>
  <c r="C383" i="2"/>
  <c r="D114" i="2"/>
  <c r="C114" i="2"/>
  <c r="C256" i="2"/>
  <c r="D256" i="2"/>
  <c r="C372" i="2"/>
  <c r="D372" i="2"/>
  <c r="C221" i="2"/>
  <c r="D221" i="2"/>
  <c r="C350" i="2"/>
  <c r="D350" i="2"/>
  <c r="C100" i="2"/>
  <c r="D100" i="2"/>
  <c r="C42" i="2"/>
  <c r="D42" i="2"/>
  <c r="C222" i="2"/>
  <c r="D222" i="2"/>
  <c r="C365" i="2"/>
  <c r="D365" i="2"/>
  <c r="D216" i="2"/>
  <c r="C216" i="2"/>
  <c r="D179" i="2"/>
  <c r="C179" i="2"/>
  <c r="C473" i="2"/>
  <c r="D473" i="2"/>
  <c r="D73" i="2"/>
  <c r="C73" i="2"/>
  <c r="D299" i="2"/>
  <c r="C299" i="2"/>
  <c r="D70" i="2"/>
  <c r="C70" i="2"/>
  <c r="D250" i="2"/>
  <c r="C250" i="2"/>
  <c r="D253" i="2"/>
  <c r="C253" i="2"/>
  <c r="D145" i="2"/>
  <c r="C145" i="2"/>
  <c r="C389" i="2"/>
  <c r="D389" i="2"/>
  <c r="C103" i="2"/>
  <c r="D103" i="2"/>
  <c r="D241" i="2"/>
  <c r="C241" i="2"/>
  <c r="C478" i="2"/>
  <c r="D478" i="2"/>
  <c r="C494" i="2"/>
  <c r="D494" i="2"/>
  <c r="C425" i="2"/>
  <c r="D425" i="2"/>
  <c r="C234" i="2"/>
  <c r="D234" i="2"/>
  <c r="C281" i="2"/>
  <c r="D281" i="2"/>
  <c r="D377" i="2"/>
  <c r="C377" i="2"/>
  <c r="D391" i="2"/>
  <c r="C391" i="2"/>
  <c r="D77" i="2"/>
  <c r="C77" i="2"/>
  <c r="D192" i="2"/>
  <c r="C192" i="2"/>
  <c r="D230" i="2"/>
  <c r="C230" i="2"/>
  <c r="D486" i="2"/>
  <c r="C486" i="2"/>
  <c r="C420" i="2"/>
  <c r="D420" i="2"/>
  <c r="D14" i="2"/>
  <c r="C14" i="2"/>
  <c r="C65" i="2"/>
  <c r="D65" i="2"/>
  <c r="D351" i="2"/>
  <c r="C351" i="2"/>
  <c r="D335" i="2"/>
  <c r="C335" i="2"/>
  <c r="D488" i="2"/>
  <c r="C488" i="2"/>
  <c r="C11" i="2"/>
  <c r="D11" i="2"/>
  <c r="D479" i="2"/>
  <c r="C479" i="2"/>
  <c r="D240" i="2"/>
  <c r="C240" i="2"/>
  <c r="D424" i="2"/>
  <c r="C424" i="2"/>
  <c r="C140" i="2"/>
  <c r="D140" i="2"/>
  <c r="D143" i="2"/>
  <c r="C143" i="2"/>
  <c r="D232" i="2"/>
  <c r="C232" i="2"/>
  <c r="C457" i="2"/>
  <c r="D457" i="2"/>
  <c r="C366" i="2"/>
  <c r="D366" i="2"/>
  <c r="D267" i="2"/>
  <c r="C267" i="2"/>
  <c r="C443" i="2"/>
  <c r="D443" i="2"/>
  <c r="C54" i="2"/>
  <c r="D54" i="2"/>
  <c r="C333" i="2"/>
  <c r="D333" i="2"/>
  <c r="D181" i="2"/>
  <c r="C181" i="2"/>
  <c r="D28" i="2"/>
  <c r="C28" i="2"/>
  <c r="D210" i="2"/>
  <c r="C210" i="2"/>
  <c r="C237" i="2"/>
  <c r="D237" i="2"/>
  <c r="D259" i="2"/>
  <c r="C259" i="2"/>
  <c r="C438" i="2"/>
  <c r="D438" i="2"/>
  <c r="C238" i="2"/>
  <c r="D238" i="2"/>
  <c r="D160" i="2"/>
  <c r="C160" i="2"/>
  <c r="D106" i="2"/>
  <c r="C106" i="2"/>
  <c r="C298" i="2"/>
  <c r="D298" i="2"/>
  <c r="D407" i="2"/>
  <c r="C407" i="2"/>
  <c r="C45" i="2"/>
  <c r="D45" i="2"/>
  <c r="D410" i="2"/>
  <c r="C410" i="2"/>
  <c r="D452" i="2"/>
  <c r="C452" i="2"/>
  <c r="C168" i="2"/>
  <c r="D168" i="2"/>
  <c r="D213" i="2"/>
  <c r="C213" i="2"/>
  <c r="D119" i="2"/>
  <c r="C119" i="2"/>
  <c r="C286" i="2"/>
  <c r="D286" i="2"/>
  <c r="C137" i="2"/>
  <c r="D137" i="2"/>
  <c r="C360" i="2"/>
  <c r="D360" i="2"/>
  <c r="C60" i="2"/>
  <c r="D60" i="2"/>
  <c r="D164" i="2"/>
  <c r="C164" i="2"/>
  <c r="C127" i="2"/>
  <c r="D127" i="2"/>
  <c r="C116" i="2"/>
  <c r="D116" i="2"/>
  <c r="D456" i="2"/>
  <c r="C456" i="2"/>
  <c r="C112" i="2"/>
  <c r="D112" i="2"/>
  <c r="C323" i="2"/>
  <c r="D323" i="2"/>
  <c r="C334" i="2"/>
  <c r="D334" i="2"/>
  <c r="C162" i="2"/>
  <c r="D162" i="2"/>
  <c r="D113" i="2"/>
  <c r="C113" i="2"/>
  <c r="C153" i="2"/>
  <c r="D153" i="2"/>
  <c r="D219" i="2"/>
  <c r="C219" i="2"/>
  <c r="C340" i="2"/>
  <c r="D340" i="2"/>
  <c r="D209" i="2"/>
  <c r="C209" i="2"/>
  <c r="D121" i="2"/>
  <c r="C121" i="2"/>
  <c r="C148" i="2"/>
  <c r="D148" i="2"/>
  <c r="C280" i="2"/>
  <c r="D280" i="2"/>
  <c r="C396" i="2"/>
  <c r="D396" i="2"/>
  <c r="C471" i="2"/>
  <c r="D471" i="2"/>
  <c r="C59" i="2"/>
  <c r="D59" i="2"/>
  <c r="C82" i="2"/>
  <c r="D82" i="2"/>
  <c r="D426" i="2"/>
  <c r="C426" i="2"/>
  <c r="D231" i="2"/>
  <c r="C231" i="2"/>
  <c r="C464" i="2"/>
  <c r="D464" i="2"/>
  <c r="D388" i="2"/>
  <c r="C388" i="2"/>
  <c r="D441" i="2"/>
  <c r="C441" i="2"/>
  <c r="D255" i="2"/>
  <c r="C255" i="2"/>
  <c r="D316" i="2"/>
  <c r="C316" i="2"/>
  <c r="D248" i="2"/>
  <c r="C248" i="2"/>
  <c r="C88" i="2"/>
  <c r="D88" i="2"/>
  <c r="C13" i="2"/>
  <c r="D13" i="2"/>
  <c r="D126" i="2"/>
  <c r="C126" i="2"/>
  <c r="C123" i="2"/>
  <c r="D123" i="2"/>
  <c r="D175" i="2"/>
  <c r="C175" i="2"/>
  <c r="D330" i="2"/>
  <c r="C330" i="2"/>
  <c r="D176" i="2"/>
  <c r="C176" i="2"/>
  <c r="D224" i="2"/>
  <c r="C224" i="2"/>
  <c r="C352" i="2"/>
  <c r="D352" i="2"/>
  <c r="C214" i="2"/>
  <c r="D214" i="2"/>
  <c r="C211" i="2"/>
  <c r="D211" i="2"/>
  <c r="C454" i="2"/>
  <c r="D454" i="2"/>
  <c r="C338" i="2"/>
  <c r="D338" i="2"/>
  <c r="C271" i="2"/>
  <c r="D271" i="2"/>
  <c r="D226" i="2"/>
  <c r="C226" i="2"/>
  <c r="C135" i="2"/>
  <c r="D135" i="2"/>
  <c r="C445" i="2"/>
  <c r="D445" i="2"/>
  <c r="C482" i="2"/>
  <c r="D482" i="2"/>
  <c r="C118" i="2"/>
  <c r="D118" i="2"/>
  <c r="C165" i="2"/>
  <c r="D165" i="2"/>
  <c r="D16" i="2"/>
  <c r="C16" i="2"/>
  <c r="D269" i="2"/>
  <c r="C269" i="2"/>
  <c r="C85" i="2"/>
  <c r="D85" i="2"/>
  <c r="C374" i="2"/>
  <c r="D374" i="2"/>
  <c r="D423" i="2"/>
  <c r="C423" i="2"/>
  <c r="C254" i="2"/>
  <c r="D254" i="2"/>
  <c r="D138" i="2"/>
  <c r="C138" i="2"/>
  <c r="C142" i="2"/>
  <c r="D142" i="2"/>
  <c r="C198" i="2"/>
  <c r="D198" i="2"/>
  <c r="C442" i="2"/>
  <c r="D442" i="2"/>
  <c r="C278" i="2"/>
  <c r="D278" i="2"/>
  <c r="D378" i="2"/>
  <c r="C378" i="2"/>
  <c r="C81" i="2"/>
  <c r="D81" i="2"/>
  <c r="C304" i="2"/>
  <c r="D304" i="2"/>
  <c r="C485" i="2"/>
  <c r="D485" i="2"/>
  <c r="C376" i="2"/>
  <c r="D376" i="2"/>
  <c r="D290" i="2"/>
  <c r="C290" i="2"/>
  <c r="C67" i="2"/>
  <c r="D67" i="2"/>
  <c r="D169" i="2"/>
  <c r="C169" i="2"/>
  <c r="D246" i="2"/>
  <c r="C246" i="2"/>
  <c r="D476" i="2"/>
  <c r="C476" i="2"/>
  <c r="D62" i="2"/>
  <c r="C62" i="2"/>
  <c r="D422" i="2"/>
  <c r="C422" i="2"/>
  <c r="D404" i="2"/>
  <c r="C404" i="2"/>
  <c r="D228" i="2"/>
  <c r="C228" i="2"/>
  <c r="D178" i="2"/>
  <c r="C178" i="2"/>
  <c r="C263" i="2"/>
  <c r="D263" i="2"/>
  <c r="D35" i="2"/>
  <c r="C35" i="2"/>
  <c r="C5" i="2"/>
  <c r="D5" i="2"/>
  <c r="D465" i="2"/>
  <c r="C465" i="2"/>
  <c r="C225" i="2"/>
  <c r="D225" i="2"/>
  <c r="C336" i="2"/>
  <c r="D336" i="2"/>
  <c r="D460" i="2"/>
  <c r="C460" i="2"/>
  <c r="D200" i="2"/>
  <c r="C200" i="2"/>
  <c r="C326" i="2"/>
  <c r="D326" i="2"/>
  <c r="C375" i="2"/>
  <c r="D375" i="2"/>
  <c r="D197" i="2"/>
  <c r="C197" i="2"/>
  <c r="D87" i="2"/>
  <c r="C87" i="2"/>
  <c r="C402" i="2"/>
  <c r="D402" i="2"/>
  <c r="D261" i="2"/>
  <c r="C261" i="2"/>
  <c r="C206" i="2"/>
  <c r="D206" i="2"/>
  <c r="C270" i="2"/>
  <c r="D270" i="2"/>
  <c r="C493" i="2"/>
  <c r="D493" i="2"/>
  <c r="C328" i="2"/>
  <c r="D328" i="2"/>
  <c r="D74" i="2"/>
  <c r="C74" i="2"/>
  <c r="C392" i="2"/>
  <c r="D392" i="2"/>
  <c r="D17" i="2"/>
  <c r="C17" i="2"/>
  <c r="C190" i="2"/>
  <c r="D190" i="2"/>
  <c r="D411" i="2"/>
  <c r="C411" i="2"/>
  <c r="C152" i="2"/>
  <c r="D152" i="2"/>
  <c r="D306" i="2"/>
  <c r="C306" i="2"/>
  <c r="D342" i="2"/>
  <c r="C342" i="2"/>
  <c r="C43" i="2"/>
  <c r="D43" i="2"/>
  <c r="C362" i="2"/>
  <c r="D362" i="2"/>
  <c r="D10" i="2"/>
  <c r="C10" i="2"/>
  <c r="D409" i="2"/>
  <c r="C409" i="2"/>
  <c r="D468" i="2"/>
  <c r="C468" i="2"/>
  <c r="D450" i="2"/>
  <c r="C450" i="2"/>
  <c r="D491" i="2"/>
  <c r="C491" i="2"/>
  <c r="D21" i="2"/>
  <c r="C21" i="2"/>
  <c r="C19" i="2"/>
  <c r="D19" i="2"/>
  <c r="C173" i="2"/>
  <c r="D173" i="2"/>
  <c r="C440" i="2"/>
  <c r="D440" i="2"/>
  <c r="C349" i="2"/>
  <c r="D349" i="2"/>
  <c r="D481" i="2"/>
  <c r="C481" i="2"/>
  <c r="C386" i="2"/>
  <c r="D386" i="2"/>
  <c r="D195" i="2"/>
  <c r="C195" i="2"/>
  <c r="C461" i="2"/>
  <c r="D461" i="2"/>
  <c r="D341" i="2"/>
  <c r="C341" i="2"/>
  <c r="D122" i="2"/>
  <c r="C122" i="2"/>
  <c r="D89" i="2"/>
  <c r="C89" i="2"/>
  <c r="D144" i="2"/>
  <c r="C144" i="2"/>
  <c r="C398" i="2"/>
  <c r="D398" i="2"/>
  <c r="D417" i="2"/>
  <c r="C417" i="2"/>
  <c r="C154" i="2"/>
  <c r="D154" i="2"/>
  <c r="D6" i="2"/>
  <c r="C6" i="2"/>
  <c r="C23" i="2"/>
  <c r="D23" i="2"/>
  <c r="C189" i="2"/>
  <c r="D189" i="2"/>
  <c r="C183" i="2"/>
  <c r="D183" i="2"/>
  <c r="D52" i="2"/>
  <c r="C52" i="2"/>
  <c r="C99" i="2"/>
  <c r="D99" i="2"/>
  <c r="C177" i="2"/>
  <c r="D177" i="2"/>
  <c r="D346" i="2"/>
  <c r="C346" i="2"/>
  <c r="C434" i="2"/>
  <c r="D434" i="2"/>
  <c r="C63" i="2"/>
  <c r="D63" i="2"/>
  <c r="D421" i="2"/>
  <c r="C421" i="2"/>
  <c r="D419" i="2"/>
  <c r="C419" i="2"/>
  <c r="C2" i="2"/>
  <c r="D2" i="2"/>
  <c r="D53" i="2"/>
  <c r="C53" i="2"/>
  <c r="D475" i="2"/>
  <c r="C475" i="2"/>
  <c r="D322" i="2"/>
  <c r="C322" i="2"/>
  <c r="C284" i="2"/>
  <c r="D284" i="2"/>
  <c r="D273" i="2"/>
  <c r="C273" i="2"/>
  <c r="C370" i="2"/>
  <c r="D370" i="2"/>
  <c r="D251" i="2"/>
  <c r="C251" i="2"/>
  <c r="D292" i="2"/>
  <c r="C292" i="2"/>
  <c r="D446" i="2"/>
  <c r="C446" i="2"/>
  <c r="C49" i="2"/>
  <c r="D49" i="2"/>
  <c r="C83" i="2"/>
  <c r="D83" i="2"/>
  <c r="C467" i="2"/>
  <c r="D467" i="2"/>
  <c r="C406" i="2"/>
  <c r="D406" i="2"/>
  <c r="D37" i="2"/>
  <c r="C37" i="2"/>
  <c r="D27" i="2"/>
  <c r="C27" i="2"/>
  <c r="C174" i="2"/>
  <c r="D174" i="2"/>
  <c r="D480" i="2"/>
  <c r="C480" i="2"/>
  <c r="D431" i="2"/>
  <c r="C431" i="2"/>
  <c r="C227" i="2"/>
  <c r="D227" i="2"/>
  <c r="D495" i="2"/>
  <c r="C495" i="2"/>
  <c r="D48" i="2"/>
  <c r="C48" i="2"/>
  <c r="D428" i="2"/>
  <c r="C428" i="2"/>
  <c r="C86" i="2"/>
  <c r="D86" i="2"/>
  <c r="D201" i="2"/>
  <c r="C201" i="2"/>
  <c r="C167" i="2"/>
  <c r="D167" i="2"/>
  <c r="C449" i="2"/>
  <c r="D449" i="2"/>
  <c r="D180" i="2"/>
  <c r="C180" i="2"/>
  <c r="D414" i="2"/>
  <c r="C414" i="2"/>
  <c r="D196" i="2"/>
  <c r="C196" i="2"/>
  <c r="D130" i="2"/>
  <c r="C130" i="2"/>
  <c r="C147" i="2"/>
  <c r="D147" i="2"/>
  <c r="D8" i="2"/>
  <c r="C8" i="2"/>
  <c r="C104" i="2"/>
  <c r="D104" i="2"/>
  <c r="D296" i="2"/>
  <c r="C296" i="2"/>
  <c r="D382" i="2"/>
  <c r="C382" i="2"/>
  <c r="D32" i="2"/>
  <c r="C32" i="2"/>
  <c r="C453" i="2"/>
  <c r="D453" i="2"/>
  <c r="D107" i="2"/>
  <c r="C107" i="2"/>
  <c r="D95" i="2"/>
  <c r="C95" i="2"/>
  <c r="D399" i="2"/>
  <c r="C399" i="2"/>
  <c r="C50" i="2"/>
  <c r="D50" i="2"/>
  <c r="C484" i="2"/>
  <c r="D484" i="2"/>
  <c r="C319" i="2"/>
  <c r="D319" i="2"/>
  <c r="D194" i="2"/>
  <c r="C194" i="2"/>
  <c r="C22" i="2"/>
  <c r="D22" i="2"/>
  <c r="D245" i="2"/>
  <c r="C245" i="2"/>
  <c r="C356" i="2"/>
  <c r="D356" i="2"/>
  <c r="D357" i="2"/>
  <c r="C357" i="2"/>
  <c r="C36" i="2"/>
  <c r="D36" i="2"/>
  <c r="D94" i="2"/>
  <c r="C94" i="2"/>
  <c r="D430" i="2"/>
  <c r="C430" i="2"/>
  <c r="C447" i="2"/>
  <c r="D447" i="2"/>
  <c r="D397" i="2"/>
  <c r="C397" i="2"/>
  <c r="C38" i="2"/>
  <c r="D38" i="2"/>
  <c r="C212" i="2"/>
  <c r="D212" i="2"/>
  <c r="C4" i="2"/>
  <c r="D4" i="2"/>
  <c r="C436" i="2"/>
  <c r="D436" i="2"/>
  <c r="C157" i="2"/>
  <c r="D157" i="2"/>
  <c r="D329" i="2"/>
  <c r="C329" i="2"/>
  <c r="D311" i="2"/>
  <c r="C311" i="2"/>
  <c r="C7" i="2"/>
  <c r="D7" i="2"/>
  <c r="C141" i="2"/>
  <c r="D141" i="2"/>
  <c r="C312" i="2"/>
  <c r="D312" i="2"/>
  <c r="C139" i="2"/>
  <c r="D139" i="2"/>
  <c r="D355" i="2"/>
  <c r="C355" i="2"/>
  <c r="C295" i="2"/>
  <c r="D295" i="2"/>
  <c r="C313" i="2"/>
  <c r="D313" i="2"/>
  <c r="D277" i="2"/>
  <c r="C277" i="2"/>
  <c r="D439" i="2"/>
  <c r="C439" i="2"/>
  <c r="C66" i="2"/>
  <c r="D66" i="2"/>
  <c r="C276" i="2"/>
  <c r="D276" i="2"/>
  <c r="D172" i="2"/>
  <c r="C172" i="2"/>
  <c r="D314" i="2"/>
  <c r="C314" i="2"/>
  <c r="C294" i="2"/>
  <c r="D294" i="2"/>
  <c r="D384" i="2"/>
  <c r="C384" i="2"/>
  <c r="C371" i="2"/>
  <c r="D371" i="2"/>
  <c r="C12" i="2"/>
  <c r="D12" i="2"/>
  <c r="D71" i="2"/>
  <c r="C71" i="2"/>
  <c r="D444" i="2"/>
  <c r="C444" i="2"/>
  <c r="D156" i="2"/>
  <c r="C156" i="2"/>
  <c r="D260" i="2"/>
  <c r="C260" i="2"/>
  <c r="D92" i="2"/>
  <c r="C92" i="2"/>
  <c r="D315" i="2"/>
  <c r="C315" i="2"/>
  <c r="D257" i="2"/>
  <c r="C257" i="2"/>
  <c r="D24" i="2"/>
  <c r="C24" i="2"/>
  <c r="C483" i="2"/>
  <c r="D483" i="2"/>
  <c r="D78" i="2"/>
  <c r="C78" i="2"/>
  <c r="C58" i="2"/>
  <c r="D58" i="2"/>
  <c r="C463" i="2"/>
  <c r="D463" i="2"/>
  <c r="C33" i="2"/>
  <c r="D33" i="2"/>
  <c r="D279" i="2"/>
  <c r="C279" i="2"/>
  <c r="D150" i="2"/>
  <c r="C150" i="2"/>
  <c r="D117" i="2"/>
  <c r="C117" i="2"/>
  <c r="C199" i="2"/>
  <c r="D199" i="2"/>
  <c r="C46" i="2"/>
  <c r="D46" i="2"/>
  <c r="C293" i="2"/>
  <c r="D293" i="2"/>
  <c r="D268" i="2"/>
  <c r="C268" i="2"/>
  <c r="D320" i="2"/>
  <c r="C320" i="2"/>
  <c r="C125" i="2"/>
  <c r="D125" i="2"/>
  <c r="D44" i="2"/>
  <c r="C44" i="2"/>
  <c r="C79" i="2"/>
  <c r="D79" i="2"/>
  <c r="C459" i="2"/>
  <c r="D459" i="2"/>
  <c r="D325" i="2"/>
  <c r="C325" i="2"/>
  <c r="D151" i="2"/>
  <c r="C151" i="2"/>
  <c r="D466" i="2"/>
  <c r="C466" i="2"/>
  <c r="C455" i="2"/>
  <c r="D455" i="2"/>
  <c r="C265" i="2"/>
  <c r="D265" i="2"/>
  <c r="D98" i="2"/>
  <c r="C98" i="2"/>
  <c r="D27" i="1"/>
  <c r="F27" i="1"/>
  <c r="D20" i="1"/>
  <c r="L21" i="1"/>
  <c r="M21" i="1" s="1"/>
  <c r="L41" i="1"/>
  <c r="M41" i="1" s="1"/>
  <c r="F22" i="1" l="1"/>
  <c r="D22" i="1"/>
  <c r="J27" i="1"/>
  <c r="D40" i="1"/>
  <c r="D33" i="1"/>
  <c r="J22" i="1" l="1"/>
  <c r="D32" i="1"/>
  <c r="D39" i="1"/>
  <c r="J28" i="1"/>
  <c r="L28" i="1" s="1"/>
  <c r="M28" i="1" s="1"/>
  <c r="L27" i="1"/>
  <c r="M27" i="1" s="1"/>
  <c r="L22" i="1" l="1"/>
  <c r="M22" i="1" s="1"/>
  <c r="J23" i="1"/>
  <c r="L23" i="1" s="1"/>
  <c r="M23" i="1" s="1"/>
  <c r="D42" i="1"/>
  <c r="F42" i="1"/>
  <c r="D35" i="1"/>
  <c r="F35" i="1"/>
  <c r="J42" i="1" l="1"/>
  <c r="L42" i="1" s="1"/>
  <c r="M42" i="1" s="1"/>
  <c r="J35" i="1"/>
  <c r="L35" i="1" s="1"/>
  <c r="M35" i="1" s="1"/>
  <c r="J43" i="1" l="1"/>
  <c r="L43" i="1" s="1"/>
  <c r="M43" i="1" s="1"/>
  <c r="J36" i="1"/>
  <c r="L36" i="1" s="1"/>
  <c r="M36" i="1" s="1"/>
</calcChain>
</file>

<file path=xl/comments1.xml><?xml version="1.0" encoding="utf-8"?>
<comments xmlns="http://schemas.openxmlformats.org/spreadsheetml/2006/main">
  <authors>
    <author>osborn</author>
  </authors>
  <commentList>
    <comment ref="B2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comments2.xml><?xml version="1.0" encoding="utf-8"?>
<comments xmlns="http://schemas.openxmlformats.org/spreadsheetml/2006/main">
  <authors>
    <author>Wang LuYao</author>
  </authors>
  <commentList>
    <comment ref="A8" authorId="0" shapeId="0">
      <text>
        <r>
          <rPr>
            <b/>
            <sz val="9"/>
            <color indexed="81"/>
            <rFont val="宋体"/>
            <family val="3"/>
            <charset val="134"/>
          </rPr>
          <t xml:space="preserve"> </t>
        </r>
      </text>
    </comment>
  </commentList>
</comments>
</file>

<file path=xl/sharedStrings.xml><?xml version="1.0" encoding="utf-8"?>
<sst xmlns="http://schemas.openxmlformats.org/spreadsheetml/2006/main" count="195" uniqueCount="134">
  <si>
    <t>合计</t>
    <phoneticPr fontId="3" type="noConversion"/>
  </si>
  <si>
    <t>权重</t>
    <phoneticPr fontId="3" type="noConversion"/>
  </si>
  <si>
    <t>收盘价</t>
  </si>
  <si>
    <t>否</t>
  </si>
  <si>
    <t>实时价格</t>
  </si>
  <si>
    <t>数据集名称</t>
  </si>
  <si>
    <t>交割券表</t>
  </si>
  <si>
    <t>Wind代码</t>
  </si>
  <si>
    <t>选择日期</t>
  </si>
  <si>
    <t>交割券市场</t>
  </si>
  <si>
    <t>债券用价</t>
  </si>
  <si>
    <t>code</t>
  </si>
  <si>
    <t>代码</t>
  </si>
  <si>
    <t>简称</t>
  </si>
  <si>
    <t>market</t>
  </si>
  <si>
    <t>交易市场</t>
  </si>
  <si>
    <t>全交割券</t>
  </si>
  <si>
    <t>name</t>
    <phoneticPr fontId="3" type="noConversion"/>
  </si>
  <si>
    <t>国债期货对冲分析 V1.1</t>
    <phoneticPr fontId="11" type="noConversion"/>
  </si>
  <si>
    <t>国债期货对冲分析</t>
    <phoneticPr fontId="3" type="noConversion"/>
  </si>
  <si>
    <t>21附息国债13</t>
    <phoneticPr fontId="3" type="noConversion"/>
  </si>
  <si>
    <t>银行间</t>
    <phoneticPr fontId="3" type="noConversion"/>
  </si>
  <si>
    <t>019661.SH</t>
    <phoneticPr fontId="3" type="noConversion"/>
  </si>
  <si>
    <t>102113.SZ</t>
    <phoneticPr fontId="3" type="noConversion"/>
  </si>
  <si>
    <t>102250.SZ</t>
    <phoneticPr fontId="3" type="noConversion"/>
  </si>
  <si>
    <t>国债2322</t>
    <phoneticPr fontId="3" type="noConversion"/>
  </si>
  <si>
    <t>230021.IB</t>
    <phoneticPr fontId="3" type="noConversion"/>
  </si>
  <si>
    <t>23附息国债21</t>
    <phoneticPr fontId="3" type="noConversion"/>
  </si>
  <si>
    <t>019724.SH</t>
    <phoneticPr fontId="3" type="noConversion"/>
  </si>
  <si>
    <t>102249.SZ</t>
    <phoneticPr fontId="3" type="noConversion"/>
  </si>
  <si>
    <t>23国债15</t>
    <phoneticPr fontId="3" type="noConversion"/>
  </si>
  <si>
    <t>102243.SZ</t>
    <phoneticPr fontId="3" type="noConversion"/>
  </si>
  <si>
    <t>使用说明</t>
    <phoneticPr fontId="11" type="noConversion"/>
  </si>
  <si>
    <t>买入</t>
    <phoneticPr fontId="11" type="noConversion"/>
  </si>
  <si>
    <t>卖出</t>
    <phoneticPr fontId="11" type="noConversion"/>
  </si>
  <si>
    <t>对冲比例</t>
    <phoneticPr fontId="11" type="noConversion"/>
  </si>
  <si>
    <t>交易日期：</t>
    <phoneticPr fontId="15" type="noConversion"/>
  </si>
  <si>
    <t>最新交易：</t>
    <phoneticPr fontId="15" type="noConversion"/>
  </si>
  <si>
    <t>债券全价：</t>
    <phoneticPr fontId="15" type="noConversion"/>
  </si>
  <si>
    <t>债券最新全价：</t>
    <phoneticPr fontId="15" type="noConversion"/>
  </si>
  <si>
    <t>使用自设价格：</t>
    <phoneticPr fontId="15" type="noConversion"/>
  </si>
  <si>
    <t>使用自设价格：</t>
    <phoneticPr fontId="15" type="noConversion"/>
  </si>
  <si>
    <t>期货价格：</t>
    <phoneticPr fontId="15" type="noConversion"/>
  </si>
  <si>
    <t>期货最新价格：</t>
    <phoneticPr fontId="15" type="noConversion"/>
  </si>
  <si>
    <t>资金成本：</t>
    <phoneticPr fontId="15" type="noConversion"/>
  </si>
  <si>
    <t>DV01:</t>
    <phoneticPr fontId="3" type="noConversion"/>
  </si>
  <si>
    <t>修正久期</t>
    <phoneticPr fontId="3" type="noConversion"/>
  </si>
  <si>
    <t>基点价值：</t>
    <phoneticPr fontId="3" type="noConversion"/>
  </si>
  <si>
    <t>久期：</t>
    <phoneticPr fontId="3" type="noConversion"/>
  </si>
  <si>
    <t>全价：</t>
    <phoneticPr fontId="3" type="noConversion"/>
  </si>
  <si>
    <t>全价：</t>
    <phoneticPr fontId="3" type="noConversion"/>
  </si>
  <si>
    <t>最新全价：</t>
    <phoneticPr fontId="3" type="noConversion"/>
  </si>
  <si>
    <t>久期：</t>
    <phoneticPr fontId="3" type="noConversion"/>
  </si>
  <si>
    <t>久期：</t>
    <phoneticPr fontId="3" type="noConversion"/>
  </si>
  <si>
    <t>最新全价：</t>
    <phoneticPr fontId="3" type="noConversion"/>
  </si>
  <si>
    <t>最新全价：</t>
    <phoneticPr fontId="3" type="noConversion"/>
  </si>
  <si>
    <t>最新全价：</t>
    <phoneticPr fontId="3" type="noConversion"/>
  </si>
  <si>
    <t>回归法</t>
    <phoneticPr fontId="11" type="noConversion"/>
  </si>
  <si>
    <t>回归法（成本）</t>
    <phoneticPr fontId="11" type="noConversion"/>
  </si>
  <si>
    <t>债券代码:</t>
    <phoneticPr fontId="3" type="noConversion"/>
  </si>
  <si>
    <t>合计:</t>
    <phoneticPr fontId="3" type="noConversion"/>
  </si>
  <si>
    <t>面额（万）:</t>
    <phoneticPr fontId="3" type="noConversion"/>
  </si>
  <si>
    <t>全价:</t>
    <phoneticPr fontId="3" type="noConversion"/>
  </si>
  <si>
    <t>期货合约:</t>
    <phoneticPr fontId="3" type="noConversion"/>
  </si>
  <si>
    <t>合约（百万）:</t>
    <phoneticPr fontId="3" type="noConversion"/>
  </si>
  <si>
    <t>CTD:</t>
    <phoneticPr fontId="3" type="noConversion"/>
  </si>
  <si>
    <t>保证金:</t>
    <phoneticPr fontId="3" type="noConversion"/>
  </si>
  <si>
    <t>价格:</t>
    <phoneticPr fontId="3" type="noConversion"/>
  </si>
  <si>
    <t>净价:</t>
    <phoneticPr fontId="3" type="noConversion"/>
  </si>
  <si>
    <r>
      <rPr>
        <sz val="11"/>
        <color rgb="FF212121"/>
        <rFont val="宋体"/>
        <family val="3"/>
        <charset val="134"/>
      </rPr>
      <t>最后交割日</t>
    </r>
    <r>
      <rPr>
        <sz val="11"/>
        <color rgb="FF212121"/>
        <rFont val="Arial"/>
        <family val="2"/>
      </rPr>
      <t>:</t>
    </r>
    <phoneticPr fontId="3" type="noConversion"/>
  </si>
  <si>
    <r>
      <rPr>
        <sz val="11"/>
        <color rgb="FF212121"/>
        <rFont val="宋体"/>
        <family val="3"/>
        <charset val="134"/>
      </rPr>
      <t>基点价值</t>
    </r>
    <r>
      <rPr>
        <sz val="11"/>
        <color rgb="FF212121"/>
        <rFont val="Arial"/>
        <family val="2"/>
      </rPr>
      <t>:</t>
    </r>
    <phoneticPr fontId="3" type="noConversion"/>
  </si>
  <si>
    <r>
      <rPr>
        <sz val="11"/>
        <color rgb="FF212121"/>
        <rFont val="宋体"/>
        <family val="3"/>
        <charset val="134"/>
      </rPr>
      <t>最新价</t>
    </r>
    <r>
      <rPr>
        <sz val="11"/>
        <color rgb="FF212121"/>
        <rFont val="Arial"/>
        <family val="2"/>
      </rPr>
      <t>:</t>
    </r>
    <phoneticPr fontId="3" type="noConversion"/>
  </si>
  <si>
    <r>
      <rPr>
        <sz val="11"/>
        <color rgb="FF212121"/>
        <rFont val="宋体"/>
        <family val="3"/>
        <charset val="134"/>
      </rPr>
      <t>转换因子</t>
    </r>
    <r>
      <rPr>
        <sz val="11"/>
        <color rgb="FF212121"/>
        <rFont val="Arial"/>
        <family val="2"/>
      </rPr>
      <t>:</t>
    </r>
    <phoneticPr fontId="3" type="noConversion"/>
  </si>
  <si>
    <t>基点法:</t>
    <phoneticPr fontId="3" type="noConversion"/>
  </si>
  <si>
    <t>买入现券(万）:</t>
    <phoneticPr fontId="3" type="noConversion"/>
  </si>
  <si>
    <t>卖出期货(万）:</t>
    <phoneticPr fontId="3" type="noConversion"/>
  </si>
  <si>
    <t>最新(万）:</t>
    <phoneticPr fontId="3" type="noConversion"/>
  </si>
  <si>
    <t>盈亏(万）:</t>
    <phoneticPr fontId="3" type="noConversion"/>
  </si>
  <si>
    <t>最新价值：</t>
    <phoneticPr fontId="3" type="noConversion"/>
  </si>
  <si>
    <t>盈亏(万）：</t>
    <phoneticPr fontId="3" type="noConversion"/>
  </si>
  <si>
    <t>合计：</t>
    <phoneticPr fontId="3" type="noConversion"/>
  </si>
  <si>
    <t>融资成本：</t>
    <phoneticPr fontId="3" type="noConversion"/>
  </si>
  <si>
    <t>最新(万）：</t>
    <phoneticPr fontId="3" type="noConversion"/>
  </si>
  <si>
    <t>基点法(成本）：</t>
    <phoneticPr fontId="3" type="noConversion"/>
  </si>
  <si>
    <t>买入现券(万）：</t>
    <phoneticPr fontId="3" type="noConversion"/>
  </si>
  <si>
    <t>卖出期货(万）：</t>
    <phoneticPr fontId="3" type="noConversion"/>
  </si>
  <si>
    <t>回归起始：</t>
    <phoneticPr fontId="3" type="noConversion"/>
  </si>
  <si>
    <t>回归对冲：</t>
    <phoneticPr fontId="3" type="noConversion"/>
  </si>
  <si>
    <t>回归比例：</t>
    <phoneticPr fontId="3" type="noConversion"/>
  </si>
  <si>
    <t>回归截止：</t>
    <phoneticPr fontId="3" type="noConversion"/>
  </si>
  <si>
    <t>最新(万）：</t>
    <phoneticPr fontId="3" type="noConversion"/>
  </si>
  <si>
    <t>最新价值：</t>
    <phoneticPr fontId="3" type="noConversion"/>
  </si>
  <si>
    <t>盈亏(万）：</t>
    <phoneticPr fontId="3" type="noConversion"/>
  </si>
  <si>
    <t>买入现券(万）：</t>
    <phoneticPr fontId="3" type="noConversion"/>
  </si>
  <si>
    <t>合计：</t>
    <phoneticPr fontId="3" type="noConversion"/>
  </si>
  <si>
    <t>收益：</t>
    <phoneticPr fontId="3" type="noConversion"/>
  </si>
  <si>
    <t>年化：</t>
    <phoneticPr fontId="3" type="noConversion"/>
  </si>
  <si>
    <t>收益:</t>
    <phoneticPr fontId="3" type="noConversion"/>
  </si>
  <si>
    <t>年化:</t>
    <phoneticPr fontId="3" type="noConversion"/>
  </si>
  <si>
    <t>收益:</t>
    <phoneticPr fontId="3" type="noConversion"/>
  </si>
  <si>
    <r>
      <rPr>
        <sz val="11"/>
        <color rgb="FF212121"/>
        <rFont val="微软雅黑"/>
        <family val="2"/>
        <charset val="134"/>
      </rPr>
      <t>年化:</t>
    </r>
    <phoneticPr fontId="3" type="noConversion"/>
  </si>
  <si>
    <t>盈亏(万）：</t>
    <phoneticPr fontId="3" type="noConversion"/>
  </si>
  <si>
    <t>盈亏%：</t>
    <phoneticPr fontId="3" type="noConversion"/>
  </si>
  <si>
    <t>盈亏%：</t>
    <phoneticPr fontId="3" type="noConversion"/>
  </si>
  <si>
    <t>银行间</t>
    <phoneticPr fontId="3" type="noConversion"/>
  </si>
  <si>
    <t>21国债13</t>
    <phoneticPr fontId="3" type="noConversion"/>
  </si>
  <si>
    <t>上交所</t>
    <phoneticPr fontId="3" type="noConversion"/>
  </si>
  <si>
    <t>国债2113</t>
    <phoneticPr fontId="3" type="noConversion"/>
  </si>
  <si>
    <t>深交所</t>
    <phoneticPr fontId="3" type="noConversion"/>
  </si>
  <si>
    <t>220006.IB</t>
    <phoneticPr fontId="3" type="noConversion"/>
  </si>
  <si>
    <t>22附息国债06</t>
    <phoneticPr fontId="3" type="noConversion"/>
  </si>
  <si>
    <t>银行间</t>
    <phoneticPr fontId="3" type="noConversion"/>
  </si>
  <si>
    <t>019671.SH</t>
    <phoneticPr fontId="3" type="noConversion"/>
  </si>
  <si>
    <t>22国债06</t>
    <phoneticPr fontId="3" type="noConversion"/>
  </si>
  <si>
    <t>102206.SZ</t>
    <phoneticPr fontId="3" type="noConversion"/>
  </si>
  <si>
    <t>国债2206</t>
    <phoneticPr fontId="3" type="noConversion"/>
  </si>
  <si>
    <t>019725.SH</t>
    <phoneticPr fontId="3" type="noConversion"/>
  </si>
  <si>
    <t>23国债22</t>
    <phoneticPr fontId="3" type="noConversion"/>
  </si>
  <si>
    <t>230022.IB</t>
    <phoneticPr fontId="3" type="noConversion"/>
  </si>
  <si>
    <t>23附息国债22</t>
    <phoneticPr fontId="3" type="noConversion"/>
  </si>
  <si>
    <t>银行间</t>
    <phoneticPr fontId="3" type="noConversion"/>
  </si>
  <si>
    <t>23国债21</t>
    <phoneticPr fontId="3" type="noConversion"/>
  </si>
  <si>
    <t>国债2321</t>
    <phoneticPr fontId="3" type="noConversion"/>
  </si>
  <si>
    <t>深交所</t>
    <phoneticPr fontId="3" type="noConversion"/>
  </si>
  <si>
    <t>国债2315</t>
    <phoneticPr fontId="3" type="noConversion"/>
  </si>
  <si>
    <t>019708.SH</t>
    <phoneticPr fontId="3" type="noConversion"/>
  </si>
  <si>
    <t>230015.IB</t>
    <phoneticPr fontId="3" type="noConversion"/>
  </si>
  <si>
    <t>23附息国债15</t>
    <phoneticPr fontId="3" type="noConversion"/>
  </si>
  <si>
    <t>102257.SZ</t>
    <phoneticPr fontId="3" type="noConversion"/>
  </si>
  <si>
    <t>国债2401</t>
    <phoneticPr fontId="3" type="noConversion"/>
  </si>
  <si>
    <t>240001.IB</t>
    <phoneticPr fontId="3" type="noConversion"/>
  </si>
  <si>
    <t>24附息国债01</t>
    <phoneticPr fontId="3" type="noConversion"/>
  </si>
  <si>
    <t>019732.SH</t>
    <phoneticPr fontId="3" type="noConversion"/>
  </si>
  <si>
    <t>24国债01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</si>
</sst>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###,###,##0.0000"/>
    <numFmt numFmtId="177" formatCode="yyyy\-mm\-dd"/>
    <numFmt numFmtId="178" formatCode="##0.000"/>
    <numFmt numFmtId="179" formatCode="0.00_);[Red]\(0.00\)"/>
    <numFmt numFmtId="180" formatCode="[$-F800]dddd\,\ mmmm\ dd\,\ yyyy"/>
    <numFmt numFmtId="181" formatCode="0.0000"/>
  </numFmts>
  <fonts count="32" x14ac:knownFonts="1">
    <font>
      <sz val="11"/>
      <color theme="1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9"/>
      <color indexed="81"/>
      <name val="宋体"/>
      <family val="3"/>
      <charset val="134"/>
    </font>
    <font>
      <sz val="10"/>
      <color theme="1"/>
      <name val="宋体"/>
      <family val="2"/>
      <charset val="134"/>
      <scheme val="minor"/>
    </font>
    <font>
      <b/>
      <sz val="12"/>
      <color theme="1"/>
      <name val="微软雅黑"/>
      <family val="2"/>
      <charset val="134"/>
    </font>
    <font>
      <u/>
      <sz val="11"/>
      <color theme="10"/>
      <name val="宋体"/>
      <family val="3"/>
      <charset val="134"/>
    </font>
    <font>
      <sz val="12"/>
      <name val="微软雅黑"/>
      <family val="2"/>
      <charset val="134"/>
    </font>
    <font>
      <sz val="11"/>
      <color theme="1"/>
      <name val="微软雅黑"/>
      <family val="2"/>
      <charset val="134"/>
    </font>
    <font>
      <sz val="20"/>
      <color theme="0"/>
      <name val="微软雅黑"/>
      <family val="2"/>
      <charset val="134"/>
    </font>
    <font>
      <sz val="9"/>
      <name val="宋体"/>
      <family val="3"/>
      <charset val="134"/>
    </font>
    <font>
      <sz val="10"/>
      <name val="宋体"/>
      <family val="2"/>
      <charset val="134"/>
      <scheme val="minor"/>
    </font>
    <font>
      <sz val="14"/>
      <color theme="1"/>
      <name val="Arial"/>
      <family val="2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  <font>
      <sz val="11"/>
      <color rgb="FF212121"/>
      <name val="宋体"/>
      <family val="3"/>
      <charset val="134"/>
    </font>
    <font>
      <sz val="11"/>
      <color rgb="FF21212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20"/>
      <color theme="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sz val="11"/>
      <color rgb="FF212121"/>
      <name val="Arial"/>
      <family val="2"/>
    </font>
    <font>
      <sz val="11"/>
      <name val="微软雅黑"/>
      <family val="2"/>
      <charset val="134"/>
    </font>
    <font>
      <sz val="12"/>
      <color theme="1"/>
      <name val="Arial"/>
      <family val="2"/>
    </font>
    <font>
      <b/>
      <sz val="12"/>
      <name val="Arial"/>
      <family val="2"/>
    </font>
    <font>
      <sz val="12"/>
      <color rgb="FF212121"/>
      <name val="Arial"/>
      <family val="2"/>
    </font>
    <font>
      <sz val="12"/>
      <color theme="1"/>
      <name val="微软雅黑"/>
      <family val="2"/>
      <charset val="134"/>
    </font>
    <font>
      <b/>
      <sz val="12"/>
      <name val="微软雅黑"/>
      <family val="2"/>
      <charset val="134"/>
    </font>
    <font>
      <sz val="12"/>
      <color rgb="FF212121"/>
      <name val="微软雅黑"/>
      <family val="2"/>
      <charset val="134"/>
    </font>
    <font>
      <sz val="12"/>
      <color theme="1"/>
      <name val="宋体"/>
      <family val="2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636D"/>
        <bgColor indexed="64"/>
      </patternFill>
    </fill>
    <fill>
      <patternFill patternType="solid">
        <fgColor rgb="FFE9E9E9"/>
        <bgColor indexed="64"/>
      </patternFill>
    </fill>
    <fill>
      <patternFill patternType="solid">
        <fgColor rgb="FFE4C658"/>
        <bgColor indexed="64"/>
      </patternFill>
    </fill>
    <fill>
      <patternFill patternType="solid">
        <fgColor rgb="FFF4F4F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</borders>
  <cellStyleXfs count="3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>
      <alignment vertical="center"/>
    </xf>
    <xf numFmtId="177" fontId="0" fillId="0" borderId="0" xfId="0" applyNumberFormat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0" fontId="0" fillId="2" borderId="0" xfId="0" applyFill="1">
      <alignment vertical="center"/>
    </xf>
    <xf numFmtId="0" fontId="0" fillId="2" borderId="0" xfId="0" applyFill="1">
      <alignment vertical="center"/>
    </xf>
    <xf numFmtId="0" fontId="6" fillId="2" borderId="0" xfId="0" applyFont="1" applyFill="1">
      <alignment vertical="center"/>
    </xf>
    <xf numFmtId="0" fontId="6" fillId="2" borderId="0" xfId="0" applyFont="1" applyFill="1" applyAlignment="1">
      <alignment horizontal="left" vertical="center" indent="1"/>
    </xf>
    <xf numFmtId="0" fontId="7" fillId="2" borderId="0" xfId="2" applyFill="1" applyAlignment="1" applyProtection="1">
      <alignment horizontal="left" vertical="center" indent="1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0" fontId="8" fillId="0" borderId="0" xfId="0" applyFont="1" applyAlignment="1">
      <alignment vertical="center"/>
    </xf>
    <xf numFmtId="0" fontId="0" fillId="0" borderId="0" xfId="0" applyNumberFormat="1" applyAlignment="1">
      <alignment horizontal="right" vertical="center"/>
    </xf>
    <xf numFmtId="0" fontId="10" fillId="3" borderId="0" xfId="0" applyFont="1" applyFill="1" applyAlignment="1"/>
    <xf numFmtId="0" fontId="9" fillId="4" borderId="0" xfId="0" applyFont="1" applyFill="1" applyBorder="1" applyAlignment="1"/>
    <xf numFmtId="0" fontId="5" fillId="2" borderId="0" xfId="0" applyFont="1" applyFill="1">
      <alignment vertical="center"/>
    </xf>
    <xf numFmtId="0" fontId="9" fillId="2" borderId="0" xfId="0" applyFont="1" applyFill="1" applyBorder="1" applyAlignment="1"/>
    <xf numFmtId="177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12" fillId="2" borderId="0" xfId="0" applyFont="1" applyFill="1">
      <alignment vertical="center"/>
    </xf>
    <xf numFmtId="0" fontId="0" fillId="4" borderId="0" xfId="0" applyFill="1">
      <alignment vertical="center"/>
    </xf>
    <xf numFmtId="0" fontId="9" fillId="2" borderId="0" xfId="0" applyFont="1" applyFill="1" applyBorder="1" applyAlignment="1">
      <alignment horizontal="right"/>
    </xf>
    <xf numFmtId="0" fontId="9" fillId="4" borderId="0" xfId="0" applyFont="1" applyFill="1" applyBorder="1" applyAlignment="1">
      <alignment horizontal="right"/>
    </xf>
    <xf numFmtId="0" fontId="5" fillId="2" borderId="0" xfId="0" applyFont="1" applyFill="1" applyAlignment="1">
      <alignment horizontal="right" vertical="center"/>
    </xf>
    <xf numFmtId="9" fontId="13" fillId="5" borderId="0" xfId="1" applyFont="1" applyFill="1" applyAlignment="1">
      <alignment horizontal="right" vertical="center"/>
    </xf>
    <xf numFmtId="0" fontId="14" fillId="2" borderId="1" xfId="0" applyFont="1" applyFill="1" applyBorder="1" applyAlignment="1">
      <alignment vertical="center"/>
    </xf>
    <xf numFmtId="180" fontId="17" fillId="6" borderId="0" xfId="0" applyNumberFormat="1" applyFont="1" applyFill="1" applyBorder="1" applyAlignment="1"/>
    <xf numFmtId="180" fontId="17" fillId="2" borderId="0" xfId="0" applyNumberFormat="1" applyFont="1" applyFill="1" applyBorder="1" applyAlignment="1"/>
    <xf numFmtId="177" fontId="18" fillId="2" borderId="0" xfId="0" applyNumberFormat="1" applyFont="1" applyFill="1" applyAlignment="1">
      <alignment horizontal="right" vertical="center"/>
    </xf>
    <xf numFmtId="0" fontId="18" fillId="2" borderId="0" xfId="0" applyFont="1" applyFill="1">
      <alignment vertical="center"/>
    </xf>
    <xf numFmtId="0" fontId="1" fillId="5" borderId="0" xfId="0" applyNumberFormat="1" applyFont="1" applyFill="1" applyAlignment="1">
      <alignment vertical="center"/>
    </xf>
    <xf numFmtId="178" fontId="18" fillId="2" borderId="0" xfId="0" applyNumberFormat="1" applyFont="1" applyFill="1" applyAlignment="1">
      <alignment horizontal="right" vertical="center"/>
    </xf>
    <xf numFmtId="0" fontId="1" fillId="5" borderId="0" xfId="0" applyNumberFormat="1" applyFont="1" applyFill="1" applyAlignment="1">
      <alignment horizontal="right" vertical="center"/>
    </xf>
    <xf numFmtId="0" fontId="19" fillId="3" borderId="0" xfId="0" applyFont="1" applyFill="1" applyAlignment="1"/>
    <xf numFmtId="0" fontId="20" fillId="4" borderId="0" xfId="0" applyFont="1" applyFill="1" applyBorder="1" applyAlignment="1"/>
    <xf numFmtId="0" fontId="20" fillId="2" borderId="0" xfId="0" applyFont="1" applyFill="1" applyBorder="1" applyAlignment="1"/>
    <xf numFmtId="0" fontId="22" fillId="2" borderId="1" xfId="0" applyFont="1" applyFill="1" applyBorder="1" applyAlignment="1">
      <alignment vertical="center"/>
    </xf>
    <xf numFmtId="177" fontId="21" fillId="2" borderId="0" xfId="0" applyNumberFormat="1" applyFont="1" applyFill="1" applyAlignment="1">
      <alignment horizontal="right" vertical="center"/>
    </xf>
    <xf numFmtId="0" fontId="21" fillId="2" borderId="0" xfId="0" applyFont="1" applyFill="1">
      <alignment vertical="center"/>
    </xf>
    <xf numFmtId="178" fontId="21" fillId="2" borderId="0" xfId="0" applyNumberFormat="1" applyFont="1" applyFill="1" applyAlignment="1">
      <alignment horizontal="right" vertical="center"/>
    </xf>
    <xf numFmtId="180" fontId="23" fillId="6" borderId="0" xfId="0" applyNumberFormat="1" applyFont="1" applyFill="1" applyBorder="1" applyAlignment="1">
      <alignment horizontal="left"/>
    </xf>
    <xf numFmtId="180" fontId="23" fillId="2" borderId="0" xfId="0" applyNumberFormat="1" applyFont="1" applyFill="1" applyBorder="1" applyAlignment="1">
      <alignment horizontal="left"/>
    </xf>
    <xf numFmtId="181" fontId="23" fillId="6" borderId="0" xfId="0" applyNumberFormat="1" applyFont="1" applyFill="1" applyBorder="1" applyAlignment="1">
      <alignment horizontal="right"/>
    </xf>
    <xf numFmtId="180" fontId="17" fillId="6" borderId="0" xfId="0" applyNumberFormat="1" applyFont="1" applyFill="1" applyBorder="1" applyAlignment="1">
      <alignment horizontal="left"/>
    </xf>
    <xf numFmtId="180" fontId="17" fillId="2" borderId="0" xfId="0" applyNumberFormat="1" applyFont="1" applyFill="1" applyBorder="1" applyAlignment="1">
      <alignment horizontal="left"/>
    </xf>
    <xf numFmtId="181" fontId="17" fillId="6" borderId="0" xfId="0" applyNumberFormat="1" applyFont="1" applyFill="1" applyBorder="1" applyAlignment="1">
      <alignment horizontal="left"/>
    </xf>
    <xf numFmtId="181" fontId="24" fillId="6" borderId="0" xfId="0" applyNumberFormat="1" applyFont="1" applyFill="1" applyBorder="1" applyAlignment="1">
      <alignment horizontal="left"/>
    </xf>
    <xf numFmtId="14" fontId="25" fillId="5" borderId="0" xfId="0" applyNumberFormat="1" applyFont="1" applyFill="1" applyAlignment="1">
      <alignment horizontal="right" vertical="center"/>
    </xf>
    <xf numFmtId="0" fontId="25" fillId="2" borderId="0" xfId="0" applyFont="1" applyFill="1" applyBorder="1" applyAlignment="1">
      <alignment horizontal="right"/>
    </xf>
    <xf numFmtId="0" fontId="26" fillId="2" borderId="1" xfId="0" applyFont="1" applyFill="1" applyBorder="1" applyAlignment="1">
      <alignment vertical="center"/>
    </xf>
    <xf numFmtId="0" fontId="25" fillId="5" borderId="0" xfId="0" applyNumberFormat="1" applyFont="1" applyFill="1" applyAlignment="1">
      <alignment horizontal="right" vertical="center"/>
    </xf>
    <xf numFmtId="180" fontId="27" fillId="6" borderId="0" xfId="0" applyNumberFormat="1" applyFont="1" applyFill="1" applyBorder="1" applyAlignment="1">
      <alignment horizontal="left"/>
    </xf>
    <xf numFmtId="0" fontId="28" fillId="2" borderId="0" xfId="0" applyFont="1" applyFill="1" applyBorder="1" applyAlignment="1"/>
    <xf numFmtId="0" fontId="28" fillId="5" borderId="0" xfId="0" applyNumberFormat="1" applyFont="1" applyFill="1" applyAlignment="1">
      <alignment vertical="center"/>
    </xf>
    <xf numFmtId="181" fontId="27" fillId="6" borderId="0" xfId="0" applyNumberFormat="1" applyFont="1" applyFill="1" applyBorder="1" applyAlignment="1">
      <alignment horizontal="right"/>
    </xf>
    <xf numFmtId="181" fontId="27" fillId="2" borderId="0" xfId="0" applyNumberFormat="1" applyFont="1" applyFill="1" applyBorder="1" applyAlignment="1">
      <alignment horizontal="right"/>
    </xf>
    <xf numFmtId="0" fontId="29" fillId="2" borderId="1" xfId="0" applyFont="1" applyFill="1" applyBorder="1" applyAlignment="1">
      <alignment vertical="center"/>
    </xf>
    <xf numFmtId="1" fontId="27" fillId="2" borderId="0" xfId="0" applyNumberFormat="1" applyFont="1" applyFill="1" applyBorder="1" applyAlignment="1">
      <alignment horizontal="right"/>
    </xf>
    <xf numFmtId="0" fontId="30" fillId="6" borderId="0" xfId="0" applyNumberFormat="1" applyFont="1" applyFill="1" applyBorder="1" applyAlignment="1">
      <alignment horizontal="right"/>
    </xf>
    <xf numFmtId="180" fontId="30" fillId="6" borderId="0" xfId="0" applyNumberFormat="1" applyFont="1" applyFill="1" applyBorder="1" applyAlignment="1">
      <alignment horizontal="left"/>
    </xf>
    <xf numFmtId="0" fontId="28" fillId="5" borderId="0" xfId="0" applyNumberFormat="1" applyFont="1" applyFill="1" applyAlignment="1">
      <alignment horizontal="right" vertical="center"/>
    </xf>
    <xf numFmtId="0" fontId="28" fillId="2" borderId="0" xfId="0" applyFont="1" applyFill="1" applyBorder="1" applyAlignment="1">
      <alignment horizontal="right"/>
    </xf>
    <xf numFmtId="0" fontId="27" fillId="6" borderId="0" xfId="0" applyNumberFormat="1" applyFont="1" applyFill="1" applyBorder="1" applyAlignment="1">
      <alignment horizontal="right"/>
    </xf>
    <xf numFmtId="9" fontId="27" fillId="6" borderId="0" xfId="1" applyFont="1" applyFill="1" applyBorder="1" applyAlignment="1">
      <alignment horizontal="right"/>
    </xf>
    <xf numFmtId="1" fontId="27" fillId="6" borderId="0" xfId="0" applyNumberFormat="1" applyFont="1" applyFill="1" applyBorder="1" applyAlignment="1">
      <alignment horizontal="right"/>
    </xf>
    <xf numFmtId="180" fontId="27" fillId="6" borderId="0" xfId="0" applyNumberFormat="1" applyFont="1" applyFill="1" applyBorder="1" applyAlignment="1">
      <alignment horizontal="right"/>
    </xf>
    <xf numFmtId="0" fontId="25" fillId="5" borderId="0" xfId="0" applyNumberFormat="1" applyFont="1" applyFill="1" applyAlignment="1">
      <alignment vertical="center"/>
    </xf>
    <xf numFmtId="0" fontId="31" fillId="2" borderId="0" xfId="0" applyFont="1" applyFill="1">
      <alignment vertical="center"/>
    </xf>
    <xf numFmtId="180" fontId="30" fillId="2" borderId="0" xfId="0" applyNumberFormat="1" applyFont="1" applyFill="1" applyBorder="1" applyAlignment="1">
      <alignment horizontal="left"/>
    </xf>
    <xf numFmtId="10" fontId="27" fillId="2" borderId="0" xfId="1" applyNumberFormat="1" applyFont="1" applyFill="1" applyBorder="1" applyAlignment="1">
      <alignment horizontal="right"/>
    </xf>
    <xf numFmtId="10" fontId="27" fillId="6" borderId="0" xfId="1" applyNumberFormat="1" applyFont="1" applyFill="1" applyBorder="1" applyAlignment="1">
      <alignment horizontal="right"/>
    </xf>
    <xf numFmtId="0" fontId="10" fillId="3" borderId="0" xfId="0" applyFont="1" applyFill="1" applyAlignment="1">
      <alignment horizontal="center"/>
    </xf>
    <xf numFmtId="177" fontId="25" fillId="5" borderId="0" xfId="0" applyNumberFormat="1" applyFont="1" applyFill="1" applyAlignment="1">
      <alignment horizontal="right" vertical="center"/>
    </xf>
  </cellXfs>
  <cellStyles count="3">
    <cellStyle name="百分比" xfId="1" builtinId="5"/>
    <cellStyle name="常规" xfId="0" builtinId="0"/>
    <cellStyle name="超链接" xfId="2" builtinId="8"/>
  </cellStyles>
  <dxfs count="0"/>
  <tableStyles count="0" defaultTableStyle="TableStyleMedium9" defaultPivotStyle="PivotStyleLight16"/>
  <colors>
    <mruColors>
      <color rgb="FFE9E9E9"/>
      <color rgb="FF6363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103.25</v>
        <stp/>
        <stp>TF2406.CFE</stp>
        <stp>LastPrice</stp>
        <tr r="F16" s="1"/>
        <tr r="K16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405847</xdr:colOff>
      <xdr:row>0</xdr:row>
      <xdr:rowOff>99391</xdr:rowOff>
    </xdr:from>
    <xdr:ext cx="607152" cy="219075"/>
    <xdr:pic>
      <xdr:nvPicPr>
        <xdr:cNvPr id="2" name="图片 1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5847" y="99391"/>
          <a:ext cx="607152" cy="2190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598715</xdr:colOff>
      <xdr:row>3</xdr:row>
      <xdr:rowOff>114300</xdr:rowOff>
    </xdr:from>
    <xdr:to>
      <xdr:col>18</xdr:col>
      <xdr:colOff>285749</xdr:colOff>
      <xdr:row>42</xdr:row>
      <xdr:rowOff>59793</xdr:rowOff>
    </xdr:to>
    <xdr:pic>
      <xdr:nvPicPr>
        <xdr:cNvPr id="16" name="图片 15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752"/>
        <a:stretch/>
      </xdr:blipFill>
      <xdr:spPr>
        <a:xfrm>
          <a:off x="1084490" y="809625"/>
          <a:ext cx="11726634" cy="6632043"/>
        </a:xfrm>
        <a:prstGeom prst="rect">
          <a:avLst/>
        </a:prstGeom>
      </xdr:spPr>
    </xdr:pic>
    <xdr:clientData/>
  </xdr:twoCellAnchor>
  <xdr:twoCellAnchor>
    <xdr:from>
      <xdr:col>1</xdr:col>
      <xdr:colOff>149678</xdr:colOff>
      <xdr:row>1</xdr:row>
      <xdr:rowOff>133350</xdr:rowOff>
    </xdr:from>
    <xdr:to>
      <xdr:col>2</xdr:col>
      <xdr:colOff>155121</xdr:colOff>
      <xdr:row>4</xdr:row>
      <xdr:rowOff>133350</xdr:rowOff>
    </xdr:to>
    <xdr:sp macro="" textlink="">
      <xdr:nvSpPr>
        <xdr:cNvPr id="3" name="圆角矩形标注 2"/>
        <xdr:cNvSpPr/>
      </xdr:nvSpPr>
      <xdr:spPr>
        <a:xfrm>
          <a:off x="639535" y="664029"/>
          <a:ext cx="1066800" cy="530678"/>
        </a:xfrm>
        <a:prstGeom prst="wedgeRoundRectCallout">
          <a:avLst>
            <a:gd name="adj1" fmla="val 149652"/>
            <a:gd name="adj2" fmla="val 75320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输入交易的起始日期</a:t>
          </a:r>
        </a:p>
      </xdr:txBody>
    </xdr:sp>
    <xdr:clientData/>
  </xdr:twoCellAnchor>
  <xdr:twoCellAnchor>
    <xdr:from>
      <xdr:col>1</xdr:col>
      <xdr:colOff>144235</xdr:colOff>
      <xdr:row>6</xdr:row>
      <xdr:rowOff>2720</xdr:rowOff>
    </xdr:from>
    <xdr:to>
      <xdr:col>2</xdr:col>
      <xdr:colOff>68035</xdr:colOff>
      <xdr:row>9</xdr:row>
      <xdr:rowOff>88446</xdr:rowOff>
    </xdr:to>
    <xdr:sp macro="" textlink="">
      <xdr:nvSpPr>
        <xdr:cNvPr id="4" name="圆角矩形标注 3"/>
        <xdr:cNvSpPr/>
      </xdr:nvSpPr>
      <xdr:spPr>
        <a:xfrm>
          <a:off x="634092" y="1417863"/>
          <a:ext cx="985157" cy="616404"/>
        </a:xfrm>
        <a:prstGeom prst="wedgeRoundRectCallout">
          <a:avLst>
            <a:gd name="adj1" fmla="val 145776"/>
            <a:gd name="adj2" fmla="val -17273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输入最新的交易日，分析最新损益</a:t>
          </a:r>
        </a:p>
      </xdr:txBody>
    </xdr:sp>
    <xdr:clientData/>
  </xdr:twoCellAnchor>
  <xdr:twoCellAnchor>
    <xdr:from>
      <xdr:col>3</xdr:col>
      <xdr:colOff>616404</xdr:colOff>
      <xdr:row>1</xdr:row>
      <xdr:rowOff>108857</xdr:rowOff>
    </xdr:from>
    <xdr:to>
      <xdr:col>5</xdr:col>
      <xdr:colOff>473529</xdr:colOff>
      <xdr:row>4</xdr:row>
      <xdr:rowOff>93889</xdr:rowOff>
    </xdr:to>
    <xdr:sp macro="" textlink="">
      <xdr:nvSpPr>
        <xdr:cNvPr id="5" name="圆角矩形标注 4"/>
        <xdr:cNvSpPr/>
      </xdr:nvSpPr>
      <xdr:spPr>
        <a:xfrm>
          <a:off x="2847975" y="639536"/>
          <a:ext cx="1217840" cy="515710"/>
        </a:xfrm>
        <a:prstGeom prst="wedgeRoundRectCallout">
          <a:avLst>
            <a:gd name="adj1" fmla="val 90737"/>
            <a:gd name="adj2" fmla="val 75320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选择日期下债券的定价标准</a:t>
          </a:r>
        </a:p>
      </xdr:txBody>
    </xdr:sp>
    <xdr:clientData/>
  </xdr:twoCellAnchor>
  <xdr:twoCellAnchor>
    <xdr:from>
      <xdr:col>12</xdr:col>
      <xdr:colOff>500742</xdr:colOff>
      <xdr:row>4</xdr:row>
      <xdr:rowOff>73730</xdr:rowOff>
    </xdr:from>
    <xdr:to>
      <xdr:col>14</xdr:col>
      <xdr:colOff>357868</xdr:colOff>
      <xdr:row>7</xdr:row>
      <xdr:rowOff>73730</xdr:rowOff>
    </xdr:to>
    <xdr:sp macro="" textlink="">
      <xdr:nvSpPr>
        <xdr:cNvPr id="6" name="圆角矩形标注 5"/>
        <xdr:cNvSpPr/>
      </xdr:nvSpPr>
      <xdr:spPr>
        <a:xfrm>
          <a:off x="8855528" y="1135087"/>
          <a:ext cx="1217840" cy="530679"/>
        </a:xfrm>
        <a:prstGeom prst="wedgeRoundRectCallout">
          <a:avLst>
            <a:gd name="adj1" fmla="val -103837"/>
            <a:gd name="adj2" fmla="val -17273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选择日期下期货的价格标准</a:t>
          </a:r>
        </a:p>
      </xdr:txBody>
    </xdr:sp>
    <xdr:clientData/>
  </xdr:twoCellAnchor>
  <xdr:twoCellAnchor>
    <xdr:from>
      <xdr:col>1</xdr:col>
      <xdr:colOff>210911</xdr:colOff>
      <xdr:row>10</xdr:row>
      <xdr:rowOff>152652</xdr:rowOff>
    </xdr:from>
    <xdr:to>
      <xdr:col>2</xdr:col>
      <xdr:colOff>163286</xdr:colOff>
      <xdr:row>15</xdr:row>
      <xdr:rowOff>51707</xdr:rowOff>
    </xdr:to>
    <xdr:sp macro="" textlink="">
      <xdr:nvSpPr>
        <xdr:cNvPr id="7" name="圆角矩形标注 6"/>
        <xdr:cNvSpPr/>
      </xdr:nvSpPr>
      <xdr:spPr>
        <a:xfrm>
          <a:off x="700768" y="2275366"/>
          <a:ext cx="1013732" cy="783520"/>
        </a:xfrm>
        <a:prstGeom prst="wedgeRoundRectCallout">
          <a:avLst>
            <a:gd name="adj1" fmla="val 138023"/>
            <a:gd name="adj2" fmla="val -35792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选择的债券组合，目前最多三个债券</a:t>
          </a:r>
        </a:p>
      </xdr:txBody>
    </xdr:sp>
    <xdr:clientData/>
  </xdr:twoCellAnchor>
  <xdr:twoCellAnchor>
    <xdr:from>
      <xdr:col>1</xdr:col>
      <xdr:colOff>217714</xdr:colOff>
      <xdr:row>15</xdr:row>
      <xdr:rowOff>123825</xdr:rowOff>
    </xdr:from>
    <xdr:to>
      <xdr:col>2</xdr:col>
      <xdr:colOff>223157</xdr:colOff>
      <xdr:row>18</xdr:row>
      <xdr:rowOff>123825</xdr:rowOff>
    </xdr:to>
    <xdr:sp macro="" textlink="">
      <xdr:nvSpPr>
        <xdr:cNvPr id="8" name="圆角矩形标注 7"/>
        <xdr:cNvSpPr/>
      </xdr:nvSpPr>
      <xdr:spPr>
        <a:xfrm>
          <a:off x="707571" y="3131004"/>
          <a:ext cx="1066800" cy="530678"/>
        </a:xfrm>
        <a:prstGeom prst="wedgeRoundRectCallout">
          <a:avLst>
            <a:gd name="adj1" fmla="val 141124"/>
            <a:gd name="adj2" fmla="val -52459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选择对冲的国债期货的合约代码</a:t>
          </a:r>
        </a:p>
      </xdr:txBody>
    </xdr:sp>
    <xdr:clientData/>
  </xdr:twoCellAnchor>
  <xdr:twoCellAnchor>
    <xdr:from>
      <xdr:col>1</xdr:col>
      <xdr:colOff>204107</xdr:colOff>
      <xdr:row>19</xdr:row>
      <xdr:rowOff>121104</xdr:rowOff>
    </xdr:from>
    <xdr:to>
      <xdr:col>2</xdr:col>
      <xdr:colOff>209550</xdr:colOff>
      <xdr:row>22</xdr:row>
      <xdr:rowOff>121104</xdr:rowOff>
    </xdr:to>
    <xdr:sp macro="" textlink="">
      <xdr:nvSpPr>
        <xdr:cNvPr id="9" name="圆角矩形标注 8"/>
        <xdr:cNvSpPr/>
      </xdr:nvSpPr>
      <xdr:spPr>
        <a:xfrm>
          <a:off x="693964" y="3835854"/>
          <a:ext cx="1066800" cy="530679"/>
        </a:xfrm>
        <a:prstGeom prst="wedgeRoundRectCallout">
          <a:avLst>
            <a:gd name="adj1" fmla="val 138799"/>
            <a:gd name="adj2" fmla="val -120978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选择对冲的国债期货的合约</a:t>
          </a:r>
          <a:r>
            <a:rPr lang="en-US" altLang="zh-CN" sz="1050"/>
            <a:t>CTD</a:t>
          </a:r>
          <a:endParaRPr lang="zh-CN" altLang="en-US" sz="1050"/>
        </a:p>
      </xdr:txBody>
    </xdr:sp>
    <xdr:clientData/>
  </xdr:twoCellAnchor>
  <xdr:twoCellAnchor>
    <xdr:from>
      <xdr:col>14</xdr:col>
      <xdr:colOff>670832</xdr:colOff>
      <xdr:row>22</xdr:row>
      <xdr:rowOff>20409</xdr:rowOff>
    </xdr:from>
    <xdr:to>
      <xdr:col>16</xdr:col>
      <xdr:colOff>527957</xdr:colOff>
      <xdr:row>25</xdr:row>
      <xdr:rowOff>20410</xdr:rowOff>
    </xdr:to>
    <xdr:sp macro="" textlink="">
      <xdr:nvSpPr>
        <xdr:cNvPr id="10" name="圆角矩形标注 9"/>
        <xdr:cNvSpPr/>
      </xdr:nvSpPr>
      <xdr:spPr>
        <a:xfrm>
          <a:off x="10386332" y="4265838"/>
          <a:ext cx="1217839" cy="530679"/>
        </a:xfrm>
        <a:prstGeom prst="wedgeRoundRectCallout">
          <a:avLst>
            <a:gd name="adj1" fmla="val -72829"/>
            <a:gd name="adj2" fmla="val -67274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按照经验法则的基点对冲法</a:t>
          </a:r>
        </a:p>
      </xdr:txBody>
    </xdr:sp>
    <xdr:clientData/>
  </xdr:twoCellAnchor>
  <xdr:twoCellAnchor>
    <xdr:from>
      <xdr:col>14</xdr:col>
      <xdr:colOff>665390</xdr:colOff>
      <xdr:row>26</xdr:row>
      <xdr:rowOff>114301</xdr:rowOff>
    </xdr:from>
    <xdr:to>
      <xdr:col>16</xdr:col>
      <xdr:colOff>522515</xdr:colOff>
      <xdr:row>30</xdr:row>
      <xdr:rowOff>23385</xdr:rowOff>
    </xdr:to>
    <xdr:sp macro="" textlink="">
      <xdr:nvSpPr>
        <xdr:cNvPr id="11" name="圆角矩形标注 10"/>
        <xdr:cNvSpPr/>
      </xdr:nvSpPr>
      <xdr:spPr>
        <a:xfrm>
          <a:off x="10380890" y="5067301"/>
          <a:ext cx="1217839" cy="616655"/>
        </a:xfrm>
        <a:prstGeom prst="wedgeRoundRectCallout">
          <a:avLst>
            <a:gd name="adj1" fmla="val -72829"/>
            <a:gd name="adj2" fmla="val -67274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按照经验法则的基点对冲法，其中考虑资金成本</a:t>
          </a:r>
        </a:p>
      </xdr:txBody>
    </xdr:sp>
    <xdr:clientData/>
  </xdr:twoCellAnchor>
  <xdr:twoCellAnchor>
    <xdr:from>
      <xdr:col>14</xdr:col>
      <xdr:colOff>619125</xdr:colOff>
      <xdr:row>33</xdr:row>
      <xdr:rowOff>145848</xdr:rowOff>
    </xdr:from>
    <xdr:to>
      <xdr:col>16</xdr:col>
      <xdr:colOff>476250</xdr:colOff>
      <xdr:row>36</xdr:row>
      <xdr:rowOff>145847</xdr:rowOff>
    </xdr:to>
    <xdr:sp macro="" textlink="">
      <xdr:nvSpPr>
        <xdr:cNvPr id="12" name="圆角矩形标注 11"/>
        <xdr:cNvSpPr/>
      </xdr:nvSpPr>
      <xdr:spPr>
        <a:xfrm>
          <a:off x="10334625" y="6337098"/>
          <a:ext cx="1217839" cy="530678"/>
        </a:xfrm>
        <a:prstGeom prst="wedgeRoundRectCallout">
          <a:avLst>
            <a:gd name="adj1" fmla="val -72829"/>
            <a:gd name="adj2" fmla="val -67274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按照</a:t>
          </a:r>
          <a:r>
            <a:rPr lang="en-US" altLang="zh-CN" sz="1050"/>
            <a:t>YTM</a:t>
          </a:r>
          <a:r>
            <a:rPr lang="zh-CN" altLang="en-US" sz="1050"/>
            <a:t>回归方式下对冲方法计算</a:t>
          </a:r>
        </a:p>
      </xdr:txBody>
    </xdr:sp>
    <xdr:clientData/>
  </xdr:twoCellAnchor>
  <xdr:twoCellAnchor>
    <xdr:from>
      <xdr:col>14</xdr:col>
      <xdr:colOff>644979</xdr:colOff>
      <xdr:row>38</xdr:row>
      <xdr:rowOff>166008</xdr:rowOff>
    </xdr:from>
    <xdr:to>
      <xdr:col>16</xdr:col>
      <xdr:colOff>502104</xdr:colOff>
      <xdr:row>43</xdr:row>
      <xdr:rowOff>17690</xdr:rowOff>
    </xdr:to>
    <xdr:sp macro="" textlink="">
      <xdr:nvSpPr>
        <xdr:cNvPr id="13" name="圆角矩形标注 12"/>
        <xdr:cNvSpPr/>
      </xdr:nvSpPr>
      <xdr:spPr>
        <a:xfrm>
          <a:off x="10360479" y="7241722"/>
          <a:ext cx="1217839" cy="736147"/>
        </a:xfrm>
        <a:prstGeom prst="wedgeRoundRectCallout">
          <a:avLst>
            <a:gd name="adj1" fmla="val -72829"/>
            <a:gd name="adj2" fmla="val -67274"/>
            <a:gd name="adj3" fmla="val 16667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zh-CN" altLang="en-US" sz="1050"/>
            <a:t>按照</a:t>
          </a:r>
          <a:r>
            <a:rPr lang="en-US" altLang="zh-CN" sz="1050"/>
            <a:t>YTM</a:t>
          </a:r>
          <a:r>
            <a:rPr lang="zh-CN" altLang="en-US" sz="1050"/>
            <a:t>回归方式下对冲方法计算，且考虑资金成本</a:t>
          </a:r>
        </a:p>
      </xdr:txBody>
    </xdr:sp>
    <xdr:clientData/>
  </xdr:twoCellAnchor>
  <xdr:oneCellAnchor>
    <xdr:from>
      <xdr:col>0</xdr:col>
      <xdr:colOff>637168</xdr:colOff>
      <xdr:row>0</xdr:row>
      <xdr:rowOff>85784</xdr:rowOff>
    </xdr:from>
    <xdr:ext cx="607152" cy="219075"/>
    <xdr:pic>
      <xdr:nvPicPr>
        <xdr:cNvPr id="14" name="图片 13">
          <a:extLst>
            <a:ext uri="{FF2B5EF4-FFF2-40B4-BE49-F238E27FC236}">
              <a16:creationId xmlns:a16="http://schemas.microsoft.com/office/drawing/2014/main" id="{B14FCFAF-B093-46EB-A7C7-03D9D002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7168" y="85784"/>
          <a:ext cx="607152" cy="2190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b_anal_dirty_cnbd"/>
      <definedName name="b_anal_dirty_csi"/>
      <definedName name="b_anal_net_cnbd"/>
      <definedName name="b_anal_net_csi"/>
      <definedName name="b_anal_yield_cnbd"/>
      <definedName name="b_calc_mduration"/>
      <definedName name="b_calc_pvbp"/>
      <definedName name="b_calc_yield"/>
      <definedName name="b_dq_originclose"/>
      <definedName name="b_tbf_cvf"/>
      <definedName name="s_dq_settle"/>
      <definedName name="s_info_code2"/>
      <definedName name="s_info_lddate"/>
      <definedName name="TDays"/>
      <definedName name="TDaysOffset"/>
      <definedName name="wset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63636D"/>
  </sheetPr>
  <dimension ref="A1:Y61"/>
  <sheetViews>
    <sheetView showGridLines="0" tabSelected="1" topLeftCell="B1" zoomScaleNormal="100" workbookViewId="0">
      <selection activeCell="C49" sqref="C49"/>
    </sheetView>
  </sheetViews>
  <sheetFormatPr defaultRowHeight="16.5" x14ac:dyDescent="0.15"/>
  <cols>
    <col min="1" max="1" width="4.625" style="15" customWidth="1"/>
    <col min="2" max="2" width="2.625" style="15" customWidth="1"/>
    <col min="3" max="3" width="16.125" style="29" bestFit="1" customWidth="1"/>
    <col min="4" max="4" width="16.375" style="23" bestFit="1" customWidth="1"/>
    <col min="5" max="5" width="15.375" style="29" bestFit="1" customWidth="1"/>
    <col min="6" max="6" width="12.875" style="23" bestFit="1" customWidth="1"/>
    <col min="7" max="7" width="15.375" style="29" bestFit="1" customWidth="1"/>
    <col min="8" max="8" width="11.5" style="15" bestFit="1" customWidth="1"/>
    <col min="9" max="9" width="15.375" style="29" bestFit="1" customWidth="1"/>
    <col min="10" max="10" width="11.375" style="15" customWidth="1"/>
    <col min="11" max="11" width="15.375" style="15" bestFit="1" customWidth="1"/>
    <col min="12" max="12" width="9" style="15" bestFit="1" customWidth="1"/>
    <col min="13" max="13" width="7.875" style="38" bestFit="1" customWidth="1"/>
    <col min="14" max="14" width="7.375" style="15" bestFit="1" customWidth="1"/>
    <col min="15" max="15" width="10.125" style="38" bestFit="1" customWidth="1"/>
    <col min="16" max="16" width="11.25" style="15" bestFit="1" customWidth="1"/>
    <col min="17" max="17" width="10.125" style="38" bestFit="1" customWidth="1"/>
    <col min="18" max="18" width="2.625" style="15" customWidth="1"/>
    <col min="19" max="19" width="4.625" style="15" customWidth="1"/>
    <col min="20" max="22" width="9" style="15"/>
    <col min="23" max="25" width="9" style="19"/>
    <col min="26" max="16384" width="9" style="15"/>
  </cols>
  <sheetData>
    <row r="1" spans="1:19" ht="27.75" x14ac:dyDescent="0.45">
      <c r="A1" s="13"/>
      <c r="B1" s="13"/>
      <c r="C1" s="13"/>
      <c r="D1" s="71" t="s">
        <v>18</v>
      </c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13"/>
      <c r="Q1" s="33"/>
      <c r="R1" s="13"/>
      <c r="S1" s="13"/>
    </row>
    <row r="2" spans="1:19" ht="14.1" customHeight="1" x14ac:dyDescent="0.3">
      <c r="A2" s="14"/>
      <c r="B2" s="14"/>
      <c r="C2" s="14"/>
      <c r="D2" s="22"/>
      <c r="E2" s="14"/>
      <c r="F2" s="22"/>
      <c r="G2" s="14"/>
      <c r="H2" s="14"/>
      <c r="I2" s="14"/>
      <c r="J2" s="14"/>
      <c r="K2" s="14"/>
      <c r="L2" s="14"/>
      <c r="M2" s="34"/>
      <c r="N2" s="14"/>
      <c r="O2" s="34"/>
      <c r="P2" s="14"/>
      <c r="Q2" s="34"/>
      <c r="R2" s="14"/>
      <c r="S2" s="14"/>
    </row>
    <row r="3" spans="1:19" ht="12" customHeight="1" x14ac:dyDescent="0.3">
      <c r="A3" s="14"/>
      <c r="B3" s="16"/>
      <c r="C3" s="16"/>
      <c r="D3" s="21"/>
      <c r="E3" s="16"/>
      <c r="F3" s="21"/>
      <c r="G3" s="16"/>
      <c r="H3" s="16"/>
      <c r="I3" s="16"/>
      <c r="J3" s="16"/>
      <c r="K3" s="16"/>
      <c r="L3" s="16"/>
      <c r="M3" s="35"/>
      <c r="N3" s="16"/>
      <c r="O3" s="35"/>
      <c r="P3" s="16"/>
      <c r="Q3" s="35"/>
      <c r="R3" s="16"/>
      <c r="S3" s="14"/>
    </row>
    <row r="4" spans="1:19" ht="20.25" x14ac:dyDescent="0.3">
      <c r="A4" s="14"/>
      <c r="B4" s="16"/>
      <c r="C4" s="26" t="s">
        <v>36</v>
      </c>
      <c r="D4" s="72">
        <f ca="1">[1]!TDaysOffset(TODAY(),"TradingCalendar=CFFEX","Offset=-3")</f>
        <v>45383</v>
      </c>
      <c r="E4" s="26" t="s">
        <v>38</v>
      </c>
      <c r="F4" s="60" t="s">
        <v>2</v>
      </c>
      <c r="G4" s="26" t="s">
        <v>40</v>
      </c>
      <c r="H4" s="60" t="s">
        <v>3</v>
      </c>
      <c r="I4" s="26" t="s">
        <v>42</v>
      </c>
      <c r="J4" s="32" t="s">
        <v>4</v>
      </c>
      <c r="K4" s="26" t="s">
        <v>41</v>
      </c>
      <c r="L4" s="32" t="s">
        <v>3</v>
      </c>
      <c r="M4" s="35"/>
      <c r="N4" s="16"/>
      <c r="O4" s="35"/>
      <c r="P4" s="16"/>
      <c r="Q4" s="35"/>
      <c r="R4" s="16"/>
      <c r="S4" s="14"/>
    </row>
    <row r="5" spans="1:19" ht="20.25" x14ac:dyDescent="0.3">
      <c r="A5" s="14"/>
      <c r="B5" s="16"/>
      <c r="C5" s="27" t="s">
        <v>37</v>
      </c>
      <c r="D5" s="72">
        <f ca="1">[1]!TDaysOffset(TODAY(),"TradingCalendar=CFFEX")</f>
        <v>45390</v>
      </c>
      <c r="E5" s="27" t="s">
        <v>39</v>
      </c>
      <c r="F5" s="60" t="s">
        <v>2</v>
      </c>
      <c r="G5" s="27" t="s">
        <v>41</v>
      </c>
      <c r="H5" s="60" t="s">
        <v>3</v>
      </c>
      <c r="I5" s="27" t="s">
        <v>43</v>
      </c>
      <c r="J5" s="32" t="s">
        <v>4</v>
      </c>
      <c r="K5" s="27" t="s">
        <v>44</v>
      </c>
      <c r="L5" s="24">
        <v>0.03</v>
      </c>
      <c r="M5" s="35"/>
      <c r="N5" s="16"/>
      <c r="O5" s="35"/>
      <c r="P5" s="16"/>
      <c r="Q5" s="35"/>
      <c r="R5" s="16"/>
      <c r="S5" s="14"/>
    </row>
    <row r="6" spans="1:19" ht="9.9499999999999993" customHeight="1" x14ac:dyDescent="0.3">
      <c r="A6" s="14"/>
      <c r="B6" s="16"/>
      <c r="C6" s="16"/>
      <c r="D6" s="48"/>
      <c r="E6" s="16"/>
      <c r="F6" s="61"/>
      <c r="G6" s="16"/>
      <c r="H6" s="52"/>
      <c r="I6" s="16"/>
      <c r="J6" s="16"/>
      <c r="K6" s="16"/>
      <c r="L6" s="16"/>
      <c r="M6" s="35"/>
      <c r="N6" s="16"/>
      <c r="O6" s="35"/>
      <c r="P6" s="16"/>
      <c r="Q6" s="35"/>
      <c r="R6" s="16"/>
      <c r="S6" s="14"/>
    </row>
    <row r="7" spans="1:19" ht="18" x14ac:dyDescent="0.3">
      <c r="A7" s="14"/>
      <c r="B7" s="16"/>
      <c r="C7" s="25" t="s">
        <v>33</v>
      </c>
      <c r="D7" s="49"/>
      <c r="E7" s="25"/>
      <c r="F7" s="56"/>
      <c r="G7" s="25"/>
      <c r="H7" s="56"/>
      <c r="I7" s="25"/>
      <c r="J7" s="25"/>
      <c r="K7" s="25"/>
      <c r="L7" s="25"/>
      <c r="M7" s="36"/>
      <c r="N7" s="25"/>
      <c r="O7" s="36"/>
      <c r="P7" s="25"/>
      <c r="Q7" s="36"/>
      <c r="R7" s="16"/>
      <c r="S7" s="14"/>
    </row>
    <row r="8" spans="1:19" ht="17.25" x14ac:dyDescent="0.3">
      <c r="A8" s="14"/>
      <c r="B8" s="16"/>
      <c r="C8" s="43" t="s">
        <v>59</v>
      </c>
      <c r="D8" s="50" t="str">
        <f ca="1">可交割券列表!A8</f>
        <v>210013.IB</v>
      </c>
      <c r="E8" s="43" t="s">
        <v>61</v>
      </c>
      <c r="F8" s="50">
        <v>100</v>
      </c>
      <c r="G8" s="43" t="s">
        <v>62</v>
      </c>
      <c r="H8" s="54">
        <f ca="1">IF($H$4="是",IF(I8&lt;&gt;"",I8,IF($F$4="收盘价",[1]!b_dq_originclose(D8,$D$4,2),IF($F$4="中债估值",[1]!b_anal_dirty_cnbd(D8,$D$4,1),[1]!b_anal_dirty_csi(D8,$D$4)))),IF($F$4="收盘价",[1]!b_dq_originclose(D8,$D$4,2),IF($F$4="中债估值",[1]!b_anal_dirty_cnbd(D8,$D$4,1),[1]!b_anal_dirty_csi(D8,$D$4))))</f>
        <v>104.37690000000001</v>
      </c>
      <c r="I8" s="53"/>
      <c r="J8" s="43" t="s">
        <v>47</v>
      </c>
      <c r="K8" s="54">
        <f ca="1">[1]!b_calc_pvbp(D8,$D$4,[1]!b_calc_yield(D8,$D$4,H8,2,"",,,,"",),,,,,"",)*F8*10000/100</f>
        <v>435.91358441716466</v>
      </c>
      <c r="L8" s="43" t="s">
        <v>48</v>
      </c>
      <c r="M8" s="54">
        <f ca="1">[1]!b_calc_mduration(D8,$D$4,[1]!b_calc_yield(D8,$D$4,H8,2,"",,,,"",),"",,,,"",)</f>
        <v>4.1778087827266006</v>
      </c>
      <c r="N8" s="43" t="s">
        <v>49</v>
      </c>
      <c r="O8" s="54">
        <f ca="1">IF($F$4="收盘价",[1]!b_dq_originclose(D8,$D$4,2),IF($F$4="中债估值",[1]!b_anal_dirty_cnbd(D8,$D$4,1),[1]!b_anal_dirty_csi(D8,$D$4)))</f>
        <v>104.37690000000001</v>
      </c>
      <c r="P8" s="43" t="s">
        <v>51</v>
      </c>
      <c r="Q8" s="54">
        <f ca="1">IF($H$5="是",IF(R8&lt;&gt;"",R8,IF($F$5="收盘价",[1]!b_dq_originclose(D8,$D$5,2),IF($F$5="中债估值",[1]!b_anal_dirty_cnbd(D8,$D$5,1),[1]!b_anal_dirty_csi(D8,$D$5)))),IF($F$5="收盘价",[1]!b_dq_originclose(D8,$D$5,2),IF($F$5="中债估值",[1]!b_anal_dirty_cnbd(D8,$D$5,1),[1]!b_anal_dirty_csi(D8,$D$5))))</f>
        <v>104.5082</v>
      </c>
      <c r="R8" s="16"/>
      <c r="S8" s="14"/>
    </row>
    <row r="9" spans="1:19" ht="17.25" x14ac:dyDescent="0.3">
      <c r="A9" s="14"/>
      <c r="B9" s="16"/>
      <c r="C9" s="44" t="s">
        <v>59</v>
      </c>
      <c r="D9" s="50" t="str">
        <f>可交割券列表!A9</f>
        <v>019661.SH</v>
      </c>
      <c r="E9" s="44" t="s">
        <v>61</v>
      </c>
      <c r="F9" s="50">
        <v>600</v>
      </c>
      <c r="G9" s="44" t="s">
        <v>62</v>
      </c>
      <c r="H9" s="55">
        <f ca="1">IF($H$4="是",IF(I9&lt;&gt;"",I9,IF($F$4="收盘价",[1]!b_dq_originclose(D9,$D$4,2),IF($F$4="中债估值",[1]!b_anal_dirty_cnbd(D9,$D$4,1),[1]!b_anal_dirty_csi(D9,$D$4)))),IF($F$4="收盘价",[1]!b_dq_originclose(D9,$D$4,2),IF($F$4="中债估值",[1]!b_anal_dirty_cnbd(D9,$D$4,1),[1]!b_anal_dirty_csi(D9,$D$4))))</f>
        <v>101.95529999999999</v>
      </c>
      <c r="I9" s="53"/>
      <c r="J9" s="44" t="s">
        <v>47</v>
      </c>
      <c r="K9" s="55">
        <f ca="1">[1]!b_calc_pvbp(D9,$D$4,[1]!b_calc_yield(D9,$D$4,H9,2,"",,,,"",),,,,,"",)*F9*10000/100</f>
        <v>2538.2696112055214</v>
      </c>
      <c r="L9" s="44" t="s">
        <v>52</v>
      </c>
      <c r="M9" s="55">
        <f ca="1">[1]!b_calc_mduration(D9,$D$4,[1]!b_calc_yield(D9,$D$4,H9,2,"",,,,"",),"",,,,"",)</f>
        <v>4.1508569192944487</v>
      </c>
      <c r="N9" s="44" t="s">
        <v>50</v>
      </c>
      <c r="O9" s="55">
        <f ca="1">IF($F$4="收盘价",[1]!b_dq_originclose(D9,$D$4,2),IF($F$4="中债估值",[1]!b_anal_dirty_cnbd(D9,$D$4,1),[1]!b_anal_dirty_csi(D9,$D$4)))</f>
        <v>101.95529999999999</v>
      </c>
      <c r="P9" s="44" t="s">
        <v>54</v>
      </c>
      <c r="Q9" s="55">
        <f ca="1">IF($H$5="是",IF(R9&lt;&gt;"",R9,IF($F$5="收盘价",[1]!b_dq_originclose(D9,$D$5,2),IF($F$5="中债估值",[1]!b_anal_dirty_cnbd(D9,$D$5,1),[1]!b_anal_dirty_csi(D9,$D$5)))),IF($F$5="收盘价",[1]!b_dq_originclose(D9,$D$5,2),IF($F$5="中债估值",[1]!b_anal_dirty_cnbd(D9,$D$5,1),[1]!b_anal_dirty_csi(D9,$D$5))))</f>
        <v>101.9713</v>
      </c>
      <c r="R9" s="16"/>
      <c r="S9" s="14"/>
    </row>
    <row r="10" spans="1:19" ht="17.25" x14ac:dyDescent="0.3">
      <c r="A10" s="14"/>
      <c r="B10" s="16"/>
      <c r="C10" s="43" t="s">
        <v>59</v>
      </c>
      <c r="D10" s="50" t="str">
        <f>可交割券列表!A10</f>
        <v>102113.SZ</v>
      </c>
      <c r="E10" s="43" t="s">
        <v>61</v>
      </c>
      <c r="F10" s="50">
        <v>150</v>
      </c>
      <c r="G10" s="43" t="s">
        <v>62</v>
      </c>
      <c r="H10" s="54">
        <f ca="1">IF($H$4="是",IF(I10&lt;&gt;"",I10,IF($F$4="收盘价",[1]!b_dq_originclose(D10,$D$4,2),IF($F$4="中债估值",[1]!b_anal_dirty_cnbd(D10,$D$4,1),[1]!b_anal_dirty_csi(D10,$D$4)))),IF($F$4="收盘价",[1]!b_dq_originclose(D10,$D$4,2),IF($F$4="中债估值",[1]!b_anal_dirty_cnbd(D10,$D$4,1),[1]!b_anal_dirty_csi(D10,$D$4))))</f>
        <v>103.45529999999999</v>
      </c>
      <c r="I10" s="53"/>
      <c r="J10" s="43" t="s">
        <v>47</v>
      </c>
      <c r="K10" s="54">
        <f ca="1">[1]!b_calc_pvbp(D10,$D$4,[1]!b_calc_yield(D10,$D$4,H10,2,"",,,,"",),,,,,"",)*F10*10000/100</f>
        <v>646.51222608503645</v>
      </c>
      <c r="L10" s="43" t="s">
        <v>53</v>
      </c>
      <c r="M10" s="54">
        <f ca="1">[1]!b_calc_mduration(D10,$D$4,[1]!b_calc_yield(D10,$D$4,H10,2,"",,,,"",),"",,,,"",)</f>
        <v>4.1676180115914532</v>
      </c>
      <c r="N10" s="43" t="s">
        <v>50</v>
      </c>
      <c r="O10" s="54">
        <f ca="1">IF($F$4="收盘价",[1]!b_dq_originclose(D10,$D$4,2),IF($F$4="中债估值",[1]!b_anal_dirty_cnbd(D10,$D$4,1),[1]!b_anal_dirty_csi(D10,$D$4)))</f>
        <v>103.45529999999999</v>
      </c>
      <c r="P10" s="43" t="s">
        <v>55</v>
      </c>
      <c r="Q10" s="54">
        <f ca="1">IF($H$5="是",IF(R10&lt;&gt;"",R10,IF($F$5="收盘价",[1]!b_dq_originclose(D10,$D$5,2),IF($F$5="中债估值",[1]!b_anal_dirty_cnbd(D10,$D$5,1),[1]!b_anal_dirty_csi(D10,$D$5)))),IF($F$5="收盘价",[1]!b_dq_originclose(D10,$D$5,2),IF($F$5="中债估值",[1]!b_anal_dirty_cnbd(D10,$D$5,1),[1]!b_anal_dirty_csi(D10,$D$5))))</f>
        <v>103.4713</v>
      </c>
      <c r="R10" s="16"/>
      <c r="S10" s="14"/>
    </row>
    <row r="11" spans="1:19" ht="17.25" x14ac:dyDescent="0.3">
      <c r="A11" s="14"/>
      <c r="B11" s="16"/>
      <c r="C11" s="44" t="s">
        <v>59</v>
      </c>
      <c r="D11" s="50" t="str">
        <f>可交割券列表!A11</f>
        <v>220006.IB</v>
      </c>
      <c r="E11" s="44" t="s">
        <v>61</v>
      </c>
      <c r="F11" s="50">
        <v>150</v>
      </c>
      <c r="G11" s="44" t="s">
        <v>62</v>
      </c>
      <c r="H11" s="55">
        <f ca="1">IF($H$4="是",IF(I11&lt;&gt;"",I11,IF($F$4="收盘价",[1]!b_dq_originclose(D11,$D$4,2),IF($F$4="中债估值",[1]!b_anal_dirty_cnbd(D11,$D$4,1),[1]!b_anal_dirty_csi(D11,$D$4)))),IF($F$4="收盘价",[1]!b_dq_originclose(D11,$D$4,2),IF($F$4="中债估值",[1]!b_anal_dirty_cnbd(D11,$D$4,1),[1]!b_anal_dirty_csi(D11,$D$4))))</f>
        <v>102.6815</v>
      </c>
      <c r="I11" s="53"/>
      <c r="J11" s="44" t="s">
        <v>47</v>
      </c>
      <c r="K11" s="55">
        <f ca="1">[1]!b_calc_pvbp(D11,$D$4,[1]!b_calc_yield(D11,$D$4,H11,2,"",,,,"",),,,,,"",)*F11*10000/100</f>
        <v>710.75696031407176</v>
      </c>
      <c r="L11" s="44" t="s">
        <v>48</v>
      </c>
      <c r="M11" s="55">
        <f ca="1">[1]!b_calc_mduration(D11,$D$4,[1]!b_calc_yield(D11,$D$4,H11,2,"",,,,"",),"",,,,"",)</f>
        <v>4.6162210523099807</v>
      </c>
      <c r="N11" s="44" t="s">
        <v>50</v>
      </c>
      <c r="O11" s="55">
        <f ca="1">IF($F$4="收盘价",[1]!b_dq_originclose(D11,$D$4,2),IF($F$4="中债估值",[1]!b_anal_dirty_cnbd(D11,$D$4,1),[1]!b_anal_dirty_csi(D11,$D$4)))</f>
        <v>102.6815</v>
      </c>
      <c r="P11" s="44" t="s">
        <v>56</v>
      </c>
      <c r="Q11" s="55">
        <f ca="1">IF($H$5="是",IF(R11&lt;&gt;"",R11,IF($F$5="收盘价",[1]!b_dq_originclose(D11,$D$5,2),IF($F$5="中债估值",[1]!b_anal_dirty_cnbd(D11,$D$5,1),[1]!b_anal_dirty_csi(D11,$D$5)))),IF($F$5="收盘价",[1]!b_dq_originclose(D11,$D$5,2),IF($F$5="中债估值",[1]!b_anal_dirty_cnbd(D11,$D$5,1),[1]!b_anal_dirty_csi(D11,$D$5))))</f>
        <v>102.8488</v>
      </c>
      <c r="R11" s="16"/>
      <c r="S11" s="14"/>
    </row>
    <row r="12" spans="1:19" x14ac:dyDescent="0.3">
      <c r="A12" s="14"/>
      <c r="B12" s="16"/>
      <c r="C12" s="43" t="s">
        <v>60</v>
      </c>
      <c r="D12" s="51"/>
      <c r="E12" s="43" t="s">
        <v>61</v>
      </c>
      <c r="F12" s="62">
        <f>SUM(F8:F11)</f>
        <v>1000</v>
      </c>
      <c r="G12" s="43" t="s">
        <v>45</v>
      </c>
      <c r="H12" s="54">
        <f ca="1">SUM(K8:K11)</f>
        <v>4331.4523820217946</v>
      </c>
      <c r="I12" s="54"/>
      <c r="J12" s="42"/>
      <c r="K12" s="54"/>
      <c r="L12" s="40" t="s">
        <v>46</v>
      </c>
      <c r="M12" s="54">
        <f ca="1">SUMPRODUCT(F8:F11,M8:M11)/F12</f>
        <v>4.2258708894345443</v>
      </c>
      <c r="N12" s="42"/>
      <c r="O12" s="54"/>
      <c r="P12" s="42"/>
      <c r="Q12" s="54"/>
      <c r="R12" s="16"/>
      <c r="S12" s="14"/>
    </row>
    <row r="13" spans="1:19" ht="9.9499999999999993" customHeight="1" x14ac:dyDescent="0.3">
      <c r="A13" s="14"/>
      <c r="B13" s="16"/>
      <c r="C13" s="16"/>
      <c r="D13" s="52"/>
      <c r="E13" s="16"/>
      <c r="F13" s="52"/>
      <c r="G13" s="16"/>
      <c r="H13" s="52"/>
      <c r="I13" s="52"/>
      <c r="J13" s="16"/>
      <c r="K13" s="16"/>
      <c r="L13" s="16"/>
      <c r="M13" s="16"/>
      <c r="N13" s="16"/>
      <c r="O13" s="16"/>
      <c r="P13" s="16"/>
      <c r="Q13" s="16"/>
      <c r="R13" s="16"/>
      <c r="S13" s="14"/>
    </row>
    <row r="14" spans="1:19" x14ac:dyDescent="0.3">
      <c r="A14" s="14"/>
      <c r="B14" s="16"/>
      <c r="C14" s="25" t="s">
        <v>34</v>
      </c>
      <c r="D14" s="49"/>
      <c r="E14" s="25"/>
      <c r="F14" s="49"/>
      <c r="G14" s="25"/>
      <c r="H14" s="25"/>
      <c r="I14" s="25"/>
      <c r="J14" s="25"/>
      <c r="K14" s="25"/>
      <c r="L14" s="25"/>
      <c r="M14" s="36"/>
      <c r="N14" s="25"/>
      <c r="O14" s="36"/>
      <c r="P14" s="25"/>
      <c r="Q14" s="36"/>
      <c r="R14" s="16"/>
      <c r="S14" s="14"/>
    </row>
    <row r="15" spans="1:19" x14ac:dyDescent="0.3">
      <c r="A15" s="14"/>
      <c r="B15" s="16"/>
      <c r="C15" s="43" t="s">
        <v>63</v>
      </c>
      <c r="D15" s="50" t="str">
        <f ca="1">[1]!s_info_code2("TF00.CFE",D4)</f>
        <v>TF2406.CFE</v>
      </c>
      <c r="E15" s="43" t="s">
        <v>66</v>
      </c>
      <c r="F15" s="63">
        <v>0.03</v>
      </c>
      <c r="G15" s="40"/>
      <c r="H15" s="40" t="s">
        <v>69</v>
      </c>
      <c r="I15" s="65" t="str">
        <f ca="1">[1]!s_info_lddate(D15)</f>
        <v>2024-06-19</v>
      </c>
      <c r="J15" s="40"/>
      <c r="K15" s="51"/>
      <c r="L15" s="51"/>
      <c r="M15" s="35"/>
      <c r="N15" s="16"/>
      <c r="O15" s="35"/>
      <c r="P15" s="16"/>
      <c r="Q15" s="35"/>
      <c r="R15" s="16"/>
      <c r="S15" s="14"/>
    </row>
    <row r="16" spans="1:19" ht="20.25" x14ac:dyDescent="0.3">
      <c r="A16" s="14"/>
      <c r="B16" s="16"/>
      <c r="C16" s="44" t="s">
        <v>64</v>
      </c>
      <c r="D16" s="53">
        <v>1</v>
      </c>
      <c r="E16" s="44" t="s">
        <v>67</v>
      </c>
      <c r="F16" s="55">
        <f ca="1">IF(L4="是",IF(G16&lt;&gt;"",G16,IF(J4="结算价",[1]!s_dq_settle(D15,D4),RTD("wdf.rtq",,D15,"LastPrice"))),IF(J4="结算价",[1]!s_dq_settle(D15,D4),RTD("wdf.rtq",,D15,"LastPrice")))</f>
        <v>103.25</v>
      </c>
      <c r="G16" s="30"/>
      <c r="H16" s="41" t="s">
        <v>70</v>
      </c>
      <c r="I16" s="55">
        <f ca="1">D16*10000*I17/K17</f>
        <v>437.5324544988103</v>
      </c>
      <c r="J16" s="41" t="s">
        <v>71</v>
      </c>
      <c r="K16" s="55">
        <f ca="1">IF(L4="是",IF(L16&lt;&gt;"",L16,RTD("wdf.rtq",,D15,"LastPrice")),RTD("wdf.rtq",,D15,"LastPrice"))</f>
        <v>103.25</v>
      </c>
      <c r="L16" s="66"/>
      <c r="M16" s="35"/>
      <c r="N16" s="16"/>
      <c r="O16" s="35"/>
      <c r="P16" s="16"/>
      <c r="Q16" s="35"/>
      <c r="R16" s="16"/>
      <c r="S16" s="14"/>
    </row>
    <row r="17" spans="1:19" ht="20.25" x14ac:dyDescent="0.3">
      <c r="A17" s="14"/>
      <c r="B17" s="16"/>
      <c r="C17" s="43" t="s">
        <v>65</v>
      </c>
      <c r="D17" s="50" t="str">
        <f ca="1">D8</f>
        <v>210013.IB</v>
      </c>
      <c r="E17" s="43" t="s">
        <v>68</v>
      </c>
      <c r="F17" s="54">
        <f ca="1">IF(H4="是",IF(G17&lt;&gt;"",G17,IF($F$4="收盘价",[1]!b_dq_originclose(D17,$D$4,1),IF($F$4="中债估值",[1]!b_anal_net_cnbd(D17,$D$4,1),[1]!b_anal_net_csi(D17,$D$4)))),IF($F$4="收盘价",[1]!b_dq_originclose(D17,$D$4,1),IF($F$4="中债估值",[1]!b_anal_net_cnbd(D17,$D$4,1),[1]!b_anal_net_csi(D17,$D$4))))</f>
        <v>103.0253</v>
      </c>
      <c r="G17" s="30"/>
      <c r="H17" s="40" t="s">
        <v>70</v>
      </c>
      <c r="I17" s="54">
        <f ca="1">[1]!b_calc_pvbp(D17,$D$4,[1]!b_calc_yield(D17,$D$4,F17,1,"",,,,"",),,,,,"",)</f>
        <v>4.3591358441716466E-2</v>
      </c>
      <c r="J17" s="40" t="s">
        <v>72</v>
      </c>
      <c r="K17" s="54">
        <f ca="1">[1]!b_tbf_cvf(D17,D15)</f>
        <v>0.99629999999999996</v>
      </c>
      <c r="L17" s="54"/>
      <c r="M17" s="35"/>
      <c r="N17" s="16"/>
      <c r="O17" s="35"/>
      <c r="P17" s="16"/>
      <c r="Q17" s="35"/>
      <c r="R17" s="16"/>
      <c r="S17" s="14"/>
    </row>
    <row r="18" spans="1:19" ht="9.9499999999999993" customHeight="1" x14ac:dyDescent="0.3">
      <c r="A18" s="14"/>
      <c r="B18" s="16"/>
      <c r="C18" s="16"/>
      <c r="D18" s="48"/>
      <c r="E18" s="16"/>
      <c r="F18" s="48"/>
      <c r="G18" s="16"/>
      <c r="H18" s="16"/>
      <c r="I18" s="16"/>
      <c r="J18" s="16"/>
      <c r="K18" s="35"/>
      <c r="L18" s="16"/>
      <c r="M18" s="35"/>
      <c r="N18" s="16"/>
      <c r="O18" s="35"/>
      <c r="P18" s="16"/>
      <c r="Q18" s="35"/>
      <c r="R18" s="16"/>
      <c r="S18" s="14"/>
    </row>
    <row r="19" spans="1:19" x14ac:dyDescent="0.3">
      <c r="A19" s="14"/>
      <c r="B19" s="16"/>
      <c r="C19" s="25" t="s">
        <v>35</v>
      </c>
      <c r="D19" s="49"/>
      <c r="E19" s="25"/>
      <c r="F19" s="49"/>
      <c r="G19" s="25"/>
      <c r="H19" s="25"/>
      <c r="I19" s="25"/>
      <c r="J19" s="25"/>
      <c r="K19" s="25"/>
      <c r="L19" s="25"/>
      <c r="M19" s="36"/>
      <c r="N19" s="25"/>
      <c r="O19" s="36"/>
      <c r="P19" s="25"/>
      <c r="Q19" s="36"/>
      <c r="R19" s="16"/>
      <c r="S19" s="14"/>
    </row>
    <row r="20" spans="1:19" x14ac:dyDescent="0.3">
      <c r="A20" s="14"/>
      <c r="B20" s="16"/>
      <c r="C20" s="43" t="s">
        <v>73</v>
      </c>
      <c r="D20" s="64">
        <f ca="1">ROUND(H12/I16,)</f>
        <v>10</v>
      </c>
      <c r="E20" s="43"/>
      <c r="F20" s="54"/>
      <c r="G20" s="54"/>
      <c r="H20" s="54"/>
      <c r="I20" s="43"/>
      <c r="J20" s="54"/>
      <c r="K20" s="40"/>
      <c r="L20" s="45" t="s">
        <v>99</v>
      </c>
      <c r="M20" s="46" t="s">
        <v>100</v>
      </c>
      <c r="N20" s="16"/>
      <c r="O20" s="16"/>
      <c r="P20" s="16"/>
      <c r="Q20" s="16"/>
      <c r="R20" s="16"/>
      <c r="S20" s="14"/>
    </row>
    <row r="21" spans="1:19" x14ac:dyDescent="0.3">
      <c r="A21" s="14"/>
      <c r="B21" s="16"/>
      <c r="C21" s="44" t="s">
        <v>74</v>
      </c>
      <c r="D21" s="55">
        <f ca="1">SUMPRODUCT(F8:F11,H8:H11)/100</f>
        <v>1025.3139000000001</v>
      </c>
      <c r="E21" s="44" t="s">
        <v>76</v>
      </c>
      <c r="F21" s="55">
        <f ca="1">SUMPRODUCT(F8:F11,Q8:Q11)/100</f>
        <v>1025.8161500000001</v>
      </c>
      <c r="G21" s="55"/>
      <c r="H21" s="55"/>
      <c r="I21" s="44" t="s">
        <v>77</v>
      </c>
      <c r="J21" s="55">
        <f ca="1">F21-D21</f>
        <v>0.50225000000000364</v>
      </c>
      <c r="K21" s="44" t="s">
        <v>102</v>
      </c>
      <c r="L21" s="69">
        <f ca="1">J21/D21</f>
        <v>4.8984998642854995E-4</v>
      </c>
      <c r="M21" s="69">
        <f ca="1">L21*365/($D$5-$D$4)</f>
        <v>2.5542177863774388E-2</v>
      </c>
      <c r="N21" s="16"/>
      <c r="O21" s="16"/>
      <c r="P21" s="16"/>
      <c r="Q21" s="16"/>
      <c r="R21" s="16"/>
      <c r="S21" s="14"/>
    </row>
    <row r="22" spans="1:19" x14ac:dyDescent="0.3">
      <c r="A22" s="14"/>
      <c r="B22" s="16"/>
      <c r="C22" s="43" t="s">
        <v>75</v>
      </c>
      <c r="D22" s="54">
        <f ca="1">D20*F16</f>
        <v>1032.5</v>
      </c>
      <c r="E22" s="43" t="s">
        <v>78</v>
      </c>
      <c r="F22" s="54">
        <f ca="1">D20*K16</f>
        <v>1032.5</v>
      </c>
      <c r="G22" s="54"/>
      <c r="H22" s="54"/>
      <c r="I22" s="43" t="s">
        <v>79</v>
      </c>
      <c r="J22" s="54">
        <f ca="1">-F22+D22</f>
        <v>0</v>
      </c>
      <c r="K22" s="43" t="s">
        <v>103</v>
      </c>
      <c r="L22" s="70">
        <f ca="1">J22/(D22*F15)</f>
        <v>0</v>
      </c>
      <c r="M22" s="70">
        <f t="shared" ref="M22:M23" ca="1" si="0">L22*365/($D$5-$D$4)</f>
        <v>0</v>
      </c>
      <c r="N22" s="16"/>
      <c r="O22" s="16"/>
      <c r="P22" s="16"/>
      <c r="Q22" s="16"/>
      <c r="R22" s="16"/>
      <c r="S22" s="14"/>
    </row>
    <row r="23" spans="1:19" x14ac:dyDescent="0.3">
      <c r="A23" s="14"/>
      <c r="B23" s="16"/>
      <c r="C23" s="44"/>
      <c r="D23" s="55"/>
      <c r="E23" s="44"/>
      <c r="F23" s="55"/>
      <c r="G23" s="15"/>
      <c r="H23" s="67"/>
      <c r="I23" s="44" t="s">
        <v>80</v>
      </c>
      <c r="J23" s="55">
        <f ca="1">J21+J22</f>
        <v>0.50225000000000364</v>
      </c>
      <c r="K23" s="44" t="s">
        <v>102</v>
      </c>
      <c r="L23" s="69">
        <f ca="1">J23/(D21+D22*F15)</f>
        <v>4.7548544721051563E-4</v>
      </c>
      <c r="M23" s="69">
        <f t="shared" ca="1" si="0"/>
        <v>2.4793169747405457E-2</v>
      </c>
      <c r="N23" s="16"/>
      <c r="O23" s="16"/>
      <c r="P23" s="16"/>
      <c r="Q23" s="16"/>
      <c r="R23" s="16"/>
      <c r="S23" s="14"/>
    </row>
    <row r="24" spans="1:19" ht="9.9499999999999993" customHeight="1" x14ac:dyDescent="0.3">
      <c r="A24" s="14"/>
      <c r="B24" s="16"/>
      <c r="C24" s="16"/>
      <c r="D24" s="52"/>
      <c r="E24" s="16"/>
      <c r="F24" s="52"/>
      <c r="G24" s="16"/>
      <c r="H24" s="52"/>
      <c r="I24" s="16"/>
      <c r="J24" s="52"/>
      <c r="K24" s="16"/>
      <c r="L24" s="16"/>
      <c r="M24" s="16"/>
      <c r="N24" s="16"/>
      <c r="O24" s="16"/>
      <c r="P24" s="16"/>
      <c r="Q24" s="16"/>
      <c r="R24" s="16"/>
      <c r="S24" s="14"/>
    </row>
    <row r="25" spans="1:19" x14ac:dyDescent="0.3">
      <c r="A25" s="14"/>
      <c r="B25" s="16"/>
      <c r="C25" s="43" t="s">
        <v>83</v>
      </c>
      <c r="D25" s="64">
        <f ca="1">ROUND((H12/I16)/(1+L5*(I15-D4)/365),)</f>
        <v>10</v>
      </c>
      <c r="E25" s="43"/>
      <c r="F25" s="54"/>
      <c r="G25" s="43"/>
      <c r="H25" s="54"/>
      <c r="I25" s="43"/>
      <c r="J25" s="54"/>
      <c r="K25" s="43"/>
      <c r="L25" s="45" t="s">
        <v>95</v>
      </c>
      <c r="M25" s="46" t="s">
        <v>96</v>
      </c>
      <c r="N25" s="16"/>
      <c r="O25" s="16"/>
      <c r="P25" s="16"/>
      <c r="Q25" s="16"/>
      <c r="R25" s="16"/>
      <c r="S25" s="14"/>
    </row>
    <row r="26" spans="1:19" x14ac:dyDescent="0.3">
      <c r="A26" s="14"/>
      <c r="B26" s="16"/>
      <c r="C26" s="44" t="s">
        <v>84</v>
      </c>
      <c r="D26" s="55">
        <f ca="1">SUMPRODUCT(F8:F11,H8:H11)/100</f>
        <v>1025.3139000000001</v>
      </c>
      <c r="E26" s="44" t="s">
        <v>82</v>
      </c>
      <c r="F26" s="55">
        <f ca="1">SUMPRODUCT(F8:F11,Q8:Q11)/100</f>
        <v>1025.8161500000001</v>
      </c>
      <c r="G26" s="44" t="s">
        <v>81</v>
      </c>
      <c r="H26" s="55">
        <f ca="1">D26*L5*(D5-D4)/365</f>
        <v>0.5899066273972603</v>
      </c>
      <c r="I26" s="44" t="s">
        <v>79</v>
      </c>
      <c r="J26" s="55">
        <f ca="1">F26-D26-H26</f>
        <v>-8.7656627397256659E-2</v>
      </c>
      <c r="K26" s="44" t="s">
        <v>102</v>
      </c>
      <c r="L26" s="69">
        <f ca="1">J26/D26</f>
        <v>-8.5492479324874701E-5</v>
      </c>
      <c r="M26" s="69">
        <f ca="1">L26*365/($D$5-$D$4)</f>
        <v>-4.4578221362256091E-3</v>
      </c>
      <c r="N26" s="16"/>
      <c r="O26" s="16"/>
      <c r="P26" s="16"/>
      <c r="Q26" s="16"/>
      <c r="R26" s="16"/>
      <c r="S26" s="14"/>
    </row>
    <row r="27" spans="1:19" x14ac:dyDescent="0.3">
      <c r="A27" s="14"/>
      <c r="B27" s="16"/>
      <c r="C27" s="43" t="s">
        <v>85</v>
      </c>
      <c r="D27" s="54">
        <f ca="1">D25*$F$16</f>
        <v>1032.5</v>
      </c>
      <c r="E27" s="43" t="s">
        <v>78</v>
      </c>
      <c r="F27" s="54">
        <f ca="1">D25*$K$16</f>
        <v>1032.5</v>
      </c>
      <c r="G27" s="43"/>
      <c r="H27" s="54"/>
      <c r="I27" s="43" t="s">
        <v>79</v>
      </c>
      <c r="J27" s="54">
        <f ca="1">-F27+D27</f>
        <v>0</v>
      </c>
      <c r="K27" s="43" t="s">
        <v>102</v>
      </c>
      <c r="L27" s="70">
        <f ca="1">J27/(D27*F15)</f>
        <v>0</v>
      </c>
      <c r="M27" s="70">
        <f t="shared" ref="M27:M28" ca="1" si="1">L27*365/($D$5-$D$4)</f>
        <v>0</v>
      </c>
      <c r="N27" s="16"/>
      <c r="O27" s="16"/>
      <c r="P27" s="16"/>
      <c r="Q27" s="16"/>
      <c r="R27" s="16"/>
      <c r="S27" s="14"/>
    </row>
    <row r="28" spans="1:19" x14ac:dyDescent="0.3">
      <c r="A28" s="14"/>
      <c r="B28" s="16"/>
      <c r="C28" s="44"/>
      <c r="D28" s="55"/>
      <c r="E28" s="44"/>
      <c r="F28" s="55"/>
      <c r="G28" s="44"/>
      <c r="H28" s="55"/>
      <c r="I28" s="44" t="s">
        <v>80</v>
      </c>
      <c r="J28" s="55">
        <f ca="1">J26+J27</f>
        <v>-8.7656627397256659E-2</v>
      </c>
      <c r="K28" s="44" t="s">
        <v>103</v>
      </c>
      <c r="L28" s="69">
        <f ca="1">J28/(D26+D27*F15)</f>
        <v>-8.2985466757490927E-5</v>
      </c>
      <c r="M28" s="69">
        <f t="shared" ca="1" si="1"/>
        <v>-4.3270993380691699E-3</v>
      </c>
      <c r="N28" s="16"/>
      <c r="O28" s="16"/>
      <c r="P28" s="16"/>
      <c r="Q28" s="16"/>
      <c r="R28" s="16"/>
      <c r="S28" s="14"/>
    </row>
    <row r="29" spans="1:19" ht="9.9499999999999993" customHeight="1" x14ac:dyDescent="0.3">
      <c r="A29" s="14"/>
      <c r="B29" s="16"/>
      <c r="C29" s="16"/>
      <c r="D29" s="52"/>
      <c r="E29" s="16"/>
      <c r="F29" s="52"/>
      <c r="G29" s="16"/>
      <c r="H29" s="52"/>
      <c r="I29" s="16"/>
      <c r="J29" s="52"/>
      <c r="K29" s="16"/>
      <c r="L29" s="16"/>
      <c r="M29" s="16"/>
      <c r="N29" s="16"/>
      <c r="O29" s="16"/>
      <c r="P29" s="16"/>
      <c r="Q29" s="16"/>
      <c r="R29" s="16"/>
      <c r="S29" s="14"/>
    </row>
    <row r="30" spans="1:19" ht="18" x14ac:dyDescent="0.3">
      <c r="A30" s="14"/>
      <c r="B30" s="16"/>
      <c r="C30" s="25" t="s">
        <v>57</v>
      </c>
      <c r="D30" s="56"/>
      <c r="E30" s="25"/>
      <c r="F30" s="56"/>
      <c r="G30" s="25"/>
      <c r="H30" s="56"/>
      <c r="I30" s="25"/>
      <c r="J30" s="56"/>
      <c r="K30" s="25"/>
      <c r="L30" s="25"/>
      <c r="M30" s="25"/>
      <c r="N30" s="25"/>
      <c r="O30" s="25"/>
      <c r="P30" s="25"/>
      <c r="Q30" s="25"/>
      <c r="R30" s="16"/>
      <c r="S30" s="14"/>
    </row>
    <row r="31" spans="1:19" ht="17.25" x14ac:dyDescent="0.3">
      <c r="A31" s="14"/>
      <c r="B31" s="16"/>
      <c r="C31" s="43" t="s">
        <v>86</v>
      </c>
      <c r="D31" s="47">
        <f ca="1">TODAY()-720</f>
        <v>44670</v>
      </c>
      <c r="E31" s="43" t="s">
        <v>89</v>
      </c>
      <c r="F31" s="47">
        <f ca="1">TODAY()-1</f>
        <v>45389</v>
      </c>
      <c r="G31" s="43"/>
      <c r="H31" s="59"/>
      <c r="I31" s="43"/>
      <c r="J31" s="59"/>
      <c r="K31" s="43"/>
      <c r="L31" s="43"/>
      <c r="M31" s="43"/>
      <c r="N31" s="16"/>
      <c r="O31" s="16"/>
      <c r="P31" s="16"/>
      <c r="Q31" s="16"/>
      <c r="R31" s="16"/>
      <c r="S31" s="14"/>
    </row>
    <row r="32" spans="1:19" ht="17.25" x14ac:dyDescent="0.3">
      <c r="A32" s="14"/>
      <c r="B32" s="16"/>
      <c r="C32" s="44" t="s">
        <v>87</v>
      </c>
      <c r="D32" s="57">
        <f ca="1">ROUND(H12*D33/I16,0)</f>
        <v>10</v>
      </c>
      <c r="E32" s="44"/>
      <c r="F32" s="55"/>
      <c r="G32" s="44"/>
      <c r="H32" s="68"/>
      <c r="I32" s="44"/>
      <c r="J32" s="68"/>
      <c r="K32" s="44"/>
      <c r="L32" s="16"/>
      <c r="M32" s="16"/>
      <c r="N32" s="16"/>
      <c r="O32" s="16"/>
      <c r="P32" s="16"/>
      <c r="Q32" s="16"/>
      <c r="R32" s="16"/>
      <c r="S32" s="14"/>
    </row>
    <row r="33" spans="1:19" x14ac:dyDescent="0.3">
      <c r="A33" s="14"/>
      <c r="B33" s="16"/>
      <c r="C33" s="43" t="s">
        <v>88</v>
      </c>
      <c r="D33" s="54">
        <f ca="1">LINEST(回归结果!$C$2:$C$495,回归结果!$D$2:$D$495)</f>
        <v>1.0010013638206035</v>
      </c>
      <c r="E33" s="43"/>
      <c r="F33" s="54"/>
      <c r="G33" s="54"/>
      <c r="H33" s="54"/>
      <c r="I33" s="43"/>
      <c r="J33" s="54"/>
      <c r="K33" s="43"/>
      <c r="L33" s="45" t="s">
        <v>95</v>
      </c>
      <c r="M33" s="46" t="s">
        <v>96</v>
      </c>
      <c r="N33" s="16"/>
      <c r="O33" s="16"/>
      <c r="P33" s="16"/>
      <c r="Q33" s="16"/>
      <c r="R33" s="16"/>
      <c r="S33" s="14"/>
    </row>
    <row r="34" spans="1:19" x14ac:dyDescent="0.3">
      <c r="A34" s="14"/>
      <c r="B34" s="16"/>
      <c r="C34" s="44" t="s">
        <v>84</v>
      </c>
      <c r="D34" s="55">
        <f ca="1">SUMPRODUCT(F8:F11,H8:H11)/100</f>
        <v>1025.3139000000001</v>
      </c>
      <c r="E34" s="44" t="s">
        <v>90</v>
      </c>
      <c r="F34" s="55">
        <f ca="1">SUMPRODUCT(F8:F11,Q8:Q11)/100</f>
        <v>1025.8161500000001</v>
      </c>
      <c r="G34" s="55"/>
      <c r="H34" s="55"/>
      <c r="I34" s="44" t="s">
        <v>79</v>
      </c>
      <c r="J34" s="55">
        <f ca="1">F34-D34</f>
        <v>0.50225000000000364</v>
      </c>
      <c r="K34" s="44" t="s">
        <v>103</v>
      </c>
      <c r="L34" s="69">
        <f ca="1">J34/D34</f>
        <v>4.8984998642854995E-4</v>
      </c>
      <c r="M34" s="69">
        <f ca="1">L34*365/($D$5-$D$4)</f>
        <v>2.5542177863774388E-2</v>
      </c>
      <c r="N34" s="16"/>
      <c r="O34" s="16"/>
      <c r="P34" s="16"/>
      <c r="Q34" s="16"/>
      <c r="R34" s="16"/>
      <c r="S34" s="14"/>
    </row>
    <row r="35" spans="1:19" x14ac:dyDescent="0.3">
      <c r="A35" s="14"/>
      <c r="B35" s="16"/>
      <c r="C35" s="43" t="s">
        <v>85</v>
      </c>
      <c r="D35" s="54">
        <f ca="1">F16*D32</f>
        <v>1032.5</v>
      </c>
      <c r="E35" s="43" t="s">
        <v>91</v>
      </c>
      <c r="F35" s="54">
        <f ca="1">K16*D32</f>
        <v>1032.5</v>
      </c>
      <c r="G35" s="54"/>
      <c r="H35" s="54"/>
      <c r="I35" s="43" t="s">
        <v>92</v>
      </c>
      <c r="J35" s="54">
        <f ca="1">-F35+D35</f>
        <v>0</v>
      </c>
      <c r="K35" s="43" t="s">
        <v>102</v>
      </c>
      <c r="L35" s="70">
        <f ca="1">J35/(D35*F15)</f>
        <v>0</v>
      </c>
      <c r="M35" s="70">
        <f t="shared" ref="M35:M36" ca="1" si="2">L35*365/($D$5-$D$4)</f>
        <v>0</v>
      </c>
      <c r="N35" s="16"/>
      <c r="O35" s="16"/>
      <c r="P35" s="16"/>
      <c r="Q35" s="16"/>
      <c r="R35" s="16"/>
      <c r="S35" s="14"/>
    </row>
    <row r="36" spans="1:19" x14ac:dyDescent="0.3">
      <c r="A36" s="14"/>
      <c r="B36" s="16"/>
      <c r="C36" s="44"/>
      <c r="D36" s="55"/>
      <c r="E36" s="44"/>
      <c r="F36" s="55"/>
      <c r="G36" s="15"/>
      <c r="H36" s="67"/>
      <c r="I36" s="44" t="s">
        <v>80</v>
      </c>
      <c r="J36" s="55">
        <f ca="1">J34+J35</f>
        <v>0.50225000000000364</v>
      </c>
      <c r="K36" s="44" t="s">
        <v>102</v>
      </c>
      <c r="L36" s="69">
        <f ca="1">J36/(D34+D35*F15)</f>
        <v>4.7548544721051563E-4</v>
      </c>
      <c r="M36" s="69">
        <f t="shared" ca="1" si="2"/>
        <v>2.4793169747405457E-2</v>
      </c>
      <c r="N36" s="16"/>
      <c r="O36" s="16"/>
      <c r="P36" s="16"/>
      <c r="Q36" s="16"/>
      <c r="R36" s="16"/>
      <c r="S36" s="14"/>
    </row>
    <row r="37" spans="1:19" ht="9.9499999999999993" customHeight="1" x14ac:dyDescent="0.3">
      <c r="A37" s="14"/>
      <c r="B37" s="16"/>
      <c r="C37" s="16"/>
      <c r="D37" s="52"/>
      <c r="E37" s="16"/>
      <c r="F37" s="52"/>
      <c r="G37" s="16"/>
      <c r="H37" s="52"/>
      <c r="I37" s="16"/>
      <c r="J37" s="52"/>
      <c r="K37" s="16"/>
      <c r="L37" s="16"/>
      <c r="M37" s="16"/>
      <c r="N37" s="16"/>
      <c r="O37" s="16"/>
      <c r="P37" s="16"/>
      <c r="Q37" s="16"/>
      <c r="R37" s="16"/>
      <c r="S37" s="14"/>
    </row>
    <row r="38" spans="1:19" ht="18" x14ac:dyDescent="0.3">
      <c r="A38" s="14"/>
      <c r="B38" s="16"/>
      <c r="C38" s="25" t="s">
        <v>58</v>
      </c>
      <c r="D38" s="56"/>
      <c r="E38" s="25"/>
      <c r="F38" s="56"/>
      <c r="G38" s="25"/>
      <c r="H38" s="56"/>
      <c r="I38" s="25"/>
      <c r="J38" s="56"/>
      <c r="K38" s="25"/>
      <c r="L38" s="25"/>
      <c r="M38" s="25"/>
      <c r="N38" s="25"/>
      <c r="O38" s="25"/>
      <c r="P38" s="25"/>
      <c r="Q38" s="25"/>
      <c r="R38" s="16"/>
      <c r="S38" s="14"/>
    </row>
    <row r="39" spans="1:19" ht="17.25" x14ac:dyDescent="0.3">
      <c r="A39" s="14"/>
      <c r="B39" s="16"/>
      <c r="C39" s="43" t="s">
        <v>87</v>
      </c>
      <c r="D39" s="58">
        <f ca="1">ROUND((H12*D33/I16)/(1+L5*(I15-D4)/365),)</f>
        <v>10</v>
      </c>
      <c r="E39" s="43"/>
      <c r="F39" s="59"/>
      <c r="G39" s="43"/>
      <c r="H39" s="59"/>
      <c r="I39" s="43"/>
      <c r="J39" s="59"/>
      <c r="K39" s="43"/>
      <c r="L39" s="43"/>
      <c r="M39" s="43"/>
      <c r="N39" s="16"/>
      <c r="O39" s="35"/>
      <c r="P39" s="16"/>
      <c r="Q39" s="35"/>
      <c r="R39" s="16"/>
      <c r="S39" s="14"/>
    </row>
    <row r="40" spans="1:19" x14ac:dyDescent="0.3">
      <c r="A40" s="14"/>
      <c r="B40" s="16"/>
      <c r="C40" s="44" t="s">
        <v>88</v>
      </c>
      <c r="D40" s="55">
        <f ca="1">LINEST(回归结果!$C$2:$C$495,回归结果!$D$2:$D$495)</f>
        <v>1.0010013638206035</v>
      </c>
      <c r="E40" s="44"/>
      <c r="F40" s="55"/>
      <c r="G40" s="44"/>
      <c r="H40" s="55"/>
      <c r="I40" s="44"/>
      <c r="J40" s="55"/>
      <c r="K40" s="44"/>
      <c r="L40" s="41" t="s">
        <v>97</v>
      </c>
      <c r="M40" s="41" t="s">
        <v>98</v>
      </c>
      <c r="N40" s="41"/>
      <c r="O40" s="35"/>
      <c r="P40" s="16"/>
      <c r="Q40" s="35"/>
      <c r="R40" s="16"/>
      <c r="S40" s="14"/>
    </row>
    <row r="41" spans="1:19" x14ac:dyDescent="0.3">
      <c r="A41" s="14"/>
      <c r="B41" s="16"/>
      <c r="C41" s="43" t="s">
        <v>93</v>
      </c>
      <c r="D41" s="54">
        <f ca="1">SUMPRODUCT(F8:F11,H8:H11)/100</f>
        <v>1025.3139000000001</v>
      </c>
      <c r="E41" s="43" t="s">
        <v>90</v>
      </c>
      <c r="F41" s="54">
        <f ca="1">SUMPRODUCT(F8:F11,Q8:Q11)/100</f>
        <v>1025.8161500000001</v>
      </c>
      <c r="G41" s="43" t="s">
        <v>81</v>
      </c>
      <c r="H41" s="54">
        <f ca="1">D41*L5*(D5-D4)/365</f>
        <v>0.5899066273972603</v>
      </c>
      <c r="I41" s="43" t="s">
        <v>79</v>
      </c>
      <c r="J41" s="54">
        <f ca="1">F41-D41-H41</f>
        <v>-8.7656627397256659E-2</v>
      </c>
      <c r="K41" s="43" t="s">
        <v>103</v>
      </c>
      <c r="L41" s="70">
        <f ca="1">J41/D41</f>
        <v>-8.5492479324874701E-5</v>
      </c>
      <c r="M41" s="70">
        <f ca="1">L41*365/($D$5-$D$4)</f>
        <v>-4.4578221362256091E-3</v>
      </c>
      <c r="N41" s="16"/>
      <c r="O41" s="35"/>
      <c r="P41" s="16"/>
      <c r="Q41" s="35"/>
      <c r="R41" s="16"/>
      <c r="S41" s="14"/>
    </row>
    <row r="42" spans="1:19" x14ac:dyDescent="0.3">
      <c r="A42" s="14"/>
      <c r="B42" s="16"/>
      <c r="C42" s="44" t="s">
        <v>85</v>
      </c>
      <c r="D42" s="55">
        <f ca="1">D39*$F$16</f>
        <v>1032.5</v>
      </c>
      <c r="E42" s="44" t="s">
        <v>78</v>
      </c>
      <c r="F42" s="55">
        <f ca="1">D39*$K$16</f>
        <v>1032.5</v>
      </c>
      <c r="G42" s="44"/>
      <c r="H42" s="55"/>
      <c r="I42" s="44" t="s">
        <v>101</v>
      </c>
      <c r="J42" s="55">
        <f ca="1">-F42+D42</f>
        <v>0</v>
      </c>
      <c r="K42" s="44" t="s">
        <v>102</v>
      </c>
      <c r="L42" s="69">
        <f ca="1">J42/(D42*F15)</f>
        <v>0</v>
      </c>
      <c r="M42" s="69">
        <f t="shared" ref="M42:M43" ca="1" si="3">L42*365/($D$5-$D$4)</f>
        <v>0</v>
      </c>
      <c r="N42" s="16"/>
      <c r="O42" s="35"/>
      <c r="P42" s="16"/>
      <c r="Q42" s="35"/>
      <c r="R42" s="16"/>
      <c r="S42" s="14"/>
    </row>
    <row r="43" spans="1:19" ht="17.25" x14ac:dyDescent="0.3">
      <c r="A43" s="14"/>
      <c r="B43" s="16"/>
      <c r="C43" s="43"/>
      <c r="D43" s="59"/>
      <c r="E43" s="43"/>
      <c r="F43" s="59"/>
      <c r="G43" s="43"/>
      <c r="H43" s="59"/>
      <c r="I43" s="43" t="s">
        <v>94</v>
      </c>
      <c r="J43" s="54">
        <f ca="1">J41+J42</f>
        <v>-8.7656627397256659E-2</v>
      </c>
      <c r="K43" s="43" t="s">
        <v>102</v>
      </c>
      <c r="L43" s="70">
        <f ca="1">J43/(D41+D42*F15)</f>
        <v>-8.2985466757490927E-5</v>
      </c>
      <c r="M43" s="70">
        <f t="shared" ca="1" si="3"/>
        <v>-4.3270993380691699E-3</v>
      </c>
      <c r="N43" s="16"/>
      <c r="O43" s="35"/>
      <c r="P43" s="16"/>
      <c r="Q43" s="35"/>
      <c r="R43" s="16"/>
      <c r="S43" s="14"/>
    </row>
    <row r="44" spans="1:19" ht="12" customHeight="1" x14ac:dyDescent="0.3">
      <c r="A44" s="14"/>
      <c r="B44" s="16"/>
      <c r="C44" s="44"/>
      <c r="D44" s="21"/>
      <c r="E44" s="44"/>
      <c r="F44" s="61"/>
      <c r="G44" s="44"/>
      <c r="H44" s="16"/>
      <c r="I44" s="41"/>
      <c r="J44" s="16"/>
      <c r="K44" s="41"/>
      <c r="L44" s="16"/>
      <c r="M44" s="35"/>
      <c r="N44" s="16"/>
      <c r="O44" s="35"/>
      <c r="P44" s="16"/>
      <c r="Q44" s="35"/>
      <c r="R44" s="16"/>
      <c r="S44" s="14"/>
    </row>
    <row r="45" spans="1:19" x14ac:dyDescent="0.3">
      <c r="A45" s="14"/>
      <c r="B45" s="14"/>
      <c r="C45" s="14"/>
      <c r="D45" s="22"/>
      <c r="E45" s="14"/>
      <c r="F45" s="22"/>
      <c r="G45" s="14"/>
      <c r="H45" s="14"/>
      <c r="I45" s="14"/>
      <c r="J45" s="14"/>
      <c r="K45" s="14"/>
      <c r="L45" s="14"/>
      <c r="M45" s="34"/>
      <c r="N45" s="14"/>
      <c r="O45" s="34"/>
      <c r="P45" s="14"/>
      <c r="Q45" s="34"/>
      <c r="R45" s="14"/>
      <c r="S45" s="14"/>
    </row>
    <row r="46" spans="1:19" x14ac:dyDescent="0.15">
      <c r="C46" s="28"/>
      <c r="D46" s="18"/>
      <c r="F46" s="17"/>
      <c r="G46" s="31"/>
      <c r="I46" s="28"/>
      <c r="J46" s="18"/>
      <c r="L46" s="17"/>
      <c r="M46" s="39"/>
      <c r="O46" s="37"/>
      <c r="P46" s="18"/>
      <c r="Q46" s="37"/>
      <c r="R46" s="18"/>
    </row>
    <row r="47" spans="1:19" x14ac:dyDescent="0.15">
      <c r="C47" s="28"/>
      <c r="D47" s="18"/>
      <c r="F47" s="17"/>
      <c r="G47" s="31"/>
      <c r="I47" s="28"/>
      <c r="J47" s="18"/>
      <c r="L47" s="17"/>
      <c r="M47" s="39"/>
      <c r="O47" s="37"/>
      <c r="P47" s="18"/>
      <c r="Q47" s="37"/>
      <c r="R47" s="18"/>
    </row>
    <row r="48" spans="1:19" x14ac:dyDescent="0.15">
      <c r="C48" s="28"/>
      <c r="D48" s="18"/>
      <c r="F48" s="17"/>
      <c r="G48" s="31"/>
      <c r="I48" s="28"/>
      <c r="J48" s="18"/>
      <c r="L48" s="17"/>
      <c r="M48" s="39"/>
      <c r="O48" s="37"/>
      <c r="P48" s="18"/>
      <c r="Q48" s="37"/>
      <c r="R48" s="18"/>
    </row>
    <row r="49" spans="3:18" x14ac:dyDescent="0.15">
      <c r="C49" s="28"/>
      <c r="D49" s="18"/>
      <c r="F49" s="17"/>
      <c r="G49" s="31"/>
      <c r="I49" s="28"/>
      <c r="J49" s="18"/>
      <c r="L49" s="17"/>
      <c r="M49" s="39"/>
      <c r="O49" s="37"/>
      <c r="P49" s="18"/>
      <c r="Q49" s="37"/>
      <c r="R49" s="18"/>
    </row>
    <row r="50" spans="3:18" x14ac:dyDescent="0.15">
      <c r="C50" s="28"/>
      <c r="D50" s="18"/>
      <c r="F50" s="17"/>
      <c r="G50" s="31"/>
      <c r="I50" s="28"/>
      <c r="J50" s="18"/>
      <c r="L50" s="17"/>
      <c r="M50" s="39"/>
      <c r="O50" s="37"/>
      <c r="P50" s="18"/>
      <c r="Q50" s="37"/>
      <c r="R50" s="18"/>
    </row>
    <row r="51" spans="3:18" x14ac:dyDescent="0.15">
      <c r="C51" s="28"/>
      <c r="D51" s="18"/>
      <c r="F51" s="17"/>
      <c r="G51" s="31"/>
      <c r="I51" s="28"/>
      <c r="J51" s="18"/>
      <c r="L51" s="17"/>
      <c r="M51" s="39"/>
      <c r="O51" s="37"/>
      <c r="P51" s="18"/>
      <c r="Q51" s="37"/>
      <c r="R51" s="18"/>
    </row>
    <row r="52" spans="3:18" x14ac:dyDescent="0.15">
      <c r="C52" s="28"/>
      <c r="D52" s="18"/>
      <c r="F52" s="17"/>
      <c r="G52" s="31"/>
      <c r="I52" s="28"/>
      <c r="J52" s="18"/>
      <c r="L52" s="17"/>
      <c r="M52" s="39"/>
      <c r="O52" s="37"/>
      <c r="P52" s="18"/>
      <c r="Q52" s="37"/>
      <c r="R52" s="18"/>
    </row>
    <row r="53" spans="3:18" x14ac:dyDescent="0.15">
      <c r="C53" s="28"/>
      <c r="D53" s="18"/>
      <c r="F53" s="17"/>
      <c r="G53" s="31"/>
      <c r="I53" s="28"/>
      <c r="J53" s="18"/>
      <c r="L53" s="17"/>
      <c r="M53" s="39"/>
      <c r="O53" s="37"/>
      <c r="P53" s="18"/>
      <c r="Q53" s="37"/>
      <c r="R53" s="18"/>
    </row>
    <row r="54" spans="3:18" x14ac:dyDescent="0.15">
      <c r="C54" s="28"/>
      <c r="D54" s="18"/>
      <c r="F54" s="17"/>
      <c r="G54" s="31"/>
      <c r="I54" s="28"/>
      <c r="J54" s="18"/>
      <c r="L54" s="17"/>
      <c r="M54" s="39"/>
      <c r="O54" s="37"/>
      <c r="P54" s="18"/>
      <c r="Q54" s="37"/>
      <c r="R54" s="18"/>
    </row>
    <row r="55" spans="3:18" x14ac:dyDescent="0.15">
      <c r="C55" s="28"/>
      <c r="D55" s="18"/>
      <c r="F55" s="17"/>
      <c r="G55" s="31"/>
      <c r="I55" s="28"/>
      <c r="J55" s="18"/>
      <c r="L55" s="17"/>
      <c r="M55" s="39"/>
      <c r="O55" s="37"/>
      <c r="P55" s="18"/>
      <c r="Q55" s="37"/>
      <c r="R55" s="18"/>
    </row>
    <row r="56" spans="3:18" x14ac:dyDescent="0.15">
      <c r="C56" s="28"/>
      <c r="D56" s="18"/>
      <c r="F56" s="17"/>
      <c r="G56" s="31"/>
      <c r="I56" s="28"/>
      <c r="J56" s="18"/>
      <c r="L56" s="17"/>
      <c r="M56" s="39"/>
      <c r="O56" s="37"/>
      <c r="P56" s="18"/>
      <c r="Q56" s="37"/>
      <c r="R56" s="18"/>
    </row>
    <row r="57" spans="3:18" x14ac:dyDescent="0.15">
      <c r="C57" s="28"/>
      <c r="D57" s="18"/>
      <c r="F57" s="17"/>
      <c r="G57" s="31"/>
      <c r="I57" s="28"/>
      <c r="J57" s="18"/>
      <c r="L57" s="17"/>
      <c r="M57" s="39"/>
      <c r="O57" s="37"/>
      <c r="P57" s="18"/>
      <c r="Q57" s="37"/>
      <c r="R57" s="18"/>
    </row>
    <row r="58" spans="3:18" x14ac:dyDescent="0.15">
      <c r="C58" s="28"/>
      <c r="D58" s="18"/>
      <c r="F58" s="17"/>
      <c r="G58" s="31"/>
      <c r="I58" s="28"/>
      <c r="J58" s="18"/>
      <c r="L58" s="17"/>
      <c r="M58" s="39"/>
      <c r="O58" s="37"/>
      <c r="P58" s="18"/>
      <c r="Q58" s="37"/>
      <c r="R58" s="18"/>
    </row>
    <row r="59" spans="3:18" x14ac:dyDescent="0.15">
      <c r="C59" s="28"/>
      <c r="D59" s="18"/>
      <c r="F59" s="17"/>
      <c r="G59" s="31"/>
      <c r="I59" s="28"/>
      <c r="J59" s="18"/>
      <c r="L59" s="17"/>
      <c r="M59" s="39"/>
      <c r="O59" s="37"/>
      <c r="P59" s="18"/>
      <c r="Q59" s="37"/>
      <c r="R59" s="18"/>
    </row>
    <row r="60" spans="3:18" x14ac:dyDescent="0.15">
      <c r="C60" s="28"/>
      <c r="D60" s="18"/>
      <c r="F60" s="17"/>
      <c r="G60" s="31"/>
      <c r="I60" s="28"/>
      <c r="J60" s="18"/>
      <c r="L60" s="17"/>
      <c r="M60" s="39"/>
      <c r="O60" s="37"/>
      <c r="P60" s="18"/>
      <c r="Q60" s="37"/>
      <c r="R60" s="18"/>
    </row>
    <row r="61" spans="3:18" x14ac:dyDescent="0.15">
      <c r="C61" s="28"/>
      <c r="D61" s="18"/>
      <c r="F61" s="17"/>
      <c r="G61" s="31"/>
      <c r="I61" s="28"/>
      <c r="J61" s="18"/>
      <c r="L61" s="17"/>
      <c r="M61" s="39"/>
      <c r="O61" s="37"/>
      <c r="P61" s="18"/>
      <c r="Q61" s="37"/>
      <c r="R61" s="18"/>
    </row>
  </sheetData>
  <mergeCells count="1">
    <mergeCell ref="D1:O1"/>
  </mergeCells>
  <phoneticPr fontId="3" type="noConversion"/>
  <dataValidations count="7">
    <dataValidation allowBlank="1" showInputMessage="1" showErrorMessage="1" promptTitle="提示：" prompt="H5选择&quot;是&quot;，在此自设价格。" sqref="I8"/>
    <dataValidation allowBlank="1" showInputMessage="1" showErrorMessage="1" promptTitle="提示：" prompt="H5输入“是”，在此自设价格。" sqref="I9:I11"/>
    <dataValidation allowBlank="1" showInputMessage="1" showErrorMessage="1" promptTitle="提示：" prompt="L5选择“是”，在此自设期货价格。" sqref="L16 G16"/>
    <dataValidation allowBlank="1" showInputMessage="1" showErrorMessage="1" promptTitle="提示：" prompt="L5选择“是”，在此自设CTD净价。" sqref="G17"/>
    <dataValidation type="list" allowBlank="1" showInputMessage="1" showErrorMessage="1" sqref="F4:F5">
      <formula1>"中债估值,收盘价,中证估值,自设价格"</formula1>
    </dataValidation>
    <dataValidation type="list" allowBlank="1" showInputMessage="1" showErrorMessage="1" sqref="H4:H5 L4">
      <formula1>"否,是"</formula1>
    </dataValidation>
    <dataValidation type="list" allowBlank="1" showInputMessage="1" showErrorMessage="1" sqref="J4:J5">
      <formula1>"实时价格,结算价"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B1:Q524"/>
  <sheetViews>
    <sheetView workbookViewId="0"/>
  </sheetViews>
  <sheetFormatPr defaultRowHeight="13.5" x14ac:dyDescent="0.15"/>
  <cols>
    <col min="2" max="2" width="11.625" bestFit="1" customWidth="1"/>
    <col min="3" max="6" width="11.625" customWidth="1"/>
  </cols>
  <sheetData>
    <row r="1" spans="2:17" x14ac:dyDescent="0.15">
      <c r="E1" t="str">
        <f ca="1">国债期货对冲分析!D17</f>
        <v>210013.IB</v>
      </c>
      <c r="F1" t="s">
        <v>0</v>
      </c>
      <c r="G1" t="str">
        <f ca="1">国债期货对冲分析!D8</f>
        <v>210013.IB</v>
      </c>
      <c r="H1" t="str">
        <f>国债期货对冲分析!D9</f>
        <v>019661.SH</v>
      </c>
      <c r="I1" t="str">
        <f>国债期货对冲分析!D10</f>
        <v>102113.SZ</v>
      </c>
      <c r="J1" t="str">
        <f>国债期货对冲分析!D11</f>
        <v>220006.IB</v>
      </c>
      <c r="M1" t="s">
        <v>1</v>
      </c>
      <c r="N1">
        <f>国债期货对冲分析!F8/国债期货对冲分析!F12</f>
        <v>0.1</v>
      </c>
      <c r="O1">
        <f>国债期货对冲分析!F9/国债期货对冲分析!F12</f>
        <v>0.6</v>
      </c>
      <c r="P1">
        <f>国债期货对冲分析!F10/国债期货对冲分析!F12</f>
        <v>0.15</v>
      </c>
      <c r="Q1">
        <f>国债期货对冲分析!F11/国债期货对冲分析!F12</f>
        <v>0.15</v>
      </c>
    </row>
    <row r="2" spans="2:17" x14ac:dyDescent="0.15">
      <c r="B2" s="1">
        <f ca="1">[1]!TDays(国债期货对冲分析!D31,国债期货对冲分析!F31,"TradingCalendar=NIB","Order=D","cols=1;rows=494")</f>
        <v>45389</v>
      </c>
      <c r="C2" s="3">
        <f ca="1">IF(E2&lt;&gt;0,IF(F2&lt;&gt;0,E2,0),0)</f>
        <v>2.1778</v>
      </c>
      <c r="D2" s="3">
        <f ca="1">IF(E2&lt;&gt;0,IF(F2&lt;&gt;0,F2,0),0)</f>
        <v>2.1826300000000001</v>
      </c>
      <c r="E2" s="2">
        <f ca="1">[1]!b_anal_yield_cnbd(E$1,$B2,1)</f>
        <v>2.1778</v>
      </c>
      <c r="F2" s="3">
        <f t="shared" ref="F2:F33" ca="1" si="0">SUMPRODUCT(G2:J2,$N$1:$Q$1)</f>
        <v>2.1826300000000001</v>
      </c>
      <c r="G2" s="2">
        <f ca="1">[1]!b_anal_yield_cnbd(G$1,$B2,1)</f>
        <v>2.1778</v>
      </c>
      <c r="H2" s="2">
        <f ca="1">[1]!b_anal_yield_cnbd(H$1,$B2,1)</f>
        <v>2.1778</v>
      </c>
      <c r="I2" s="2">
        <f ca="1">[1]!b_anal_yield_cnbd(I$1,$B2,1)</f>
        <v>2.1778</v>
      </c>
      <c r="J2" s="2">
        <f ca="1">[1]!b_anal_yield_cnbd(J$1,$B2,1)</f>
        <v>2.21</v>
      </c>
    </row>
    <row r="3" spans="2:17" x14ac:dyDescent="0.15">
      <c r="B3" s="1">
        <v>45385</v>
      </c>
      <c r="C3" s="3">
        <f t="shared" ref="C3:C66" ca="1" si="1">IF(E3&lt;&gt;0,IF(F3&lt;&gt;0,E3,0),0)</f>
        <v>2.17</v>
      </c>
      <c r="D3" s="3">
        <f t="shared" ref="D3:D66" ca="1" si="2">IF(E3&lt;&gt;0,IF(F3&lt;&gt;0,F3,0),0)</f>
        <v>2.1759999999999997</v>
      </c>
      <c r="E3" s="2">
        <f ca="1">[1]!b_anal_yield_cnbd(E$1,$B3,1)</f>
        <v>2.17</v>
      </c>
      <c r="F3" s="3">
        <f t="shared" ca="1" si="0"/>
        <v>2.1759999999999997</v>
      </c>
      <c r="G3" s="2">
        <f ca="1">[1]!b_anal_yield_cnbd(G$1,$B3,1)</f>
        <v>2.17</v>
      </c>
      <c r="H3" s="2">
        <f>[1]!b_anal_yield_cnbd(H$1,$B3,1)</f>
        <v>2.17</v>
      </c>
      <c r="I3" s="2">
        <f>[1]!b_anal_yield_cnbd(I$1,$B3,1)</f>
        <v>2.17</v>
      </c>
      <c r="J3" s="2">
        <f>[1]!b_anal_yield_cnbd(J$1,$B3,1)</f>
        <v>2.21</v>
      </c>
    </row>
    <row r="4" spans="2:17" x14ac:dyDescent="0.15">
      <c r="B4" s="1">
        <v>45384</v>
      </c>
      <c r="C4" s="3">
        <f t="shared" ca="1" si="1"/>
        <v>2.1850000000000001</v>
      </c>
      <c r="D4" s="3">
        <f t="shared" ca="1" si="2"/>
        <v>2.1913749999999999</v>
      </c>
      <c r="E4" s="2">
        <f ca="1">[1]!b_anal_yield_cnbd(E$1,$B4,1)</f>
        <v>2.1850000000000001</v>
      </c>
      <c r="F4" s="3">
        <f t="shared" ca="1" si="0"/>
        <v>2.1913749999999999</v>
      </c>
      <c r="G4" s="2">
        <f ca="1">[1]!b_anal_yield_cnbd(G$1,$B4,1)</f>
        <v>2.1850000000000001</v>
      </c>
      <c r="H4" s="2">
        <f>[1]!b_anal_yield_cnbd(H$1,$B4,1)</f>
        <v>2.1850000000000001</v>
      </c>
      <c r="I4" s="2">
        <f>[1]!b_anal_yield_cnbd(I$1,$B4,1)</f>
        <v>2.1850000000000001</v>
      </c>
      <c r="J4" s="2">
        <f>[1]!b_anal_yield_cnbd(J$1,$B4,1)</f>
        <v>2.2275</v>
      </c>
    </row>
    <row r="5" spans="2:17" x14ac:dyDescent="0.15">
      <c r="B5" s="1">
        <v>45383</v>
      </c>
      <c r="C5" s="3">
        <f t="shared" ca="1" si="1"/>
        <v>2.2008999999999999</v>
      </c>
      <c r="D5" s="3">
        <f t="shared" ca="1" si="2"/>
        <v>2.2063899999999994</v>
      </c>
      <c r="E5" s="2">
        <f ca="1">[1]!b_anal_yield_cnbd(E$1,$B5,1)</f>
        <v>2.2008999999999999</v>
      </c>
      <c r="F5" s="3">
        <f t="shared" ca="1" si="0"/>
        <v>2.2063899999999994</v>
      </c>
      <c r="G5" s="2">
        <f ca="1">[1]!b_anal_yield_cnbd(G$1,$B5,1)</f>
        <v>2.2008999999999999</v>
      </c>
      <c r="H5" s="2">
        <f>[1]!b_anal_yield_cnbd(H$1,$B5,1)</f>
        <v>2.2008999999999999</v>
      </c>
      <c r="I5" s="2">
        <f>[1]!b_anal_yield_cnbd(I$1,$B5,1)</f>
        <v>2.2008999999999999</v>
      </c>
      <c r="J5" s="2">
        <f>[1]!b_anal_yield_cnbd(J$1,$B5,1)</f>
        <v>2.2374999999999998</v>
      </c>
    </row>
    <row r="6" spans="2:17" x14ac:dyDescent="0.15">
      <c r="B6" s="1">
        <v>45380</v>
      </c>
      <c r="C6" s="3">
        <f t="shared" ca="1" si="1"/>
        <v>2.1749999999999998</v>
      </c>
      <c r="D6" s="3">
        <f t="shared" ca="1" si="2"/>
        <v>2.181</v>
      </c>
      <c r="E6" s="2">
        <f ca="1">[1]!b_anal_yield_cnbd(E$1,$B6,1)</f>
        <v>2.1749999999999998</v>
      </c>
      <c r="F6" s="3">
        <f t="shared" ca="1" si="0"/>
        <v>2.181</v>
      </c>
      <c r="G6" s="2">
        <f ca="1">[1]!b_anal_yield_cnbd(G$1,$B6,1)</f>
        <v>2.1749999999999998</v>
      </c>
      <c r="H6" s="2">
        <f>[1]!b_anal_yield_cnbd(H$1,$B6,1)</f>
        <v>2.1749999999999998</v>
      </c>
      <c r="I6" s="2">
        <f>[1]!b_anal_yield_cnbd(I$1,$B6,1)</f>
        <v>2.1749999999999998</v>
      </c>
      <c r="J6" s="2">
        <f>[1]!b_anal_yield_cnbd(J$1,$B6,1)</f>
        <v>2.2149999999999999</v>
      </c>
    </row>
    <row r="7" spans="2:17" x14ac:dyDescent="0.15">
      <c r="B7" s="1">
        <v>45379</v>
      </c>
      <c r="C7" s="3">
        <f t="shared" ca="1" si="1"/>
        <v>2.2000000000000002</v>
      </c>
      <c r="D7" s="3">
        <f t="shared" ca="1" si="2"/>
        <v>2.206</v>
      </c>
      <c r="E7" s="2">
        <f ca="1">[1]!b_anal_yield_cnbd(E$1,$B7,1)</f>
        <v>2.2000000000000002</v>
      </c>
      <c r="F7" s="3">
        <f t="shared" ca="1" si="0"/>
        <v>2.206</v>
      </c>
      <c r="G7" s="2">
        <f ca="1">[1]!b_anal_yield_cnbd(G$1,$B7,1)</f>
        <v>2.2000000000000002</v>
      </c>
      <c r="H7" s="2">
        <f>[1]!b_anal_yield_cnbd(H$1,$B7,1)</f>
        <v>2.2000000000000002</v>
      </c>
      <c r="I7" s="2">
        <f>[1]!b_anal_yield_cnbd(I$1,$B7,1)</f>
        <v>2.2000000000000002</v>
      </c>
      <c r="J7" s="2">
        <f>[1]!b_anal_yield_cnbd(J$1,$B7,1)</f>
        <v>2.2400000000000002</v>
      </c>
    </row>
    <row r="8" spans="2:17" x14ac:dyDescent="0.15">
      <c r="B8" s="1">
        <v>45378</v>
      </c>
      <c r="C8" s="3">
        <f t="shared" ca="1" si="1"/>
        <v>2.2000000000000002</v>
      </c>
      <c r="D8" s="3">
        <f t="shared" ca="1" si="2"/>
        <v>2.206</v>
      </c>
      <c r="E8" s="2">
        <f ca="1">[1]!b_anal_yield_cnbd(E$1,$B8,1)</f>
        <v>2.2000000000000002</v>
      </c>
      <c r="F8" s="3">
        <f t="shared" ca="1" si="0"/>
        <v>2.206</v>
      </c>
      <c r="G8" s="2">
        <f ca="1">[1]!b_anal_yield_cnbd(G$1,$B8,1)</f>
        <v>2.2000000000000002</v>
      </c>
      <c r="H8" s="2">
        <f>[1]!b_anal_yield_cnbd(H$1,$B8,1)</f>
        <v>2.2000000000000002</v>
      </c>
      <c r="I8" s="2">
        <f>[1]!b_anal_yield_cnbd(I$1,$B8,1)</f>
        <v>2.2000000000000002</v>
      </c>
      <c r="J8" s="2">
        <f>[1]!b_anal_yield_cnbd(J$1,$B8,1)</f>
        <v>2.2400000000000002</v>
      </c>
    </row>
    <row r="9" spans="2:17" x14ac:dyDescent="0.15">
      <c r="B9" s="1">
        <v>45377</v>
      </c>
      <c r="C9" s="3">
        <f t="shared" ca="1" si="1"/>
        <v>2.2225000000000001</v>
      </c>
      <c r="D9" s="3">
        <f t="shared" ca="1" si="2"/>
        <v>2.229625</v>
      </c>
      <c r="E9" s="2">
        <f ca="1">[1]!b_anal_yield_cnbd(E$1,$B9,1)</f>
        <v>2.2225000000000001</v>
      </c>
      <c r="F9" s="3">
        <f t="shared" ca="1" si="0"/>
        <v>2.229625</v>
      </c>
      <c r="G9" s="2">
        <f ca="1">[1]!b_anal_yield_cnbd(G$1,$B9,1)</f>
        <v>2.2225000000000001</v>
      </c>
      <c r="H9" s="2">
        <f>[1]!b_anal_yield_cnbd(H$1,$B9,1)</f>
        <v>2.2225000000000001</v>
      </c>
      <c r="I9" s="2">
        <f>[1]!b_anal_yield_cnbd(I$1,$B9,1)</f>
        <v>2.2225000000000001</v>
      </c>
      <c r="J9" s="2">
        <f>[1]!b_anal_yield_cnbd(J$1,$B9,1)</f>
        <v>2.27</v>
      </c>
    </row>
    <row r="10" spans="2:17" x14ac:dyDescent="0.15">
      <c r="B10" s="1">
        <v>45376</v>
      </c>
      <c r="C10" s="3">
        <f t="shared" ca="1" si="1"/>
        <v>2.2250000000000001</v>
      </c>
      <c r="D10" s="3">
        <f t="shared" ca="1" si="2"/>
        <v>2.2317499999999999</v>
      </c>
      <c r="E10" s="2">
        <f ca="1">[1]!b_anal_yield_cnbd(E$1,$B10,1)</f>
        <v>2.2250000000000001</v>
      </c>
      <c r="F10" s="3">
        <f t="shared" ca="1" si="0"/>
        <v>2.2317499999999999</v>
      </c>
      <c r="G10" s="2">
        <f ca="1">[1]!b_anal_yield_cnbd(G$1,$B10,1)</f>
        <v>2.2250000000000001</v>
      </c>
      <c r="H10" s="2">
        <f>[1]!b_anal_yield_cnbd(H$1,$B10,1)</f>
        <v>2.2250000000000001</v>
      </c>
      <c r="I10" s="2">
        <f>[1]!b_anal_yield_cnbd(I$1,$B10,1)</f>
        <v>2.2250000000000001</v>
      </c>
      <c r="J10" s="2">
        <f>[1]!b_anal_yield_cnbd(J$1,$B10,1)</f>
        <v>2.27</v>
      </c>
    </row>
    <row r="11" spans="2:17" x14ac:dyDescent="0.15">
      <c r="B11" s="1">
        <v>45373</v>
      </c>
      <c r="C11" s="3">
        <f t="shared" ca="1" si="1"/>
        <v>2.2200000000000002</v>
      </c>
      <c r="D11" s="3">
        <f t="shared" ca="1" si="2"/>
        <v>2.22675</v>
      </c>
      <c r="E11" s="2">
        <f ca="1">[1]!b_anal_yield_cnbd(E$1,$B11,1)</f>
        <v>2.2200000000000002</v>
      </c>
      <c r="F11" s="3">
        <f t="shared" ca="1" si="0"/>
        <v>2.22675</v>
      </c>
      <c r="G11" s="2">
        <f ca="1">[1]!b_anal_yield_cnbd(G$1,$B11,1)</f>
        <v>2.2200000000000002</v>
      </c>
      <c r="H11" s="2">
        <f>[1]!b_anal_yield_cnbd(H$1,$B11,1)</f>
        <v>2.2200000000000002</v>
      </c>
      <c r="I11" s="2">
        <f>[1]!b_anal_yield_cnbd(I$1,$B11,1)</f>
        <v>2.2200000000000002</v>
      </c>
      <c r="J11" s="2">
        <f>[1]!b_anal_yield_cnbd(J$1,$B11,1)</f>
        <v>2.2650000000000001</v>
      </c>
    </row>
    <row r="12" spans="2:17" x14ac:dyDescent="0.15">
      <c r="B12" s="1">
        <v>45372</v>
      </c>
      <c r="C12" s="3">
        <f t="shared" ca="1" si="1"/>
        <v>2.2050000000000001</v>
      </c>
      <c r="D12" s="3">
        <f t="shared" ca="1" si="2"/>
        <v>2.2124999999999999</v>
      </c>
      <c r="E12" s="2">
        <f ca="1">[1]!b_anal_yield_cnbd(E$1,$B12,1)</f>
        <v>2.2050000000000001</v>
      </c>
      <c r="F12" s="3">
        <f t="shared" ca="1" si="0"/>
        <v>2.2124999999999999</v>
      </c>
      <c r="G12" s="2">
        <f ca="1">[1]!b_anal_yield_cnbd(G$1,$B12,1)</f>
        <v>2.2050000000000001</v>
      </c>
      <c r="H12" s="2">
        <f>[1]!b_anal_yield_cnbd(H$1,$B12,1)</f>
        <v>2.2050000000000001</v>
      </c>
      <c r="I12" s="2">
        <f>[1]!b_anal_yield_cnbd(I$1,$B12,1)</f>
        <v>2.2050000000000001</v>
      </c>
      <c r="J12" s="2">
        <f>[1]!b_anal_yield_cnbd(J$1,$B12,1)</f>
        <v>2.2549999999999999</v>
      </c>
    </row>
    <row r="13" spans="2:17" x14ac:dyDescent="0.15">
      <c r="B13" s="1">
        <v>45371</v>
      </c>
      <c r="C13" s="3">
        <f t="shared" ca="1" si="1"/>
        <v>2.2200000000000002</v>
      </c>
      <c r="D13" s="3">
        <f t="shared" ca="1" si="2"/>
        <v>2.227875</v>
      </c>
      <c r="E13" s="2">
        <f ca="1">[1]!b_anal_yield_cnbd(E$1,$B13,1)</f>
        <v>2.2200000000000002</v>
      </c>
      <c r="F13" s="3">
        <f t="shared" ca="1" si="0"/>
        <v>2.227875</v>
      </c>
      <c r="G13" s="2">
        <f ca="1">[1]!b_anal_yield_cnbd(G$1,$B13,1)</f>
        <v>2.2200000000000002</v>
      </c>
      <c r="H13" s="2">
        <f>[1]!b_anal_yield_cnbd(H$1,$B13,1)</f>
        <v>2.2200000000000002</v>
      </c>
      <c r="I13" s="2">
        <f>[1]!b_anal_yield_cnbd(I$1,$B13,1)</f>
        <v>2.2200000000000002</v>
      </c>
      <c r="J13" s="2">
        <f>[1]!b_anal_yield_cnbd(J$1,$B13,1)</f>
        <v>2.2725</v>
      </c>
    </row>
    <row r="14" spans="2:17" x14ac:dyDescent="0.15">
      <c r="B14" s="1">
        <v>45370</v>
      </c>
      <c r="C14" s="3">
        <f t="shared" ca="1" si="1"/>
        <v>2.21</v>
      </c>
      <c r="D14" s="3">
        <f t="shared" ca="1" si="2"/>
        <v>2.2167499999999998</v>
      </c>
      <c r="E14" s="2">
        <f ca="1">[1]!b_anal_yield_cnbd(E$1,$B14,1)</f>
        <v>2.21</v>
      </c>
      <c r="F14" s="3">
        <f t="shared" ca="1" si="0"/>
        <v>2.2167499999999998</v>
      </c>
      <c r="G14" s="2">
        <f ca="1">[1]!b_anal_yield_cnbd(G$1,$B14,1)</f>
        <v>2.21</v>
      </c>
      <c r="H14" s="2">
        <f>[1]!b_anal_yield_cnbd(H$1,$B14,1)</f>
        <v>2.21</v>
      </c>
      <c r="I14" s="2">
        <f>[1]!b_anal_yield_cnbd(I$1,$B14,1)</f>
        <v>2.21</v>
      </c>
      <c r="J14" s="2">
        <f>[1]!b_anal_yield_cnbd(J$1,$B14,1)</f>
        <v>2.2549999999999999</v>
      </c>
    </row>
    <row r="15" spans="2:17" x14ac:dyDescent="0.15">
      <c r="B15" s="1">
        <v>45369</v>
      </c>
      <c r="C15" s="3">
        <f t="shared" ca="1" si="1"/>
        <v>2.2200000000000002</v>
      </c>
      <c r="D15" s="3">
        <f t="shared" ca="1" si="2"/>
        <v>2.226</v>
      </c>
      <c r="E15" s="2">
        <f ca="1">[1]!b_anal_yield_cnbd(E$1,$B15,1)</f>
        <v>2.2200000000000002</v>
      </c>
      <c r="F15" s="3">
        <f t="shared" ca="1" si="0"/>
        <v>2.226</v>
      </c>
      <c r="G15" s="2">
        <f ca="1">[1]!b_anal_yield_cnbd(G$1,$B15,1)</f>
        <v>2.2200000000000002</v>
      </c>
      <c r="H15" s="2">
        <f>[1]!b_anal_yield_cnbd(H$1,$B15,1)</f>
        <v>2.2200000000000002</v>
      </c>
      <c r="I15" s="2">
        <f>[1]!b_anal_yield_cnbd(I$1,$B15,1)</f>
        <v>2.2200000000000002</v>
      </c>
      <c r="J15" s="2">
        <f>[1]!b_anal_yield_cnbd(J$1,$B15,1)</f>
        <v>2.2599999999999998</v>
      </c>
    </row>
    <row r="16" spans="2:17" x14ac:dyDescent="0.15">
      <c r="B16" s="1">
        <v>45366</v>
      </c>
      <c r="C16" s="3">
        <f t="shared" ca="1" si="1"/>
        <v>2.2450000000000001</v>
      </c>
      <c r="D16" s="3">
        <f t="shared" ca="1" si="2"/>
        <v>2.2517499999999999</v>
      </c>
      <c r="E16" s="2">
        <f ca="1">[1]!b_anal_yield_cnbd(E$1,$B16,1)</f>
        <v>2.2450000000000001</v>
      </c>
      <c r="F16" s="3">
        <f t="shared" ca="1" si="0"/>
        <v>2.2517499999999999</v>
      </c>
      <c r="G16" s="2">
        <f ca="1">[1]!b_anal_yield_cnbd(G$1,$B16,1)</f>
        <v>2.2450000000000001</v>
      </c>
      <c r="H16" s="2">
        <f>[1]!b_anal_yield_cnbd(H$1,$B16,1)</f>
        <v>2.2450000000000001</v>
      </c>
      <c r="I16" s="2">
        <f>[1]!b_anal_yield_cnbd(I$1,$B16,1)</f>
        <v>2.2450000000000001</v>
      </c>
      <c r="J16" s="2">
        <f>[1]!b_anal_yield_cnbd(J$1,$B16,1)</f>
        <v>2.29</v>
      </c>
    </row>
    <row r="17" spans="2:10" x14ac:dyDescent="0.15">
      <c r="B17" s="1">
        <v>45365</v>
      </c>
      <c r="C17" s="3">
        <f t="shared" ca="1" si="1"/>
        <v>2.25</v>
      </c>
      <c r="D17" s="3">
        <f t="shared" ca="1" si="2"/>
        <v>2.2574999999999998</v>
      </c>
      <c r="E17" s="2">
        <f ca="1">[1]!b_anal_yield_cnbd(E$1,$B17,1)</f>
        <v>2.25</v>
      </c>
      <c r="F17" s="3">
        <f t="shared" ca="1" si="0"/>
        <v>2.2574999999999998</v>
      </c>
      <c r="G17" s="2">
        <f ca="1">[1]!b_anal_yield_cnbd(G$1,$B17,1)</f>
        <v>2.25</v>
      </c>
      <c r="H17" s="2">
        <f>[1]!b_anal_yield_cnbd(H$1,$B17,1)</f>
        <v>2.25</v>
      </c>
      <c r="I17" s="2">
        <f>[1]!b_anal_yield_cnbd(I$1,$B17,1)</f>
        <v>2.25</v>
      </c>
      <c r="J17" s="2">
        <f>[1]!b_anal_yield_cnbd(J$1,$B17,1)</f>
        <v>2.2999999999999998</v>
      </c>
    </row>
    <row r="18" spans="2:10" x14ac:dyDescent="0.15">
      <c r="B18" s="1">
        <v>45364</v>
      </c>
      <c r="C18" s="3">
        <f t="shared" ca="1" si="1"/>
        <v>2.25</v>
      </c>
      <c r="D18" s="3">
        <f t="shared" ca="1" si="2"/>
        <v>2.2559999999999998</v>
      </c>
      <c r="E18" s="2">
        <f ca="1">[1]!b_anal_yield_cnbd(E$1,$B18,1)</f>
        <v>2.25</v>
      </c>
      <c r="F18" s="3">
        <f t="shared" ca="1" si="0"/>
        <v>2.2559999999999998</v>
      </c>
      <c r="G18" s="2">
        <f ca="1">[1]!b_anal_yield_cnbd(G$1,$B18,1)</f>
        <v>2.25</v>
      </c>
      <c r="H18" s="2">
        <f>[1]!b_anal_yield_cnbd(H$1,$B18,1)</f>
        <v>2.25</v>
      </c>
      <c r="I18" s="2">
        <f>[1]!b_anal_yield_cnbd(I$1,$B18,1)</f>
        <v>2.25</v>
      </c>
      <c r="J18" s="2">
        <f>[1]!b_anal_yield_cnbd(J$1,$B18,1)</f>
        <v>2.29</v>
      </c>
    </row>
    <row r="19" spans="2:10" x14ac:dyDescent="0.15">
      <c r="B19" s="1">
        <v>45363</v>
      </c>
      <c r="C19" s="3">
        <f t="shared" ca="1" si="1"/>
        <v>2.2599999999999998</v>
      </c>
      <c r="D19" s="3">
        <f t="shared" ca="1" si="2"/>
        <v>2.266</v>
      </c>
      <c r="E19" s="2">
        <f ca="1">[1]!b_anal_yield_cnbd(E$1,$B19,1)</f>
        <v>2.2599999999999998</v>
      </c>
      <c r="F19" s="3">
        <f t="shared" ca="1" si="0"/>
        <v>2.266</v>
      </c>
      <c r="G19" s="2">
        <f ca="1">[1]!b_anal_yield_cnbd(G$1,$B19,1)</f>
        <v>2.2599999999999998</v>
      </c>
      <c r="H19" s="2">
        <f>[1]!b_anal_yield_cnbd(H$1,$B19,1)</f>
        <v>2.2599999999999998</v>
      </c>
      <c r="I19" s="2">
        <f>[1]!b_anal_yield_cnbd(I$1,$B19,1)</f>
        <v>2.2599999999999998</v>
      </c>
      <c r="J19" s="2">
        <f>[1]!b_anal_yield_cnbd(J$1,$B19,1)</f>
        <v>2.2999999999999998</v>
      </c>
    </row>
    <row r="20" spans="2:10" x14ac:dyDescent="0.15">
      <c r="B20" s="1">
        <v>45362</v>
      </c>
      <c r="C20" s="3">
        <f t="shared" ca="1" si="1"/>
        <v>2.2174999999999998</v>
      </c>
      <c r="D20" s="3">
        <f t="shared" ca="1" si="2"/>
        <v>2.2253749999999997</v>
      </c>
      <c r="E20" s="2">
        <f ca="1">[1]!b_anal_yield_cnbd(E$1,$B20,1)</f>
        <v>2.2174999999999998</v>
      </c>
      <c r="F20" s="3">
        <f t="shared" ca="1" si="0"/>
        <v>2.2253749999999997</v>
      </c>
      <c r="G20" s="2">
        <f ca="1">[1]!b_anal_yield_cnbd(G$1,$B20,1)</f>
        <v>2.2174999999999998</v>
      </c>
      <c r="H20" s="2">
        <f>[1]!b_anal_yield_cnbd(H$1,$B20,1)</f>
        <v>2.2174999999999998</v>
      </c>
      <c r="I20" s="2">
        <f>[1]!b_anal_yield_cnbd(I$1,$B20,1)</f>
        <v>2.2174999999999998</v>
      </c>
      <c r="J20" s="2">
        <f>[1]!b_anal_yield_cnbd(J$1,$B20,1)</f>
        <v>2.27</v>
      </c>
    </row>
    <row r="21" spans="2:10" x14ac:dyDescent="0.15">
      <c r="B21" s="1">
        <v>45359</v>
      </c>
      <c r="C21" s="3">
        <f t="shared" ca="1" si="1"/>
        <v>2.2000000000000002</v>
      </c>
      <c r="D21" s="3">
        <f t="shared" ca="1" si="2"/>
        <v>2.2090000000000001</v>
      </c>
      <c r="E21" s="2">
        <f ca="1">[1]!b_anal_yield_cnbd(E$1,$B21,1)</f>
        <v>2.2000000000000002</v>
      </c>
      <c r="F21" s="3">
        <f t="shared" ca="1" si="0"/>
        <v>2.2090000000000001</v>
      </c>
      <c r="G21" s="2">
        <f ca="1">[1]!b_anal_yield_cnbd(G$1,$B21,1)</f>
        <v>2.2000000000000002</v>
      </c>
      <c r="H21" s="2">
        <f>[1]!b_anal_yield_cnbd(H$1,$B21,1)</f>
        <v>2.2000000000000002</v>
      </c>
      <c r="I21" s="2">
        <f>[1]!b_anal_yield_cnbd(I$1,$B21,1)</f>
        <v>2.2000000000000002</v>
      </c>
      <c r="J21" s="2">
        <f>[1]!b_anal_yield_cnbd(J$1,$B21,1)</f>
        <v>2.2599999999999998</v>
      </c>
    </row>
    <row r="22" spans="2:10" x14ac:dyDescent="0.15">
      <c r="B22" s="1">
        <v>45358</v>
      </c>
      <c r="C22" s="3">
        <f t="shared" ca="1" si="1"/>
        <v>2.1850000000000001</v>
      </c>
      <c r="D22" s="3">
        <f t="shared" ca="1" si="2"/>
        <v>2.19475</v>
      </c>
      <c r="E22" s="2">
        <f ca="1">[1]!b_anal_yield_cnbd(E$1,$B22,1)</f>
        <v>2.1850000000000001</v>
      </c>
      <c r="F22" s="3">
        <f t="shared" ca="1" si="0"/>
        <v>2.19475</v>
      </c>
      <c r="G22" s="2">
        <f ca="1">[1]!b_anal_yield_cnbd(G$1,$B22,1)</f>
        <v>2.1850000000000001</v>
      </c>
      <c r="H22" s="2">
        <f>[1]!b_anal_yield_cnbd(H$1,$B22,1)</f>
        <v>2.1850000000000001</v>
      </c>
      <c r="I22" s="2">
        <f>[1]!b_anal_yield_cnbd(I$1,$B22,1)</f>
        <v>2.1850000000000001</v>
      </c>
      <c r="J22" s="2">
        <f>[1]!b_anal_yield_cnbd(J$1,$B22,1)</f>
        <v>2.25</v>
      </c>
    </row>
    <row r="23" spans="2:10" x14ac:dyDescent="0.15">
      <c r="B23" s="1">
        <v>45357</v>
      </c>
      <c r="C23" s="3">
        <f t="shared" ca="1" si="1"/>
        <v>2.1749999999999998</v>
      </c>
      <c r="D23" s="3">
        <f t="shared" ca="1" si="2"/>
        <v>2.1817500000000001</v>
      </c>
      <c r="E23" s="2">
        <f ca="1">[1]!b_anal_yield_cnbd(E$1,$B23,1)</f>
        <v>2.1749999999999998</v>
      </c>
      <c r="F23" s="3">
        <f t="shared" ca="1" si="0"/>
        <v>2.1817500000000001</v>
      </c>
      <c r="G23" s="2">
        <f ca="1">[1]!b_anal_yield_cnbd(G$1,$B23,1)</f>
        <v>2.1749999999999998</v>
      </c>
      <c r="H23" s="2">
        <f>[1]!b_anal_yield_cnbd(H$1,$B23,1)</f>
        <v>2.1749999999999998</v>
      </c>
      <c r="I23" s="2">
        <f>[1]!b_anal_yield_cnbd(I$1,$B23,1)</f>
        <v>2.1749999999999998</v>
      </c>
      <c r="J23" s="2">
        <f>[1]!b_anal_yield_cnbd(J$1,$B23,1)</f>
        <v>2.2200000000000002</v>
      </c>
    </row>
    <row r="24" spans="2:10" x14ac:dyDescent="0.15">
      <c r="B24" s="1">
        <v>45356</v>
      </c>
      <c r="C24" s="3">
        <f t="shared" ca="1" si="1"/>
        <v>2.2200000000000002</v>
      </c>
      <c r="D24" s="3">
        <f t="shared" ca="1" si="2"/>
        <v>2.2275</v>
      </c>
      <c r="E24" s="2">
        <f ca="1">[1]!b_anal_yield_cnbd(E$1,$B24,1)</f>
        <v>2.2200000000000002</v>
      </c>
      <c r="F24" s="3">
        <f t="shared" ca="1" si="0"/>
        <v>2.2275</v>
      </c>
      <c r="G24" s="2">
        <f ca="1">[1]!b_anal_yield_cnbd(G$1,$B24,1)</f>
        <v>2.2200000000000002</v>
      </c>
      <c r="H24" s="2">
        <f>[1]!b_anal_yield_cnbd(H$1,$B24,1)</f>
        <v>2.2200000000000002</v>
      </c>
      <c r="I24" s="2">
        <f>[1]!b_anal_yield_cnbd(I$1,$B24,1)</f>
        <v>2.2200000000000002</v>
      </c>
      <c r="J24" s="2">
        <f>[1]!b_anal_yield_cnbd(J$1,$B24,1)</f>
        <v>2.27</v>
      </c>
    </row>
    <row r="25" spans="2:10" x14ac:dyDescent="0.15">
      <c r="B25" s="1">
        <v>45355</v>
      </c>
      <c r="C25" s="3">
        <f t="shared" ca="1" si="1"/>
        <v>2.2400000000000002</v>
      </c>
      <c r="D25" s="3">
        <f t="shared" ca="1" si="2"/>
        <v>2.2463600000000001</v>
      </c>
      <c r="E25" s="2">
        <f ca="1">[1]!b_anal_yield_cnbd(E$1,$B25,1)</f>
        <v>2.2400000000000002</v>
      </c>
      <c r="F25" s="3">
        <f t="shared" ca="1" si="0"/>
        <v>2.2463600000000001</v>
      </c>
      <c r="G25" s="2">
        <f ca="1">[1]!b_anal_yield_cnbd(G$1,$B25,1)</f>
        <v>2.2400000000000002</v>
      </c>
      <c r="H25" s="2">
        <f>[1]!b_anal_yield_cnbd(H$1,$B25,1)</f>
        <v>2.2400000000000002</v>
      </c>
      <c r="I25" s="2">
        <f>[1]!b_anal_yield_cnbd(I$1,$B25,1)</f>
        <v>2.2400000000000002</v>
      </c>
      <c r="J25" s="2">
        <f>[1]!b_anal_yield_cnbd(J$1,$B25,1)</f>
        <v>2.2824</v>
      </c>
    </row>
    <row r="26" spans="2:10" x14ac:dyDescent="0.15">
      <c r="B26" s="1">
        <v>45352</v>
      </c>
      <c r="C26" s="3">
        <f t="shared" ca="1" si="1"/>
        <v>2.2599999999999998</v>
      </c>
      <c r="D26" s="3">
        <f t="shared" ca="1" si="2"/>
        <v>2.2633599999999996</v>
      </c>
      <c r="E26" s="2">
        <f ca="1">[1]!b_anal_yield_cnbd(E$1,$B26,1)</f>
        <v>2.2599999999999998</v>
      </c>
      <c r="F26" s="3">
        <f t="shared" ca="1" si="0"/>
        <v>2.2633599999999996</v>
      </c>
      <c r="G26" s="2">
        <f ca="1">[1]!b_anal_yield_cnbd(G$1,$B26,1)</f>
        <v>2.2599999999999998</v>
      </c>
      <c r="H26" s="2">
        <f>[1]!b_anal_yield_cnbd(H$1,$B26,1)</f>
        <v>2.2599999999999998</v>
      </c>
      <c r="I26" s="2">
        <f>[1]!b_anal_yield_cnbd(I$1,$B26,1)</f>
        <v>2.2599999999999998</v>
      </c>
      <c r="J26" s="2">
        <f>[1]!b_anal_yield_cnbd(J$1,$B26,1)</f>
        <v>2.2824</v>
      </c>
    </row>
    <row r="27" spans="2:10" x14ac:dyDescent="0.15">
      <c r="B27" s="1">
        <v>45351</v>
      </c>
      <c r="C27" s="3">
        <f t="shared" ca="1" si="1"/>
        <v>2.21</v>
      </c>
      <c r="D27" s="3">
        <f t="shared" ca="1" si="2"/>
        <v>2.2156099999999999</v>
      </c>
      <c r="E27" s="2">
        <f ca="1">[1]!b_anal_yield_cnbd(E$1,$B27,1)</f>
        <v>2.21</v>
      </c>
      <c r="F27" s="3">
        <f t="shared" ca="1" si="0"/>
        <v>2.2156099999999999</v>
      </c>
      <c r="G27" s="2">
        <f ca="1">[1]!b_anal_yield_cnbd(G$1,$B27,1)</f>
        <v>2.21</v>
      </c>
      <c r="H27" s="2">
        <f>[1]!b_anal_yield_cnbd(H$1,$B27,1)</f>
        <v>2.21</v>
      </c>
      <c r="I27" s="2">
        <f>[1]!b_anal_yield_cnbd(I$1,$B27,1)</f>
        <v>2.21</v>
      </c>
      <c r="J27" s="2">
        <f>[1]!b_anal_yield_cnbd(J$1,$B27,1)</f>
        <v>2.2473999999999998</v>
      </c>
    </row>
    <row r="28" spans="2:10" x14ac:dyDescent="0.15">
      <c r="B28" s="1">
        <v>45350</v>
      </c>
      <c r="C28" s="3">
        <f t="shared" ca="1" si="1"/>
        <v>2.2250000000000001</v>
      </c>
      <c r="D28" s="3">
        <f t="shared" ca="1" si="2"/>
        <v>2.2302499999999998</v>
      </c>
      <c r="E28" s="2">
        <f ca="1">[1]!b_anal_yield_cnbd(E$1,$B28,1)</f>
        <v>2.2250000000000001</v>
      </c>
      <c r="F28" s="3">
        <f t="shared" ca="1" si="0"/>
        <v>2.2302499999999998</v>
      </c>
      <c r="G28" s="2">
        <f ca="1">[1]!b_anal_yield_cnbd(G$1,$B28,1)</f>
        <v>2.2250000000000001</v>
      </c>
      <c r="H28" s="2">
        <f>[1]!b_anal_yield_cnbd(H$1,$B28,1)</f>
        <v>2.2250000000000001</v>
      </c>
      <c r="I28" s="2">
        <f>[1]!b_anal_yield_cnbd(I$1,$B28,1)</f>
        <v>2.2250000000000001</v>
      </c>
      <c r="J28" s="2">
        <f>[1]!b_anal_yield_cnbd(J$1,$B28,1)</f>
        <v>2.2599999999999998</v>
      </c>
    </row>
    <row r="29" spans="2:10" x14ac:dyDescent="0.15">
      <c r="B29" s="1">
        <v>45349</v>
      </c>
      <c r="C29" s="3">
        <f t="shared" ca="1" si="1"/>
        <v>2.25</v>
      </c>
      <c r="D29" s="3">
        <f t="shared" ca="1" si="2"/>
        <v>2.2529999999999997</v>
      </c>
      <c r="E29" s="2">
        <f ca="1">[1]!b_anal_yield_cnbd(E$1,$B29,1)</f>
        <v>2.25</v>
      </c>
      <c r="F29" s="3">
        <f t="shared" ca="1" si="0"/>
        <v>2.2529999999999997</v>
      </c>
      <c r="G29" s="2">
        <f ca="1">[1]!b_anal_yield_cnbd(G$1,$B29,1)</f>
        <v>2.25</v>
      </c>
      <c r="H29" s="2">
        <f>[1]!b_anal_yield_cnbd(H$1,$B29,1)</f>
        <v>2.25</v>
      </c>
      <c r="I29" s="2">
        <f>[1]!b_anal_yield_cnbd(I$1,$B29,1)</f>
        <v>2.25</v>
      </c>
      <c r="J29" s="2">
        <f>[1]!b_anal_yield_cnbd(J$1,$B29,1)</f>
        <v>2.27</v>
      </c>
    </row>
    <row r="30" spans="2:10" x14ac:dyDescent="0.15">
      <c r="B30" s="1">
        <v>45348</v>
      </c>
      <c r="C30" s="3">
        <f t="shared" ca="1" si="1"/>
        <v>2.23</v>
      </c>
      <c r="D30" s="3">
        <f t="shared" ca="1" si="2"/>
        <v>2.2367499999999998</v>
      </c>
      <c r="E30" s="2">
        <f ca="1">[1]!b_anal_yield_cnbd(E$1,$B30,1)</f>
        <v>2.23</v>
      </c>
      <c r="F30" s="3">
        <f t="shared" ca="1" si="0"/>
        <v>2.2367499999999998</v>
      </c>
      <c r="G30" s="2">
        <f ca="1">[1]!b_anal_yield_cnbd(G$1,$B30,1)</f>
        <v>2.23</v>
      </c>
      <c r="H30" s="2">
        <f>[1]!b_anal_yield_cnbd(H$1,$B30,1)</f>
        <v>2.23</v>
      </c>
      <c r="I30" s="2">
        <f>[1]!b_anal_yield_cnbd(I$1,$B30,1)</f>
        <v>2.23</v>
      </c>
      <c r="J30" s="2">
        <f>[1]!b_anal_yield_cnbd(J$1,$B30,1)</f>
        <v>2.2749999999999999</v>
      </c>
    </row>
    <row r="31" spans="2:10" x14ac:dyDescent="0.15">
      <c r="B31" s="1">
        <v>45345</v>
      </c>
      <c r="C31" s="3">
        <f t="shared" ca="1" si="1"/>
        <v>2.25</v>
      </c>
      <c r="D31" s="3">
        <f t="shared" ca="1" si="2"/>
        <v>2.2559999999999998</v>
      </c>
      <c r="E31" s="2">
        <f ca="1">[1]!b_anal_yield_cnbd(E$1,$B31,1)</f>
        <v>2.25</v>
      </c>
      <c r="F31" s="3">
        <f t="shared" ca="1" si="0"/>
        <v>2.2559999999999998</v>
      </c>
      <c r="G31" s="2">
        <f ca="1">[1]!b_anal_yield_cnbd(G$1,$B31,1)</f>
        <v>2.25</v>
      </c>
      <c r="H31" s="2">
        <f>[1]!b_anal_yield_cnbd(H$1,$B31,1)</f>
        <v>2.25</v>
      </c>
      <c r="I31" s="2">
        <f>[1]!b_anal_yield_cnbd(I$1,$B31,1)</f>
        <v>2.25</v>
      </c>
      <c r="J31" s="2">
        <f>[1]!b_anal_yield_cnbd(J$1,$B31,1)</f>
        <v>2.29</v>
      </c>
    </row>
    <row r="32" spans="2:10" x14ac:dyDescent="0.15">
      <c r="B32" s="1">
        <v>45344</v>
      </c>
      <c r="C32" s="3">
        <f t="shared" ca="1" si="1"/>
        <v>2.25</v>
      </c>
      <c r="D32" s="3">
        <f t="shared" ca="1" si="2"/>
        <v>2.2574999999999998</v>
      </c>
      <c r="E32" s="2">
        <f ca="1">[1]!b_anal_yield_cnbd(E$1,$B32,1)</f>
        <v>2.25</v>
      </c>
      <c r="F32" s="3">
        <f t="shared" ca="1" si="0"/>
        <v>2.2574999999999998</v>
      </c>
      <c r="G32" s="2">
        <f ca="1">[1]!b_anal_yield_cnbd(G$1,$B32,1)</f>
        <v>2.25</v>
      </c>
      <c r="H32" s="2">
        <f>[1]!b_anal_yield_cnbd(H$1,$B32,1)</f>
        <v>2.25</v>
      </c>
      <c r="I32" s="2">
        <f>[1]!b_anal_yield_cnbd(I$1,$B32,1)</f>
        <v>2.25</v>
      </c>
      <c r="J32" s="2">
        <f>[1]!b_anal_yield_cnbd(J$1,$B32,1)</f>
        <v>2.2999999999999998</v>
      </c>
    </row>
    <row r="33" spans="2:10" x14ac:dyDescent="0.15">
      <c r="B33" s="1">
        <v>45343</v>
      </c>
      <c r="C33" s="3">
        <f t="shared" ca="1" si="1"/>
        <v>2.2749999999999999</v>
      </c>
      <c r="D33" s="3">
        <f t="shared" ca="1" si="2"/>
        <v>2.2828750000000002</v>
      </c>
      <c r="E33" s="2">
        <f ca="1">[1]!b_anal_yield_cnbd(E$1,$B33,1)</f>
        <v>2.2749999999999999</v>
      </c>
      <c r="F33" s="3">
        <f t="shared" ca="1" si="0"/>
        <v>2.2828750000000002</v>
      </c>
      <c r="G33" s="2">
        <f ca="1">[1]!b_anal_yield_cnbd(G$1,$B33,1)</f>
        <v>2.2749999999999999</v>
      </c>
      <c r="H33" s="2">
        <f>[1]!b_anal_yield_cnbd(H$1,$B33,1)</f>
        <v>2.2749999999999999</v>
      </c>
      <c r="I33" s="2">
        <f>[1]!b_anal_yield_cnbd(I$1,$B33,1)</f>
        <v>2.2749999999999999</v>
      </c>
      <c r="J33" s="2">
        <f>[1]!b_anal_yield_cnbd(J$1,$B33,1)</f>
        <v>2.3275000000000001</v>
      </c>
    </row>
    <row r="34" spans="2:10" x14ac:dyDescent="0.15">
      <c r="B34" s="1">
        <v>45342</v>
      </c>
      <c r="C34" s="3">
        <f t="shared" ca="1" si="1"/>
        <v>2.2749999999999999</v>
      </c>
      <c r="D34" s="3">
        <f t="shared" ca="1" si="2"/>
        <v>2.2832500000000002</v>
      </c>
      <c r="E34" s="2">
        <f ca="1">[1]!b_anal_yield_cnbd(E$1,$B34,1)</f>
        <v>2.2749999999999999</v>
      </c>
      <c r="F34" s="3">
        <f t="shared" ref="F34:F65" ca="1" si="3">SUMPRODUCT(G34:J34,$N$1:$Q$1)</f>
        <v>2.2832500000000002</v>
      </c>
      <c r="G34" s="2">
        <f ca="1">[1]!b_anal_yield_cnbd(G$1,$B34,1)</f>
        <v>2.2749999999999999</v>
      </c>
      <c r="H34" s="2">
        <f>[1]!b_anal_yield_cnbd(H$1,$B34,1)</f>
        <v>2.2749999999999999</v>
      </c>
      <c r="I34" s="2">
        <f>[1]!b_anal_yield_cnbd(I$1,$B34,1)</f>
        <v>2.2749999999999999</v>
      </c>
      <c r="J34" s="2">
        <f>[1]!b_anal_yield_cnbd(J$1,$B34,1)</f>
        <v>2.33</v>
      </c>
    </row>
    <row r="35" spans="2:10" x14ac:dyDescent="0.15">
      <c r="B35" s="1">
        <v>45341</v>
      </c>
      <c r="C35" s="3">
        <f t="shared" ca="1" si="1"/>
        <v>2.3050000000000002</v>
      </c>
      <c r="D35" s="3">
        <f t="shared" ca="1" si="2"/>
        <v>2.3109999999999999</v>
      </c>
      <c r="E35" s="2">
        <f ca="1">[1]!b_anal_yield_cnbd(E$1,$B35,1)</f>
        <v>2.3050000000000002</v>
      </c>
      <c r="F35" s="3">
        <f t="shared" ca="1" si="3"/>
        <v>2.3109999999999999</v>
      </c>
      <c r="G35" s="2">
        <f ca="1">[1]!b_anal_yield_cnbd(G$1,$B35,1)</f>
        <v>2.3050000000000002</v>
      </c>
      <c r="H35" s="2">
        <f>[1]!b_anal_yield_cnbd(H$1,$B35,1)</f>
        <v>2.3050000000000002</v>
      </c>
      <c r="I35" s="2">
        <f>[1]!b_anal_yield_cnbd(I$1,$B35,1)</f>
        <v>2.3050000000000002</v>
      </c>
      <c r="J35" s="2">
        <f>[1]!b_anal_yield_cnbd(J$1,$B35,1)</f>
        <v>2.3450000000000002</v>
      </c>
    </row>
    <row r="36" spans="2:10" x14ac:dyDescent="0.15">
      <c r="B36" s="1">
        <v>45340</v>
      </c>
      <c r="C36" s="3">
        <f t="shared" ca="1" si="1"/>
        <v>2.33</v>
      </c>
      <c r="D36" s="3">
        <f t="shared" ca="1" si="2"/>
        <v>2.334695</v>
      </c>
      <c r="E36" s="2">
        <f ca="1">[1]!b_anal_yield_cnbd(E$1,$B36,1)</f>
        <v>2.33</v>
      </c>
      <c r="F36" s="3">
        <f t="shared" ca="1" si="3"/>
        <v>2.334695</v>
      </c>
      <c r="G36" s="2">
        <f ca="1">[1]!b_anal_yield_cnbd(G$1,$B36,1)</f>
        <v>2.33</v>
      </c>
      <c r="H36" s="2">
        <f>[1]!b_anal_yield_cnbd(H$1,$B36,1)</f>
        <v>2.33</v>
      </c>
      <c r="I36" s="2">
        <f>[1]!b_anal_yield_cnbd(I$1,$B36,1)</f>
        <v>2.33</v>
      </c>
      <c r="J36" s="2">
        <f>[1]!b_anal_yield_cnbd(J$1,$B36,1)</f>
        <v>2.3613</v>
      </c>
    </row>
    <row r="37" spans="2:10" x14ac:dyDescent="0.15">
      <c r="B37" s="1">
        <v>45331</v>
      </c>
      <c r="C37" s="3">
        <f t="shared" ca="1" si="1"/>
        <v>2.2913000000000001</v>
      </c>
      <c r="D37" s="3">
        <f t="shared" ca="1" si="2"/>
        <v>2.2992350000000004</v>
      </c>
      <c r="E37" s="2">
        <f ca="1">[1]!b_anal_yield_cnbd(E$1,$B37,1)</f>
        <v>2.2913000000000001</v>
      </c>
      <c r="F37" s="3">
        <f t="shared" ca="1" si="3"/>
        <v>2.2992350000000004</v>
      </c>
      <c r="G37" s="2">
        <f ca="1">[1]!b_anal_yield_cnbd(G$1,$B37,1)</f>
        <v>2.2913000000000001</v>
      </c>
      <c r="H37" s="2">
        <f>[1]!b_anal_yield_cnbd(H$1,$B37,1)</f>
        <v>2.2913000000000001</v>
      </c>
      <c r="I37" s="2">
        <f>[1]!b_anal_yield_cnbd(I$1,$B37,1)</f>
        <v>2.2913000000000001</v>
      </c>
      <c r="J37" s="2">
        <f>[1]!b_anal_yield_cnbd(J$1,$B37,1)</f>
        <v>2.3441999999999998</v>
      </c>
    </row>
    <row r="38" spans="2:10" x14ac:dyDescent="0.15">
      <c r="B38" s="1">
        <v>45330</v>
      </c>
      <c r="C38" s="3">
        <f t="shared" ca="1" si="1"/>
        <v>2.2925</v>
      </c>
      <c r="D38" s="3">
        <f t="shared" ca="1" si="2"/>
        <v>2.3003749999999998</v>
      </c>
      <c r="E38" s="2">
        <f ca="1">[1]!b_anal_yield_cnbd(E$1,$B38,1)</f>
        <v>2.2925</v>
      </c>
      <c r="F38" s="3">
        <f t="shared" ca="1" si="3"/>
        <v>2.3003749999999998</v>
      </c>
      <c r="G38" s="2">
        <f ca="1">[1]!b_anal_yield_cnbd(G$1,$B38,1)</f>
        <v>2.2925</v>
      </c>
      <c r="H38" s="2">
        <f>[1]!b_anal_yield_cnbd(H$1,$B38,1)</f>
        <v>2.2925</v>
      </c>
      <c r="I38" s="2">
        <f>[1]!b_anal_yield_cnbd(I$1,$B38,1)</f>
        <v>2.2925</v>
      </c>
      <c r="J38" s="2">
        <f>[1]!b_anal_yield_cnbd(J$1,$B38,1)</f>
        <v>2.3450000000000002</v>
      </c>
    </row>
    <row r="39" spans="2:10" x14ac:dyDescent="0.15">
      <c r="B39" s="1">
        <v>45329</v>
      </c>
      <c r="C39" s="3">
        <f t="shared" ca="1" si="1"/>
        <v>2.2850000000000001</v>
      </c>
      <c r="D39" s="3">
        <f t="shared" ca="1" si="2"/>
        <v>2.29325</v>
      </c>
      <c r="E39" s="2">
        <f ca="1">[1]!b_anal_yield_cnbd(E$1,$B39,1)</f>
        <v>2.2850000000000001</v>
      </c>
      <c r="F39" s="3">
        <f t="shared" ca="1" si="3"/>
        <v>2.29325</v>
      </c>
      <c r="G39" s="2">
        <f ca="1">[1]!b_anal_yield_cnbd(G$1,$B39,1)</f>
        <v>2.2850000000000001</v>
      </c>
      <c r="H39" s="2">
        <f>[1]!b_anal_yield_cnbd(H$1,$B39,1)</f>
        <v>2.2850000000000001</v>
      </c>
      <c r="I39" s="2">
        <f>[1]!b_anal_yield_cnbd(I$1,$B39,1)</f>
        <v>2.2850000000000001</v>
      </c>
      <c r="J39" s="2">
        <f>[1]!b_anal_yield_cnbd(J$1,$B39,1)</f>
        <v>2.34</v>
      </c>
    </row>
    <row r="40" spans="2:10" x14ac:dyDescent="0.15">
      <c r="B40" s="1">
        <v>45328</v>
      </c>
      <c r="C40" s="3">
        <f t="shared" ca="1" si="1"/>
        <v>2.3250000000000002</v>
      </c>
      <c r="D40" s="3">
        <f t="shared" ca="1" si="2"/>
        <v>2.3302499999999999</v>
      </c>
      <c r="E40" s="2">
        <f ca="1">[1]!b_anal_yield_cnbd(E$1,$B40,1)</f>
        <v>2.3250000000000002</v>
      </c>
      <c r="F40" s="3">
        <f t="shared" ca="1" si="3"/>
        <v>2.3302499999999999</v>
      </c>
      <c r="G40" s="2">
        <f ca="1">[1]!b_anal_yield_cnbd(G$1,$B40,1)</f>
        <v>2.3250000000000002</v>
      </c>
      <c r="H40" s="2">
        <f>[1]!b_anal_yield_cnbd(H$1,$B40,1)</f>
        <v>2.3250000000000002</v>
      </c>
      <c r="I40" s="2">
        <f>[1]!b_anal_yield_cnbd(I$1,$B40,1)</f>
        <v>2.3250000000000002</v>
      </c>
      <c r="J40" s="2">
        <f>[1]!b_anal_yield_cnbd(J$1,$B40,1)</f>
        <v>2.36</v>
      </c>
    </row>
    <row r="41" spans="2:10" x14ac:dyDescent="0.15">
      <c r="B41" s="1">
        <v>45327</v>
      </c>
      <c r="C41" s="3">
        <f t="shared" ca="1" si="1"/>
        <v>2.2850000000000001</v>
      </c>
      <c r="D41" s="3">
        <f t="shared" ca="1" si="2"/>
        <v>2.29175</v>
      </c>
      <c r="E41" s="2">
        <f ca="1">[1]!b_anal_yield_cnbd(E$1,$B41,1)</f>
        <v>2.2850000000000001</v>
      </c>
      <c r="F41" s="3">
        <f t="shared" ca="1" si="3"/>
        <v>2.29175</v>
      </c>
      <c r="G41" s="2">
        <f ca="1">[1]!b_anal_yield_cnbd(G$1,$B41,1)</f>
        <v>2.2850000000000001</v>
      </c>
      <c r="H41" s="2">
        <f>[1]!b_anal_yield_cnbd(H$1,$B41,1)</f>
        <v>2.2850000000000001</v>
      </c>
      <c r="I41" s="2">
        <f>[1]!b_anal_yield_cnbd(I$1,$B41,1)</f>
        <v>2.2850000000000001</v>
      </c>
      <c r="J41" s="2">
        <f>[1]!b_anal_yield_cnbd(J$1,$B41,1)</f>
        <v>2.33</v>
      </c>
    </row>
    <row r="42" spans="2:10" x14ac:dyDescent="0.15">
      <c r="B42" s="1">
        <v>45326</v>
      </c>
      <c r="C42" s="3">
        <f t="shared" ca="1" si="1"/>
        <v>2.2839999999999998</v>
      </c>
      <c r="D42" s="3">
        <f t="shared" ca="1" si="2"/>
        <v>2.2901499999999997</v>
      </c>
      <c r="E42" s="2">
        <f ca="1">[1]!b_anal_yield_cnbd(E$1,$B42,1)</f>
        <v>2.2839999999999998</v>
      </c>
      <c r="F42" s="3">
        <f t="shared" ca="1" si="3"/>
        <v>2.2901499999999997</v>
      </c>
      <c r="G42" s="2">
        <f ca="1">[1]!b_anal_yield_cnbd(G$1,$B42,1)</f>
        <v>2.2839999999999998</v>
      </c>
      <c r="H42" s="2">
        <f>[1]!b_anal_yield_cnbd(H$1,$B42,1)</f>
        <v>2.2839999999999998</v>
      </c>
      <c r="I42" s="2">
        <f>[1]!b_anal_yield_cnbd(I$1,$B42,1)</f>
        <v>2.2839999999999998</v>
      </c>
      <c r="J42" s="2">
        <f>[1]!b_anal_yield_cnbd(J$1,$B42,1)</f>
        <v>2.3250000000000002</v>
      </c>
    </row>
    <row r="43" spans="2:10" x14ac:dyDescent="0.15">
      <c r="B43" s="1">
        <v>45324</v>
      </c>
      <c r="C43" s="3">
        <f t="shared" ca="1" si="1"/>
        <v>2.2850000000000001</v>
      </c>
      <c r="D43" s="3">
        <f t="shared" ca="1" si="2"/>
        <v>2.29325</v>
      </c>
      <c r="E43" s="2">
        <f ca="1">[1]!b_anal_yield_cnbd(E$1,$B43,1)</f>
        <v>2.2850000000000001</v>
      </c>
      <c r="F43" s="3">
        <f t="shared" ca="1" si="3"/>
        <v>2.29325</v>
      </c>
      <c r="G43" s="2">
        <f ca="1">[1]!b_anal_yield_cnbd(G$1,$B43,1)</f>
        <v>2.2850000000000001</v>
      </c>
      <c r="H43" s="2">
        <f>[1]!b_anal_yield_cnbd(H$1,$B43,1)</f>
        <v>2.2850000000000001</v>
      </c>
      <c r="I43" s="2">
        <f>[1]!b_anal_yield_cnbd(I$1,$B43,1)</f>
        <v>2.2850000000000001</v>
      </c>
      <c r="J43" s="2">
        <f>[1]!b_anal_yield_cnbd(J$1,$B43,1)</f>
        <v>2.34</v>
      </c>
    </row>
    <row r="44" spans="2:10" x14ac:dyDescent="0.15">
      <c r="B44" s="1">
        <v>45323</v>
      </c>
      <c r="C44" s="3">
        <f t="shared" ca="1" si="1"/>
        <v>2.2858999999999998</v>
      </c>
      <c r="D44" s="3">
        <f t="shared" ca="1" si="2"/>
        <v>2.2925149999999999</v>
      </c>
      <c r="E44" s="2">
        <f ca="1">[1]!b_anal_yield_cnbd(E$1,$B44,1)</f>
        <v>2.2858999999999998</v>
      </c>
      <c r="F44" s="3">
        <f t="shared" ca="1" si="3"/>
        <v>2.2925149999999999</v>
      </c>
      <c r="G44" s="2">
        <f ca="1">[1]!b_anal_yield_cnbd(G$1,$B44,1)</f>
        <v>2.2858999999999998</v>
      </c>
      <c r="H44" s="2">
        <f>[1]!b_anal_yield_cnbd(H$1,$B44,1)</f>
        <v>2.2858999999999998</v>
      </c>
      <c r="I44" s="2">
        <f>[1]!b_anal_yield_cnbd(I$1,$B44,1)</f>
        <v>2.2858999999999998</v>
      </c>
      <c r="J44" s="2">
        <f>[1]!b_anal_yield_cnbd(J$1,$B44,1)</f>
        <v>2.33</v>
      </c>
    </row>
    <row r="45" spans="2:10" x14ac:dyDescent="0.15">
      <c r="B45" s="1">
        <v>45322</v>
      </c>
      <c r="C45" s="3">
        <f t="shared" ca="1" si="1"/>
        <v>2.2825000000000002</v>
      </c>
      <c r="D45" s="3">
        <f t="shared" ca="1" si="2"/>
        <v>2.2896250000000005</v>
      </c>
      <c r="E45" s="2">
        <f ca="1">[1]!b_anal_yield_cnbd(E$1,$B45,1)</f>
        <v>2.2825000000000002</v>
      </c>
      <c r="F45" s="3">
        <f t="shared" ca="1" si="3"/>
        <v>2.2896250000000005</v>
      </c>
      <c r="G45" s="2">
        <f ca="1">[1]!b_anal_yield_cnbd(G$1,$B45,1)</f>
        <v>2.2825000000000002</v>
      </c>
      <c r="H45" s="2">
        <f>[1]!b_anal_yield_cnbd(H$1,$B45,1)</f>
        <v>2.2825000000000002</v>
      </c>
      <c r="I45" s="2">
        <f>[1]!b_anal_yield_cnbd(I$1,$B45,1)</f>
        <v>2.2825000000000002</v>
      </c>
      <c r="J45" s="2">
        <f>[1]!b_anal_yield_cnbd(J$1,$B45,1)</f>
        <v>2.33</v>
      </c>
    </row>
    <row r="46" spans="2:10" x14ac:dyDescent="0.15">
      <c r="B46" s="1">
        <v>45321</v>
      </c>
      <c r="C46" s="3">
        <f t="shared" ca="1" si="1"/>
        <v>2.2824</v>
      </c>
      <c r="D46" s="3">
        <f t="shared" ca="1" si="2"/>
        <v>2.2910399999999997</v>
      </c>
      <c r="E46" s="2">
        <f ca="1">[1]!b_anal_yield_cnbd(E$1,$B46,1)</f>
        <v>2.2824</v>
      </c>
      <c r="F46" s="3">
        <f t="shared" ca="1" si="3"/>
        <v>2.2910399999999997</v>
      </c>
      <c r="G46" s="2">
        <f ca="1">[1]!b_anal_yield_cnbd(G$1,$B46,1)</f>
        <v>2.2824</v>
      </c>
      <c r="H46" s="2">
        <f>[1]!b_anal_yield_cnbd(H$1,$B46,1)</f>
        <v>2.2824</v>
      </c>
      <c r="I46" s="2">
        <f>[1]!b_anal_yield_cnbd(I$1,$B46,1)</f>
        <v>2.2824</v>
      </c>
      <c r="J46" s="2">
        <f>[1]!b_anal_yield_cnbd(J$1,$B46,1)</f>
        <v>2.34</v>
      </c>
    </row>
    <row r="47" spans="2:10" x14ac:dyDescent="0.15">
      <c r="B47" s="1">
        <v>45320</v>
      </c>
      <c r="C47" s="3">
        <f t="shared" ca="1" si="1"/>
        <v>2.3199999999999998</v>
      </c>
      <c r="D47" s="3">
        <f t="shared" ca="1" si="2"/>
        <v>2.3275000000000001</v>
      </c>
      <c r="E47" s="2">
        <f ca="1">[1]!b_anal_yield_cnbd(E$1,$B47,1)</f>
        <v>2.3199999999999998</v>
      </c>
      <c r="F47" s="3">
        <f t="shared" ca="1" si="3"/>
        <v>2.3275000000000001</v>
      </c>
      <c r="G47" s="2">
        <f ca="1">[1]!b_anal_yield_cnbd(G$1,$B47,1)</f>
        <v>2.3199999999999998</v>
      </c>
      <c r="H47" s="2">
        <f>[1]!b_anal_yield_cnbd(H$1,$B47,1)</f>
        <v>2.3199999999999998</v>
      </c>
      <c r="I47" s="2">
        <f>[1]!b_anal_yield_cnbd(I$1,$B47,1)</f>
        <v>2.3199999999999998</v>
      </c>
      <c r="J47" s="2">
        <f>[1]!b_anal_yield_cnbd(J$1,$B47,1)</f>
        <v>2.37</v>
      </c>
    </row>
    <row r="48" spans="2:10" x14ac:dyDescent="0.15">
      <c r="B48" s="1">
        <v>45317</v>
      </c>
      <c r="C48" s="3">
        <f t="shared" ca="1" si="1"/>
        <v>2.3321999999999998</v>
      </c>
      <c r="D48" s="3">
        <f t="shared" ca="1" si="2"/>
        <v>2.3401199999999998</v>
      </c>
      <c r="E48" s="2">
        <f ca="1">[1]!b_anal_yield_cnbd(E$1,$B48,1)</f>
        <v>2.3321999999999998</v>
      </c>
      <c r="F48" s="3">
        <f t="shared" ca="1" si="3"/>
        <v>2.3401199999999998</v>
      </c>
      <c r="G48" s="2">
        <f ca="1">[1]!b_anal_yield_cnbd(G$1,$B48,1)</f>
        <v>2.3321999999999998</v>
      </c>
      <c r="H48" s="2">
        <f>[1]!b_anal_yield_cnbd(H$1,$B48,1)</f>
        <v>2.3321999999999998</v>
      </c>
      <c r="I48" s="2">
        <f>[1]!b_anal_yield_cnbd(I$1,$B48,1)</f>
        <v>2.3321999999999998</v>
      </c>
      <c r="J48" s="2">
        <f>[1]!b_anal_yield_cnbd(J$1,$B48,1)</f>
        <v>2.3849999999999998</v>
      </c>
    </row>
    <row r="49" spans="2:10" x14ac:dyDescent="0.15">
      <c r="B49" s="1">
        <v>45316</v>
      </c>
      <c r="C49" s="3">
        <f t="shared" ca="1" si="1"/>
        <v>2.33</v>
      </c>
      <c r="D49" s="3">
        <f t="shared" ca="1" si="2"/>
        <v>2.339</v>
      </c>
      <c r="E49" s="2">
        <f ca="1">[1]!b_anal_yield_cnbd(E$1,$B49,1)</f>
        <v>2.33</v>
      </c>
      <c r="F49" s="3">
        <f t="shared" ca="1" si="3"/>
        <v>2.339</v>
      </c>
      <c r="G49" s="2">
        <f ca="1">[1]!b_anal_yield_cnbd(G$1,$B49,1)</f>
        <v>2.33</v>
      </c>
      <c r="H49" s="2">
        <f>[1]!b_anal_yield_cnbd(H$1,$B49,1)</f>
        <v>2.33</v>
      </c>
      <c r="I49" s="2">
        <f>[1]!b_anal_yield_cnbd(I$1,$B49,1)</f>
        <v>2.33</v>
      </c>
      <c r="J49" s="2">
        <f>[1]!b_anal_yield_cnbd(J$1,$B49,1)</f>
        <v>2.39</v>
      </c>
    </row>
    <row r="50" spans="2:10" x14ac:dyDescent="0.15">
      <c r="B50" s="1">
        <v>45315</v>
      </c>
      <c r="C50" s="3">
        <f t="shared" ca="1" si="1"/>
        <v>2.37</v>
      </c>
      <c r="D50" s="3">
        <f t="shared" ca="1" si="2"/>
        <v>2.37825</v>
      </c>
      <c r="E50" s="2">
        <f ca="1">[1]!b_anal_yield_cnbd(E$1,$B50,1)</f>
        <v>2.37</v>
      </c>
      <c r="F50" s="3">
        <f t="shared" ca="1" si="3"/>
        <v>2.37825</v>
      </c>
      <c r="G50" s="2">
        <f ca="1">[1]!b_anal_yield_cnbd(G$1,$B50,1)</f>
        <v>2.37</v>
      </c>
      <c r="H50" s="2">
        <f>[1]!b_anal_yield_cnbd(H$1,$B50,1)</f>
        <v>2.37</v>
      </c>
      <c r="I50" s="2">
        <f>[1]!b_anal_yield_cnbd(I$1,$B50,1)</f>
        <v>2.37</v>
      </c>
      <c r="J50" s="2">
        <f>[1]!b_anal_yield_cnbd(J$1,$B50,1)</f>
        <v>2.4249999999999998</v>
      </c>
    </row>
    <row r="51" spans="2:10" x14ac:dyDescent="0.15">
      <c r="B51" s="1">
        <v>45314</v>
      </c>
      <c r="C51" s="3">
        <f t="shared" ca="1" si="1"/>
        <v>2.3849999999999998</v>
      </c>
      <c r="D51" s="3">
        <f t="shared" ca="1" si="2"/>
        <v>2.3911499999999997</v>
      </c>
      <c r="E51" s="2">
        <f ca="1">[1]!b_anal_yield_cnbd(E$1,$B51,1)</f>
        <v>2.3849999999999998</v>
      </c>
      <c r="F51" s="3">
        <f t="shared" ca="1" si="3"/>
        <v>2.3911499999999997</v>
      </c>
      <c r="G51" s="2">
        <f ca="1">[1]!b_anal_yield_cnbd(G$1,$B51,1)</f>
        <v>2.3849999999999998</v>
      </c>
      <c r="H51" s="2">
        <f>[1]!b_anal_yield_cnbd(H$1,$B51,1)</f>
        <v>2.3849999999999998</v>
      </c>
      <c r="I51" s="2">
        <f>[1]!b_anal_yield_cnbd(I$1,$B51,1)</f>
        <v>2.3849999999999998</v>
      </c>
      <c r="J51" s="2">
        <f>[1]!b_anal_yield_cnbd(J$1,$B51,1)</f>
        <v>2.4260000000000002</v>
      </c>
    </row>
    <row r="52" spans="2:10" x14ac:dyDescent="0.15">
      <c r="B52" s="1">
        <v>45313</v>
      </c>
      <c r="C52" s="3">
        <f t="shared" ca="1" si="1"/>
        <v>2.37</v>
      </c>
      <c r="D52" s="3">
        <f t="shared" ca="1" si="2"/>
        <v>2.3771100000000001</v>
      </c>
      <c r="E52" s="2">
        <f ca="1">[1]!b_anal_yield_cnbd(E$1,$B52,1)</f>
        <v>2.37</v>
      </c>
      <c r="F52" s="3">
        <f t="shared" ca="1" si="3"/>
        <v>2.3771100000000001</v>
      </c>
      <c r="G52" s="2">
        <f ca="1">[1]!b_anal_yield_cnbd(G$1,$B52,1)</f>
        <v>2.37</v>
      </c>
      <c r="H52" s="2">
        <f>[1]!b_anal_yield_cnbd(H$1,$B52,1)</f>
        <v>2.37</v>
      </c>
      <c r="I52" s="2">
        <f>[1]!b_anal_yield_cnbd(I$1,$B52,1)</f>
        <v>2.37</v>
      </c>
      <c r="J52" s="2">
        <f>[1]!b_anal_yield_cnbd(J$1,$B52,1)</f>
        <v>2.4174000000000002</v>
      </c>
    </row>
    <row r="53" spans="2:10" x14ac:dyDescent="0.15">
      <c r="B53" s="1">
        <v>45310</v>
      </c>
      <c r="C53" s="3">
        <f t="shared" ca="1" si="1"/>
        <v>2.3824000000000001</v>
      </c>
      <c r="D53" s="3">
        <f t="shared" ca="1" si="2"/>
        <v>2.3899150000000002</v>
      </c>
      <c r="E53" s="2">
        <f ca="1">[1]!b_anal_yield_cnbd(E$1,$B53,1)</f>
        <v>2.3824000000000001</v>
      </c>
      <c r="F53" s="3">
        <f t="shared" ca="1" si="3"/>
        <v>2.3899150000000002</v>
      </c>
      <c r="G53" s="2">
        <f ca="1">[1]!b_anal_yield_cnbd(G$1,$B53,1)</f>
        <v>2.3824000000000001</v>
      </c>
      <c r="H53" s="2">
        <f>[1]!b_anal_yield_cnbd(H$1,$B53,1)</f>
        <v>2.3824000000000001</v>
      </c>
      <c r="I53" s="2">
        <f>[1]!b_anal_yield_cnbd(I$1,$B53,1)</f>
        <v>2.3824000000000001</v>
      </c>
      <c r="J53" s="2">
        <f>[1]!b_anal_yield_cnbd(J$1,$B53,1)</f>
        <v>2.4325000000000001</v>
      </c>
    </row>
    <row r="54" spans="2:10" x14ac:dyDescent="0.15">
      <c r="B54" s="1">
        <v>45309</v>
      </c>
      <c r="C54" s="3">
        <f t="shared" ca="1" si="1"/>
        <v>2.399</v>
      </c>
      <c r="D54" s="3">
        <f t="shared" ca="1" si="2"/>
        <v>2.4044000000000003</v>
      </c>
      <c r="E54" s="2">
        <f ca="1">[1]!b_anal_yield_cnbd(E$1,$B54,1)</f>
        <v>2.399</v>
      </c>
      <c r="F54" s="3">
        <f t="shared" ca="1" si="3"/>
        <v>2.4044000000000003</v>
      </c>
      <c r="G54" s="2">
        <f ca="1">[1]!b_anal_yield_cnbd(G$1,$B54,1)</f>
        <v>2.399</v>
      </c>
      <c r="H54" s="2">
        <f>[1]!b_anal_yield_cnbd(H$1,$B54,1)</f>
        <v>2.399</v>
      </c>
      <c r="I54" s="2">
        <f>[1]!b_anal_yield_cnbd(I$1,$B54,1)</f>
        <v>2.399</v>
      </c>
      <c r="J54" s="2">
        <f>[1]!b_anal_yield_cnbd(J$1,$B54,1)</f>
        <v>2.4350000000000001</v>
      </c>
    </row>
    <row r="55" spans="2:10" x14ac:dyDescent="0.15">
      <c r="B55" s="1">
        <v>45308</v>
      </c>
      <c r="C55" s="3">
        <f t="shared" ca="1" si="1"/>
        <v>2.4049999999999998</v>
      </c>
      <c r="D55" s="3">
        <f t="shared" ca="1" si="2"/>
        <v>2.410625</v>
      </c>
      <c r="E55" s="2">
        <f ca="1">[1]!b_anal_yield_cnbd(E$1,$B55,1)</f>
        <v>2.4049999999999998</v>
      </c>
      <c r="F55" s="3">
        <f t="shared" ca="1" si="3"/>
        <v>2.410625</v>
      </c>
      <c r="G55" s="2">
        <f ca="1">[1]!b_anal_yield_cnbd(G$1,$B55,1)</f>
        <v>2.4049999999999998</v>
      </c>
      <c r="H55" s="2">
        <f>[1]!b_anal_yield_cnbd(H$1,$B55,1)</f>
        <v>2.4049999999999998</v>
      </c>
      <c r="I55" s="2">
        <f>[1]!b_anal_yield_cnbd(I$1,$B55,1)</f>
        <v>2.4049999999999998</v>
      </c>
      <c r="J55" s="2">
        <f>[1]!b_anal_yield_cnbd(J$1,$B55,1)</f>
        <v>2.4424999999999999</v>
      </c>
    </row>
    <row r="56" spans="2:10" x14ac:dyDescent="0.15">
      <c r="B56" s="1">
        <v>45307</v>
      </c>
      <c r="C56" s="3">
        <f t="shared" ca="1" si="1"/>
        <v>2.42</v>
      </c>
      <c r="D56" s="3">
        <f t="shared" ca="1" si="2"/>
        <v>2.4252500000000001</v>
      </c>
      <c r="E56" s="2">
        <f ca="1">[1]!b_anal_yield_cnbd(E$1,$B56,1)</f>
        <v>2.42</v>
      </c>
      <c r="F56" s="3">
        <f t="shared" ca="1" si="3"/>
        <v>2.4252500000000001</v>
      </c>
      <c r="G56" s="2">
        <f ca="1">[1]!b_anal_yield_cnbd(G$1,$B56,1)</f>
        <v>2.42</v>
      </c>
      <c r="H56" s="2">
        <f>[1]!b_anal_yield_cnbd(H$1,$B56,1)</f>
        <v>2.42</v>
      </c>
      <c r="I56" s="2">
        <f>[1]!b_anal_yield_cnbd(I$1,$B56,1)</f>
        <v>2.42</v>
      </c>
      <c r="J56" s="2">
        <f>[1]!b_anal_yield_cnbd(J$1,$B56,1)</f>
        <v>2.4550000000000001</v>
      </c>
    </row>
    <row r="57" spans="2:10" x14ac:dyDescent="0.15">
      <c r="B57" s="1">
        <v>45306</v>
      </c>
      <c r="C57" s="3">
        <f t="shared" ca="1" si="1"/>
        <v>2.41</v>
      </c>
      <c r="D57" s="3">
        <f t="shared" ca="1" si="2"/>
        <v>2.4145000000000003</v>
      </c>
      <c r="E57" s="2">
        <f ca="1">[1]!b_anal_yield_cnbd(E$1,$B57,1)</f>
        <v>2.41</v>
      </c>
      <c r="F57" s="3">
        <f t="shared" ca="1" si="3"/>
        <v>2.4145000000000003</v>
      </c>
      <c r="G57" s="2">
        <f ca="1">[1]!b_anal_yield_cnbd(G$1,$B57,1)</f>
        <v>2.41</v>
      </c>
      <c r="H57" s="2">
        <f>[1]!b_anal_yield_cnbd(H$1,$B57,1)</f>
        <v>2.41</v>
      </c>
      <c r="I57" s="2">
        <f>[1]!b_anal_yield_cnbd(I$1,$B57,1)</f>
        <v>2.41</v>
      </c>
      <c r="J57" s="2">
        <f>[1]!b_anal_yield_cnbd(J$1,$B57,1)</f>
        <v>2.44</v>
      </c>
    </row>
    <row r="58" spans="2:10" x14ac:dyDescent="0.15">
      <c r="B58" s="1">
        <v>45303</v>
      </c>
      <c r="C58" s="3">
        <f t="shared" ca="1" si="1"/>
        <v>2.4</v>
      </c>
      <c r="D58" s="3">
        <f t="shared" ca="1" si="2"/>
        <v>2.40585</v>
      </c>
      <c r="E58" s="2">
        <f ca="1">[1]!b_anal_yield_cnbd(E$1,$B58,1)</f>
        <v>2.4</v>
      </c>
      <c r="F58" s="3">
        <f t="shared" ca="1" si="3"/>
        <v>2.40585</v>
      </c>
      <c r="G58" s="2">
        <f ca="1">[1]!b_anal_yield_cnbd(G$1,$B58,1)</f>
        <v>2.4</v>
      </c>
      <c r="H58" s="2">
        <f>[1]!b_anal_yield_cnbd(H$1,$B58,1)</f>
        <v>2.4</v>
      </c>
      <c r="I58" s="2">
        <f>[1]!b_anal_yield_cnbd(I$1,$B58,1)</f>
        <v>2.4</v>
      </c>
      <c r="J58" s="2">
        <f>[1]!b_anal_yield_cnbd(J$1,$B58,1)</f>
        <v>2.4390000000000001</v>
      </c>
    </row>
    <row r="59" spans="2:10" x14ac:dyDescent="0.15">
      <c r="B59" s="1">
        <v>45302</v>
      </c>
      <c r="C59" s="3">
        <f t="shared" ca="1" si="1"/>
        <v>2.39</v>
      </c>
      <c r="D59" s="3">
        <f t="shared" ca="1" si="2"/>
        <v>2.3959999999999999</v>
      </c>
      <c r="E59" s="2">
        <f ca="1">[1]!b_anal_yield_cnbd(E$1,$B59,1)</f>
        <v>2.39</v>
      </c>
      <c r="F59" s="3">
        <f t="shared" ca="1" si="3"/>
        <v>2.3959999999999999</v>
      </c>
      <c r="G59" s="2">
        <f ca="1">[1]!b_anal_yield_cnbd(G$1,$B59,1)</f>
        <v>2.39</v>
      </c>
      <c r="H59" s="2">
        <f>[1]!b_anal_yield_cnbd(H$1,$B59,1)</f>
        <v>2.39</v>
      </c>
      <c r="I59" s="2">
        <f>[1]!b_anal_yield_cnbd(I$1,$B59,1)</f>
        <v>2.39</v>
      </c>
      <c r="J59" s="2">
        <f>[1]!b_anal_yield_cnbd(J$1,$B59,1)</f>
        <v>2.4300000000000002</v>
      </c>
    </row>
    <row r="60" spans="2:10" x14ac:dyDescent="0.15">
      <c r="B60" s="1">
        <v>45301</v>
      </c>
      <c r="C60" s="3">
        <f t="shared" ca="1" si="1"/>
        <v>2.4</v>
      </c>
      <c r="D60" s="3">
        <f t="shared" ca="1" si="2"/>
        <v>2.4052500000000001</v>
      </c>
      <c r="E60" s="2">
        <f ca="1">[1]!b_anal_yield_cnbd(E$1,$B60,1)</f>
        <v>2.4</v>
      </c>
      <c r="F60" s="3">
        <f t="shared" ca="1" si="3"/>
        <v>2.4052500000000001</v>
      </c>
      <c r="G60" s="2">
        <f ca="1">[1]!b_anal_yield_cnbd(G$1,$B60,1)</f>
        <v>2.4</v>
      </c>
      <c r="H60" s="2">
        <f>[1]!b_anal_yield_cnbd(H$1,$B60,1)</f>
        <v>2.4</v>
      </c>
      <c r="I60" s="2">
        <f>[1]!b_anal_yield_cnbd(I$1,$B60,1)</f>
        <v>2.4</v>
      </c>
      <c r="J60" s="2">
        <f>[1]!b_anal_yield_cnbd(J$1,$B60,1)</f>
        <v>2.4350000000000001</v>
      </c>
    </row>
    <row r="61" spans="2:10" x14ac:dyDescent="0.15">
      <c r="B61" s="1">
        <v>45300</v>
      </c>
      <c r="C61" s="3">
        <f t="shared" ca="1" si="1"/>
        <v>2.38</v>
      </c>
      <c r="D61" s="3">
        <f t="shared" ca="1" si="2"/>
        <v>2.3871249999999997</v>
      </c>
      <c r="E61" s="2">
        <f ca="1">[1]!b_anal_yield_cnbd(E$1,$B61,1)</f>
        <v>2.38</v>
      </c>
      <c r="F61" s="3">
        <f t="shared" ca="1" si="3"/>
        <v>2.3871249999999997</v>
      </c>
      <c r="G61" s="2">
        <f ca="1">[1]!b_anal_yield_cnbd(G$1,$B61,1)</f>
        <v>2.38</v>
      </c>
      <c r="H61" s="2">
        <f>[1]!b_anal_yield_cnbd(H$1,$B61,1)</f>
        <v>2.38</v>
      </c>
      <c r="I61" s="2">
        <f>[1]!b_anal_yield_cnbd(I$1,$B61,1)</f>
        <v>2.38</v>
      </c>
      <c r="J61" s="2">
        <f>[1]!b_anal_yield_cnbd(J$1,$B61,1)</f>
        <v>2.4275000000000002</v>
      </c>
    </row>
    <row r="62" spans="2:10" x14ac:dyDescent="0.15">
      <c r="B62" s="1">
        <v>45299</v>
      </c>
      <c r="C62" s="3">
        <f t="shared" ca="1" si="1"/>
        <v>2.3975</v>
      </c>
      <c r="D62" s="3">
        <f t="shared" ca="1" si="2"/>
        <v>2.4042349999999999</v>
      </c>
      <c r="E62" s="2">
        <f ca="1">[1]!b_anal_yield_cnbd(E$1,$B62,1)</f>
        <v>2.3975</v>
      </c>
      <c r="F62" s="3">
        <f t="shared" ca="1" si="3"/>
        <v>2.4042349999999999</v>
      </c>
      <c r="G62" s="2">
        <f ca="1">[1]!b_anal_yield_cnbd(G$1,$B62,1)</f>
        <v>2.3975</v>
      </c>
      <c r="H62" s="2">
        <f>[1]!b_anal_yield_cnbd(H$1,$B62,1)</f>
        <v>2.3975</v>
      </c>
      <c r="I62" s="2">
        <f>[1]!b_anal_yield_cnbd(I$1,$B62,1)</f>
        <v>2.3975</v>
      </c>
      <c r="J62" s="2">
        <f>[1]!b_anal_yield_cnbd(J$1,$B62,1)</f>
        <v>2.4424000000000001</v>
      </c>
    </row>
    <row r="63" spans="2:10" x14ac:dyDescent="0.15">
      <c r="B63" s="1">
        <v>45296</v>
      </c>
      <c r="C63" s="3">
        <f t="shared" ca="1" si="1"/>
        <v>2.39</v>
      </c>
      <c r="D63" s="3">
        <f t="shared" ca="1" si="2"/>
        <v>2.3975</v>
      </c>
      <c r="E63" s="2">
        <f ca="1">[1]!b_anal_yield_cnbd(E$1,$B63,1)</f>
        <v>2.39</v>
      </c>
      <c r="F63" s="3">
        <f t="shared" ca="1" si="3"/>
        <v>2.3975</v>
      </c>
      <c r="G63" s="2">
        <f ca="1">[1]!b_anal_yield_cnbd(G$1,$B63,1)</f>
        <v>2.39</v>
      </c>
      <c r="H63" s="2">
        <f>[1]!b_anal_yield_cnbd(H$1,$B63,1)</f>
        <v>2.39</v>
      </c>
      <c r="I63" s="2">
        <f>[1]!b_anal_yield_cnbd(I$1,$B63,1)</f>
        <v>2.39</v>
      </c>
      <c r="J63" s="2">
        <f>[1]!b_anal_yield_cnbd(J$1,$B63,1)</f>
        <v>2.44</v>
      </c>
    </row>
    <row r="64" spans="2:10" x14ac:dyDescent="0.15">
      <c r="B64" s="1">
        <v>45295</v>
      </c>
      <c r="C64" s="3">
        <f t="shared" ca="1" si="1"/>
        <v>2.42</v>
      </c>
      <c r="D64" s="3">
        <f t="shared" ca="1" si="2"/>
        <v>2.4267499999999997</v>
      </c>
      <c r="E64" s="2">
        <f ca="1">[1]!b_anal_yield_cnbd(E$1,$B64,1)</f>
        <v>2.42</v>
      </c>
      <c r="F64" s="3">
        <f t="shared" ca="1" si="3"/>
        <v>2.4267499999999997</v>
      </c>
      <c r="G64" s="2">
        <f ca="1">[1]!b_anal_yield_cnbd(G$1,$B64,1)</f>
        <v>2.42</v>
      </c>
      <c r="H64" s="2">
        <f>[1]!b_anal_yield_cnbd(H$1,$B64,1)</f>
        <v>2.42</v>
      </c>
      <c r="I64" s="2">
        <f>[1]!b_anal_yield_cnbd(I$1,$B64,1)</f>
        <v>2.42</v>
      </c>
      <c r="J64" s="2">
        <f>[1]!b_anal_yield_cnbd(J$1,$B64,1)</f>
        <v>2.4649999999999999</v>
      </c>
    </row>
    <row r="65" spans="2:10" x14ac:dyDescent="0.15">
      <c r="B65" s="1">
        <v>45294</v>
      </c>
      <c r="C65" s="3">
        <f t="shared" ca="1" si="1"/>
        <v>2.42</v>
      </c>
      <c r="D65" s="3">
        <f t="shared" ca="1" si="2"/>
        <v>2.4282499999999998</v>
      </c>
      <c r="E65" s="2">
        <f ca="1">[1]!b_anal_yield_cnbd(E$1,$B65,1)</f>
        <v>2.42</v>
      </c>
      <c r="F65" s="3">
        <f t="shared" ca="1" si="3"/>
        <v>2.4282499999999998</v>
      </c>
      <c r="G65" s="2">
        <f ca="1">[1]!b_anal_yield_cnbd(G$1,$B65,1)</f>
        <v>2.42</v>
      </c>
      <c r="H65" s="2">
        <f>[1]!b_anal_yield_cnbd(H$1,$B65,1)</f>
        <v>2.42</v>
      </c>
      <c r="I65" s="2">
        <f>[1]!b_anal_yield_cnbd(I$1,$B65,1)</f>
        <v>2.42</v>
      </c>
      <c r="J65" s="2">
        <f>[1]!b_anal_yield_cnbd(J$1,$B65,1)</f>
        <v>2.4750000000000001</v>
      </c>
    </row>
    <row r="66" spans="2:10" x14ac:dyDescent="0.15">
      <c r="B66" s="1">
        <v>45293</v>
      </c>
      <c r="C66" s="3">
        <f t="shared" ca="1" si="1"/>
        <v>2.4224999999999999</v>
      </c>
      <c r="D66" s="3">
        <f t="shared" ca="1" si="2"/>
        <v>2.4303749999999997</v>
      </c>
      <c r="E66" s="2">
        <f ca="1">[1]!b_anal_yield_cnbd(E$1,$B66,1)</f>
        <v>2.4224999999999999</v>
      </c>
      <c r="F66" s="3">
        <f t="shared" ref="F66" ca="1" si="4">SUMPRODUCT(G66:J66,$N$1:$Q$1)</f>
        <v>2.4303749999999997</v>
      </c>
      <c r="G66" s="2">
        <f ca="1">[1]!b_anal_yield_cnbd(G$1,$B66,1)</f>
        <v>2.4224999999999999</v>
      </c>
      <c r="H66" s="2">
        <f>[1]!b_anal_yield_cnbd(H$1,$B66,1)</f>
        <v>2.4224999999999999</v>
      </c>
      <c r="I66" s="2">
        <f>[1]!b_anal_yield_cnbd(I$1,$B66,1)</f>
        <v>2.4224999999999999</v>
      </c>
      <c r="J66" s="2">
        <f>[1]!b_anal_yield_cnbd(J$1,$B66,1)</f>
        <v>2.4750000000000001</v>
      </c>
    </row>
    <row r="67" spans="2:10" x14ac:dyDescent="0.15">
      <c r="B67" s="1">
        <v>45291</v>
      </c>
      <c r="C67" s="3">
        <f t="shared" ref="C67:C130" ca="1" si="5">IF(E67&lt;&gt;0,IF(F67&lt;&gt;0,E67,0),0)</f>
        <v>2.3864999999999998</v>
      </c>
      <c r="D67" s="3">
        <f t="shared" ref="D67:D130" ca="1" si="6">IF(E67&lt;&gt;0,IF(F67&lt;&gt;0,F67,0),0)</f>
        <v>2.3965200000000002</v>
      </c>
      <c r="E67" s="2">
        <f ca="1">[1]!b_anal_yield_cnbd(E$1,$B67,1)</f>
        <v>2.3864999999999998</v>
      </c>
      <c r="F67" s="3">
        <f t="shared" ref="F67:F130" ca="1" si="7">SUMPRODUCT(G67:J67,$N$1:$Q$1)</f>
        <v>2.3965200000000002</v>
      </c>
      <c r="G67" s="2">
        <f ca="1">[1]!b_anal_yield_cnbd(G$1,$B67,1)</f>
        <v>2.3864999999999998</v>
      </c>
      <c r="H67" s="2">
        <f>[1]!b_anal_yield_cnbd(H$1,$B67,1)</f>
        <v>2.3864999999999998</v>
      </c>
      <c r="I67" s="2">
        <f>[1]!b_anal_yield_cnbd(I$1,$B67,1)</f>
        <v>2.3864999999999998</v>
      </c>
      <c r="J67" s="2">
        <f>[1]!b_anal_yield_cnbd(J$1,$B67,1)</f>
        <v>2.4533</v>
      </c>
    </row>
    <row r="68" spans="2:10" x14ac:dyDescent="0.15">
      <c r="B68" s="1">
        <v>45289</v>
      </c>
      <c r="C68" s="3">
        <f t="shared" ca="1" si="5"/>
        <v>2.3849999999999998</v>
      </c>
      <c r="D68" s="3">
        <f t="shared" ca="1" si="6"/>
        <v>2.3954999999999997</v>
      </c>
      <c r="E68" s="2">
        <f ca="1">[1]!b_anal_yield_cnbd(E$1,$B68,1)</f>
        <v>2.3849999999999998</v>
      </c>
      <c r="F68" s="3">
        <f t="shared" ca="1" si="7"/>
        <v>2.3954999999999997</v>
      </c>
      <c r="G68" s="2">
        <f ca="1">[1]!b_anal_yield_cnbd(G$1,$B68,1)</f>
        <v>2.3849999999999998</v>
      </c>
      <c r="H68" s="2">
        <f>[1]!b_anal_yield_cnbd(H$1,$B68,1)</f>
        <v>2.3849999999999998</v>
      </c>
      <c r="I68" s="2">
        <f>[1]!b_anal_yield_cnbd(I$1,$B68,1)</f>
        <v>2.3849999999999998</v>
      </c>
      <c r="J68" s="2">
        <f>[1]!b_anal_yield_cnbd(J$1,$B68,1)</f>
        <v>2.4550000000000001</v>
      </c>
    </row>
    <row r="69" spans="2:10" x14ac:dyDescent="0.15">
      <c r="B69" s="1">
        <v>45288</v>
      </c>
      <c r="C69" s="3">
        <f t="shared" ca="1" si="5"/>
        <v>2.39</v>
      </c>
      <c r="D69" s="3">
        <f t="shared" ca="1" si="6"/>
        <v>2.4019999999999997</v>
      </c>
      <c r="E69" s="2">
        <f ca="1">[1]!b_anal_yield_cnbd(E$1,$B69,1)</f>
        <v>2.39</v>
      </c>
      <c r="F69" s="3">
        <f t="shared" ca="1" si="7"/>
        <v>2.4019999999999997</v>
      </c>
      <c r="G69" s="2">
        <f ca="1">[1]!b_anal_yield_cnbd(G$1,$B69,1)</f>
        <v>2.39</v>
      </c>
      <c r="H69" s="2">
        <f>[1]!b_anal_yield_cnbd(H$1,$B69,1)</f>
        <v>2.39</v>
      </c>
      <c r="I69" s="2">
        <f>[1]!b_anal_yield_cnbd(I$1,$B69,1)</f>
        <v>2.39</v>
      </c>
      <c r="J69" s="2">
        <f>[1]!b_anal_yield_cnbd(J$1,$B69,1)</f>
        <v>2.4700000000000002</v>
      </c>
    </row>
    <row r="70" spans="2:10" x14ac:dyDescent="0.15">
      <c r="B70" s="1">
        <v>45287</v>
      </c>
      <c r="C70" s="3">
        <f t="shared" ca="1" si="5"/>
        <v>2.38</v>
      </c>
      <c r="D70" s="3">
        <f t="shared" ca="1" si="6"/>
        <v>2.3904999999999998</v>
      </c>
      <c r="E70" s="2">
        <f ca="1">[1]!b_anal_yield_cnbd(E$1,$B70,1)</f>
        <v>2.38</v>
      </c>
      <c r="F70" s="3">
        <f t="shared" ca="1" si="7"/>
        <v>2.3904999999999998</v>
      </c>
      <c r="G70" s="2">
        <f ca="1">[1]!b_anal_yield_cnbd(G$1,$B70,1)</f>
        <v>2.38</v>
      </c>
      <c r="H70" s="2">
        <f>[1]!b_anal_yield_cnbd(H$1,$B70,1)</f>
        <v>2.38</v>
      </c>
      <c r="I70" s="2">
        <f>[1]!b_anal_yield_cnbd(I$1,$B70,1)</f>
        <v>2.38</v>
      </c>
      <c r="J70" s="2">
        <f>[1]!b_anal_yield_cnbd(J$1,$B70,1)</f>
        <v>2.4500000000000002</v>
      </c>
    </row>
    <row r="71" spans="2:10" x14ac:dyDescent="0.15">
      <c r="B71" s="1">
        <v>45286</v>
      </c>
      <c r="C71" s="3">
        <f t="shared" ca="1" si="5"/>
        <v>2.4</v>
      </c>
      <c r="D71" s="3">
        <f t="shared" ca="1" si="6"/>
        <v>2.4104999999999999</v>
      </c>
      <c r="E71" s="2">
        <f ca="1">[1]!b_anal_yield_cnbd(E$1,$B71,1)</f>
        <v>2.4</v>
      </c>
      <c r="F71" s="3">
        <f t="shared" ca="1" si="7"/>
        <v>2.4104999999999999</v>
      </c>
      <c r="G71" s="2">
        <f ca="1">[1]!b_anal_yield_cnbd(G$1,$B71,1)</f>
        <v>2.4</v>
      </c>
      <c r="H71" s="2">
        <f>[1]!b_anal_yield_cnbd(H$1,$B71,1)</f>
        <v>2.4</v>
      </c>
      <c r="I71" s="2">
        <f>[1]!b_anal_yield_cnbd(I$1,$B71,1)</f>
        <v>2.4</v>
      </c>
      <c r="J71" s="2">
        <f>[1]!b_anal_yield_cnbd(J$1,$B71,1)</f>
        <v>2.4700000000000002</v>
      </c>
    </row>
    <row r="72" spans="2:10" x14ac:dyDescent="0.15">
      <c r="B72" s="1">
        <v>45285</v>
      </c>
      <c r="C72" s="3">
        <f t="shared" ca="1" si="5"/>
        <v>2.4350000000000001</v>
      </c>
      <c r="D72" s="3">
        <f t="shared" ca="1" si="6"/>
        <v>2.4424999999999999</v>
      </c>
      <c r="E72" s="2">
        <f ca="1">[1]!b_anal_yield_cnbd(E$1,$B72,1)</f>
        <v>2.4350000000000001</v>
      </c>
      <c r="F72" s="3">
        <f t="shared" ca="1" si="7"/>
        <v>2.4424999999999999</v>
      </c>
      <c r="G72" s="2">
        <f ca="1">[1]!b_anal_yield_cnbd(G$1,$B72,1)</f>
        <v>2.4350000000000001</v>
      </c>
      <c r="H72" s="2">
        <f>[1]!b_anal_yield_cnbd(H$1,$B72,1)</f>
        <v>2.4350000000000001</v>
      </c>
      <c r="I72" s="2">
        <f>[1]!b_anal_yield_cnbd(I$1,$B72,1)</f>
        <v>2.4350000000000001</v>
      </c>
      <c r="J72" s="2">
        <f>[1]!b_anal_yield_cnbd(J$1,$B72,1)</f>
        <v>2.4849999999999999</v>
      </c>
    </row>
    <row r="73" spans="2:10" x14ac:dyDescent="0.15">
      <c r="B73" s="1">
        <v>45282</v>
      </c>
      <c r="C73" s="3">
        <f t="shared" ca="1" si="5"/>
        <v>2.4550000000000001</v>
      </c>
      <c r="D73" s="3">
        <f t="shared" ca="1" si="6"/>
        <v>2.4640000000000004</v>
      </c>
      <c r="E73" s="2">
        <f ca="1">[1]!b_anal_yield_cnbd(E$1,$B73,1)</f>
        <v>2.4550000000000001</v>
      </c>
      <c r="F73" s="3">
        <f t="shared" ca="1" si="7"/>
        <v>2.4640000000000004</v>
      </c>
      <c r="G73" s="2">
        <f ca="1">[1]!b_anal_yield_cnbd(G$1,$B73,1)</f>
        <v>2.4550000000000001</v>
      </c>
      <c r="H73" s="2">
        <f>[1]!b_anal_yield_cnbd(H$1,$B73,1)</f>
        <v>2.4550000000000001</v>
      </c>
      <c r="I73" s="2">
        <f>[1]!b_anal_yield_cnbd(I$1,$B73,1)</f>
        <v>2.4550000000000001</v>
      </c>
      <c r="J73" s="2">
        <f>[1]!b_anal_yield_cnbd(J$1,$B73,1)</f>
        <v>2.5150000000000001</v>
      </c>
    </row>
    <row r="74" spans="2:10" x14ac:dyDescent="0.15">
      <c r="B74" s="1">
        <v>45281</v>
      </c>
      <c r="C74" s="3">
        <f t="shared" ca="1" si="5"/>
        <v>2.48</v>
      </c>
      <c r="D74" s="3">
        <f t="shared" ca="1" si="6"/>
        <v>2.4874999999999998</v>
      </c>
      <c r="E74" s="2">
        <f ca="1">[1]!b_anal_yield_cnbd(E$1,$B74,1)</f>
        <v>2.48</v>
      </c>
      <c r="F74" s="3">
        <f t="shared" ca="1" si="7"/>
        <v>2.4874999999999998</v>
      </c>
      <c r="G74" s="2">
        <f ca="1">[1]!b_anal_yield_cnbd(G$1,$B74,1)</f>
        <v>2.48</v>
      </c>
      <c r="H74" s="2">
        <f>[1]!b_anal_yield_cnbd(H$1,$B74,1)</f>
        <v>2.48</v>
      </c>
      <c r="I74" s="2">
        <f>[1]!b_anal_yield_cnbd(I$1,$B74,1)</f>
        <v>2.48</v>
      </c>
      <c r="J74" s="2">
        <f>[1]!b_anal_yield_cnbd(J$1,$B74,1)</f>
        <v>2.5299999999999998</v>
      </c>
    </row>
    <row r="75" spans="2:10" x14ac:dyDescent="0.15">
      <c r="B75" s="1">
        <v>45280</v>
      </c>
      <c r="C75" s="3">
        <f t="shared" ca="1" si="5"/>
        <v>2.5</v>
      </c>
      <c r="D75" s="3">
        <f t="shared" ca="1" si="6"/>
        <v>2.5063599999999999</v>
      </c>
      <c r="E75" s="2">
        <f ca="1">[1]!b_anal_yield_cnbd(E$1,$B75,1)</f>
        <v>2.5</v>
      </c>
      <c r="F75" s="3">
        <f t="shared" ca="1" si="7"/>
        <v>2.5063599999999999</v>
      </c>
      <c r="G75" s="2">
        <f ca="1">[1]!b_anal_yield_cnbd(G$1,$B75,1)</f>
        <v>2.5</v>
      </c>
      <c r="H75" s="2">
        <f>[1]!b_anal_yield_cnbd(H$1,$B75,1)</f>
        <v>2.5</v>
      </c>
      <c r="I75" s="2">
        <f>[1]!b_anal_yield_cnbd(I$1,$B75,1)</f>
        <v>2.5</v>
      </c>
      <c r="J75" s="2">
        <f>[1]!b_anal_yield_cnbd(J$1,$B75,1)</f>
        <v>2.5424000000000002</v>
      </c>
    </row>
    <row r="76" spans="2:10" x14ac:dyDescent="0.15">
      <c r="B76" s="1">
        <v>45279</v>
      </c>
      <c r="C76" s="3">
        <f t="shared" ca="1" si="5"/>
        <v>2.5</v>
      </c>
      <c r="D76" s="3">
        <f t="shared" ca="1" si="6"/>
        <v>2.5058949999999998</v>
      </c>
      <c r="E76" s="2">
        <f ca="1">[1]!b_anal_yield_cnbd(E$1,$B76,1)</f>
        <v>2.5</v>
      </c>
      <c r="F76" s="3">
        <f t="shared" ca="1" si="7"/>
        <v>2.5058949999999998</v>
      </c>
      <c r="G76" s="2">
        <f ca="1">[1]!b_anal_yield_cnbd(G$1,$B76,1)</f>
        <v>2.5</v>
      </c>
      <c r="H76" s="2">
        <f>[1]!b_anal_yield_cnbd(H$1,$B76,1)</f>
        <v>2.5</v>
      </c>
      <c r="I76" s="2">
        <f>[1]!b_anal_yield_cnbd(I$1,$B76,1)</f>
        <v>2.5</v>
      </c>
      <c r="J76" s="2">
        <f>[1]!b_anal_yield_cnbd(J$1,$B76,1)</f>
        <v>2.5392999999999999</v>
      </c>
    </row>
    <row r="77" spans="2:10" x14ac:dyDescent="0.15">
      <c r="B77" s="1">
        <v>45278</v>
      </c>
      <c r="C77" s="3">
        <f t="shared" ca="1" si="5"/>
        <v>2.4824999999999999</v>
      </c>
      <c r="D77" s="3">
        <f t="shared" ca="1" si="6"/>
        <v>2.4906449999999998</v>
      </c>
      <c r="E77" s="2">
        <f ca="1">[1]!b_anal_yield_cnbd(E$1,$B77,1)</f>
        <v>2.4824999999999999</v>
      </c>
      <c r="F77" s="3">
        <f t="shared" ca="1" si="7"/>
        <v>2.4906449999999998</v>
      </c>
      <c r="G77" s="2">
        <f ca="1">[1]!b_anal_yield_cnbd(G$1,$B77,1)</f>
        <v>2.4824999999999999</v>
      </c>
      <c r="H77" s="2">
        <f>[1]!b_anal_yield_cnbd(H$1,$B77,1)</f>
        <v>2.4824999999999999</v>
      </c>
      <c r="I77" s="2">
        <f>[1]!b_anal_yield_cnbd(I$1,$B77,1)</f>
        <v>2.4824999999999999</v>
      </c>
      <c r="J77" s="2">
        <f>[1]!b_anal_yield_cnbd(J$1,$B77,1)</f>
        <v>2.5367999999999999</v>
      </c>
    </row>
    <row r="78" spans="2:10" x14ac:dyDescent="0.15">
      <c r="B78" s="1">
        <v>45275</v>
      </c>
      <c r="C78" s="3">
        <f t="shared" ca="1" si="5"/>
        <v>2.4900000000000002</v>
      </c>
      <c r="D78" s="3">
        <f t="shared" ca="1" si="6"/>
        <v>2.4960000000000004</v>
      </c>
      <c r="E78" s="2">
        <f ca="1">[1]!b_anal_yield_cnbd(E$1,$B78,1)</f>
        <v>2.4900000000000002</v>
      </c>
      <c r="F78" s="3">
        <f t="shared" ca="1" si="7"/>
        <v>2.4960000000000004</v>
      </c>
      <c r="G78" s="2">
        <f ca="1">[1]!b_anal_yield_cnbd(G$1,$B78,1)</f>
        <v>2.4900000000000002</v>
      </c>
      <c r="H78" s="2">
        <f>[1]!b_anal_yield_cnbd(H$1,$B78,1)</f>
        <v>2.4900000000000002</v>
      </c>
      <c r="I78" s="2">
        <f>[1]!b_anal_yield_cnbd(I$1,$B78,1)</f>
        <v>2.4900000000000002</v>
      </c>
      <c r="J78" s="2">
        <f>[1]!b_anal_yield_cnbd(J$1,$B78,1)</f>
        <v>2.5299999999999998</v>
      </c>
    </row>
    <row r="79" spans="2:10" x14ac:dyDescent="0.15">
      <c r="B79" s="1">
        <v>45274</v>
      </c>
      <c r="C79" s="3">
        <f t="shared" ca="1" si="5"/>
        <v>2.52</v>
      </c>
      <c r="D79" s="3">
        <f t="shared" ca="1" si="6"/>
        <v>2.5248749999999998</v>
      </c>
      <c r="E79" s="2">
        <f ca="1">[1]!b_anal_yield_cnbd(E$1,$B79,1)</f>
        <v>2.52</v>
      </c>
      <c r="F79" s="3">
        <f t="shared" ca="1" si="7"/>
        <v>2.5248749999999998</v>
      </c>
      <c r="G79" s="2">
        <f ca="1">[1]!b_anal_yield_cnbd(G$1,$B79,1)</f>
        <v>2.52</v>
      </c>
      <c r="H79" s="2">
        <f>[1]!b_anal_yield_cnbd(H$1,$B79,1)</f>
        <v>2.52</v>
      </c>
      <c r="I79" s="2">
        <f>[1]!b_anal_yield_cnbd(I$1,$B79,1)</f>
        <v>2.52</v>
      </c>
      <c r="J79" s="2">
        <f>[1]!b_anal_yield_cnbd(J$1,$B79,1)</f>
        <v>2.5525000000000002</v>
      </c>
    </row>
    <row r="80" spans="2:10" x14ac:dyDescent="0.15">
      <c r="B80" s="1">
        <v>45273</v>
      </c>
      <c r="C80" s="3">
        <f t="shared" ca="1" si="5"/>
        <v>2.5150000000000001</v>
      </c>
      <c r="D80" s="3">
        <f t="shared" ca="1" si="6"/>
        <v>2.5217499999999999</v>
      </c>
      <c r="E80" s="2">
        <f ca="1">[1]!b_anal_yield_cnbd(E$1,$B80,1)</f>
        <v>2.5150000000000001</v>
      </c>
      <c r="F80" s="3">
        <f t="shared" ca="1" si="7"/>
        <v>2.5217499999999999</v>
      </c>
      <c r="G80" s="2">
        <f ca="1">[1]!b_anal_yield_cnbd(G$1,$B80,1)</f>
        <v>2.5150000000000001</v>
      </c>
      <c r="H80" s="2">
        <f>[1]!b_anal_yield_cnbd(H$1,$B80,1)</f>
        <v>2.5150000000000001</v>
      </c>
      <c r="I80" s="2">
        <f>[1]!b_anal_yield_cnbd(I$1,$B80,1)</f>
        <v>2.5150000000000001</v>
      </c>
      <c r="J80" s="2">
        <f>[1]!b_anal_yield_cnbd(J$1,$B80,1)</f>
        <v>2.56</v>
      </c>
    </row>
    <row r="81" spans="2:10" x14ac:dyDescent="0.15">
      <c r="B81" s="1">
        <v>45272</v>
      </c>
      <c r="C81" s="3">
        <f t="shared" ca="1" si="5"/>
        <v>2.54</v>
      </c>
      <c r="D81" s="3">
        <f t="shared" ca="1" si="6"/>
        <v>2.5459999999999998</v>
      </c>
      <c r="E81" s="2">
        <f ca="1">[1]!b_anal_yield_cnbd(E$1,$B81,1)</f>
        <v>2.54</v>
      </c>
      <c r="F81" s="3">
        <f t="shared" ca="1" si="7"/>
        <v>2.5459999999999998</v>
      </c>
      <c r="G81" s="2">
        <f ca="1">[1]!b_anal_yield_cnbd(G$1,$B81,1)</f>
        <v>2.54</v>
      </c>
      <c r="H81" s="2">
        <f>[1]!b_anal_yield_cnbd(H$1,$B81,1)</f>
        <v>2.54</v>
      </c>
      <c r="I81" s="2">
        <f>[1]!b_anal_yield_cnbd(I$1,$B81,1)</f>
        <v>2.54</v>
      </c>
      <c r="J81" s="2">
        <f>[1]!b_anal_yield_cnbd(J$1,$B81,1)</f>
        <v>2.58</v>
      </c>
    </row>
    <row r="82" spans="2:10" x14ac:dyDescent="0.15">
      <c r="B82" s="1">
        <v>45271</v>
      </c>
      <c r="C82" s="3">
        <f t="shared" ca="1" si="5"/>
        <v>2.54</v>
      </c>
      <c r="D82" s="3">
        <f t="shared" ca="1" si="6"/>
        <v>2.5459999999999998</v>
      </c>
      <c r="E82" s="2">
        <f ca="1">[1]!b_anal_yield_cnbd(E$1,$B82,1)</f>
        <v>2.54</v>
      </c>
      <c r="F82" s="3">
        <f t="shared" ca="1" si="7"/>
        <v>2.5459999999999998</v>
      </c>
      <c r="G82" s="2">
        <f ca="1">[1]!b_anal_yield_cnbd(G$1,$B82,1)</f>
        <v>2.54</v>
      </c>
      <c r="H82" s="2">
        <f>[1]!b_anal_yield_cnbd(H$1,$B82,1)</f>
        <v>2.54</v>
      </c>
      <c r="I82" s="2">
        <f>[1]!b_anal_yield_cnbd(I$1,$B82,1)</f>
        <v>2.54</v>
      </c>
      <c r="J82" s="2">
        <f>[1]!b_anal_yield_cnbd(J$1,$B82,1)</f>
        <v>2.58</v>
      </c>
    </row>
    <row r="83" spans="2:10" x14ac:dyDescent="0.15">
      <c r="B83" s="1">
        <v>45268</v>
      </c>
      <c r="C83" s="3">
        <f t="shared" ca="1" si="5"/>
        <v>2.5550000000000002</v>
      </c>
      <c r="D83" s="3">
        <f t="shared" ca="1" si="6"/>
        <v>2.5602500000000004</v>
      </c>
      <c r="E83" s="2">
        <f ca="1">[1]!b_anal_yield_cnbd(E$1,$B83,1)</f>
        <v>2.5550000000000002</v>
      </c>
      <c r="F83" s="3">
        <f t="shared" ca="1" si="7"/>
        <v>2.5602500000000004</v>
      </c>
      <c r="G83" s="2">
        <f ca="1">[1]!b_anal_yield_cnbd(G$1,$B83,1)</f>
        <v>2.5550000000000002</v>
      </c>
      <c r="H83" s="2">
        <f>[1]!b_anal_yield_cnbd(H$1,$B83,1)</f>
        <v>2.5550000000000002</v>
      </c>
      <c r="I83" s="2">
        <f>[1]!b_anal_yield_cnbd(I$1,$B83,1)</f>
        <v>2.5550000000000002</v>
      </c>
      <c r="J83" s="2">
        <f>[1]!b_anal_yield_cnbd(J$1,$B83,1)</f>
        <v>2.59</v>
      </c>
    </row>
    <row r="84" spans="2:10" x14ac:dyDescent="0.15">
      <c r="B84" s="1">
        <v>45267</v>
      </c>
      <c r="C84" s="3">
        <f t="shared" ca="1" si="5"/>
        <v>2.5649999999999999</v>
      </c>
      <c r="D84" s="3">
        <f t="shared" ca="1" si="6"/>
        <v>2.5706250000000002</v>
      </c>
      <c r="E84" s="2">
        <f ca="1">[1]!b_anal_yield_cnbd(E$1,$B84,1)</f>
        <v>2.5649999999999999</v>
      </c>
      <c r="F84" s="3">
        <f t="shared" ca="1" si="7"/>
        <v>2.5706250000000002</v>
      </c>
      <c r="G84" s="2">
        <f ca="1">[1]!b_anal_yield_cnbd(G$1,$B84,1)</f>
        <v>2.5649999999999999</v>
      </c>
      <c r="H84" s="2">
        <f>[1]!b_anal_yield_cnbd(H$1,$B84,1)</f>
        <v>2.5649999999999999</v>
      </c>
      <c r="I84" s="2">
        <f>[1]!b_anal_yield_cnbd(I$1,$B84,1)</f>
        <v>2.5649999999999999</v>
      </c>
      <c r="J84" s="2">
        <f>[1]!b_anal_yield_cnbd(J$1,$B84,1)</f>
        <v>2.6025</v>
      </c>
    </row>
    <row r="85" spans="2:10" x14ac:dyDescent="0.15">
      <c r="B85" s="1">
        <v>45266</v>
      </c>
      <c r="C85" s="3">
        <f t="shared" ca="1" si="5"/>
        <v>2.585</v>
      </c>
      <c r="D85" s="3">
        <f t="shared" ca="1" si="6"/>
        <v>2.5887500000000001</v>
      </c>
      <c r="E85" s="2">
        <f ca="1">[1]!b_anal_yield_cnbd(E$1,$B85,1)</f>
        <v>2.585</v>
      </c>
      <c r="F85" s="3">
        <f t="shared" ca="1" si="7"/>
        <v>2.5887500000000001</v>
      </c>
      <c r="G85" s="2">
        <f ca="1">[1]!b_anal_yield_cnbd(G$1,$B85,1)</f>
        <v>2.585</v>
      </c>
      <c r="H85" s="2">
        <f>[1]!b_anal_yield_cnbd(H$1,$B85,1)</f>
        <v>2.585</v>
      </c>
      <c r="I85" s="2">
        <f>[1]!b_anal_yield_cnbd(I$1,$B85,1)</f>
        <v>2.585</v>
      </c>
      <c r="J85" s="2">
        <f>[1]!b_anal_yield_cnbd(J$1,$B85,1)</f>
        <v>2.61</v>
      </c>
    </row>
    <row r="86" spans="2:10" x14ac:dyDescent="0.15">
      <c r="B86" s="1">
        <v>45265</v>
      </c>
      <c r="C86" s="3">
        <f t="shared" ca="1" si="5"/>
        <v>2.5724999999999998</v>
      </c>
      <c r="D86" s="3">
        <f t="shared" ca="1" si="6"/>
        <v>2.5772549999999996</v>
      </c>
      <c r="E86" s="2">
        <f ca="1">[1]!b_anal_yield_cnbd(E$1,$B86,1)</f>
        <v>2.5724999999999998</v>
      </c>
      <c r="F86" s="3">
        <f t="shared" ca="1" si="7"/>
        <v>2.5772549999999996</v>
      </c>
      <c r="G86" s="2">
        <f ca="1">[1]!b_anal_yield_cnbd(G$1,$B86,1)</f>
        <v>2.5724999999999998</v>
      </c>
      <c r="H86" s="2">
        <f>[1]!b_anal_yield_cnbd(H$1,$B86,1)</f>
        <v>2.5724999999999998</v>
      </c>
      <c r="I86" s="2">
        <f>[1]!b_anal_yield_cnbd(I$1,$B86,1)</f>
        <v>2.5724999999999998</v>
      </c>
      <c r="J86" s="2">
        <f>[1]!b_anal_yield_cnbd(J$1,$B86,1)</f>
        <v>2.6042000000000001</v>
      </c>
    </row>
    <row r="87" spans="2:10" x14ac:dyDescent="0.15">
      <c r="B87" s="1">
        <v>45264</v>
      </c>
      <c r="C87" s="3">
        <f t="shared" ca="1" si="5"/>
        <v>2.5674999999999999</v>
      </c>
      <c r="D87" s="3">
        <f t="shared" ca="1" si="6"/>
        <v>2.5731250000000001</v>
      </c>
      <c r="E87" s="2">
        <f ca="1">[1]!b_anal_yield_cnbd(E$1,$B87,1)</f>
        <v>2.5674999999999999</v>
      </c>
      <c r="F87" s="3">
        <f t="shared" ca="1" si="7"/>
        <v>2.5731250000000001</v>
      </c>
      <c r="G87" s="2">
        <f ca="1">[1]!b_anal_yield_cnbd(G$1,$B87,1)</f>
        <v>2.5674999999999999</v>
      </c>
      <c r="H87" s="2">
        <f>[1]!b_anal_yield_cnbd(H$1,$B87,1)</f>
        <v>2.5674999999999999</v>
      </c>
      <c r="I87" s="2">
        <f>[1]!b_anal_yield_cnbd(I$1,$B87,1)</f>
        <v>2.5674999999999999</v>
      </c>
      <c r="J87" s="2">
        <f>[1]!b_anal_yield_cnbd(J$1,$B87,1)</f>
        <v>2.605</v>
      </c>
    </row>
    <row r="88" spans="2:10" x14ac:dyDescent="0.15">
      <c r="B88" s="1">
        <v>45261</v>
      </c>
      <c r="C88" s="3">
        <f t="shared" ca="1" si="5"/>
        <v>2.5625</v>
      </c>
      <c r="D88" s="3">
        <f t="shared" ca="1" si="6"/>
        <v>2.5677349999999999</v>
      </c>
      <c r="E88" s="2">
        <f ca="1">[1]!b_anal_yield_cnbd(E$1,$B88,1)</f>
        <v>2.5625</v>
      </c>
      <c r="F88" s="3">
        <f t="shared" ca="1" si="7"/>
        <v>2.5677349999999999</v>
      </c>
      <c r="G88" s="2">
        <f ca="1">[1]!b_anal_yield_cnbd(G$1,$B88,1)</f>
        <v>2.5625</v>
      </c>
      <c r="H88" s="2">
        <f>[1]!b_anal_yield_cnbd(H$1,$B88,1)</f>
        <v>2.5625</v>
      </c>
      <c r="I88" s="2">
        <f>[1]!b_anal_yield_cnbd(I$1,$B88,1)</f>
        <v>2.5625</v>
      </c>
      <c r="J88" s="2">
        <f>[1]!b_anal_yield_cnbd(J$1,$B88,1)</f>
        <v>2.5973999999999999</v>
      </c>
    </row>
    <row r="89" spans="2:10" x14ac:dyDescent="0.15">
      <c r="B89" s="1">
        <v>45260</v>
      </c>
      <c r="C89" s="3">
        <f t="shared" ca="1" si="5"/>
        <v>2.5649999999999999</v>
      </c>
      <c r="D89" s="3">
        <f t="shared" ca="1" si="6"/>
        <v>2.5702500000000001</v>
      </c>
      <c r="E89" s="2">
        <f ca="1">[1]!b_anal_yield_cnbd(E$1,$B89,1)</f>
        <v>2.5649999999999999</v>
      </c>
      <c r="F89" s="3">
        <f t="shared" ca="1" si="7"/>
        <v>2.5702500000000001</v>
      </c>
      <c r="G89" s="2">
        <f ca="1">[1]!b_anal_yield_cnbd(G$1,$B89,1)</f>
        <v>2.5649999999999999</v>
      </c>
      <c r="H89" s="2">
        <f>[1]!b_anal_yield_cnbd(H$1,$B89,1)</f>
        <v>2.5649999999999999</v>
      </c>
      <c r="I89" s="2">
        <f>[1]!b_anal_yield_cnbd(I$1,$B89,1)</f>
        <v>2.5649999999999999</v>
      </c>
      <c r="J89" s="2">
        <f>[1]!b_anal_yield_cnbd(J$1,$B89,1)</f>
        <v>2.6</v>
      </c>
    </row>
    <row r="90" spans="2:10" x14ac:dyDescent="0.15">
      <c r="B90" s="1">
        <v>45259</v>
      </c>
      <c r="C90" s="3">
        <f t="shared" ca="1" si="5"/>
        <v>2.5750000000000002</v>
      </c>
      <c r="D90" s="3">
        <f t="shared" ca="1" si="6"/>
        <v>2.5802500000000004</v>
      </c>
      <c r="E90" s="2">
        <f ca="1">[1]!b_anal_yield_cnbd(E$1,$B90,1)</f>
        <v>2.5750000000000002</v>
      </c>
      <c r="F90" s="3">
        <f t="shared" ca="1" si="7"/>
        <v>2.5802500000000004</v>
      </c>
      <c r="G90" s="2">
        <f ca="1">[1]!b_anal_yield_cnbd(G$1,$B90,1)</f>
        <v>2.5750000000000002</v>
      </c>
      <c r="H90" s="2">
        <f>[1]!b_anal_yield_cnbd(H$1,$B90,1)</f>
        <v>2.5750000000000002</v>
      </c>
      <c r="I90" s="2">
        <f>[1]!b_anal_yield_cnbd(I$1,$B90,1)</f>
        <v>2.5750000000000002</v>
      </c>
      <c r="J90" s="2">
        <f>[1]!b_anal_yield_cnbd(J$1,$B90,1)</f>
        <v>2.61</v>
      </c>
    </row>
    <row r="91" spans="2:10" x14ac:dyDescent="0.15">
      <c r="B91" s="1">
        <v>45258</v>
      </c>
      <c r="C91" s="3">
        <f t="shared" ca="1" si="5"/>
        <v>2.5750000000000002</v>
      </c>
      <c r="D91" s="3">
        <f t="shared" ca="1" si="6"/>
        <v>2.5806100000000001</v>
      </c>
      <c r="E91" s="2">
        <f ca="1">[1]!b_anal_yield_cnbd(E$1,$B91,1)</f>
        <v>2.5750000000000002</v>
      </c>
      <c r="F91" s="3">
        <f t="shared" ca="1" si="7"/>
        <v>2.5806100000000001</v>
      </c>
      <c r="G91" s="2">
        <f ca="1">[1]!b_anal_yield_cnbd(G$1,$B91,1)</f>
        <v>2.5750000000000002</v>
      </c>
      <c r="H91" s="2">
        <f>[1]!b_anal_yield_cnbd(H$1,$B91,1)</f>
        <v>2.5750000000000002</v>
      </c>
      <c r="I91" s="2">
        <f>[1]!b_anal_yield_cnbd(I$1,$B91,1)</f>
        <v>2.5750000000000002</v>
      </c>
      <c r="J91" s="2">
        <f>[1]!b_anal_yield_cnbd(J$1,$B91,1)</f>
        <v>2.6124000000000001</v>
      </c>
    </row>
    <row r="92" spans="2:10" x14ac:dyDescent="0.15">
      <c r="B92" s="1">
        <v>45257</v>
      </c>
      <c r="C92" s="3">
        <f t="shared" ca="1" si="5"/>
        <v>2.5912999999999999</v>
      </c>
      <c r="D92" s="3">
        <f t="shared" ca="1" si="6"/>
        <v>2.5956049999999999</v>
      </c>
      <c r="E92" s="2">
        <f ca="1">[1]!b_anal_yield_cnbd(E$1,$B92,1)</f>
        <v>2.5912999999999999</v>
      </c>
      <c r="F92" s="3">
        <f t="shared" ca="1" si="7"/>
        <v>2.5956049999999999</v>
      </c>
      <c r="G92" s="2">
        <f ca="1">[1]!b_anal_yield_cnbd(G$1,$B92,1)</f>
        <v>2.5912999999999999</v>
      </c>
      <c r="H92" s="2">
        <f>[1]!b_anal_yield_cnbd(H$1,$B92,1)</f>
        <v>2.5912999999999999</v>
      </c>
      <c r="I92" s="2">
        <f>[1]!b_anal_yield_cnbd(I$1,$B92,1)</f>
        <v>2.5912999999999999</v>
      </c>
      <c r="J92" s="2">
        <f>[1]!b_anal_yield_cnbd(J$1,$B92,1)</f>
        <v>2.62</v>
      </c>
    </row>
    <row r="93" spans="2:10" x14ac:dyDescent="0.15">
      <c r="B93" s="1">
        <v>45254</v>
      </c>
      <c r="C93" s="3">
        <f t="shared" ca="1" si="5"/>
        <v>2.57</v>
      </c>
      <c r="D93" s="3">
        <f t="shared" ca="1" si="6"/>
        <v>2.5763599999999998</v>
      </c>
      <c r="E93" s="2">
        <f ca="1">[1]!b_anal_yield_cnbd(E$1,$B93,1)</f>
        <v>2.57</v>
      </c>
      <c r="F93" s="3">
        <f t="shared" ca="1" si="7"/>
        <v>2.5763599999999998</v>
      </c>
      <c r="G93" s="2">
        <f ca="1">[1]!b_anal_yield_cnbd(G$1,$B93,1)</f>
        <v>2.57</v>
      </c>
      <c r="H93" s="2">
        <f>[1]!b_anal_yield_cnbd(H$1,$B93,1)</f>
        <v>2.57</v>
      </c>
      <c r="I93" s="2">
        <f>[1]!b_anal_yield_cnbd(I$1,$B93,1)</f>
        <v>2.57</v>
      </c>
      <c r="J93" s="2">
        <f>[1]!b_anal_yield_cnbd(J$1,$B93,1)</f>
        <v>2.6124000000000001</v>
      </c>
    </row>
    <row r="94" spans="2:10" x14ac:dyDescent="0.15">
      <c r="B94" s="1">
        <v>45253</v>
      </c>
      <c r="C94" s="3">
        <f t="shared" ca="1" si="5"/>
        <v>2.5625</v>
      </c>
      <c r="D94" s="3">
        <f t="shared" ca="1" si="6"/>
        <v>2.5696250000000003</v>
      </c>
      <c r="E94" s="2">
        <f ca="1">[1]!b_anal_yield_cnbd(E$1,$B94,1)</f>
        <v>2.5625</v>
      </c>
      <c r="F94" s="3">
        <f t="shared" ca="1" si="7"/>
        <v>2.5696250000000003</v>
      </c>
      <c r="G94" s="2">
        <f ca="1">[1]!b_anal_yield_cnbd(G$1,$B94,1)</f>
        <v>2.5625</v>
      </c>
      <c r="H94" s="2">
        <f>[1]!b_anal_yield_cnbd(H$1,$B94,1)</f>
        <v>2.5625</v>
      </c>
      <c r="I94" s="2">
        <f>[1]!b_anal_yield_cnbd(I$1,$B94,1)</f>
        <v>2.5625</v>
      </c>
      <c r="J94" s="2">
        <f>[1]!b_anal_yield_cnbd(J$1,$B94,1)</f>
        <v>2.61</v>
      </c>
    </row>
    <row r="95" spans="2:10" x14ac:dyDescent="0.15">
      <c r="B95" s="1">
        <v>45252</v>
      </c>
      <c r="C95" s="3">
        <f t="shared" ca="1" si="5"/>
        <v>2.5449999999999999</v>
      </c>
      <c r="D95" s="3">
        <f t="shared" ca="1" si="6"/>
        <v>2.5517499999999997</v>
      </c>
      <c r="E95" s="2">
        <f ca="1">[1]!b_anal_yield_cnbd(E$1,$B95,1)</f>
        <v>2.5449999999999999</v>
      </c>
      <c r="F95" s="3">
        <f t="shared" ca="1" si="7"/>
        <v>2.5517499999999997</v>
      </c>
      <c r="G95" s="2">
        <f ca="1">[1]!b_anal_yield_cnbd(G$1,$B95,1)</f>
        <v>2.5449999999999999</v>
      </c>
      <c r="H95" s="2">
        <f>[1]!b_anal_yield_cnbd(H$1,$B95,1)</f>
        <v>2.5449999999999999</v>
      </c>
      <c r="I95" s="2">
        <f>[1]!b_anal_yield_cnbd(I$1,$B95,1)</f>
        <v>2.5449999999999999</v>
      </c>
      <c r="J95" s="2">
        <f>[1]!b_anal_yield_cnbd(J$1,$B95,1)</f>
        <v>2.59</v>
      </c>
    </row>
    <row r="96" spans="2:10" x14ac:dyDescent="0.15">
      <c r="B96" s="1">
        <v>45251</v>
      </c>
      <c r="C96" s="3">
        <f t="shared" ca="1" si="5"/>
        <v>2.5325000000000002</v>
      </c>
      <c r="D96" s="3">
        <f t="shared" ca="1" si="6"/>
        <v>2.5395050000000001</v>
      </c>
      <c r="E96" s="2">
        <f ca="1">[1]!b_anal_yield_cnbd(E$1,$B96,1)</f>
        <v>2.5325000000000002</v>
      </c>
      <c r="F96" s="3">
        <f t="shared" ca="1" si="7"/>
        <v>2.5395050000000001</v>
      </c>
      <c r="G96" s="2">
        <f ca="1">[1]!b_anal_yield_cnbd(G$1,$B96,1)</f>
        <v>2.5325000000000002</v>
      </c>
      <c r="H96" s="2">
        <f>[1]!b_anal_yield_cnbd(H$1,$B96,1)</f>
        <v>2.5325000000000002</v>
      </c>
      <c r="I96" s="2">
        <f>[1]!b_anal_yield_cnbd(I$1,$B96,1)</f>
        <v>2.5325000000000002</v>
      </c>
      <c r="J96" s="2">
        <f>[1]!b_anal_yield_cnbd(J$1,$B96,1)</f>
        <v>2.5792000000000002</v>
      </c>
    </row>
    <row r="97" spans="2:10" x14ac:dyDescent="0.15">
      <c r="B97" s="1">
        <v>45250</v>
      </c>
      <c r="C97" s="3">
        <f t="shared" ca="1" si="5"/>
        <v>2.52</v>
      </c>
      <c r="D97" s="3">
        <f t="shared" ca="1" si="6"/>
        <v>2.5270799999999998</v>
      </c>
      <c r="E97" s="2">
        <f ca="1">[1]!b_anal_yield_cnbd(E$1,$B97,1)</f>
        <v>2.52</v>
      </c>
      <c r="F97" s="3">
        <f t="shared" ca="1" si="7"/>
        <v>2.5270799999999998</v>
      </c>
      <c r="G97" s="2">
        <f ca="1">[1]!b_anal_yield_cnbd(G$1,$B97,1)</f>
        <v>2.52</v>
      </c>
      <c r="H97" s="2">
        <f>[1]!b_anal_yield_cnbd(H$1,$B97,1)</f>
        <v>2.52</v>
      </c>
      <c r="I97" s="2">
        <f>[1]!b_anal_yield_cnbd(I$1,$B97,1)</f>
        <v>2.52</v>
      </c>
      <c r="J97" s="2">
        <f>[1]!b_anal_yield_cnbd(J$1,$B97,1)</f>
        <v>2.5672000000000001</v>
      </c>
    </row>
    <row r="98" spans="2:10" x14ac:dyDescent="0.15">
      <c r="B98" s="1">
        <v>45247</v>
      </c>
      <c r="C98" s="3">
        <f t="shared" ca="1" si="5"/>
        <v>2.5099999999999998</v>
      </c>
      <c r="D98" s="3">
        <f t="shared" ca="1" si="6"/>
        <v>2.5189999999999997</v>
      </c>
      <c r="E98" s="2">
        <f ca="1">[1]!b_anal_yield_cnbd(E$1,$B98,1)</f>
        <v>2.5099999999999998</v>
      </c>
      <c r="F98" s="3">
        <f t="shared" ca="1" si="7"/>
        <v>2.5189999999999997</v>
      </c>
      <c r="G98" s="2">
        <f ca="1">[1]!b_anal_yield_cnbd(G$1,$B98,1)</f>
        <v>2.5099999999999998</v>
      </c>
      <c r="H98" s="2">
        <f>[1]!b_anal_yield_cnbd(H$1,$B98,1)</f>
        <v>2.5099999999999998</v>
      </c>
      <c r="I98" s="2">
        <f>[1]!b_anal_yield_cnbd(I$1,$B98,1)</f>
        <v>2.5099999999999998</v>
      </c>
      <c r="J98" s="2">
        <f>[1]!b_anal_yield_cnbd(J$1,$B98,1)</f>
        <v>2.57</v>
      </c>
    </row>
    <row r="99" spans="2:10" x14ac:dyDescent="0.15">
      <c r="B99" s="1">
        <v>45246</v>
      </c>
      <c r="C99" s="3">
        <f t="shared" ca="1" si="5"/>
        <v>2.5125000000000002</v>
      </c>
      <c r="D99" s="3">
        <f t="shared" ca="1" si="6"/>
        <v>2.5211250000000001</v>
      </c>
      <c r="E99" s="2">
        <f ca="1">[1]!b_anal_yield_cnbd(E$1,$B99,1)</f>
        <v>2.5125000000000002</v>
      </c>
      <c r="F99" s="3">
        <f t="shared" ca="1" si="7"/>
        <v>2.5211250000000001</v>
      </c>
      <c r="G99" s="2">
        <f ca="1">[1]!b_anal_yield_cnbd(G$1,$B99,1)</f>
        <v>2.5125000000000002</v>
      </c>
      <c r="H99" s="2">
        <f>[1]!b_anal_yield_cnbd(H$1,$B99,1)</f>
        <v>2.5125000000000002</v>
      </c>
      <c r="I99" s="2">
        <f>[1]!b_anal_yield_cnbd(I$1,$B99,1)</f>
        <v>2.5125000000000002</v>
      </c>
      <c r="J99" s="2">
        <f>[1]!b_anal_yield_cnbd(J$1,$B99,1)</f>
        <v>2.57</v>
      </c>
    </row>
    <row r="100" spans="2:10" x14ac:dyDescent="0.15">
      <c r="B100" s="1">
        <v>45245</v>
      </c>
      <c r="C100" s="3">
        <f t="shared" ca="1" si="5"/>
        <v>2.52</v>
      </c>
      <c r="D100" s="3">
        <f t="shared" ca="1" si="6"/>
        <v>2.5274999999999999</v>
      </c>
      <c r="E100" s="2">
        <f ca="1">[1]!b_anal_yield_cnbd(E$1,$B100,1)</f>
        <v>2.52</v>
      </c>
      <c r="F100" s="3">
        <f t="shared" ca="1" si="7"/>
        <v>2.5274999999999999</v>
      </c>
      <c r="G100" s="2">
        <f ca="1">[1]!b_anal_yield_cnbd(G$1,$B100,1)</f>
        <v>2.52</v>
      </c>
      <c r="H100" s="2">
        <f>[1]!b_anal_yield_cnbd(H$1,$B100,1)</f>
        <v>2.52</v>
      </c>
      <c r="I100" s="2">
        <f>[1]!b_anal_yield_cnbd(I$1,$B100,1)</f>
        <v>2.52</v>
      </c>
      <c r="J100" s="2">
        <f>[1]!b_anal_yield_cnbd(J$1,$B100,1)</f>
        <v>2.57</v>
      </c>
    </row>
    <row r="101" spans="2:10" x14ac:dyDescent="0.15">
      <c r="B101" s="1">
        <v>45244</v>
      </c>
      <c r="C101" s="3">
        <f t="shared" ca="1" si="5"/>
        <v>2.52</v>
      </c>
      <c r="D101" s="3">
        <f t="shared" ca="1" si="6"/>
        <v>2.5282499999999999</v>
      </c>
      <c r="E101" s="2">
        <f ca="1">[1]!b_anal_yield_cnbd(E$1,$B101,1)</f>
        <v>2.52</v>
      </c>
      <c r="F101" s="3">
        <f t="shared" ca="1" si="7"/>
        <v>2.5282499999999999</v>
      </c>
      <c r="G101" s="2">
        <f ca="1">[1]!b_anal_yield_cnbd(G$1,$B101,1)</f>
        <v>2.52</v>
      </c>
      <c r="H101" s="2">
        <f>[1]!b_anal_yield_cnbd(H$1,$B101,1)</f>
        <v>2.52</v>
      </c>
      <c r="I101" s="2">
        <f>[1]!b_anal_yield_cnbd(I$1,$B101,1)</f>
        <v>2.52</v>
      </c>
      <c r="J101" s="2">
        <f>[1]!b_anal_yield_cnbd(J$1,$B101,1)</f>
        <v>2.5750000000000002</v>
      </c>
    </row>
    <row r="102" spans="2:10" x14ac:dyDescent="0.15">
      <c r="B102" s="1">
        <v>45243</v>
      </c>
      <c r="C102" s="3">
        <f t="shared" ca="1" si="5"/>
        <v>2.5150000000000001</v>
      </c>
      <c r="D102" s="3">
        <f t="shared" ca="1" si="6"/>
        <v>2.52325</v>
      </c>
      <c r="E102" s="2">
        <f ca="1">[1]!b_anal_yield_cnbd(E$1,$B102,1)</f>
        <v>2.5150000000000001</v>
      </c>
      <c r="F102" s="3">
        <f t="shared" ca="1" si="7"/>
        <v>2.52325</v>
      </c>
      <c r="G102" s="2">
        <f ca="1">[1]!b_anal_yield_cnbd(G$1,$B102,1)</f>
        <v>2.5150000000000001</v>
      </c>
      <c r="H102" s="2">
        <f>[1]!b_anal_yield_cnbd(H$1,$B102,1)</f>
        <v>2.5150000000000001</v>
      </c>
      <c r="I102" s="2">
        <f>[1]!b_anal_yield_cnbd(I$1,$B102,1)</f>
        <v>2.5150000000000001</v>
      </c>
      <c r="J102" s="2">
        <f>[1]!b_anal_yield_cnbd(J$1,$B102,1)</f>
        <v>2.57</v>
      </c>
    </row>
    <row r="103" spans="2:10" x14ac:dyDescent="0.15">
      <c r="B103" s="1">
        <v>45240</v>
      </c>
      <c r="C103" s="3">
        <f t="shared" ca="1" si="5"/>
        <v>2.5249999999999999</v>
      </c>
      <c r="D103" s="3">
        <f t="shared" ca="1" si="6"/>
        <v>2.5317499999999997</v>
      </c>
      <c r="E103" s="2">
        <f ca="1">[1]!b_anal_yield_cnbd(E$1,$B103,1)</f>
        <v>2.5249999999999999</v>
      </c>
      <c r="F103" s="3">
        <f t="shared" ca="1" si="7"/>
        <v>2.5317499999999997</v>
      </c>
      <c r="G103" s="2">
        <f ca="1">[1]!b_anal_yield_cnbd(G$1,$B103,1)</f>
        <v>2.5249999999999999</v>
      </c>
      <c r="H103" s="2">
        <f>[1]!b_anal_yield_cnbd(H$1,$B103,1)</f>
        <v>2.5249999999999999</v>
      </c>
      <c r="I103" s="2">
        <f>[1]!b_anal_yield_cnbd(I$1,$B103,1)</f>
        <v>2.5249999999999999</v>
      </c>
      <c r="J103" s="2">
        <f>[1]!b_anal_yield_cnbd(J$1,$B103,1)</f>
        <v>2.57</v>
      </c>
    </row>
    <row r="104" spans="2:10" x14ac:dyDescent="0.15">
      <c r="B104" s="1">
        <v>45239</v>
      </c>
      <c r="C104" s="3">
        <f t="shared" ca="1" si="5"/>
        <v>2.5325000000000002</v>
      </c>
      <c r="D104" s="3">
        <f t="shared" ca="1" si="6"/>
        <v>2.539625</v>
      </c>
      <c r="E104" s="2">
        <f ca="1">[1]!b_anal_yield_cnbd(E$1,$B104,1)</f>
        <v>2.5325000000000002</v>
      </c>
      <c r="F104" s="3">
        <f t="shared" ca="1" si="7"/>
        <v>2.539625</v>
      </c>
      <c r="G104" s="2">
        <f ca="1">[1]!b_anal_yield_cnbd(G$1,$B104,1)</f>
        <v>2.5325000000000002</v>
      </c>
      <c r="H104" s="2">
        <f>[1]!b_anal_yield_cnbd(H$1,$B104,1)</f>
        <v>2.5325000000000002</v>
      </c>
      <c r="I104" s="2">
        <f>[1]!b_anal_yield_cnbd(I$1,$B104,1)</f>
        <v>2.5325000000000002</v>
      </c>
      <c r="J104" s="2">
        <f>[1]!b_anal_yield_cnbd(J$1,$B104,1)</f>
        <v>2.58</v>
      </c>
    </row>
    <row r="105" spans="2:10" x14ac:dyDescent="0.15">
      <c r="B105" s="1">
        <v>45238</v>
      </c>
      <c r="C105" s="3">
        <f t="shared" ca="1" si="5"/>
        <v>2.5325000000000002</v>
      </c>
      <c r="D105" s="3">
        <f t="shared" ca="1" si="6"/>
        <v>2.539625</v>
      </c>
      <c r="E105" s="2">
        <f ca="1">[1]!b_anal_yield_cnbd(E$1,$B105,1)</f>
        <v>2.5325000000000002</v>
      </c>
      <c r="F105" s="3">
        <f t="shared" ca="1" si="7"/>
        <v>2.539625</v>
      </c>
      <c r="G105" s="2">
        <f ca="1">[1]!b_anal_yield_cnbd(G$1,$B105,1)</f>
        <v>2.5325000000000002</v>
      </c>
      <c r="H105" s="2">
        <f>[1]!b_anal_yield_cnbd(H$1,$B105,1)</f>
        <v>2.5325000000000002</v>
      </c>
      <c r="I105" s="2">
        <f>[1]!b_anal_yield_cnbd(I$1,$B105,1)</f>
        <v>2.5325000000000002</v>
      </c>
      <c r="J105" s="2">
        <f>[1]!b_anal_yield_cnbd(J$1,$B105,1)</f>
        <v>2.58</v>
      </c>
    </row>
    <row r="106" spans="2:10" x14ac:dyDescent="0.15">
      <c r="B106" s="1">
        <v>45237</v>
      </c>
      <c r="C106" s="3">
        <f t="shared" ca="1" si="5"/>
        <v>2.54</v>
      </c>
      <c r="D106" s="3">
        <f t="shared" ca="1" si="6"/>
        <v>2.5467499999999998</v>
      </c>
      <c r="E106" s="2">
        <f ca="1">[1]!b_anal_yield_cnbd(E$1,$B106,1)</f>
        <v>2.54</v>
      </c>
      <c r="F106" s="3">
        <f t="shared" ca="1" si="7"/>
        <v>2.5467499999999998</v>
      </c>
      <c r="G106" s="2">
        <f ca="1">[1]!b_anal_yield_cnbd(G$1,$B106,1)</f>
        <v>2.54</v>
      </c>
      <c r="H106" s="2">
        <f>[1]!b_anal_yield_cnbd(H$1,$B106,1)</f>
        <v>2.54</v>
      </c>
      <c r="I106" s="2">
        <f>[1]!b_anal_yield_cnbd(I$1,$B106,1)</f>
        <v>2.54</v>
      </c>
      <c r="J106" s="2">
        <f>[1]!b_anal_yield_cnbd(J$1,$B106,1)</f>
        <v>2.585</v>
      </c>
    </row>
    <row r="107" spans="2:10" x14ac:dyDescent="0.15">
      <c r="B107" s="1">
        <v>45236</v>
      </c>
      <c r="C107" s="3">
        <f t="shared" ca="1" si="5"/>
        <v>2.5299999999999998</v>
      </c>
      <c r="D107" s="3">
        <f t="shared" ca="1" si="6"/>
        <v>2.5375000000000001</v>
      </c>
      <c r="E107" s="2">
        <f ca="1">[1]!b_anal_yield_cnbd(E$1,$B107,1)</f>
        <v>2.5299999999999998</v>
      </c>
      <c r="F107" s="3">
        <f t="shared" ca="1" si="7"/>
        <v>2.5375000000000001</v>
      </c>
      <c r="G107" s="2">
        <f ca="1">[1]!b_anal_yield_cnbd(G$1,$B107,1)</f>
        <v>2.5299999999999998</v>
      </c>
      <c r="H107" s="2">
        <f>[1]!b_anal_yield_cnbd(H$1,$B107,1)</f>
        <v>2.5299999999999998</v>
      </c>
      <c r="I107" s="2">
        <f>[1]!b_anal_yield_cnbd(I$1,$B107,1)</f>
        <v>2.5299999999999998</v>
      </c>
      <c r="J107" s="2">
        <f>[1]!b_anal_yield_cnbd(J$1,$B107,1)</f>
        <v>2.58</v>
      </c>
    </row>
    <row r="108" spans="2:10" x14ac:dyDescent="0.15">
      <c r="B108" s="1">
        <v>45233</v>
      </c>
      <c r="C108" s="3">
        <f t="shared" ca="1" si="5"/>
        <v>2.5249999999999999</v>
      </c>
      <c r="D108" s="3">
        <f t="shared" ca="1" si="6"/>
        <v>2.5328749999999998</v>
      </c>
      <c r="E108" s="2">
        <f ca="1">[1]!b_anal_yield_cnbd(E$1,$B108,1)</f>
        <v>2.5249999999999999</v>
      </c>
      <c r="F108" s="3">
        <f t="shared" ca="1" si="7"/>
        <v>2.5328749999999998</v>
      </c>
      <c r="G108" s="2">
        <f ca="1">[1]!b_anal_yield_cnbd(G$1,$B108,1)</f>
        <v>2.5249999999999999</v>
      </c>
      <c r="H108" s="2">
        <f>[1]!b_anal_yield_cnbd(H$1,$B108,1)</f>
        <v>2.5249999999999999</v>
      </c>
      <c r="I108" s="2">
        <f>[1]!b_anal_yield_cnbd(I$1,$B108,1)</f>
        <v>2.5249999999999999</v>
      </c>
      <c r="J108" s="2">
        <f>[1]!b_anal_yield_cnbd(J$1,$B108,1)</f>
        <v>2.5775000000000001</v>
      </c>
    </row>
    <row r="109" spans="2:10" x14ac:dyDescent="0.15">
      <c r="B109" s="1">
        <v>45232</v>
      </c>
      <c r="C109" s="3">
        <f t="shared" ca="1" si="5"/>
        <v>2.5225</v>
      </c>
      <c r="D109" s="3">
        <f t="shared" ca="1" si="6"/>
        <v>2.5303749999999998</v>
      </c>
      <c r="E109" s="2">
        <f ca="1">[1]!b_anal_yield_cnbd(E$1,$B109,1)</f>
        <v>2.5225</v>
      </c>
      <c r="F109" s="3">
        <f t="shared" ca="1" si="7"/>
        <v>2.5303749999999998</v>
      </c>
      <c r="G109" s="2">
        <f ca="1">[1]!b_anal_yield_cnbd(G$1,$B109,1)</f>
        <v>2.5225</v>
      </c>
      <c r="H109" s="2">
        <f>[1]!b_anal_yield_cnbd(H$1,$B109,1)</f>
        <v>2.5225</v>
      </c>
      <c r="I109" s="2">
        <f>[1]!b_anal_yield_cnbd(I$1,$B109,1)</f>
        <v>2.5225</v>
      </c>
      <c r="J109" s="2">
        <f>[1]!b_anal_yield_cnbd(J$1,$B109,1)</f>
        <v>2.5750000000000002</v>
      </c>
    </row>
    <row r="110" spans="2:10" x14ac:dyDescent="0.15">
      <c r="B110" s="1">
        <v>45231</v>
      </c>
      <c r="C110" s="3">
        <f t="shared" ca="1" si="5"/>
        <v>2.54</v>
      </c>
      <c r="D110" s="3">
        <f t="shared" ca="1" si="6"/>
        <v>2.5489999999999999</v>
      </c>
      <c r="E110" s="2">
        <f ca="1">[1]!b_anal_yield_cnbd(E$1,$B110,1)</f>
        <v>2.54</v>
      </c>
      <c r="F110" s="3">
        <f t="shared" ca="1" si="7"/>
        <v>2.5489999999999999</v>
      </c>
      <c r="G110" s="2">
        <f ca="1">[1]!b_anal_yield_cnbd(G$1,$B110,1)</f>
        <v>2.54</v>
      </c>
      <c r="H110" s="2">
        <f>[1]!b_anal_yield_cnbd(H$1,$B110,1)</f>
        <v>2.54</v>
      </c>
      <c r="I110" s="2">
        <f>[1]!b_anal_yield_cnbd(I$1,$B110,1)</f>
        <v>2.54</v>
      </c>
      <c r="J110" s="2">
        <f>[1]!b_anal_yield_cnbd(J$1,$B110,1)</f>
        <v>2.6</v>
      </c>
    </row>
    <row r="111" spans="2:10" x14ac:dyDescent="0.15">
      <c r="B111" s="1">
        <v>45230</v>
      </c>
      <c r="C111" s="3">
        <f t="shared" ca="1" si="5"/>
        <v>2.54</v>
      </c>
      <c r="D111" s="3">
        <f t="shared" ca="1" si="6"/>
        <v>2.5489999999999999</v>
      </c>
      <c r="E111" s="2">
        <f ca="1">[1]!b_anal_yield_cnbd(E$1,$B111,1)</f>
        <v>2.54</v>
      </c>
      <c r="F111" s="3">
        <f t="shared" ca="1" si="7"/>
        <v>2.5489999999999999</v>
      </c>
      <c r="G111" s="2">
        <f ca="1">[1]!b_anal_yield_cnbd(G$1,$B111,1)</f>
        <v>2.54</v>
      </c>
      <c r="H111" s="2">
        <f>[1]!b_anal_yield_cnbd(H$1,$B111,1)</f>
        <v>2.54</v>
      </c>
      <c r="I111" s="2">
        <f>[1]!b_anal_yield_cnbd(I$1,$B111,1)</f>
        <v>2.54</v>
      </c>
      <c r="J111" s="2">
        <f>[1]!b_anal_yield_cnbd(J$1,$B111,1)</f>
        <v>2.6</v>
      </c>
    </row>
    <row r="112" spans="2:10" x14ac:dyDescent="0.15">
      <c r="B112" s="1">
        <v>45229</v>
      </c>
      <c r="C112" s="3">
        <f t="shared" ca="1" si="5"/>
        <v>2.5525000000000002</v>
      </c>
      <c r="D112" s="3">
        <f t="shared" ca="1" si="6"/>
        <v>2.5618750000000001</v>
      </c>
      <c r="E112" s="2">
        <f ca="1">[1]!b_anal_yield_cnbd(E$1,$B112,1)</f>
        <v>2.5525000000000002</v>
      </c>
      <c r="F112" s="3">
        <f t="shared" ca="1" si="7"/>
        <v>2.5618750000000001</v>
      </c>
      <c r="G112" s="2">
        <f ca="1">[1]!b_anal_yield_cnbd(G$1,$B112,1)</f>
        <v>2.5525000000000002</v>
      </c>
      <c r="H112" s="2">
        <f>[1]!b_anal_yield_cnbd(H$1,$B112,1)</f>
        <v>2.5525000000000002</v>
      </c>
      <c r="I112" s="2">
        <f>[1]!b_anal_yield_cnbd(I$1,$B112,1)</f>
        <v>2.5525000000000002</v>
      </c>
      <c r="J112" s="2">
        <f>[1]!b_anal_yield_cnbd(J$1,$B112,1)</f>
        <v>2.6150000000000002</v>
      </c>
    </row>
    <row r="113" spans="2:10" x14ac:dyDescent="0.15">
      <c r="B113" s="1">
        <v>45226</v>
      </c>
      <c r="C113" s="3">
        <f t="shared" ca="1" si="5"/>
        <v>2.56</v>
      </c>
      <c r="D113" s="3">
        <f t="shared" ca="1" si="6"/>
        <v>2.569</v>
      </c>
      <c r="E113" s="2">
        <f ca="1">[1]!b_anal_yield_cnbd(E$1,$B113,1)</f>
        <v>2.56</v>
      </c>
      <c r="F113" s="3">
        <f t="shared" ca="1" si="7"/>
        <v>2.569</v>
      </c>
      <c r="G113" s="2">
        <f ca="1">[1]!b_anal_yield_cnbd(G$1,$B113,1)</f>
        <v>2.56</v>
      </c>
      <c r="H113" s="2">
        <f>[1]!b_anal_yield_cnbd(H$1,$B113,1)</f>
        <v>2.56</v>
      </c>
      <c r="I113" s="2">
        <f>[1]!b_anal_yield_cnbd(I$1,$B113,1)</f>
        <v>2.56</v>
      </c>
      <c r="J113" s="2">
        <f>[1]!b_anal_yield_cnbd(J$1,$B113,1)</f>
        <v>2.62</v>
      </c>
    </row>
    <row r="114" spans="2:10" x14ac:dyDescent="0.15">
      <c r="B114" s="1">
        <v>45225</v>
      </c>
      <c r="C114" s="3">
        <f t="shared" ca="1" si="5"/>
        <v>2.5649999999999999</v>
      </c>
      <c r="D114" s="3">
        <f t="shared" ca="1" si="6"/>
        <v>2.5725000000000002</v>
      </c>
      <c r="E114" s="2">
        <f ca="1">[1]!b_anal_yield_cnbd(E$1,$B114,1)</f>
        <v>2.5649999999999999</v>
      </c>
      <c r="F114" s="3">
        <f t="shared" ca="1" si="7"/>
        <v>2.5725000000000002</v>
      </c>
      <c r="G114" s="2">
        <f ca="1">[1]!b_anal_yield_cnbd(G$1,$B114,1)</f>
        <v>2.5649999999999999</v>
      </c>
      <c r="H114" s="2">
        <f>[1]!b_anal_yield_cnbd(H$1,$B114,1)</f>
        <v>2.5649999999999999</v>
      </c>
      <c r="I114" s="2">
        <f>[1]!b_anal_yield_cnbd(I$1,$B114,1)</f>
        <v>2.5649999999999999</v>
      </c>
      <c r="J114" s="2">
        <f>[1]!b_anal_yield_cnbd(J$1,$B114,1)</f>
        <v>2.6150000000000002</v>
      </c>
    </row>
    <row r="115" spans="2:10" x14ac:dyDescent="0.15">
      <c r="B115" s="1">
        <v>45224</v>
      </c>
      <c r="C115" s="3">
        <f t="shared" ca="1" si="5"/>
        <v>2.57</v>
      </c>
      <c r="D115" s="3">
        <f t="shared" ca="1" si="6"/>
        <v>2.5774999999999997</v>
      </c>
      <c r="E115" s="2">
        <f ca="1">[1]!b_anal_yield_cnbd(E$1,$B115,1)</f>
        <v>2.57</v>
      </c>
      <c r="F115" s="3">
        <f t="shared" ca="1" si="7"/>
        <v>2.5774999999999997</v>
      </c>
      <c r="G115" s="2">
        <f ca="1">[1]!b_anal_yield_cnbd(G$1,$B115,1)</f>
        <v>2.57</v>
      </c>
      <c r="H115" s="2">
        <f>[1]!b_anal_yield_cnbd(H$1,$B115,1)</f>
        <v>2.57</v>
      </c>
      <c r="I115" s="2">
        <f>[1]!b_anal_yield_cnbd(I$1,$B115,1)</f>
        <v>2.57</v>
      </c>
      <c r="J115" s="2">
        <f>[1]!b_anal_yield_cnbd(J$1,$B115,1)</f>
        <v>2.62</v>
      </c>
    </row>
    <row r="116" spans="2:10" x14ac:dyDescent="0.15">
      <c r="B116" s="1">
        <v>45223</v>
      </c>
      <c r="C116" s="3">
        <f t="shared" ca="1" si="5"/>
        <v>2.6</v>
      </c>
      <c r="D116" s="3">
        <f t="shared" ca="1" si="6"/>
        <v>2.6074999999999999</v>
      </c>
      <c r="E116" s="2">
        <f ca="1">[1]!b_anal_yield_cnbd(E$1,$B116,1)</f>
        <v>2.6</v>
      </c>
      <c r="F116" s="3">
        <f t="shared" ca="1" si="7"/>
        <v>2.6074999999999999</v>
      </c>
      <c r="G116" s="2">
        <f ca="1">[1]!b_anal_yield_cnbd(G$1,$B116,1)</f>
        <v>2.6</v>
      </c>
      <c r="H116" s="2">
        <f>[1]!b_anal_yield_cnbd(H$1,$B116,1)</f>
        <v>2.6</v>
      </c>
      <c r="I116" s="2">
        <f>[1]!b_anal_yield_cnbd(I$1,$B116,1)</f>
        <v>2.6</v>
      </c>
      <c r="J116" s="2">
        <f>[1]!b_anal_yield_cnbd(J$1,$B116,1)</f>
        <v>2.65</v>
      </c>
    </row>
    <row r="117" spans="2:10" x14ac:dyDescent="0.15">
      <c r="B117" s="1">
        <v>45222</v>
      </c>
      <c r="C117" s="3">
        <f t="shared" ca="1" si="5"/>
        <v>2.59</v>
      </c>
      <c r="D117" s="3">
        <f t="shared" ca="1" si="6"/>
        <v>2.5974999999999997</v>
      </c>
      <c r="E117" s="2">
        <f ca="1">[1]!b_anal_yield_cnbd(E$1,$B117,1)</f>
        <v>2.59</v>
      </c>
      <c r="F117" s="3">
        <f t="shared" ca="1" si="7"/>
        <v>2.5974999999999997</v>
      </c>
      <c r="G117" s="2">
        <f ca="1">[1]!b_anal_yield_cnbd(G$1,$B117,1)</f>
        <v>2.59</v>
      </c>
      <c r="H117" s="2">
        <f>[1]!b_anal_yield_cnbd(H$1,$B117,1)</f>
        <v>2.59</v>
      </c>
      <c r="I117" s="2">
        <f>[1]!b_anal_yield_cnbd(I$1,$B117,1)</f>
        <v>2.59</v>
      </c>
      <c r="J117" s="2">
        <f>[1]!b_anal_yield_cnbd(J$1,$B117,1)</f>
        <v>2.64</v>
      </c>
    </row>
    <row r="118" spans="2:10" x14ac:dyDescent="0.15">
      <c r="B118" s="1">
        <v>45219</v>
      </c>
      <c r="C118" s="3">
        <f t="shared" ca="1" si="5"/>
        <v>2.6</v>
      </c>
      <c r="D118" s="3">
        <f t="shared" ca="1" si="6"/>
        <v>2.6074999999999999</v>
      </c>
      <c r="E118" s="2">
        <f ca="1">[1]!b_anal_yield_cnbd(E$1,$B118,1)</f>
        <v>2.6</v>
      </c>
      <c r="F118" s="3">
        <f t="shared" ca="1" si="7"/>
        <v>2.6074999999999999</v>
      </c>
      <c r="G118" s="2">
        <f ca="1">[1]!b_anal_yield_cnbd(G$1,$B118,1)</f>
        <v>2.6</v>
      </c>
      <c r="H118" s="2">
        <f>[1]!b_anal_yield_cnbd(H$1,$B118,1)</f>
        <v>2.6</v>
      </c>
      <c r="I118" s="2">
        <f>[1]!b_anal_yield_cnbd(I$1,$B118,1)</f>
        <v>2.6</v>
      </c>
      <c r="J118" s="2">
        <f>[1]!b_anal_yield_cnbd(J$1,$B118,1)</f>
        <v>2.65</v>
      </c>
    </row>
    <row r="119" spans="2:10" x14ac:dyDescent="0.15">
      <c r="B119" s="1">
        <v>45218</v>
      </c>
      <c r="C119" s="3">
        <f t="shared" ca="1" si="5"/>
        <v>2.625</v>
      </c>
      <c r="D119" s="3">
        <f t="shared" ca="1" si="6"/>
        <v>2.6317499999999998</v>
      </c>
      <c r="E119" s="2">
        <f ca="1">[1]!b_anal_yield_cnbd(E$1,$B119,1)</f>
        <v>2.625</v>
      </c>
      <c r="F119" s="3">
        <f t="shared" ca="1" si="7"/>
        <v>2.6317499999999998</v>
      </c>
      <c r="G119" s="2">
        <f ca="1">[1]!b_anal_yield_cnbd(G$1,$B119,1)</f>
        <v>2.625</v>
      </c>
      <c r="H119" s="2">
        <f>[1]!b_anal_yield_cnbd(H$1,$B119,1)</f>
        <v>2.625</v>
      </c>
      <c r="I119" s="2">
        <f>[1]!b_anal_yield_cnbd(I$1,$B119,1)</f>
        <v>2.625</v>
      </c>
      <c r="J119" s="2">
        <f>[1]!b_anal_yield_cnbd(J$1,$B119,1)</f>
        <v>2.67</v>
      </c>
    </row>
    <row r="120" spans="2:10" x14ac:dyDescent="0.15">
      <c r="B120" s="1">
        <v>45217</v>
      </c>
      <c r="C120" s="3">
        <f t="shared" ca="1" si="5"/>
        <v>2.59</v>
      </c>
      <c r="D120" s="3">
        <f t="shared" ca="1" si="6"/>
        <v>2.5963749999999997</v>
      </c>
      <c r="E120" s="2">
        <f ca="1">[1]!b_anal_yield_cnbd(E$1,$B120,1)</f>
        <v>2.59</v>
      </c>
      <c r="F120" s="3">
        <f t="shared" ca="1" si="7"/>
        <v>2.5963749999999997</v>
      </c>
      <c r="G120" s="2">
        <f ca="1">[1]!b_anal_yield_cnbd(G$1,$B120,1)</f>
        <v>2.59</v>
      </c>
      <c r="H120" s="2">
        <f>[1]!b_anal_yield_cnbd(H$1,$B120,1)</f>
        <v>2.59</v>
      </c>
      <c r="I120" s="2">
        <f>[1]!b_anal_yield_cnbd(I$1,$B120,1)</f>
        <v>2.59</v>
      </c>
      <c r="J120" s="2">
        <f>[1]!b_anal_yield_cnbd(J$1,$B120,1)</f>
        <v>2.6324999999999998</v>
      </c>
    </row>
    <row r="121" spans="2:10" x14ac:dyDescent="0.15">
      <c r="B121" s="1">
        <v>45216</v>
      </c>
      <c r="C121" s="3">
        <f t="shared" ca="1" si="5"/>
        <v>2.58</v>
      </c>
      <c r="D121" s="3">
        <f t="shared" ca="1" si="6"/>
        <v>2.587005</v>
      </c>
      <c r="E121" s="2">
        <f ca="1">[1]!b_anal_yield_cnbd(E$1,$B121,1)</f>
        <v>2.58</v>
      </c>
      <c r="F121" s="3">
        <f t="shared" ca="1" si="7"/>
        <v>2.587005</v>
      </c>
      <c r="G121" s="2">
        <f ca="1">[1]!b_anal_yield_cnbd(G$1,$B121,1)</f>
        <v>2.58</v>
      </c>
      <c r="H121" s="2">
        <f>[1]!b_anal_yield_cnbd(H$1,$B121,1)</f>
        <v>2.58</v>
      </c>
      <c r="I121" s="2">
        <f>[1]!b_anal_yield_cnbd(I$1,$B121,1)</f>
        <v>2.58</v>
      </c>
      <c r="J121" s="2">
        <f>[1]!b_anal_yield_cnbd(J$1,$B121,1)</f>
        <v>2.6267</v>
      </c>
    </row>
    <row r="122" spans="2:10" x14ac:dyDescent="0.15">
      <c r="B122" s="1">
        <v>45215</v>
      </c>
      <c r="C122" s="3">
        <f t="shared" ca="1" si="5"/>
        <v>2.5688</v>
      </c>
      <c r="D122" s="3">
        <f t="shared" ca="1" si="6"/>
        <v>2.5757300000000001</v>
      </c>
      <c r="E122" s="2">
        <f ca="1">[1]!b_anal_yield_cnbd(E$1,$B122,1)</f>
        <v>2.5688</v>
      </c>
      <c r="F122" s="3">
        <f t="shared" ca="1" si="7"/>
        <v>2.5757300000000001</v>
      </c>
      <c r="G122" s="2">
        <f ca="1">[1]!b_anal_yield_cnbd(G$1,$B122,1)</f>
        <v>2.5688</v>
      </c>
      <c r="H122" s="2">
        <f>[1]!b_anal_yield_cnbd(H$1,$B122,1)</f>
        <v>2.5688</v>
      </c>
      <c r="I122" s="2">
        <f>[1]!b_anal_yield_cnbd(I$1,$B122,1)</f>
        <v>2.5688</v>
      </c>
      <c r="J122" s="2">
        <f>[1]!b_anal_yield_cnbd(J$1,$B122,1)</f>
        <v>2.6150000000000002</v>
      </c>
    </row>
    <row r="123" spans="2:10" x14ac:dyDescent="0.15">
      <c r="B123" s="1">
        <v>45212</v>
      </c>
      <c r="C123" s="3">
        <f t="shared" ca="1" si="5"/>
        <v>2.56</v>
      </c>
      <c r="D123" s="3">
        <f t="shared" ca="1" si="6"/>
        <v>2.569</v>
      </c>
      <c r="E123" s="2">
        <f ca="1">[1]!b_anal_yield_cnbd(E$1,$B123,1)</f>
        <v>2.56</v>
      </c>
      <c r="F123" s="3">
        <f t="shared" ca="1" si="7"/>
        <v>2.569</v>
      </c>
      <c r="G123" s="2">
        <f ca="1">[1]!b_anal_yield_cnbd(G$1,$B123,1)</f>
        <v>2.56</v>
      </c>
      <c r="H123" s="2">
        <f>[1]!b_anal_yield_cnbd(H$1,$B123,1)</f>
        <v>2.56</v>
      </c>
      <c r="I123" s="2">
        <f>[1]!b_anal_yield_cnbd(I$1,$B123,1)</f>
        <v>2.56</v>
      </c>
      <c r="J123" s="2">
        <f>[1]!b_anal_yield_cnbd(J$1,$B123,1)</f>
        <v>2.62</v>
      </c>
    </row>
    <row r="124" spans="2:10" x14ac:dyDescent="0.15">
      <c r="B124" s="1">
        <v>45211</v>
      </c>
      <c r="C124" s="3">
        <f t="shared" ca="1" si="5"/>
        <v>2.57</v>
      </c>
      <c r="D124" s="3">
        <f t="shared" ca="1" si="6"/>
        <v>2.5789999999999997</v>
      </c>
      <c r="E124" s="2">
        <f ca="1">[1]!b_anal_yield_cnbd(E$1,$B124,1)</f>
        <v>2.57</v>
      </c>
      <c r="F124" s="3">
        <f t="shared" ca="1" si="7"/>
        <v>2.5789999999999997</v>
      </c>
      <c r="G124" s="2">
        <f ca="1">[1]!b_anal_yield_cnbd(G$1,$B124,1)</f>
        <v>2.57</v>
      </c>
      <c r="H124" s="2">
        <f>[1]!b_anal_yield_cnbd(H$1,$B124,1)</f>
        <v>2.57</v>
      </c>
      <c r="I124" s="2">
        <f>[1]!b_anal_yield_cnbd(I$1,$B124,1)</f>
        <v>2.57</v>
      </c>
      <c r="J124" s="2">
        <f>[1]!b_anal_yield_cnbd(J$1,$B124,1)</f>
        <v>2.63</v>
      </c>
    </row>
    <row r="125" spans="2:10" x14ac:dyDescent="0.15">
      <c r="B125" s="1">
        <v>45210</v>
      </c>
      <c r="C125" s="3">
        <f t="shared" ca="1" si="5"/>
        <v>2.58</v>
      </c>
      <c r="D125" s="3">
        <f t="shared" ca="1" si="6"/>
        <v>2.58813</v>
      </c>
      <c r="E125" s="2">
        <f ca="1">[1]!b_anal_yield_cnbd(E$1,$B125,1)</f>
        <v>2.58</v>
      </c>
      <c r="F125" s="3">
        <f t="shared" ca="1" si="7"/>
        <v>2.58813</v>
      </c>
      <c r="G125" s="2">
        <f ca="1">[1]!b_anal_yield_cnbd(G$1,$B125,1)</f>
        <v>2.58</v>
      </c>
      <c r="H125" s="2">
        <f>[1]!b_anal_yield_cnbd(H$1,$B125,1)</f>
        <v>2.58</v>
      </c>
      <c r="I125" s="2">
        <f>[1]!b_anal_yield_cnbd(I$1,$B125,1)</f>
        <v>2.58</v>
      </c>
      <c r="J125" s="2">
        <f>[1]!b_anal_yield_cnbd(J$1,$B125,1)</f>
        <v>2.6341999999999999</v>
      </c>
    </row>
    <row r="126" spans="2:10" x14ac:dyDescent="0.15">
      <c r="B126" s="1">
        <v>45209</v>
      </c>
      <c r="C126" s="3">
        <f t="shared" ca="1" si="5"/>
        <v>2.5499999999999998</v>
      </c>
      <c r="D126" s="3">
        <f t="shared" ca="1" si="6"/>
        <v>2.5571099999999993</v>
      </c>
      <c r="E126" s="2">
        <f ca="1">[1]!b_anal_yield_cnbd(E$1,$B126,1)</f>
        <v>2.5499999999999998</v>
      </c>
      <c r="F126" s="3">
        <f t="shared" ca="1" si="7"/>
        <v>2.5571099999999993</v>
      </c>
      <c r="G126" s="2">
        <f ca="1">[1]!b_anal_yield_cnbd(G$1,$B126,1)</f>
        <v>2.5499999999999998</v>
      </c>
      <c r="H126" s="2">
        <f>[1]!b_anal_yield_cnbd(H$1,$B126,1)</f>
        <v>2.5499999999999998</v>
      </c>
      <c r="I126" s="2">
        <f>[1]!b_anal_yield_cnbd(I$1,$B126,1)</f>
        <v>2.5499999999999998</v>
      </c>
      <c r="J126" s="2">
        <f>[1]!b_anal_yield_cnbd(J$1,$B126,1)</f>
        <v>2.5973999999999999</v>
      </c>
    </row>
    <row r="127" spans="2:10" x14ac:dyDescent="0.15">
      <c r="B127" s="1">
        <v>45208</v>
      </c>
      <c r="C127" s="3">
        <f t="shared" ca="1" si="5"/>
        <v>2.5350000000000001</v>
      </c>
      <c r="D127" s="3">
        <f t="shared" ca="1" si="6"/>
        <v>2.5425000000000004</v>
      </c>
      <c r="E127" s="2">
        <f ca="1">[1]!b_anal_yield_cnbd(E$1,$B127,1)</f>
        <v>2.5350000000000001</v>
      </c>
      <c r="F127" s="3">
        <f t="shared" ca="1" si="7"/>
        <v>2.5425000000000004</v>
      </c>
      <c r="G127" s="2">
        <f ca="1">[1]!b_anal_yield_cnbd(G$1,$B127,1)</f>
        <v>2.5350000000000001</v>
      </c>
      <c r="H127" s="2">
        <f>[1]!b_anal_yield_cnbd(H$1,$B127,1)</f>
        <v>2.5350000000000001</v>
      </c>
      <c r="I127" s="2">
        <f>[1]!b_anal_yield_cnbd(I$1,$B127,1)</f>
        <v>2.5350000000000001</v>
      </c>
      <c r="J127" s="2">
        <f>[1]!b_anal_yield_cnbd(J$1,$B127,1)</f>
        <v>2.585</v>
      </c>
    </row>
    <row r="128" spans="2:10" x14ac:dyDescent="0.15">
      <c r="B128" s="1">
        <v>45207</v>
      </c>
      <c r="C128" s="3">
        <f t="shared" ca="1" si="5"/>
        <v>2.5249999999999999</v>
      </c>
      <c r="D128" s="3">
        <f t="shared" ca="1" si="6"/>
        <v>2.5341199999999997</v>
      </c>
      <c r="E128" s="2">
        <f ca="1">[1]!b_anal_yield_cnbd(E$1,$B128,1)</f>
        <v>2.5249999999999999</v>
      </c>
      <c r="F128" s="3">
        <f t="shared" ca="1" si="7"/>
        <v>2.5341199999999997</v>
      </c>
      <c r="G128" s="2">
        <f ca="1">[1]!b_anal_yield_cnbd(G$1,$B128,1)</f>
        <v>2.5249999999999999</v>
      </c>
      <c r="H128" s="2">
        <f>[1]!b_anal_yield_cnbd(H$1,$B128,1)</f>
        <v>2.5249999999999999</v>
      </c>
      <c r="I128" s="2">
        <f>[1]!b_anal_yield_cnbd(I$1,$B128,1)</f>
        <v>2.5249999999999999</v>
      </c>
      <c r="J128" s="2">
        <f>[1]!b_anal_yield_cnbd(J$1,$B128,1)</f>
        <v>2.5857999999999999</v>
      </c>
    </row>
    <row r="129" spans="2:10" x14ac:dyDescent="0.15">
      <c r="B129" s="1">
        <v>45206</v>
      </c>
      <c r="C129" s="3">
        <f t="shared" ca="1" si="5"/>
        <v>2.5350000000000001</v>
      </c>
      <c r="D129" s="3">
        <f t="shared" ca="1" si="6"/>
        <v>2.5447500000000005</v>
      </c>
      <c r="E129" s="2">
        <f ca="1">[1]!b_anal_yield_cnbd(E$1,$B129,1)</f>
        <v>2.5350000000000001</v>
      </c>
      <c r="F129" s="3">
        <f t="shared" ca="1" si="7"/>
        <v>2.5447500000000005</v>
      </c>
      <c r="G129" s="2">
        <f ca="1">[1]!b_anal_yield_cnbd(G$1,$B129,1)</f>
        <v>2.5350000000000001</v>
      </c>
      <c r="H129" s="2">
        <f>[1]!b_anal_yield_cnbd(H$1,$B129,1)</f>
        <v>2.5350000000000001</v>
      </c>
      <c r="I129" s="2">
        <f>[1]!b_anal_yield_cnbd(I$1,$B129,1)</f>
        <v>2.5350000000000001</v>
      </c>
      <c r="J129" s="2">
        <f>[1]!b_anal_yield_cnbd(J$1,$B129,1)</f>
        <v>2.6</v>
      </c>
    </row>
    <row r="130" spans="2:10" x14ac:dyDescent="0.15">
      <c r="B130" s="1">
        <v>45197</v>
      </c>
      <c r="C130" s="3">
        <f t="shared" ca="1" si="5"/>
        <v>2.5350000000000001</v>
      </c>
      <c r="D130" s="3">
        <f t="shared" ca="1" si="6"/>
        <v>2.5447500000000005</v>
      </c>
      <c r="E130" s="2">
        <f ca="1">[1]!b_anal_yield_cnbd(E$1,$B130,1)</f>
        <v>2.5350000000000001</v>
      </c>
      <c r="F130" s="3">
        <f t="shared" ca="1" si="7"/>
        <v>2.5447500000000005</v>
      </c>
      <c r="G130" s="2">
        <f ca="1">[1]!b_anal_yield_cnbd(G$1,$B130,1)</f>
        <v>2.5350000000000001</v>
      </c>
      <c r="H130" s="2">
        <f>[1]!b_anal_yield_cnbd(H$1,$B130,1)</f>
        <v>2.5350000000000001</v>
      </c>
      <c r="I130" s="2">
        <f>[1]!b_anal_yield_cnbd(I$1,$B130,1)</f>
        <v>2.5350000000000001</v>
      </c>
      <c r="J130" s="2">
        <f>[1]!b_anal_yield_cnbd(J$1,$B130,1)</f>
        <v>2.6</v>
      </c>
    </row>
    <row r="131" spans="2:10" x14ac:dyDescent="0.15">
      <c r="B131" s="1">
        <v>45196</v>
      </c>
      <c r="C131" s="3">
        <f t="shared" ref="C131:C194" ca="1" si="8">IF(E131&lt;&gt;0,IF(F131&lt;&gt;0,E131,0),0)</f>
        <v>2.5375000000000001</v>
      </c>
      <c r="D131" s="3">
        <f t="shared" ref="D131:D194" ca="1" si="9">IF(E131&lt;&gt;0,IF(F131&lt;&gt;0,F131,0),0)</f>
        <v>2.5491250000000005</v>
      </c>
      <c r="E131" s="2">
        <f ca="1">[1]!b_anal_yield_cnbd(E$1,$B131,1)</f>
        <v>2.5375000000000001</v>
      </c>
      <c r="F131" s="3">
        <f t="shared" ref="F131:F194" ca="1" si="10">SUMPRODUCT(G131:J131,$N$1:$Q$1)</f>
        <v>2.5491250000000005</v>
      </c>
      <c r="G131" s="2">
        <f ca="1">[1]!b_anal_yield_cnbd(G$1,$B131,1)</f>
        <v>2.5375000000000001</v>
      </c>
      <c r="H131" s="2">
        <f>[1]!b_anal_yield_cnbd(H$1,$B131,1)</f>
        <v>2.5375000000000001</v>
      </c>
      <c r="I131" s="2">
        <f>[1]!b_anal_yield_cnbd(I$1,$B131,1)</f>
        <v>2.5375000000000001</v>
      </c>
      <c r="J131" s="2">
        <f>[1]!b_anal_yield_cnbd(J$1,$B131,1)</f>
        <v>2.6150000000000002</v>
      </c>
    </row>
    <row r="132" spans="2:10" x14ac:dyDescent="0.15">
      <c r="B132" s="1">
        <v>45195</v>
      </c>
      <c r="C132" s="3">
        <f t="shared" ca="1" si="8"/>
        <v>2.54</v>
      </c>
      <c r="D132" s="3">
        <f t="shared" ca="1" si="9"/>
        <v>2.5504999999999995</v>
      </c>
      <c r="E132" s="2">
        <f ca="1">[1]!b_anal_yield_cnbd(E$1,$B132,1)</f>
        <v>2.54</v>
      </c>
      <c r="F132" s="3">
        <f t="shared" ca="1" si="10"/>
        <v>2.5504999999999995</v>
      </c>
      <c r="G132" s="2">
        <f ca="1">[1]!b_anal_yield_cnbd(G$1,$B132,1)</f>
        <v>2.54</v>
      </c>
      <c r="H132" s="2">
        <f>[1]!b_anal_yield_cnbd(H$1,$B132,1)</f>
        <v>2.54</v>
      </c>
      <c r="I132" s="2">
        <f>[1]!b_anal_yield_cnbd(I$1,$B132,1)</f>
        <v>2.54</v>
      </c>
      <c r="J132" s="2">
        <f>[1]!b_anal_yield_cnbd(J$1,$B132,1)</f>
        <v>2.61</v>
      </c>
    </row>
    <row r="133" spans="2:10" x14ac:dyDescent="0.15">
      <c r="B133" s="1">
        <v>45194</v>
      </c>
      <c r="C133" s="3">
        <f t="shared" ca="1" si="8"/>
        <v>2.5350000000000001</v>
      </c>
      <c r="D133" s="3">
        <f t="shared" ca="1" si="9"/>
        <v>2.5457400000000003</v>
      </c>
      <c r="E133" s="2">
        <f ca="1">[1]!b_anal_yield_cnbd(E$1,$B133,1)</f>
        <v>2.5350000000000001</v>
      </c>
      <c r="F133" s="3">
        <f t="shared" ca="1" si="10"/>
        <v>2.5457400000000003</v>
      </c>
      <c r="G133" s="2">
        <f ca="1">[1]!b_anal_yield_cnbd(G$1,$B133,1)</f>
        <v>2.5350000000000001</v>
      </c>
      <c r="H133" s="2">
        <f>[1]!b_anal_yield_cnbd(H$1,$B133,1)</f>
        <v>2.5350000000000001</v>
      </c>
      <c r="I133" s="2">
        <f>[1]!b_anal_yield_cnbd(I$1,$B133,1)</f>
        <v>2.5350000000000001</v>
      </c>
      <c r="J133" s="2">
        <f>[1]!b_anal_yield_cnbd(J$1,$B133,1)</f>
        <v>2.6065999999999998</v>
      </c>
    </row>
    <row r="134" spans="2:10" x14ac:dyDescent="0.15">
      <c r="B134" s="1">
        <v>45191</v>
      </c>
      <c r="C134" s="3">
        <f t="shared" ca="1" si="8"/>
        <v>2.52</v>
      </c>
      <c r="D134" s="3">
        <f t="shared" ca="1" si="9"/>
        <v>2.5297499999999999</v>
      </c>
      <c r="E134" s="2">
        <f ca="1">[1]!b_anal_yield_cnbd(E$1,$B134,1)</f>
        <v>2.52</v>
      </c>
      <c r="F134" s="3">
        <f t="shared" ca="1" si="10"/>
        <v>2.5297499999999999</v>
      </c>
      <c r="G134" s="2">
        <f ca="1">[1]!b_anal_yield_cnbd(G$1,$B134,1)</f>
        <v>2.52</v>
      </c>
      <c r="H134" s="2">
        <f>[1]!b_anal_yield_cnbd(H$1,$B134,1)</f>
        <v>2.52</v>
      </c>
      <c r="I134" s="2">
        <f>[1]!b_anal_yield_cnbd(I$1,$B134,1)</f>
        <v>2.52</v>
      </c>
      <c r="J134" s="2">
        <f>[1]!b_anal_yield_cnbd(J$1,$B134,1)</f>
        <v>2.585</v>
      </c>
    </row>
    <row r="135" spans="2:10" x14ac:dyDescent="0.15">
      <c r="B135" s="1">
        <v>45190</v>
      </c>
      <c r="C135" s="3">
        <f t="shared" ca="1" si="8"/>
        <v>2.5150000000000001</v>
      </c>
      <c r="D135" s="3">
        <f t="shared" ca="1" si="9"/>
        <v>2.52325</v>
      </c>
      <c r="E135" s="2">
        <f ca="1">[1]!b_anal_yield_cnbd(E$1,$B135,1)</f>
        <v>2.5150000000000001</v>
      </c>
      <c r="F135" s="3">
        <f t="shared" ca="1" si="10"/>
        <v>2.52325</v>
      </c>
      <c r="G135" s="2">
        <f ca="1">[1]!b_anal_yield_cnbd(G$1,$B135,1)</f>
        <v>2.5150000000000001</v>
      </c>
      <c r="H135" s="2">
        <f>[1]!b_anal_yield_cnbd(H$1,$B135,1)</f>
        <v>2.5150000000000001</v>
      </c>
      <c r="I135" s="2">
        <f>[1]!b_anal_yield_cnbd(I$1,$B135,1)</f>
        <v>2.5150000000000001</v>
      </c>
      <c r="J135" s="2">
        <f>[1]!b_anal_yield_cnbd(J$1,$B135,1)</f>
        <v>2.57</v>
      </c>
    </row>
    <row r="136" spans="2:10" x14ac:dyDescent="0.15">
      <c r="B136" s="1">
        <v>45189</v>
      </c>
      <c r="C136" s="3">
        <f t="shared" ca="1" si="8"/>
        <v>2.5350000000000001</v>
      </c>
      <c r="D136" s="3">
        <f t="shared" ca="1" si="9"/>
        <v>2.5421100000000005</v>
      </c>
      <c r="E136" s="2">
        <f ca="1">[1]!b_anal_yield_cnbd(E$1,$B136,1)</f>
        <v>2.5350000000000001</v>
      </c>
      <c r="F136" s="3">
        <f t="shared" ca="1" si="10"/>
        <v>2.5421100000000005</v>
      </c>
      <c r="G136" s="2">
        <f ca="1">[1]!b_anal_yield_cnbd(G$1,$B136,1)</f>
        <v>2.5350000000000001</v>
      </c>
      <c r="H136" s="2">
        <f>[1]!b_anal_yield_cnbd(H$1,$B136,1)</f>
        <v>2.5350000000000001</v>
      </c>
      <c r="I136" s="2">
        <f>[1]!b_anal_yield_cnbd(I$1,$B136,1)</f>
        <v>2.5350000000000001</v>
      </c>
      <c r="J136" s="2">
        <f>[1]!b_anal_yield_cnbd(J$1,$B136,1)</f>
        <v>2.5823999999999998</v>
      </c>
    </row>
    <row r="137" spans="2:10" x14ac:dyDescent="0.15">
      <c r="B137" s="1">
        <v>45188</v>
      </c>
      <c r="C137" s="3">
        <f t="shared" ca="1" si="8"/>
        <v>2.54</v>
      </c>
      <c r="D137" s="3">
        <f t="shared" ca="1" si="9"/>
        <v>2.5459999999999998</v>
      </c>
      <c r="E137" s="2">
        <f ca="1">[1]!b_anal_yield_cnbd(E$1,$B137,1)</f>
        <v>2.54</v>
      </c>
      <c r="F137" s="3">
        <f t="shared" ca="1" si="10"/>
        <v>2.5459999999999998</v>
      </c>
      <c r="G137" s="2">
        <f ca="1">[1]!b_anal_yield_cnbd(G$1,$B137,1)</f>
        <v>2.54</v>
      </c>
      <c r="H137" s="2">
        <f>[1]!b_anal_yield_cnbd(H$1,$B137,1)</f>
        <v>2.54</v>
      </c>
      <c r="I137" s="2">
        <f>[1]!b_anal_yield_cnbd(I$1,$B137,1)</f>
        <v>2.54</v>
      </c>
      <c r="J137" s="2">
        <f>[1]!b_anal_yield_cnbd(J$1,$B137,1)</f>
        <v>2.58</v>
      </c>
    </row>
    <row r="138" spans="2:10" x14ac:dyDescent="0.15">
      <c r="B138" s="1">
        <v>45187</v>
      </c>
      <c r="C138" s="3">
        <f t="shared" ca="1" si="8"/>
        <v>2.5261999999999998</v>
      </c>
      <c r="D138" s="3">
        <f t="shared" ca="1" si="9"/>
        <v>2.5331449999999998</v>
      </c>
      <c r="E138" s="2">
        <f ca="1">[1]!b_anal_yield_cnbd(E$1,$B138,1)</f>
        <v>2.5261999999999998</v>
      </c>
      <c r="F138" s="3">
        <f t="shared" ca="1" si="10"/>
        <v>2.5331449999999998</v>
      </c>
      <c r="G138" s="2">
        <f ca="1">[1]!b_anal_yield_cnbd(G$1,$B138,1)</f>
        <v>2.5261999999999998</v>
      </c>
      <c r="H138" s="2">
        <f>[1]!b_anal_yield_cnbd(H$1,$B138,1)</f>
        <v>2.5261999999999998</v>
      </c>
      <c r="I138" s="2">
        <f>[1]!b_anal_yield_cnbd(I$1,$B138,1)</f>
        <v>2.5261999999999998</v>
      </c>
      <c r="J138" s="2">
        <f>[1]!b_anal_yield_cnbd(J$1,$B138,1)</f>
        <v>2.5724999999999998</v>
      </c>
    </row>
    <row r="139" spans="2:10" x14ac:dyDescent="0.15">
      <c r="B139" s="1">
        <v>45184</v>
      </c>
      <c r="C139" s="3">
        <f t="shared" ca="1" si="8"/>
        <v>2.5</v>
      </c>
      <c r="D139" s="3">
        <f t="shared" ca="1" si="9"/>
        <v>2.5074999999999998</v>
      </c>
      <c r="E139" s="2">
        <f ca="1">[1]!b_anal_yield_cnbd(E$1,$B139,1)</f>
        <v>2.5</v>
      </c>
      <c r="F139" s="3">
        <f t="shared" ca="1" si="10"/>
        <v>2.5074999999999998</v>
      </c>
      <c r="G139" s="2">
        <f ca="1">[1]!b_anal_yield_cnbd(G$1,$B139,1)</f>
        <v>2.5</v>
      </c>
      <c r="H139" s="2">
        <f>[1]!b_anal_yield_cnbd(H$1,$B139,1)</f>
        <v>2.5</v>
      </c>
      <c r="I139" s="2">
        <f>[1]!b_anal_yield_cnbd(I$1,$B139,1)</f>
        <v>2.5</v>
      </c>
      <c r="J139" s="2">
        <f>[1]!b_anal_yield_cnbd(J$1,$B139,1)</f>
        <v>2.5499999999999998</v>
      </c>
    </row>
    <row r="140" spans="2:10" x14ac:dyDescent="0.15">
      <c r="B140" s="1">
        <v>45183</v>
      </c>
      <c r="C140" s="3">
        <f t="shared" ca="1" si="8"/>
        <v>2.48</v>
      </c>
      <c r="D140" s="3">
        <f t="shared" ca="1" si="9"/>
        <v>2.4874999999999998</v>
      </c>
      <c r="E140" s="2">
        <f ca="1">[1]!b_anal_yield_cnbd(E$1,$B140,1)</f>
        <v>2.48</v>
      </c>
      <c r="F140" s="3">
        <f t="shared" ca="1" si="10"/>
        <v>2.4874999999999998</v>
      </c>
      <c r="G140" s="2">
        <f ca="1">[1]!b_anal_yield_cnbd(G$1,$B140,1)</f>
        <v>2.48</v>
      </c>
      <c r="H140" s="2">
        <f>[1]!b_anal_yield_cnbd(H$1,$B140,1)</f>
        <v>2.48</v>
      </c>
      <c r="I140" s="2">
        <f>[1]!b_anal_yield_cnbd(I$1,$B140,1)</f>
        <v>2.48</v>
      </c>
      <c r="J140" s="2">
        <f>[1]!b_anal_yield_cnbd(J$1,$B140,1)</f>
        <v>2.5299999999999998</v>
      </c>
    </row>
    <row r="141" spans="2:10" x14ac:dyDescent="0.15">
      <c r="B141" s="1">
        <v>45182</v>
      </c>
      <c r="C141" s="3">
        <f t="shared" ca="1" si="8"/>
        <v>2.4849999999999999</v>
      </c>
      <c r="D141" s="3">
        <f t="shared" ca="1" si="9"/>
        <v>2.4925000000000002</v>
      </c>
      <c r="E141" s="2">
        <f ca="1">[1]!b_anal_yield_cnbd(E$1,$B141,1)</f>
        <v>2.4849999999999999</v>
      </c>
      <c r="F141" s="3">
        <f t="shared" ca="1" si="10"/>
        <v>2.4925000000000002</v>
      </c>
      <c r="G141" s="2">
        <f ca="1">[1]!b_anal_yield_cnbd(G$1,$B141,1)</f>
        <v>2.4849999999999999</v>
      </c>
      <c r="H141" s="2">
        <f>[1]!b_anal_yield_cnbd(H$1,$B141,1)</f>
        <v>2.4849999999999999</v>
      </c>
      <c r="I141" s="2">
        <f>[1]!b_anal_yield_cnbd(I$1,$B141,1)</f>
        <v>2.4849999999999999</v>
      </c>
      <c r="J141" s="2">
        <f>[1]!b_anal_yield_cnbd(J$1,$B141,1)</f>
        <v>2.5350000000000001</v>
      </c>
    </row>
    <row r="142" spans="2:10" x14ac:dyDescent="0.15">
      <c r="B142" s="1">
        <v>45181</v>
      </c>
      <c r="C142" s="3">
        <f t="shared" ca="1" si="8"/>
        <v>2.4975000000000001</v>
      </c>
      <c r="D142" s="3">
        <f t="shared" ca="1" si="9"/>
        <v>2.5053749999999999</v>
      </c>
      <c r="E142" s="2">
        <f ca="1">[1]!b_anal_yield_cnbd(E$1,$B142,1)</f>
        <v>2.4975000000000001</v>
      </c>
      <c r="F142" s="3">
        <f t="shared" ca="1" si="10"/>
        <v>2.5053749999999999</v>
      </c>
      <c r="G142" s="2">
        <f ca="1">[1]!b_anal_yield_cnbd(G$1,$B142,1)</f>
        <v>2.4975000000000001</v>
      </c>
      <c r="H142" s="2">
        <f>[1]!b_anal_yield_cnbd(H$1,$B142,1)</f>
        <v>2.4975000000000001</v>
      </c>
      <c r="I142" s="2">
        <f>[1]!b_anal_yield_cnbd(I$1,$B142,1)</f>
        <v>2.4975000000000001</v>
      </c>
      <c r="J142" s="2">
        <f>[1]!b_anal_yield_cnbd(J$1,$B142,1)</f>
        <v>2.5499999999999998</v>
      </c>
    </row>
    <row r="143" spans="2:10" x14ac:dyDescent="0.15">
      <c r="B143" s="1">
        <v>45180</v>
      </c>
      <c r="C143" s="3">
        <f t="shared" ca="1" si="8"/>
        <v>2.5049999999999999</v>
      </c>
      <c r="D143" s="3">
        <f t="shared" ca="1" si="9"/>
        <v>2.5137299999999998</v>
      </c>
      <c r="E143" s="2">
        <f ca="1">[1]!b_anal_yield_cnbd(E$1,$B143,1)</f>
        <v>2.5049999999999999</v>
      </c>
      <c r="F143" s="3">
        <f t="shared" ca="1" si="10"/>
        <v>2.5137299999999998</v>
      </c>
      <c r="G143" s="2">
        <f ca="1">[1]!b_anal_yield_cnbd(G$1,$B143,1)</f>
        <v>2.5049999999999999</v>
      </c>
      <c r="H143" s="2">
        <f>[1]!b_anal_yield_cnbd(H$1,$B143,1)</f>
        <v>2.5049999999999999</v>
      </c>
      <c r="I143" s="2">
        <f>[1]!b_anal_yield_cnbd(I$1,$B143,1)</f>
        <v>2.5049999999999999</v>
      </c>
      <c r="J143" s="2">
        <f>[1]!b_anal_yield_cnbd(J$1,$B143,1)</f>
        <v>2.5632000000000001</v>
      </c>
    </row>
    <row r="144" spans="2:10" x14ac:dyDescent="0.15">
      <c r="B144" s="1">
        <v>45177</v>
      </c>
      <c r="C144" s="3">
        <f t="shared" ca="1" si="8"/>
        <v>2.5087000000000002</v>
      </c>
      <c r="D144" s="3">
        <f t="shared" ca="1" si="9"/>
        <v>2.5156449999999997</v>
      </c>
      <c r="E144" s="2">
        <f ca="1">[1]!b_anal_yield_cnbd(E$1,$B144,1)</f>
        <v>2.5087000000000002</v>
      </c>
      <c r="F144" s="3">
        <f t="shared" ca="1" si="10"/>
        <v>2.5156449999999997</v>
      </c>
      <c r="G144" s="2">
        <f ca="1">[1]!b_anal_yield_cnbd(G$1,$B144,1)</f>
        <v>2.5087000000000002</v>
      </c>
      <c r="H144" s="2">
        <f>[1]!b_anal_yield_cnbd(H$1,$B144,1)</f>
        <v>2.5087000000000002</v>
      </c>
      <c r="I144" s="2">
        <f>[1]!b_anal_yield_cnbd(I$1,$B144,1)</f>
        <v>2.5087000000000002</v>
      </c>
      <c r="J144" s="2">
        <f>[1]!b_anal_yield_cnbd(J$1,$B144,1)</f>
        <v>2.5550000000000002</v>
      </c>
    </row>
    <row r="145" spans="2:10" x14ac:dyDescent="0.15">
      <c r="B145" s="1">
        <v>45176</v>
      </c>
      <c r="C145" s="3">
        <f t="shared" ca="1" si="8"/>
        <v>2.5148000000000001</v>
      </c>
      <c r="D145" s="3">
        <f t="shared" ca="1" si="9"/>
        <v>2.5215049999999999</v>
      </c>
      <c r="E145" s="2">
        <f ca="1">[1]!b_anal_yield_cnbd(E$1,$B145,1)</f>
        <v>2.5148000000000001</v>
      </c>
      <c r="F145" s="3">
        <f t="shared" ca="1" si="10"/>
        <v>2.5215049999999999</v>
      </c>
      <c r="G145" s="2">
        <f ca="1">[1]!b_anal_yield_cnbd(G$1,$B145,1)</f>
        <v>2.5148000000000001</v>
      </c>
      <c r="H145" s="2">
        <f>[1]!b_anal_yield_cnbd(H$1,$B145,1)</f>
        <v>2.5148000000000001</v>
      </c>
      <c r="I145" s="2">
        <f>[1]!b_anal_yield_cnbd(I$1,$B145,1)</f>
        <v>2.5148000000000001</v>
      </c>
      <c r="J145" s="2">
        <f>[1]!b_anal_yield_cnbd(J$1,$B145,1)</f>
        <v>2.5594999999999999</v>
      </c>
    </row>
    <row r="146" spans="2:10" x14ac:dyDescent="0.15">
      <c r="B146" s="1">
        <v>45175</v>
      </c>
      <c r="C146" s="3">
        <f t="shared" ca="1" si="8"/>
        <v>2.5</v>
      </c>
      <c r="D146" s="3">
        <f t="shared" ca="1" si="9"/>
        <v>2.5074700000000001</v>
      </c>
      <c r="E146" s="2">
        <f ca="1">[1]!b_anal_yield_cnbd(E$1,$B146,1)</f>
        <v>2.5</v>
      </c>
      <c r="F146" s="3">
        <f t="shared" ca="1" si="10"/>
        <v>2.5074700000000001</v>
      </c>
      <c r="G146" s="2">
        <f ca="1">[1]!b_anal_yield_cnbd(G$1,$B146,1)</f>
        <v>2.5</v>
      </c>
      <c r="H146" s="2">
        <f>[1]!b_anal_yield_cnbd(H$1,$B146,1)</f>
        <v>2.5</v>
      </c>
      <c r="I146" s="2">
        <f>[1]!b_anal_yield_cnbd(I$1,$B146,1)</f>
        <v>2.5</v>
      </c>
      <c r="J146" s="2">
        <f>[1]!b_anal_yield_cnbd(J$1,$B146,1)</f>
        <v>2.5497999999999998</v>
      </c>
    </row>
    <row r="147" spans="2:10" x14ac:dyDescent="0.15">
      <c r="B147" s="1">
        <v>45174</v>
      </c>
      <c r="C147" s="3">
        <f t="shared" ca="1" si="8"/>
        <v>2.48</v>
      </c>
      <c r="D147" s="3">
        <f t="shared" ca="1" si="9"/>
        <v>2.4874700000000001</v>
      </c>
      <c r="E147" s="2">
        <f ca="1">[1]!b_anal_yield_cnbd(E$1,$B147,1)</f>
        <v>2.48</v>
      </c>
      <c r="F147" s="3">
        <f t="shared" ca="1" si="10"/>
        <v>2.4874700000000001</v>
      </c>
      <c r="G147" s="2">
        <f ca="1">[1]!b_anal_yield_cnbd(G$1,$B147,1)</f>
        <v>2.48</v>
      </c>
      <c r="H147" s="2">
        <f>[1]!b_anal_yield_cnbd(H$1,$B147,1)</f>
        <v>2.48</v>
      </c>
      <c r="I147" s="2">
        <f>[1]!b_anal_yield_cnbd(I$1,$B147,1)</f>
        <v>2.48</v>
      </c>
      <c r="J147" s="2">
        <f>[1]!b_anal_yield_cnbd(J$1,$B147,1)</f>
        <v>2.5297999999999998</v>
      </c>
    </row>
    <row r="148" spans="2:10" x14ac:dyDescent="0.15">
      <c r="B148" s="1">
        <v>45173</v>
      </c>
      <c r="C148" s="3">
        <f t="shared" ca="1" si="8"/>
        <v>2.4900000000000002</v>
      </c>
      <c r="D148" s="3">
        <f t="shared" ca="1" si="9"/>
        <v>2.4967350000000001</v>
      </c>
      <c r="E148" s="2">
        <f ca="1">[1]!b_anal_yield_cnbd(E$1,$B148,1)</f>
        <v>2.4900000000000002</v>
      </c>
      <c r="F148" s="3">
        <f t="shared" ca="1" si="10"/>
        <v>2.4967350000000001</v>
      </c>
      <c r="G148" s="2">
        <f ca="1">[1]!b_anal_yield_cnbd(G$1,$B148,1)</f>
        <v>2.4900000000000002</v>
      </c>
      <c r="H148" s="2">
        <f>[1]!b_anal_yield_cnbd(H$1,$B148,1)</f>
        <v>2.4900000000000002</v>
      </c>
      <c r="I148" s="2">
        <f>[1]!b_anal_yield_cnbd(I$1,$B148,1)</f>
        <v>2.4900000000000002</v>
      </c>
      <c r="J148" s="2">
        <f>[1]!b_anal_yield_cnbd(J$1,$B148,1)</f>
        <v>2.5348999999999999</v>
      </c>
    </row>
    <row r="149" spans="2:10" x14ac:dyDescent="0.15">
      <c r="B149" s="1">
        <v>45170</v>
      </c>
      <c r="C149" s="3">
        <f t="shared" ca="1" si="8"/>
        <v>2.4596</v>
      </c>
      <c r="D149" s="3">
        <f t="shared" ca="1" si="9"/>
        <v>2.4655849999999999</v>
      </c>
      <c r="E149" s="2">
        <f ca="1">[1]!b_anal_yield_cnbd(E$1,$B149,1)</f>
        <v>2.4596</v>
      </c>
      <c r="F149" s="3">
        <f t="shared" ca="1" si="10"/>
        <v>2.4655849999999999</v>
      </c>
      <c r="G149" s="2">
        <f ca="1">[1]!b_anal_yield_cnbd(G$1,$B149,1)</f>
        <v>2.4596</v>
      </c>
      <c r="H149" s="2">
        <f>[1]!b_anal_yield_cnbd(H$1,$B149,1)</f>
        <v>2.4596</v>
      </c>
      <c r="I149" s="2">
        <f>[1]!b_anal_yield_cnbd(I$1,$B149,1)</f>
        <v>2.4596</v>
      </c>
      <c r="J149" s="2">
        <f>[1]!b_anal_yield_cnbd(J$1,$B149,1)</f>
        <v>2.4994999999999998</v>
      </c>
    </row>
    <row r="150" spans="2:10" x14ac:dyDescent="0.15">
      <c r="B150" s="1">
        <v>45169</v>
      </c>
      <c r="C150" s="3">
        <f t="shared" ca="1" si="8"/>
        <v>2.4306000000000001</v>
      </c>
      <c r="D150" s="3">
        <f t="shared" ca="1" si="9"/>
        <v>2.4368550000000004</v>
      </c>
      <c r="E150" s="2">
        <f ca="1">[1]!b_anal_yield_cnbd(E$1,$B150,1)</f>
        <v>2.4306000000000001</v>
      </c>
      <c r="F150" s="3">
        <f t="shared" ca="1" si="10"/>
        <v>2.4368550000000004</v>
      </c>
      <c r="G150" s="2">
        <f ca="1">[1]!b_anal_yield_cnbd(G$1,$B150,1)</f>
        <v>2.4306000000000001</v>
      </c>
      <c r="H150" s="2">
        <f>[1]!b_anal_yield_cnbd(H$1,$B150,1)</f>
        <v>2.4306000000000001</v>
      </c>
      <c r="I150" s="2">
        <f>[1]!b_anal_yield_cnbd(I$1,$B150,1)</f>
        <v>2.4306000000000001</v>
      </c>
      <c r="J150" s="2">
        <f>[1]!b_anal_yield_cnbd(J$1,$B150,1)</f>
        <v>2.4723000000000002</v>
      </c>
    </row>
    <row r="151" spans="2:10" x14ac:dyDescent="0.15">
      <c r="B151" s="1">
        <v>45168</v>
      </c>
      <c r="C151" s="3">
        <f t="shared" ca="1" si="8"/>
        <v>2.4300000000000002</v>
      </c>
      <c r="D151" s="3">
        <f t="shared" ca="1" si="9"/>
        <v>2.4374700000000002</v>
      </c>
      <c r="E151" s="2">
        <f ca="1">[1]!b_anal_yield_cnbd(E$1,$B151,1)</f>
        <v>2.4300000000000002</v>
      </c>
      <c r="F151" s="3">
        <f t="shared" ca="1" si="10"/>
        <v>2.4374700000000002</v>
      </c>
      <c r="G151" s="2">
        <f ca="1">[1]!b_anal_yield_cnbd(G$1,$B151,1)</f>
        <v>2.4300000000000002</v>
      </c>
      <c r="H151" s="2">
        <f>[1]!b_anal_yield_cnbd(H$1,$B151,1)</f>
        <v>2.4300000000000002</v>
      </c>
      <c r="I151" s="2">
        <f>[1]!b_anal_yield_cnbd(I$1,$B151,1)</f>
        <v>2.4300000000000002</v>
      </c>
      <c r="J151" s="2">
        <f>[1]!b_anal_yield_cnbd(J$1,$B151,1)</f>
        <v>2.4798</v>
      </c>
    </row>
    <row r="152" spans="2:10" x14ac:dyDescent="0.15">
      <c r="B152" s="1">
        <v>45167</v>
      </c>
      <c r="C152" s="3">
        <f t="shared" ca="1" si="8"/>
        <v>2.4462999999999999</v>
      </c>
      <c r="D152" s="3">
        <f t="shared" ca="1" si="9"/>
        <v>2.4525099999999997</v>
      </c>
      <c r="E152" s="2">
        <f ca="1">[1]!b_anal_yield_cnbd(E$1,$B152,1)</f>
        <v>2.4462999999999999</v>
      </c>
      <c r="F152" s="3">
        <f t="shared" ca="1" si="10"/>
        <v>2.4525099999999997</v>
      </c>
      <c r="G152" s="2">
        <f ca="1">[1]!b_anal_yield_cnbd(G$1,$B152,1)</f>
        <v>2.4462999999999999</v>
      </c>
      <c r="H152" s="2">
        <f>[1]!b_anal_yield_cnbd(H$1,$B152,1)</f>
        <v>2.4462999999999999</v>
      </c>
      <c r="I152" s="2">
        <f>[1]!b_anal_yield_cnbd(I$1,$B152,1)</f>
        <v>2.4462999999999999</v>
      </c>
      <c r="J152" s="2">
        <f>[1]!b_anal_yield_cnbd(J$1,$B152,1)</f>
        <v>2.4876999999999998</v>
      </c>
    </row>
    <row r="153" spans="2:10" x14ac:dyDescent="0.15">
      <c r="B153" s="1">
        <v>45166</v>
      </c>
      <c r="C153" s="3">
        <f t="shared" ca="1" si="8"/>
        <v>2.4238</v>
      </c>
      <c r="D153" s="3">
        <f t="shared" ca="1" si="9"/>
        <v>2.4310900000000002</v>
      </c>
      <c r="E153" s="2">
        <f ca="1">[1]!b_anal_yield_cnbd(E$1,$B153,1)</f>
        <v>2.4238</v>
      </c>
      <c r="F153" s="3">
        <f t="shared" ca="1" si="10"/>
        <v>2.4310900000000002</v>
      </c>
      <c r="G153" s="2">
        <f ca="1">[1]!b_anal_yield_cnbd(G$1,$B153,1)</f>
        <v>2.4238</v>
      </c>
      <c r="H153" s="2">
        <f>[1]!b_anal_yield_cnbd(H$1,$B153,1)</f>
        <v>2.4238</v>
      </c>
      <c r="I153" s="2">
        <f>[1]!b_anal_yield_cnbd(I$1,$B153,1)</f>
        <v>2.4238</v>
      </c>
      <c r="J153" s="2">
        <f>[1]!b_anal_yield_cnbd(J$1,$B153,1)</f>
        <v>2.4723999999999999</v>
      </c>
    </row>
    <row r="154" spans="2:10" x14ac:dyDescent="0.15">
      <c r="B154" s="1">
        <v>45163</v>
      </c>
      <c r="C154" s="3">
        <f t="shared" ca="1" si="8"/>
        <v>2.4049999999999998</v>
      </c>
      <c r="D154" s="3">
        <f t="shared" ca="1" si="9"/>
        <v>2.4124699999999999</v>
      </c>
      <c r="E154" s="2">
        <f ca="1">[1]!b_anal_yield_cnbd(E$1,$B154,1)</f>
        <v>2.4049999999999998</v>
      </c>
      <c r="F154" s="3">
        <f t="shared" ca="1" si="10"/>
        <v>2.4124699999999999</v>
      </c>
      <c r="G154" s="2">
        <f ca="1">[1]!b_anal_yield_cnbd(G$1,$B154,1)</f>
        <v>2.4049999999999998</v>
      </c>
      <c r="H154" s="2">
        <f>[1]!b_anal_yield_cnbd(H$1,$B154,1)</f>
        <v>2.4049999999999998</v>
      </c>
      <c r="I154" s="2">
        <f>[1]!b_anal_yield_cnbd(I$1,$B154,1)</f>
        <v>2.4049999999999998</v>
      </c>
      <c r="J154" s="2">
        <f>[1]!b_anal_yield_cnbd(J$1,$B154,1)</f>
        <v>2.4548000000000001</v>
      </c>
    </row>
    <row r="155" spans="2:10" x14ac:dyDescent="0.15">
      <c r="B155" s="1">
        <v>45162</v>
      </c>
      <c r="C155" s="3">
        <f t="shared" ca="1" si="8"/>
        <v>2.395</v>
      </c>
      <c r="D155" s="3">
        <f t="shared" ca="1" si="9"/>
        <v>2.4019000000000004</v>
      </c>
      <c r="E155" s="2">
        <f ca="1">[1]!b_anal_yield_cnbd(E$1,$B155,1)</f>
        <v>2.395</v>
      </c>
      <c r="F155" s="3">
        <f t="shared" ca="1" si="10"/>
        <v>2.4019000000000004</v>
      </c>
      <c r="G155" s="2">
        <f ca="1">[1]!b_anal_yield_cnbd(G$1,$B155,1)</f>
        <v>2.395</v>
      </c>
      <c r="H155" s="2">
        <f>[1]!b_anal_yield_cnbd(H$1,$B155,1)</f>
        <v>2.395</v>
      </c>
      <c r="I155" s="2">
        <f>[1]!b_anal_yield_cnbd(I$1,$B155,1)</f>
        <v>2.395</v>
      </c>
      <c r="J155" s="2">
        <f>[1]!b_anal_yield_cnbd(J$1,$B155,1)</f>
        <v>2.4409999999999998</v>
      </c>
    </row>
    <row r="156" spans="2:10" x14ac:dyDescent="0.15">
      <c r="B156" s="1">
        <v>45161</v>
      </c>
      <c r="C156" s="3">
        <f t="shared" ca="1" si="8"/>
        <v>2.395</v>
      </c>
      <c r="D156" s="3">
        <f t="shared" ca="1" si="9"/>
        <v>2.4017350000000004</v>
      </c>
      <c r="E156" s="2">
        <f ca="1">[1]!b_anal_yield_cnbd(E$1,$B156,1)</f>
        <v>2.395</v>
      </c>
      <c r="F156" s="3">
        <f t="shared" ca="1" si="10"/>
        <v>2.4017350000000004</v>
      </c>
      <c r="G156" s="2">
        <f ca="1">[1]!b_anal_yield_cnbd(G$1,$B156,1)</f>
        <v>2.395</v>
      </c>
      <c r="H156" s="2">
        <f>[1]!b_anal_yield_cnbd(H$1,$B156,1)</f>
        <v>2.395</v>
      </c>
      <c r="I156" s="2">
        <f>[1]!b_anal_yield_cnbd(I$1,$B156,1)</f>
        <v>2.395</v>
      </c>
      <c r="J156" s="2">
        <f>[1]!b_anal_yield_cnbd(J$1,$B156,1)</f>
        <v>2.4399000000000002</v>
      </c>
    </row>
    <row r="157" spans="2:10" x14ac:dyDescent="0.15">
      <c r="B157" s="1">
        <v>45160</v>
      </c>
      <c r="C157" s="3">
        <f t="shared" ca="1" si="8"/>
        <v>2.3898999999999999</v>
      </c>
      <c r="D157" s="3">
        <f t="shared" ca="1" si="9"/>
        <v>2.3981499999999998</v>
      </c>
      <c r="E157" s="2">
        <f ca="1">[1]!b_anal_yield_cnbd(E$1,$B157,1)</f>
        <v>2.3898999999999999</v>
      </c>
      <c r="F157" s="3">
        <f t="shared" ca="1" si="10"/>
        <v>2.3981499999999998</v>
      </c>
      <c r="G157" s="2">
        <f ca="1">[1]!b_anal_yield_cnbd(G$1,$B157,1)</f>
        <v>2.3898999999999999</v>
      </c>
      <c r="H157" s="2">
        <f>[1]!b_anal_yield_cnbd(H$1,$B157,1)</f>
        <v>2.3898999999999999</v>
      </c>
      <c r="I157" s="2">
        <f>[1]!b_anal_yield_cnbd(I$1,$B157,1)</f>
        <v>2.3898999999999999</v>
      </c>
      <c r="J157" s="2">
        <f>[1]!b_anal_yield_cnbd(J$1,$B157,1)</f>
        <v>2.4449000000000001</v>
      </c>
    </row>
    <row r="158" spans="2:10" x14ac:dyDescent="0.15">
      <c r="B158" s="1">
        <v>45159</v>
      </c>
      <c r="C158" s="3">
        <f t="shared" ca="1" si="8"/>
        <v>2.3824999999999998</v>
      </c>
      <c r="D158" s="3">
        <f t="shared" ca="1" si="9"/>
        <v>2.3892349999999998</v>
      </c>
      <c r="E158" s="2">
        <f ca="1">[1]!b_anal_yield_cnbd(E$1,$B158,1)</f>
        <v>2.3824999999999998</v>
      </c>
      <c r="F158" s="3">
        <f t="shared" ca="1" si="10"/>
        <v>2.3892349999999998</v>
      </c>
      <c r="G158" s="2">
        <f ca="1">[1]!b_anal_yield_cnbd(G$1,$B158,1)</f>
        <v>2.3824999999999998</v>
      </c>
      <c r="H158" s="2">
        <f>[1]!b_anal_yield_cnbd(H$1,$B158,1)</f>
        <v>2.3824999999999998</v>
      </c>
      <c r="I158" s="2">
        <f>[1]!b_anal_yield_cnbd(I$1,$B158,1)</f>
        <v>2.3824999999999998</v>
      </c>
      <c r="J158" s="2">
        <f>[1]!b_anal_yield_cnbd(J$1,$B158,1)</f>
        <v>2.4274</v>
      </c>
    </row>
    <row r="159" spans="2:10" x14ac:dyDescent="0.15">
      <c r="B159" s="1">
        <v>45156</v>
      </c>
      <c r="C159" s="3">
        <f t="shared" ca="1" si="8"/>
        <v>2.395</v>
      </c>
      <c r="D159" s="3">
        <f t="shared" ca="1" si="9"/>
        <v>2.4019300000000001</v>
      </c>
      <c r="E159" s="2">
        <f ca="1">[1]!b_anal_yield_cnbd(E$1,$B159,1)</f>
        <v>2.395</v>
      </c>
      <c r="F159" s="3">
        <f t="shared" ca="1" si="10"/>
        <v>2.4019300000000001</v>
      </c>
      <c r="G159" s="2">
        <f ca="1">[1]!b_anal_yield_cnbd(G$1,$B159,1)</f>
        <v>2.395</v>
      </c>
      <c r="H159" s="2">
        <f>[1]!b_anal_yield_cnbd(H$1,$B159,1)</f>
        <v>2.395</v>
      </c>
      <c r="I159" s="2">
        <f>[1]!b_anal_yield_cnbd(I$1,$B159,1)</f>
        <v>2.395</v>
      </c>
      <c r="J159" s="2">
        <f>[1]!b_anal_yield_cnbd(J$1,$B159,1)</f>
        <v>2.4411999999999998</v>
      </c>
    </row>
    <row r="160" spans="2:10" x14ac:dyDescent="0.15">
      <c r="B160" s="1">
        <v>45155</v>
      </c>
      <c r="C160" s="3">
        <f t="shared" ca="1" si="8"/>
        <v>2.395</v>
      </c>
      <c r="D160" s="3">
        <f t="shared" ca="1" si="9"/>
        <v>2.4028300000000002</v>
      </c>
      <c r="E160" s="2">
        <f ca="1">[1]!b_anal_yield_cnbd(E$1,$B160,1)</f>
        <v>2.395</v>
      </c>
      <c r="F160" s="3">
        <f t="shared" ca="1" si="10"/>
        <v>2.4028300000000002</v>
      </c>
      <c r="G160" s="2">
        <f ca="1">[1]!b_anal_yield_cnbd(G$1,$B160,1)</f>
        <v>2.395</v>
      </c>
      <c r="H160" s="2">
        <f>[1]!b_anal_yield_cnbd(H$1,$B160,1)</f>
        <v>2.395</v>
      </c>
      <c r="I160" s="2">
        <f>[1]!b_anal_yield_cnbd(I$1,$B160,1)</f>
        <v>2.395</v>
      </c>
      <c r="J160" s="2">
        <f>[1]!b_anal_yield_cnbd(J$1,$B160,1)</f>
        <v>2.4472</v>
      </c>
    </row>
    <row r="161" spans="2:10" x14ac:dyDescent="0.15">
      <c r="B161" s="1">
        <v>45154</v>
      </c>
      <c r="C161" s="3">
        <f t="shared" ca="1" si="8"/>
        <v>2.3778000000000001</v>
      </c>
      <c r="D161" s="3">
        <f t="shared" ca="1" si="9"/>
        <v>2.387505</v>
      </c>
      <c r="E161" s="2">
        <f ca="1">[1]!b_anal_yield_cnbd(E$1,$B161,1)</f>
        <v>2.3778000000000001</v>
      </c>
      <c r="F161" s="3">
        <f t="shared" ca="1" si="10"/>
        <v>2.387505</v>
      </c>
      <c r="G161" s="2">
        <f ca="1">[1]!b_anal_yield_cnbd(G$1,$B161,1)</f>
        <v>2.3778000000000001</v>
      </c>
      <c r="H161" s="2">
        <f>[1]!b_anal_yield_cnbd(H$1,$B161,1)</f>
        <v>2.3778000000000001</v>
      </c>
      <c r="I161" s="2">
        <f>[1]!b_anal_yield_cnbd(I$1,$B161,1)</f>
        <v>2.3778000000000001</v>
      </c>
      <c r="J161" s="2">
        <f>[1]!b_anal_yield_cnbd(J$1,$B161,1)</f>
        <v>2.4424999999999999</v>
      </c>
    </row>
    <row r="162" spans="2:10" x14ac:dyDescent="0.15">
      <c r="B162" s="1">
        <v>45153</v>
      </c>
      <c r="C162" s="3">
        <f t="shared" ca="1" si="8"/>
        <v>2.39</v>
      </c>
      <c r="D162" s="3">
        <f t="shared" ca="1" si="9"/>
        <v>2.399</v>
      </c>
      <c r="E162" s="2">
        <f ca="1">[1]!b_anal_yield_cnbd(E$1,$B162,1)</f>
        <v>2.39</v>
      </c>
      <c r="F162" s="3">
        <f t="shared" ca="1" si="10"/>
        <v>2.399</v>
      </c>
      <c r="G162" s="2">
        <f ca="1">[1]!b_anal_yield_cnbd(G$1,$B162,1)</f>
        <v>2.39</v>
      </c>
      <c r="H162" s="2">
        <f>[1]!b_anal_yield_cnbd(H$1,$B162,1)</f>
        <v>2.39</v>
      </c>
      <c r="I162" s="2">
        <f>[1]!b_anal_yield_cnbd(I$1,$B162,1)</f>
        <v>2.39</v>
      </c>
      <c r="J162" s="2">
        <f>[1]!b_anal_yield_cnbd(J$1,$B162,1)</f>
        <v>2.4500000000000002</v>
      </c>
    </row>
    <row r="163" spans="2:10" x14ac:dyDescent="0.15">
      <c r="B163" s="1">
        <v>45152</v>
      </c>
      <c r="C163" s="3">
        <f t="shared" ca="1" si="8"/>
        <v>2.4375</v>
      </c>
      <c r="D163" s="3">
        <f t="shared" ca="1" si="9"/>
        <v>2.4446099999999999</v>
      </c>
      <c r="E163" s="2">
        <f ca="1">[1]!b_anal_yield_cnbd(E$1,$B163,1)</f>
        <v>2.4375</v>
      </c>
      <c r="F163" s="3">
        <f t="shared" ca="1" si="10"/>
        <v>2.4446099999999999</v>
      </c>
      <c r="G163" s="2">
        <f ca="1">[1]!b_anal_yield_cnbd(G$1,$B163,1)</f>
        <v>2.4375</v>
      </c>
      <c r="H163" s="2">
        <f>[1]!b_anal_yield_cnbd(H$1,$B163,1)</f>
        <v>2.4375</v>
      </c>
      <c r="I163" s="2">
        <f>[1]!b_anal_yield_cnbd(I$1,$B163,1)</f>
        <v>2.4375</v>
      </c>
      <c r="J163" s="2">
        <f>[1]!b_anal_yield_cnbd(J$1,$B163,1)</f>
        <v>2.4849000000000001</v>
      </c>
    </row>
    <row r="164" spans="2:10" x14ac:dyDescent="0.15">
      <c r="B164" s="1">
        <v>45149</v>
      </c>
      <c r="C164" s="3">
        <f t="shared" ca="1" si="8"/>
        <v>2.4581</v>
      </c>
      <c r="D164" s="3">
        <f t="shared" ca="1" si="9"/>
        <v>2.4651049999999999</v>
      </c>
      <c r="E164" s="2">
        <f ca="1">[1]!b_anal_yield_cnbd(E$1,$B164,1)</f>
        <v>2.4581</v>
      </c>
      <c r="F164" s="3">
        <f t="shared" ca="1" si="10"/>
        <v>2.4651049999999999</v>
      </c>
      <c r="G164" s="2">
        <f ca="1">[1]!b_anal_yield_cnbd(G$1,$B164,1)</f>
        <v>2.4581</v>
      </c>
      <c r="H164" s="2">
        <f>[1]!b_anal_yield_cnbd(H$1,$B164,1)</f>
        <v>2.4581</v>
      </c>
      <c r="I164" s="2">
        <f>[1]!b_anal_yield_cnbd(I$1,$B164,1)</f>
        <v>2.4581</v>
      </c>
      <c r="J164" s="2">
        <f>[1]!b_anal_yield_cnbd(J$1,$B164,1)</f>
        <v>2.5047999999999999</v>
      </c>
    </row>
    <row r="165" spans="2:10" x14ac:dyDescent="0.15">
      <c r="B165" s="1">
        <v>45148</v>
      </c>
      <c r="C165" s="3">
        <f t="shared" ca="1" si="8"/>
        <v>2.4597000000000002</v>
      </c>
      <c r="D165" s="3">
        <f t="shared" ca="1" si="9"/>
        <v>2.4671850000000002</v>
      </c>
      <c r="E165" s="2">
        <f ca="1">[1]!b_anal_yield_cnbd(E$1,$B165,1)</f>
        <v>2.4597000000000002</v>
      </c>
      <c r="F165" s="3">
        <f t="shared" ca="1" si="10"/>
        <v>2.4671850000000002</v>
      </c>
      <c r="G165" s="2">
        <f ca="1">[1]!b_anal_yield_cnbd(G$1,$B165,1)</f>
        <v>2.4597000000000002</v>
      </c>
      <c r="H165" s="2">
        <f>[1]!b_anal_yield_cnbd(H$1,$B165,1)</f>
        <v>2.4597000000000002</v>
      </c>
      <c r="I165" s="2">
        <f>[1]!b_anal_yield_cnbd(I$1,$B165,1)</f>
        <v>2.4597000000000002</v>
      </c>
      <c r="J165" s="2">
        <f>[1]!b_anal_yield_cnbd(J$1,$B165,1)</f>
        <v>2.5095999999999998</v>
      </c>
    </row>
    <row r="166" spans="2:10" x14ac:dyDescent="0.15">
      <c r="B166" s="1">
        <v>45147</v>
      </c>
      <c r="C166" s="3">
        <f t="shared" ca="1" si="8"/>
        <v>2.4500000000000002</v>
      </c>
      <c r="D166" s="3">
        <f t="shared" ca="1" si="9"/>
        <v>2.4582350000000002</v>
      </c>
      <c r="E166" s="2">
        <f ca="1">[1]!b_anal_yield_cnbd(E$1,$B166,1)</f>
        <v>2.4500000000000002</v>
      </c>
      <c r="F166" s="3">
        <f t="shared" ca="1" si="10"/>
        <v>2.4582350000000002</v>
      </c>
      <c r="G166" s="2">
        <f ca="1">[1]!b_anal_yield_cnbd(G$1,$B166,1)</f>
        <v>2.4500000000000002</v>
      </c>
      <c r="H166" s="2">
        <f>[1]!b_anal_yield_cnbd(H$1,$B166,1)</f>
        <v>2.4500000000000002</v>
      </c>
      <c r="I166" s="2">
        <f>[1]!b_anal_yield_cnbd(I$1,$B166,1)</f>
        <v>2.4500000000000002</v>
      </c>
      <c r="J166" s="2">
        <f>[1]!b_anal_yield_cnbd(J$1,$B166,1)</f>
        <v>2.5049000000000001</v>
      </c>
    </row>
    <row r="167" spans="2:10" x14ac:dyDescent="0.15">
      <c r="B167" s="1">
        <v>45146</v>
      </c>
      <c r="C167" s="3">
        <f t="shared" ca="1" si="8"/>
        <v>2.4449999999999998</v>
      </c>
      <c r="D167" s="3">
        <f t="shared" ca="1" si="9"/>
        <v>2.4539699999999995</v>
      </c>
      <c r="E167" s="2">
        <f ca="1">[1]!b_anal_yield_cnbd(E$1,$B167,1)</f>
        <v>2.4449999999999998</v>
      </c>
      <c r="F167" s="3">
        <f t="shared" ca="1" si="10"/>
        <v>2.4539699999999995</v>
      </c>
      <c r="G167" s="2">
        <f ca="1">[1]!b_anal_yield_cnbd(G$1,$B167,1)</f>
        <v>2.4449999999999998</v>
      </c>
      <c r="H167" s="2">
        <f>[1]!b_anal_yield_cnbd(H$1,$B167,1)</f>
        <v>2.4449999999999998</v>
      </c>
      <c r="I167" s="2">
        <f>[1]!b_anal_yield_cnbd(I$1,$B167,1)</f>
        <v>2.4449999999999998</v>
      </c>
      <c r="J167" s="2">
        <f>[1]!b_anal_yield_cnbd(J$1,$B167,1)</f>
        <v>2.5047999999999999</v>
      </c>
    </row>
    <row r="168" spans="2:10" x14ac:dyDescent="0.15">
      <c r="B168" s="1">
        <v>45145</v>
      </c>
      <c r="C168" s="3">
        <f t="shared" ca="1" si="8"/>
        <v>2.4500000000000002</v>
      </c>
      <c r="D168" s="3">
        <f t="shared" ca="1" si="9"/>
        <v>2.4591349999999998</v>
      </c>
      <c r="E168" s="2">
        <f ca="1">[1]!b_anal_yield_cnbd(E$1,$B168,1)</f>
        <v>2.4500000000000002</v>
      </c>
      <c r="F168" s="3">
        <f t="shared" ca="1" si="10"/>
        <v>2.4591349999999998</v>
      </c>
      <c r="G168" s="2">
        <f ca="1">[1]!b_anal_yield_cnbd(G$1,$B168,1)</f>
        <v>2.4500000000000002</v>
      </c>
      <c r="H168" s="2">
        <f>[1]!b_anal_yield_cnbd(H$1,$B168,1)</f>
        <v>2.4500000000000002</v>
      </c>
      <c r="I168" s="2">
        <f>[1]!b_anal_yield_cnbd(I$1,$B168,1)</f>
        <v>2.4500000000000002</v>
      </c>
      <c r="J168" s="2">
        <f>[1]!b_anal_yield_cnbd(J$1,$B168,1)</f>
        <v>2.5108999999999999</v>
      </c>
    </row>
    <row r="169" spans="2:10" x14ac:dyDescent="0.15">
      <c r="B169" s="1">
        <v>45142</v>
      </c>
      <c r="C169" s="3">
        <f t="shared" ca="1" si="8"/>
        <v>2.4499</v>
      </c>
      <c r="D169" s="3">
        <f t="shared" ca="1" si="9"/>
        <v>2.459635</v>
      </c>
      <c r="E169" s="2">
        <f ca="1">[1]!b_anal_yield_cnbd(E$1,$B169,1)</f>
        <v>2.4499</v>
      </c>
      <c r="F169" s="3">
        <f t="shared" ca="1" si="10"/>
        <v>2.459635</v>
      </c>
      <c r="G169" s="2">
        <f ca="1">[1]!b_anal_yield_cnbd(G$1,$B169,1)</f>
        <v>2.4499</v>
      </c>
      <c r="H169" s="2">
        <f>[1]!b_anal_yield_cnbd(H$1,$B169,1)</f>
        <v>2.4499</v>
      </c>
      <c r="I169" s="2">
        <f>[1]!b_anal_yield_cnbd(I$1,$B169,1)</f>
        <v>2.4499</v>
      </c>
      <c r="J169" s="2">
        <f>[1]!b_anal_yield_cnbd(J$1,$B169,1)</f>
        <v>2.5148000000000001</v>
      </c>
    </row>
    <row r="170" spans="2:10" x14ac:dyDescent="0.15">
      <c r="B170" s="1">
        <v>45141</v>
      </c>
      <c r="C170" s="3">
        <f t="shared" ca="1" si="8"/>
        <v>2.4550000000000001</v>
      </c>
      <c r="D170" s="3">
        <f t="shared" ca="1" si="9"/>
        <v>2.4639700000000002</v>
      </c>
      <c r="E170" s="2">
        <f ca="1">[1]!b_anal_yield_cnbd(E$1,$B170,1)</f>
        <v>2.4550000000000001</v>
      </c>
      <c r="F170" s="3">
        <f t="shared" ca="1" si="10"/>
        <v>2.4639700000000002</v>
      </c>
      <c r="G170" s="2">
        <f ca="1">[1]!b_anal_yield_cnbd(G$1,$B170,1)</f>
        <v>2.4550000000000001</v>
      </c>
      <c r="H170" s="2">
        <f>[1]!b_anal_yield_cnbd(H$1,$B170,1)</f>
        <v>2.4550000000000001</v>
      </c>
      <c r="I170" s="2">
        <f>[1]!b_anal_yield_cnbd(I$1,$B170,1)</f>
        <v>2.4550000000000001</v>
      </c>
      <c r="J170" s="2">
        <f>[1]!b_anal_yield_cnbd(J$1,$B170,1)</f>
        <v>2.5148000000000001</v>
      </c>
    </row>
    <row r="171" spans="2:10" x14ac:dyDescent="0.15">
      <c r="B171" s="1">
        <v>45140</v>
      </c>
      <c r="C171" s="3">
        <f t="shared" ca="1" si="8"/>
        <v>2.4723999999999999</v>
      </c>
      <c r="D171" s="3">
        <f t="shared" ca="1" si="9"/>
        <v>2.4814150000000001</v>
      </c>
      <c r="E171" s="2">
        <f ca="1">[1]!b_anal_yield_cnbd(E$1,$B171,1)</f>
        <v>2.4723999999999999</v>
      </c>
      <c r="F171" s="3">
        <f t="shared" ca="1" si="10"/>
        <v>2.4814150000000001</v>
      </c>
      <c r="G171" s="2">
        <f ca="1">[1]!b_anal_yield_cnbd(G$1,$B171,1)</f>
        <v>2.4723999999999999</v>
      </c>
      <c r="H171" s="2">
        <f>[1]!b_anal_yield_cnbd(H$1,$B171,1)</f>
        <v>2.4723999999999999</v>
      </c>
      <c r="I171" s="2">
        <f>[1]!b_anal_yield_cnbd(I$1,$B171,1)</f>
        <v>2.4723999999999999</v>
      </c>
      <c r="J171" s="2">
        <f>[1]!b_anal_yield_cnbd(J$1,$B171,1)</f>
        <v>2.5325000000000002</v>
      </c>
    </row>
    <row r="172" spans="2:10" x14ac:dyDescent="0.15">
      <c r="B172" s="1">
        <v>45139</v>
      </c>
      <c r="C172" s="3">
        <f t="shared" ca="1" si="8"/>
        <v>2.48</v>
      </c>
      <c r="D172" s="3">
        <f t="shared" ca="1" si="9"/>
        <v>2.488985</v>
      </c>
      <c r="E172" s="2">
        <f ca="1">[1]!b_anal_yield_cnbd(E$1,$B172,1)</f>
        <v>2.48</v>
      </c>
      <c r="F172" s="3">
        <f t="shared" ca="1" si="10"/>
        <v>2.488985</v>
      </c>
      <c r="G172" s="2">
        <f ca="1">[1]!b_anal_yield_cnbd(G$1,$B172,1)</f>
        <v>2.48</v>
      </c>
      <c r="H172" s="2">
        <f>[1]!b_anal_yield_cnbd(H$1,$B172,1)</f>
        <v>2.48</v>
      </c>
      <c r="I172" s="2">
        <f>[1]!b_anal_yield_cnbd(I$1,$B172,1)</f>
        <v>2.48</v>
      </c>
      <c r="J172" s="2">
        <f>[1]!b_anal_yield_cnbd(J$1,$B172,1)</f>
        <v>2.5398999999999998</v>
      </c>
    </row>
    <row r="173" spans="2:10" x14ac:dyDescent="0.15">
      <c r="B173" s="1">
        <v>45138</v>
      </c>
      <c r="C173" s="3">
        <f t="shared" ca="1" si="8"/>
        <v>2.4799000000000002</v>
      </c>
      <c r="D173" s="3">
        <f t="shared" ca="1" si="9"/>
        <v>2.4889000000000001</v>
      </c>
      <c r="E173" s="2">
        <f ca="1">[1]!b_anal_yield_cnbd(E$1,$B173,1)</f>
        <v>2.4799000000000002</v>
      </c>
      <c r="F173" s="3">
        <f t="shared" ca="1" si="10"/>
        <v>2.4889000000000001</v>
      </c>
      <c r="G173" s="2">
        <f ca="1">[1]!b_anal_yield_cnbd(G$1,$B173,1)</f>
        <v>2.4799000000000002</v>
      </c>
      <c r="H173" s="2">
        <f>[1]!b_anal_yield_cnbd(H$1,$B173,1)</f>
        <v>2.4799000000000002</v>
      </c>
      <c r="I173" s="2">
        <f>[1]!b_anal_yield_cnbd(I$1,$B173,1)</f>
        <v>2.4799000000000002</v>
      </c>
      <c r="J173" s="2">
        <f>[1]!b_anal_yield_cnbd(J$1,$B173,1)</f>
        <v>2.5398999999999998</v>
      </c>
    </row>
    <row r="174" spans="2:10" x14ac:dyDescent="0.15">
      <c r="B174" s="1">
        <v>45135</v>
      </c>
      <c r="C174" s="3">
        <f t="shared" ca="1" si="8"/>
        <v>2.4727000000000001</v>
      </c>
      <c r="D174" s="3">
        <f t="shared" ca="1" si="9"/>
        <v>2.4812799999999999</v>
      </c>
      <c r="E174" s="2">
        <f ca="1">[1]!b_anal_yield_cnbd(E$1,$B174,1)</f>
        <v>2.4727000000000001</v>
      </c>
      <c r="F174" s="3">
        <f t="shared" ca="1" si="10"/>
        <v>2.4812799999999999</v>
      </c>
      <c r="G174" s="2">
        <f ca="1">[1]!b_anal_yield_cnbd(G$1,$B174,1)</f>
        <v>2.4727000000000001</v>
      </c>
      <c r="H174" s="2">
        <f>[1]!b_anal_yield_cnbd(H$1,$B174,1)</f>
        <v>2.4727000000000001</v>
      </c>
      <c r="I174" s="2">
        <f>[1]!b_anal_yield_cnbd(I$1,$B174,1)</f>
        <v>2.4727000000000001</v>
      </c>
      <c r="J174" s="2">
        <f>[1]!b_anal_yield_cnbd(J$1,$B174,1)</f>
        <v>2.5299</v>
      </c>
    </row>
    <row r="175" spans="2:10" x14ac:dyDescent="0.15">
      <c r="B175" s="1">
        <v>45134</v>
      </c>
      <c r="C175" s="3">
        <f t="shared" ca="1" si="8"/>
        <v>2.4550000000000001</v>
      </c>
      <c r="D175" s="3">
        <f t="shared" ca="1" si="9"/>
        <v>2.4647350000000001</v>
      </c>
      <c r="E175" s="2">
        <f ca="1">[1]!b_anal_yield_cnbd(E$1,$B175,1)</f>
        <v>2.4550000000000001</v>
      </c>
      <c r="F175" s="3">
        <f t="shared" ca="1" si="10"/>
        <v>2.4647350000000001</v>
      </c>
      <c r="G175" s="2">
        <f ca="1">[1]!b_anal_yield_cnbd(G$1,$B175,1)</f>
        <v>2.4550000000000001</v>
      </c>
      <c r="H175" s="2">
        <f>[1]!b_anal_yield_cnbd(H$1,$B175,1)</f>
        <v>2.4550000000000001</v>
      </c>
      <c r="I175" s="2">
        <f>[1]!b_anal_yield_cnbd(I$1,$B175,1)</f>
        <v>2.4550000000000001</v>
      </c>
      <c r="J175" s="2">
        <f>[1]!b_anal_yield_cnbd(J$1,$B175,1)</f>
        <v>2.5198999999999998</v>
      </c>
    </row>
    <row r="176" spans="2:10" x14ac:dyDescent="0.15">
      <c r="B176" s="1">
        <v>45133</v>
      </c>
      <c r="C176" s="3">
        <f t="shared" ca="1" si="8"/>
        <v>2.4700000000000002</v>
      </c>
      <c r="D176" s="3">
        <f t="shared" ca="1" si="9"/>
        <v>2.4797349999999998</v>
      </c>
      <c r="E176" s="2">
        <f ca="1">[1]!b_anal_yield_cnbd(E$1,$B176,1)</f>
        <v>2.4700000000000002</v>
      </c>
      <c r="F176" s="3">
        <f t="shared" ca="1" si="10"/>
        <v>2.4797349999999998</v>
      </c>
      <c r="G176" s="2">
        <f ca="1">[1]!b_anal_yield_cnbd(G$1,$B176,1)</f>
        <v>2.4700000000000002</v>
      </c>
      <c r="H176" s="2">
        <f>[1]!b_anal_yield_cnbd(H$1,$B176,1)</f>
        <v>2.4700000000000002</v>
      </c>
      <c r="I176" s="2">
        <f>[1]!b_anal_yield_cnbd(I$1,$B176,1)</f>
        <v>2.4700000000000002</v>
      </c>
      <c r="J176" s="2">
        <f>[1]!b_anal_yield_cnbd(J$1,$B176,1)</f>
        <v>2.5348999999999999</v>
      </c>
    </row>
    <row r="177" spans="2:10" x14ac:dyDescent="0.15">
      <c r="B177" s="1">
        <v>45132</v>
      </c>
      <c r="C177" s="3">
        <f t="shared" ca="1" si="8"/>
        <v>2.48</v>
      </c>
      <c r="D177" s="3">
        <f t="shared" ca="1" si="9"/>
        <v>2.4904850000000001</v>
      </c>
      <c r="E177" s="2">
        <f ca="1">[1]!b_anal_yield_cnbd(E$1,$B177,1)</f>
        <v>2.48</v>
      </c>
      <c r="F177" s="3">
        <f t="shared" ca="1" si="10"/>
        <v>2.4904850000000001</v>
      </c>
      <c r="G177" s="2">
        <f ca="1">[1]!b_anal_yield_cnbd(G$1,$B177,1)</f>
        <v>2.48</v>
      </c>
      <c r="H177" s="2">
        <f>[1]!b_anal_yield_cnbd(H$1,$B177,1)</f>
        <v>2.48</v>
      </c>
      <c r="I177" s="2">
        <f>[1]!b_anal_yield_cnbd(I$1,$B177,1)</f>
        <v>2.48</v>
      </c>
      <c r="J177" s="2">
        <f>[1]!b_anal_yield_cnbd(J$1,$B177,1)</f>
        <v>2.5499000000000001</v>
      </c>
    </row>
    <row r="178" spans="2:10" x14ac:dyDescent="0.15">
      <c r="B178" s="1">
        <v>45131</v>
      </c>
      <c r="C178" s="3">
        <f t="shared" ca="1" si="8"/>
        <v>2.4140999999999999</v>
      </c>
      <c r="D178" s="3">
        <f t="shared" ca="1" si="9"/>
        <v>2.4253200000000001</v>
      </c>
      <c r="E178" s="2">
        <f ca="1">[1]!b_anal_yield_cnbd(E$1,$B178,1)</f>
        <v>2.4140999999999999</v>
      </c>
      <c r="F178" s="3">
        <f t="shared" ca="1" si="10"/>
        <v>2.4253200000000001</v>
      </c>
      <c r="G178" s="2">
        <f ca="1">[1]!b_anal_yield_cnbd(G$1,$B178,1)</f>
        <v>2.4140999999999999</v>
      </c>
      <c r="H178" s="2">
        <f>[1]!b_anal_yield_cnbd(H$1,$B178,1)</f>
        <v>2.4140999999999999</v>
      </c>
      <c r="I178" s="2">
        <f>[1]!b_anal_yield_cnbd(I$1,$B178,1)</f>
        <v>2.4140999999999999</v>
      </c>
      <c r="J178" s="2">
        <f>[1]!b_anal_yield_cnbd(J$1,$B178,1)</f>
        <v>2.4889000000000001</v>
      </c>
    </row>
    <row r="179" spans="2:10" x14ac:dyDescent="0.15">
      <c r="B179" s="1">
        <v>45128</v>
      </c>
      <c r="C179" s="3">
        <f t="shared" ca="1" si="8"/>
        <v>2.4224999999999999</v>
      </c>
      <c r="D179" s="3">
        <f t="shared" ca="1" si="9"/>
        <v>2.43336</v>
      </c>
      <c r="E179" s="2">
        <f ca="1">[1]!b_anal_yield_cnbd(E$1,$B179,1)</f>
        <v>2.4224999999999999</v>
      </c>
      <c r="F179" s="3">
        <f t="shared" ca="1" si="10"/>
        <v>2.43336</v>
      </c>
      <c r="G179" s="2">
        <f ca="1">[1]!b_anal_yield_cnbd(G$1,$B179,1)</f>
        <v>2.4224999999999999</v>
      </c>
      <c r="H179" s="2">
        <f>[1]!b_anal_yield_cnbd(H$1,$B179,1)</f>
        <v>2.4224999999999999</v>
      </c>
      <c r="I179" s="2">
        <f>[1]!b_anal_yield_cnbd(I$1,$B179,1)</f>
        <v>2.4224999999999999</v>
      </c>
      <c r="J179" s="2">
        <f>[1]!b_anal_yield_cnbd(J$1,$B179,1)</f>
        <v>2.4948999999999999</v>
      </c>
    </row>
    <row r="180" spans="2:10" x14ac:dyDescent="0.15">
      <c r="B180" s="1">
        <v>45127</v>
      </c>
      <c r="C180" s="3">
        <f t="shared" ca="1" si="8"/>
        <v>2.4325000000000001</v>
      </c>
      <c r="D180" s="3">
        <f t="shared" ca="1" si="9"/>
        <v>2.4429850000000002</v>
      </c>
      <c r="E180" s="2">
        <f ca="1">[1]!b_anal_yield_cnbd(E$1,$B180,1)</f>
        <v>2.4325000000000001</v>
      </c>
      <c r="F180" s="3">
        <f t="shared" ca="1" si="10"/>
        <v>2.4429850000000002</v>
      </c>
      <c r="G180" s="2">
        <f ca="1">[1]!b_anal_yield_cnbd(G$1,$B180,1)</f>
        <v>2.4325000000000001</v>
      </c>
      <c r="H180" s="2">
        <f>[1]!b_anal_yield_cnbd(H$1,$B180,1)</f>
        <v>2.4325000000000001</v>
      </c>
      <c r="I180" s="2">
        <f>[1]!b_anal_yield_cnbd(I$1,$B180,1)</f>
        <v>2.4325000000000001</v>
      </c>
      <c r="J180" s="2">
        <f>[1]!b_anal_yield_cnbd(J$1,$B180,1)</f>
        <v>2.5024000000000002</v>
      </c>
    </row>
    <row r="181" spans="2:10" x14ac:dyDescent="0.15">
      <c r="B181" s="1">
        <v>45126</v>
      </c>
      <c r="C181" s="3">
        <f t="shared" ca="1" si="8"/>
        <v>2.44</v>
      </c>
      <c r="D181" s="3">
        <f t="shared" ca="1" si="9"/>
        <v>2.450485</v>
      </c>
      <c r="E181" s="2">
        <f ca="1">[1]!b_anal_yield_cnbd(E$1,$B181,1)</f>
        <v>2.44</v>
      </c>
      <c r="F181" s="3">
        <f t="shared" ca="1" si="10"/>
        <v>2.450485</v>
      </c>
      <c r="G181" s="2">
        <f ca="1">[1]!b_anal_yield_cnbd(G$1,$B181,1)</f>
        <v>2.44</v>
      </c>
      <c r="H181" s="2">
        <f>[1]!b_anal_yield_cnbd(H$1,$B181,1)</f>
        <v>2.44</v>
      </c>
      <c r="I181" s="2">
        <f>[1]!b_anal_yield_cnbd(I$1,$B181,1)</f>
        <v>2.44</v>
      </c>
      <c r="J181" s="2">
        <f>[1]!b_anal_yield_cnbd(J$1,$B181,1)</f>
        <v>2.5099</v>
      </c>
    </row>
    <row r="182" spans="2:10" x14ac:dyDescent="0.15">
      <c r="B182" s="1">
        <v>45125</v>
      </c>
      <c r="C182" s="3">
        <f t="shared" ca="1" si="8"/>
        <v>2.4375</v>
      </c>
      <c r="D182" s="3">
        <f t="shared" ca="1" si="9"/>
        <v>2.4483449999999998</v>
      </c>
      <c r="E182" s="2">
        <f ca="1">[1]!b_anal_yield_cnbd(E$1,$B182,1)</f>
        <v>2.4375</v>
      </c>
      <c r="F182" s="3">
        <f t="shared" ca="1" si="10"/>
        <v>2.4483449999999998</v>
      </c>
      <c r="G182" s="2">
        <f ca="1">[1]!b_anal_yield_cnbd(G$1,$B182,1)</f>
        <v>2.4375</v>
      </c>
      <c r="H182" s="2">
        <f>[1]!b_anal_yield_cnbd(H$1,$B182,1)</f>
        <v>2.4375</v>
      </c>
      <c r="I182" s="2">
        <f>[1]!b_anal_yield_cnbd(I$1,$B182,1)</f>
        <v>2.4375</v>
      </c>
      <c r="J182" s="2">
        <f>[1]!b_anal_yield_cnbd(J$1,$B182,1)</f>
        <v>2.5097999999999998</v>
      </c>
    </row>
    <row r="183" spans="2:10" x14ac:dyDescent="0.15">
      <c r="B183" s="1">
        <v>45124</v>
      </c>
      <c r="C183" s="3">
        <f t="shared" ca="1" si="8"/>
        <v>2.4499</v>
      </c>
      <c r="D183" s="3">
        <f t="shared" ca="1" si="9"/>
        <v>2.4596499999999999</v>
      </c>
      <c r="E183" s="2">
        <f ca="1">[1]!b_anal_yield_cnbd(E$1,$B183,1)</f>
        <v>2.4499</v>
      </c>
      <c r="F183" s="3">
        <f t="shared" ca="1" si="10"/>
        <v>2.4596499999999999</v>
      </c>
      <c r="G183" s="2">
        <f ca="1">[1]!b_anal_yield_cnbd(G$1,$B183,1)</f>
        <v>2.4499</v>
      </c>
      <c r="H183" s="2">
        <f>[1]!b_anal_yield_cnbd(H$1,$B183,1)</f>
        <v>2.4499</v>
      </c>
      <c r="I183" s="2">
        <f>[1]!b_anal_yield_cnbd(I$1,$B183,1)</f>
        <v>2.4499</v>
      </c>
      <c r="J183" s="2">
        <f>[1]!b_anal_yield_cnbd(J$1,$B183,1)</f>
        <v>2.5148999999999999</v>
      </c>
    </row>
    <row r="184" spans="2:10" x14ac:dyDescent="0.15">
      <c r="B184" s="1">
        <v>45121</v>
      </c>
      <c r="C184" s="3">
        <f t="shared" ca="1" si="8"/>
        <v>2.46</v>
      </c>
      <c r="D184" s="3">
        <f t="shared" ca="1" si="9"/>
        <v>2.47011</v>
      </c>
      <c r="E184" s="2">
        <f ca="1">[1]!b_anal_yield_cnbd(E$1,$B184,1)</f>
        <v>2.46</v>
      </c>
      <c r="F184" s="3">
        <f t="shared" ca="1" si="10"/>
        <v>2.47011</v>
      </c>
      <c r="G184" s="2">
        <f ca="1">[1]!b_anal_yield_cnbd(G$1,$B184,1)</f>
        <v>2.46</v>
      </c>
      <c r="H184" s="2">
        <f>[1]!b_anal_yield_cnbd(H$1,$B184,1)</f>
        <v>2.46</v>
      </c>
      <c r="I184" s="2">
        <f>[1]!b_anal_yield_cnbd(I$1,$B184,1)</f>
        <v>2.46</v>
      </c>
      <c r="J184" s="2">
        <f>[1]!b_anal_yield_cnbd(J$1,$B184,1)</f>
        <v>2.5274000000000001</v>
      </c>
    </row>
    <row r="185" spans="2:10" x14ac:dyDescent="0.15">
      <c r="B185" s="1">
        <v>45120</v>
      </c>
      <c r="C185" s="3">
        <f t="shared" ca="1" si="8"/>
        <v>2.4550000000000001</v>
      </c>
      <c r="D185" s="3">
        <f t="shared" ca="1" si="9"/>
        <v>2.4654850000000001</v>
      </c>
      <c r="E185" s="2">
        <f ca="1">[1]!b_anal_yield_cnbd(E$1,$B185,1)</f>
        <v>2.4550000000000001</v>
      </c>
      <c r="F185" s="3">
        <f t="shared" ca="1" si="10"/>
        <v>2.4654850000000001</v>
      </c>
      <c r="G185" s="2">
        <f ca="1">[1]!b_anal_yield_cnbd(G$1,$B185,1)</f>
        <v>2.4550000000000001</v>
      </c>
      <c r="H185" s="2">
        <f>[1]!b_anal_yield_cnbd(H$1,$B185,1)</f>
        <v>2.4550000000000001</v>
      </c>
      <c r="I185" s="2">
        <f>[1]!b_anal_yield_cnbd(I$1,$B185,1)</f>
        <v>2.4550000000000001</v>
      </c>
      <c r="J185" s="2">
        <f>[1]!b_anal_yield_cnbd(J$1,$B185,1)</f>
        <v>2.5249000000000001</v>
      </c>
    </row>
    <row r="186" spans="2:10" x14ac:dyDescent="0.15">
      <c r="B186" s="1">
        <v>45119</v>
      </c>
      <c r="C186" s="3">
        <f t="shared" ca="1" si="8"/>
        <v>2.4500000000000002</v>
      </c>
      <c r="D186" s="3">
        <f t="shared" ca="1" si="9"/>
        <v>2.4604849999999998</v>
      </c>
      <c r="E186" s="2">
        <f ca="1">[1]!b_anal_yield_cnbd(E$1,$B186,1)</f>
        <v>2.4500000000000002</v>
      </c>
      <c r="F186" s="3">
        <f t="shared" ca="1" si="10"/>
        <v>2.4604849999999998</v>
      </c>
      <c r="G186" s="2">
        <f ca="1">[1]!b_anal_yield_cnbd(G$1,$B186,1)</f>
        <v>2.4500000000000002</v>
      </c>
      <c r="H186" s="2">
        <f>[1]!b_anal_yield_cnbd(H$1,$B186,1)</f>
        <v>2.4500000000000002</v>
      </c>
      <c r="I186" s="2">
        <f>[1]!b_anal_yield_cnbd(I$1,$B186,1)</f>
        <v>2.4500000000000002</v>
      </c>
      <c r="J186" s="2">
        <f>[1]!b_anal_yield_cnbd(J$1,$B186,1)</f>
        <v>2.5198999999999998</v>
      </c>
    </row>
    <row r="187" spans="2:10" x14ac:dyDescent="0.15">
      <c r="B187" s="1">
        <v>45118</v>
      </c>
      <c r="C187" s="3">
        <f t="shared" ca="1" si="8"/>
        <v>2.4500000000000002</v>
      </c>
      <c r="D187" s="3">
        <f t="shared" ca="1" si="9"/>
        <v>2.4604849999999998</v>
      </c>
      <c r="E187" s="2">
        <f ca="1">[1]!b_anal_yield_cnbd(E$1,$B187,1)</f>
        <v>2.4500000000000002</v>
      </c>
      <c r="F187" s="3">
        <f t="shared" ca="1" si="10"/>
        <v>2.4604849999999998</v>
      </c>
      <c r="G187" s="2">
        <f ca="1">[1]!b_anal_yield_cnbd(G$1,$B187,1)</f>
        <v>2.4500000000000002</v>
      </c>
      <c r="H187" s="2">
        <f>[1]!b_anal_yield_cnbd(H$1,$B187,1)</f>
        <v>2.4500000000000002</v>
      </c>
      <c r="I187" s="2">
        <f>[1]!b_anal_yield_cnbd(I$1,$B187,1)</f>
        <v>2.4500000000000002</v>
      </c>
      <c r="J187" s="2">
        <f>[1]!b_anal_yield_cnbd(J$1,$B187,1)</f>
        <v>2.5198999999999998</v>
      </c>
    </row>
    <row r="188" spans="2:10" x14ac:dyDescent="0.15">
      <c r="B188" s="1">
        <v>45117</v>
      </c>
      <c r="C188" s="3">
        <f t="shared" ca="1" si="8"/>
        <v>2.4550000000000001</v>
      </c>
      <c r="D188" s="3">
        <f t="shared" ca="1" si="9"/>
        <v>2.4664000000000001</v>
      </c>
      <c r="E188" s="2">
        <f ca="1">[1]!b_anal_yield_cnbd(E$1,$B188,1)</f>
        <v>2.4550000000000001</v>
      </c>
      <c r="F188" s="3">
        <f t="shared" ca="1" si="10"/>
        <v>2.4664000000000001</v>
      </c>
      <c r="G188" s="2">
        <f ca="1">[1]!b_anal_yield_cnbd(G$1,$B188,1)</f>
        <v>2.4550000000000001</v>
      </c>
      <c r="H188" s="2">
        <f>[1]!b_anal_yield_cnbd(H$1,$B188,1)</f>
        <v>2.4550000000000001</v>
      </c>
      <c r="I188" s="2">
        <f>[1]!b_anal_yield_cnbd(I$1,$B188,1)</f>
        <v>2.4550000000000001</v>
      </c>
      <c r="J188" s="2">
        <f>[1]!b_anal_yield_cnbd(J$1,$B188,1)</f>
        <v>2.5310000000000001</v>
      </c>
    </row>
    <row r="189" spans="2:10" x14ac:dyDescent="0.15">
      <c r="B189" s="1">
        <v>45114</v>
      </c>
      <c r="C189" s="3">
        <f t="shared" ca="1" si="8"/>
        <v>2.46</v>
      </c>
      <c r="D189" s="3">
        <f t="shared" ca="1" si="9"/>
        <v>2.469735</v>
      </c>
      <c r="E189" s="2">
        <f ca="1">[1]!b_anal_yield_cnbd(E$1,$B189,1)</f>
        <v>2.46</v>
      </c>
      <c r="F189" s="3">
        <f t="shared" ca="1" si="10"/>
        <v>2.469735</v>
      </c>
      <c r="G189" s="2">
        <f ca="1">[1]!b_anal_yield_cnbd(G$1,$B189,1)</f>
        <v>2.46</v>
      </c>
      <c r="H189" s="2">
        <f>[1]!b_anal_yield_cnbd(H$1,$B189,1)</f>
        <v>2.46</v>
      </c>
      <c r="I189" s="2">
        <f>[1]!b_anal_yield_cnbd(I$1,$B189,1)</f>
        <v>2.46</v>
      </c>
      <c r="J189" s="2">
        <f>[1]!b_anal_yield_cnbd(J$1,$B189,1)</f>
        <v>2.5249000000000001</v>
      </c>
    </row>
    <row r="190" spans="2:10" x14ac:dyDescent="0.15">
      <c r="B190" s="1">
        <v>45113</v>
      </c>
      <c r="C190" s="3">
        <f t="shared" ca="1" si="8"/>
        <v>2.4674999999999998</v>
      </c>
      <c r="D190" s="3">
        <f t="shared" ca="1" si="9"/>
        <v>2.4776099999999999</v>
      </c>
      <c r="E190" s="2">
        <f ca="1">[1]!b_anal_yield_cnbd(E$1,$B190,1)</f>
        <v>2.4674999999999998</v>
      </c>
      <c r="F190" s="3">
        <f t="shared" ca="1" si="10"/>
        <v>2.4776099999999999</v>
      </c>
      <c r="G190" s="2">
        <f ca="1">[1]!b_anal_yield_cnbd(G$1,$B190,1)</f>
        <v>2.4674999999999998</v>
      </c>
      <c r="H190" s="2">
        <f>[1]!b_anal_yield_cnbd(H$1,$B190,1)</f>
        <v>2.4674999999999998</v>
      </c>
      <c r="I190" s="2">
        <f>[1]!b_anal_yield_cnbd(I$1,$B190,1)</f>
        <v>2.4674999999999998</v>
      </c>
      <c r="J190" s="2">
        <f>[1]!b_anal_yield_cnbd(J$1,$B190,1)</f>
        <v>2.5348999999999999</v>
      </c>
    </row>
    <row r="191" spans="2:10" x14ac:dyDescent="0.15">
      <c r="B191" s="1">
        <v>45112</v>
      </c>
      <c r="C191" s="3">
        <f t="shared" ca="1" si="8"/>
        <v>2.4750000000000001</v>
      </c>
      <c r="D191" s="3">
        <f t="shared" ca="1" si="9"/>
        <v>2.4843600000000001</v>
      </c>
      <c r="E191" s="2">
        <f ca="1">[1]!b_anal_yield_cnbd(E$1,$B191,1)</f>
        <v>2.4750000000000001</v>
      </c>
      <c r="F191" s="3">
        <f t="shared" ca="1" si="10"/>
        <v>2.4843600000000001</v>
      </c>
      <c r="G191" s="2">
        <f ca="1">[1]!b_anal_yield_cnbd(G$1,$B191,1)</f>
        <v>2.4750000000000001</v>
      </c>
      <c r="H191" s="2">
        <f>[1]!b_anal_yield_cnbd(H$1,$B191,1)</f>
        <v>2.4750000000000001</v>
      </c>
      <c r="I191" s="2">
        <f>[1]!b_anal_yield_cnbd(I$1,$B191,1)</f>
        <v>2.4750000000000001</v>
      </c>
      <c r="J191" s="2">
        <f>[1]!b_anal_yield_cnbd(J$1,$B191,1)</f>
        <v>2.5373999999999999</v>
      </c>
    </row>
    <row r="192" spans="2:10" x14ac:dyDescent="0.15">
      <c r="B192" s="1">
        <v>45111</v>
      </c>
      <c r="C192" s="3">
        <f t="shared" ca="1" si="8"/>
        <v>2.4900000000000002</v>
      </c>
      <c r="D192" s="3">
        <f t="shared" ca="1" si="9"/>
        <v>2.4982350000000002</v>
      </c>
      <c r="E192" s="2">
        <f ca="1">[1]!b_anal_yield_cnbd(E$1,$B192,1)</f>
        <v>2.4900000000000002</v>
      </c>
      <c r="F192" s="3">
        <f t="shared" ca="1" si="10"/>
        <v>2.4982350000000002</v>
      </c>
      <c r="G192" s="2">
        <f ca="1">[1]!b_anal_yield_cnbd(G$1,$B192,1)</f>
        <v>2.4900000000000002</v>
      </c>
      <c r="H192" s="2">
        <f>[1]!b_anal_yield_cnbd(H$1,$B192,1)</f>
        <v>2.4900000000000002</v>
      </c>
      <c r="I192" s="2">
        <f>[1]!b_anal_yield_cnbd(I$1,$B192,1)</f>
        <v>2.4900000000000002</v>
      </c>
      <c r="J192" s="2">
        <f>[1]!b_anal_yield_cnbd(J$1,$B192,1)</f>
        <v>2.5449000000000002</v>
      </c>
    </row>
    <row r="193" spans="2:10" x14ac:dyDescent="0.15">
      <c r="B193" s="1">
        <v>45110</v>
      </c>
      <c r="C193" s="3">
        <f t="shared" ca="1" si="8"/>
        <v>2.4900000000000002</v>
      </c>
      <c r="D193" s="3">
        <f t="shared" ca="1" si="9"/>
        <v>2.4971100000000002</v>
      </c>
      <c r="E193" s="2">
        <f ca="1">[1]!b_anal_yield_cnbd(E$1,$B193,1)</f>
        <v>2.4900000000000002</v>
      </c>
      <c r="F193" s="3">
        <f t="shared" ca="1" si="10"/>
        <v>2.4971100000000002</v>
      </c>
      <c r="G193" s="2">
        <f ca="1">[1]!b_anal_yield_cnbd(G$1,$B193,1)</f>
        <v>2.4900000000000002</v>
      </c>
      <c r="H193" s="2">
        <f>[1]!b_anal_yield_cnbd(H$1,$B193,1)</f>
        <v>2.4900000000000002</v>
      </c>
      <c r="I193" s="2">
        <f>[1]!b_anal_yield_cnbd(I$1,$B193,1)</f>
        <v>2.4900000000000002</v>
      </c>
      <c r="J193" s="2">
        <f>[1]!b_anal_yield_cnbd(J$1,$B193,1)</f>
        <v>2.5373999999999999</v>
      </c>
    </row>
    <row r="194" spans="2:10" x14ac:dyDescent="0.15">
      <c r="B194" s="1">
        <v>45107</v>
      </c>
      <c r="C194" s="3">
        <f t="shared" ca="1" si="8"/>
        <v>2.48</v>
      </c>
      <c r="D194" s="3">
        <f t="shared" ca="1" si="9"/>
        <v>2.4874849999999999</v>
      </c>
      <c r="E194" s="2">
        <f ca="1">[1]!b_anal_yield_cnbd(E$1,$B194,1)</f>
        <v>2.48</v>
      </c>
      <c r="F194" s="3">
        <f t="shared" ca="1" si="10"/>
        <v>2.4874849999999999</v>
      </c>
      <c r="G194" s="2">
        <f ca="1">[1]!b_anal_yield_cnbd(G$1,$B194,1)</f>
        <v>2.48</v>
      </c>
      <c r="H194" s="2">
        <f>[1]!b_anal_yield_cnbd(H$1,$B194,1)</f>
        <v>2.48</v>
      </c>
      <c r="I194" s="2">
        <f>[1]!b_anal_yield_cnbd(I$1,$B194,1)</f>
        <v>2.48</v>
      </c>
      <c r="J194" s="2">
        <f>[1]!b_anal_yield_cnbd(J$1,$B194,1)</f>
        <v>2.5299</v>
      </c>
    </row>
    <row r="195" spans="2:10" x14ac:dyDescent="0.15">
      <c r="B195" s="1">
        <v>45106</v>
      </c>
      <c r="C195" s="3">
        <f t="shared" ref="C195:C258" ca="1" si="11">IF(E195&lt;&gt;0,IF(F195&lt;&gt;0,E195,0),0)</f>
        <v>2.5047000000000001</v>
      </c>
      <c r="D195" s="3">
        <f t="shared" ref="D195:D258" ca="1" si="12">IF(E195&lt;&gt;0,IF(F195&lt;&gt;0,F195,0),0)</f>
        <v>2.5129350000000001</v>
      </c>
      <c r="E195" s="2">
        <f ca="1">[1]!b_anal_yield_cnbd(E$1,$B195,1)</f>
        <v>2.5047000000000001</v>
      </c>
      <c r="F195" s="3">
        <f t="shared" ref="F195:F258" ca="1" si="13">SUMPRODUCT(G195:J195,$N$1:$Q$1)</f>
        <v>2.5129350000000001</v>
      </c>
      <c r="G195" s="2">
        <f ca="1">[1]!b_anal_yield_cnbd(G$1,$B195,1)</f>
        <v>2.5047000000000001</v>
      </c>
      <c r="H195" s="2">
        <f>[1]!b_anal_yield_cnbd(H$1,$B195,1)</f>
        <v>2.5047000000000001</v>
      </c>
      <c r="I195" s="2">
        <f>[1]!b_anal_yield_cnbd(I$1,$B195,1)</f>
        <v>2.5047000000000001</v>
      </c>
      <c r="J195" s="2">
        <f>[1]!b_anal_yield_cnbd(J$1,$B195,1)</f>
        <v>2.5596000000000001</v>
      </c>
    </row>
    <row r="196" spans="2:10" x14ac:dyDescent="0.15">
      <c r="B196" s="1">
        <v>45105</v>
      </c>
      <c r="C196" s="3">
        <f t="shared" ca="1" si="11"/>
        <v>2.5049999999999999</v>
      </c>
      <c r="D196" s="3">
        <f t="shared" ca="1" si="12"/>
        <v>2.5139849999999999</v>
      </c>
      <c r="E196" s="2">
        <f ca="1">[1]!b_anal_yield_cnbd(E$1,$B196,1)</f>
        <v>2.5049999999999999</v>
      </c>
      <c r="F196" s="3">
        <f t="shared" ca="1" si="13"/>
        <v>2.5139849999999999</v>
      </c>
      <c r="G196" s="2">
        <f ca="1">[1]!b_anal_yield_cnbd(G$1,$B196,1)</f>
        <v>2.5049999999999999</v>
      </c>
      <c r="H196" s="2">
        <f>[1]!b_anal_yield_cnbd(H$1,$B196,1)</f>
        <v>2.5049999999999999</v>
      </c>
      <c r="I196" s="2">
        <f>[1]!b_anal_yield_cnbd(I$1,$B196,1)</f>
        <v>2.5049999999999999</v>
      </c>
      <c r="J196" s="2">
        <f>[1]!b_anal_yield_cnbd(J$1,$B196,1)</f>
        <v>2.5649000000000002</v>
      </c>
    </row>
    <row r="197" spans="2:10" x14ac:dyDescent="0.15">
      <c r="B197" s="1">
        <v>45104</v>
      </c>
      <c r="C197" s="3">
        <f t="shared" ca="1" si="11"/>
        <v>2.5099999999999998</v>
      </c>
      <c r="D197" s="3">
        <f t="shared" ca="1" si="12"/>
        <v>2.5186099999999998</v>
      </c>
      <c r="E197" s="2">
        <f ca="1">[1]!b_anal_yield_cnbd(E$1,$B197,1)</f>
        <v>2.5099999999999998</v>
      </c>
      <c r="F197" s="3">
        <f t="shared" ca="1" si="13"/>
        <v>2.5186099999999998</v>
      </c>
      <c r="G197" s="2">
        <f ca="1">[1]!b_anal_yield_cnbd(G$1,$B197,1)</f>
        <v>2.5099999999999998</v>
      </c>
      <c r="H197" s="2">
        <f>[1]!b_anal_yield_cnbd(H$1,$B197,1)</f>
        <v>2.5099999999999998</v>
      </c>
      <c r="I197" s="2">
        <f>[1]!b_anal_yield_cnbd(I$1,$B197,1)</f>
        <v>2.5099999999999998</v>
      </c>
      <c r="J197" s="2">
        <f>[1]!b_anal_yield_cnbd(J$1,$B197,1)</f>
        <v>2.5674000000000001</v>
      </c>
    </row>
    <row r="198" spans="2:10" x14ac:dyDescent="0.15">
      <c r="B198" s="1">
        <v>45103</v>
      </c>
      <c r="C198" s="3">
        <f t="shared" ca="1" si="11"/>
        <v>2.5</v>
      </c>
      <c r="D198" s="3">
        <f t="shared" ca="1" si="12"/>
        <v>2.5070649999999999</v>
      </c>
      <c r="E198" s="2">
        <f ca="1">[1]!b_anal_yield_cnbd(E$1,$B198,1)</f>
        <v>2.5</v>
      </c>
      <c r="F198" s="3">
        <f t="shared" ca="1" si="13"/>
        <v>2.5070649999999999</v>
      </c>
      <c r="G198" s="2">
        <f ca="1">[1]!b_anal_yield_cnbd(G$1,$B198,1)</f>
        <v>2.5</v>
      </c>
      <c r="H198" s="2">
        <f>[1]!b_anal_yield_cnbd(H$1,$B198,1)</f>
        <v>2.5</v>
      </c>
      <c r="I198" s="2">
        <f>[1]!b_anal_yield_cnbd(I$1,$B198,1)</f>
        <v>2.5</v>
      </c>
      <c r="J198" s="2">
        <f>[1]!b_anal_yield_cnbd(J$1,$B198,1)</f>
        <v>2.5470999999999999</v>
      </c>
    </row>
    <row r="199" spans="2:10" x14ac:dyDescent="0.15">
      <c r="B199" s="1">
        <v>45102</v>
      </c>
      <c r="C199" s="3">
        <f t="shared" ca="1" si="11"/>
        <v>2.4998999999999998</v>
      </c>
      <c r="D199" s="3">
        <f t="shared" ca="1" si="12"/>
        <v>2.5067099999999995</v>
      </c>
      <c r="E199" s="2">
        <f ca="1">[1]!b_anal_yield_cnbd(E$1,$B199,1)</f>
        <v>2.4998999999999998</v>
      </c>
      <c r="F199" s="3">
        <f t="shared" ca="1" si="13"/>
        <v>2.5067099999999995</v>
      </c>
      <c r="G199" s="2">
        <f ca="1">[1]!b_anal_yield_cnbd(G$1,$B199,1)</f>
        <v>2.4998999999999998</v>
      </c>
      <c r="H199" s="2">
        <f>[1]!b_anal_yield_cnbd(H$1,$B199,1)</f>
        <v>2.4998999999999998</v>
      </c>
      <c r="I199" s="2">
        <f>[1]!b_anal_yield_cnbd(I$1,$B199,1)</f>
        <v>2.4998999999999998</v>
      </c>
      <c r="J199" s="2">
        <f>[1]!b_anal_yield_cnbd(J$1,$B199,1)</f>
        <v>2.5453000000000001</v>
      </c>
    </row>
    <row r="200" spans="2:10" x14ac:dyDescent="0.15">
      <c r="B200" s="1">
        <v>45098</v>
      </c>
      <c r="C200" s="3">
        <f t="shared" ca="1" si="11"/>
        <v>2.5099999999999998</v>
      </c>
      <c r="D200" s="3">
        <f t="shared" ca="1" si="12"/>
        <v>2.5182349999999998</v>
      </c>
      <c r="E200" s="2">
        <f ca="1">[1]!b_anal_yield_cnbd(E$1,$B200,1)</f>
        <v>2.5099999999999998</v>
      </c>
      <c r="F200" s="3">
        <f t="shared" ca="1" si="13"/>
        <v>2.5182349999999998</v>
      </c>
      <c r="G200" s="2">
        <f ca="1">[1]!b_anal_yield_cnbd(G$1,$B200,1)</f>
        <v>2.5099999999999998</v>
      </c>
      <c r="H200" s="2">
        <f>[1]!b_anal_yield_cnbd(H$1,$B200,1)</f>
        <v>2.5099999999999998</v>
      </c>
      <c r="I200" s="2">
        <f>[1]!b_anal_yield_cnbd(I$1,$B200,1)</f>
        <v>2.5099999999999998</v>
      </c>
      <c r="J200" s="2">
        <f>[1]!b_anal_yield_cnbd(J$1,$B200,1)</f>
        <v>2.5649000000000002</v>
      </c>
    </row>
    <row r="201" spans="2:10" x14ac:dyDescent="0.15">
      <c r="B201" s="1">
        <v>45097</v>
      </c>
      <c r="C201" s="3">
        <f t="shared" ca="1" si="11"/>
        <v>2.52</v>
      </c>
      <c r="D201" s="3">
        <f t="shared" ca="1" si="12"/>
        <v>2.52861</v>
      </c>
      <c r="E201" s="2">
        <f ca="1">[1]!b_anal_yield_cnbd(E$1,$B201,1)</f>
        <v>2.52</v>
      </c>
      <c r="F201" s="3">
        <f t="shared" ca="1" si="13"/>
        <v>2.52861</v>
      </c>
      <c r="G201" s="2">
        <f ca="1">[1]!b_anal_yield_cnbd(G$1,$B201,1)</f>
        <v>2.52</v>
      </c>
      <c r="H201" s="2">
        <f>[1]!b_anal_yield_cnbd(H$1,$B201,1)</f>
        <v>2.52</v>
      </c>
      <c r="I201" s="2">
        <f>[1]!b_anal_yield_cnbd(I$1,$B201,1)</f>
        <v>2.52</v>
      </c>
      <c r="J201" s="2">
        <f>[1]!b_anal_yield_cnbd(J$1,$B201,1)</f>
        <v>2.5773999999999999</v>
      </c>
    </row>
    <row r="202" spans="2:10" x14ac:dyDescent="0.15">
      <c r="B202" s="1">
        <v>45096</v>
      </c>
      <c r="C202" s="3">
        <f t="shared" ca="1" si="11"/>
        <v>2.5299999999999998</v>
      </c>
      <c r="D202" s="3">
        <f t="shared" ca="1" si="12"/>
        <v>2.5374850000000002</v>
      </c>
      <c r="E202" s="2">
        <f ca="1">[1]!b_anal_yield_cnbd(E$1,$B202,1)</f>
        <v>2.5299999999999998</v>
      </c>
      <c r="F202" s="3">
        <f t="shared" ca="1" si="13"/>
        <v>2.5374850000000002</v>
      </c>
      <c r="G202" s="2">
        <f ca="1">[1]!b_anal_yield_cnbd(G$1,$B202,1)</f>
        <v>2.5299999999999998</v>
      </c>
      <c r="H202" s="2">
        <f>[1]!b_anal_yield_cnbd(H$1,$B202,1)</f>
        <v>2.5299999999999998</v>
      </c>
      <c r="I202" s="2">
        <f>[1]!b_anal_yield_cnbd(I$1,$B202,1)</f>
        <v>2.5299999999999998</v>
      </c>
      <c r="J202" s="2">
        <f>[1]!b_anal_yield_cnbd(J$1,$B202,1)</f>
        <v>2.5798999999999999</v>
      </c>
    </row>
    <row r="203" spans="2:10" x14ac:dyDescent="0.15">
      <c r="B203" s="1">
        <v>45093</v>
      </c>
      <c r="C203" s="3">
        <f t="shared" ca="1" si="11"/>
        <v>2.5099999999999998</v>
      </c>
      <c r="D203" s="3">
        <f t="shared" ca="1" si="12"/>
        <v>2.5144849999999996</v>
      </c>
      <c r="E203" s="2">
        <f ca="1">[1]!b_anal_yield_cnbd(E$1,$B203,1)</f>
        <v>2.5099999999999998</v>
      </c>
      <c r="F203" s="3">
        <f t="shared" ca="1" si="13"/>
        <v>2.5144849999999996</v>
      </c>
      <c r="G203" s="2">
        <f ca="1">[1]!b_anal_yield_cnbd(G$1,$B203,1)</f>
        <v>2.5099999999999998</v>
      </c>
      <c r="H203" s="2">
        <f>[1]!b_anal_yield_cnbd(H$1,$B203,1)</f>
        <v>2.5099999999999998</v>
      </c>
      <c r="I203" s="2">
        <f>[1]!b_anal_yield_cnbd(I$1,$B203,1)</f>
        <v>2.5099999999999998</v>
      </c>
      <c r="J203" s="2">
        <f>[1]!b_anal_yield_cnbd(J$1,$B203,1)</f>
        <v>2.5398999999999998</v>
      </c>
    </row>
    <row r="204" spans="2:10" x14ac:dyDescent="0.15">
      <c r="B204" s="1">
        <v>45092</v>
      </c>
      <c r="C204" s="3">
        <f t="shared" ca="1" si="11"/>
        <v>2.4838</v>
      </c>
      <c r="D204" s="3">
        <f t="shared" ca="1" si="12"/>
        <v>2.4907149999999998</v>
      </c>
      <c r="E204" s="2">
        <f ca="1">[1]!b_anal_yield_cnbd(E$1,$B204,1)</f>
        <v>2.4838</v>
      </c>
      <c r="F204" s="3">
        <f t="shared" ca="1" si="13"/>
        <v>2.4907149999999998</v>
      </c>
      <c r="G204" s="2">
        <f ca="1">[1]!b_anal_yield_cnbd(G$1,$B204,1)</f>
        <v>2.4838</v>
      </c>
      <c r="H204" s="2">
        <f>[1]!b_anal_yield_cnbd(H$1,$B204,1)</f>
        <v>2.4838</v>
      </c>
      <c r="I204" s="2">
        <f>[1]!b_anal_yield_cnbd(I$1,$B204,1)</f>
        <v>2.4838</v>
      </c>
      <c r="J204" s="2">
        <f>[1]!b_anal_yield_cnbd(J$1,$B204,1)</f>
        <v>2.5299</v>
      </c>
    </row>
    <row r="205" spans="2:10" x14ac:dyDescent="0.15">
      <c r="B205" s="1">
        <v>45091</v>
      </c>
      <c r="C205" s="3">
        <f t="shared" ca="1" si="11"/>
        <v>2.4437000000000002</v>
      </c>
      <c r="D205" s="3">
        <f t="shared" ca="1" si="12"/>
        <v>2.4525200000000003</v>
      </c>
      <c r="E205" s="2">
        <f ca="1">[1]!b_anal_yield_cnbd(E$1,$B205,1)</f>
        <v>2.4437000000000002</v>
      </c>
      <c r="F205" s="3">
        <f t="shared" ca="1" si="13"/>
        <v>2.4525200000000003</v>
      </c>
      <c r="G205" s="2">
        <f ca="1">[1]!b_anal_yield_cnbd(G$1,$B205,1)</f>
        <v>2.4437000000000002</v>
      </c>
      <c r="H205" s="2">
        <f>[1]!b_anal_yield_cnbd(H$1,$B205,1)</f>
        <v>2.4437000000000002</v>
      </c>
      <c r="I205" s="2">
        <f>[1]!b_anal_yield_cnbd(I$1,$B205,1)</f>
        <v>2.4437000000000002</v>
      </c>
      <c r="J205" s="2">
        <f>[1]!b_anal_yield_cnbd(J$1,$B205,1)</f>
        <v>2.5024999999999999</v>
      </c>
    </row>
    <row r="206" spans="2:10" x14ac:dyDescent="0.15">
      <c r="B206" s="1">
        <v>45090</v>
      </c>
      <c r="C206" s="3">
        <f t="shared" ca="1" si="11"/>
        <v>2.4500000000000002</v>
      </c>
      <c r="D206" s="3">
        <f t="shared" ca="1" si="12"/>
        <v>2.4574850000000001</v>
      </c>
      <c r="E206" s="2">
        <f ca="1">[1]!b_anal_yield_cnbd(E$1,$B206,1)</f>
        <v>2.4500000000000002</v>
      </c>
      <c r="F206" s="3">
        <f t="shared" ca="1" si="13"/>
        <v>2.4574850000000001</v>
      </c>
      <c r="G206" s="2">
        <f ca="1">[1]!b_anal_yield_cnbd(G$1,$B206,1)</f>
        <v>2.4500000000000002</v>
      </c>
      <c r="H206" s="2">
        <f>[1]!b_anal_yield_cnbd(H$1,$B206,1)</f>
        <v>2.4500000000000002</v>
      </c>
      <c r="I206" s="2">
        <f>[1]!b_anal_yield_cnbd(I$1,$B206,1)</f>
        <v>2.4500000000000002</v>
      </c>
      <c r="J206" s="2">
        <f>[1]!b_anal_yield_cnbd(J$1,$B206,1)</f>
        <v>2.4998999999999998</v>
      </c>
    </row>
    <row r="207" spans="2:10" x14ac:dyDescent="0.15">
      <c r="B207" s="1">
        <v>45089</v>
      </c>
      <c r="C207" s="3">
        <f t="shared" ca="1" si="11"/>
        <v>2.4900000000000002</v>
      </c>
      <c r="D207" s="3">
        <f t="shared" ca="1" si="12"/>
        <v>2.4972000000000003</v>
      </c>
      <c r="E207" s="2">
        <f ca="1">[1]!b_anal_yield_cnbd(E$1,$B207,1)</f>
        <v>2.4900000000000002</v>
      </c>
      <c r="F207" s="3">
        <f t="shared" ca="1" si="13"/>
        <v>2.4972000000000003</v>
      </c>
      <c r="G207" s="2">
        <f ca="1">[1]!b_anal_yield_cnbd(G$1,$B207,1)</f>
        <v>2.4900000000000002</v>
      </c>
      <c r="H207" s="2">
        <f>[1]!b_anal_yield_cnbd(H$1,$B207,1)</f>
        <v>2.4900000000000002</v>
      </c>
      <c r="I207" s="2">
        <f>[1]!b_anal_yield_cnbd(I$1,$B207,1)</f>
        <v>2.4900000000000002</v>
      </c>
      <c r="J207" s="2">
        <f>[1]!b_anal_yield_cnbd(J$1,$B207,1)</f>
        <v>2.5379999999999998</v>
      </c>
    </row>
    <row r="208" spans="2:10" x14ac:dyDescent="0.15">
      <c r="B208" s="1">
        <v>45086</v>
      </c>
      <c r="C208" s="3">
        <f t="shared" ca="1" si="11"/>
        <v>2.4900000000000002</v>
      </c>
      <c r="D208" s="3">
        <f t="shared" ca="1" si="12"/>
        <v>2.4974850000000002</v>
      </c>
      <c r="E208" s="2">
        <f ca="1">[1]!b_anal_yield_cnbd(E$1,$B208,1)</f>
        <v>2.4900000000000002</v>
      </c>
      <c r="F208" s="3">
        <f t="shared" ca="1" si="13"/>
        <v>2.4974850000000002</v>
      </c>
      <c r="G208" s="2">
        <f ca="1">[1]!b_anal_yield_cnbd(G$1,$B208,1)</f>
        <v>2.4900000000000002</v>
      </c>
      <c r="H208" s="2">
        <f>[1]!b_anal_yield_cnbd(H$1,$B208,1)</f>
        <v>2.4900000000000002</v>
      </c>
      <c r="I208" s="2">
        <f>[1]!b_anal_yield_cnbd(I$1,$B208,1)</f>
        <v>2.4900000000000002</v>
      </c>
      <c r="J208" s="2">
        <f>[1]!b_anal_yield_cnbd(J$1,$B208,1)</f>
        <v>2.5398999999999998</v>
      </c>
    </row>
    <row r="209" spans="2:10" x14ac:dyDescent="0.15">
      <c r="B209" s="1">
        <v>45085</v>
      </c>
      <c r="C209" s="3">
        <f t="shared" ca="1" si="11"/>
        <v>2.5049000000000001</v>
      </c>
      <c r="D209" s="3">
        <f t="shared" ca="1" si="12"/>
        <v>2.5117249999999998</v>
      </c>
      <c r="E209" s="2">
        <f ca="1">[1]!b_anal_yield_cnbd(E$1,$B209,1)</f>
        <v>2.5049000000000001</v>
      </c>
      <c r="F209" s="3">
        <f t="shared" ca="1" si="13"/>
        <v>2.5117249999999998</v>
      </c>
      <c r="G209" s="2">
        <f ca="1">[1]!b_anal_yield_cnbd(G$1,$B209,1)</f>
        <v>2.5049000000000001</v>
      </c>
      <c r="H209" s="2">
        <f>[1]!b_anal_yield_cnbd(H$1,$B209,1)</f>
        <v>2.5049000000000001</v>
      </c>
      <c r="I209" s="2">
        <f>[1]!b_anal_yield_cnbd(I$1,$B209,1)</f>
        <v>2.5049000000000001</v>
      </c>
      <c r="J209" s="2">
        <f>[1]!b_anal_yield_cnbd(J$1,$B209,1)</f>
        <v>2.5503999999999998</v>
      </c>
    </row>
    <row r="210" spans="2:10" x14ac:dyDescent="0.15">
      <c r="B210" s="1">
        <v>45084</v>
      </c>
      <c r="C210" s="3">
        <f t="shared" ca="1" si="11"/>
        <v>2.5024999999999999</v>
      </c>
      <c r="D210" s="3">
        <f t="shared" ca="1" si="12"/>
        <v>2.5120100000000001</v>
      </c>
      <c r="E210" s="2">
        <f ca="1">[1]!b_anal_yield_cnbd(E$1,$B210,1)</f>
        <v>2.5024999999999999</v>
      </c>
      <c r="F210" s="3">
        <f t="shared" ca="1" si="13"/>
        <v>2.5120100000000001</v>
      </c>
      <c r="G210" s="2">
        <f ca="1">[1]!b_anal_yield_cnbd(G$1,$B210,1)</f>
        <v>2.5024999999999999</v>
      </c>
      <c r="H210" s="2">
        <f>[1]!b_anal_yield_cnbd(H$1,$B210,1)</f>
        <v>2.5024999999999999</v>
      </c>
      <c r="I210" s="2">
        <f>[1]!b_anal_yield_cnbd(I$1,$B210,1)</f>
        <v>2.5024999999999999</v>
      </c>
      <c r="J210" s="2">
        <f>[1]!b_anal_yield_cnbd(J$1,$B210,1)</f>
        <v>2.5659000000000001</v>
      </c>
    </row>
    <row r="211" spans="2:10" x14ac:dyDescent="0.15">
      <c r="B211" s="1">
        <v>45083</v>
      </c>
      <c r="C211" s="3">
        <f t="shared" ca="1" si="11"/>
        <v>2.5099999999999998</v>
      </c>
      <c r="D211" s="3">
        <f t="shared" ca="1" si="12"/>
        <v>2.5204849999999999</v>
      </c>
      <c r="E211" s="2">
        <f ca="1">[1]!b_anal_yield_cnbd(E$1,$B211,1)</f>
        <v>2.5099999999999998</v>
      </c>
      <c r="F211" s="3">
        <f t="shared" ca="1" si="13"/>
        <v>2.5204849999999999</v>
      </c>
      <c r="G211" s="2">
        <f ca="1">[1]!b_anal_yield_cnbd(G$1,$B211,1)</f>
        <v>2.5099999999999998</v>
      </c>
      <c r="H211" s="2">
        <f>[1]!b_anal_yield_cnbd(H$1,$B211,1)</f>
        <v>2.5099999999999998</v>
      </c>
      <c r="I211" s="2">
        <f>[1]!b_anal_yield_cnbd(I$1,$B211,1)</f>
        <v>2.5099999999999998</v>
      </c>
      <c r="J211" s="2">
        <f>[1]!b_anal_yield_cnbd(J$1,$B211,1)</f>
        <v>2.5798999999999999</v>
      </c>
    </row>
    <row r="212" spans="2:10" x14ac:dyDescent="0.15">
      <c r="B212" s="1">
        <v>45082</v>
      </c>
      <c r="C212" s="3">
        <f t="shared" ca="1" si="11"/>
        <v>2.52</v>
      </c>
      <c r="D212" s="3">
        <f t="shared" ca="1" si="12"/>
        <v>2.5308599999999997</v>
      </c>
      <c r="E212" s="2">
        <f ca="1">[1]!b_anal_yield_cnbd(E$1,$B212,1)</f>
        <v>2.52</v>
      </c>
      <c r="F212" s="3">
        <f t="shared" ca="1" si="13"/>
        <v>2.5308599999999997</v>
      </c>
      <c r="G212" s="2">
        <f ca="1">[1]!b_anal_yield_cnbd(G$1,$B212,1)</f>
        <v>2.52</v>
      </c>
      <c r="H212" s="2">
        <f>[1]!b_anal_yield_cnbd(H$1,$B212,1)</f>
        <v>2.52</v>
      </c>
      <c r="I212" s="2">
        <f>[1]!b_anal_yield_cnbd(I$1,$B212,1)</f>
        <v>2.52</v>
      </c>
      <c r="J212" s="2">
        <f>[1]!b_anal_yield_cnbd(J$1,$B212,1)</f>
        <v>2.5924</v>
      </c>
    </row>
    <row r="213" spans="2:10" x14ac:dyDescent="0.15">
      <c r="B213" s="1">
        <v>45079</v>
      </c>
      <c r="C213" s="3">
        <f t="shared" ca="1" si="11"/>
        <v>2.52</v>
      </c>
      <c r="D213" s="3">
        <f t="shared" ca="1" si="12"/>
        <v>2.5319849999999997</v>
      </c>
      <c r="E213" s="2">
        <f ca="1">[1]!b_anal_yield_cnbd(E$1,$B213,1)</f>
        <v>2.52</v>
      </c>
      <c r="F213" s="3">
        <f t="shared" ca="1" si="13"/>
        <v>2.5319849999999997</v>
      </c>
      <c r="G213" s="2">
        <f ca="1">[1]!b_anal_yield_cnbd(G$1,$B213,1)</f>
        <v>2.52</v>
      </c>
      <c r="H213" s="2">
        <f>[1]!b_anal_yield_cnbd(H$1,$B213,1)</f>
        <v>2.52</v>
      </c>
      <c r="I213" s="2">
        <f>[1]!b_anal_yield_cnbd(I$1,$B213,1)</f>
        <v>2.52</v>
      </c>
      <c r="J213" s="2">
        <f>[1]!b_anal_yield_cnbd(J$1,$B213,1)</f>
        <v>2.5998999999999999</v>
      </c>
    </row>
    <row r="214" spans="2:10" x14ac:dyDescent="0.15">
      <c r="B214" s="1">
        <v>45078</v>
      </c>
      <c r="C214" s="3">
        <f t="shared" ca="1" si="11"/>
        <v>2.5</v>
      </c>
      <c r="D214" s="3">
        <f t="shared" ca="1" si="12"/>
        <v>2.5127350000000002</v>
      </c>
      <c r="E214" s="2">
        <f ca="1">[1]!b_anal_yield_cnbd(E$1,$B214,1)</f>
        <v>2.5</v>
      </c>
      <c r="F214" s="3">
        <f t="shared" ca="1" si="13"/>
        <v>2.5127350000000002</v>
      </c>
      <c r="G214" s="2">
        <f ca="1">[1]!b_anal_yield_cnbd(G$1,$B214,1)</f>
        <v>2.5</v>
      </c>
      <c r="H214" s="2">
        <f>[1]!b_anal_yield_cnbd(H$1,$B214,1)</f>
        <v>2.5</v>
      </c>
      <c r="I214" s="2">
        <f>[1]!b_anal_yield_cnbd(I$1,$B214,1)</f>
        <v>2.5</v>
      </c>
      <c r="J214" s="2">
        <f>[1]!b_anal_yield_cnbd(J$1,$B214,1)</f>
        <v>2.5849000000000002</v>
      </c>
    </row>
    <row r="215" spans="2:10" x14ac:dyDescent="0.15">
      <c r="B215" s="1">
        <v>45077</v>
      </c>
      <c r="C215" s="3">
        <f t="shared" ca="1" si="11"/>
        <v>2.5196999999999998</v>
      </c>
      <c r="D215" s="3">
        <f t="shared" ca="1" si="12"/>
        <v>2.5309349999999999</v>
      </c>
      <c r="E215" s="2">
        <f ca="1">[1]!b_anal_yield_cnbd(E$1,$B215,1)</f>
        <v>2.5196999999999998</v>
      </c>
      <c r="F215" s="3">
        <f t="shared" ca="1" si="13"/>
        <v>2.5309349999999999</v>
      </c>
      <c r="G215" s="2">
        <f ca="1">[1]!b_anal_yield_cnbd(G$1,$B215,1)</f>
        <v>2.5196999999999998</v>
      </c>
      <c r="H215" s="2">
        <f>[1]!b_anal_yield_cnbd(H$1,$B215,1)</f>
        <v>2.5196999999999998</v>
      </c>
      <c r="I215" s="2">
        <f>[1]!b_anal_yield_cnbd(I$1,$B215,1)</f>
        <v>2.5196999999999998</v>
      </c>
      <c r="J215" s="2">
        <f>[1]!b_anal_yield_cnbd(J$1,$B215,1)</f>
        <v>2.5945999999999998</v>
      </c>
    </row>
    <row r="216" spans="2:10" x14ac:dyDescent="0.15">
      <c r="B216" s="1">
        <v>45076</v>
      </c>
      <c r="C216" s="3">
        <f t="shared" ca="1" si="11"/>
        <v>2.5350000000000001</v>
      </c>
      <c r="D216" s="3">
        <f t="shared" ca="1" si="12"/>
        <v>2.5469850000000003</v>
      </c>
      <c r="E216" s="2">
        <f ca="1">[1]!b_anal_yield_cnbd(E$1,$B216,1)</f>
        <v>2.5350000000000001</v>
      </c>
      <c r="F216" s="3">
        <f t="shared" ca="1" si="13"/>
        <v>2.5469850000000003</v>
      </c>
      <c r="G216" s="2">
        <f ca="1">[1]!b_anal_yield_cnbd(G$1,$B216,1)</f>
        <v>2.5350000000000001</v>
      </c>
      <c r="H216" s="2">
        <f>[1]!b_anal_yield_cnbd(H$1,$B216,1)</f>
        <v>2.5350000000000001</v>
      </c>
      <c r="I216" s="2">
        <f>[1]!b_anal_yield_cnbd(I$1,$B216,1)</f>
        <v>2.5350000000000001</v>
      </c>
      <c r="J216" s="2">
        <f>[1]!b_anal_yield_cnbd(J$1,$B216,1)</f>
        <v>2.6149</v>
      </c>
    </row>
    <row r="217" spans="2:10" x14ac:dyDescent="0.15">
      <c r="B217" s="1">
        <v>45075</v>
      </c>
      <c r="C217" s="3">
        <f t="shared" ca="1" si="11"/>
        <v>2.5375000000000001</v>
      </c>
      <c r="D217" s="3">
        <f t="shared" ca="1" si="12"/>
        <v>2.5494850000000002</v>
      </c>
      <c r="E217" s="2">
        <f ca="1">[1]!b_anal_yield_cnbd(E$1,$B217,1)</f>
        <v>2.5375000000000001</v>
      </c>
      <c r="F217" s="3">
        <f t="shared" ca="1" si="13"/>
        <v>2.5494850000000002</v>
      </c>
      <c r="G217" s="2">
        <f ca="1">[1]!b_anal_yield_cnbd(G$1,$B217,1)</f>
        <v>2.5375000000000001</v>
      </c>
      <c r="H217" s="2">
        <f>[1]!b_anal_yield_cnbd(H$1,$B217,1)</f>
        <v>2.5375000000000001</v>
      </c>
      <c r="I217" s="2">
        <f>[1]!b_anal_yield_cnbd(I$1,$B217,1)</f>
        <v>2.5375000000000001</v>
      </c>
      <c r="J217" s="2">
        <f>[1]!b_anal_yield_cnbd(J$1,$B217,1)</f>
        <v>2.6173999999999999</v>
      </c>
    </row>
    <row r="218" spans="2:10" x14ac:dyDescent="0.15">
      <c r="B218" s="1">
        <v>45072</v>
      </c>
      <c r="C218" s="3">
        <f t="shared" ca="1" si="11"/>
        <v>2.5474999999999999</v>
      </c>
      <c r="D218" s="3">
        <f t="shared" ca="1" si="12"/>
        <v>2.55911</v>
      </c>
      <c r="E218" s="2">
        <f ca="1">[1]!b_anal_yield_cnbd(E$1,$B218,1)</f>
        <v>2.5474999999999999</v>
      </c>
      <c r="F218" s="3">
        <f t="shared" ca="1" si="13"/>
        <v>2.55911</v>
      </c>
      <c r="G218" s="2">
        <f ca="1">[1]!b_anal_yield_cnbd(G$1,$B218,1)</f>
        <v>2.5474999999999999</v>
      </c>
      <c r="H218" s="2">
        <f>[1]!b_anal_yield_cnbd(H$1,$B218,1)</f>
        <v>2.5474999999999999</v>
      </c>
      <c r="I218" s="2">
        <f>[1]!b_anal_yield_cnbd(I$1,$B218,1)</f>
        <v>2.5474999999999999</v>
      </c>
      <c r="J218" s="2">
        <f>[1]!b_anal_yield_cnbd(J$1,$B218,1)</f>
        <v>2.6248999999999998</v>
      </c>
    </row>
    <row r="219" spans="2:10" x14ac:dyDescent="0.15">
      <c r="B219" s="1">
        <v>45071</v>
      </c>
      <c r="C219" s="3">
        <f t="shared" ca="1" si="11"/>
        <v>2.5474999999999999</v>
      </c>
      <c r="D219" s="3">
        <f t="shared" ca="1" si="12"/>
        <v>2.5572349999999999</v>
      </c>
      <c r="E219" s="2">
        <f ca="1">[1]!b_anal_yield_cnbd(E$1,$B219,1)</f>
        <v>2.5474999999999999</v>
      </c>
      <c r="F219" s="3">
        <f t="shared" ca="1" si="13"/>
        <v>2.5572349999999999</v>
      </c>
      <c r="G219" s="2">
        <f ca="1">[1]!b_anal_yield_cnbd(G$1,$B219,1)</f>
        <v>2.5474999999999999</v>
      </c>
      <c r="H219" s="2">
        <f>[1]!b_anal_yield_cnbd(H$1,$B219,1)</f>
        <v>2.5474999999999999</v>
      </c>
      <c r="I219" s="2">
        <f>[1]!b_anal_yield_cnbd(I$1,$B219,1)</f>
        <v>2.5474999999999999</v>
      </c>
      <c r="J219" s="2">
        <f>[1]!b_anal_yield_cnbd(J$1,$B219,1)</f>
        <v>2.6124000000000001</v>
      </c>
    </row>
    <row r="220" spans="2:10" x14ac:dyDescent="0.15">
      <c r="B220" s="1">
        <v>45070</v>
      </c>
      <c r="C220" s="3">
        <f t="shared" ca="1" si="11"/>
        <v>2.5425</v>
      </c>
      <c r="D220" s="3">
        <f t="shared" ca="1" si="12"/>
        <v>2.553375</v>
      </c>
      <c r="E220" s="2">
        <f ca="1">[1]!b_anal_yield_cnbd(E$1,$B220,1)</f>
        <v>2.5425</v>
      </c>
      <c r="F220" s="3">
        <f t="shared" ca="1" si="13"/>
        <v>2.553375</v>
      </c>
      <c r="G220" s="2">
        <f ca="1">[1]!b_anal_yield_cnbd(G$1,$B220,1)</f>
        <v>2.5425</v>
      </c>
      <c r="H220" s="2">
        <f>[1]!b_anal_yield_cnbd(H$1,$B220,1)</f>
        <v>2.5425</v>
      </c>
      <c r="I220" s="2">
        <f>[1]!b_anal_yield_cnbd(I$1,$B220,1)</f>
        <v>2.5425</v>
      </c>
      <c r="J220" s="2">
        <f>[1]!b_anal_yield_cnbd(J$1,$B220,1)</f>
        <v>2.6150000000000002</v>
      </c>
    </row>
    <row r="221" spans="2:10" x14ac:dyDescent="0.15">
      <c r="B221" s="1">
        <v>45069</v>
      </c>
      <c r="C221" s="3">
        <f t="shared" ca="1" si="11"/>
        <v>2.5396000000000001</v>
      </c>
      <c r="D221" s="3">
        <f t="shared" ca="1" si="12"/>
        <v>2.5500999999999996</v>
      </c>
      <c r="E221" s="2">
        <f ca="1">[1]!b_anal_yield_cnbd(E$1,$B221,1)</f>
        <v>2.5396000000000001</v>
      </c>
      <c r="F221" s="3">
        <f t="shared" ca="1" si="13"/>
        <v>2.5500999999999996</v>
      </c>
      <c r="G221" s="2">
        <f ca="1">[1]!b_anal_yield_cnbd(G$1,$B221,1)</f>
        <v>2.5396000000000001</v>
      </c>
      <c r="H221" s="2">
        <f>[1]!b_anal_yield_cnbd(H$1,$B221,1)</f>
        <v>2.5396000000000001</v>
      </c>
      <c r="I221" s="2">
        <f>[1]!b_anal_yield_cnbd(I$1,$B221,1)</f>
        <v>2.5396000000000001</v>
      </c>
      <c r="J221" s="2">
        <f>[1]!b_anal_yield_cnbd(J$1,$B221,1)</f>
        <v>2.6095999999999999</v>
      </c>
    </row>
    <row r="222" spans="2:10" x14ac:dyDescent="0.15">
      <c r="B222" s="1">
        <v>45068</v>
      </c>
      <c r="C222" s="3">
        <f t="shared" ca="1" si="11"/>
        <v>2.57</v>
      </c>
      <c r="D222" s="3">
        <f t="shared" ca="1" si="12"/>
        <v>2.5782499999999997</v>
      </c>
      <c r="E222" s="2">
        <f ca="1">[1]!b_anal_yield_cnbd(E$1,$B222,1)</f>
        <v>2.57</v>
      </c>
      <c r="F222" s="3">
        <f t="shared" ca="1" si="13"/>
        <v>2.5782499999999997</v>
      </c>
      <c r="G222" s="2">
        <f ca="1">[1]!b_anal_yield_cnbd(G$1,$B222,1)</f>
        <v>2.57</v>
      </c>
      <c r="H222" s="2">
        <f>[1]!b_anal_yield_cnbd(H$1,$B222,1)</f>
        <v>2.57</v>
      </c>
      <c r="I222" s="2">
        <f>[1]!b_anal_yield_cnbd(I$1,$B222,1)</f>
        <v>2.57</v>
      </c>
      <c r="J222" s="2">
        <f>[1]!b_anal_yield_cnbd(J$1,$B222,1)</f>
        <v>2.625</v>
      </c>
    </row>
    <row r="223" spans="2:10" x14ac:dyDescent="0.15">
      <c r="B223" s="1">
        <v>45065</v>
      </c>
      <c r="C223" s="3">
        <f t="shared" ca="1" si="11"/>
        <v>2.5872000000000002</v>
      </c>
      <c r="D223" s="3">
        <f t="shared" ca="1" si="12"/>
        <v>2.5950600000000001</v>
      </c>
      <c r="E223" s="2">
        <f ca="1">[1]!b_anal_yield_cnbd(E$1,$B223,1)</f>
        <v>2.5872000000000002</v>
      </c>
      <c r="F223" s="3">
        <f t="shared" ca="1" si="13"/>
        <v>2.5950600000000001</v>
      </c>
      <c r="G223" s="2">
        <f ca="1">[1]!b_anal_yield_cnbd(G$1,$B223,1)</f>
        <v>2.5872000000000002</v>
      </c>
      <c r="H223" s="2">
        <f>[1]!b_anal_yield_cnbd(H$1,$B223,1)</f>
        <v>2.5872000000000002</v>
      </c>
      <c r="I223" s="2">
        <f>[1]!b_anal_yield_cnbd(I$1,$B223,1)</f>
        <v>2.5872000000000002</v>
      </c>
      <c r="J223" s="2">
        <f>[1]!b_anal_yield_cnbd(J$1,$B223,1)</f>
        <v>2.6396000000000002</v>
      </c>
    </row>
    <row r="224" spans="2:10" x14ac:dyDescent="0.15">
      <c r="B224" s="1">
        <v>45064</v>
      </c>
      <c r="C224" s="3">
        <f t="shared" ca="1" si="11"/>
        <v>2.6</v>
      </c>
      <c r="D224" s="3">
        <f t="shared" ca="1" si="12"/>
        <v>2.6082350000000001</v>
      </c>
      <c r="E224" s="2">
        <f ca="1">[1]!b_anal_yield_cnbd(E$1,$B224,1)</f>
        <v>2.6</v>
      </c>
      <c r="F224" s="3">
        <f t="shared" ca="1" si="13"/>
        <v>2.6082350000000001</v>
      </c>
      <c r="G224" s="2">
        <f ca="1">[1]!b_anal_yield_cnbd(G$1,$B224,1)</f>
        <v>2.6</v>
      </c>
      <c r="H224" s="2">
        <f>[1]!b_anal_yield_cnbd(H$1,$B224,1)</f>
        <v>2.6</v>
      </c>
      <c r="I224" s="2">
        <f>[1]!b_anal_yield_cnbd(I$1,$B224,1)</f>
        <v>2.6</v>
      </c>
      <c r="J224" s="2">
        <f>[1]!b_anal_yield_cnbd(J$1,$B224,1)</f>
        <v>2.6549</v>
      </c>
    </row>
    <row r="225" spans="2:10" x14ac:dyDescent="0.15">
      <c r="B225" s="1">
        <v>45063</v>
      </c>
      <c r="C225" s="3">
        <f t="shared" ca="1" si="11"/>
        <v>2.6</v>
      </c>
      <c r="D225" s="3">
        <f t="shared" ca="1" si="12"/>
        <v>2.6078749999999999</v>
      </c>
      <c r="E225" s="2">
        <f ca="1">[1]!b_anal_yield_cnbd(E$1,$B225,1)</f>
        <v>2.6</v>
      </c>
      <c r="F225" s="3">
        <f t="shared" ca="1" si="13"/>
        <v>2.6078749999999999</v>
      </c>
      <c r="G225" s="2">
        <f ca="1">[1]!b_anal_yield_cnbd(G$1,$B225,1)</f>
        <v>2.6</v>
      </c>
      <c r="H225" s="2">
        <f>[1]!b_anal_yield_cnbd(H$1,$B225,1)</f>
        <v>2.6</v>
      </c>
      <c r="I225" s="2">
        <f>[1]!b_anal_yield_cnbd(I$1,$B225,1)</f>
        <v>2.6</v>
      </c>
      <c r="J225" s="2">
        <f>[1]!b_anal_yield_cnbd(J$1,$B225,1)</f>
        <v>2.6524999999999999</v>
      </c>
    </row>
    <row r="226" spans="2:10" x14ac:dyDescent="0.15">
      <c r="B226" s="1">
        <v>45062</v>
      </c>
      <c r="C226" s="3">
        <f t="shared" ca="1" si="11"/>
        <v>2.5998999999999999</v>
      </c>
      <c r="D226" s="3">
        <f t="shared" ca="1" si="12"/>
        <v>2.6077749999999997</v>
      </c>
      <c r="E226" s="2">
        <f ca="1">[1]!b_anal_yield_cnbd(E$1,$B226,1)</f>
        <v>2.5998999999999999</v>
      </c>
      <c r="F226" s="3">
        <f t="shared" ca="1" si="13"/>
        <v>2.6077749999999997</v>
      </c>
      <c r="G226" s="2">
        <f ca="1">[1]!b_anal_yield_cnbd(G$1,$B226,1)</f>
        <v>2.5998999999999999</v>
      </c>
      <c r="H226" s="2">
        <f>[1]!b_anal_yield_cnbd(H$1,$B226,1)</f>
        <v>2.5998999999999999</v>
      </c>
      <c r="I226" s="2">
        <f>[1]!b_anal_yield_cnbd(I$1,$B226,1)</f>
        <v>2.5998999999999999</v>
      </c>
      <c r="J226" s="2">
        <f>[1]!b_anal_yield_cnbd(J$1,$B226,1)</f>
        <v>2.6524000000000001</v>
      </c>
    </row>
    <row r="227" spans="2:10" x14ac:dyDescent="0.15">
      <c r="B227" s="1">
        <v>45061</v>
      </c>
      <c r="C227" s="3">
        <f t="shared" ca="1" si="11"/>
        <v>2.5950000000000002</v>
      </c>
      <c r="D227" s="3">
        <f t="shared" ca="1" si="12"/>
        <v>2.6036250000000001</v>
      </c>
      <c r="E227" s="2">
        <f ca="1">[1]!b_anal_yield_cnbd(E$1,$B227,1)</f>
        <v>2.5950000000000002</v>
      </c>
      <c r="F227" s="3">
        <f t="shared" ca="1" si="13"/>
        <v>2.6036250000000001</v>
      </c>
      <c r="G227" s="2">
        <f ca="1">[1]!b_anal_yield_cnbd(G$1,$B227,1)</f>
        <v>2.5950000000000002</v>
      </c>
      <c r="H227" s="2">
        <f>[1]!b_anal_yield_cnbd(H$1,$B227,1)</f>
        <v>2.5950000000000002</v>
      </c>
      <c r="I227" s="2">
        <f>[1]!b_anal_yield_cnbd(I$1,$B227,1)</f>
        <v>2.5950000000000002</v>
      </c>
      <c r="J227" s="2">
        <f>[1]!b_anal_yield_cnbd(J$1,$B227,1)</f>
        <v>2.6524999999999999</v>
      </c>
    </row>
    <row r="228" spans="2:10" x14ac:dyDescent="0.15">
      <c r="B228" s="1">
        <v>45058</v>
      </c>
      <c r="C228" s="3">
        <f t="shared" ca="1" si="11"/>
        <v>2.585</v>
      </c>
      <c r="D228" s="3">
        <f t="shared" ca="1" si="12"/>
        <v>2.593985</v>
      </c>
      <c r="E228" s="2">
        <f ca="1">[1]!b_anal_yield_cnbd(E$1,$B228,1)</f>
        <v>2.585</v>
      </c>
      <c r="F228" s="3">
        <f t="shared" ca="1" si="13"/>
        <v>2.593985</v>
      </c>
      <c r="G228" s="2">
        <f ca="1">[1]!b_anal_yield_cnbd(G$1,$B228,1)</f>
        <v>2.585</v>
      </c>
      <c r="H228" s="2">
        <f>[1]!b_anal_yield_cnbd(H$1,$B228,1)</f>
        <v>2.585</v>
      </c>
      <c r="I228" s="2">
        <f>[1]!b_anal_yield_cnbd(I$1,$B228,1)</f>
        <v>2.585</v>
      </c>
      <c r="J228" s="2">
        <f>[1]!b_anal_yield_cnbd(J$1,$B228,1)</f>
        <v>2.6448999999999998</v>
      </c>
    </row>
    <row r="229" spans="2:10" x14ac:dyDescent="0.15">
      <c r="B229" s="1">
        <v>45057</v>
      </c>
      <c r="C229" s="3">
        <f t="shared" ca="1" si="11"/>
        <v>2.5825</v>
      </c>
      <c r="D229" s="3">
        <f t="shared" ca="1" si="12"/>
        <v>2.5911249999999999</v>
      </c>
      <c r="E229" s="2">
        <f ca="1">[1]!b_anal_yield_cnbd(E$1,$B229,1)</f>
        <v>2.5825</v>
      </c>
      <c r="F229" s="3">
        <f t="shared" ca="1" si="13"/>
        <v>2.5911249999999999</v>
      </c>
      <c r="G229" s="2">
        <f ca="1">[1]!b_anal_yield_cnbd(G$1,$B229,1)</f>
        <v>2.5825</v>
      </c>
      <c r="H229" s="2">
        <f>[1]!b_anal_yield_cnbd(H$1,$B229,1)</f>
        <v>2.5825</v>
      </c>
      <c r="I229" s="2">
        <f>[1]!b_anal_yield_cnbd(I$1,$B229,1)</f>
        <v>2.5825</v>
      </c>
      <c r="J229" s="2">
        <f>[1]!b_anal_yield_cnbd(J$1,$B229,1)</f>
        <v>2.64</v>
      </c>
    </row>
    <row r="230" spans="2:10" x14ac:dyDescent="0.15">
      <c r="B230" s="1">
        <v>45056</v>
      </c>
      <c r="C230" s="3">
        <f t="shared" ca="1" si="11"/>
        <v>2.61</v>
      </c>
      <c r="D230" s="3">
        <f t="shared" ca="1" si="12"/>
        <v>2.6182499999999997</v>
      </c>
      <c r="E230" s="2">
        <f ca="1">[1]!b_anal_yield_cnbd(E$1,$B230,1)</f>
        <v>2.61</v>
      </c>
      <c r="F230" s="3">
        <f t="shared" ca="1" si="13"/>
        <v>2.6182499999999997</v>
      </c>
      <c r="G230" s="2">
        <f ca="1">[1]!b_anal_yield_cnbd(G$1,$B230,1)</f>
        <v>2.61</v>
      </c>
      <c r="H230" s="2">
        <f>[1]!b_anal_yield_cnbd(H$1,$B230,1)</f>
        <v>2.61</v>
      </c>
      <c r="I230" s="2">
        <f>[1]!b_anal_yield_cnbd(I$1,$B230,1)</f>
        <v>2.61</v>
      </c>
      <c r="J230" s="2">
        <f>[1]!b_anal_yield_cnbd(J$1,$B230,1)</f>
        <v>2.665</v>
      </c>
    </row>
    <row r="231" spans="2:10" x14ac:dyDescent="0.15">
      <c r="B231" s="1">
        <v>45055</v>
      </c>
      <c r="C231" s="3">
        <f t="shared" ca="1" si="11"/>
        <v>2.63</v>
      </c>
      <c r="D231" s="3">
        <f t="shared" ca="1" si="12"/>
        <v>2.6374849999999994</v>
      </c>
      <c r="E231" s="2">
        <f ca="1">[1]!b_anal_yield_cnbd(E$1,$B231,1)</f>
        <v>2.63</v>
      </c>
      <c r="F231" s="3">
        <f t="shared" ca="1" si="13"/>
        <v>2.6374849999999994</v>
      </c>
      <c r="G231" s="2">
        <f ca="1">[1]!b_anal_yield_cnbd(G$1,$B231,1)</f>
        <v>2.63</v>
      </c>
      <c r="H231" s="2">
        <f>[1]!b_anal_yield_cnbd(H$1,$B231,1)</f>
        <v>2.63</v>
      </c>
      <c r="I231" s="2">
        <f>[1]!b_anal_yield_cnbd(I$1,$B231,1)</f>
        <v>2.63</v>
      </c>
      <c r="J231" s="2">
        <f>[1]!b_anal_yield_cnbd(J$1,$B231,1)</f>
        <v>2.6798999999999999</v>
      </c>
    </row>
    <row r="232" spans="2:10" x14ac:dyDescent="0.15">
      <c r="B232" s="1">
        <v>45054</v>
      </c>
      <c r="C232" s="3">
        <f t="shared" ca="1" si="11"/>
        <v>2.6454</v>
      </c>
      <c r="D232" s="3">
        <f t="shared" ca="1" si="12"/>
        <v>2.6498400000000002</v>
      </c>
      <c r="E232" s="2">
        <f ca="1">[1]!b_anal_yield_cnbd(E$1,$B232,1)</f>
        <v>2.6454</v>
      </c>
      <c r="F232" s="3">
        <f t="shared" ca="1" si="13"/>
        <v>2.6498400000000002</v>
      </c>
      <c r="G232" s="2">
        <f ca="1">[1]!b_anal_yield_cnbd(G$1,$B232,1)</f>
        <v>2.6454</v>
      </c>
      <c r="H232" s="2">
        <f>[1]!b_anal_yield_cnbd(H$1,$B232,1)</f>
        <v>2.6454</v>
      </c>
      <c r="I232" s="2">
        <f>[1]!b_anal_yield_cnbd(I$1,$B232,1)</f>
        <v>2.6454</v>
      </c>
      <c r="J232" s="2">
        <f>[1]!b_anal_yield_cnbd(J$1,$B232,1)</f>
        <v>2.6749999999999998</v>
      </c>
    </row>
    <row r="233" spans="2:10" x14ac:dyDescent="0.15">
      <c r="B233" s="1">
        <v>45052</v>
      </c>
      <c r="C233" s="3">
        <f t="shared" ca="1" si="11"/>
        <v>2.6225000000000001</v>
      </c>
      <c r="D233" s="3">
        <f t="shared" ca="1" si="12"/>
        <v>2.6283499999999997</v>
      </c>
      <c r="E233" s="2">
        <f ca="1">[1]!b_anal_yield_cnbd(E$1,$B233,1)</f>
        <v>2.6225000000000001</v>
      </c>
      <c r="F233" s="3">
        <f t="shared" ca="1" si="13"/>
        <v>2.6283499999999997</v>
      </c>
      <c r="G233" s="2">
        <f ca="1">[1]!b_anal_yield_cnbd(G$1,$B233,1)</f>
        <v>2.6225000000000001</v>
      </c>
      <c r="H233" s="2">
        <f>[1]!b_anal_yield_cnbd(H$1,$B233,1)</f>
        <v>2.6225000000000001</v>
      </c>
      <c r="I233" s="2">
        <f>[1]!b_anal_yield_cnbd(I$1,$B233,1)</f>
        <v>2.6225000000000001</v>
      </c>
      <c r="J233" s="2">
        <f>[1]!b_anal_yield_cnbd(J$1,$B233,1)</f>
        <v>2.6615000000000002</v>
      </c>
    </row>
    <row r="234" spans="2:10" x14ac:dyDescent="0.15">
      <c r="B234" s="1">
        <v>45051</v>
      </c>
      <c r="C234" s="3">
        <f t="shared" ca="1" si="11"/>
        <v>2.625</v>
      </c>
      <c r="D234" s="3">
        <f t="shared" ca="1" si="12"/>
        <v>2.6302499999999998</v>
      </c>
      <c r="E234" s="2">
        <f ca="1">[1]!b_anal_yield_cnbd(E$1,$B234,1)</f>
        <v>2.625</v>
      </c>
      <c r="F234" s="3">
        <f t="shared" ca="1" si="13"/>
        <v>2.6302499999999998</v>
      </c>
      <c r="G234" s="2">
        <f ca="1">[1]!b_anal_yield_cnbd(G$1,$B234,1)</f>
        <v>2.625</v>
      </c>
      <c r="H234" s="2">
        <f>[1]!b_anal_yield_cnbd(H$1,$B234,1)</f>
        <v>2.625</v>
      </c>
      <c r="I234" s="2">
        <f>[1]!b_anal_yield_cnbd(I$1,$B234,1)</f>
        <v>2.625</v>
      </c>
      <c r="J234" s="2">
        <f>[1]!b_anal_yield_cnbd(J$1,$B234,1)</f>
        <v>2.66</v>
      </c>
    </row>
    <row r="235" spans="2:10" x14ac:dyDescent="0.15">
      <c r="B235" s="1">
        <v>45050</v>
      </c>
      <c r="C235" s="3">
        <f t="shared" ca="1" si="11"/>
        <v>2.6448999999999998</v>
      </c>
      <c r="D235" s="3">
        <f t="shared" ca="1" si="12"/>
        <v>2.6516499999999996</v>
      </c>
      <c r="E235" s="2">
        <f ca="1">[1]!b_anal_yield_cnbd(E$1,$B235,1)</f>
        <v>2.6448999999999998</v>
      </c>
      <c r="F235" s="3">
        <f t="shared" ca="1" si="13"/>
        <v>2.6516499999999996</v>
      </c>
      <c r="G235" s="2">
        <f ca="1">[1]!b_anal_yield_cnbd(G$1,$B235,1)</f>
        <v>2.6448999999999998</v>
      </c>
      <c r="H235" s="2">
        <f>[1]!b_anal_yield_cnbd(H$1,$B235,1)</f>
        <v>2.6448999999999998</v>
      </c>
      <c r="I235" s="2">
        <f>[1]!b_anal_yield_cnbd(I$1,$B235,1)</f>
        <v>2.6448999999999998</v>
      </c>
      <c r="J235" s="2">
        <f>[1]!b_anal_yield_cnbd(J$1,$B235,1)</f>
        <v>2.6899000000000002</v>
      </c>
    </row>
    <row r="236" spans="2:10" x14ac:dyDescent="0.15">
      <c r="B236" s="1">
        <v>45044</v>
      </c>
      <c r="C236" s="3">
        <f t="shared" ca="1" si="11"/>
        <v>2.6564999999999999</v>
      </c>
      <c r="D236" s="3">
        <f t="shared" ca="1" si="12"/>
        <v>2.6630250000000002</v>
      </c>
      <c r="E236" s="2">
        <f ca="1">[1]!b_anal_yield_cnbd(E$1,$B236,1)</f>
        <v>2.6564999999999999</v>
      </c>
      <c r="F236" s="3">
        <f t="shared" ca="1" si="13"/>
        <v>2.6630250000000002</v>
      </c>
      <c r="G236" s="2">
        <f ca="1">[1]!b_anal_yield_cnbd(G$1,$B236,1)</f>
        <v>2.6564999999999999</v>
      </c>
      <c r="H236" s="2">
        <f>[1]!b_anal_yield_cnbd(H$1,$B236,1)</f>
        <v>2.6564999999999999</v>
      </c>
      <c r="I236" s="2">
        <f>[1]!b_anal_yield_cnbd(I$1,$B236,1)</f>
        <v>2.6564999999999999</v>
      </c>
      <c r="J236" s="2">
        <f>[1]!b_anal_yield_cnbd(J$1,$B236,1)</f>
        <v>2.7</v>
      </c>
    </row>
    <row r="237" spans="2:10" x14ac:dyDescent="0.15">
      <c r="B237" s="1">
        <v>45043</v>
      </c>
      <c r="C237" s="3">
        <f t="shared" ca="1" si="11"/>
        <v>2.66</v>
      </c>
      <c r="D237" s="3">
        <f t="shared" ca="1" si="12"/>
        <v>2.6660000000000004</v>
      </c>
      <c r="E237" s="2">
        <f ca="1">[1]!b_anal_yield_cnbd(E$1,$B237,1)</f>
        <v>2.66</v>
      </c>
      <c r="F237" s="3">
        <f t="shared" ca="1" si="13"/>
        <v>2.6660000000000004</v>
      </c>
      <c r="G237" s="2">
        <f ca="1">[1]!b_anal_yield_cnbd(G$1,$B237,1)</f>
        <v>2.66</v>
      </c>
      <c r="H237" s="2">
        <f>[1]!b_anal_yield_cnbd(H$1,$B237,1)</f>
        <v>2.66</v>
      </c>
      <c r="I237" s="2">
        <f>[1]!b_anal_yield_cnbd(I$1,$B237,1)</f>
        <v>2.66</v>
      </c>
      <c r="J237" s="2">
        <f>[1]!b_anal_yield_cnbd(J$1,$B237,1)</f>
        <v>2.7</v>
      </c>
    </row>
    <row r="238" spans="2:10" x14ac:dyDescent="0.15">
      <c r="B238" s="1">
        <v>45042</v>
      </c>
      <c r="C238" s="3">
        <f t="shared" ca="1" si="11"/>
        <v>2.6899000000000002</v>
      </c>
      <c r="D238" s="3">
        <f t="shared" ca="1" si="12"/>
        <v>2.6951500000000004</v>
      </c>
      <c r="E238" s="2">
        <f ca="1">[1]!b_anal_yield_cnbd(E$1,$B238,1)</f>
        <v>2.6899000000000002</v>
      </c>
      <c r="F238" s="3">
        <f t="shared" ca="1" si="13"/>
        <v>2.6951500000000004</v>
      </c>
      <c r="G238" s="2">
        <f ca="1">[1]!b_anal_yield_cnbd(G$1,$B238,1)</f>
        <v>2.6899000000000002</v>
      </c>
      <c r="H238" s="2">
        <f>[1]!b_anal_yield_cnbd(H$1,$B238,1)</f>
        <v>2.6899000000000002</v>
      </c>
      <c r="I238" s="2">
        <f>[1]!b_anal_yield_cnbd(I$1,$B238,1)</f>
        <v>2.6899000000000002</v>
      </c>
      <c r="J238" s="2">
        <f>[1]!b_anal_yield_cnbd(J$1,$B238,1)</f>
        <v>2.7248999999999999</v>
      </c>
    </row>
    <row r="239" spans="2:10" x14ac:dyDescent="0.15">
      <c r="B239" s="1">
        <v>45041</v>
      </c>
      <c r="C239" s="3">
        <f t="shared" ca="1" si="11"/>
        <v>2.6974999999999998</v>
      </c>
      <c r="D239" s="3">
        <f t="shared" ca="1" si="12"/>
        <v>2.7038599999999997</v>
      </c>
      <c r="E239" s="2">
        <f ca="1">[1]!b_anal_yield_cnbd(E$1,$B239,1)</f>
        <v>2.6974999999999998</v>
      </c>
      <c r="F239" s="3">
        <f t="shared" ca="1" si="13"/>
        <v>2.7038599999999997</v>
      </c>
      <c r="G239" s="2">
        <f ca="1">[1]!b_anal_yield_cnbd(G$1,$B239,1)</f>
        <v>2.6974999999999998</v>
      </c>
      <c r="H239" s="2">
        <f>[1]!b_anal_yield_cnbd(H$1,$B239,1)</f>
        <v>2.6974999999999998</v>
      </c>
      <c r="I239" s="2">
        <f>[1]!b_anal_yield_cnbd(I$1,$B239,1)</f>
        <v>2.6974999999999998</v>
      </c>
      <c r="J239" s="2">
        <f>[1]!b_anal_yield_cnbd(J$1,$B239,1)</f>
        <v>2.7399</v>
      </c>
    </row>
    <row r="240" spans="2:10" x14ac:dyDescent="0.15">
      <c r="B240" s="1">
        <v>45040</v>
      </c>
      <c r="C240" s="3">
        <f t="shared" ca="1" si="11"/>
        <v>2.7</v>
      </c>
      <c r="D240" s="3">
        <f t="shared" ca="1" si="12"/>
        <v>2.7064499999999998</v>
      </c>
      <c r="E240" s="2">
        <f ca="1">[1]!b_anal_yield_cnbd(E$1,$B240,1)</f>
        <v>2.7</v>
      </c>
      <c r="F240" s="3">
        <f t="shared" ca="1" si="13"/>
        <v>2.7064499999999998</v>
      </c>
      <c r="G240" s="2">
        <f ca="1">[1]!b_anal_yield_cnbd(G$1,$B240,1)</f>
        <v>2.7</v>
      </c>
      <c r="H240" s="2">
        <f>[1]!b_anal_yield_cnbd(H$1,$B240,1)</f>
        <v>2.7</v>
      </c>
      <c r="I240" s="2">
        <f>[1]!b_anal_yield_cnbd(I$1,$B240,1)</f>
        <v>2.7</v>
      </c>
      <c r="J240" s="2">
        <f>[1]!b_anal_yield_cnbd(J$1,$B240,1)</f>
        <v>2.7429999999999999</v>
      </c>
    </row>
    <row r="241" spans="2:10" x14ac:dyDescent="0.15">
      <c r="B241" s="1">
        <v>45039</v>
      </c>
      <c r="C241" s="3">
        <f t="shared" ca="1" si="11"/>
        <v>2.7046000000000001</v>
      </c>
      <c r="D241" s="3">
        <f t="shared" ca="1" si="12"/>
        <v>2.7114849999999997</v>
      </c>
      <c r="E241" s="2">
        <f ca="1">[1]!b_anal_yield_cnbd(E$1,$B241,1)</f>
        <v>2.7046000000000001</v>
      </c>
      <c r="F241" s="3">
        <f t="shared" ca="1" si="13"/>
        <v>2.7114849999999997</v>
      </c>
      <c r="G241" s="2">
        <f ca="1">[1]!b_anal_yield_cnbd(G$1,$B241,1)</f>
        <v>2.7046000000000001</v>
      </c>
      <c r="H241" s="2">
        <f>[1]!b_anal_yield_cnbd(H$1,$B241,1)</f>
        <v>2.7046000000000001</v>
      </c>
      <c r="I241" s="2">
        <f>[1]!b_anal_yield_cnbd(I$1,$B241,1)</f>
        <v>2.7046000000000001</v>
      </c>
      <c r="J241" s="2">
        <f>[1]!b_anal_yield_cnbd(J$1,$B241,1)</f>
        <v>2.7505000000000002</v>
      </c>
    </row>
    <row r="242" spans="2:10" x14ac:dyDescent="0.15">
      <c r="B242" s="1">
        <v>45037</v>
      </c>
      <c r="C242" s="3">
        <f t="shared" ca="1" si="11"/>
        <v>2.7075</v>
      </c>
      <c r="D242" s="3">
        <f t="shared" ca="1" si="12"/>
        <v>2.7142500000000003</v>
      </c>
      <c r="E242" s="2">
        <f ca="1">[1]!b_anal_yield_cnbd(E$1,$B242,1)</f>
        <v>2.7075</v>
      </c>
      <c r="F242" s="3">
        <f t="shared" ca="1" si="13"/>
        <v>2.7142500000000003</v>
      </c>
      <c r="G242" s="2">
        <f ca="1">[1]!b_anal_yield_cnbd(G$1,$B242,1)</f>
        <v>2.7075</v>
      </c>
      <c r="H242" s="2">
        <f>[1]!b_anal_yield_cnbd(H$1,$B242,1)</f>
        <v>2.7075</v>
      </c>
      <c r="I242" s="2">
        <f>[1]!b_anal_yield_cnbd(I$1,$B242,1)</f>
        <v>2.7075</v>
      </c>
      <c r="J242" s="2">
        <f>[1]!b_anal_yield_cnbd(J$1,$B242,1)</f>
        <v>2.7524999999999999</v>
      </c>
    </row>
    <row r="243" spans="2:10" x14ac:dyDescent="0.15">
      <c r="B243" s="1">
        <v>45036</v>
      </c>
      <c r="C243" s="3">
        <f t="shared" ca="1" si="11"/>
        <v>2.7063999999999999</v>
      </c>
      <c r="D243" s="3">
        <f t="shared" ca="1" si="12"/>
        <v>2.7144249999999999</v>
      </c>
      <c r="E243" s="2">
        <f ca="1">[1]!b_anal_yield_cnbd(E$1,$B243,1)</f>
        <v>2.7063999999999999</v>
      </c>
      <c r="F243" s="3">
        <f t="shared" ca="1" si="13"/>
        <v>2.7144249999999999</v>
      </c>
      <c r="G243" s="2">
        <f ca="1">[1]!b_anal_yield_cnbd(G$1,$B243,1)</f>
        <v>2.7063999999999999</v>
      </c>
      <c r="H243" s="2">
        <f>[1]!b_anal_yield_cnbd(H$1,$B243,1)</f>
        <v>2.7063999999999999</v>
      </c>
      <c r="I243" s="2">
        <f>[1]!b_anal_yield_cnbd(I$1,$B243,1)</f>
        <v>2.7063999999999999</v>
      </c>
      <c r="J243" s="2">
        <f>[1]!b_anal_yield_cnbd(J$1,$B243,1)</f>
        <v>2.7599</v>
      </c>
    </row>
    <row r="244" spans="2:10" x14ac:dyDescent="0.15">
      <c r="B244" s="1">
        <v>45035</v>
      </c>
      <c r="C244" s="3">
        <f t="shared" ca="1" si="11"/>
        <v>2.71</v>
      </c>
      <c r="D244" s="3">
        <f t="shared" ca="1" si="12"/>
        <v>2.7174699999999996</v>
      </c>
      <c r="E244" s="2">
        <f ca="1">[1]!b_anal_yield_cnbd(E$1,$B244,1)</f>
        <v>2.71</v>
      </c>
      <c r="F244" s="3">
        <f t="shared" ca="1" si="13"/>
        <v>2.7174699999999996</v>
      </c>
      <c r="G244" s="2">
        <f ca="1">[1]!b_anal_yield_cnbd(G$1,$B244,1)</f>
        <v>2.71</v>
      </c>
      <c r="H244" s="2">
        <f>[1]!b_anal_yield_cnbd(H$1,$B244,1)</f>
        <v>2.71</v>
      </c>
      <c r="I244" s="2">
        <f>[1]!b_anal_yield_cnbd(I$1,$B244,1)</f>
        <v>2.71</v>
      </c>
      <c r="J244" s="2">
        <f>[1]!b_anal_yield_cnbd(J$1,$B244,1)</f>
        <v>2.7597999999999998</v>
      </c>
    </row>
    <row r="245" spans="2:10" x14ac:dyDescent="0.15">
      <c r="B245" s="1">
        <v>45034</v>
      </c>
      <c r="C245" s="3">
        <f t="shared" ca="1" si="11"/>
        <v>2.7149999999999999</v>
      </c>
      <c r="D245" s="3">
        <f t="shared" ca="1" si="12"/>
        <v>2.7227250000000001</v>
      </c>
      <c r="E245" s="2">
        <f ca="1">[1]!b_anal_yield_cnbd(E$1,$B245,1)</f>
        <v>2.7149999999999999</v>
      </c>
      <c r="F245" s="3">
        <f t="shared" ca="1" si="13"/>
        <v>2.7227250000000001</v>
      </c>
      <c r="G245" s="2">
        <f ca="1">[1]!b_anal_yield_cnbd(G$1,$B245,1)</f>
        <v>2.7149999999999999</v>
      </c>
      <c r="H245" s="2">
        <f>[1]!b_anal_yield_cnbd(H$1,$B245,1)</f>
        <v>2.7149999999999999</v>
      </c>
      <c r="I245" s="2">
        <f>[1]!b_anal_yield_cnbd(I$1,$B245,1)</f>
        <v>2.7149999999999999</v>
      </c>
      <c r="J245" s="2">
        <f>[1]!b_anal_yield_cnbd(J$1,$B245,1)</f>
        <v>2.7665000000000002</v>
      </c>
    </row>
    <row r="246" spans="2:10" x14ac:dyDescent="0.15">
      <c r="B246" s="1">
        <v>45033</v>
      </c>
      <c r="C246" s="3">
        <f t="shared" ca="1" si="11"/>
        <v>2.7199</v>
      </c>
      <c r="D246" s="3">
        <f t="shared" ca="1" si="12"/>
        <v>2.7285249999999999</v>
      </c>
      <c r="E246" s="2">
        <f ca="1">[1]!b_anal_yield_cnbd(E$1,$B246,1)</f>
        <v>2.7199</v>
      </c>
      <c r="F246" s="3">
        <f t="shared" ca="1" si="13"/>
        <v>2.7285249999999999</v>
      </c>
      <c r="G246" s="2">
        <f ca="1">[1]!b_anal_yield_cnbd(G$1,$B246,1)</f>
        <v>2.7199</v>
      </c>
      <c r="H246" s="2">
        <f>[1]!b_anal_yield_cnbd(H$1,$B246,1)</f>
        <v>2.7199</v>
      </c>
      <c r="I246" s="2">
        <f>[1]!b_anal_yield_cnbd(I$1,$B246,1)</f>
        <v>2.7199</v>
      </c>
      <c r="J246" s="2">
        <f>[1]!b_anal_yield_cnbd(J$1,$B246,1)</f>
        <v>2.7774000000000001</v>
      </c>
    </row>
    <row r="247" spans="2:10" x14ac:dyDescent="0.15">
      <c r="B247" s="1">
        <v>45030</v>
      </c>
      <c r="C247" s="3">
        <f t="shared" ca="1" si="11"/>
        <v>2.7149999999999999</v>
      </c>
      <c r="D247" s="3">
        <f t="shared" ca="1" si="12"/>
        <v>2.7225000000000001</v>
      </c>
      <c r="E247" s="2">
        <f ca="1">[1]!b_anal_yield_cnbd(E$1,$B247,1)</f>
        <v>2.7149999999999999</v>
      </c>
      <c r="F247" s="3">
        <f t="shared" ca="1" si="13"/>
        <v>2.7225000000000001</v>
      </c>
      <c r="G247" s="2">
        <f ca="1">[1]!b_anal_yield_cnbd(G$1,$B247,1)</f>
        <v>2.7149999999999999</v>
      </c>
      <c r="H247" s="2">
        <f>[1]!b_anal_yield_cnbd(H$1,$B247,1)</f>
        <v>2.7149999999999999</v>
      </c>
      <c r="I247" s="2">
        <f>[1]!b_anal_yield_cnbd(I$1,$B247,1)</f>
        <v>2.7149999999999999</v>
      </c>
      <c r="J247" s="2">
        <f>[1]!b_anal_yield_cnbd(J$1,$B247,1)</f>
        <v>2.7650000000000001</v>
      </c>
    </row>
    <row r="248" spans="2:10" x14ac:dyDescent="0.15">
      <c r="B248" s="1">
        <v>45029</v>
      </c>
      <c r="C248" s="3">
        <f t="shared" ca="1" si="11"/>
        <v>2.7143999999999999</v>
      </c>
      <c r="D248" s="3">
        <f t="shared" ca="1" si="12"/>
        <v>2.721975</v>
      </c>
      <c r="E248" s="2">
        <f ca="1">[1]!b_anal_yield_cnbd(E$1,$B248,1)</f>
        <v>2.7143999999999999</v>
      </c>
      <c r="F248" s="3">
        <f t="shared" ca="1" si="13"/>
        <v>2.721975</v>
      </c>
      <c r="G248" s="2">
        <f ca="1">[1]!b_anal_yield_cnbd(G$1,$B248,1)</f>
        <v>2.7143999999999999</v>
      </c>
      <c r="H248" s="2">
        <f>[1]!b_anal_yield_cnbd(H$1,$B248,1)</f>
        <v>2.7143999999999999</v>
      </c>
      <c r="I248" s="2">
        <f>[1]!b_anal_yield_cnbd(I$1,$B248,1)</f>
        <v>2.7143999999999999</v>
      </c>
      <c r="J248" s="2">
        <f>[1]!b_anal_yield_cnbd(J$1,$B248,1)</f>
        <v>2.7648999999999999</v>
      </c>
    </row>
    <row r="249" spans="2:10" x14ac:dyDescent="0.15">
      <c r="B249" s="1">
        <v>45028</v>
      </c>
      <c r="C249" s="3">
        <f t="shared" ca="1" si="11"/>
        <v>2.7050000000000001</v>
      </c>
      <c r="D249" s="3">
        <f t="shared" ca="1" si="12"/>
        <v>2.7128749999999999</v>
      </c>
      <c r="E249" s="2">
        <f ca="1">[1]!b_anal_yield_cnbd(E$1,$B249,1)</f>
        <v>2.7050000000000001</v>
      </c>
      <c r="F249" s="3">
        <f t="shared" ca="1" si="13"/>
        <v>2.7128749999999999</v>
      </c>
      <c r="G249" s="2">
        <f ca="1">[1]!b_anal_yield_cnbd(G$1,$B249,1)</f>
        <v>2.7050000000000001</v>
      </c>
      <c r="H249" s="2">
        <f>[1]!b_anal_yield_cnbd(H$1,$B249,1)</f>
        <v>2.7050000000000001</v>
      </c>
      <c r="I249" s="2">
        <f>[1]!b_anal_yield_cnbd(I$1,$B249,1)</f>
        <v>2.7050000000000001</v>
      </c>
      <c r="J249" s="2">
        <f>[1]!b_anal_yield_cnbd(J$1,$B249,1)</f>
        <v>2.7574999999999998</v>
      </c>
    </row>
    <row r="250" spans="2:10" x14ac:dyDescent="0.15">
      <c r="B250" s="1">
        <v>45027</v>
      </c>
      <c r="C250" s="3">
        <f t="shared" ca="1" si="11"/>
        <v>2.7149999999999999</v>
      </c>
      <c r="D250" s="3">
        <f t="shared" ca="1" si="12"/>
        <v>2.72322</v>
      </c>
      <c r="E250" s="2">
        <f ca="1">[1]!b_anal_yield_cnbd(E$1,$B250,1)</f>
        <v>2.7149999999999999</v>
      </c>
      <c r="F250" s="3">
        <f t="shared" ca="1" si="13"/>
        <v>2.72322</v>
      </c>
      <c r="G250" s="2">
        <f ca="1">[1]!b_anal_yield_cnbd(G$1,$B250,1)</f>
        <v>2.7149999999999999</v>
      </c>
      <c r="H250" s="2">
        <f>[1]!b_anal_yield_cnbd(H$1,$B250,1)</f>
        <v>2.7149999999999999</v>
      </c>
      <c r="I250" s="2">
        <f>[1]!b_anal_yield_cnbd(I$1,$B250,1)</f>
        <v>2.7149999999999999</v>
      </c>
      <c r="J250" s="2">
        <f>[1]!b_anal_yield_cnbd(J$1,$B250,1)</f>
        <v>2.7698</v>
      </c>
    </row>
    <row r="251" spans="2:10" x14ac:dyDescent="0.15">
      <c r="B251" s="1">
        <v>45026</v>
      </c>
      <c r="C251" s="3">
        <f t="shared" ca="1" si="11"/>
        <v>2.7275</v>
      </c>
      <c r="D251" s="3">
        <f t="shared" ca="1" si="12"/>
        <v>2.7364999999999999</v>
      </c>
      <c r="E251" s="2">
        <f ca="1">[1]!b_anal_yield_cnbd(E$1,$B251,1)</f>
        <v>2.7275</v>
      </c>
      <c r="F251" s="3">
        <f t="shared" ca="1" si="13"/>
        <v>2.7364999999999999</v>
      </c>
      <c r="G251" s="2">
        <f ca="1">[1]!b_anal_yield_cnbd(G$1,$B251,1)</f>
        <v>2.7275</v>
      </c>
      <c r="H251" s="2">
        <f>[1]!b_anal_yield_cnbd(H$1,$B251,1)</f>
        <v>2.7275</v>
      </c>
      <c r="I251" s="2">
        <f>[1]!b_anal_yield_cnbd(I$1,$B251,1)</f>
        <v>2.7275</v>
      </c>
      <c r="J251" s="2">
        <f>[1]!b_anal_yield_cnbd(J$1,$B251,1)</f>
        <v>2.7875000000000001</v>
      </c>
    </row>
    <row r="252" spans="2:10" x14ac:dyDescent="0.15">
      <c r="B252" s="1">
        <v>45023</v>
      </c>
      <c r="C252" s="3">
        <f t="shared" ca="1" si="11"/>
        <v>2.7309999999999999</v>
      </c>
      <c r="D252" s="3">
        <f t="shared" ca="1" si="12"/>
        <v>2.7402249999999997</v>
      </c>
      <c r="E252" s="2">
        <f ca="1">[1]!b_anal_yield_cnbd(E$1,$B252,1)</f>
        <v>2.7309999999999999</v>
      </c>
      <c r="F252" s="3">
        <f t="shared" ca="1" si="13"/>
        <v>2.7402249999999997</v>
      </c>
      <c r="G252" s="2">
        <f ca="1">[1]!b_anal_yield_cnbd(G$1,$B252,1)</f>
        <v>2.7309999999999999</v>
      </c>
      <c r="H252" s="2">
        <f>[1]!b_anal_yield_cnbd(H$1,$B252,1)</f>
        <v>2.7309999999999999</v>
      </c>
      <c r="I252" s="2">
        <f>[1]!b_anal_yield_cnbd(I$1,$B252,1)</f>
        <v>2.7309999999999999</v>
      </c>
      <c r="J252" s="2">
        <f>[1]!b_anal_yield_cnbd(J$1,$B252,1)</f>
        <v>2.7925</v>
      </c>
    </row>
    <row r="253" spans="2:10" x14ac:dyDescent="0.15">
      <c r="B253" s="1">
        <v>45022</v>
      </c>
      <c r="C253" s="3">
        <f t="shared" ca="1" si="11"/>
        <v>2.7349999999999999</v>
      </c>
      <c r="D253" s="3">
        <f t="shared" ca="1" si="12"/>
        <v>2.7443749999999998</v>
      </c>
      <c r="E253" s="2">
        <f ca="1">[1]!b_anal_yield_cnbd(E$1,$B253,1)</f>
        <v>2.7349999999999999</v>
      </c>
      <c r="F253" s="3">
        <f t="shared" ca="1" si="13"/>
        <v>2.7443749999999998</v>
      </c>
      <c r="G253" s="2">
        <f ca="1">[1]!b_anal_yield_cnbd(G$1,$B253,1)</f>
        <v>2.7349999999999999</v>
      </c>
      <c r="H253" s="2">
        <f>[1]!b_anal_yield_cnbd(H$1,$B253,1)</f>
        <v>2.7349999999999999</v>
      </c>
      <c r="I253" s="2">
        <f>[1]!b_anal_yield_cnbd(I$1,$B253,1)</f>
        <v>2.7349999999999999</v>
      </c>
      <c r="J253" s="2">
        <f>[1]!b_anal_yield_cnbd(J$1,$B253,1)</f>
        <v>2.7974999999999999</v>
      </c>
    </row>
    <row r="254" spans="2:10" x14ac:dyDescent="0.15">
      <c r="B254" s="1">
        <v>45020</v>
      </c>
      <c r="C254" s="3">
        <f t="shared" ca="1" si="11"/>
        <v>2.7349999999999999</v>
      </c>
      <c r="D254" s="3">
        <f t="shared" ca="1" si="12"/>
        <v>2.7441499999999999</v>
      </c>
      <c r="E254" s="2">
        <f ca="1">[1]!b_anal_yield_cnbd(E$1,$B254,1)</f>
        <v>2.7349999999999999</v>
      </c>
      <c r="F254" s="3">
        <f t="shared" ca="1" si="13"/>
        <v>2.7441499999999999</v>
      </c>
      <c r="G254" s="2">
        <f ca="1">[1]!b_anal_yield_cnbd(G$1,$B254,1)</f>
        <v>2.7349999999999999</v>
      </c>
      <c r="H254" s="2">
        <f>[1]!b_anal_yield_cnbd(H$1,$B254,1)</f>
        <v>2.7349999999999999</v>
      </c>
      <c r="I254" s="2">
        <f>[1]!b_anal_yield_cnbd(I$1,$B254,1)</f>
        <v>2.7349999999999999</v>
      </c>
      <c r="J254" s="2">
        <f>[1]!b_anal_yield_cnbd(J$1,$B254,1)</f>
        <v>2.7959999999999998</v>
      </c>
    </row>
    <row r="255" spans="2:10" x14ac:dyDescent="0.15">
      <c r="B255" s="1">
        <v>45019</v>
      </c>
      <c r="C255" s="3">
        <f t="shared" ca="1" si="11"/>
        <v>2.7349999999999999</v>
      </c>
      <c r="D255" s="3">
        <f t="shared" ca="1" si="12"/>
        <v>2.7443749999999998</v>
      </c>
      <c r="E255" s="2">
        <f ca="1">[1]!b_anal_yield_cnbd(E$1,$B255,1)</f>
        <v>2.7349999999999999</v>
      </c>
      <c r="F255" s="3">
        <f t="shared" ca="1" si="13"/>
        <v>2.7443749999999998</v>
      </c>
      <c r="G255" s="2">
        <f ca="1">[1]!b_anal_yield_cnbd(G$1,$B255,1)</f>
        <v>2.7349999999999999</v>
      </c>
      <c r="H255" s="2">
        <f>[1]!b_anal_yield_cnbd(H$1,$B255,1)</f>
        <v>2.7349999999999999</v>
      </c>
      <c r="I255" s="2">
        <f>[1]!b_anal_yield_cnbd(I$1,$B255,1)</f>
        <v>2.7349999999999999</v>
      </c>
      <c r="J255" s="2">
        <f>[1]!b_anal_yield_cnbd(J$1,$B255,1)</f>
        <v>2.7974999999999999</v>
      </c>
    </row>
    <row r="256" spans="2:10" x14ac:dyDescent="0.15">
      <c r="B256" s="1">
        <v>45016</v>
      </c>
      <c r="C256" s="3">
        <f t="shared" ca="1" si="11"/>
        <v>2.72</v>
      </c>
      <c r="D256" s="3">
        <f t="shared" ca="1" si="12"/>
        <v>2.7304850000000003</v>
      </c>
      <c r="E256" s="2">
        <f ca="1">[1]!b_anal_yield_cnbd(E$1,$B256,1)</f>
        <v>2.72</v>
      </c>
      <c r="F256" s="3">
        <f t="shared" ca="1" si="13"/>
        <v>2.7304850000000003</v>
      </c>
      <c r="G256" s="2">
        <f ca="1">[1]!b_anal_yield_cnbd(G$1,$B256,1)</f>
        <v>2.72</v>
      </c>
      <c r="H256" s="2">
        <f>[1]!b_anal_yield_cnbd(H$1,$B256,1)</f>
        <v>2.72</v>
      </c>
      <c r="I256" s="2">
        <f>[1]!b_anal_yield_cnbd(I$1,$B256,1)</f>
        <v>2.72</v>
      </c>
      <c r="J256" s="2">
        <f>[1]!b_anal_yield_cnbd(J$1,$B256,1)</f>
        <v>2.7898999999999998</v>
      </c>
    </row>
    <row r="257" spans="2:10" x14ac:dyDescent="0.15">
      <c r="B257" s="1">
        <v>45015</v>
      </c>
      <c r="C257" s="3">
        <f t="shared" ca="1" si="11"/>
        <v>2.73</v>
      </c>
      <c r="D257" s="3">
        <f t="shared" ca="1" si="12"/>
        <v>2.7389250000000001</v>
      </c>
      <c r="E257" s="2">
        <f ca="1">[1]!b_anal_yield_cnbd(E$1,$B257,1)</f>
        <v>2.73</v>
      </c>
      <c r="F257" s="3">
        <f t="shared" ca="1" si="13"/>
        <v>2.7389250000000001</v>
      </c>
      <c r="G257" s="2">
        <f ca="1">[1]!b_anal_yield_cnbd(G$1,$B257,1)</f>
        <v>2.73</v>
      </c>
      <c r="H257" s="2">
        <f>[1]!b_anal_yield_cnbd(H$1,$B257,1)</f>
        <v>2.73</v>
      </c>
      <c r="I257" s="2">
        <f>[1]!b_anal_yield_cnbd(I$1,$B257,1)</f>
        <v>2.73</v>
      </c>
      <c r="J257" s="2">
        <f>[1]!b_anal_yield_cnbd(J$1,$B257,1)</f>
        <v>2.7894999999999999</v>
      </c>
    </row>
    <row r="258" spans="2:10" x14ac:dyDescent="0.15">
      <c r="B258" s="1">
        <v>45014</v>
      </c>
      <c r="C258" s="3">
        <f t="shared" ca="1" si="11"/>
        <v>2.7324999999999999</v>
      </c>
      <c r="D258" s="3">
        <f t="shared" ca="1" si="12"/>
        <v>2.74072</v>
      </c>
      <c r="E258" s="2">
        <f ca="1">[1]!b_anal_yield_cnbd(E$1,$B258,1)</f>
        <v>2.7324999999999999</v>
      </c>
      <c r="F258" s="3">
        <f t="shared" ca="1" si="13"/>
        <v>2.74072</v>
      </c>
      <c r="G258" s="2">
        <f ca="1">[1]!b_anal_yield_cnbd(G$1,$B258,1)</f>
        <v>2.7324999999999999</v>
      </c>
      <c r="H258" s="2">
        <f>[1]!b_anal_yield_cnbd(H$1,$B258,1)</f>
        <v>2.7324999999999999</v>
      </c>
      <c r="I258" s="2">
        <f>[1]!b_anal_yield_cnbd(I$1,$B258,1)</f>
        <v>2.7324999999999999</v>
      </c>
      <c r="J258" s="2">
        <f>[1]!b_anal_yield_cnbd(J$1,$B258,1)</f>
        <v>2.7873000000000001</v>
      </c>
    </row>
    <row r="259" spans="2:10" x14ac:dyDescent="0.15">
      <c r="B259" s="1">
        <v>45013</v>
      </c>
      <c r="C259" s="3">
        <f t="shared" ref="C259:C322" ca="1" si="14">IF(E259&lt;&gt;0,IF(F259&lt;&gt;0,E259,0),0)</f>
        <v>2.7349999999999999</v>
      </c>
      <c r="D259" s="3">
        <f t="shared" ref="D259:D322" ca="1" si="15">IF(E259&lt;&gt;0,IF(F259&lt;&gt;0,F259,0),0)</f>
        <v>2.7447499999999998</v>
      </c>
      <c r="E259" s="2">
        <f ca="1">[1]!b_anal_yield_cnbd(E$1,$B259,1)</f>
        <v>2.7349999999999999</v>
      </c>
      <c r="F259" s="3">
        <f t="shared" ref="F259:F322" ca="1" si="16">SUMPRODUCT(G259:J259,$N$1:$Q$1)</f>
        <v>2.7447499999999998</v>
      </c>
      <c r="G259" s="2">
        <f ca="1">[1]!b_anal_yield_cnbd(G$1,$B259,1)</f>
        <v>2.7349999999999999</v>
      </c>
      <c r="H259" s="2">
        <f>[1]!b_anal_yield_cnbd(H$1,$B259,1)</f>
        <v>2.7349999999999999</v>
      </c>
      <c r="I259" s="2">
        <f>[1]!b_anal_yield_cnbd(I$1,$B259,1)</f>
        <v>2.7349999999999999</v>
      </c>
      <c r="J259" s="2">
        <f>[1]!b_anal_yield_cnbd(J$1,$B259,1)</f>
        <v>2.8</v>
      </c>
    </row>
    <row r="260" spans="2:10" x14ac:dyDescent="0.15">
      <c r="B260" s="1">
        <v>45012</v>
      </c>
      <c r="C260" s="3">
        <f t="shared" ca="1" si="14"/>
        <v>2.7324999999999999</v>
      </c>
      <c r="D260" s="3">
        <f t="shared" ca="1" si="15"/>
        <v>2.74336</v>
      </c>
      <c r="E260" s="2">
        <f ca="1">[1]!b_anal_yield_cnbd(E$1,$B260,1)</f>
        <v>2.7324999999999999</v>
      </c>
      <c r="F260" s="3">
        <f t="shared" ca="1" si="16"/>
        <v>2.74336</v>
      </c>
      <c r="G260" s="2">
        <f ca="1">[1]!b_anal_yield_cnbd(G$1,$B260,1)</f>
        <v>2.7324999999999999</v>
      </c>
      <c r="H260" s="2">
        <f>[1]!b_anal_yield_cnbd(H$1,$B260,1)</f>
        <v>2.7324999999999999</v>
      </c>
      <c r="I260" s="2">
        <f>[1]!b_anal_yield_cnbd(I$1,$B260,1)</f>
        <v>2.7324999999999999</v>
      </c>
      <c r="J260" s="2">
        <f>[1]!b_anal_yield_cnbd(J$1,$B260,1)</f>
        <v>2.8048999999999999</v>
      </c>
    </row>
    <row r="261" spans="2:10" x14ac:dyDescent="0.15">
      <c r="B261" s="1">
        <v>45009</v>
      </c>
      <c r="C261" s="3">
        <f t="shared" ca="1" si="14"/>
        <v>2.7475999999999998</v>
      </c>
      <c r="D261" s="3">
        <f t="shared" ca="1" si="15"/>
        <v>2.7569599999999999</v>
      </c>
      <c r="E261" s="2">
        <f ca="1">[1]!b_anal_yield_cnbd(E$1,$B261,1)</f>
        <v>2.7475999999999998</v>
      </c>
      <c r="F261" s="3">
        <f t="shared" ca="1" si="16"/>
        <v>2.7569599999999999</v>
      </c>
      <c r="G261" s="2">
        <f ca="1">[1]!b_anal_yield_cnbd(G$1,$B261,1)</f>
        <v>2.7475999999999998</v>
      </c>
      <c r="H261" s="2">
        <f>[1]!b_anal_yield_cnbd(H$1,$B261,1)</f>
        <v>2.7475999999999998</v>
      </c>
      <c r="I261" s="2">
        <f>[1]!b_anal_yield_cnbd(I$1,$B261,1)</f>
        <v>2.7475999999999998</v>
      </c>
      <c r="J261" s="2">
        <f>[1]!b_anal_yield_cnbd(J$1,$B261,1)</f>
        <v>2.81</v>
      </c>
    </row>
    <row r="262" spans="2:10" x14ac:dyDescent="0.15">
      <c r="B262" s="1">
        <v>45008</v>
      </c>
      <c r="C262" s="3">
        <f t="shared" ca="1" si="14"/>
        <v>2.7349999999999999</v>
      </c>
      <c r="D262" s="3">
        <f t="shared" ca="1" si="15"/>
        <v>2.7457249999999997</v>
      </c>
      <c r="E262" s="2">
        <f ca="1">[1]!b_anal_yield_cnbd(E$1,$B262,1)</f>
        <v>2.7349999999999999</v>
      </c>
      <c r="F262" s="3">
        <f t="shared" ca="1" si="16"/>
        <v>2.7457249999999997</v>
      </c>
      <c r="G262" s="2">
        <f ca="1">[1]!b_anal_yield_cnbd(G$1,$B262,1)</f>
        <v>2.7349999999999999</v>
      </c>
      <c r="H262" s="2">
        <f>[1]!b_anal_yield_cnbd(H$1,$B262,1)</f>
        <v>2.7349999999999999</v>
      </c>
      <c r="I262" s="2">
        <f>[1]!b_anal_yield_cnbd(I$1,$B262,1)</f>
        <v>2.7349999999999999</v>
      </c>
      <c r="J262" s="2">
        <f>[1]!b_anal_yield_cnbd(J$1,$B262,1)</f>
        <v>2.8065000000000002</v>
      </c>
    </row>
    <row r="263" spans="2:10" x14ac:dyDescent="0.15">
      <c r="B263" s="1">
        <v>45007</v>
      </c>
      <c r="C263" s="3">
        <f t="shared" ca="1" si="14"/>
        <v>2.7305000000000001</v>
      </c>
      <c r="D263" s="3">
        <f t="shared" ca="1" si="15"/>
        <v>2.7405499999999998</v>
      </c>
      <c r="E263" s="2">
        <f ca="1">[1]!b_anal_yield_cnbd(E$1,$B263,1)</f>
        <v>2.7305000000000001</v>
      </c>
      <c r="F263" s="3">
        <f t="shared" ca="1" si="16"/>
        <v>2.7405499999999998</v>
      </c>
      <c r="G263" s="2">
        <f ca="1">[1]!b_anal_yield_cnbd(G$1,$B263,1)</f>
        <v>2.7305000000000001</v>
      </c>
      <c r="H263" s="2">
        <f>[1]!b_anal_yield_cnbd(H$1,$B263,1)</f>
        <v>2.7305000000000001</v>
      </c>
      <c r="I263" s="2">
        <f>[1]!b_anal_yield_cnbd(I$1,$B263,1)</f>
        <v>2.7305000000000001</v>
      </c>
      <c r="J263" s="2">
        <f>[1]!b_anal_yield_cnbd(J$1,$B263,1)</f>
        <v>2.7974999999999999</v>
      </c>
    </row>
    <row r="264" spans="2:10" x14ac:dyDescent="0.15">
      <c r="B264" s="1">
        <v>45006</v>
      </c>
      <c r="C264" s="3">
        <f t="shared" ca="1" si="14"/>
        <v>2.72</v>
      </c>
      <c r="D264" s="3">
        <f t="shared" ca="1" si="15"/>
        <v>2.7308750000000002</v>
      </c>
      <c r="E264" s="2">
        <f ca="1">[1]!b_anal_yield_cnbd(E$1,$B264,1)</f>
        <v>2.72</v>
      </c>
      <c r="F264" s="3">
        <f t="shared" ca="1" si="16"/>
        <v>2.7308750000000002</v>
      </c>
      <c r="G264" s="2">
        <f ca="1">[1]!b_anal_yield_cnbd(G$1,$B264,1)</f>
        <v>2.72</v>
      </c>
      <c r="H264" s="2">
        <f>[1]!b_anal_yield_cnbd(H$1,$B264,1)</f>
        <v>2.72</v>
      </c>
      <c r="I264" s="2">
        <f>[1]!b_anal_yield_cnbd(I$1,$B264,1)</f>
        <v>2.72</v>
      </c>
      <c r="J264" s="2">
        <f>[1]!b_anal_yield_cnbd(J$1,$B264,1)</f>
        <v>2.7925</v>
      </c>
    </row>
    <row r="265" spans="2:10" x14ac:dyDescent="0.15">
      <c r="B265" s="1">
        <v>45005</v>
      </c>
      <c r="C265" s="3">
        <f t="shared" ca="1" si="14"/>
        <v>2.6949999999999998</v>
      </c>
      <c r="D265" s="3">
        <f t="shared" ca="1" si="15"/>
        <v>2.7077499999999994</v>
      </c>
      <c r="E265" s="2">
        <f ca="1">[1]!b_anal_yield_cnbd(E$1,$B265,1)</f>
        <v>2.6949999999999998</v>
      </c>
      <c r="F265" s="3">
        <f t="shared" ca="1" si="16"/>
        <v>2.7077499999999994</v>
      </c>
      <c r="G265" s="2">
        <f ca="1">[1]!b_anal_yield_cnbd(G$1,$B265,1)</f>
        <v>2.6949999999999998</v>
      </c>
      <c r="H265" s="2">
        <f>[1]!b_anal_yield_cnbd(H$1,$B265,1)</f>
        <v>2.6949999999999998</v>
      </c>
      <c r="I265" s="2">
        <f>[1]!b_anal_yield_cnbd(I$1,$B265,1)</f>
        <v>2.6949999999999998</v>
      </c>
      <c r="J265" s="2">
        <f>[1]!b_anal_yield_cnbd(J$1,$B265,1)</f>
        <v>2.78</v>
      </c>
    </row>
    <row r="266" spans="2:10" x14ac:dyDescent="0.15">
      <c r="B266" s="1">
        <v>45002</v>
      </c>
      <c r="C266" s="3">
        <f t="shared" ca="1" si="14"/>
        <v>2.7322000000000002</v>
      </c>
      <c r="D266" s="3">
        <f t="shared" ca="1" si="15"/>
        <v>2.7398350000000002</v>
      </c>
      <c r="E266" s="2">
        <f ca="1">[1]!b_anal_yield_cnbd(E$1,$B266,1)</f>
        <v>2.7322000000000002</v>
      </c>
      <c r="F266" s="3">
        <f t="shared" ca="1" si="16"/>
        <v>2.7398350000000002</v>
      </c>
      <c r="G266" s="2">
        <f ca="1">[1]!b_anal_yield_cnbd(G$1,$B266,1)</f>
        <v>2.7322000000000002</v>
      </c>
      <c r="H266" s="2">
        <f>[1]!b_anal_yield_cnbd(H$1,$B266,1)</f>
        <v>2.7322000000000002</v>
      </c>
      <c r="I266" s="2">
        <f>[1]!b_anal_yield_cnbd(I$1,$B266,1)</f>
        <v>2.7322000000000002</v>
      </c>
      <c r="J266" s="2">
        <f>[1]!b_anal_yield_cnbd(J$1,$B266,1)</f>
        <v>2.7831000000000001</v>
      </c>
    </row>
    <row r="267" spans="2:10" x14ac:dyDescent="0.15">
      <c r="B267" s="1">
        <v>45001</v>
      </c>
      <c r="C267" s="3">
        <f t="shared" ca="1" si="14"/>
        <v>2.74</v>
      </c>
      <c r="D267" s="3">
        <f t="shared" ca="1" si="15"/>
        <v>2.7473800000000002</v>
      </c>
      <c r="E267" s="2">
        <f ca="1">[1]!b_anal_yield_cnbd(E$1,$B267,1)</f>
        <v>2.74</v>
      </c>
      <c r="F267" s="3">
        <f t="shared" ca="1" si="16"/>
        <v>2.7473800000000002</v>
      </c>
      <c r="G267" s="2">
        <f ca="1">[1]!b_anal_yield_cnbd(G$1,$B267,1)</f>
        <v>2.74</v>
      </c>
      <c r="H267" s="2">
        <f>[1]!b_anal_yield_cnbd(H$1,$B267,1)</f>
        <v>2.74</v>
      </c>
      <c r="I267" s="2">
        <f>[1]!b_anal_yield_cnbd(I$1,$B267,1)</f>
        <v>2.74</v>
      </c>
      <c r="J267" s="2">
        <f>[1]!b_anal_yield_cnbd(J$1,$B267,1)</f>
        <v>2.7892000000000001</v>
      </c>
    </row>
    <row r="268" spans="2:10" x14ac:dyDescent="0.15">
      <c r="B268" s="1">
        <v>45000</v>
      </c>
      <c r="C268" s="3">
        <f t="shared" ca="1" si="14"/>
        <v>2.7498</v>
      </c>
      <c r="D268" s="3">
        <f t="shared" ca="1" si="15"/>
        <v>2.7574800000000002</v>
      </c>
      <c r="E268" s="2">
        <f ca="1">[1]!b_anal_yield_cnbd(E$1,$B268,1)</f>
        <v>2.7498</v>
      </c>
      <c r="F268" s="3">
        <f t="shared" ca="1" si="16"/>
        <v>2.7574800000000002</v>
      </c>
      <c r="G268" s="2">
        <f ca="1">[1]!b_anal_yield_cnbd(G$1,$B268,1)</f>
        <v>2.7498</v>
      </c>
      <c r="H268" s="2">
        <f>[1]!b_anal_yield_cnbd(H$1,$B268,1)</f>
        <v>2.7498</v>
      </c>
      <c r="I268" s="2">
        <f>[1]!b_anal_yield_cnbd(I$1,$B268,1)</f>
        <v>2.7498</v>
      </c>
      <c r="J268" s="2">
        <f>[1]!b_anal_yield_cnbd(J$1,$B268,1)</f>
        <v>2.8010000000000002</v>
      </c>
    </row>
    <row r="269" spans="2:10" x14ac:dyDescent="0.15">
      <c r="B269" s="1">
        <v>44999</v>
      </c>
      <c r="C269" s="3">
        <f t="shared" ca="1" si="14"/>
        <v>2.7475000000000001</v>
      </c>
      <c r="D269" s="3">
        <f t="shared" ca="1" si="15"/>
        <v>2.75515</v>
      </c>
      <c r="E269" s="2">
        <f ca="1">[1]!b_anal_yield_cnbd(E$1,$B269,1)</f>
        <v>2.7475000000000001</v>
      </c>
      <c r="F269" s="3">
        <f t="shared" ca="1" si="16"/>
        <v>2.75515</v>
      </c>
      <c r="G269" s="2">
        <f ca="1">[1]!b_anal_yield_cnbd(G$1,$B269,1)</f>
        <v>2.7475000000000001</v>
      </c>
      <c r="H269" s="2">
        <f>[1]!b_anal_yield_cnbd(H$1,$B269,1)</f>
        <v>2.7475000000000001</v>
      </c>
      <c r="I269" s="2">
        <f>[1]!b_anal_yield_cnbd(I$1,$B269,1)</f>
        <v>2.7475000000000001</v>
      </c>
      <c r="J269" s="2">
        <f>[1]!b_anal_yield_cnbd(J$1,$B269,1)</f>
        <v>2.7985000000000002</v>
      </c>
    </row>
    <row r="270" spans="2:10" x14ac:dyDescent="0.15">
      <c r="B270" s="1">
        <v>44998</v>
      </c>
      <c r="C270" s="3">
        <f t="shared" ca="1" si="14"/>
        <v>2.7549999999999999</v>
      </c>
      <c r="D270" s="3">
        <f t="shared" ca="1" si="15"/>
        <v>2.7621249999999997</v>
      </c>
      <c r="E270" s="2">
        <f ca="1">[1]!b_anal_yield_cnbd(E$1,$B270,1)</f>
        <v>2.7549999999999999</v>
      </c>
      <c r="F270" s="3">
        <f t="shared" ca="1" si="16"/>
        <v>2.7621249999999997</v>
      </c>
      <c r="G270" s="2">
        <f ca="1">[1]!b_anal_yield_cnbd(G$1,$B270,1)</f>
        <v>2.7549999999999999</v>
      </c>
      <c r="H270" s="2">
        <f>[1]!b_anal_yield_cnbd(H$1,$B270,1)</f>
        <v>2.7549999999999999</v>
      </c>
      <c r="I270" s="2">
        <f>[1]!b_anal_yield_cnbd(I$1,$B270,1)</f>
        <v>2.7549999999999999</v>
      </c>
      <c r="J270" s="2">
        <f>[1]!b_anal_yield_cnbd(J$1,$B270,1)</f>
        <v>2.8025000000000002</v>
      </c>
    </row>
    <row r="271" spans="2:10" x14ac:dyDescent="0.15">
      <c r="B271" s="1">
        <v>44995</v>
      </c>
      <c r="C271" s="3">
        <f t="shared" ca="1" si="14"/>
        <v>2.7549999999999999</v>
      </c>
      <c r="D271" s="3">
        <f t="shared" ca="1" si="15"/>
        <v>2.7609999999999997</v>
      </c>
      <c r="E271" s="2">
        <f ca="1">[1]!b_anal_yield_cnbd(E$1,$B271,1)</f>
        <v>2.7549999999999999</v>
      </c>
      <c r="F271" s="3">
        <f t="shared" ca="1" si="16"/>
        <v>2.7609999999999997</v>
      </c>
      <c r="G271" s="2">
        <f ca="1">[1]!b_anal_yield_cnbd(G$1,$B271,1)</f>
        <v>2.7549999999999999</v>
      </c>
      <c r="H271" s="2">
        <f>[1]!b_anal_yield_cnbd(H$1,$B271,1)</f>
        <v>2.7549999999999999</v>
      </c>
      <c r="I271" s="2">
        <f>[1]!b_anal_yield_cnbd(I$1,$B271,1)</f>
        <v>2.7549999999999999</v>
      </c>
      <c r="J271" s="2">
        <f>[1]!b_anal_yield_cnbd(J$1,$B271,1)</f>
        <v>2.7949999999999999</v>
      </c>
    </row>
    <row r="272" spans="2:10" x14ac:dyDescent="0.15">
      <c r="B272" s="1">
        <v>44994</v>
      </c>
      <c r="C272" s="3">
        <f t="shared" ca="1" si="14"/>
        <v>2.7570999999999999</v>
      </c>
      <c r="D272" s="3">
        <f t="shared" ca="1" si="15"/>
        <v>2.7642700000000002</v>
      </c>
      <c r="E272" s="2">
        <f ca="1">[1]!b_anal_yield_cnbd(E$1,$B272,1)</f>
        <v>2.7570999999999999</v>
      </c>
      <c r="F272" s="3">
        <f t="shared" ca="1" si="16"/>
        <v>2.7642700000000002</v>
      </c>
      <c r="G272" s="2">
        <f ca="1">[1]!b_anal_yield_cnbd(G$1,$B272,1)</f>
        <v>2.7570999999999999</v>
      </c>
      <c r="H272" s="2">
        <f>[1]!b_anal_yield_cnbd(H$1,$B272,1)</f>
        <v>2.7570999999999999</v>
      </c>
      <c r="I272" s="2">
        <f>[1]!b_anal_yield_cnbd(I$1,$B272,1)</f>
        <v>2.7570999999999999</v>
      </c>
      <c r="J272" s="2">
        <f>[1]!b_anal_yield_cnbd(J$1,$B272,1)</f>
        <v>2.8048999999999999</v>
      </c>
    </row>
    <row r="273" spans="2:10" x14ac:dyDescent="0.15">
      <c r="B273" s="1">
        <v>44993</v>
      </c>
      <c r="C273" s="3">
        <f t="shared" ca="1" si="14"/>
        <v>2.7650000000000001</v>
      </c>
      <c r="D273" s="3">
        <f t="shared" ca="1" si="15"/>
        <v>2.7717499999999999</v>
      </c>
      <c r="E273" s="2">
        <f ca="1">[1]!b_anal_yield_cnbd(E$1,$B273,1)</f>
        <v>2.7650000000000001</v>
      </c>
      <c r="F273" s="3">
        <f t="shared" ca="1" si="16"/>
        <v>2.7717499999999999</v>
      </c>
      <c r="G273" s="2">
        <f ca="1">[1]!b_anal_yield_cnbd(G$1,$B273,1)</f>
        <v>2.7650000000000001</v>
      </c>
      <c r="H273" s="2">
        <f>[1]!b_anal_yield_cnbd(H$1,$B273,1)</f>
        <v>2.7650000000000001</v>
      </c>
      <c r="I273" s="2">
        <f>[1]!b_anal_yield_cnbd(I$1,$B273,1)</f>
        <v>2.7650000000000001</v>
      </c>
      <c r="J273" s="2">
        <f>[1]!b_anal_yield_cnbd(J$1,$B273,1)</f>
        <v>2.81</v>
      </c>
    </row>
    <row r="274" spans="2:10" x14ac:dyDescent="0.15">
      <c r="B274" s="1">
        <v>44992</v>
      </c>
      <c r="C274" s="3">
        <f t="shared" ca="1" si="14"/>
        <v>2.76</v>
      </c>
      <c r="D274" s="3">
        <f t="shared" ca="1" si="15"/>
        <v>2.7682500000000001</v>
      </c>
      <c r="E274" s="2">
        <f ca="1">[1]!b_anal_yield_cnbd(E$1,$B274,1)</f>
        <v>2.76</v>
      </c>
      <c r="F274" s="3">
        <f t="shared" ca="1" si="16"/>
        <v>2.7682500000000001</v>
      </c>
      <c r="G274" s="2">
        <f ca="1">[1]!b_anal_yield_cnbd(G$1,$B274,1)</f>
        <v>2.76</v>
      </c>
      <c r="H274" s="2">
        <f>[1]!b_anal_yield_cnbd(H$1,$B274,1)</f>
        <v>2.76</v>
      </c>
      <c r="I274" s="2">
        <f>[1]!b_anal_yield_cnbd(I$1,$B274,1)</f>
        <v>2.76</v>
      </c>
      <c r="J274" s="2">
        <f>[1]!b_anal_yield_cnbd(J$1,$B274,1)</f>
        <v>2.8149999999999999</v>
      </c>
    </row>
    <row r="275" spans="2:10" x14ac:dyDescent="0.15">
      <c r="B275" s="1">
        <v>44991</v>
      </c>
      <c r="C275" s="3">
        <f t="shared" ca="1" si="14"/>
        <v>2.7625000000000002</v>
      </c>
      <c r="D275" s="3">
        <f t="shared" ca="1" si="15"/>
        <v>2.769625</v>
      </c>
      <c r="E275" s="2">
        <f ca="1">[1]!b_anal_yield_cnbd(E$1,$B275,1)</f>
        <v>2.7625000000000002</v>
      </c>
      <c r="F275" s="3">
        <f t="shared" ca="1" si="16"/>
        <v>2.769625</v>
      </c>
      <c r="G275" s="2">
        <f ca="1">[1]!b_anal_yield_cnbd(G$1,$B275,1)</f>
        <v>2.7625000000000002</v>
      </c>
      <c r="H275" s="2">
        <f>[1]!b_anal_yield_cnbd(H$1,$B275,1)</f>
        <v>2.7625000000000002</v>
      </c>
      <c r="I275" s="2">
        <f>[1]!b_anal_yield_cnbd(I$1,$B275,1)</f>
        <v>2.7625000000000002</v>
      </c>
      <c r="J275" s="2">
        <f>[1]!b_anal_yield_cnbd(J$1,$B275,1)</f>
        <v>2.81</v>
      </c>
    </row>
    <row r="276" spans="2:10" x14ac:dyDescent="0.15">
      <c r="B276" s="1">
        <v>44988</v>
      </c>
      <c r="C276" s="3">
        <f t="shared" ca="1" si="14"/>
        <v>2.7875000000000001</v>
      </c>
      <c r="D276" s="3">
        <f t="shared" ca="1" si="15"/>
        <v>2.7927050000000002</v>
      </c>
      <c r="E276" s="2">
        <f ca="1">[1]!b_anal_yield_cnbd(E$1,$B276,1)</f>
        <v>2.7875000000000001</v>
      </c>
      <c r="F276" s="3">
        <f t="shared" ca="1" si="16"/>
        <v>2.7927050000000002</v>
      </c>
      <c r="G276" s="2">
        <f ca="1">[1]!b_anal_yield_cnbd(G$1,$B276,1)</f>
        <v>2.7875000000000001</v>
      </c>
      <c r="H276" s="2">
        <f>[1]!b_anal_yield_cnbd(H$1,$B276,1)</f>
        <v>2.7875000000000001</v>
      </c>
      <c r="I276" s="2">
        <f>[1]!b_anal_yield_cnbd(I$1,$B276,1)</f>
        <v>2.7875000000000001</v>
      </c>
      <c r="J276" s="2">
        <f>[1]!b_anal_yield_cnbd(J$1,$B276,1)</f>
        <v>2.8222</v>
      </c>
    </row>
    <row r="277" spans="2:10" x14ac:dyDescent="0.15">
      <c r="B277" s="1">
        <v>44987</v>
      </c>
      <c r="C277" s="3">
        <f t="shared" ca="1" si="14"/>
        <v>2.7875000000000001</v>
      </c>
      <c r="D277" s="3">
        <f t="shared" ca="1" si="15"/>
        <v>2.7935000000000003</v>
      </c>
      <c r="E277" s="2">
        <f ca="1">[1]!b_anal_yield_cnbd(E$1,$B277,1)</f>
        <v>2.7875000000000001</v>
      </c>
      <c r="F277" s="3">
        <f t="shared" ca="1" si="16"/>
        <v>2.7935000000000003</v>
      </c>
      <c r="G277" s="2">
        <f ca="1">[1]!b_anal_yield_cnbd(G$1,$B277,1)</f>
        <v>2.7875000000000001</v>
      </c>
      <c r="H277" s="2">
        <f>[1]!b_anal_yield_cnbd(H$1,$B277,1)</f>
        <v>2.7875000000000001</v>
      </c>
      <c r="I277" s="2">
        <f>[1]!b_anal_yield_cnbd(I$1,$B277,1)</f>
        <v>2.7875000000000001</v>
      </c>
      <c r="J277" s="2">
        <f>[1]!b_anal_yield_cnbd(J$1,$B277,1)</f>
        <v>2.8275000000000001</v>
      </c>
    </row>
    <row r="278" spans="2:10" x14ac:dyDescent="0.15">
      <c r="B278" s="1">
        <v>44986</v>
      </c>
      <c r="C278" s="3">
        <f t="shared" ca="1" si="14"/>
        <v>2.78</v>
      </c>
      <c r="D278" s="3">
        <f t="shared" ca="1" si="15"/>
        <v>2.7867500000000001</v>
      </c>
      <c r="E278" s="2">
        <f ca="1">[1]!b_anal_yield_cnbd(E$1,$B278,1)</f>
        <v>2.78</v>
      </c>
      <c r="F278" s="3">
        <f t="shared" ca="1" si="16"/>
        <v>2.7867500000000001</v>
      </c>
      <c r="G278" s="2">
        <f ca="1">[1]!b_anal_yield_cnbd(G$1,$B278,1)</f>
        <v>2.78</v>
      </c>
      <c r="H278" s="2">
        <f>[1]!b_anal_yield_cnbd(H$1,$B278,1)</f>
        <v>2.78</v>
      </c>
      <c r="I278" s="2">
        <f>[1]!b_anal_yield_cnbd(I$1,$B278,1)</f>
        <v>2.78</v>
      </c>
      <c r="J278" s="2">
        <f>[1]!b_anal_yield_cnbd(J$1,$B278,1)</f>
        <v>2.8250000000000002</v>
      </c>
    </row>
    <row r="279" spans="2:10" x14ac:dyDescent="0.15">
      <c r="B279" s="1">
        <v>44985</v>
      </c>
      <c r="C279" s="3">
        <f t="shared" ca="1" si="14"/>
        <v>2.78</v>
      </c>
      <c r="D279" s="3">
        <f t="shared" ca="1" si="15"/>
        <v>2.7876799999999999</v>
      </c>
      <c r="E279" s="2">
        <f ca="1">[1]!b_anal_yield_cnbd(E$1,$B279,1)</f>
        <v>2.78</v>
      </c>
      <c r="F279" s="3">
        <f t="shared" ca="1" si="16"/>
        <v>2.7876799999999999</v>
      </c>
      <c r="G279" s="2">
        <f ca="1">[1]!b_anal_yield_cnbd(G$1,$B279,1)</f>
        <v>2.78</v>
      </c>
      <c r="H279" s="2">
        <f>[1]!b_anal_yield_cnbd(H$1,$B279,1)</f>
        <v>2.78</v>
      </c>
      <c r="I279" s="2">
        <f>[1]!b_anal_yield_cnbd(I$1,$B279,1)</f>
        <v>2.78</v>
      </c>
      <c r="J279" s="2">
        <f>[1]!b_anal_yield_cnbd(J$1,$B279,1)</f>
        <v>2.8311999999999999</v>
      </c>
    </row>
    <row r="280" spans="2:10" x14ac:dyDescent="0.15">
      <c r="B280" s="1">
        <v>44984</v>
      </c>
      <c r="C280" s="3">
        <f t="shared" ca="1" si="14"/>
        <v>2.79</v>
      </c>
      <c r="D280" s="3">
        <f t="shared" ca="1" si="15"/>
        <v>2.7954449999999995</v>
      </c>
      <c r="E280" s="2">
        <f ca="1">[1]!b_anal_yield_cnbd(E$1,$B280,1)</f>
        <v>2.79</v>
      </c>
      <c r="F280" s="3">
        <f t="shared" ca="1" si="16"/>
        <v>2.7954449999999995</v>
      </c>
      <c r="G280" s="2">
        <f ca="1">[1]!b_anal_yield_cnbd(G$1,$B280,1)</f>
        <v>2.79</v>
      </c>
      <c r="H280" s="2">
        <f>[1]!b_anal_yield_cnbd(H$1,$B280,1)</f>
        <v>2.79</v>
      </c>
      <c r="I280" s="2">
        <f>[1]!b_anal_yield_cnbd(I$1,$B280,1)</f>
        <v>2.79</v>
      </c>
      <c r="J280" s="2">
        <f>[1]!b_anal_yield_cnbd(J$1,$B280,1)</f>
        <v>2.8262999999999998</v>
      </c>
    </row>
    <row r="281" spans="2:10" x14ac:dyDescent="0.15">
      <c r="B281" s="1">
        <v>44981</v>
      </c>
      <c r="C281" s="3">
        <f t="shared" ca="1" si="14"/>
        <v>2.7799</v>
      </c>
      <c r="D281" s="3">
        <f t="shared" ca="1" si="15"/>
        <v>2.7866650000000002</v>
      </c>
      <c r="E281" s="2">
        <f ca="1">[1]!b_anal_yield_cnbd(E$1,$B281,1)</f>
        <v>2.7799</v>
      </c>
      <c r="F281" s="3">
        <f t="shared" ca="1" si="16"/>
        <v>2.7866650000000002</v>
      </c>
      <c r="G281" s="2">
        <f ca="1">[1]!b_anal_yield_cnbd(G$1,$B281,1)</f>
        <v>2.7799</v>
      </c>
      <c r="H281" s="2">
        <f>[1]!b_anal_yield_cnbd(H$1,$B281,1)</f>
        <v>2.7799</v>
      </c>
      <c r="I281" s="2">
        <f>[1]!b_anal_yield_cnbd(I$1,$B281,1)</f>
        <v>2.7799</v>
      </c>
      <c r="J281" s="2">
        <f>[1]!b_anal_yield_cnbd(J$1,$B281,1)</f>
        <v>2.8250000000000002</v>
      </c>
    </row>
    <row r="282" spans="2:10" x14ac:dyDescent="0.15">
      <c r="B282" s="1">
        <v>44980</v>
      </c>
      <c r="C282" s="3">
        <f t="shared" ca="1" si="14"/>
        <v>2.7799</v>
      </c>
      <c r="D282" s="3">
        <f t="shared" ca="1" si="15"/>
        <v>2.7862900000000002</v>
      </c>
      <c r="E282" s="2">
        <f ca="1">[1]!b_anal_yield_cnbd(E$1,$B282,1)</f>
        <v>2.7799</v>
      </c>
      <c r="F282" s="3">
        <f t="shared" ca="1" si="16"/>
        <v>2.7862900000000002</v>
      </c>
      <c r="G282" s="2">
        <f ca="1">[1]!b_anal_yield_cnbd(G$1,$B282,1)</f>
        <v>2.7799</v>
      </c>
      <c r="H282" s="2">
        <f>[1]!b_anal_yield_cnbd(H$1,$B282,1)</f>
        <v>2.7799</v>
      </c>
      <c r="I282" s="2">
        <f>[1]!b_anal_yield_cnbd(I$1,$B282,1)</f>
        <v>2.7799</v>
      </c>
      <c r="J282" s="2">
        <f>[1]!b_anal_yield_cnbd(J$1,$B282,1)</f>
        <v>2.8224999999999998</v>
      </c>
    </row>
    <row r="283" spans="2:10" x14ac:dyDescent="0.15">
      <c r="B283" s="1">
        <v>44979</v>
      </c>
      <c r="C283" s="3">
        <f t="shared" ca="1" si="14"/>
        <v>2.7707999999999999</v>
      </c>
      <c r="D283" s="3">
        <f t="shared" ca="1" si="15"/>
        <v>2.7785549999999999</v>
      </c>
      <c r="E283" s="2">
        <f ca="1">[1]!b_anal_yield_cnbd(E$1,$B283,1)</f>
        <v>2.7707999999999999</v>
      </c>
      <c r="F283" s="3">
        <f t="shared" ca="1" si="16"/>
        <v>2.7785549999999999</v>
      </c>
      <c r="G283" s="2">
        <f ca="1">[1]!b_anal_yield_cnbd(G$1,$B283,1)</f>
        <v>2.7707999999999999</v>
      </c>
      <c r="H283" s="2">
        <f>[1]!b_anal_yield_cnbd(H$1,$B283,1)</f>
        <v>2.7707999999999999</v>
      </c>
      <c r="I283" s="2">
        <f>[1]!b_anal_yield_cnbd(I$1,$B283,1)</f>
        <v>2.7707999999999999</v>
      </c>
      <c r="J283" s="2">
        <f>[1]!b_anal_yield_cnbd(J$1,$B283,1)</f>
        <v>2.8224999999999998</v>
      </c>
    </row>
    <row r="284" spans="2:10" x14ac:dyDescent="0.15">
      <c r="B284" s="1">
        <v>44978</v>
      </c>
      <c r="C284" s="3">
        <f t="shared" ca="1" si="14"/>
        <v>2.7774999999999999</v>
      </c>
      <c r="D284" s="3">
        <f t="shared" ca="1" si="15"/>
        <v>2.7851799999999995</v>
      </c>
      <c r="E284" s="2">
        <f ca="1">[1]!b_anal_yield_cnbd(E$1,$B284,1)</f>
        <v>2.7774999999999999</v>
      </c>
      <c r="F284" s="3">
        <f t="shared" ca="1" si="16"/>
        <v>2.7851799999999995</v>
      </c>
      <c r="G284" s="2">
        <f ca="1">[1]!b_anal_yield_cnbd(G$1,$B284,1)</f>
        <v>2.7774999999999999</v>
      </c>
      <c r="H284" s="2">
        <f>[1]!b_anal_yield_cnbd(H$1,$B284,1)</f>
        <v>2.7774999999999999</v>
      </c>
      <c r="I284" s="2">
        <f>[1]!b_anal_yield_cnbd(I$1,$B284,1)</f>
        <v>2.7774999999999999</v>
      </c>
      <c r="J284" s="2">
        <f>[1]!b_anal_yield_cnbd(J$1,$B284,1)</f>
        <v>2.8287</v>
      </c>
    </row>
    <row r="285" spans="2:10" x14ac:dyDescent="0.15">
      <c r="B285" s="1">
        <v>44977</v>
      </c>
      <c r="C285" s="3">
        <f t="shared" ca="1" si="14"/>
        <v>2.76</v>
      </c>
      <c r="D285" s="3">
        <f t="shared" ca="1" si="15"/>
        <v>2.7705000000000002</v>
      </c>
      <c r="E285" s="2">
        <f ca="1">[1]!b_anal_yield_cnbd(E$1,$B285,1)</f>
        <v>2.76</v>
      </c>
      <c r="F285" s="3">
        <f t="shared" ca="1" si="16"/>
        <v>2.7705000000000002</v>
      </c>
      <c r="G285" s="2">
        <f ca="1">[1]!b_anal_yield_cnbd(G$1,$B285,1)</f>
        <v>2.76</v>
      </c>
      <c r="H285" s="2">
        <f>[1]!b_anal_yield_cnbd(H$1,$B285,1)</f>
        <v>2.76</v>
      </c>
      <c r="I285" s="2">
        <f>[1]!b_anal_yield_cnbd(I$1,$B285,1)</f>
        <v>2.76</v>
      </c>
      <c r="J285" s="2">
        <f>[1]!b_anal_yield_cnbd(J$1,$B285,1)</f>
        <v>2.83</v>
      </c>
    </row>
    <row r="286" spans="2:10" x14ac:dyDescent="0.15">
      <c r="B286" s="1">
        <v>44974</v>
      </c>
      <c r="C286" s="3">
        <f t="shared" ca="1" si="14"/>
        <v>2.7524999999999999</v>
      </c>
      <c r="D286" s="3">
        <f t="shared" ca="1" si="15"/>
        <v>2.7611249999999998</v>
      </c>
      <c r="E286" s="2">
        <f ca="1">[1]!b_anal_yield_cnbd(E$1,$B286,1)</f>
        <v>2.7524999999999999</v>
      </c>
      <c r="F286" s="3">
        <f t="shared" ca="1" si="16"/>
        <v>2.7611249999999998</v>
      </c>
      <c r="G286" s="2">
        <f ca="1">[1]!b_anal_yield_cnbd(G$1,$B286,1)</f>
        <v>2.7524999999999999</v>
      </c>
      <c r="H286" s="2">
        <f>[1]!b_anal_yield_cnbd(H$1,$B286,1)</f>
        <v>2.7524999999999999</v>
      </c>
      <c r="I286" s="2">
        <f>[1]!b_anal_yield_cnbd(I$1,$B286,1)</f>
        <v>2.7524999999999999</v>
      </c>
      <c r="J286" s="2">
        <f>[1]!b_anal_yield_cnbd(J$1,$B286,1)</f>
        <v>2.81</v>
      </c>
    </row>
    <row r="287" spans="2:10" x14ac:dyDescent="0.15">
      <c r="B287" s="1">
        <v>44973</v>
      </c>
      <c r="C287" s="3">
        <f t="shared" ca="1" si="14"/>
        <v>2.75</v>
      </c>
      <c r="D287" s="3">
        <f t="shared" ca="1" si="15"/>
        <v>2.7589999999999999</v>
      </c>
      <c r="E287" s="2">
        <f ca="1">[1]!b_anal_yield_cnbd(E$1,$B287,1)</f>
        <v>2.75</v>
      </c>
      <c r="F287" s="3">
        <f t="shared" ca="1" si="16"/>
        <v>2.7589999999999999</v>
      </c>
      <c r="G287" s="2">
        <f ca="1">[1]!b_anal_yield_cnbd(G$1,$B287,1)</f>
        <v>2.75</v>
      </c>
      <c r="H287" s="2">
        <f>[1]!b_anal_yield_cnbd(H$1,$B287,1)</f>
        <v>2.75</v>
      </c>
      <c r="I287" s="2">
        <f>[1]!b_anal_yield_cnbd(I$1,$B287,1)</f>
        <v>2.75</v>
      </c>
      <c r="J287" s="2">
        <f>[1]!b_anal_yield_cnbd(J$1,$B287,1)</f>
        <v>2.81</v>
      </c>
    </row>
    <row r="288" spans="2:10" x14ac:dyDescent="0.15">
      <c r="B288" s="1">
        <v>44972</v>
      </c>
      <c r="C288" s="3">
        <f t="shared" ca="1" si="14"/>
        <v>2.7582</v>
      </c>
      <c r="D288" s="3">
        <f t="shared" ca="1" si="15"/>
        <v>2.7672599999999998</v>
      </c>
      <c r="E288" s="2">
        <f ca="1">[1]!b_anal_yield_cnbd(E$1,$B288,1)</f>
        <v>2.7582</v>
      </c>
      <c r="F288" s="3">
        <f t="shared" ca="1" si="16"/>
        <v>2.7672599999999998</v>
      </c>
      <c r="G288" s="2">
        <f ca="1">[1]!b_anal_yield_cnbd(G$1,$B288,1)</f>
        <v>2.7582</v>
      </c>
      <c r="H288" s="2">
        <f>[1]!b_anal_yield_cnbd(H$1,$B288,1)</f>
        <v>2.7582</v>
      </c>
      <c r="I288" s="2">
        <f>[1]!b_anal_yield_cnbd(I$1,$B288,1)</f>
        <v>2.7582</v>
      </c>
      <c r="J288" s="2">
        <f>[1]!b_anal_yield_cnbd(J$1,$B288,1)</f>
        <v>2.8186</v>
      </c>
    </row>
    <row r="289" spans="2:10" x14ac:dyDescent="0.15">
      <c r="B289" s="1">
        <v>44971</v>
      </c>
      <c r="C289" s="3">
        <f t="shared" ca="1" si="14"/>
        <v>2.7618</v>
      </c>
      <c r="D289" s="3">
        <f t="shared" ca="1" si="15"/>
        <v>2.7711299999999999</v>
      </c>
      <c r="E289" s="2">
        <f ca="1">[1]!b_anal_yield_cnbd(E$1,$B289,1)</f>
        <v>2.7618</v>
      </c>
      <c r="F289" s="3">
        <f t="shared" ca="1" si="16"/>
        <v>2.7711299999999999</v>
      </c>
      <c r="G289" s="2">
        <f ca="1">[1]!b_anal_yield_cnbd(G$1,$B289,1)</f>
        <v>2.7618</v>
      </c>
      <c r="H289" s="2">
        <f>[1]!b_anal_yield_cnbd(H$1,$B289,1)</f>
        <v>2.7618</v>
      </c>
      <c r="I289" s="2">
        <f>[1]!b_anal_yield_cnbd(I$1,$B289,1)</f>
        <v>2.7618</v>
      </c>
      <c r="J289" s="2">
        <f>[1]!b_anal_yield_cnbd(J$1,$B289,1)</f>
        <v>2.8239999999999998</v>
      </c>
    </row>
    <row r="290" spans="2:10" x14ac:dyDescent="0.15">
      <c r="B290" s="1">
        <v>44970</v>
      </c>
      <c r="C290" s="3">
        <f t="shared" ca="1" si="14"/>
        <v>2.7646999999999999</v>
      </c>
      <c r="D290" s="3">
        <f t="shared" ca="1" si="15"/>
        <v>2.7737449999999999</v>
      </c>
      <c r="E290" s="2">
        <f ca="1">[1]!b_anal_yield_cnbd(E$1,$B290,1)</f>
        <v>2.7646999999999999</v>
      </c>
      <c r="F290" s="3">
        <f t="shared" ca="1" si="16"/>
        <v>2.7737449999999999</v>
      </c>
      <c r="G290" s="2">
        <f ca="1">[1]!b_anal_yield_cnbd(G$1,$B290,1)</f>
        <v>2.7646999999999999</v>
      </c>
      <c r="H290" s="2">
        <f>[1]!b_anal_yield_cnbd(H$1,$B290,1)</f>
        <v>2.7646999999999999</v>
      </c>
      <c r="I290" s="2">
        <f>[1]!b_anal_yield_cnbd(I$1,$B290,1)</f>
        <v>2.7646999999999999</v>
      </c>
      <c r="J290" s="2">
        <f>[1]!b_anal_yield_cnbd(J$1,$B290,1)</f>
        <v>2.8250000000000002</v>
      </c>
    </row>
    <row r="291" spans="2:10" x14ac:dyDescent="0.15">
      <c r="B291" s="1">
        <v>44967</v>
      </c>
      <c r="C291" s="3">
        <f t="shared" ca="1" si="14"/>
        <v>2.7665000000000002</v>
      </c>
      <c r="D291" s="3">
        <f t="shared" ca="1" si="15"/>
        <v>2.7760250000000002</v>
      </c>
      <c r="E291" s="2">
        <f ca="1">[1]!b_anal_yield_cnbd(E$1,$B291,1)</f>
        <v>2.7665000000000002</v>
      </c>
      <c r="F291" s="3">
        <f t="shared" ca="1" si="16"/>
        <v>2.7760250000000002</v>
      </c>
      <c r="G291" s="2">
        <f ca="1">[1]!b_anal_yield_cnbd(G$1,$B291,1)</f>
        <v>2.7665000000000002</v>
      </c>
      <c r="H291" s="2">
        <f>[1]!b_anal_yield_cnbd(H$1,$B291,1)</f>
        <v>2.7665000000000002</v>
      </c>
      <c r="I291" s="2">
        <f>[1]!b_anal_yield_cnbd(I$1,$B291,1)</f>
        <v>2.7665000000000002</v>
      </c>
      <c r="J291" s="2">
        <f>[1]!b_anal_yield_cnbd(J$1,$B291,1)</f>
        <v>2.83</v>
      </c>
    </row>
    <row r="292" spans="2:10" x14ac:dyDescent="0.15">
      <c r="B292" s="1">
        <v>44966</v>
      </c>
      <c r="C292" s="3">
        <f t="shared" ca="1" si="14"/>
        <v>2.7650000000000001</v>
      </c>
      <c r="D292" s="3">
        <f t="shared" ca="1" si="15"/>
        <v>2.77475</v>
      </c>
      <c r="E292" s="2">
        <f ca="1">[1]!b_anal_yield_cnbd(E$1,$B292,1)</f>
        <v>2.7650000000000001</v>
      </c>
      <c r="F292" s="3">
        <f t="shared" ca="1" si="16"/>
        <v>2.77475</v>
      </c>
      <c r="G292" s="2">
        <f ca="1">[1]!b_anal_yield_cnbd(G$1,$B292,1)</f>
        <v>2.7650000000000001</v>
      </c>
      <c r="H292" s="2">
        <f>[1]!b_anal_yield_cnbd(H$1,$B292,1)</f>
        <v>2.7650000000000001</v>
      </c>
      <c r="I292" s="2">
        <f>[1]!b_anal_yield_cnbd(I$1,$B292,1)</f>
        <v>2.7650000000000001</v>
      </c>
      <c r="J292" s="2">
        <f>[1]!b_anal_yield_cnbd(J$1,$B292,1)</f>
        <v>2.83</v>
      </c>
    </row>
    <row r="293" spans="2:10" x14ac:dyDescent="0.15">
      <c r="B293" s="1">
        <v>44965</v>
      </c>
      <c r="C293" s="3">
        <f t="shared" ca="1" si="14"/>
        <v>2.77</v>
      </c>
      <c r="D293" s="3">
        <f t="shared" ca="1" si="15"/>
        <v>2.7783849999999997</v>
      </c>
      <c r="E293" s="2">
        <f ca="1">[1]!b_anal_yield_cnbd(E$1,$B293,1)</f>
        <v>2.77</v>
      </c>
      <c r="F293" s="3">
        <f t="shared" ca="1" si="16"/>
        <v>2.7783849999999997</v>
      </c>
      <c r="G293" s="2">
        <f ca="1">[1]!b_anal_yield_cnbd(G$1,$B293,1)</f>
        <v>2.77</v>
      </c>
      <c r="H293" s="2">
        <f>[1]!b_anal_yield_cnbd(H$1,$B293,1)</f>
        <v>2.77</v>
      </c>
      <c r="I293" s="2">
        <f>[1]!b_anal_yield_cnbd(I$1,$B293,1)</f>
        <v>2.77</v>
      </c>
      <c r="J293" s="2">
        <f>[1]!b_anal_yield_cnbd(J$1,$B293,1)</f>
        <v>2.8258999999999999</v>
      </c>
    </row>
    <row r="294" spans="2:10" x14ac:dyDescent="0.15">
      <c r="B294" s="1">
        <v>44964</v>
      </c>
      <c r="C294" s="3">
        <f t="shared" ca="1" si="14"/>
        <v>2.7650000000000001</v>
      </c>
      <c r="D294" s="3">
        <f t="shared" ca="1" si="15"/>
        <v>2.77325</v>
      </c>
      <c r="E294" s="2">
        <f ca="1">[1]!b_anal_yield_cnbd(E$1,$B294,1)</f>
        <v>2.7650000000000001</v>
      </c>
      <c r="F294" s="3">
        <f t="shared" ca="1" si="16"/>
        <v>2.77325</v>
      </c>
      <c r="G294" s="2">
        <f ca="1">[1]!b_anal_yield_cnbd(G$1,$B294,1)</f>
        <v>2.7650000000000001</v>
      </c>
      <c r="H294" s="2">
        <f>[1]!b_anal_yield_cnbd(H$1,$B294,1)</f>
        <v>2.7650000000000001</v>
      </c>
      <c r="I294" s="2">
        <f>[1]!b_anal_yield_cnbd(I$1,$B294,1)</f>
        <v>2.7650000000000001</v>
      </c>
      <c r="J294" s="2">
        <f>[1]!b_anal_yield_cnbd(J$1,$B294,1)</f>
        <v>2.82</v>
      </c>
    </row>
    <row r="295" spans="2:10" x14ac:dyDescent="0.15">
      <c r="B295" s="1">
        <v>44963</v>
      </c>
      <c r="C295" s="3">
        <f t="shared" ca="1" si="14"/>
        <v>2.766</v>
      </c>
      <c r="D295" s="3">
        <f t="shared" ca="1" si="15"/>
        <v>2.7748499999999998</v>
      </c>
      <c r="E295" s="2">
        <f ca="1">[1]!b_anal_yield_cnbd(E$1,$B295,1)</f>
        <v>2.766</v>
      </c>
      <c r="F295" s="3">
        <f t="shared" ca="1" si="16"/>
        <v>2.7748499999999998</v>
      </c>
      <c r="G295" s="2">
        <f ca="1">[1]!b_anal_yield_cnbd(G$1,$B295,1)</f>
        <v>2.766</v>
      </c>
      <c r="H295" s="2">
        <f>[1]!b_anal_yield_cnbd(H$1,$B295,1)</f>
        <v>2.766</v>
      </c>
      <c r="I295" s="2">
        <f>[1]!b_anal_yield_cnbd(I$1,$B295,1)</f>
        <v>2.766</v>
      </c>
      <c r="J295" s="2">
        <f>[1]!b_anal_yield_cnbd(J$1,$B295,1)</f>
        <v>2.8250000000000002</v>
      </c>
    </row>
    <row r="296" spans="2:10" x14ac:dyDescent="0.15">
      <c r="B296" s="1">
        <v>44960</v>
      </c>
      <c r="C296" s="3">
        <f t="shared" ca="1" si="14"/>
        <v>2.7549999999999999</v>
      </c>
      <c r="D296" s="3">
        <f t="shared" ca="1" si="15"/>
        <v>2.7639999999999998</v>
      </c>
      <c r="E296" s="2">
        <f ca="1">[1]!b_anal_yield_cnbd(E$1,$B296,1)</f>
        <v>2.7549999999999999</v>
      </c>
      <c r="F296" s="3">
        <f t="shared" ca="1" si="16"/>
        <v>2.7639999999999998</v>
      </c>
      <c r="G296" s="2">
        <f ca="1">[1]!b_anal_yield_cnbd(G$1,$B296,1)</f>
        <v>2.7549999999999999</v>
      </c>
      <c r="H296" s="2">
        <f>[1]!b_anal_yield_cnbd(H$1,$B296,1)</f>
        <v>2.7549999999999999</v>
      </c>
      <c r="I296" s="2">
        <f>[1]!b_anal_yield_cnbd(I$1,$B296,1)</f>
        <v>2.7549999999999999</v>
      </c>
      <c r="J296" s="2">
        <f>[1]!b_anal_yield_cnbd(J$1,$B296,1)</f>
        <v>2.8149999999999999</v>
      </c>
    </row>
    <row r="297" spans="2:10" x14ac:dyDescent="0.15">
      <c r="B297" s="1">
        <v>44959</v>
      </c>
      <c r="C297" s="3">
        <f t="shared" ca="1" si="14"/>
        <v>2.7299000000000002</v>
      </c>
      <c r="D297" s="3">
        <f t="shared" ca="1" si="15"/>
        <v>2.74187</v>
      </c>
      <c r="E297" s="2">
        <f ca="1">[1]!b_anal_yield_cnbd(E$1,$B297,1)</f>
        <v>2.7299000000000002</v>
      </c>
      <c r="F297" s="3">
        <f t="shared" ca="1" si="16"/>
        <v>2.74187</v>
      </c>
      <c r="G297" s="2">
        <f ca="1">[1]!b_anal_yield_cnbd(G$1,$B297,1)</f>
        <v>2.7299000000000002</v>
      </c>
      <c r="H297" s="2">
        <f>[1]!b_anal_yield_cnbd(H$1,$B297,1)</f>
        <v>2.7299000000000002</v>
      </c>
      <c r="I297" s="2">
        <f>[1]!b_anal_yield_cnbd(I$1,$B297,1)</f>
        <v>2.7299000000000002</v>
      </c>
      <c r="J297" s="2">
        <f>[1]!b_anal_yield_cnbd(J$1,$B297,1)</f>
        <v>2.8096999999999999</v>
      </c>
    </row>
    <row r="298" spans="2:10" x14ac:dyDescent="0.15">
      <c r="B298" s="1">
        <v>44958</v>
      </c>
      <c r="C298" s="3">
        <f t="shared" ca="1" si="14"/>
        <v>2.7393999999999998</v>
      </c>
      <c r="D298" s="3">
        <f t="shared" ca="1" si="15"/>
        <v>2.75074</v>
      </c>
      <c r="E298" s="2">
        <f ca="1">[1]!b_anal_yield_cnbd(E$1,$B298,1)</f>
        <v>2.7393999999999998</v>
      </c>
      <c r="F298" s="3">
        <f t="shared" ca="1" si="16"/>
        <v>2.75074</v>
      </c>
      <c r="G298" s="2">
        <f ca="1">[1]!b_anal_yield_cnbd(G$1,$B298,1)</f>
        <v>2.7393999999999998</v>
      </c>
      <c r="H298" s="2">
        <f>[1]!b_anal_yield_cnbd(H$1,$B298,1)</f>
        <v>2.7393999999999998</v>
      </c>
      <c r="I298" s="2">
        <f>[1]!b_anal_yield_cnbd(I$1,$B298,1)</f>
        <v>2.7393999999999998</v>
      </c>
      <c r="J298" s="2">
        <f>[1]!b_anal_yield_cnbd(J$1,$B298,1)</f>
        <v>2.8149999999999999</v>
      </c>
    </row>
    <row r="299" spans="2:10" x14ac:dyDescent="0.15">
      <c r="B299" s="1">
        <v>44957</v>
      </c>
      <c r="C299" s="3">
        <f t="shared" ca="1" si="14"/>
        <v>2.7326000000000001</v>
      </c>
      <c r="D299" s="3">
        <f t="shared" ca="1" si="15"/>
        <v>2.7427100000000002</v>
      </c>
      <c r="E299" s="2">
        <f ca="1">[1]!b_anal_yield_cnbd(E$1,$B299,1)</f>
        <v>2.7326000000000001</v>
      </c>
      <c r="F299" s="3">
        <f t="shared" ca="1" si="16"/>
        <v>2.7427100000000002</v>
      </c>
      <c r="G299" s="2">
        <f ca="1">[1]!b_anal_yield_cnbd(G$1,$B299,1)</f>
        <v>2.7326000000000001</v>
      </c>
      <c r="H299" s="2">
        <f>[1]!b_anal_yield_cnbd(H$1,$B299,1)</f>
        <v>2.7326000000000001</v>
      </c>
      <c r="I299" s="2">
        <f>[1]!b_anal_yield_cnbd(I$1,$B299,1)</f>
        <v>2.7326000000000001</v>
      </c>
      <c r="J299" s="2">
        <f>[1]!b_anal_yield_cnbd(J$1,$B299,1)</f>
        <v>2.8</v>
      </c>
    </row>
    <row r="300" spans="2:10" x14ac:dyDescent="0.15">
      <c r="B300" s="1">
        <v>44956</v>
      </c>
      <c r="C300" s="3">
        <f t="shared" ca="1" si="14"/>
        <v>2.75</v>
      </c>
      <c r="D300" s="3">
        <f t="shared" ca="1" si="15"/>
        <v>2.7582499999999999</v>
      </c>
      <c r="E300" s="2">
        <f ca="1">[1]!b_anal_yield_cnbd(E$1,$B300,1)</f>
        <v>2.75</v>
      </c>
      <c r="F300" s="3">
        <f t="shared" ca="1" si="16"/>
        <v>2.7582499999999999</v>
      </c>
      <c r="G300" s="2">
        <f ca="1">[1]!b_anal_yield_cnbd(G$1,$B300,1)</f>
        <v>2.75</v>
      </c>
      <c r="H300" s="2">
        <f>[1]!b_anal_yield_cnbd(H$1,$B300,1)</f>
        <v>2.75</v>
      </c>
      <c r="I300" s="2">
        <f>[1]!b_anal_yield_cnbd(I$1,$B300,1)</f>
        <v>2.75</v>
      </c>
      <c r="J300" s="2">
        <f>[1]!b_anal_yield_cnbd(J$1,$B300,1)</f>
        <v>2.8050000000000002</v>
      </c>
    </row>
    <row r="301" spans="2:10" x14ac:dyDescent="0.15">
      <c r="B301" s="1">
        <v>44955</v>
      </c>
      <c r="C301" s="3">
        <f t="shared" ca="1" si="14"/>
        <v>2.7490999999999999</v>
      </c>
      <c r="D301" s="3">
        <f t="shared" ca="1" si="15"/>
        <v>2.7577850000000002</v>
      </c>
      <c r="E301" s="2">
        <f ca="1">[1]!b_anal_yield_cnbd(E$1,$B301,1)</f>
        <v>2.7490999999999999</v>
      </c>
      <c r="F301" s="3">
        <f t="shared" ca="1" si="16"/>
        <v>2.7577850000000002</v>
      </c>
      <c r="G301" s="2">
        <f ca="1">[1]!b_anal_yield_cnbd(G$1,$B301,1)</f>
        <v>2.7490999999999999</v>
      </c>
      <c r="H301" s="2">
        <f>[1]!b_anal_yield_cnbd(H$1,$B301,1)</f>
        <v>2.7490999999999999</v>
      </c>
      <c r="I301" s="2">
        <f>[1]!b_anal_yield_cnbd(I$1,$B301,1)</f>
        <v>2.7490999999999999</v>
      </c>
      <c r="J301" s="2">
        <f>[1]!b_anal_yield_cnbd(J$1,$B301,1)</f>
        <v>2.8069999999999999</v>
      </c>
    </row>
    <row r="302" spans="2:10" x14ac:dyDescent="0.15">
      <c r="B302" s="1">
        <v>44954</v>
      </c>
      <c r="C302" s="3">
        <f t="shared" ca="1" si="14"/>
        <v>2.7557999999999998</v>
      </c>
      <c r="D302" s="3">
        <f t="shared" ca="1" si="15"/>
        <v>2.7648449999999998</v>
      </c>
      <c r="E302" s="2">
        <f ca="1">[1]!b_anal_yield_cnbd(E$1,$B302,1)</f>
        <v>2.7557999999999998</v>
      </c>
      <c r="F302" s="3">
        <f t="shared" ca="1" si="16"/>
        <v>2.7648449999999998</v>
      </c>
      <c r="G302" s="2">
        <f ca="1">[1]!b_anal_yield_cnbd(G$1,$B302,1)</f>
        <v>2.7557999999999998</v>
      </c>
      <c r="H302" s="2">
        <f>[1]!b_anal_yield_cnbd(H$1,$B302,1)</f>
        <v>2.7557999999999998</v>
      </c>
      <c r="I302" s="2">
        <f>[1]!b_anal_yield_cnbd(I$1,$B302,1)</f>
        <v>2.7557999999999998</v>
      </c>
      <c r="J302" s="2">
        <f>[1]!b_anal_yield_cnbd(J$1,$B302,1)</f>
        <v>2.8161</v>
      </c>
    </row>
    <row r="303" spans="2:10" x14ac:dyDescent="0.15">
      <c r="B303" s="1">
        <v>44946</v>
      </c>
      <c r="C303" s="3">
        <f t="shared" ca="1" si="14"/>
        <v>2.7599</v>
      </c>
      <c r="D303" s="3">
        <f t="shared" ca="1" si="15"/>
        <v>2.7689899999999996</v>
      </c>
      <c r="E303" s="2">
        <f ca="1">[1]!b_anal_yield_cnbd(E$1,$B303,1)</f>
        <v>2.7599</v>
      </c>
      <c r="F303" s="3">
        <f t="shared" ca="1" si="16"/>
        <v>2.7689899999999996</v>
      </c>
      <c r="G303" s="2">
        <f ca="1">[1]!b_anal_yield_cnbd(G$1,$B303,1)</f>
        <v>2.7599</v>
      </c>
      <c r="H303" s="2">
        <f>[1]!b_anal_yield_cnbd(H$1,$B303,1)</f>
        <v>2.7599</v>
      </c>
      <c r="I303" s="2">
        <f>[1]!b_anal_yield_cnbd(I$1,$B303,1)</f>
        <v>2.7599</v>
      </c>
      <c r="J303" s="2">
        <f>[1]!b_anal_yield_cnbd(J$1,$B303,1)</f>
        <v>2.8205</v>
      </c>
    </row>
    <row r="304" spans="2:10" x14ac:dyDescent="0.15">
      <c r="B304" s="1">
        <v>44945</v>
      </c>
      <c r="C304" s="3">
        <f t="shared" ca="1" si="14"/>
        <v>2.7532000000000001</v>
      </c>
      <c r="D304" s="3">
        <f t="shared" ca="1" si="15"/>
        <v>2.7626049999999998</v>
      </c>
      <c r="E304" s="2">
        <f ca="1">[1]!b_anal_yield_cnbd(E$1,$B304,1)</f>
        <v>2.7532000000000001</v>
      </c>
      <c r="F304" s="3">
        <f t="shared" ca="1" si="16"/>
        <v>2.7626049999999998</v>
      </c>
      <c r="G304" s="2">
        <f ca="1">[1]!b_anal_yield_cnbd(G$1,$B304,1)</f>
        <v>2.7532000000000001</v>
      </c>
      <c r="H304" s="2">
        <f>[1]!b_anal_yield_cnbd(H$1,$B304,1)</f>
        <v>2.7532000000000001</v>
      </c>
      <c r="I304" s="2">
        <f>[1]!b_anal_yield_cnbd(I$1,$B304,1)</f>
        <v>2.7532000000000001</v>
      </c>
      <c r="J304" s="2">
        <f>[1]!b_anal_yield_cnbd(J$1,$B304,1)</f>
        <v>2.8159000000000001</v>
      </c>
    </row>
    <row r="305" spans="2:10" x14ac:dyDescent="0.15">
      <c r="B305" s="1">
        <v>44944</v>
      </c>
      <c r="C305" s="3">
        <f t="shared" ca="1" si="14"/>
        <v>2.7574999999999998</v>
      </c>
      <c r="D305" s="3">
        <f t="shared" ca="1" si="15"/>
        <v>2.7668749999999998</v>
      </c>
      <c r="E305" s="2">
        <f ca="1">[1]!b_anal_yield_cnbd(E$1,$B305,1)</f>
        <v>2.7574999999999998</v>
      </c>
      <c r="F305" s="3">
        <f t="shared" ca="1" si="16"/>
        <v>2.7668749999999998</v>
      </c>
      <c r="G305" s="2">
        <f ca="1">[1]!b_anal_yield_cnbd(G$1,$B305,1)</f>
        <v>2.7574999999999998</v>
      </c>
      <c r="H305" s="2">
        <f>[1]!b_anal_yield_cnbd(H$1,$B305,1)</f>
        <v>2.7574999999999998</v>
      </c>
      <c r="I305" s="2">
        <f>[1]!b_anal_yield_cnbd(I$1,$B305,1)</f>
        <v>2.7574999999999998</v>
      </c>
      <c r="J305" s="2">
        <f>[1]!b_anal_yield_cnbd(J$1,$B305,1)</f>
        <v>2.82</v>
      </c>
    </row>
    <row r="306" spans="2:10" x14ac:dyDescent="0.15">
      <c r="B306" s="1">
        <v>44943</v>
      </c>
      <c r="C306" s="3">
        <f t="shared" ca="1" si="14"/>
        <v>2.7625000000000002</v>
      </c>
      <c r="D306" s="3">
        <f t="shared" ca="1" si="15"/>
        <v>2.7726250000000001</v>
      </c>
      <c r="E306" s="2">
        <f ca="1">[1]!b_anal_yield_cnbd(E$1,$B306,1)</f>
        <v>2.7625000000000002</v>
      </c>
      <c r="F306" s="3">
        <f t="shared" ca="1" si="16"/>
        <v>2.7726250000000001</v>
      </c>
      <c r="G306" s="2">
        <f ca="1">[1]!b_anal_yield_cnbd(G$1,$B306,1)</f>
        <v>2.7625000000000002</v>
      </c>
      <c r="H306" s="2">
        <f>[1]!b_anal_yield_cnbd(H$1,$B306,1)</f>
        <v>2.7625000000000002</v>
      </c>
      <c r="I306" s="2">
        <f>[1]!b_anal_yield_cnbd(I$1,$B306,1)</f>
        <v>2.7625000000000002</v>
      </c>
      <c r="J306" s="2">
        <f>[1]!b_anal_yield_cnbd(J$1,$B306,1)</f>
        <v>2.83</v>
      </c>
    </row>
    <row r="307" spans="2:10" x14ac:dyDescent="0.15">
      <c r="B307" s="1">
        <v>44942</v>
      </c>
      <c r="C307" s="3">
        <f t="shared" ca="1" si="14"/>
        <v>2.77</v>
      </c>
      <c r="D307" s="3">
        <f t="shared" ca="1" si="15"/>
        <v>2.7797499999999999</v>
      </c>
      <c r="E307" s="2">
        <f ca="1">[1]!b_anal_yield_cnbd(E$1,$B307,1)</f>
        <v>2.77</v>
      </c>
      <c r="F307" s="3">
        <f t="shared" ca="1" si="16"/>
        <v>2.7797499999999999</v>
      </c>
      <c r="G307" s="2">
        <f ca="1">[1]!b_anal_yield_cnbd(G$1,$B307,1)</f>
        <v>2.77</v>
      </c>
      <c r="H307" s="2">
        <f>[1]!b_anal_yield_cnbd(H$1,$B307,1)</f>
        <v>2.77</v>
      </c>
      <c r="I307" s="2">
        <f>[1]!b_anal_yield_cnbd(I$1,$B307,1)</f>
        <v>2.77</v>
      </c>
      <c r="J307" s="2">
        <f>[1]!b_anal_yield_cnbd(J$1,$B307,1)</f>
        <v>2.835</v>
      </c>
    </row>
    <row r="308" spans="2:10" x14ac:dyDescent="0.15">
      <c r="B308" s="1">
        <v>44939</v>
      </c>
      <c r="C308" s="3">
        <f t="shared" ca="1" si="14"/>
        <v>2.7549999999999999</v>
      </c>
      <c r="D308" s="3">
        <f t="shared" ca="1" si="15"/>
        <v>2.7639999999999998</v>
      </c>
      <c r="E308" s="2">
        <f ca="1">[1]!b_anal_yield_cnbd(E$1,$B308,1)</f>
        <v>2.7549999999999999</v>
      </c>
      <c r="F308" s="3">
        <f t="shared" ca="1" si="16"/>
        <v>2.7639999999999998</v>
      </c>
      <c r="G308" s="2">
        <f ca="1">[1]!b_anal_yield_cnbd(G$1,$B308,1)</f>
        <v>2.7549999999999999</v>
      </c>
      <c r="H308" s="2">
        <f>[1]!b_anal_yield_cnbd(H$1,$B308,1)</f>
        <v>2.7549999999999999</v>
      </c>
      <c r="I308" s="2">
        <f>[1]!b_anal_yield_cnbd(I$1,$B308,1)</f>
        <v>2.7549999999999999</v>
      </c>
      <c r="J308" s="2">
        <f>[1]!b_anal_yield_cnbd(J$1,$B308,1)</f>
        <v>2.8149999999999999</v>
      </c>
    </row>
    <row r="309" spans="2:10" x14ac:dyDescent="0.15">
      <c r="B309" s="1">
        <v>44938</v>
      </c>
      <c r="C309" s="3">
        <f t="shared" ca="1" si="14"/>
        <v>2.7450000000000001</v>
      </c>
      <c r="D309" s="3">
        <f t="shared" ca="1" si="15"/>
        <v>2.75475</v>
      </c>
      <c r="E309" s="2">
        <f ca="1">[1]!b_anal_yield_cnbd(E$1,$B309,1)</f>
        <v>2.7450000000000001</v>
      </c>
      <c r="F309" s="3">
        <f t="shared" ca="1" si="16"/>
        <v>2.75475</v>
      </c>
      <c r="G309" s="2">
        <f ca="1">[1]!b_anal_yield_cnbd(G$1,$B309,1)</f>
        <v>2.7450000000000001</v>
      </c>
      <c r="H309" s="2">
        <f>[1]!b_anal_yield_cnbd(H$1,$B309,1)</f>
        <v>2.7450000000000001</v>
      </c>
      <c r="I309" s="2">
        <f>[1]!b_anal_yield_cnbd(I$1,$B309,1)</f>
        <v>2.7450000000000001</v>
      </c>
      <c r="J309" s="2">
        <f>[1]!b_anal_yield_cnbd(J$1,$B309,1)</f>
        <v>2.81</v>
      </c>
    </row>
    <row r="310" spans="2:10" x14ac:dyDescent="0.15">
      <c r="B310" s="1">
        <v>44937</v>
      </c>
      <c r="C310" s="3">
        <f t="shared" ca="1" si="14"/>
        <v>2.74</v>
      </c>
      <c r="D310" s="3">
        <f t="shared" ca="1" si="15"/>
        <v>2.7505000000000002</v>
      </c>
      <c r="E310" s="2">
        <f ca="1">[1]!b_anal_yield_cnbd(E$1,$B310,1)</f>
        <v>2.74</v>
      </c>
      <c r="F310" s="3">
        <f t="shared" ca="1" si="16"/>
        <v>2.7505000000000002</v>
      </c>
      <c r="G310" s="2">
        <f ca="1">[1]!b_anal_yield_cnbd(G$1,$B310,1)</f>
        <v>2.74</v>
      </c>
      <c r="H310" s="2">
        <f>[1]!b_anal_yield_cnbd(H$1,$B310,1)</f>
        <v>2.74</v>
      </c>
      <c r="I310" s="2">
        <f>[1]!b_anal_yield_cnbd(I$1,$B310,1)</f>
        <v>2.74</v>
      </c>
      <c r="J310" s="2">
        <f>[1]!b_anal_yield_cnbd(J$1,$B310,1)</f>
        <v>2.81</v>
      </c>
    </row>
    <row r="311" spans="2:10" x14ac:dyDescent="0.15">
      <c r="B311" s="1">
        <v>44936</v>
      </c>
      <c r="C311" s="3">
        <f t="shared" ca="1" si="14"/>
        <v>2.7450000000000001</v>
      </c>
      <c r="D311" s="3">
        <f t="shared" ca="1" si="15"/>
        <v>2.7562500000000001</v>
      </c>
      <c r="E311" s="2">
        <f ca="1">[1]!b_anal_yield_cnbd(E$1,$B311,1)</f>
        <v>2.7450000000000001</v>
      </c>
      <c r="F311" s="3">
        <f t="shared" ca="1" si="16"/>
        <v>2.7562500000000001</v>
      </c>
      <c r="G311" s="2">
        <f ca="1">[1]!b_anal_yield_cnbd(G$1,$B311,1)</f>
        <v>2.7450000000000001</v>
      </c>
      <c r="H311" s="2">
        <f>[1]!b_anal_yield_cnbd(H$1,$B311,1)</f>
        <v>2.7450000000000001</v>
      </c>
      <c r="I311" s="2">
        <f>[1]!b_anal_yield_cnbd(I$1,$B311,1)</f>
        <v>2.7450000000000001</v>
      </c>
      <c r="J311" s="2">
        <f>[1]!b_anal_yield_cnbd(J$1,$B311,1)</f>
        <v>2.82</v>
      </c>
    </row>
    <row r="312" spans="2:10" x14ac:dyDescent="0.15">
      <c r="B312" s="1">
        <v>44935</v>
      </c>
      <c r="C312" s="3">
        <f t="shared" ca="1" si="14"/>
        <v>2.72</v>
      </c>
      <c r="D312" s="3">
        <f t="shared" ca="1" si="15"/>
        <v>2.7312500000000002</v>
      </c>
      <c r="E312" s="2">
        <f ca="1">[1]!b_anal_yield_cnbd(E$1,$B312,1)</f>
        <v>2.72</v>
      </c>
      <c r="F312" s="3">
        <f t="shared" ca="1" si="16"/>
        <v>2.7312500000000002</v>
      </c>
      <c r="G312" s="2">
        <f ca="1">[1]!b_anal_yield_cnbd(G$1,$B312,1)</f>
        <v>2.72</v>
      </c>
      <c r="H312" s="2">
        <f>[1]!b_anal_yield_cnbd(H$1,$B312,1)</f>
        <v>2.72</v>
      </c>
      <c r="I312" s="2">
        <f>[1]!b_anal_yield_cnbd(I$1,$B312,1)</f>
        <v>2.72</v>
      </c>
      <c r="J312" s="2">
        <f>[1]!b_anal_yield_cnbd(J$1,$B312,1)</f>
        <v>2.7949999999999999</v>
      </c>
    </row>
    <row r="313" spans="2:10" x14ac:dyDescent="0.15">
      <c r="B313" s="1">
        <v>44932</v>
      </c>
      <c r="C313" s="3">
        <f t="shared" ca="1" si="14"/>
        <v>2.7149999999999999</v>
      </c>
      <c r="D313" s="3">
        <f t="shared" ca="1" si="15"/>
        <v>2.7247499999999998</v>
      </c>
      <c r="E313" s="2">
        <f ca="1">[1]!b_anal_yield_cnbd(E$1,$B313,1)</f>
        <v>2.7149999999999999</v>
      </c>
      <c r="F313" s="3">
        <f t="shared" ca="1" si="16"/>
        <v>2.7247499999999998</v>
      </c>
      <c r="G313" s="2">
        <f ca="1">[1]!b_anal_yield_cnbd(G$1,$B313,1)</f>
        <v>2.7149999999999999</v>
      </c>
      <c r="H313" s="2">
        <f>[1]!b_anal_yield_cnbd(H$1,$B313,1)</f>
        <v>2.7149999999999999</v>
      </c>
      <c r="I313" s="2">
        <f>[1]!b_anal_yield_cnbd(I$1,$B313,1)</f>
        <v>2.7149999999999999</v>
      </c>
      <c r="J313" s="2">
        <f>[1]!b_anal_yield_cnbd(J$1,$B313,1)</f>
        <v>2.78</v>
      </c>
    </row>
    <row r="314" spans="2:10" x14ac:dyDescent="0.15">
      <c r="B314" s="1">
        <v>44931</v>
      </c>
      <c r="C314" s="3">
        <f t="shared" ca="1" si="14"/>
        <v>2.7040000000000002</v>
      </c>
      <c r="D314" s="3">
        <f t="shared" ca="1" si="15"/>
        <v>2.7138999999999998</v>
      </c>
      <c r="E314" s="2">
        <f ca="1">[1]!b_anal_yield_cnbd(E$1,$B314,1)</f>
        <v>2.7040000000000002</v>
      </c>
      <c r="F314" s="3">
        <f t="shared" ca="1" si="16"/>
        <v>2.7138999999999998</v>
      </c>
      <c r="G314" s="2">
        <f ca="1">[1]!b_anal_yield_cnbd(G$1,$B314,1)</f>
        <v>2.7040000000000002</v>
      </c>
      <c r="H314" s="2">
        <f>[1]!b_anal_yield_cnbd(H$1,$B314,1)</f>
        <v>2.7040000000000002</v>
      </c>
      <c r="I314" s="2">
        <f>[1]!b_anal_yield_cnbd(I$1,$B314,1)</f>
        <v>2.7040000000000002</v>
      </c>
      <c r="J314" s="2">
        <f>[1]!b_anal_yield_cnbd(J$1,$B314,1)</f>
        <v>2.77</v>
      </c>
    </row>
    <row r="315" spans="2:10" x14ac:dyDescent="0.15">
      <c r="B315" s="1">
        <v>44930</v>
      </c>
      <c r="C315" s="3">
        <f t="shared" ca="1" si="14"/>
        <v>2.7</v>
      </c>
      <c r="D315" s="3">
        <f t="shared" ca="1" si="15"/>
        <v>2.7093750000000001</v>
      </c>
      <c r="E315" s="2">
        <f ca="1">[1]!b_anal_yield_cnbd(E$1,$B315,1)</f>
        <v>2.7</v>
      </c>
      <c r="F315" s="3">
        <f t="shared" ca="1" si="16"/>
        <v>2.7093750000000001</v>
      </c>
      <c r="G315" s="2">
        <f ca="1">[1]!b_anal_yield_cnbd(G$1,$B315,1)</f>
        <v>2.7</v>
      </c>
      <c r="H315" s="2">
        <f>[1]!b_anal_yield_cnbd(H$1,$B315,1)</f>
        <v>2.7</v>
      </c>
      <c r="I315" s="2">
        <f>[1]!b_anal_yield_cnbd(I$1,$B315,1)</f>
        <v>2.7</v>
      </c>
      <c r="J315" s="2">
        <f>[1]!b_anal_yield_cnbd(J$1,$B315,1)</f>
        <v>2.7625000000000002</v>
      </c>
    </row>
    <row r="316" spans="2:10" x14ac:dyDescent="0.15">
      <c r="B316" s="1">
        <v>44929</v>
      </c>
      <c r="C316" s="3">
        <f t="shared" ca="1" si="14"/>
        <v>2.7099000000000002</v>
      </c>
      <c r="D316" s="3">
        <f t="shared" ca="1" si="15"/>
        <v>2.720415</v>
      </c>
      <c r="E316" s="2">
        <f ca="1">[1]!b_anal_yield_cnbd(E$1,$B316,1)</f>
        <v>2.7099000000000002</v>
      </c>
      <c r="F316" s="3">
        <f t="shared" ca="1" si="16"/>
        <v>2.720415</v>
      </c>
      <c r="G316" s="2">
        <f ca="1">[1]!b_anal_yield_cnbd(G$1,$B316,1)</f>
        <v>2.7099000000000002</v>
      </c>
      <c r="H316" s="2">
        <f>[1]!b_anal_yield_cnbd(H$1,$B316,1)</f>
        <v>2.7099000000000002</v>
      </c>
      <c r="I316" s="2">
        <f>[1]!b_anal_yield_cnbd(I$1,$B316,1)</f>
        <v>2.7099000000000002</v>
      </c>
      <c r="J316" s="2">
        <f>[1]!b_anal_yield_cnbd(J$1,$B316,1)</f>
        <v>2.78</v>
      </c>
    </row>
    <row r="317" spans="2:10" x14ac:dyDescent="0.15">
      <c r="B317" s="1">
        <v>44926</v>
      </c>
      <c r="C317" s="3">
        <f t="shared" ca="1" si="14"/>
        <v>2.7151000000000001</v>
      </c>
      <c r="D317" s="3">
        <f t="shared" ca="1" si="15"/>
        <v>2.7277749999999998</v>
      </c>
      <c r="E317" s="2">
        <f ca="1">[1]!b_anal_yield_cnbd(E$1,$B317,1)</f>
        <v>2.7151000000000001</v>
      </c>
      <c r="F317" s="3">
        <f t="shared" ca="1" si="16"/>
        <v>2.7277749999999998</v>
      </c>
      <c r="G317" s="2">
        <f ca="1">[1]!b_anal_yield_cnbd(G$1,$B317,1)</f>
        <v>2.7151000000000001</v>
      </c>
      <c r="H317" s="2">
        <f>[1]!b_anal_yield_cnbd(H$1,$B317,1)</f>
        <v>2.7151000000000001</v>
      </c>
      <c r="I317" s="2">
        <f>[1]!b_anal_yield_cnbd(I$1,$B317,1)</f>
        <v>2.7151000000000001</v>
      </c>
      <c r="J317" s="2">
        <f>[1]!b_anal_yield_cnbd(J$1,$B317,1)</f>
        <v>2.7995999999999999</v>
      </c>
    </row>
    <row r="318" spans="2:10" x14ac:dyDescent="0.15">
      <c r="B318" s="1">
        <v>44925</v>
      </c>
      <c r="C318" s="3">
        <f t="shared" ca="1" si="14"/>
        <v>2.7145999999999999</v>
      </c>
      <c r="D318" s="3">
        <f t="shared" ca="1" si="15"/>
        <v>2.7274099999999999</v>
      </c>
      <c r="E318" s="2">
        <f ca="1">[1]!b_anal_yield_cnbd(E$1,$B318,1)</f>
        <v>2.7145999999999999</v>
      </c>
      <c r="F318" s="3">
        <f t="shared" ca="1" si="16"/>
        <v>2.7274099999999999</v>
      </c>
      <c r="G318" s="2">
        <f ca="1">[1]!b_anal_yield_cnbd(G$1,$B318,1)</f>
        <v>2.7145999999999999</v>
      </c>
      <c r="H318" s="2">
        <f>[1]!b_anal_yield_cnbd(H$1,$B318,1)</f>
        <v>2.7145999999999999</v>
      </c>
      <c r="I318" s="2">
        <f>[1]!b_anal_yield_cnbd(I$1,$B318,1)</f>
        <v>2.7145999999999999</v>
      </c>
      <c r="J318" s="2">
        <f>[1]!b_anal_yield_cnbd(J$1,$B318,1)</f>
        <v>2.8</v>
      </c>
    </row>
    <row r="319" spans="2:10" x14ac:dyDescent="0.15">
      <c r="B319" s="1">
        <v>44924</v>
      </c>
      <c r="C319" s="3">
        <f t="shared" ca="1" si="14"/>
        <v>2.7149999999999999</v>
      </c>
      <c r="D319" s="3">
        <f t="shared" ca="1" si="15"/>
        <v>2.7281249999999999</v>
      </c>
      <c r="E319" s="2">
        <f ca="1">[1]!b_anal_yield_cnbd(E$1,$B319,1)</f>
        <v>2.7149999999999999</v>
      </c>
      <c r="F319" s="3">
        <f t="shared" ca="1" si="16"/>
        <v>2.7281249999999999</v>
      </c>
      <c r="G319" s="2">
        <f ca="1">[1]!b_anal_yield_cnbd(G$1,$B319,1)</f>
        <v>2.7149999999999999</v>
      </c>
      <c r="H319" s="2">
        <f>[1]!b_anal_yield_cnbd(H$1,$B319,1)</f>
        <v>2.7149999999999999</v>
      </c>
      <c r="I319" s="2">
        <f>[1]!b_anal_yield_cnbd(I$1,$B319,1)</f>
        <v>2.7149999999999999</v>
      </c>
      <c r="J319" s="2">
        <f>[1]!b_anal_yield_cnbd(J$1,$B319,1)</f>
        <v>2.8025000000000002</v>
      </c>
    </row>
    <row r="320" spans="2:10" x14ac:dyDescent="0.15">
      <c r="B320" s="1">
        <v>44923</v>
      </c>
      <c r="C320" s="3">
        <f t="shared" ca="1" si="14"/>
        <v>2.72</v>
      </c>
      <c r="D320" s="3">
        <f t="shared" ca="1" si="15"/>
        <v>2.7350000000000003</v>
      </c>
      <c r="E320" s="2">
        <f ca="1">[1]!b_anal_yield_cnbd(E$1,$B320,1)</f>
        <v>2.72</v>
      </c>
      <c r="F320" s="3">
        <f t="shared" ca="1" si="16"/>
        <v>2.7350000000000003</v>
      </c>
      <c r="G320" s="2">
        <f ca="1">[1]!b_anal_yield_cnbd(G$1,$B320,1)</f>
        <v>2.72</v>
      </c>
      <c r="H320" s="2">
        <f>[1]!b_anal_yield_cnbd(H$1,$B320,1)</f>
        <v>2.72</v>
      </c>
      <c r="I320" s="2">
        <f>[1]!b_anal_yield_cnbd(I$1,$B320,1)</f>
        <v>2.72</v>
      </c>
      <c r="J320" s="2">
        <f>[1]!b_anal_yield_cnbd(J$1,$B320,1)</f>
        <v>2.82</v>
      </c>
    </row>
    <row r="321" spans="2:10" x14ac:dyDescent="0.15">
      <c r="B321" s="1">
        <v>44922</v>
      </c>
      <c r="C321" s="3">
        <f t="shared" ca="1" si="14"/>
        <v>2.722</v>
      </c>
      <c r="D321" s="3">
        <f t="shared" ca="1" si="15"/>
        <v>2.7359499999999999</v>
      </c>
      <c r="E321" s="2">
        <f ca="1">[1]!b_anal_yield_cnbd(E$1,$B321,1)</f>
        <v>2.722</v>
      </c>
      <c r="F321" s="3">
        <f t="shared" ca="1" si="16"/>
        <v>2.7359499999999999</v>
      </c>
      <c r="G321" s="2">
        <f ca="1">[1]!b_anal_yield_cnbd(G$1,$B321,1)</f>
        <v>2.722</v>
      </c>
      <c r="H321" s="2">
        <f>[1]!b_anal_yield_cnbd(H$1,$B321,1)</f>
        <v>2.722</v>
      </c>
      <c r="I321" s="2">
        <f>[1]!b_anal_yield_cnbd(I$1,$B321,1)</f>
        <v>2.722</v>
      </c>
      <c r="J321" s="2">
        <f>[1]!b_anal_yield_cnbd(J$1,$B321,1)</f>
        <v>2.8149999999999999</v>
      </c>
    </row>
    <row r="322" spans="2:10" x14ac:dyDescent="0.15">
      <c r="B322" s="1">
        <v>44921</v>
      </c>
      <c r="C322" s="3">
        <f t="shared" ca="1" si="14"/>
        <v>2.7433999999999998</v>
      </c>
      <c r="D322" s="3">
        <f t="shared" ca="1" si="15"/>
        <v>2.7501500000000001</v>
      </c>
      <c r="E322" s="2">
        <f ca="1">[1]!b_anal_yield_cnbd(E$1,$B322,1)</f>
        <v>2.7433999999999998</v>
      </c>
      <c r="F322" s="3">
        <f t="shared" ca="1" si="16"/>
        <v>2.7501500000000001</v>
      </c>
      <c r="G322" s="2">
        <f ca="1">[1]!b_anal_yield_cnbd(G$1,$B322,1)</f>
        <v>2.7433999999999998</v>
      </c>
      <c r="H322" s="2">
        <f>[1]!b_anal_yield_cnbd(H$1,$B322,1)</f>
        <v>2.7433999999999998</v>
      </c>
      <c r="I322" s="2">
        <f>[1]!b_anal_yield_cnbd(I$1,$B322,1)</f>
        <v>2.7433999999999998</v>
      </c>
      <c r="J322" s="2">
        <f>[1]!b_anal_yield_cnbd(J$1,$B322,1)</f>
        <v>2.7884000000000002</v>
      </c>
    </row>
    <row r="323" spans="2:10" x14ac:dyDescent="0.15">
      <c r="B323" s="1">
        <v>44918</v>
      </c>
      <c r="C323" s="3">
        <f t="shared" ref="C323:C386" ca="1" si="17">IF(E323&lt;&gt;0,IF(F323&lt;&gt;0,E323,0),0)</f>
        <v>2.73</v>
      </c>
      <c r="D323" s="3">
        <f t="shared" ref="D323:D386" ca="1" si="18">IF(E323&lt;&gt;0,IF(F323&lt;&gt;0,F323,0),0)</f>
        <v>2.7374999999999998</v>
      </c>
      <c r="E323" s="2">
        <f ca="1">[1]!b_anal_yield_cnbd(E$1,$B323,1)</f>
        <v>2.73</v>
      </c>
      <c r="F323" s="3">
        <f t="shared" ref="F323:F386" ca="1" si="19">SUMPRODUCT(G323:J323,$N$1:$Q$1)</f>
        <v>2.7374999999999998</v>
      </c>
      <c r="G323" s="2">
        <f ca="1">[1]!b_anal_yield_cnbd(G$1,$B323,1)</f>
        <v>2.73</v>
      </c>
      <c r="H323" s="2">
        <f>[1]!b_anal_yield_cnbd(H$1,$B323,1)</f>
        <v>2.73</v>
      </c>
      <c r="I323" s="2">
        <f>[1]!b_anal_yield_cnbd(I$1,$B323,1)</f>
        <v>2.73</v>
      </c>
      <c r="J323" s="2">
        <f>[1]!b_anal_yield_cnbd(J$1,$B323,1)</f>
        <v>2.78</v>
      </c>
    </row>
    <row r="324" spans="2:10" x14ac:dyDescent="0.15">
      <c r="B324" s="1">
        <v>44917</v>
      </c>
      <c r="C324" s="3">
        <f t="shared" ca="1" si="17"/>
        <v>2.74</v>
      </c>
      <c r="D324" s="3">
        <f t="shared" ca="1" si="18"/>
        <v>2.7482500000000001</v>
      </c>
      <c r="E324" s="2">
        <f ca="1">[1]!b_anal_yield_cnbd(E$1,$B324,1)</f>
        <v>2.74</v>
      </c>
      <c r="F324" s="3">
        <f t="shared" ca="1" si="19"/>
        <v>2.7482500000000001</v>
      </c>
      <c r="G324" s="2">
        <f ca="1">[1]!b_anal_yield_cnbd(G$1,$B324,1)</f>
        <v>2.74</v>
      </c>
      <c r="H324" s="2">
        <f>[1]!b_anal_yield_cnbd(H$1,$B324,1)</f>
        <v>2.74</v>
      </c>
      <c r="I324" s="2">
        <f>[1]!b_anal_yield_cnbd(I$1,$B324,1)</f>
        <v>2.74</v>
      </c>
      <c r="J324" s="2">
        <f>[1]!b_anal_yield_cnbd(J$1,$B324,1)</f>
        <v>2.7949999999999999</v>
      </c>
    </row>
    <row r="325" spans="2:10" x14ac:dyDescent="0.15">
      <c r="B325" s="1">
        <v>44916</v>
      </c>
      <c r="C325" s="3">
        <f t="shared" ca="1" si="17"/>
        <v>2.75</v>
      </c>
      <c r="D325" s="3">
        <f t="shared" ca="1" si="18"/>
        <v>2.7589999999999999</v>
      </c>
      <c r="E325" s="2">
        <f ca="1">[1]!b_anal_yield_cnbd(E$1,$B325,1)</f>
        <v>2.75</v>
      </c>
      <c r="F325" s="3">
        <f t="shared" ca="1" si="19"/>
        <v>2.7589999999999999</v>
      </c>
      <c r="G325" s="2">
        <f ca="1">[1]!b_anal_yield_cnbd(G$1,$B325,1)</f>
        <v>2.75</v>
      </c>
      <c r="H325" s="2">
        <f>[1]!b_anal_yield_cnbd(H$1,$B325,1)</f>
        <v>2.75</v>
      </c>
      <c r="I325" s="2">
        <f>[1]!b_anal_yield_cnbd(I$1,$B325,1)</f>
        <v>2.75</v>
      </c>
      <c r="J325" s="2">
        <f>[1]!b_anal_yield_cnbd(J$1,$B325,1)</f>
        <v>2.81</v>
      </c>
    </row>
    <row r="326" spans="2:10" x14ac:dyDescent="0.15">
      <c r="B326" s="1">
        <v>44915</v>
      </c>
      <c r="C326" s="3">
        <f t="shared" ca="1" si="17"/>
        <v>2.75</v>
      </c>
      <c r="D326" s="3">
        <f t="shared" ca="1" si="18"/>
        <v>2.7582499999999999</v>
      </c>
      <c r="E326" s="2">
        <f ca="1">[1]!b_anal_yield_cnbd(E$1,$B326,1)</f>
        <v>2.75</v>
      </c>
      <c r="F326" s="3">
        <f t="shared" ca="1" si="19"/>
        <v>2.7582499999999999</v>
      </c>
      <c r="G326" s="2">
        <f ca="1">[1]!b_anal_yield_cnbd(G$1,$B326,1)</f>
        <v>2.75</v>
      </c>
      <c r="H326" s="2">
        <f>[1]!b_anal_yield_cnbd(H$1,$B326,1)</f>
        <v>2.75</v>
      </c>
      <c r="I326" s="2">
        <f>[1]!b_anal_yield_cnbd(I$1,$B326,1)</f>
        <v>2.75</v>
      </c>
      <c r="J326" s="2">
        <f>[1]!b_anal_yield_cnbd(J$1,$B326,1)</f>
        <v>2.8050000000000002</v>
      </c>
    </row>
    <row r="327" spans="2:10" x14ac:dyDescent="0.15">
      <c r="B327" s="1">
        <v>44914</v>
      </c>
      <c r="C327" s="3">
        <f t="shared" ca="1" si="17"/>
        <v>2.7349999999999999</v>
      </c>
      <c r="D327" s="3">
        <f t="shared" ca="1" si="18"/>
        <v>2.7436249999999998</v>
      </c>
      <c r="E327" s="2">
        <f ca="1">[1]!b_anal_yield_cnbd(E$1,$B327,1)</f>
        <v>2.7349999999999999</v>
      </c>
      <c r="F327" s="3">
        <f t="shared" ca="1" si="19"/>
        <v>2.7436249999999998</v>
      </c>
      <c r="G327" s="2">
        <f ca="1">[1]!b_anal_yield_cnbd(G$1,$B327,1)</f>
        <v>2.7349999999999999</v>
      </c>
      <c r="H327" s="2">
        <f>[1]!b_anal_yield_cnbd(H$1,$B327,1)</f>
        <v>2.7349999999999999</v>
      </c>
      <c r="I327" s="2">
        <f>[1]!b_anal_yield_cnbd(I$1,$B327,1)</f>
        <v>2.7349999999999999</v>
      </c>
      <c r="J327" s="2">
        <f>[1]!b_anal_yield_cnbd(J$1,$B327,1)</f>
        <v>2.7925</v>
      </c>
    </row>
    <row r="328" spans="2:10" x14ac:dyDescent="0.15">
      <c r="B328" s="1">
        <v>44911</v>
      </c>
      <c r="C328" s="3">
        <f t="shared" ca="1" si="17"/>
        <v>2.7660999999999998</v>
      </c>
      <c r="D328" s="3">
        <f t="shared" ca="1" si="18"/>
        <v>2.7734350000000001</v>
      </c>
      <c r="E328" s="2">
        <f ca="1">[1]!b_anal_yield_cnbd(E$1,$B328,1)</f>
        <v>2.7660999999999998</v>
      </c>
      <c r="F328" s="3">
        <f t="shared" ca="1" si="19"/>
        <v>2.7734350000000001</v>
      </c>
      <c r="G328" s="2">
        <f ca="1">[1]!b_anal_yield_cnbd(G$1,$B328,1)</f>
        <v>2.7660999999999998</v>
      </c>
      <c r="H328" s="2">
        <f>[1]!b_anal_yield_cnbd(H$1,$B328,1)</f>
        <v>2.7660999999999998</v>
      </c>
      <c r="I328" s="2">
        <f>[1]!b_anal_yield_cnbd(I$1,$B328,1)</f>
        <v>2.7660999999999998</v>
      </c>
      <c r="J328" s="2">
        <f>[1]!b_anal_yield_cnbd(J$1,$B328,1)</f>
        <v>2.8149999999999999</v>
      </c>
    </row>
    <row r="329" spans="2:10" x14ac:dyDescent="0.15">
      <c r="B329" s="1">
        <v>44910</v>
      </c>
      <c r="C329" s="3">
        <f t="shared" ca="1" si="17"/>
        <v>2.7679</v>
      </c>
      <c r="D329" s="3">
        <f t="shared" ca="1" si="18"/>
        <v>2.7757149999999999</v>
      </c>
      <c r="E329" s="2">
        <f ca="1">[1]!b_anal_yield_cnbd(E$1,$B329,1)</f>
        <v>2.7679</v>
      </c>
      <c r="F329" s="3">
        <f t="shared" ca="1" si="19"/>
        <v>2.7757149999999999</v>
      </c>
      <c r="G329" s="2">
        <f ca="1">[1]!b_anal_yield_cnbd(G$1,$B329,1)</f>
        <v>2.7679</v>
      </c>
      <c r="H329" s="2">
        <f>[1]!b_anal_yield_cnbd(H$1,$B329,1)</f>
        <v>2.7679</v>
      </c>
      <c r="I329" s="2">
        <f>[1]!b_anal_yield_cnbd(I$1,$B329,1)</f>
        <v>2.7679</v>
      </c>
      <c r="J329" s="2">
        <f>[1]!b_anal_yield_cnbd(J$1,$B329,1)</f>
        <v>2.82</v>
      </c>
    </row>
    <row r="330" spans="2:10" x14ac:dyDescent="0.15">
      <c r="B330" s="1">
        <v>44909</v>
      </c>
      <c r="C330" s="3">
        <f t="shared" ca="1" si="17"/>
        <v>2.76</v>
      </c>
      <c r="D330" s="3">
        <f t="shared" ca="1" si="18"/>
        <v>2.7675000000000001</v>
      </c>
      <c r="E330" s="2">
        <f ca="1">[1]!b_anal_yield_cnbd(E$1,$B330,1)</f>
        <v>2.76</v>
      </c>
      <c r="F330" s="3">
        <f t="shared" ca="1" si="19"/>
        <v>2.7675000000000001</v>
      </c>
      <c r="G330" s="2">
        <f ca="1">[1]!b_anal_yield_cnbd(G$1,$B330,1)</f>
        <v>2.76</v>
      </c>
      <c r="H330" s="2">
        <f>[1]!b_anal_yield_cnbd(H$1,$B330,1)</f>
        <v>2.76</v>
      </c>
      <c r="I330" s="2">
        <f>[1]!b_anal_yield_cnbd(I$1,$B330,1)</f>
        <v>2.76</v>
      </c>
      <c r="J330" s="2">
        <f>[1]!b_anal_yield_cnbd(J$1,$B330,1)</f>
        <v>2.81</v>
      </c>
    </row>
    <row r="331" spans="2:10" x14ac:dyDescent="0.15">
      <c r="B331" s="1">
        <v>44908</v>
      </c>
      <c r="C331" s="3">
        <f t="shared" ca="1" si="17"/>
        <v>2.7881</v>
      </c>
      <c r="D331" s="3">
        <f t="shared" ca="1" si="18"/>
        <v>2.7958850000000002</v>
      </c>
      <c r="E331" s="2">
        <f ca="1">[1]!b_anal_yield_cnbd(E$1,$B331,1)</f>
        <v>2.7881</v>
      </c>
      <c r="F331" s="3">
        <f t="shared" ca="1" si="19"/>
        <v>2.7958850000000002</v>
      </c>
      <c r="G331" s="2">
        <f ca="1">[1]!b_anal_yield_cnbd(G$1,$B331,1)</f>
        <v>2.7881</v>
      </c>
      <c r="H331" s="2">
        <f>[1]!b_anal_yield_cnbd(H$1,$B331,1)</f>
        <v>2.7881</v>
      </c>
      <c r="I331" s="2">
        <f>[1]!b_anal_yield_cnbd(I$1,$B331,1)</f>
        <v>2.7881</v>
      </c>
      <c r="J331" s="2">
        <f>[1]!b_anal_yield_cnbd(J$1,$B331,1)</f>
        <v>2.84</v>
      </c>
    </row>
    <row r="332" spans="2:10" x14ac:dyDescent="0.15">
      <c r="B332" s="1">
        <v>44907</v>
      </c>
      <c r="C332" s="3">
        <f t="shared" ca="1" si="17"/>
        <v>2.79</v>
      </c>
      <c r="D332" s="3">
        <f t="shared" ca="1" si="18"/>
        <v>2.7959999999999998</v>
      </c>
      <c r="E332" s="2">
        <f ca="1">[1]!b_anal_yield_cnbd(E$1,$B332,1)</f>
        <v>2.79</v>
      </c>
      <c r="F332" s="3">
        <f t="shared" ca="1" si="19"/>
        <v>2.7959999999999998</v>
      </c>
      <c r="G332" s="2">
        <f ca="1">[1]!b_anal_yield_cnbd(G$1,$B332,1)</f>
        <v>2.79</v>
      </c>
      <c r="H332" s="2">
        <f>[1]!b_anal_yield_cnbd(H$1,$B332,1)</f>
        <v>2.79</v>
      </c>
      <c r="I332" s="2">
        <f>[1]!b_anal_yield_cnbd(I$1,$B332,1)</f>
        <v>2.79</v>
      </c>
      <c r="J332" s="2">
        <f>[1]!b_anal_yield_cnbd(J$1,$B332,1)</f>
        <v>2.83</v>
      </c>
    </row>
    <row r="333" spans="2:10" x14ac:dyDescent="0.15">
      <c r="B333" s="1">
        <v>44904</v>
      </c>
      <c r="C333" s="3">
        <f t="shared" ca="1" si="17"/>
        <v>2.78</v>
      </c>
      <c r="D333" s="3">
        <f t="shared" ca="1" si="18"/>
        <v>2.786</v>
      </c>
      <c r="E333" s="2">
        <f ca="1">[1]!b_anal_yield_cnbd(E$1,$B333,1)</f>
        <v>2.78</v>
      </c>
      <c r="F333" s="3">
        <f t="shared" ca="1" si="19"/>
        <v>2.786</v>
      </c>
      <c r="G333" s="2">
        <f ca="1">[1]!b_anal_yield_cnbd(G$1,$B333,1)</f>
        <v>2.78</v>
      </c>
      <c r="H333" s="2">
        <f>[1]!b_anal_yield_cnbd(H$1,$B333,1)</f>
        <v>2.78</v>
      </c>
      <c r="I333" s="2">
        <f>[1]!b_anal_yield_cnbd(I$1,$B333,1)</f>
        <v>2.78</v>
      </c>
      <c r="J333" s="2">
        <f>[1]!b_anal_yield_cnbd(J$1,$B333,1)</f>
        <v>2.82</v>
      </c>
    </row>
    <row r="334" spans="2:10" x14ac:dyDescent="0.15">
      <c r="B334" s="1">
        <v>44903</v>
      </c>
      <c r="C334" s="3">
        <f t="shared" ca="1" si="17"/>
        <v>2.7599</v>
      </c>
      <c r="D334" s="3">
        <f t="shared" ca="1" si="18"/>
        <v>2.7658699999999996</v>
      </c>
      <c r="E334" s="2">
        <f ca="1">[1]!b_anal_yield_cnbd(E$1,$B334,1)</f>
        <v>2.7599</v>
      </c>
      <c r="F334" s="3">
        <f t="shared" ca="1" si="19"/>
        <v>2.7658699999999996</v>
      </c>
      <c r="G334" s="2">
        <f ca="1">[1]!b_anal_yield_cnbd(G$1,$B334,1)</f>
        <v>2.7599</v>
      </c>
      <c r="H334" s="2">
        <f>[1]!b_anal_yield_cnbd(H$1,$B334,1)</f>
        <v>2.7599</v>
      </c>
      <c r="I334" s="2">
        <f>[1]!b_anal_yield_cnbd(I$1,$B334,1)</f>
        <v>2.7599</v>
      </c>
      <c r="J334" s="2">
        <f>[1]!b_anal_yield_cnbd(J$1,$B334,1)</f>
        <v>2.7997000000000001</v>
      </c>
    </row>
    <row r="335" spans="2:10" x14ac:dyDescent="0.15">
      <c r="B335" s="1">
        <v>44902</v>
      </c>
      <c r="C335" s="3">
        <f t="shared" ca="1" si="17"/>
        <v>2.78</v>
      </c>
      <c r="D335" s="3">
        <f t="shared" ca="1" si="18"/>
        <v>2.7878750000000001</v>
      </c>
      <c r="E335" s="2">
        <f ca="1">[1]!b_anal_yield_cnbd(E$1,$B335,1)</f>
        <v>2.78</v>
      </c>
      <c r="F335" s="3">
        <f t="shared" ca="1" si="19"/>
        <v>2.7878750000000001</v>
      </c>
      <c r="G335" s="2">
        <f ca="1">[1]!b_anal_yield_cnbd(G$1,$B335,1)</f>
        <v>2.78</v>
      </c>
      <c r="H335" s="2">
        <f>[1]!b_anal_yield_cnbd(H$1,$B335,1)</f>
        <v>2.78</v>
      </c>
      <c r="I335" s="2">
        <f>[1]!b_anal_yield_cnbd(I$1,$B335,1)</f>
        <v>2.78</v>
      </c>
      <c r="J335" s="2">
        <f>[1]!b_anal_yield_cnbd(J$1,$B335,1)</f>
        <v>2.8325</v>
      </c>
    </row>
    <row r="336" spans="2:10" x14ac:dyDescent="0.15">
      <c r="B336" s="1">
        <v>44901</v>
      </c>
      <c r="C336" s="3">
        <f t="shared" ca="1" si="17"/>
        <v>2.78</v>
      </c>
      <c r="D336" s="3">
        <f t="shared" ca="1" si="18"/>
        <v>2.7904999999999998</v>
      </c>
      <c r="E336" s="2">
        <f ca="1">[1]!b_anal_yield_cnbd(E$1,$B336,1)</f>
        <v>2.78</v>
      </c>
      <c r="F336" s="3">
        <f t="shared" ca="1" si="19"/>
        <v>2.7904999999999998</v>
      </c>
      <c r="G336" s="2">
        <f ca="1">[1]!b_anal_yield_cnbd(G$1,$B336,1)</f>
        <v>2.78</v>
      </c>
      <c r="H336" s="2">
        <f>[1]!b_anal_yield_cnbd(H$1,$B336,1)</f>
        <v>2.78</v>
      </c>
      <c r="I336" s="2">
        <f>[1]!b_anal_yield_cnbd(I$1,$B336,1)</f>
        <v>2.78</v>
      </c>
      <c r="J336" s="2">
        <f>[1]!b_anal_yield_cnbd(J$1,$B336,1)</f>
        <v>2.85</v>
      </c>
    </row>
    <row r="337" spans="2:10" x14ac:dyDescent="0.15">
      <c r="B337" s="1">
        <v>44900</v>
      </c>
      <c r="C337" s="3">
        <f t="shared" ca="1" si="17"/>
        <v>2.76</v>
      </c>
      <c r="D337" s="3">
        <f t="shared" ca="1" si="18"/>
        <v>2.7675000000000001</v>
      </c>
      <c r="E337" s="2">
        <f ca="1">[1]!b_anal_yield_cnbd(E$1,$B337,1)</f>
        <v>2.76</v>
      </c>
      <c r="F337" s="3">
        <f t="shared" ca="1" si="19"/>
        <v>2.7675000000000001</v>
      </c>
      <c r="G337" s="2">
        <f ca="1">[1]!b_anal_yield_cnbd(G$1,$B337,1)</f>
        <v>2.76</v>
      </c>
      <c r="H337" s="2">
        <f>[1]!b_anal_yield_cnbd(H$1,$B337,1)</f>
        <v>2.76</v>
      </c>
      <c r="I337" s="2">
        <f>[1]!b_anal_yield_cnbd(I$1,$B337,1)</f>
        <v>2.76</v>
      </c>
      <c r="J337" s="2">
        <f>[1]!b_anal_yield_cnbd(J$1,$B337,1)</f>
        <v>2.81</v>
      </c>
    </row>
    <row r="338" spans="2:10" x14ac:dyDescent="0.15">
      <c r="B338" s="1">
        <v>44897</v>
      </c>
      <c r="C338" s="3">
        <f t="shared" ca="1" si="17"/>
        <v>2.7599</v>
      </c>
      <c r="D338" s="3">
        <f t="shared" ca="1" si="18"/>
        <v>2.7674149999999997</v>
      </c>
      <c r="E338" s="2">
        <f ca="1">[1]!b_anal_yield_cnbd(E$1,$B338,1)</f>
        <v>2.7599</v>
      </c>
      <c r="F338" s="3">
        <f t="shared" ca="1" si="19"/>
        <v>2.7674149999999997</v>
      </c>
      <c r="G338" s="2">
        <f ca="1">[1]!b_anal_yield_cnbd(G$1,$B338,1)</f>
        <v>2.7599</v>
      </c>
      <c r="H338" s="2">
        <f>[1]!b_anal_yield_cnbd(H$1,$B338,1)</f>
        <v>2.7599</v>
      </c>
      <c r="I338" s="2">
        <f>[1]!b_anal_yield_cnbd(I$1,$B338,1)</f>
        <v>2.7599</v>
      </c>
      <c r="J338" s="2">
        <f>[1]!b_anal_yield_cnbd(J$1,$B338,1)</f>
        <v>2.81</v>
      </c>
    </row>
    <row r="339" spans="2:10" x14ac:dyDescent="0.15">
      <c r="B339" s="1">
        <v>44896</v>
      </c>
      <c r="C339" s="3">
        <f t="shared" ca="1" si="17"/>
        <v>2.7496999999999998</v>
      </c>
      <c r="D339" s="3">
        <f t="shared" ca="1" si="18"/>
        <v>2.7601999999999998</v>
      </c>
      <c r="E339" s="2">
        <f ca="1">[1]!b_anal_yield_cnbd(E$1,$B339,1)</f>
        <v>2.7496999999999998</v>
      </c>
      <c r="F339" s="3">
        <f t="shared" ca="1" si="19"/>
        <v>2.7601999999999998</v>
      </c>
      <c r="G339" s="2">
        <f ca="1">[1]!b_anal_yield_cnbd(G$1,$B339,1)</f>
        <v>2.7496999999999998</v>
      </c>
      <c r="H339" s="2">
        <f>[1]!b_anal_yield_cnbd(H$1,$B339,1)</f>
        <v>2.7496999999999998</v>
      </c>
      <c r="I339" s="2">
        <f>[1]!b_anal_yield_cnbd(I$1,$B339,1)</f>
        <v>2.7496999999999998</v>
      </c>
      <c r="J339" s="2">
        <f>[1]!b_anal_yield_cnbd(J$1,$B339,1)</f>
        <v>2.8197000000000001</v>
      </c>
    </row>
    <row r="340" spans="2:10" x14ac:dyDescent="0.15">
      <c r="B340" s="1">
        <v>44895</v>
      </c>
      <c r="C340" s="3">
        <f t="shared" ca="1" si="17"/>
        <v>2.77</v>
      </c>
      <c r="D340" s="3">
        <f t="shared" ca="1" si="18"/>
        <v>2.7805</v>
      </c>
      <c r="E340" s="2">
        <f ca="1">[1]!b_anal_yield_cnbd(E$1,$B340,1)</f>
        <v>2.77</v>
      </c>
      <c r="F340" s="3">
        <f t="shared" ca="1" si="19"/>
        <v>2.7805</v>
      </c>
      <c r="G340" s="2">
        <f ca="1">[1]!b_anal_yield_cnbd(G$1,$B340,1)</f>
        <v>2.77</v>
      </c>
      <c r="H340" s="2">
        <f>[1]!b_anal_yield_cnbd(H$1,$B340,1)</f>
        <v>2.77</v>
      </c>
      <c r="I340" s="2">
        <f>[1]!b_anal_yield_cnbd(I$1,$B340,1)</f>
        <v>2.77</v>
      </c>
      <c r="J340" s="2">
        <f>[1]!b_anal_yield_cnbd(J$1,$B340,1)</f>
        <v>2.84</v>
      </c>
    </row>
    <row r="341" spans="2:10" x14ac:dyDescent="0.15">
      <c r="B341" s="1">
        <v>44894</v>
      </c>
      <c r="C341" s="3">
        <f t="shared" ca="1" si="17"/>
        <v>2.77</v>
      </c>
      <c r="D341" s="3">
        <f t="shared" ca="1" si="18"/>
        <v>2.78125</v>
      </c>
      <c r="E341" s="2">
        <f ca="1">[1]!b_anal_yield_cnbd(E$1,$B341,1)</f>
        <v>2.77</v>
      </c>
      <c r="F341" s="3">
        <f t="shared" ca="1" si="19"/>
        <v>2.78125</v>
      </c>
      <c r="G341" s="2">
        <f ca="1">[1]!b_anal_yield_cnbd(G$1,$B341,1)</f>
        <v>2.77</v>
      </c>
      <c r="H341" s="2">
        <f>[1]!b_anal_yield_cnbd(H$1,$B341,1)</f>
        <v>2.77</v>
      </c>
      <c r="I341" s="2">
        <f>[1]!b_anal_yield_cnbd(I$1,$B341,1)</f>
        <v>2.77</v>
      </c>
      <c r="J341" s="2">
        <f>[1]!b_anal_yield_cnbd(J$1,$B341,1)</f>
        <v>2.8450000000000002</v>
      </c>
    </row>
    <row r="342" spans="2:10" x14ac:dyDescent="0.15">
      <c r="B342" s="1">
        <v>44893</v>
      </c>
      <c r="C342" s="3">
        <f t="shared" ca="1" si="17"/>
        <v>2.7349999999999999</v>
      </c>
      <c r="D342" s="3">
        <f t="shared" ca="1" si="18"/>
        <v>2.7447499999999998</v>
      </c>
      <c r="E342" s="2">
        <f ca="1">[1]!b_anal_yield_cnbd(E$1,$B342,1)</f>
        <v>2.7349999999999999</v>
      </c>
      <c r="F342" s="3">
        <f t="shared" ca="1" si="19"/>
        <v>2.7447499999999998</v>
      </c>
      <c r="G342" s="2">
        <f ca="1">[1]!b_anal_yield_cnbd(G$1,$B342,1)</f>
        <v>2.7349999999999999</v>
      </c>
      <c r="H342" s="2">
        <f>[1]!b_anal_yield_cnbd(H$1,$B342,1)</f>
        <v>2.7349999999999999</v>
      </c>
      <c r="I342" s="2">
        <f>[1]!b_anal_yield_cnbd(I$1,$B342,1)</f>
        <v>2.7349999999999999</v>
      </c>
      <c r="J342" s="2">
        <f>[1]!b_anal_yield_cnbd(J$1,$B342,1)</f>
        <v>2.8</v>
      </c>
    </row>
    <row r="343" spans="2:10" x14ac:dyDescent="0.15">
      <c r="B343" s="1">
        <v>44890</v>
      </c>
      <c r="C343" s="3">
        <f t="shared" ca="1" si="17"/>
        <v>2.7250000000000001</v>
      </c>
      <c r="D343" s="3">
        <f t="shared" ca="1" si="18"/>
        <v>2.7347650000000003</v>
      </c>
      <c r="E343" s="2">
        <f ca="1">[1]!b_anal_yield_cnbd(E$1,$B343,1)</f>
        <v>2.7250000000000001</v>
      </c>
      <c r="F343" s="3">
        <f t="shared" ca="1" si="19"/>
        <v>2.7347650000000003</v>
      </c>
      <c r="G343" s="2">
        <f ca="1">[1]!b_anal_yield_cnbd(G$1,$B343,1)</f>
        <v>2.7250000000000001</v>
      </c>
      <c r="H343" s="2">
        <f>[1]!b_anal_yield_cnbd(H$1,$B343,1)</f>
        <v>2.7250000000000001</v>
      </c>
      <c r="I343" s="2">
        <f>[1]!b_anal_yield_cnbd(I$1,$B343,1)</f>
        <v>2.7250000000000001</v>
      </c>
      <c r="J343" s="2">
        <f>[1]!b_anal_yield_cnbd(J$1,$B343,1)</f>
        <v>2.7900999999999998</v>
      </c>
    </row>
    <row r="344" spans="2:10" x14ac:dyDescent="0.15">
      <c r="B344" s="1">
        <v>44889</v>
      </c>
      <c r="C344" s="3">
        <f t="shared" ca="1" si="17"/>
        <v>2.6949999999999998</v>
      </c>
      <c r="D344" s="3">
        <f t="shared" ca="1" si="18"/>
        <v>2.7047499999999998</v>
      </c>
      <c r="E344" s="2">
        <f ca="1">[1]!b_anal_yield_cnbd(E$1,$B344,1)</f>
        <v>2.6949999999999998</v>
      </c>
      <c r="F344" s="3">
        <f t="shared" ca="1" si="19"/>
        <v>2.7047499999999998</v>
      </c>
      <c r="G344" s="2">
        <f ca="1">[1]!b_anal_yield_cnbd(G$1,$B344,1)</f>
        <v>2.6949999999999998</v>
      </c>
      <c r="H344" s="2">
        <f>[1]!b_anal_yield_cnbd(H$1,$B344,1)</f>
        <v>2.6949999999999998</v>
      </c>
      <c r="I344" s="2">
        <f>[1]!b_anal_yield_cnbd(I$1,$B344,1)</f>
        <v>2.6949999999999998</v>
      </c>
      <c r="J344" s="2">
        <f>[1]!b_anal_yield_cnbd(J$1,$B344,1)</f>
        <v>2.76</v>
      </c>
    </row>
    <row r="345" spans="2:10" x14ac:dyDescent="0.15">
      <c r="B345" s="1">
        <v>44888</v>
      </c>
      <c r="C345" s="3">
        <f t="shared" ca="1" si="17"/>
        <v>2.71</v>
      </c>
      <c r="D345" s="3">
        <f t="shared" ca="1" si="18"/>
        <v>2.7178749999999998</v>
      </c>
      <c r="E345" s="2">
        <f ca="1">[1]!b_anal_yield_cnbd(E$1,$B345,1)</f>
        <v>2.71</v>
      </c>
      <c r="F345" s="3">
        <f t="shared" ca="1" si="19"/>
        <v>2.7178749999999998</v>
      </c>
      <c r="G345" s="2">
        <f ca="1">[1]!b_anal_yield_cnbd(G$1,$B345,1)</f>
        <v>2.71</v>
      </c>
      <c r="H345" s="2">
        <f>[1]!b_anal_yield_cnbd(H$1,$B345,1)</f>
        <v>2.71</v>
      </c>
      <c r="I345" s="2">
        <f>[1]!b_anal_yield_cnbd(I$1,$B345,1)</f>
        <v>2.71</v>
      </c>
      <c r="J345" s="2">
        <f>[1]!b_anal_yield_cnbd(J$1,$B345,1)</f>
        <v>2.7625000000000002</v>
      </c>
    </row>
    <row r="346" spans="2:10" x14ac:dyDescent="0.15">
      <c r="B346" s="1">
        <v>44887</v>
      </c>
      <c r="C346" s="3">
        <f t="shared" ca="1" si="17"/>
        <v>2.7231999999999998</v>
      </c>
      <c r="D346" s="3">
        <f t="shared" ca="1" si="18"/>
        <v>2.7339699999999998</v>
      </c>
      <c r="E346" s="2">
        <f ca="1">[1]!b_anal_yield_cnbd(E$1,$B346,1)</f>
        <v>2.7231999999999998</v>
      </c>
      <c r="F346" s="3">
        <f t="shared" ca="1" si="19"/>
        <v>2.7339699999999998</v>
      </c>
      <c r="G346" s="2">
        <f ca="1">[1]!b_anal_yield_cnbd(G$1,$B346,1)</f>
        <v>2.7231999999999998</v>
      </c>
      <c r="H346" s="2">
        <f>[1]!b_anal_yield_cnbd(H$1,$B346,1)</f>
        <v>2.7231999999999998</v>
      </c>
      <c r="I346" s="2">
        <f>[1]!b_anal_yield_cnbd(I$1,$B346,1)</f>
        <v>2.7231999999999998</v>
      </c>
      <c r="J346" s="2">
        <f>[1]!b_anal_yield_cnbd(J$1,$B346,1)</f>
        <v>2.7949999999999999</v>
      </c>
    </row>
    <row r="347" spans="2:10" x14ac:dyDescent="0.15">
      <c r="B347" s="1">
        <v>44886</v>
      </c>
      <c r="C347" s="3">
        <f t="shared" ca="1" si="17"/>
        <v>2.72</v>
      </c>
      <c r="D347" s="3">
        <f t="shared" ca="1" si="18"/>
        <v>2.7290000000000001</v>
      </c>
      <c r="E347" s="2">
        <f ca="1">[1]!b_anal_yield_cnbd(E$1,$B347,1)</f>
        <v>2.72</v>
      </c>
      <c r="F347" s="3">
        <f t="shared" ca="1" si="19"/>
        <v>2.7290000000000001</v>
      </c>
      <c r="G347" s="2">
        <f ca="1">[1]!b_anal_yield_cnbd(G$1,$B347,1)</f>
        <v>2.72</v>
      </c>
      <c r="H347" s="2">
        <f>[1]!b_anal_yield_cnbd(H$1,$B347,1)</f>
        <v>2.72</v>
      </c>
      <c r="I347" s="2">
        <f>[1]!b_anal_yield_cnbd(I$1,$B347,1)</f>
        <v>2.72</v>
      </c>
      <c r="J347" s="2">
        <f>[1]!b_anal_yield_cnbd(J$1,$B347,1)</f>
        <v>2.78</v>
      </c>
    </row>
    <row r="348" spans="2:10" x14ac:dyDescent="0.15">
      <c r="B348" s="1">
        <v>44883</v>
      </c>
      <c r="C348" s="3">
        <f t="shared" ca="1" si="17"/>
        <v>2.7301000000000002</v>
      </c>
      <c r="D348" s="3">
        <f t="shared" ca="1" si="18"/>
        <v>2.7405849999999998</v>
      </c>
      <c r="E348" s="2">
        <f ca="1">[1]!b_anal_yield_cnbd(E$1,$B348,1)</f>
        <v>2.7301000000000002</v>
      </c>
      <c r="F348" s="3">
        <f t="shared" ca="1" si="19"/>
        <v>2.7405849999999998</v>
      </c>
      <c r="G348" s="2">
        <f ca="1">[1]!b_anal_yield_cnbd(G$1,$B348,1)</f>
        <v>2.7301000000000002</v>
      </c>
      <c r="H348" s="2">
        <f>[1]!b_anal_yield_cnbd(H$1,$B348,1)</f>
        <v>2.7301000000000002</v>
      </c>
      <c r="I348" s="2">
        <f>[1]!b_anal_yield_cnbd(I$1,$B348,1)</f>
        <v>2.7301000000000002</v>
      </c>
      <c r="J348" s="2">
        <f>[1]!b_anal_yield_cnbd(J$1,$B348,1)</f>
        <v>2.8</v>
      </c>
    </row>
    <row r="349" spans="2:10" x14ac:dyDescent="0.15">
      <c r="B349" s="1">
        <v>44882</v>
      </c>
      <c r="C349" s="3">
        <f t="shared" ca="1" si="17"/>
        <v>2.7101000000000002</v>
      </c>
      <c r="D349" s="3">
        <f t="shared" ca="1" si="18"/>
        <v>2.7190849999999998</v>
      </c>
      <c r="E349" s="2">
        <f ca="1">[1]!b_anal_yield_cnbd(E$1,$B349,1)</f>
        <v>2.7101000000000002</v>
      </c>
      <c r="F349" s="3">
        <f t="shared" ca="1" si="19"/>
        <v>2.7190849999999998</v>
      </c>
      <c r="G349" s="2">
        <f ca="1">[1]!b_anal_yield_cnbd(G$1,$B349,1)</f>
        <v>2.7101000000000002</v>
      </c>
      <c r="H349" s="2">
        <f>[1]!b_anal_yield_cnbd(H$1,$B349,1)</f>
        <v>2.7101000000000002</v>
      </c>
      <c r="I349" s="2">
        <f>[1]!b_anal_yield_cnbd(I$1,$B349,1)</f>
        <v>2.7101000000000002</v>
      </c>
      <c r="J349" s="2">
        <f>[1]!b_anal_yield_cnbd(J$1,$B349,1)</f>
        <v>2.77</v>
      </c>
    </row>
    <row r="350" spans="2:10" x14ac:dyDescent="0.15">
      <c r="B350" s="1">
        <v>44881</v>
      </c>
      <c r="C350" s="3">
        <f t="shared" ca="1" si="17"/>
        <v>2.7225000000000001</v>
      </c>
      <c r="D350" s="3">
        <f t="shared" ca="1" si="18"/>
        <v>2.7356250000000002</v>
      </c>
      <c r="E350" s="2">
        <f ca="1">[1]!b_anal_yield_cnbd(E$1,$B350,1)</f>
        <v>2.7225000000000001</v>
      </c>
      <c r="F350" s="3">
        <f t="shared" ca="1" si="19"/>
        <v>2.7356250000000002</v>
      </c>
      <c r="G350" s="2">
        <f ca="1">[1]!b_anal_yield_cnbd(G$1,$B350,1)</f>
        <v>2.7225000000000001</v>
      </c>
      <c r="H350" s="2">
        <f>[1]!b_anal_yield_cnbd(H$1,$B350,1)</f>
        <v>2.7225000000000001</v>
      </c>
      <c r="I350" s="2">
        <f>[1]!b_anal_yield_cnbd(I$1,$B350,1)</f>
        <v>2.7225000000000001</v>
      </c>
      <c r="J350" s="2">
        <f>[1]!b_anal_yield_cnbd(J$1,$B350,1)</f>
        <v>2.81</v>
      </c>
    </row>
    <row r="351" spans="2:10" x14ac:dyDescent="0.15">
      <c r="B351" s="1">
        <v>44880</v>
      </c>
      <c r="C351" s="3">
        <f t="shared" ca="1" si="17"/>
        <v>2.7149999999999999</v>
      </c>
      <c r="D351" s="3">
        <f t="shared" ca="1" si="18"/>
        <v>2.7277499999999999</v>
      </c>
      <c r="E351" s="2">
        <f ca="1">[1]!b_anal_yield_cnbd(E$1,$B351,1)</f>
        <v>2.7149999999999999</v>
      </c>
      <c r="F351" s="3">
        <f t="shared" ca="1" si="19"/>
        <v>2.7277499999999999</v>
      </c>
      <c r="G351" s="2">
        <f ca="1">[1]!b_anal_yield_cnbd(G$1,$B351,1)</f>
        <v>2.7149999999999999</v>
      </c>
      <c r="H351" s="2">
        <f>[1]!b_anal_yield_cnbd(H$1,$B351,1)</f>
        <v>2.7149999999999999</v>
      </c>
      <c r="I351" s="2">
        <f>[1]!b_anal_yield_cnbd(I$1,$B351,1)</f>
        <v>2.7149999999999999</v>
      </c>
      <c r="J351" s="2">
        <f>[1]!b_anal_yield_cnbd(J$1,$B351,1)</f>
        <v>2.8</v>
      </c>
    </row>
    <row r="352" spans="2:10" x14ac:dyDescent="0.15">
      <c r="B352" s="1">
        <v>44879</v>
      </c>
      <c r="C352" s="3">
        <f t="shared" ca="1" si="17"/>
        <v>2.71</v>
      </c>
      <c r="D352" s="3">
        <f t="shared" ca="1" si="18"/>
        <v>2.7219999999999995</v>
      </c>
      <c r="E352" s="2">
        <f ca="1">[1]!b_anal_yield_cnbd(E$1,$B352,1)</f>
        <v>2.71</v>
      </c>
      <c r="F352" s="3">
        <f t="shared" ca="1" si="19"/>
        <v>2.7219999999999995</v>
      </c>
      <c r="G352" s="2">
        <f ca="1">[1]!b_anal_yield_cnbd(G$1,$B352,1)</f>
        <v>2.71</v>
      </c>
      <c r="H352" s="2">
        <f>[1]!b_anal_yield_cnbd(H$1,$B352,1)</f>
        <v>2.71</v>
      </c>
      <c r="I352" s="2">
        <f>[1]!b_anal_yield_cnbd(I$1,$B352,1)</f>
        <v>2.71</v>
      </c>
      <c r="J352" s="2">
        <f>[1]!b_anal_yield_cnbd(J$1,$B352,1)</f>
        <v>2.79</v>
      </c>
    </row>
    <row r="353" spans="2:10" x14ac:dyDescent="0.15">
      <c r="B353" s="1">
        <v>44876</v>
      </c>
      <c r="C353" s="3">
        <f t="shared" ca="1" si="17"/>
        <v>2.6284999999999998</v>
      </c>
      <c r="D353" s="3">
        <f t="shared" ca="1" si="18"/>
        <v>2.6397049999999997</v>
      </c>
      <c r="E353" s="2">
        <f ca="1">[1]!b_anal_yield_cnbd(E$1,$B353,1)</f>
        <v>2.6284999999999998</v>
      </c>
      <c r="F353" s="3">
        <f t="shared" ca="1" si="19"/>
        <v>2.6397049999999997</v>
      </c>
      <c r="G353" s="2">
        <f ca="1">[1]!b_anal_yield_cnbd(G$1,$B353,1)</f>
        <v>2.6284999999999998</v>
      </c>
      <c r="H353" s="2">
        <f>[1]!b_anal_yield_cnbd(H$1,$B353,1)</f>
        <v>2.6284999999999998</v>
      </c>
      <c r="I353" s="2">
        <f>[1]!b_anal_yield_cnbd(I$1,$B353,1)</f>
        <v>2.6284999999999998</v>
      </c>
      <c r="J353" s="2">
        <f>[1]!b_anal_yield_cnbd(J$1,$B353,1)</f>
        <v>2.7031999999999998</v>
      </c>
    </row>
    <row r="354" spans="2:10" x14ac:dyDescent="0.15">
      <c r="B354" s="1">
        <v>44875</v>
      </c>
      <c r="C354" s="3">
        <f t="shared" ca="1" si="17"/>
        <v>2.5897000000000001</v>
      </c>
      <c r="D354" s="3">
        <f t="shared" ca="1" si="18"/>
        <v>2.6016550000000001</v>
      </c>
      <c r="E354" s="2">
        <f ca="1">[1]!b_anal_yield_cnbd(E$1,$B354,1)</f>
        <v>2.5897000000000001</v>
      </c>
      <c r="F354" s="3">
        <f t="shared" ca="1" si="19"/>
        <v>2.6016550000000001</v>
      </c>
      <c r="G354" s="2">
        <f ca="1">[1]!b_anal_yield_cnbd(G$1,$B354,1)</f>
        <v>2.5897000000000001</v>
      </c>
      <c r="H354" s="2">
        <f>[1]!b_anal_yield_cnbd(H$1,$B354,1)</f>
        <v>2.5897000000000001</v>
      </c>
      <c r="I354" s="2">
        <f>[1]!b_anal_yield_cnbd(I$1,$B354,1)</f>
        <v>2.5897000000000001</v>
      </c>
      <c r="J354" s="2">
        <f>[1]!b_anal_yield_cnbd(J$1,$B354,1)</f>
        <v>2.6694</v>
      </c>
    </row>
    <row r="355" spans="2:10" x14ac:dyDescent="0.15">
      <c r="B355" s="1">
        <v>44874</v>
      </c>
      <c r="C355" s="3">
        <f t="shared" ca="1" si="17"/>
        <v>2.5973000000000002</v>
      </c>
      <c r="D355" s="3">
        <f t="shared" ca="1" si="18"/>
        <v>2.6079650000000001</v>
      </c>
      <c r="E355" s="2">
        <f ca="1">[1]!b_anal_yield_cnbd(E$1,$B355,1)</f>
        <v>2.5973000000000002</v>
      </c>
      <c r="F355" s="3">
        <f t="shared" ca="1" si="19"/>
        <v>2.6079650000000001</v>
      </c>
      <c r="G355" s="2">
        <f ca="1">[1]!b_anal_yield_cnbd(G$1,$B355,1)</f>
        <v>2.5973000000000002</v>
      </c>
      <c r="H355" s="2">
        <f>[1]!b_anal_yield_cnbd(H$1,$B355,1)</f>
        <v>2.5973000000000002</v>
      </c>
      <c r="I355" s="2">
        <f>[1]!b_anal_yield_cnbd(I$1,$B355,1)</f>
        <v>2.5973000000000002</v>
      </c>
      <c r="J355" s="2">
        <f>[1]!b_anal_yield_cnbd(J$1,$B355,1)</f>
        <v>2.6684000000000001</v>
      </c>
    </row>
    <row r="356" spans="2:10" x14ac:dyDescent="0.15">
      <c r="B356" s="1">
        <v>44873</v>
      </c>
      <c r="C356" s="3">
        <f t="shared" ca="1" si="17"/>
        <v>2.5899000000000001</v>
      </c>
      <c r="D356" s="3">
        <f t="shared" ca="1" si="18"/>
        <v>2.6007600000000002</v>
      </c>
      <c r="E356" s="2">
        <f ca="1">[1]!b_anal_yield_cnbd(E$1,$B356,1)</f>
        <v>2.5899000000000001</v>
      </c>
      <c r="F356" s="3">
        <f t="shared" ca="1" si="19"/>
        <v>2.6007600000000002</v>
      </c>
      <c r="G356" s="2">
        <f ca="1">[1]!b_anal_yield_cnbd(G$1,$B356,1)</f>
        <v>2.5899000000000001</v>
      </c>
      <c r="H356" s="2">
        <f>[1]!b_anal_yield_cnbd(H$1,$B356,1)</f>
        <v>2.5899000000000001</v>
      </c>
      <c r="I356" s="2">
        <f>[1]!b_anal_yield_cnbd(I$1,$B356,1)</f>
        <v>2.5899000000000001</v>
      </c>
      <c r="J356" s="2">
        <f>[1]!b_anal_yield_cnbd(J$1,$B356,1)</f>
        <v>2.6623000000000001</v>
      </c>
    </row>
    <row r="357" spans="2:10" x14ac:dyDescent="0.15">
      <c r="B357" s="1">
        <v>44872</v>
      </c>
      <c r="C357" s="3">
        <f t="shared" ca="1" si="17"/>
        <v>2.5878999999999999</v>
      </c>
      <c r="D357" s="3">
        <f t="shared" ca="1" si="18"/>
        <v>2.5987450000000001</v>
      </c>
      <c r="E357" s="2">
        <f ca="1">[1]!b_anal_yield_cnbd(E$1,$B357,1)</f>
        <v>2.5878999999999999</v>
      </c>
      <c r="F357" s="3">
        <f t="shared" ca="1" si="19"/>
        <v>2.5987450000000001</v>
      </c>
      <c r="G357" s="2">
        <f ca="1">[1]!b_anal_yield_cnbd(G$1,$B357,1)</f>
        <v>2.5878999999999999</v>
      </c>
      <c r="H357" s="2">
        <f>[1]!b_anal_yield_cnbd(H$1,$B357,1)</f>
        <v>2.5878999999999999</v>
      </c>
      <c r="I357" s="2">
        <f>[1]!b_anal_yield_cnbd(I$1,$B357,1)</f>
        <v>2.5878999999999999</v>
      </c>
      <c r="J357" s="2">
        <f>[1]!b_anal_yield_cnbd(J$1,$B357,1)</f>
        <v>2.6602000000000001</v>
      </c>
    </row>
    <row r="358" spans="2:10" x14ac:dyDescent="0.15">
      <c r="B358" s="1">
        <v>44869</v>
      </c>
      <c r="C358" s="3">
        <f t="shared" ca="1" si="17"/>
        <v>2.5880000000000001</v>
      </c>
      <c r="D358" s="3">
        <f t="shared" ca="1" si="18"/>
        <v>2.5999699999999999</v>
      </c>
      <c r="E358" s="2">
        <f ca="1">[1]!b_anal_yield_cnbd(E$1,$B358,1)</f>
        <v>2.5880000000000001</v>
      </c>
      <c r="F358" s="3">
        <f t="shared" ca="1" si="19"/>
        <v>2.5999699999999999</v>
      </c>
      <c r="G358" s="2">
        <f ca="1">[1]!b_anal_yield_cnbd(G$1,$B358,1)</f>
        <v>2.5880000000000001</v>
      </c>
      <c r="H358" s="2">
        <f>[1]!b_anal_yield_cnbd(H$1,$B358,1)</f>
        <v>2.5880000000000001</v>
      </c>
      <c r="I358" s="2">
        <f>[1]!b_anal_yield_cnbd(I$1,$B358,1)</f>
        <v>2.5880000000000001</v>
      </c>
      <c r="J358" s="2">
        <f>[1]!b_anal_yield_cnbd(J$1,$B358,1)</f>
        <v>2.6678000000000002</v>
      </c>
    </row>
    <row r="359" spans="2:10" x14ac:dyDescent="0.15">
      <c r="B359" s="1">
        <v>44868</v>
      </c>
      <c r="C359" s="3">
        <f t="shared" ca="1" si="17"/>
        <v>2.5811999999999999</v>
      </c>
      <c r="D359" s="3">
        <f t="shared" ca="1" si="18"/>
        <v>2.5901849999999995</v>
      </c>
      <c r="E359" s="2">
        <f ca="1">[1]!b_anal_yield_cnbd(E$1,$B359,1)</f>
        <v>2.5811999999999999</v>
      </c>
      <c r="F359" s="3">
        <f t="shared" ca="1" si="19"/>
        <v>2.5901849999999995</v>
      </c>
      <c r="G359" s="2">
        <f ca="1">[1]!b_anal_yield_cnbd(G$1,$B359,1)</f>
        <v>2.5811999999999999</v>
      </c>
      <c r="H359" s="2">
        <f>[1]!b_anal_yield_cnbd(H$1,$B359,1)</f>
        <v>2.5811999999999999</v>
      </c>
      <c r="I359" s="2">
        <f>[1]!b_anal_yield_cnbd(I$1,$B359,1)</f>
        <v>2.5811999999999999</v>
      </c>
      <c r="J359" s="2">
        <f>[1]!b_anal_yield_cnbd(J$1,$B359,1)</f>
        <v>2.6410999999999998</v>
      </c>
    </row>
    <row r="360" spans="2:10" x14ac:dyDescent="0.15">
      <c r="B360" s="1">
        <v>44867</v>
      </c>
      <c r="C360" s="3">
        <f t="shared" ca="1" si="17"/>
        <v>2.5829</v>
      </c>
      <c r="D360" s="3">
        <f t="shared" ca="1" si="18"/>
        <v>2.5922450000000001</v>
      </c>
      <c r="E360" s="2">
        <f ca="1">[1]!b_anal_yield_cnbd(E$1,$B360,1)</f>
        <v>2.5829</v>
      </c>
      <c r="F360" s="3">
        <f t="shared" ca="1" si="19"/>
        <v>2.5922450000000001</v>
      </c>
      <c r="G360" s="2">
        <f ca="1">[1]!b_anal_yield_cnbd(G$1,$B360,1)</f>
        <v>2.5829</v>
      </c>
      <c r="H360" s="2">
        <f>[1]!b_anal_yield_cnbd(H$1,$B360,1)</f>
        <v>2.5829</v>
      </c>
      <c r="I360" s="2">
        <f>[1]!b_anal_yield_cnbd(I$1,$B360,1)</f>
        <v>2.5829</v>
      </c>
      <c r="J360" s="2">
        <f>[1]!b_anal_yield_cnbd(J$1,$B360,1)</f>
        <v>2.6452</v>
      </c>
    </row>
    <row r="361" spans="2:10" x14ac:dyDescent="0.15">
      <c r="B361" s="1">
        <v>44866</v>
      </c>
      <c r="C361" s="3">
        <f t="shared" ca="1" si="17"/>
        <v>2.5623999999999998</v>
      </c>
      <c r="D361" s="3">
        <f t="shared" ca="1" si="18"/>
        <v>2.5721049999999996</v>
      </c>
      <c r="E361" s="2">
        <f ca="1">[1]!b_anal_yield_cnbd(E$1,$B361,1)</f>
        <v>2.5623999999999998</v>
      </c>
      <c r="F361" s="3">
        <f t="shared" ca="1" si="19"/>
        <v>2.5721049999999996</v>
      </c>
      <c r="G361" s="2">
        <f ca="1">[1]!b_anal_yield_cnbd(G$1,$B361,1)</f>
        <v>2.5623999999999998</v>
      </c>
      <c r="H361" s="2">
        <f>[1]!b_anal_yield_cnbd(H$1,$B361,1)</f>
        <v>2.5623999999999998</v>
      </c>
      <c r="I361" s="2">
        <f>[1]!b_anal_yield_cnbd(I$1,$B361,1)</f>
        <v>2.5623999999999998</v>
      </c>
      <c r="J361" s="2">
        <f>[1]!b_anal_yield_cnbd(J$1,$B361,1)</f>
        <v>2.6271</v>
      </c>
    </row>
    <row r="362" spans="2:10" x14ac:dyDescent="0.15">
      <c r="B362" s="1">
        <v>44865</v>
      </c>
      <c r="C362" s="3">
        <f t="shared" ca="1" si="17"/>
        <v>2.5432999999999999</v>
      </c>
      <c r="D362" s="3">
        <f t="shared" ca="1" si="18"/>
        <v>2.5537849999999995</v>
      </c>
      <c r="E362" s="2">
        <f ca="1">[1]!b_anal_yield_cnbd(E$1,$B362,1)</f>
        <v>2.5432999999999999</v>
      </c>
      <c r="F362" s="3">
        <f t="shared" ca="1" si="19"/>
        <v>2.5537849999999995</v>
      </c>
      <c r="G362" s="2">
        <f ca="1">[1]!b_anal_yield_cnbd(G$1,$B362,1)</f>
        <v>2.5432999999999999</v>
      </c>
      <c r="H362" s="2">
        <f>[1]!b_anal_yield_cnbd(H$1,$B362,1)</f>
        <v>2.5432999999999999</v>
      </c>
      <c r="I362" s="2">
        <f>[1]!b_anal_yield_cnbd(I$1,$B362,1)</f>
        <v>2.5432999999999999</v>
      </c>
      <c r="J362" s="2">
        <f>[1]!b_anal_yield_cnbd(J$1,$B362,1)</f>
        <v>2.6132</v>
      </c>
    </row>
    <row r="363" spans="2:10" x14ac:dyDescent="0.15">
      <c r="B363" s="1">
        <v>44862</v>
      </c>
      <c r="C363" s="3">
        <f t="shared" ca="1" si="17"/>
        <v>2.5605000000000002</v>
      </c>
      <c r="D363" s="3">
        <f t="shared" ca="1" si="18"/>
        <v>2.5705499999999999</v>
      </c>
      <c r="E363" s="2">
        <f ca="1">[1]!b_anal_yield_cnbd(E$1,$B363,1)</f>
        <v>2.5605000000000002</v>
      </c>
      <c r="F363" s="3">
        <f t="shared" ca="1" si="19"/>
        <v>2.5705499999999999</v>
      </c>
      <c r="G363" s="2">
        <f ca="1">[1]!b_anal_yield_cnbd(G$1,$B363,1)</f>
        <v>2.5605000000000002</v>
      </c>
      <c r="H363" s="2">
        <f>[1]!b_anal_yield_cnbd(H$1,$B363,1)</f>
        <v>2.5605000000000002</v>
      </c>
      <c r="I363" s="2">
        <f>[1]!b_anal_yield_cnbd(I$1,$B363,1)</f>
        <v>2.5605000000000002</v>
      </c>
      <c r="J363" s="2">
        <f>[1]!b_anal_yield_cnbd(J$1,$B363,1)</f>
        <v>2.6274999999999999</v>
      </c>
    </row>
    <row r="364" spans="2:10" x14ac:dyDescent="0.15">
      <c r="B364" s="1">
        <v>44861</v>
      </c>
      <c r="C364" s="3">
        <f t="shared" ca="1" si="17"/>
        <v>2.5754000000000001</v>
      </c>
      <c r="D364" s="3">
        <f t="shared" ca="1" si="18"/>
        <v>2.5858250000000003</v>
      </c>
      <c r="E364" s="2">
        <f ca="1">[1]!b_anal_yield_cnbd(E$1,$B364,1)</f>
        <v>2.5754000000000001</v>
      </c>
      <c r="F364" s="3">
        <f t="shared" ca="1" si="19"/>
        <v>2.5858250000000003</v>
      </c>
      <c r="G364" s="2">
        <f ca="1">[1]!b_anal_yield_cnbd(G$1,$B364,1)</f>
        <v>2.5754000000000001</v>
      </c>
      <c r="H364" s="2">
        <f>[1]!b_anal_yield_cnbd(H$1,$B364,1)</f>
        <v>2.5754000000000001</v>
      </c>
      <c r="I364" s="2">
        <f>[1]!b_anal_yield_cnbd(I$1,$B364,1)</f>
        <v>2.5754000000000001</v>
      </c>
      <c r="J364" s="2">
        <f>[1]!b_anal_yield_cnbd(J$1,$B364,1)</f>
        <v>2.6448999999999998</v>
      </c>
    </row>
    <row r="365" spans="2:10" x14ac:dyDescent="0.15">
      <c r="B365" s="1">
        <v>44860</v>
      </c>
      <c r="C365" s="3">
        <f t="shared" ca="1" si="17"/>
        <v>2.5903</v>
      </c>
      <c r="D365" s="3">
        <f t="shared" ca="1" si="18"/>
        <v>2.6007400000000001</v>
      </c>
      <c r="E365" s="2">
        <f ca="1">[1]!b_anal_yield_cnbd(E$1,$B365,1)</f>
        <v>2.5903</v>
      </c>
      <c r="F365" s="3">
        <f t="shared" ca="1" si="19"/>
        <v>2.6007400000000001</v>
      </c>
      <c r="G365" s="2">
        <f ca="1">[1]!b_anal_yield_cnbd(G$1,$B365,1)</f>
        <v>2.5903</v>
      </c>
      <c r="H365" s="2">
        <f>[1]!b_anal_yield_cnbd(H$1,$B365,1)</f>
        <v>2.5903</v>
      </c>
      <c r="I365" s="2">
        <f>[1]!b_anal_yield_cnbd(I$1,$B365,1)</f>
        <v>2.5903</v>
      </c>
      <c r="J365" s="2">
        <f>[1]!b_anal_yield_cnbd(J$1,$B365,1)</f>
        <v>2.6598999999999999</v>
      </c>
    </row>
    <row r="366" spans="2:10" x14ac:dyDescent="0.15">
      <c r="B366" s="1">
        <v>44859</v>
      </c>
      <c r="C366" s="3">
        <f t="shared" ca="1" si="17"/>
        <v>2.6103000000000001</v>
      </c>
      <c r="D366" s="3">
        <f t="shared" ca="1" si="18"/>
        <v>2.6199749999999997</v>
      </c>
      <c r="E366" s="2">
        <f ca="1">[1]!b_anal_yield_cnbd(E$1,$B366,1)</f>
        <v>2.6103000000000001</v>
      </c>
      <c r="F366" s="3">
        <f t="shared" ca="1" si="19"/>
        <v>2.6199749999999997</v>
      </c>
      <c r="G366" s="2">
        <f ca="1">[1]!b_anal_yield_cnbd(G$1,$B366,1)</f>
        <v>2.6103000000000001</v>
      </c>
      <c r="H366" s="2">
        <f>[1]!b_anal_yield_cnbd(H$1,$B366,1)</f>
        <v>2.6103000000000001</v>
      </c>
      <c r="I366" s="2">
        <f>[1]!b_anal_yield_cnbd(I$1,$B366,1)</f>
        <v>2.6103000000000001</v>
      </c>
      <c r="J366" s="2">
        <f>[1]!b_anal_yield_cnbd(J$1,$B366,1)</f>
        <v>2.6747999999999998</v>
      </c>
    </row>
    <row r="367" spans="2:10" x14ac:dyDescent="0.15">
      <c r="B367" s="1">
        <v>44858</v>
      </c>
      <c r="C367" s="3">
        <f t="shared" ca="1" si="17"/>
        <v>2.6004</v>
      </c>
      <c r="D367" s="3">
        <f t="shared" ca="1" si="18"/>
        <v>2.6096849999999998</v>
      </c>
      <c r="E367" s="2">
        <f ca="1">[1]!b_anal_yield_cnbd(E$1,$B367,1)</f>
        <v>2.6004</v>
      </c>
      <c r="F367" s="3">
        <f t="shared" ca="1" si="19"/>
        <v>2.6096849999999998</v>
      </c>
      <c r="G367" s="2">
        <f ca="1">[1]!b_anal_yield_cnbd(G$1,$B367,1)</f>
        <v>2.6004</v>
      </c>
      <c r="H367" s="2">
        <f>[1]!b_anal_yield_cnbd(H$1,$B367,1)</f>
        <v>2.6004</v>
      </c>
      <c r="I367" s="2">
        <f>[1]!b_anal_yield_cnbd(I$1,$B367,1)</f>
        <v>2.6004</v>
      </c>
      <c r="J367" s="2">
        <f>[1]!b_anal_yield_cnbd(J$1,$B367,1)</f>
        <v>2.6623000000000001</v>
      </c>
    </row>
    <row r="368" spans="2:10" x14ac:dyDescent="0.15">
      <c r="B368" s="1">
        <v>44855</v>
      </c>
      <c r="C368" s="3">
        <f t="shared" ca="1" si="17"/>
        <v>2.6128</v>
      </c>
      <c r="D368" s="3">
        <f t="shared" ca="1" si="18"/>
        <v>2.6220849999999998</v>
      </c>
      <c r="E368" s="2">
        <f ca="1">[1]!b_anal_yield_cnbd(E$1,$B368,1)</f>
        <v>2.6128</v>
      </c>
      <c r="F368" s="3">
        <f t="shared" ca="1" si="19"/>
        <v>2.6220849999999998</v>
      </c>
      <c r="G368" s="2">
        <f ca="1">[1]!b_anal_yield_cnbd(G$1,$B368,1)</f>
        <v>2.6128</v>
      </c>
      <c r="H368" s="2">
        <f>[1]!b_anal_yield_cnbd(H$1,$B368,1)</f>
        <v>2.6128</v>
      </c>
      <c r="I368" s="2">
        <f>[1]!b_anal_yield_cnbd(I$1,$B368,1)</f>
        <v>2.6128</v>
      </c>
      <c r="J368" s="2">
        <f>[1]!b_anal_yield_cnbd(J$1,$B368,1)</f>
        <v>2.6747000000000001</v>
      </c>
    </row>
    <row r="369" spans="2:10" x14ac:dyDescent="0.15">
      <c r="B369" s="1">
        <v>44854</v>
      </c>
      <c r="C369" s="3">
        <f t="shared" ca="1" si="17"/>
        <v>2.6053000000000002</v>
      </c>
      <c r="D369" s="3">
        <f t="shared" ca="1" si="18"/>
        <v>2.6133249999999997</v>
      </c>
      <c r="E369" s="2">
        <f ca="1">[1]!b_anal_yield_cnbd(E$1,$B369,1)</f>
        <v>2.6053000000000002</v>
      </c>
      <c r="F369" s="3">
        <f t="shared" ca="1" si="19"/>
        <v>2.6133249999999997</v>
      </c>
      <c r="G369" s="2">
        <f ca="1">[1]!b_anal_yield_cnbd(G$1,$B369,1)</f>
        <v>2.6053000000000002</v>
      </c>
      <c r="H369" s="2">
        <f>[1]!b_anal_yield_cnbd(H$1,$B369,1)</f>
        <v>2.6053000000000002</v>
      </c>
      <c r="I369" s="2">
        <f>[1]!b_anal_yield_cnbd(I$1,$B369,1)</f>
        <v>2.6053000000000002</v>
      </c>
      <c r="J369" s="2">
        <f>[1]!b_anal_yield_cnbd(J$1,$B369,1)</f>
        <v>2.6587999999999998</v>
      </c>
    </row>
    <row r="370" spans="2:10" x14ac:dyDescent="0.15">
      <c r="B370" s="1">
        <v>44853</v>
      </c>
      <c r="C370" s="3">
        <f t="shared" ca="1" si="17"/>
        <v>2.5979000000000001</v>
      </c>
      <c r="D370" s="3">
        <f t="shared" ca="1" si="18"/>
        <v>2.6056850000000003</v>
      </c>
      <c r="E370" s="2">
        <f ca="1">[1]!b_anal_yield_cnbd(E$1,$B370,1)</f>
        <v>2.5979000000000001</v>
      </c>
      <c r="F370" s="3">
        <f t="shared" ca="1" si="19"/>
        <v>2.6056850000000003</v>
      </c>
      <c r="G370" s="2">
        <f ca="1">[1]!b_anal_yield_cnbd(G$1,$B370,1)</f>
        <v>2.5979000000000001</v>
      </c>
      <c r="H370" s="2">
        <f>[1]!b_anal_yield_cnbd(H$1,$B370,1)</f>
        <v>2.5979000000000001</v>
      </c>
      <c r="I370" s="2">
        <f>[1]!b_anal_yield_cnbd(I$1,$B370,1)</f>
        <v>2.5979000000000001</v>
      </c>
      <c r="J370" s="2">
        <f>[1]!b_anal_yield_cnbd(J$1,$B370,1)</f>
        <v>2.6497999999999999</v>
      </c>
    </row>
    <row r="371" spans="2:10" x14ac:dyDescent="0.15">
      <c r="B371" s="1">
        <v>44852</v>
      </c>
      <c r="C371" s="3">
        <f t="shared" ca="1" si="17"/>
        <v>2.5994000000000002</v>
      </c>
      <c r="D371" s="3">
        <f t="shared" ca="1" si="18"/>
        <v>2.6072900000000003</v>
      </c>
      <c r="E371" s="2">
        <f ca="1">[1]!b_anal_yield_cnbd(E$1,$B371,1)</f>
        <v>2.5994000000000002</v>
      </c>
      <c r="F371" s="3">
        <f t="shared" ca="1" si="19"/>
        <v>2.6072900000000003</v>
      </c>
      <c r="G371" s="2">
        <f ca="1">[1]!b_anal_yield_cnbd(G$1,$B371,1)</f>
        <v>2.5994000000000002</v>
      </c>
      <c r="H371" s="2">
        <f>[1]!b_anal_yield_cnbd(H$1,$B371,1)</f>
        <v>2.5994000000000002</v>
      </c>
      <c r="I371" s="2">
        <f>[1]!b_anal_yield_cnbd(I$1,$B371,1)</f>
        <v>2.5994000000000002</v>
      </c>
      <c r="J371" s="2">
        <f>[1]!b_anal_yield_cnbd(J$1,$B371,1)</f>
        <v>2.6520000000000001</v>
      </c>
    </row>
    <row r="372" spans="2:10" x14ac:dyDescent="0.15">
      <c r="B372" s="1">
        <v>44851</v>
      </c>
      <c r="C372" s="3">
        <f t="shared" ca="1" si="17"/>
        <v>2.6019000000000001</v>
      </c>
      <c r="D372" s="3">
        <f t="shared" ca="1" si="18"/>
        <v>2.6097900000000003</v>
      </c>
      <c r="E372" s="2">
        <f ca="1">[1]!b_anal_yield_cnbd(E$1,$B372,1)</f>
        <v>2.6019000000000001</v>
      </c>
      <c r="F372" s="3">
        <f t="shared" ca="1" si="19"/>
        <v>2.6097900000000003</v>
      </c>
      <c r="G372" s="2">
        <f ca="1">[1]!b_anal_yield_cnbd(G$1,$B372,1)</f>
        <v>2.6019000000000001</v>
      </c>
      <c r="H372" s="2">
        <f>[1]!b_anal_yield_cnbd(H$1,$B372,1)</f>
        <v>2.6019000000000001</v>
      </c>
      <c r="I372" s="2">
        <f>[1]!b_anal_yield_cnbd(I$1,$B372,1)</f>
        <v>2.6019000000000001</v>
      </c>
      <c r="J372" s="2">
        <f>[1]!b_anal_yield_cnbd(J$1,$B372,1)</f>
        <v>2.6545000000000001</v>
      </c>
    </row>
    <row r="373" spans="2:10" x14ac:dyDescent="0.15">
      <c r="B373" s="1">
        <v>44848</v>
      </c>
      <c r="C373" s="3">
        <f t="shared" ca="1" si="17"/>
        <v>2.6040999999999999</v>
      </c>
      <c r="D373" s="3">
        <f t="shared" ca="1" si="18"/>
        <v>2.6112549999999999</v>
      </c>
      <c r="E373" s="2">
        <f ca="1">[1]!b_anal_yield_cnbd(E$1,$B373,1)</f>
        <v>2.6040999999999999</v>
      </c>
      <c r="F373" s="3">
        <f t="shared" ca="1" si="19"/>
        <v>2.6112549999999999</v>
      </c>
      <c r="G373" s="2">
        <f ca="1">[1]!b_anal_yield_cnbd(G$1,$B373,1)</f>
        <v>2.6040999999999999</v>
      </c>
      <c r="H373" s="2">
        <f>[1]!b_anal_yield_cnbd(H$1,$B373,1)</f>
        <v>2.6040999999999999</v>
      </c>
      <c r="I373" s="2">
        <f>[1]!b_anal_yield_cnbd(I$1,$B373,1)</f>
        <v>2.6040999999999999</v>
      </c>
      <c r="J373" s="2">
        <f>[1]!b_anal_yield_cnbd(J$1,$B373,1)</f>
        <v>2.6518000000000002</v>
      </c>
    </row>
    <row r="374" spans="2:10" x14ac:dyDescent="0.15">
      <c r="B374" s="1">
        <v>44847</v>
      </c>
      <c r="C374" s="3">
        <f t="shared" ca="1" si="17"/>
        <v>2.6242999999999999</v>
      </c>
      <c r="D374" s="3">
        <f t="shared" ca="1" si="18"/>
        <v>2.6314849999999996</v>
      </c>
      <c r="E374" s="2">
        <f ca="1">[1]!b_anal_yield_cnbd(E$1,$B374,1)</f>
        <v>2.6242999999999999</v>
      </c>
      <c r="F374" s="3">
        <f t="shared" ca="1" si="19"/>
        <v>2.6314849999999996</v>
      </c>
      <c r="G374" s="2">
        <f ca="1">[1]!b_anal_yield_cnbd(G$1,$B374,1)</f>
        <v>2.6242999999999999</v>
      </c>
      <c r="H374" s="2">
        <f>[1]!b_anal_yield_cnbd(H$1,$B374,1)</f>
        <v>2.6242999999999999</v>
      </c>
      <c r="I374" s="2">
        <f>[1]!b_anal_yield_cnbd(I$1,$B374,1)</f>
        <v>2.6242999999999999</v>
      </c>
      <c r="J374" s="2">
        <f>[1]!b_anal_yield_cnbd(J$1,$B374,1)</f>
        <v>2.6722000000000001</v>
      </c>
    </row>
    <row r="375" spans="2:10" x14ac:dyDescent="0.15">
      <c r="B375" s="1">
        <v>44846</v>
      </c>
      <c r="C375" s="3">
        <f t="shared" ca="1" si="17"/>
        <v>2.6393</v>
      </c>
      <c r="D375" s="3">
        <f t="shared" ca="1" si="18"/>
        <v>2.6453150000000001</v>
      </c>
      <c r="E375" s="2">
        <f ca="1">[1]!b_anal_yield_cnbd(E$1,$B375,1)</f>
        <v>2.6393</v>
      </c>
      <c r="F375" s="3">
        <f t="shared" ca="1" si="19"/>
        <v>2.6453150000000001</v>
      </c>
      <c r="G375" s="2">
        <f ca="1">[1]!b_anal_yield_cnbd(G$1,$B375,1)</f>
        <v>2.6393</v>
      </c>
      <c r="H375" s="2">
        <f>[1]!b_anal_yield_cnbd(H$1,$B375,1)</f>
        <v>2.6393</v>
      </c>
      <c r="I375" s="2">
        <f>[1]!b_anal_yield_cnbd(I$1,$B375,1)</f>
        <v>2.6393</v>
      </c>
      <c r="J375" s="2">
        <f>[1]!b_anal_yield_cnbd(J$1,$B375,1)</f>
        <v>2.6793999999999998</v>
      </c>
    </row>
    <row r="376" spans="2:10" x14ac:dyDescent="0.15">
      <c r="B376" s="1">
        <v>44845</v>
      </c>
      <c r="C376" s="3">
        <f t="shared" ca="1" si="17"/>
        <v>2.6366999999999998</v>
      </c>
      <c r="D376" s="3">
        <f t="shared" ca="1" si="18"/>
        <v>2.6430899999999999</v>
      </c>
      <c r="E376" s="2">
        <f ca="1">[1]!b_anal_yield_cnbd(E$1,$B376,1)</f>
        <v>2.6366999999999998</v>
      </c>
      <c r="F376" s="3">
        <f t="shared" ca="1" si="19"/>
        <v>2.6430899999999999</v>
      </c>
      <c r="G376" s="2">
        <f ca="1">[1]!b_anal_yield_cnbd(G$1,$B376,1)</f>
        <v>2.6366999999999998</v>
      </c>
      <c r="H376" s="2">
        <f>[1]!b_anal_yield_cnbd(H$1,$B376,1)</f>
        <v>2.6366999999999998</v>
      </c>
      <c r="I376" s="2">
        <f>[1]!b_anal_yield_cnbd(I$1,$B376,1)</f>
        <v>2.6366999999999998</v>
      </c>
      <c r="J376" s="2">
        <f>[1]!b_anal_yield_cnbd(J$1,$B376,1)</f>
        <v>2.6793</v>
      </c>
    </row>
    <row r="377" spans="2:10" x14ac:dyDescent="0.15">
      <c r="B377" s="1">
        <v>44844</v>
      </c>
      <c r="C377" s="3">
        <f t="shared" ca="1" si="17"/>
        <v>2.6341999999999999</v>
      </c>
      <c r="D377" s="3">
        <f t="shared" ca="1" si="18"/>
        <v>2.6409799999999999</v>
      </c>
      <c r="E377" s="2">
        <f ca="1">[1]!b_anal_yield_cnbd(E$1,$B377,1)</f>
        <v>2.6341999999999999</v>
      </c>
      <c r="F377" s="3">
        <f t="shared" ca="1" si="19"/>
        <v>2.6409799999999999</v>
      </c>
      <c r="G377" s="2">
        <f ca="1">[1]!b_anal_yield_cnbd(G$1,$B377,1)</f>
        <v>2.6341999999999999</v>
      </c>
      <c r="H377" s="2">
        <f>[1]!b_anal_yield_cnbd(H$1,$B377,1)</f>
        <v>2.6341999999999999</v>
      </c>
      <c r="I377" s="2">
        <f>[1]!b_anal_yield_cnbd(I$1,$B377,1)</f>
        <v>2.6341999999999999</v>
      </c>
      <c r="J377" s="2">
        <f>[1]!b_anal_yield_cnbd(J$1,$B377,1)</f>
        <v>2.6793999999999998</v>
      </c>
    </row>
    <row r="378" spans="2:10" x14ac:dyDescent="0.15">
      <c r="B378" s="1">
        <v>44843</v>
      </c>
      <c r="C378" s="3">
        <f t="shared" ca="1" si="17"/>
        <v>2.6507999999999998</v>
      </c>
      <c r="D378" s="3">
        <f t="shared" ca="1" si="18"/>
        <v>2.6584499999999998</v>
      </c>
      <c r="E378" s="2">
        <f ca="1">[1]!b_anal_yield_cnbd(E$1,$B378,1)</f>
        <v>2.6507999999999998</v>
      </c>
      <c r="F378" s="3">
        <f t="shared" ca="1" si="19"/>
        <v>2.6584499999999998</v>
      </c>
      <c r="G378" s="2">
        <f ca="1">[1]!b_anal_yield_cnbd(G$1,$B378,1)</f>
        <v>2.6507999999999998</v>
      </c>
      <c r="H378" s="2">
        <f>[1]!b_anal_yield_cnbd(H$1,$B378,1)</f>
        <v>2.6507999999999998</v>
      </c>
      <c r="I378" s="2">
        <f>[1]!b_anal_yield_cnbd(I$1,$B378,1)</f>
        <v>2.6507999999999998</v>
      </c>
      <c r="J378" s="2">
        <f>[1]!b_anal_yield_cnbd(J$1,$B378,1)</f>
        <v>2.7018</v>
      </c>
    </row>
    <row r="379" spans="2:10" x14ac:dyDescent="0.15">
      <c r="B379" s="1">
        <v>44842</v>
      </c>
      <c r="C379" s="3">
        <f t="shared" ca="1" si="17"/>
        <v>2.673</v>
      </c>
      <c r="D379" s="3">
        <f t="shared" ca="1" si="18"/>
        <v>2.6818500000000003</v>
      </c>
      <c r="E379" s="2">
        <f ca="1">[1]!b_anal_yield_cnbd(E$1,$B379,1)</f>
        <v>2.673</v>
      </c>
      <c r="F379" s="3">
        <f t="shared" ca="1" si="19"/>
        <v>2.6818500000000003</v>
      </c>
      <c r="G379" s="2">
        <f ca="1">[1]!b_anal_yield_cnbd(G$1,$B379,1)</f>
        <v>2.673</v>
      </c>
      <c r="H379" s="2">
        <f>[1]!b_anal_yield_cnbd(H$1,$B379,1)</f>
        <v>2.673</v>
      </c>
      <c r="I379" s="2">
        <f>[1]!b_anal_yield_cnbd(I$1,$B379,1)</f>
        <v>2.673</v>
      </c>
      <c r="J379" s="2">
        <f>[1]!b_anal_yield_cnbd(J$1,$B379,1)</f>
        <v>2.7320000000000002</v>
      </c>
    </row>
    <row r="380" spans="2:10" x14ac:dyDescent="0.15">
      <c r="B380" s="1">
        <v>44834</v>
      </c>
      <c r="C380" s="3">
        <f t="shared" ca="1" si="17"/>
        <v>2.6741000000000001</v>
      </c>
      <c r="D380" s="3">
        <f t="shared" ca="1" si="18"/>
        <v>2.6826049999999997</v>
      </c>
      <c r="E380" s="2">
        <f ca="1">[1]!b_anal_yield_cnbd(E$1,$B380,1)</f>
        <v>2.6741000000000001</v>
      </c>
      <c r="F380" s="3">
        <f t="shared" ca="1" si="19"/>
        <v>2.6826049999999997</v>
      </c>
      <c r="G380" s="2">
        <f ca="1">[1]!b_anal_yield_cnbd(G$1,$B380,1)</f>
        <v>2.6741000000000001</v>
      </c>
      <c r="H380" s="2">
        <f>[1]!b_anal_yield_cnbd(H$1,$B380,1)</f>
        <v>2.6741000000000001</v>
      </c>
      <c r="I380" s="2">
        <f>[1]!b_anal_yield_cnbd(I$1,$B380,1)</f>
        <v>2.6741000000000001</v>
      </c>
      <c r="J380" s="2">
        <f>[1]!b_anal_yield_cnbd(J$1,$B380,1)</f>
        <v>2.7307999999999999</v>
      </c>
    </row>
    <row r="381" spans="2:10" x14ac:dyDescent="0.15">
      <c r="B381" s="1">
        <v>44833</v>
      </c>
      <c r="C381" s="3">
        <f t="shared" ca="1" si="17"/>
        <v>2.6638999999999999</v>
      </c>
      <c r="D381" s="3">
        <f t="shared" ca="1" si="18"/>
        <v>2.67293</v>
      </c>
      <c r="E381" s="2">
        <f ca="1">[1]!b_anal_yield_cnbd(E$1,$B381,1)</f>
        <v>2.6638999999999999</v>
      </c>
      <c r="F381" s="3">
        <f t="shared" ca="1" si="19"/>
        <v>2.67293</v>
      </c>
      <c r="G381" s="2">
        <f ca="1">[1]!b_anal_yield_cnbd(G$1,$B381,1)</f>
        <v>2.6638999999999999</v>
      </c>
      <c r="H381" s="2">
        <f>[1]!b_anal_yield_cnbd(H$1,$B381,1)</f>
        <v>2.6638999999999999</v>
      </c>
      <c r="I381" s="2">
        <f>[1]!b_anal_yield_cnbd(I$1,$B381,1)</f>
        <v>2.6638999999999999</v>
      </c>
      <c r="J381" s="2">
        <f>[1]!b_anal_yield_cnbd(J$1,$B381,1)</f>
        <v>2.7241</v>
      </c>
    </row>
    <row r="382" spans="2:10" x14ac:dyDescent="0.15">
      <c r="B382" s="1">
        <v>44832</v>
      </c>
      <c r="C382" s="3">
        <f t="shared" ca="1" si="17"/>
        <v>2.6493000000000002</v>
      </c>
      <c r="D382" s="3">
        <f t="shared" ca="1" si="18"/>
        <v>2.6553000000000004</v>
      </c>
      <c r="E382" s="2">
        <f ca="1">[1]!b_anal_yield_cnbd(E$1,$B382,1)</f>
        <v>2.6493000000000002</v>
      </c>
      <c r="F382" s="3">
        <f t="shared" ca="1" si="19"/>
        <v>2.6553000000000004</v>
      </c>
      <c r="G382" s="2">
        <f ca="1">[1]!b_anal_yield_cnbd(G$1,$B382,1)</f>
        <v>2.6493000000000002</v>
      </c>
      <c r="H382" s="2">
        <f>[1]!b_anal_yield_cnbd(H$1,$B382,1)</f>
        <v>2.6493000000000002</v>
      </c>
      <c r="I382" s="2">
        <f>[1]!b_anal_yield_cnbd(I$1,$B382,1)</f>
        <v>2.6493000000000002</v>
      </c>
      <c r="J382" s="2">
        <f>[1]!b_anal_yield_cnbd(J$1,$B382,1)</f>
        <v>2.6892999999999998</v>
      </c>
    </row>
    <row r="383" spans="2:10" x14ac:dyDescent="0.15">
      <c r="B383" s="1">
        <v>44831</v>
      </c>
      <c r="C383" s="3">
        <f t="shared" ca="1" si="17"/>
        <v>2.6244000000000001</v>
      </c>
      <c r="D383" s="3">
        <f t="shared" ca="1" si="18"/>
        <v>2.6304149999999997</v>
      </c>
      <c r="E383" s="2">
        <f ca="1">[1]!b_anal_yield_cnbd(E$1,$B383,1)</f>
        <v>2.6244000000000001</v>
      </c>
      <c r="F383" s="3">
        <f t="shared" ca="1" si="19"/>
        <v>2.6304149999999997</v>
      </c>
      <c r="G383" s="2">
        <f ca="1">[1]!b_anal_yield_cnbd(G$1,$B383,1)</f>
        <v>2.6244000000000001</v>
      </c>
      <c r="H383" s="2">
        <f>[1]!b_anal_yield_cnbd(H$1,$B383,1)</f>
        <v>2.6244000000000001</v>
      </c>
      <c r="I383" s="2">
        <f>[1]!b_anal_yield_cnbd(I$1,$B383,1)</f>
        <v>2.6244000000000001</v>
      </c>
      <c r="J383" s="2">
        <f>[1]!b_anal_yield_cnbd(J$1,$B383,1)</f>
        <v>2.6644999999999999</v>
      </c>
    </row>
    <row r="384" spans="2:10" x14ac:dyDescent="0.15">
      <c r="B384" s="1">
        <v>44830</v>
      </c>
      <c r="C384" s="3">
        <f t="shared" ca="1" si="17"/>
        <v>2.6221000000000001</v>
      </c>
      <c r="D384" s="3">
        <f t="shared" ca="1" si="18"/>
        <v>2.6292400000000002</v>
      </c>
      <c r="E384" s="2">
        <f ca="1">[1]!b_anal_yield_cnbd(E$1,$B384,1)</f>
        <v>2.6221000000000001</v>
      </c>
      <c r="F384" s="3">
        <f t="shared" ca="1" si="19"/>
        <v>2.6292400000000002</v>
      </c>
      <c r="G384" s="2">
        <f ca="1">[1]!b_anal_yield_cnbd(G$1,$B384,1)</f>
        <v>2.6221000000000001</v>
      </c>
      <c r="H384" s="2">
        <f>[1]!b_anal_yield_cnbd(H$1,$B384,1)</f>
        <v>2.6221000000000001</v>
      </c>
      <c r="I384" s="2">
        <f>[1]!b_anal_yield_cnbd(I$1,$B384,1)</f>
        <v>2.6221000000000001</v>
      </c>
      <c r="J384" s="2">
        <f>[1]!b_anal_yield_cnbd(J$1,$B384,1)</f>
        <v>2.6697000000000002</v>
      </c>
    </row>
    <row r="385" spans="2:10" x14ac:dyDescent="0.15">
      <c r="B385" s="1">
        <v>44827</v>
      </c>
      <c r="C385" s="3">
        <f t="shared" ca="1" si="17"/>
        <v>2.5846</v>
      </c>
      <c r="D385" s="3">
        <f t="shared" ca="1" si="18"/>
        <v>2.5936149999999998</v>
      </c>
      <c r="E385" s="2">
        <f ca="1">[1]!b_anal_yield_cnbd(E$1,$B385,1)</f>
        <v>2.5846</v>
      </c>
      <c r="F385" s="3">
        <f t="shared" ca="1" si="19"/>
        <v>2.5936149999999998</v>
      </c>
      <c r="G385" s="2">
        <f ca="1">[1]!b_anal_yield_cnbd(G$1,$B385,1)</f>
        <v>2.5846</v>
      </c>
      <c r="H385" s="2">
        <f>[1]!b_anal_yield_cnbd(H$1,$B385,1)</f>
        <v>2.5846</v>
      </c>
      <c r="I385" s="2">
        <f>[1]!b_anal_yield_cnbd(I$1,$B385,1)</f>
        <v>2.5846</v>
      </c>
      <c r="J385" s="2">
        <f>[1]!b_anal_yield_cnbd(J$1,$B385,1)</f>
        <v>2.6446999999999998</v>
      </c>
    </row>
    <row r="386" spans="2:10" x14ac:dyDescent="0.15">
      <c r="B386" s="1">
        <v>44826</v>
      </c>
      <c r="C386" s="3">
        <f t="shared" ca="1" si="17"/>
        <v>2.5722</v>
      </c>
      <c r="D386" s="3">
        <f t="shared" ca="1" si="18"/>
        <v>2.5808400000000002</v>
      </c>
      <c r="E386" s="2">
        <f ca="1">[1]!b_anal_yield_cnbd(E$1,$B386,1)</f>
        <v>2.5722</v>
      </c>
      <c r="F386" s="3">
        <f t="shared" ca="1" si="19"/>
        <v>2.5808400000000002</v>
      </c>
      <c r="G386" s="2">
        <f ca="1">[1]!b_anal_yield_cnbd(G$1,$B386,1)</f>
        <v>2.5722</v>
      </c>
      <c r="H386" s="2">
        <f>[1]!b_anal_yield_cnbd(H$1,$B386,1)</f>
        <v>2.5722</v>
      </c>
      <c r="I386" s="2">
        <f>[1]!b_anal_yield_cnbd(I$1,$B386,1)</f>
        <v>2.5722</v>
      </c>
      <c r="J386" s="2">
        <f>[1]!b_anal_yield_cnbd(J$1,$B386,1)</f>
        <v>2.6297999999999999</v>
      </c>
    </row>
    <row r="387" spans="2:10" x14ac:dyDescent="0.15">
      <c r="B387" s="1">
        <v>44825</v>
      </c>
      <c r="C387" s="3">
        <f t="shared" ref="C387:C450" ca="1" si="20">IF(E387&lt;&gt;0,IF(F387&lt;&gt;0,E387,0),0)</f>
        <v>2.5703999999999998</v>
      </c>
      <c r="D387" s="3">
        <f t="shared" ref="D387:D450" ca="1" si="21">IF(E387&lt;&gt;0,IF(F387&lt;&gt;0,F387,0),0)</f>
        <v>2.5796549999999998</v>
      </c>
      <c r="E387" s="2">
        <f ca="1">[1]!b_anal_yield_cnbd(E$1,$B387,1)</f>
        <v>2.5703999999999998</v>
      </c>
      <c r="F387" s="3">
        <f t="shared" ref="F387:F450" ca="1" si="22">SUMPRODUCT(G387:J387,$N$1:$Q$1)</f>
        <v>2.5796549999999998</v>
      </c>
      <c r="G387" s="2">
        <f ca="1">[1]!b_anal_yield_cnbd(G$1,$B387,1)</f>
        <v>2.5703999999999998</v>
      </c>
      <c r="H387" s="2">
        <f>[1]!b_anal_yield_cnbd(H$1,$B387,1)</f>
        <v>2.5703999999999998</v>
      </c>
      <c r="I387" s="2">
        <f>[1]!b_anal_yield_cnbd(I$1,$B387,1)</f>
        <v>2.5703999999999998</v>
      </c>
      <c r="J387" s="2">
        <f>[1]!b_anal_yield_cnbd(J$1,$B387,1)</f>
        <v>2.6320999999999999</v>
      </c>
    </row>
    <row r="388" spans="2:10" x14ac:dyDescent="0.15">
      <c r="B388" s="1">
        <v>44824</v>
      </c>
      <c r="C388" s="3">
        <f t="shared" ca="1" si="20"/>
        <v>2.5796000000000001</v>
      </c>
      <c r="D388" s="3">
        <f t="shared" ca="1" si="21"/>
        <v>2.5886149999999999</v>
      </c>
      <c r="E388" s="2">
        <f ca="1">[1]!b_anal_yield_cnbd(E$1,$B388,1)</f>
        <v>2.5796000000000001</v>
      </c>
      <c r="F388" s="3">
        <f t="shared" ca="1" si="22"/>
        <v>2.5886149999999999</v>
      </c>
      <c r="G388" s="2">
        <f ca="1">[1]!b_anal_yield_cnbd(G$1,$B388,1)</f>
        <v>2.5796000000000001</v>
      </c>
      <c r="H388" s="2">
        <f>[1]!b_anal_yield_cnbd(H$1,$B388,1)</f>
        <v>2.5796000000000001</v>
      </c>
      <c r="I388" s="2">
        <f>[1]!b_anal_yield_cnbd(I$1,$B388,1)</f>
        <v>2.5796000000000001</v>
      </c>
      <c r="J388" s="2">
        <f>[1]!b_anal_yield_cnbd(J$1,$B388,1)</f>
        <v>2.6396999999999999</v>
      </c>
    </row>
    <row r="389" spans="2:10" x14ac:dyDescent="0.15">
      <c r="B389" s="1">
        <v>44823</v>
      </c>
      <c r="C389" s="3">
        <f t="shared" ca="1" si="20"/>
        <v>2.5996000000000001</v>
      </c>
      <c r="D389" s="3">
        <f t="shared" ca="1" si="21"/>
        <v>2.6078649999999999</v>
      </c>
      <c r="E389" s="2">
        <f ca="1">[1]!b_anal_yield_cnbd(E$1,$B389,1)</f>
        <v>2.5996000000000001</v>
      </c>
      <c r="F389" s="3">
        <f t="shared" ca="1" si="22"/>
        <v>2.6078649999999999</v>
      </c>
      <c r="G389" s="2">
        <f ca="1">[1]!b_anal_yield_cnbd(G$1,$B389,1)</f>
        <v>2.5996000000000001</v>
      </c>
      <c r="H389" s="2">
        <f>[1]!b_anal_yield_cnbd(H$1,$B389,1)</f>
        <v>2.5996000000000001</v>
      </c>
      <c r="I389" s="2">
        <f>[1]!b_anal_yield_cnbd(I$1,$B389,1)</f>
        <v>2.5996000000000001</v>
      </c>
      <c r="J389" s="2">
        <f>[1]!b_anal_yield_cnbd(J$1,$B389,1)</f>
        <v>2.6547000000000001</v>
      </c>
    </row>
    <row r="390" spans="2:10" x14ac:dyDescent="0.15">
      <c r="B390" s="1">
        <v>44820</v>
      </c>
      <c r="C390" s="3">
        <f t="shared" ca="1" si="20"/>
        <v>2.6021000000000001</v>
      </c>
      <c r="D390" s="3">
        <f t="shared" ca="1" si="21"/>
        <v>2.6100350000000003</v>
      </c>
      <c r="E390" s="2">
        <f ca="1">[1]!b_anal_yield_cnbd(E$1,$B390,1)</f>
        <v>2.6021000000000001</v>
      </c>
      <c r="F390" s="3">
        <f t="shared" ca="1" si="22"/>
        <v>2.6100350000000003</v>
      </c>
      <c r="G390" s="2">
        <f ca="1">[1]!b_anal_yield_cnbd(G$1,$B390,1)</f>
        <v>2.6021000000000001</v>
      </c>
      <c r="H390" s="2">
        <f>[1]!b_anal_yield_cnbd(H$1,$B390,1)</f>
        <v>2.6021000000000001</v>
      </c>
      <c r="I390" s="2">
        <f>[1]!b_anal_yield_cnbd(I$1,$B390,1)</f>
        <v>2.6021000000000001</v>
      </c>
      <c r="J390" s="2">
        <f>[1]!b_anal_yield_cnbd(J$1,$B390,1)</f>
        <v>2.6549999999999998</v>
      </c>
    </row>
    <row r="391" spans="2:10" x14ac:dyDescent="0.15">
      <c r="B391" s="1">
        <v>44819</v>
      </c>
      <c r="C391" s="3">
        <f t="shared" ca="1" si="20"/>
        <v>2.5872000000000002</v>
      </c>
      <c r="D391" s="3">
        <f t="shared" ca="1" si="21"/>
        <v>2.5958700000000001</v>
      </c>
      <c r="E391" s="2">
        <f ca="1">[1]!b_anal_yield_cnbd(E$1,$B391,1)</f>
        <v>2.5872000000000002</v>
      </c>
      <c r="F391" s="3">
        <f t="shared" ca="1" si="22"/>
        <v>2.5958700000000001</v>
      </c>
      <c r="G391" s="2">
        <f ca="1">[1]!b_anal_yield_cnbd(G$1,$B391,1)</f>
        <v>2.5872000000000002</v>
      </c>
      <c r="H391" s="2">
        <f>[1]!b_anal_yield_cnbd(H$1,$B391,1)</f>
        <v>2.5872000000000002</v>
      </c>
      <c r="I391" s="2">
        <f>[1]!b_anal_yield_cnbd(I$1,$B391,1)</f>
        <v>2.5872000000000002</v>
      </c>
      <c r="J391" s="2">
        <f>[1]!b_anal_yield_cnbd(J$1,$B391,1)</f>
        <v>2.645</v>
      </c>
    </row>
    <row r="392" spans="2:10" x14ac:dyDescent="0.15">
      <c r="B392" s="1">
        <v>44818</v>
      </c>
      <c r="C392" s="3">
        <f t="shared" ca="1" si="20"/>
        <v>2.5853999999999999</v>
      </c>
      <c r="D392" s="3">
        <f t="shared" ca="1" si="21"/>
        <v>2.5931549999999999</v>
      </c>
      <c r="E392" s="2">
        <f ca="1">[1]!b_anal_yield_cnbd(E$1,$B392,1)</f>
        <v>2.5853999999999999</v>
      </c>
      <c r="F392" s="3">
        <f t="shared" ca="1" si="22"/>
        <v>2.5931549999999999</v>
      </c>
      <c r="G392" s="2">
        <f ca="1">[1]!b_anal_yield_cnbd(G$1,$B392,1)</f>
        <v>2.5853999999999999</v>
      </c>
      <c r="H392" s="2">
        <f>[1]!b_anal_yield_cnbd(H$1,$B392,1)</f>
        <v>2.5853999999999999</v>
      </c>
      <c r="I392" s="2">
        <f>[1]!b_anal_yield_cnbd(I$1,$B392,1)</f>
        <v>2.5853999999999999</v>
      </c>
      <c r="J392" s="2">
        <f>[1]!b_anal_yield_cnbd(J$1,$B392,1)</f>
        <v>2.6371000000000002</v>
      </c>
    </row>
    <row r="393" spans="2:10" x14ac:dyDescent="0.15">
      <c r="B393" s="1">
        <v>44817</v>
      </c>
      <c r="C393" s="3">
        <f t="shared" ca="1" si="20"/>
        <v>2.5779000000000001</v>
      </c>
      <c r="D393" s="3">
        <f t="shared" ca="1" si="21"/>
        <v>2.58528</v>
      </c>
      <c r="E393" s="2">
        <f ca="1">[1]!b_anal_yield_cnbd(E$1,$B393,1)</f>
        <v>2.5779000000000001</v>
      </c>
      <c r="F393" s="3">
        <f t="shared" ca="1" si="22"/>
        <v>2.58528</v>
      </c>
      <c r="G393" s="2">
        <f ca="1">[1]!b_anal_yield_cnbd(G$1,$B393,1)</f>
        <v>2.5779000000000001</v>
      </c>
      <c r="H393" s="2">
        <f>[1]!b_anal_yield_cnbd(H$1,$B393,1)</f>
        <v>2.5779000000000001</v>
      </c>
      <c r="I393" s="2">
        <f>[1]!b_anal_yield_cnbd(I$1,$B393,1)</f>
        <v>2.5779000000000001</v>
      </c>
      <c r="J393" s="2">
        <f>[1]!b_anal_yield_cnbd(J$1,$B393,1)</f>
        <v>2.6271</v>
      </c>
    </row>
    <row r="394" spans="2:10" x14ac:dyDescent="0.15">
      <c r="B394" s="1">
        <v>44813</v>
      </c>
      <c r="C394" s="3">
        <f t="shared" ca="1" si="20"/>
        <v>2.5754999999999999</v>
      </c>
      <c r="D394" s="3">
        <f t="shared" ca="1" si="21"/>
        <v>2.5817549999999998</v>
      </c>
      <c r="E394" s="2">
        <f ca="1">[1]!b_anal_yield_cnbd(E$1,$B394,1)</f>
        <v>2.5754999999999999</v>
      </c>
      <c r="F394" s="3">
        <f t="shared" ca="1" si="22"/>
        <v>2.5817549999999998</v>
      </c>
      <c r="G394" s="2">
        <f ca="1">[1]!b_anal_yield_cnbd(G$1,$B394,1)</f>
        <v>2.5754999999999999</v>
      </c>
      <c r="H394" s="2">
        <f>[1]!b_anal_yield_cnbd(H$1,$B394,1)</f>
        <v>2.5754999999999999</v>
      </c>
      <c r="I394" s="2">
        <f>[1]!b_anal_yield_cnbd(I$1,$B394,1)</f>
        <v>2.5754999999999999</v>
      </c>
      <c r="J394" s="2">
        <f>[1]!b_anal_yield_cnbd(J$1,$B394,1)</f>
        <v>2.6172</v>
      </c>
    </row>
    <row r="395" spans="2:10" x14ac:dyDescent="0.15">
      <c r="B395" s="1">
        <v>44812</v>
      </c>
      <c r="C395" s="3">
        <f t="shared" ca="1" si="20"/>
        <v>2.5531000000000001</v>
      </c>
      <c r="D395" s="3">
        <f t="shared" ca="1" si="21"/>
        <v>2.5600900000000002</v>
      </c>
      <c r="E395" s="2">
        <f ca="1">[1]!b_anal_yield_cnbd(E$1,$B395,1)</f>
        <v>2.5531000000000001</v>
      </c>
      <c r="F395" s="3">
        <f t="shared" ca="1" si="22"/>
        <v>2.5600900000000002</v>
      </c>
      <c r="G395" s="2">
        <f ca="1">[1]!b_anal_yield_cnbd(G$1,$B395,1)</f>
        <v>2.5531000000000001</v>
      </c>
      <c r="H395" s="2">
        <f>[1]!b_anal_yield_cnbd(H$1,$B395,1)</f>
        <v>2.5531000000000001</v>
      </c>
      <c r="I395" s="2">
        <f>[1]!b_anal_yield_cnbd(I$1,$B395,1)</f>
        <v>2.5531000000000001</v>
      </c>
      <c r="J395" s="2">
        <f>[1]!b_anal_yield_cnbd(J$1,$B395,1)</f>
        <v>2.5996999999999999</v>
      </c>
    </row>
    <row r="396" spans="2:10" x14ac:dyDescent="0.15">
      <c r="B396" s="1">
        <v>44811</v>
      </c>
      <c r="C396" s="3">
        <f t="shared" ca="1" si="20"/>
        <v>2.5455000000000001</v>
      </c>
      <c r="D396" s="3">
        <f t="shared" ca="1" si="21"/>
        <v>2.5532550000000001</v>
      </c>
      <c r="E396" s="2">
        <f ca="1">[1]!b_anal_yield_cnbd(E$1,$B396,1)</f>
        <v>2.5455000000000001</v>
      </c>
      <c r="F396" s="3">
        <f t="shared" ca="1" si="22"/>
        <v>2.5532550000000001</v>
      </c>
      <c r="G396" s="2">
        <f ca="1">[1]!b_anal_yield_cnbd(G$1,$B396,1)</f>
        <v>2.5455000000000001</v>
      </c>
      <c r="H396" s="2">
        <f>[1]!b_anal_yield_cnbd(H$1,$B396,1)</f>
        <v>2.5455000000000001</v>
      </c>
      <c r="I396" s="2">
        <f>[1]!b_anal_yield_cnbd(I$1,$B396,1)</f>
        <v>2.5455000000000001</v>
      </c>
      <c r="J396" s="2">
        <f>[1]!b_anal_yield_cnbd(J$1,$B396,1)</f>
        <v>2.5972</v>
      </c>
    </row>
    <row r="397" spans="2:10" x14ac:dyDescent="0.15">
      <c r="B397" s="1">
        <v>44810</v>
      </c>
      <c r="C397" s="3">
        <f t="shared" ca="1" si="20"/>
        <v>2.5406</v>
      </c>
      <c r="D397" s="3">
        <f t="shared" ca="1" si="21"/>
        <v>2.54834</v>
      </c>
      <c r="E397" s="2">
        <f ca="1">[1]!b_anal_yield_cnbd(E$1,$B397,1)</f>
        <v>2.5406</v>
      </c>
      <c r="F397" s="3">
        <f t="shared" ca="1" si="22"/>
        <v>2.54834</v>
      </c>
      <c r="G397" s="2">
        <f ca="1">[1]!b_anal_yield_cnbd(G$1,$B397,1)</f>
        <v>2.5406</v>
      </c>
      <c r="H397" s="2">
        <f>[1]!b_anal_yield_cnbd(H$1,$B397,1)</f>
        <v>2.5406</v>
      </c>
      <c r="I397" s="2">
        <f>[1]!b_anal_yield_cnbd(I$1,$B397,1)</f>
        <v>2.5406</v>
      </c>
      <c r="J397" s="2">
        <f>[1]!b_anal_yield_cnbd(J$1,$B397,1)</f>
        <v>2.5922000000000001</v>
      </c>
    </row>
    <row r="398" spans="2:10" x14ac:dyDescent="0.15">
      <c r="B398" s="1">
        <v>44809</v>
      </c>
      <c r="C398" s="3">
        <f t="shared" ca="1" si="20"/>
        <v>2.5430000000000001</v>
      </c>
      <c r="D398" s="3">
        <f t="shared" ca="1" si="21"/>
        <v>2.5503800000000001</v>
      </c>
      <c r="E398" s="2">
        <f ca="1">[1]!b_anal_yield_cnbd(E$1,$B398,1)</f>
        <v>2.5430000000000001</v>
      </c>
      <c r="F398" s="3">
        <f t="shared" ca="1" si="22"/>
        <v>2.5503800000000001</v>
      </c>
      <c r="G398" s="2">
        <f ca="1">[1]!b_anal_yield_cnbd(G$1,$B398,1)</f>
        <v>2.5430000000000001</v>
      </c>
      <c r="H398" s="2">
        <f>[1]!b_anal_yield_cnbd(H$1,$B398,1)</f>
        <v>2.5430000000000001</v>
      </c>
      <c r="I398" s="2">
        <f>[1]!b_anal_yield_cnbd(I$1,$B398,1)</f>
        <v>2.5430000000000001</v>
      </c>
      <c r="J398" s="2">
        <f>[1]!b_anal_yield_cnbd(J$1,$B398,1)</f>
        <v>2.5922000000000001</v>
      </c>
    </row>
    <row r="399" spans="2:10" x14ac:dyDescent="0.15">
      <c r="B399" s="1">
        <v>44806</v>
      </c>
      <c r="C399" s="3">
        <f t="shared" ca="1" si="20"/>
        <v>2.5579000000000001</v>
      </c>
      <c r="D399" s="3">
        <f t="shared" ca="1" si="21"/>
        <v>2.5640499999999999</v>
      </c>
      <c r="E399" s="2">
        <f ca="1">[1]!b_anal_yield_cnbd(E$1,$B399,1)</f>
        <v>2.5579000000000001</v>
      </c>
      <c r="F399" s="3">
        <f t="shared" ca="1" si="22"/>
        <v>2.5640499999999999</v>
      </c>
      <c r="G399" s="2">
        <f ca="1">[1]!b_anal_yield_cnbd(G$1,$B399,1)</f>
        <v>2.5579000000000001</v>
      </c>
      <c r="H399" s="2">
        <f>[1]!b_anal_yield_cnbd(H$1,$B399,1)</f>
        <v>2.5579000000000001</v>
      </c>
      <c r="I399" s="2">
        <f>[1]!b_anal_yield_cnbd(I$1,$B399,1)</f>
        <v>2.5579000000000001</v>
      </c>
      <c r="J399" s="2">
        <f>[1]!b_anal_yield_cnbd(J$1,$B399,1)</f>
        <v>2.5989</v>
      </c>
    </row>
    <row r="400" spans="2:10" x14ac:dyDescent="0.15">
      <c r="B400" s="1">
        <v>44805</v>
      </c>
      <c r="C400" s="3">
        <f t="shared" ca="1" si="20"/>
        <v>2.5529999999999999</v>
      </c>
      <c r="D400" s="3">
        <f t="shared" ca="1" si="21"/>
        <v>2.55924</v>
      </c>
      <c r="E400" s="2">
        <f ca="1">[1]!b_anal_yield_cnbd(E$1,$B400,1)</f>
        <v>2.5529999999999999</v>
      </c>
      <c r="F400" s="3">
        <f t="shared" ca="1" si="22"/>
        <v>2.55924</v>
      </c>
      <c r="G400" s="2">
        <f ca="1">[1]!b_anal_yield_cnbd(G$1,$B400,1)</f>
        <v>2.5529999999999999</v>
      </c>
      <c r="H400" s="2">
        <f>[1]!b_anal_yield_cnbd(H$1,$B400,1)</f>
        <v>2.5529999999999999</v>
      </c>
      <c r="I400" s="2">
        <f>[1]!b_anal_yield_cnbd(I$1,$B400,1)</f>
        <v>2.5529999999999999</v>
      </c>
      <c r="J400" s="2">
        <f>[1]!b_anal_yield_cnbd(J$1,$B400,1)</f>
        <v>2.5945999999999998</v>
      </c>
    </row>
    <row r="401" spans="2:10" x14ac:dyDescent="0.15">
      <c r="B401" s="1">
        <v>44804</v>
      </c>
      <c r="C401" s="3">
        <f t="shared" ca="1" si="20"/>
        <v>2.5678999999999998</v>
      </c>
      <c r="D401" s="3">
        <f t="shared" ca="1" si="21"/>
        <v>2.573045</v>
      </c>
      <c r="E401" s="2">
        <f ca="1">[1]!b_anal_yield_cnbd(E$1,$B401,1)</f>
        <v>2.5678999999999998</v>
      </c>
      <c r="F401" s="3">
        <f t="shared" ca="1" si="22"/>
        <v>2.573045</v>
      </c>
      <c r="G401" s="2">
        <f ca="1">[1]!b_anal_yield_cnbd(G$1,$B401,1)</f>
        <v>2.5678999999999998</v>
      </c>
      <c r="H401" s="2">
        <f>[1]!b_anal_yield_cnbd(H$1,$B401,1)</f>
        <v>2.5678999999999998</v>
      </c>
      <c r="I401" s="2">
        <f>[1]!b_anal_yield_cnbd(I$1,$B401,1)</f>
        <v>2.5678999999999998</v>
      </c>
      <c r="J401" s="2">
        <f>[1]!b_anal_yield_cnbd(J$1,$B401,1)</f>
        <v>2.6021999999999998</v>
      </c>
    </row>
    <row r="402" spans="2:10" x14ac:dyDescent="0.15">
      <c r="B402" s="1">
        <v>44803</v>
      </c>
      <c r="C402" s="3">
        <f t="shared" ca="1" si="20"/>
        <v>2.5655000000000001</v>
      </c>
      <c r="D402" s="3">
        <f t="shared" ca="1" si="21"/>
        <v>2.5711400000000002</v>
      </c>
      <c r="E402" s="2">
        <f ca="1">[1]!b_anal_yield_cnbd(E$1,$B402,1)</f>
        <v>2.5655000000000001</v>
      </c>
      <c r="F402" s="3">
        <f t="shared" ca="1" si="22"/>
        <v>2.5711400000000002</v>
      </c>
      <c r="G402" s="2">
        <f ca="1">[1]!b_anal_yield_cnbd(G$1,$B402,1)</f>
        <v>2.5655000000000001</v>
      </c>
      <c r="H402" s="2">
        <f>[1]!b_anal_yield_cnbd(H$1,$B402,1)</f>
        <v>2.5655000000000001</v>
      </c>
      <c r="I402" s="2">
        <f>[1]!b_anal_yield_cnbd(I$1,$B402,1)</f>
        <v>2.5655000000000001</v>
      </c>
      <c r="J402" s="2">
        <f>[1]!b_anal_yield_cnbd(J$1,$B402,1)</f>
        <v>2.6031</v>
      </c>
    </row>
    <row r="403" spans="2:10" x14ac:dyDescent="0.15">
      <c r="B403" s="1">
        <v>44802</v>
      </c>
      <c r="C403" s="3">
        <f t="shared" ca="1" si="20"/>
        <v>2.5754000000000001</v>
      </c>
      <c r="D403" s="3">
        <f t="shared" ca="1" si="21"/>
        <v>2.5801700000000003</v>
      </c>
      <c r="E403" s="2">
        <f ca="1">[1]!b_anal_yield_cnbd(E$1,$B403,1)</f>
        <v>2.5754000000000001</v>
      </c>
      <c r="F403" s="3">
        <f t="shared" ca="1" si="22"/>
        <v>2.5801700000000003</v>
      </c>
      <c r="G403" s="2">
        <f ca="1">[1]!b_anal_yield_cnbd(G$1,$B403,1)</f>
        <v>2.5754000000000001</v>
      </c>
      <c r="H403" s="2">
        <f>[1]!b_anal_yield_cnbd(H$1,$B403,1)</f>
        <v>2.5754000000000001</v>
      </c>
      <c r="I403" s="2">
        <f>[1]!b_anal_yield_cnbd(I$1,$B403,1)</f>
        <v>2.5754000000000001</v>
      </c>
      <c r="J403" s="2">
        <f>[1]!b_anal_yield_cnbd(J$1,$B403,1)</f>
        <v>2.6072000000000002</v>
      </c>
    </row>
    <row r="404" spans="2:10" x14ac:dyDescent="0.15">
      <c r="B404" s="1">
        <v>44799</v>
      </c>
      <c r="C404" s="3">
        <f t="shared" ca="1" si="20"/>
        <v>2.5975000000000001</v>
      </c>
      <c r="D404" s="3">
        <f t="shared" ca="1" si="21"/>
        <v>2.6008750000000003</v>
      </c>
      <c r="E404" s="2">
        <f ca="1">[1]!b_anal_yield_cnbd(E$1,$B404,1)</f>
        <v>2.5975000000000001</v>
      </c>
      <c r="F404" s="3">
        <f t="shared" ca="1" si="22"/>
        <v>2.6008750000000003</v>
      </c>
      <c r="G404" s="2">
        <f ca="1">[1]!b_anal_yield_cnbd(G$1,$B404,1)</f>
        <v>2.5975000000000001</v>
      </c>
      <c r="H404" s="2">
        <f>[1]!b_anal_yield_cnbd(H$1,$B404,1)</f>
        <v>2.5975000000000001</v>
      </c>
      <c r="I404" s="2">
        <f>[1]!b_anal_yield_cnbd(I$1,$B404,1)</f>
        <v>2.5975000000000001</v>
      </c>
      <c r="J404" s="2">
        <f>[1]!b_anal_yield_cnbd(J$1,$B404,1)</f>
        <v>2.62</v>
      </c>
    </row>
    <row r="405" spans="2:10" x14ac:dyDescent="0.15">
      <c r="B405" s="1">
        <v>44798</v>
      </c>
      <c r="C405" s="3">
        <f t="shared" ca="1" si="20"/>
        <v>2.5903999999999998</v>
      </c>
      <c r="D405" s="3">
        <f t="shared" ca="1" si="21"/>
        <v>2.592905</v>
      </c>
      <c r="E405" s="2">
        <f ca="1">[1]!b_anal_yield_cnbd(E$1,$B405,1)</f>
        <v>2.5903999999999998</v>
      </c>
      <c r="F405" s="3">
        <f t="shared" ca="1" si="22"/>
        <v>2.592905</v>
      </c>
      <c r="G405" s="2">
        <f ca="1">[1]!b_anal_yield_cnbd(G$1,$B405,1)</f>
        <v>2.5903999999999998</v>
      </c>
      <c r="H405" s="2">
        <f>[1]!b_anal_yield_cnbd(H$1,$B405,1)</f>
        <v>2.5903999999999998</v>
      </c>
      <c r="I405" s="2">
        <f>[1]!b_anal_yield_cnbd(I$1,$B405,1)</f>
        <v>2.5903999999999998</v>
      </c>
      <c r="J405" s="2">
        <f>[1]!b_anal_yield_cnbd(J$1,$B405,1)</f>
        <v>2.6071</v>
      </c>
    </row>
    <row r="406" spans="2:10" x14ac:dyDescent="0.15">
      <c r="B406" s="1">
        <v>44797</v>
      </c>
      <c r="C406" s="3">
        <f t="shared" ca="1" si="20"/>
        <v>2.5579999999999998</v>
      </c>
      <c r="D406" s="3">
        <f t="shared" ca="1" si="21"/>
        <v>2.5631300000000001</v>
      </c>
      <c r="E406" s="2">
        <f ca="1">[1]!b_anal_yield_cnbd(E$1,$B406,1)</f>
        <v>2.5579999999999998</v>
      </c>
      <c r="F406" s="3">
        <f t="shared" ca="1" si="22"/>
        <v>2.5631300000000001</v>
      </c>
      <c r="G406" s="2">
        <f ca="1">[1]!b_anal_yield_cnbd(G$1,$B406,1)</f>
        <v>2.5579999999999998</v>
      </c>
      <c r="H406" s="2">
        <f>[1]!b_anal_yield_cnbd(H$1,$B406,1)</f>
        <v>2.5579999999999998</v>
      </c>
      <c r="I406" s="2">
        <f>[1]!b_anal_yield_cnbd(I$1,$B406,1)</f>
        <v>2.5579999999999998</v>
      </c>
      <c r="J406" s="2">
        <f>[1]!b_anal_yield_cnbd(J$1,$B406,1)</f>
        <v>2.5922000000000001</v>
      </c>
    </row>
    <row r="407" spans="2:10" x14ac:dyDescent="0.15">
      <c r="B407" s="1">
        <v>44796</v>
      </c>
      <c r="C407" s="3">
        <f t="shared" ca="1" si="20"/>
        <v>2.5579999999999998</v>
      </c>
      <c r="D407" s="3">
        <f t="shared" ca="1" si="21"/>
        <v>2.5631300000000001</v>
      </c>
      <c r="E407" s="2">
        <f ca="1">[1]!b_anal_yield_cnbd(E$1,$B407,1)</f>
        <v>2.5579999999999998</v>
      </c>
      <c r="F407" s="3">
        <f t="shared" ca="1" si="22"/>
        <v>2.5631300000000001</v>
      </c>
      <c r="G407" s="2">
        <f ca="1">[1]!b_anal_yield_cnbd(G$1,$B407,1)</f>
        <v>2.5579999999999998</v>
      </c>
      <c r="H407" s="2">
        <f>[1]!b_anal_yield_cnbd(H$1,$B407,1)</f>
        <v>2.5579999999999998</v>
      </c>
      <c r="I407" s="2">
        <f>[1]!b_anal_yield_cnbd(I$1,$B407,1)</f>
        <v>2.5579999999999998</v>
      </c>
      <c r="J407" s="2">
        <f>[1]!b_anal_yield_cnbd(J$1,$B407,1)</f>
        <v>2.5922000000000001</v>
      </c>
    </row>
    <row r="408" spans="2:10" x14ac:dyDescent="0.15">
      <c r="B408" s="1">
        <v>44795</v>
      </c>
      <c r="C408" s="3">
        <f t="shared" ca="1" si="20"/>
        <v>2.5430999999999999</v>
      </c>
      <c r="D408" s="3">
        <f t="shared" ca="1" si="21"/>
        <v>2.5474649999999999</v>
      </c>
      <c r="E408" s="2">
        <f ca="1">[1]!b_anal_yield_cnbd(E$1,$B408,1)</f>
        <v>2.5430999999999999</v>
      </c>
      <c r="F408" s="3">
        <f t="shared" ca="1" si="22"/>
        <v>2.5474649999999999</v>
      </c>
      <c r="G408" s="2">
        <f ca="1">[1]!b_anal_yield_cnbd(G$1,$B408,1)</f>
        <v>2.5430999999999999</v>
      </c>
      <c r="H408" s="2">
        <f>[1]!b_anal_yield_cnbd(H$1,$B408,1)</f>
        <v>2.5430999999999999</v>
      </c>
      <c r="I408" s="2">
        <f>[1]!b_anal_yield_cnbd(I$1,$B408,1)</f>
        <v>2.5430999999999999</v>
      </c>
      <c r="J408" s="2">
        <f>[1]!b_anal_yield_cnbd(J$1,$B408,1)</f>
        <v>2.5722</v>
      </c>
    </row>
    <row r="409" spans="2:10" x14ac:dyDescent="0.15">
      <c r="B409" s="1">
        <v>44792</v>
      </c>
      <c r="C409" s="3">
        <f t="shared" ca="1" si="20"/>
        <v>2.5405000000000002</v>
      </c>
      <c r="D409" s="3">
        <f t="shared" ca="1" si="21"/>
        <v>2.543755</v>
      </c>
      <c r="E409" s="2">
        <f ca="1">[1]!b_anal_yield_cnbd(E$1,$B409,1)</f>
        <v>2.5405000000000002</v>
      </c>
      <c r="F409" s="3">
        <f t="shared" ca="1" si="22"/>
        <v>2.543755</v>
      </c>
      <c r="G409" s="2">
        <f ca="1">[1]!b_anal_yield_cnbd(G$1,$B409,1)</f>
        <v>2.5405000000000002</v>
      </c>
      <c r="H409" s="2">
        <f>[1]!b_anal_yield_cnbd(H$1,$B409,1)</f>
        <v>2.5405000000000002</v>
      </c>
      <c r="I409" s="2">
        <f>[1]!b_anal_yield_cnbd(I$1,$B409,1)</f>
        <v>2.5405000000000002</v>
      </c>
      <c r="J409" s="2">
        <f>[1]!b_anal_yield_cnbd(J$1,$B409,1)</f>
        <v>2.5621999999999998</v>
      </c>
    </row>
    <row r="410" spans="2:10" x14ac:dyDescent="0.15">
      <c r="B410" s="1">
        <v>44791</v>
      </c>
      <c r="C410" s="3">
        <f t="shared" ca="1" si="20"/>
        <v>2.5356000000000001</v>
      </c>
      <c r="D410" s="3">
        <f t="shared" ca="1" si="21"/>
        <v>2.5433400000000002</v>
      </c>
      <c r="E410" s="2">
        <f ca="1">[1]!b_anal_yield_cnbd(E$1,$B410,1)</f>
        <v>2.5356000000000001</v>
      </c>
      <c r="F410" s="3">
        <f t="shared" ca="1" si="22"/>
        <v>2.5433400000000002</v>
      </c>
      <c r="G410" s="2">
        <f ca="1">[1]!b_anal_yield_cnbd(G$1,$B410,1)</f>
        <v>2.5356000000000001</v>
      </c>
      <c r="H410" s="2">
        <f>[1]!b_anal_yield_cnbd(H$1,$B410,1)</f>
        <v>2.5356000000000001</v>
      </c>
      <c r="I410" s="2">
        <f>[1]!b_anal_yield_cnbd(I$1,$B410,1)</f>
        <v>2.5356000000000001</v>
      </c>
      <c r="J410" s="2">
        <f>[1]!b_anal_yield_cnbd(J$1,$B410,1)</f>
        <v>2.5872000000000002</v>
      </c>
    </row>
    <row r="411" spans="2:10" x14ac:dyDescent="0.15">
      <c r="B411" s="1">
        <v>44790</v>
      </c>
      <c r="C411" s="3">
        <f t="shared" ca="1" si="20"/>
        <v>2.5554999999999999</v>
      </c>
      <c r="D411" s="3">
        <f t="shared" ca="1" si="21"/>
        <v>2.5610049999999998</v>
      </c>
      <c r="E411" s="2">
        <f ca="1">[1]!b_anal_yield_cnbd(E$1,$B411,1)</f>
        <v>2.5554999999999999</v>
      </c>
      <c r="F411" s="3">
        <f t="shared" ca="1" si="22"/>
        <v>2.5610049999999998</v>
      </c>
      <c r="G411" s="2">
        <f ca="1">[1]!b_anal_yield_cnbd(G$1,$B411,1)</f>
        <v>2.5554999999999999</v>
      </c>
      <c r="H411" s="2">
        <f>[1]!b_anal_yield_cnbd(H$1,$B411,1)</f>
        <v>2.5554999999999999</v>
      </c>
      <c r="I411" s="2">
        <f>[1]!b_anal_yield_cnbd(I$1,$B411,1)</f>
        <v>2.5554999999999999</v>
      </c>
      <c r="J411" s="2">
        <f>[1]!b_anal_yield_cnbd(J$1,$B411,1)</f>
        <v>2.5922000000000001</v>
      </c>
    </row>
    <row r="412" spans="2:10" x14ac:dyDescent="0.15">
      <c r="B412" s="1">
        <v>44789</v>
      </c>
      <c r="C412" s="3">
        <f t="shared" ca="1" si="20"/>
        <v>2.5550999999999999</v>
      </c>
      <c r="D412" s="3">
        <f t="shared" ca="1" si="21"/>
        <v>2.5621349999999996</v>
      </c>
      <c r="E412" s="2">
        <f ca="1">[1]!b_anal_yield_cnbd(E$1,$B412,1)</f>
        <v>2.5550999999999999</v>
      </c>
      <c r="F412" s="3">
        <f t="shared" ca="1" si="22"/>
        <v>2.5621349999999996</v>
      </c>
      <c r="G412" s="2">
        <f ca="1">[1]!b_anal_yield_cnbd(G$1,$B412,1)</f>
        <v>2.5550999999999999</v>
      </c>
      <c r="H412" s="2">
        <f>[1]!b_anal_yield_cnbd(H$1,$B412,1)</f>
        <v>2.5550999999999999</v>
      </c>
      <c r="I412" s="2">
        <f>[1]!b_anal_yield_cnbd(I$1,$B412,1)</f>
        <v>2.5550999999999999</v>
      </c>
      <c r="J412" s="2">
        <f>[1]!b_anal_yield_cnbd(J$1,$B412,1)</f>
        <v>2.6019999999999999</v>
      </c>
    </row>
    <row r="413" spans="2:10" x14ac:dyDescent="0.15">
      <c r="B413" s="1">
        <v>44788</v>
      </c>
      <c r="C413" s="3">
        <f t="shared" ca="1" si="20"/>
        <v>2.5750999999999999</v>
      </c>
      <c r="D413" s="3">
        <f t="shared" ca="1" si="21"/>
        <v>2.5828699999999998</v>
      </c>
      <c r="E413" s="2">
        <f ca="1">[1]!b_anal_yield_cnbd(E$1,$B413,1)</f>
        <v>2.5750999999999999</v>
      </c>
      <c r="F413" s="3">
        <f t="shared" ca="1" si="22"/>
        <v>2.5828699999999998</v>
      </c>
      <c r="G413" s="2">
        <f ca="1">[1]!b_anal_yield_cnbd(G$1,$B413,1)</f>
        <v>2.5750999999999999</v>
      </c>
      <c r="H413" s="2">
        <f>[1]!b_anal_yield_cnbd(H$1,$B413,1)</f>
        <v>2.5750999999999999</v>
      </c>
      <c r="I413" s="2">
        <f>[1]!b_anal_yield_cnbd(I$1,$B413,1)</f>
        <v>2.5750999999999999</v>
      </c>
      <c r="J413" s="2">
        <f>[1]!b_anal_yield_cnbd(J$1,$B413,1)</f>
        <v>2.6269</v>
      </c>
    </row>
    <row r="414" spans="2:10" x14ac:dyDescent="0.15">
      <c r="B414" s="1">
        <v>44785</v>
      </c>
      <c r="C414" s="3">
        <f t="shared" ca="1" si="20"/>
        <v>2.6522999999999999</v>
      </c>
      <c r="D414" s="3">
        <f t="shared" ca="1" si="21"/>
        <v>2.6585849999999995</v>
      </c>
      <c r="E414" s="2">
        <f ca="1">[1]!b_anal_yield_cnbd(E$1,$B414,1)</f>
        <v>2.6522999999999999</v>
      </c>
      <c r="F414" s="3">
        <f t="shared" ca="1" si="22"/>
        <v>2.6585849999999995</v>
      </c>
      <c r="G414" s="2">
        <f ca="1">[1]!b_anal_yield_cnbd(G$1,$B414,1)</f>
        <v>2.6522999999999999</v>
      </c>
      <c r="H414" s="2">
        <f>[1]!b_anal_yield_cnbd(H$1,$B414,1)</f>
        <v>2.6522999999999999</v>
      </c>
      <c r="I414" s="2">
        <f>[1]!b_anal_yield_cnbd(I$1,$B414,1)</f>
        <v>2.6522999999999999</v>
      </c>
      <c r="J414" s="2">
        <f>[1]!b_anal_yield_cnbd(J$1,$B414,1)</f>
        <v>2.6941999999999999</v>
      </c>
    </row>
    <row r="415" spans="2:10" x14ac:dyDescent="0.15">
      <c r="B415" s="1">
        <v>44784</v>
      </c>
      <c r="C415" s="3">
        <f t="shared" ca="1" si="20"/>
        <v>2.6497999999999999</v>
      </c>
      <c r="D415" s="3">
        <f t="shared" ca="1" si="21"/>
        <v>2.6560849999999996</v>
      </c>
      <c r="E415" s="2">
        <f ca="1">[1]!b_anal_yield_cnbd(E$1,$B415,1)</f>
        <v>2.6497999999999999</v>
      </c>
      <c r="F415" s="3">
        <f t="shared" ca="1" si="22"/>
        <v>2.6560849999999996</v>
      </c>
      <c r="G415" s="2">
        <f ca="1">[1]!b_anal_yield_cnbd(G$1,$B415,1)</f>
        <v>2.6497999999999999</v>
      </c>
      <c r="H415" s="2">
        <f>[1]!b_anal_yield_cnbd(H$1,$B415,1)</f>
        <v>2.6497999999999999</v>
      </c>
      <c r="I415" s="2">
        <f>[1]!b_anal_yield_cnbd(I$1,$B415,1)</f>
        <v>2.6497999999999999</v>
      </c>
      <c r="J415" s="2">
        <f>[1]!b_anal_yield_cnbd(J$1,$B415,1)</f>
        <v>2.6917</v>
      </c>
    </row>
    <row r="416" spans="2:10" x14ac:dyDescent="0.15">
      <c r="B416" s="1">
        <v>44783</v>
      </c>
      <c r="C416" s="3">
        <f t="shared" ca="1" si="20"/>
        <v>2.6444000000000001</v>
      </c>
      <c r="D416" s="3">
        <f t="shared" ca="1" si="21"/>
        <v>2.6522150000000004</v>
      </c>
      <c r="E416" s="2">
        <f ca="1">[1]!b_anal_yield_cnbd(E$1,$B416,1)</f>
        <v>2.6444000000000001</v>
      </c>
      <c r="F416" s="3">
        <f t="shared" ca="1" si="22"/>
        <v>2.6522150000000004</v>
      </c>
      <c r="G416" s="2">
        <f ca="1">[1]!b_anal_yield_cnbd(G$1,$B416,1)</f>
        <v>2.6444000000000001</v>
      </c>
      <c r="H416" s="2">
        <f>[1]!b_anal_yield_cnbd(H$1,$B416,1)</f>
        <v>2.6444000000000001</v>
      </c>
      <c r="I416" s="2">
        <f>[1]!b_anal_yield_cnbd(I$1,$B416,1)</f>
        <v>2.6444000000000001</v>
      </c>
      <c r="J416" s="2">
        <f>[1]!b_anal_yield_cnbd(J$1,$B416,1)</f>
        <v>2.6964999999999999</v>
      </c>
    </row>
    <row r="417" spans="2:10" x14ac:dyDescent="0.15">
      <c r="B417" s="1">
        <v>44782</v>
      </c>
      <c r="C417" s="3">
        <f t="shared" ca="1" si="20"/>
        <v>2.6547999999999998</v>
      </c>
      <c r="D417" s="3">
        <f t="shared" ca="1" si="21"/>
        <v>2.6603349999999995</v>
      </c>
      <c r="E417" s="2">
        <f ca="1">[1]!b_anal_yield_cnbd(E$1,$B417,1)</f>
        <v>2.6547999999999998</v>
      </c>
      <c r="F417" s="3">
        <f t="shared" ca="1" si="22"/>
        <v>2.6603349999999995</v>
      </c>
      <c r="G417" s="2">
        <f ca="1">[1]!b_anal_yield_cnbd(G$1,$B417,1)</f>
        <v>2.6547999999999998</v>
      </c>
      <c r="H417" s="2">
        <f>[1]!b_anal_yield_cnbd(H$1,$B417,1)</f>
        <v>2.6547999999999998</v>
      </c>
      <c r="I417" s="2">
        <f>[1]!b_anal_yield_cnbd(I$1,$B417,1)</f>
        <v>2.6547999999999998</v>
      </c>
      <c r="J417" s="2">
        <f>[1]!b_anal_yield_cnbd(J$1,$B417,1)</f>
        <v>2.6917</v>
      </c>
    </row>
    <row r="418" spans="2:10" x14ac:dyDescent="0.15">
      <c r="B418" s="1">
        <v>44781</v>
      </c>
      <c r="C418" s="3">
        <f t="shared" ca="1" si="20"/>
        <v>2.6448</v>
      </c>
      <c r="D418" s="3">
        <f t="shared" ca="1" si="21"/>
        <v>2.6510850000000001</v>
      </c>
      <c r="E418" s="2">
        <f ca="1">[1]!b_anal_yield_cnbd(E$1,$B418,1)</f>
        <v>2.6448</v>
      </c>
      <c r="F418" s="3">
        <f t="shared" ca="1" si="22"/>
        <v>2.6510850000000001</v>
      </c>
      <c r="G418" s="2">
        <f ca="1">[1]!b_anal_yield_cnbd(G$1,$B418,1)</f>
        <v>2.6448</v>
      </c>
      <c r="H418" s="2">
        <f>[1]!b_anal_yield_cnbd(H$1,$B418,1)</f>
        <v>2.6448</v>
      </c>
      <c r="I418" s="2">
        <f>[1]!b_anal_yield_cnbd(I$1,$B418,1)</f>
        <v>2.6448</v>
      </c>
      <c r="J418" s="2">
        <f>[1]!b_anal_yield_cnbd(J$1,$B418,1)</f>
        <v>2.6867000000000001</v>
      </c>
    </row>
    <row r="419" spans="2:10" x14ac:dyDescent="0.15">
      <c r="B419" s="1">
        <v>44778</v>
      </c>
      <c r="C419" s="3">
        <f t="shared" ca="1" si="20"/>
        <v>2.6448</v>
      </c>
      <c r="D419" s="3">
        <f t="shared" ca="1" si="21"/>
        <v>2.6503350000000001</v>
      </c>
      <c r="E419" s="2">
        <f ca="1">[1]!b_anal_yield_cnbd(E$1,$B419,1)</f>
        <v>2.6448</v>
      </c>
      <c r="F419" s="3">
        <f t="shared" ca="1" si="22"/>
        <v>2.6503350000000001</v>
      </c>
      <c r="G419" s="2">
        <f ca="1">[1]!b_anal_yield_cnbd(G$1,$B419,1)</f>
        <v>2.6448</v>
      </c>
      <c r="H419" s="2">
        <f>[1]!b_anal_yield_cnbd(H$1,$B419,1)</f>
        <v>2.6448</v>
      </c>
      <c r="I419" s="2">
        <f>[1]!b_anal_yield_cnbd(I$1,$B419,1)</f>
        <v>2.6448</v>
      </c>
      <c r="J419" s="2">
        <f>[1]!b_anal_yield_cnbd(J$1,$B419,1)</f>
        <v>2.6817000000000002</v>
      </c>
    </row>
    <row r="420" spans="2:10" x14ac:dyDescent="0.15">
      <c r="B420" s="1">
        <v>44777</v>
      </c>
      <c r="C420" s="3">
        <f t="shared" ca="1" si="20"/>
        <v>2.6248</v>
      </c>
      <c r="D420" s="3">
        <f t="shared" ca="1" si="21"/>
        <v>2.6310850000000001</v>
      </c>
      <c r="E420" s="2">
        <f ca="1">[1]!b_anal_yield_cnbd(E$1,$B420,1)</f>
        <v>2.6248</v>
      </c>
      <c r="F420" s="3">
        <f t="shared" ca="1" si="22"/>
        <v>2.6310850000000001</v>
      </c>
      <c r="G420" s="2">
        <f ca="1">[1]!b_anal_yield_cnbd(G$1,$B420,1)</f>
        <v>2.6248</v>
      </c>
      <c r="H420" s="2">
        <f>[1]!b_anal_yield_cnbd(H$1,$B420,1)</f>
        <v>2.6248</v>
      </c>
      <c r="I420" s="2">
        <f>[1]!b_anal_yield_cnbd(I$1,$B420,1)</f>
        <v>2.6248</v>
      </c>
      <c r="J420" s="2">
        <f>[1]!b_anal_yield_cnbd(J$1,$B420,1)</f>
        <v>2.6667000000000001</v>
      </c>
    </row>
    <row r="421" spans="2:10" x14ac:dyDescent="0.15">
      <c r="B421" s="1">
        <v>44776</v>
      </c>
      <c r="C421" s="3">
        <f t="shared" ca="1" si="20"/>
        <v>2.6297999999999999</v>
      </c>
      <c r="D421" s="3">
        <f t="shared" ca="1" si="21"/>
        <v>2.6364749999999999</v>
      </c>
      <c r="E421" s="2">
        <f ca="1">[1]!b_anal_yield_cnbd(E$1,$B421,1)</f>
        <v>2.6297999999999999</v>
      </c>
      <c r="F421" s="3">
        <f t="shared" ca="1" si="22"/>
        <v>2.6364749999999999</v>
      </c>
      <c r="G421" s="2">
        <f ca="1">[1]!b_anal_yield_cnbd(G$1,$B421,1)</f>
        <v>2.6297999999999999</v>
      </c>
      <c r="H421" s="2">
        <f>[1]!b_anal_yield_cnbd(H$1,$B421,1)</f>
        <v>2.6297999999999999</v>
      </c>
      <c r="I421" s="2">
        <f>[1]!b_anal_yield_cnbd(I$1,$B421,1)</f>
        <v>2.6297999999999999</v>
      </c>
      <c r="J421" s="2">
        <f>[1]!b_anal_yield_cnbd(J$1,$B421,1)</f>
        <v>2.6743000000000001</v>
      </c>
    </row>
    <row r="422" spans="2:10" x14ac:dyDescent="0.15">
      <c r="B422" s="1">
        <v>44775</v>
      </c>
      <c r="C422" s="3">
        <f t="shared" ca="1" si="20"/>
        <v>2.6497000000000002</v>
      </c>
      <c r="D422" s="3">
        <f t="shared" ca="1" si="21"/>
        <v>2.6563749999999997</v>
      </c>
      <c r="E422" s="2">
        <f ca="1">[1]!b_anal_yield_cnbd(E$1,$B422,1)</f>
        <v>2.6497000000000002</v>
      </c>
      <c r="F422" s="3">
        <f t="shared" ca="1" si="22"/>
        <v>2.6563749999999997</v>
      </c>
      <c r="G422" s="2">
        <f ca="1">[1]!b_anal_yield_cnbd(G$1,$B422,1)</f>
        <v>2.6497000000000002</v>
      </c>
      <c r="H422" s="2">
        <f>[1]!b_anal_yield_cnbd(H$1,$B422,1)</f>
        <v>2.6497000000000002</v>
      </c>
      <c r="I422" s="2">
        <f>[1]!b_anal_yield_cnbd(I$1,$B422,1)</f>
        <v>2.6497000000000002</v>
      </c>
      <c r="J422" s="2">
        <f>[1]!b_anal_yield_cnbd(J$1,$B422,1)</f>
        <v>2.6941999999999999</v>
      </c>
    </row>
    <row r="423" spans="2:10" x14ac:dyDescent="0.15">
      <c r="B423" s="1">
        <v>44774</v>
      </c>
      <c r="C423" s="3">
        <f t="shared" ca="1" si="20"/>
        <v>2.6497000000000002</v>
      </c>
      <c r="D423" s="3">
        <f t="shared" ca="1" si="21"/>
        <v>2.6567349999999998</v>
      </c>
      <c r="E423" s="2">
        <f ca="1">[1]!b_anal_yield_cnbd(E$1,$B423,1)</f>
        <v>2.6497000000000002</v>
      </c>
      <c r="F423" s="3">
        <f t="shared" ca="1" si="22"/>
        <v>2.6567349999999998</v>
      </c>
      <c r="G423" s="2">
        <f ca="1">[1]!b_anal_yield_cnbd(G$1,$B423,1)</f>
        <v>2.6497000000000002</v>
      </c>
      <c r="H423" s="2">
        <f>[1]!b_anal_yield_cnbd(H$1,$B423,1)</f>
        <v>2.6497000000000002</v>
      </c>
      <c r="I423" s="2">
        <f>[1]!b_anal_yield_cnbd(I$1,$B423,1)</f>
        <v>2.6497000000000002</v>
      </c>
      <c r="J423" s="2">
        <f>[1]!b_anal_yield_cnbd(J$1,$B423,1)</f>
        <v>2.6966000000000001</v>
      </c>
    </row>
    <row r="424" spans="2:10" x14ac:dyDescent="0.15">
      <c r="B424" s="1">
        <v>44771</v>
      </c>
      <c r="C424" s="3">
        <f t="shared" ca="1" si="20"/>
        <v>2.6696</v>
      </c>
      <c r="D424" s="3">
        <f t="shared" ca="1" si="21"/>
        <v>2.67665</v>
      </c>
      <c r="E424" s="2">
        <f ca="1">[1]!b_anal_yield_cnbd(E$1,$B424,1)</f>
        <v>2.6696</v>
      </c>
      <c r="F424" s="3">
        <f t="shared" ca="1" si="22"/>
        <v>2.67665</v>
      </c>
      <c r="G424" s="2">
        <f ca="1">[1]!b_anal_yield_cnbd(G$1,$B424,1)</f>
        <v>2.6696</v>
      </c>
      <c r="H424" s="2">
        <f>[1]!b_anal_yield_cnbd(H$1,$B424,1)</f>
        <v>2.6696</v>
      </c>
      <c r="I424" s="2">
        <f>[1]!b_anal_yield_cnbd(I$1,$B424,1)</f>
        <v>2.6696</v>
      </c>
      <c r="J424" s="2">
        <f>[1]!b_anal_yield_cnbd(J$1,$B424,1)</f>
        <v>2.7166000000000001</v>
      </c>
    </row>
    <row r="425" spans="2:10" x14ac:dyDescent="0.15">
      <c r="B425" s="1">
        <v>44770</v>
      </c>
      <c r="C425" s="3">
        <f t="shared" ca="1" si="20"/>
        <v>2.7044999999999999</v>
      </c>
      <c r="D425" s="3">
        <f t="shared" ca="1" si="21"/>
        <v>2.7115499999999999</v>
      </c>
      <c r="E425" s="2">
        <f ca="1">[1]!b_anal_yield_cnbd(E$1,$B425,1)</f>
        <v>2.7044999999999999</v>
      </c>
      <c r="F425" s="3">
        <f t="shared" ca="1" si="22"/>
        <v>2.7115499999999999</v>
      </c>
      <c r="G425" s="2">
        <f ca="1">[1]!b_anal_yield_cnbd(G$1,$B425,1)</f>
        <v>2.7044999999999999</v>
      </c>
      <c r="H425" s="2">
        <f>[1]!b_anal_yield_cnbd(H$1,$B425,1)</f>
        <v>2.7044999999999999</v>
      </c>
      <c r="I425" s="2">
        <f>[1]!b_anal_yield_cnbd(I$1,$B425,1)</f>
        <v>2.7044999999999999</v>
      </c>
      <c r="J425" s="2">
        <f>[1]!b_anal_yield_cnbd(J$1,$B425,1)</f>
        <v>2.7515000000000001</v>
      </c>
    </row>
    <row r="426" spans="2:10" x14ac:dyDescent="0.15">
      <c r="B426" s="1">
        <v>44769</v>
      </c>
      <c r="C426" s="3">
        <f t="shared" ca="1" si="20"/>
        <v>2.6796000000000002</v>
      </c>
      <c r="D426" s="3">
        <f t="shared" ca="1" si="21"/>
        <v>2.6870250000000002</v>
      </c>
      <c r="E426" s="2">
        <f ca="1">[1]!b_anal_yield_cnbd(E$1,$B426,1)</f>
        <v>2.6796000000000002</v>
      </c>
      <c r="F426" s="3">
        <f t="shared" ca="1" si="22"/>
        <v>2.6870250000000002</v>
      </c>
      <c r="G426" s="2">
        <f ca="1">[1]!b_anal_yield_cnbd(G$1,$B426,1)</f>
        <v>2.6796000000000002</v>
      </c>
      <c r="H426" s="2">
        <f>[1]!b_anal_yield_cnbd(H$1,$B426,1)</f>
        <v>2.6796000000000002</v>
      </c>
      <c r="I426" s="2">
        <f>[1]!b_anal_yield_cnbd(I$1,$B426,1)</f>
        <v>2.6796000000000002</v>
      </c>
      <c r="J426" s="2">
        <f>[1]!b_anal_yield_cnbd(J$1,$B426,1)</f>
        <v>2.7290999999999999</v>
      </c>
    </row>
    <row r="427" spans="2:10" x14ac:dyDescent="0.15">
      <c r="B427" s="1">
        <v>44768</v>
      </c>
      <c r="C427" s="3">
        <f t="shared" ca="1" si="20"/>
        <v>2.6737000000000002</v>
      </c>
      <c r="D427" s="3">
        <f t="shared" ca="1" si="21"/>
        <v>2.6819800000000003</v>
      </c>
      <c r="E427" s="2">
        <f ca="1">[1]!b_anal_yield_cnbd(E$1,$B427,1)</f>
        <v>2.6737000000000002</v>
      </c>
      <c r="F427" s="3">
        <f t="shared" ca="1" si="22"/>
        <v>2.6819800000000003</v>
      </c>
      <c r="G427" s="2">
        <f ca="1">[1]!b_anal_yield_cnbd(G$1,$B427,1)</f>
        <v>2.6737000000000002</v>
      </c>
      <c r="H427" s="2">
        <f>[1]!b_anal_yield_cnbd(H$1,$B427,1)</f>
        <v>2.6737000000000002</v>
      </c>
      <c r="I427" s="2">
        <f>[1]!b_anal_yield_cnbd(I$1,$B427,1)</f>
        <v>2.6737000000000002</v>
      </c>
      <c r="J427" s="2">
        <f>[1]!b_anal_yield_cnbd(J$1,$B427,1)</f>
        <v>2.7288999999999999</v>
      </c>
    </row>
    <row r="428" spans="2:10" x14ac:dyDescent="0.15">
      <c r="B428" s="1">
        <v>44767</v>
      </c>
      <c r="C428" s="3">
        <f t="shared" ca="1" si="20"/>
        <v>2.6886999999999999</v>
      </c>
      <c r="D428" s="3">
        <f t="shared" ca="1" si="21"/>
        <v>2.6966049999999999</v>
      </c>
      <c r="E428" s="2">
        <f ca="1">[1]!b_anal_yield_cnbd(E$1,$B428,1)</f>
        <v>2.6886999999999999</v>
      </c>
      <c r="F428" s="3">
        <f t="shared" ca="1" si="22"/>
        <v>2.6966049999999999</v>
      </c>
      <c r="G428" s="2">
        <f ca="1">[1]!b_anal_yield_cnbd(G$1,$B428,1)</f>
        <v>2.6886999999999999</v>
      </c>
      <c r="H428" s="2">
        <f>[1]!b_anal_yield_cnbd(H$1,$B428,1)</f>
        <v>2.6886999999999999</v>
      </c>
      <c r="I428" s="2">
        <f>[1]!b_anal_yield_cnbd(I$1,$B428,1)</f>
        <v>2.6886999999999999</v>
      </c>
      <c r="J428" s="2">
        <f>[1]!b_anal_yield_cnbd(J$1,$B428,1)</f>
        <v>2.7414000000000001</v>
      </c>
    </row>
    <row r="429" spans="2:10" x14ac:dyDescent="0.15">
      <c r="B429" s="1">
        <v>44764</v>
      </c>
      <c r="C429" s="3">
        <f t="shared" ca="1" si="20"/>
        <v>2.6937000000000002</v>
      </c>
      <c r="D429" s="3">
        <f t="shared" ca="1" si="21"/>
        <v>2.7004950000000001</v>
      </c>
      <c r="E429" s="2">
        <f ca="1">[1]!b_anal_yield_cnbd(E$1,$B429,1)</f>
        <v>2.6937000000000002</v>
      </c>
      <c r="F429" s="3">
        <f t="shared" ca="1" si="22"/>
        <v>2.7004950000000001</v>
      </c>
      <c r="G429" s="2">
        <f ca="1">[1]!b_anal_yield_cnbd(G$1,$B429,1)</f>
        <v>2.6937000000000002</v>
      </c>
      <c r="H429" s="2">
        <f>[1]!b_anal_yield_cnbd(H$1,$B429,1)</f>
        <v>2.6937000000000002</v>
      </c>
      <c r="I429" s="2">
        <f>[1]!b_anal_yield_cnbd(I$1,$B429,1)</f>
        <v>2.6937000000000002</v>
      </c>
      <c r="J429" s="2">
        <f>[1]!b_anal_yield_cnbd(J$1,$B429,1)</f>
        <v>2.7389999999999999</v>
      </c>
    </row>
    <row r="430" spans="2:10" x14ac:dyDescent="0.15">
      <c r="B430" s="1">
        <v>44763</v>
      </c>
      <c r="C430" s="3">
        <f t="shared" ca="1" si="20"/>
        <v>2.6861999999999999</v>
      </c>
      <c r="D430" s="3">
        <f t="shared" ca="1" si="21"/>
        <v>2.6926049999999999</v>
      </c>
      <c r="E430" s="2">
        <f ca="1">[1]!b_anal_yield_cnbd(E$1,$B430,1)</f>
        <v>2.6861999999999999</v>
      </c>
      <c r="F430" s="3">
        <f t="shared" ca="1" si="22"/>
        <v>2.6926049999999999</v>
      </c>
      <c r="G430" s="2">
        <f ca="1">[1]!b_anal_yield_cnbd(G$1,$B430,1)</f>
        <v>2.6861999999999999</v>
      </c>
      <c r="H430" s="2">
        <f>[1]!b_anal_yield_cnbd(H$1,$B430,1)</f>
        <v>2.6861999999999999</v>
      </c>
      <c r="I430" s="2">
        <f>[1]!b_anal_yield_cnbd(I$1,$B430,1)</f>
        <v>2.6861999999999999</v>
      </c>
      <c r="J430" s="2">
        <f>[1]!b_anal_yield_cnbd(J$1,$B430,1)</f>
        <v>2.7288999999999999</v>
      </c>
    </row>
    <row r="431" spans="2:10" x14ac:dyDescent="0.15">
      <c r="B431" s="1">
        <v>44762</v>
      </c>
      <c r="C431" s="3">
        <f t="shared" ca="1" si="20"/>
        <v>2.6987999999999999</v>
      </c>
      <c r="D431" s="3">
        <f t="shared" ca="1" si="21"/>
        <v>2.7037049999999998</v>
      </c>
      <c r="E431" s="2">
        <f ca="1">[1]!b_anal_yield_cnbd(E$1,$B431,1)</f>
        <v>2.6987999999999999</v>
      </c>
      <c r="F431" s="3">
        <f t="shared" ca="1" si="22"/>
        <v>2.7037049999999998</v>
      </c>
      <c r="G431" s="2">
        <f ca="1">[1]!b_anal_yield_cnbd(G$1,$B431,1)</f>
        <v>2.6987999999999999</v>
      </c>
      <c r="H431" s="2">
        <f>[1]!b_anal_yield_cnbd(H$1,$B431,1)</f>
        <v>2.6987999999999999</v>
      </c>
      <c r="I431" s="2">
        <f>[1]!b_anal_yield_cnbd(I$1,$B431,1)</f>
        <v>2.6987999999999999</v>
      </c>
      <c r="J431" s="2">
        <f>[1]!b_anal_yield_cnbd(J$1,$B431,1)</f>
        <v>2.7315</v>
      </c>
    </row>
    <row r="432" spans="2:10" x14ac:dyDescent="0.15">
      <c r="B432" s="1">
        <v>44761</v>
      </c>
      <c r="C432" s="3">
        <f t="shared" ca="1" si="20"/>
        <v>2.7195999999999998</v>
      </c>
      <c r="D432" s="3">
        <f t="shared" ca="1" si="21"/>
        <v>2.72437</v>
      </c>
      <c r="E432" s="2">
        <f ca="1">[1]!b_anal_yield_cnbd(E$1,$B432,1)</f>
        <v>2.7195999999999998</v>
      </c>
      <c r="F432" s="3">
        <f t="shared" ca="1" si="22"/>
        <v>2.72437</v>
      </c>
      <c r="G432" s="2">
        <f ca="1">[1]!b_anal_yield_cnbd(G$1,$B432,1)</f>
        <v>2.7195999999999998</v>
      </c>
      <c r="H432" s="2">
        <f>[1]!b_anal_yield_cnbd(H$1,$B432,1)</f>
        <v>2.7195999999999998</v>
      </c>
      <c r="I432" s="2">
        <f>[1]!b_anal_yield_cnbd(I$1,$B432,1)</f>
        <v>2.7195999999999998</v>
      </c>
      <c r="J432" s="2">
        <f>[1]!b_anal_yield_cnbd(J$1,$B432,1)</f>
        <v>2.7513999999999998</v>
      </c>
    </row>
    <row r="433" spans="2:10" x14ac:dyDescent="0.15">
      <c r="B433" s="1">
        <v>44760</v>
      </c>
      <c r="C433" s="3">
        <f t="shared" ca="1" si="20"/>
        <v>2.7212000000000001</v>
      </c>
      <c r="D433" s="3">
        <f t="shared" ca="1" si="21"/>
        <v>2.72573</v>
      </c>
      <c r="E433" s="2">
        <f ca="1">[1]!b_anal_yield_cnbd(E$1,$B433,1)</f>
        <v>2.7212000000000001</v>
      </c>
      <c r="F433" s="3">
        <f t="shared" ca="1" si="22"/>
        <v>2.72573</v>
      </c>
      <c r="G433" s="2">
        <f ca="1">[1]!b_anal_yield_cnbd(G$1,$B433,1)</f>
        <v>2.7212000000000001</v>
      </c>
      <c r="H433" s="2">
        <f>[1]!b_anal_yield_cnbd(H$1,$B433,1)</f>
        <v>2.7212000000000001</v>
      </c>
      <c r="I433" s="2">
        <f>[1]!b_anal_yield_cnbd(I$1,$B433,1)</f>
        <v>2.7212000000000001</v>
      </c>
      <c r="J433" s="2">
        <f>[1]!b_anal_yield_cnbd(J$1,$B433,1)</f>
        <v>2.7513999999999998</v>
      </c>
    </row>
    <row r="434" spans="2:10" x14ac:dyDescent="0.15">
      <c r="B434" s="1">
        <v>44757</v>
      </c>
      <c r="C434" s="3">
        <f t="shared" ca="1" si="20"/>
        <v>2.7244999999999999</v>
      </c>
      <c r="D434" s="3">
        <f t="shared" ca="1" si="21"/>
        <v>2.7289699999999999</v>
      </c>
      <c r="E434" s="2">
        <f ca="1">[1]!b_anal_yield_cnbd(E$1,$B434,1)</f>
        <v>2.7244999999999999</v>
      </c>
      <c r="F434" s="3">
        <f t="shared" ca="1" si="22"/>
        <v>2.7289699999999999</v>
      </c>
      <c r="G434" s="2">
        <f ca="1">[1]!b_anal_yield_cnbd(G$1,$B434,1)</f>
        <v>2.7244999999999999</v>
      </c>
      <c r="H434" s="2">
        <f>[1]!b_anal_yield_cnbd(H$1,$B434,1)</f>
        <v>2.7244999999999999</v>
      </c>
      <c r="I434" s="2">
        <f>[1]!b_anal_yield_cnbd(I$1,$B434,1)</f>
        <v>2.7244999999999999</v>
      </c>
      <c r="J434" s="2">
        <f>[1]!b_anal_yield_cnbd(J$1,$B434,1)</f>
        <v>2.7543000000000002</v>
      </c>
    </row>
    <row r="435" spans="2:10" x14ac:dyDescent="0.15">
      <c r="B435" s="1">
        <v>44756</v>
      </c>
      <c r="C435" s="3">
        <f t="shared" ca="1" si="20"/>
        <v>2.7336</v>
      </c>
      <c r="D435" s="3">
        <f t="shared" ca="1" si="21"/>
        <v>2.7373950000000002</v>
      </c>
      <c r="E435" s="2">
        <f ca="1">[1]!b_anal_yield_cnbd(E$1,$B435,1)</f>
        <v>2.7336</v>
      </c>
      <c r="F435" s="3">
        <f t="shared" ca="1" si="22"/>
        <v>2.7373950000000002</v>
      </c>
      <c r="G435" s="2">
        <f ca="1">[1]!b_anal_yield_cnbd(G$1,$B435,1)</f>
        <v>2.7336</v>
      </c>
      <c r="H435" s="2">
        <f>[1]!b_anal_yield_cnbd(H$1,$B435,1)</f>
        <v>2.7336</v>
      </c>
      <c r="I435" s="2">
        <f>[1]!b_anal_yield_cnbd(I$1,$B435,1)</f>
        <v>2.7336</v>
      </c>
      <c r="J435" s="2">
        <f>[1]!b_anal_yield_cnbd(J$1,$B435,1)</f>
        <v>2.7589000000000001</v>
      </c>
    </row>
    <row r="436" spans="2:10" x14ac:dyDescent="0.15">
      <c r="B436" s="1">
        <v>44755</v>
      </c>
      <c r="C436" s="3">
        <f t="shared" ca="1" si="20"/>
        <v>2.7631000000000001</v>
      </c>
      <c r="D436" s="3">
        <f t="shared" ca="1" si="21"/>
        <v>2.7652600000000001</v>
      </c>
      <c r="E436" s="2">
        <f ca="1">[1]!b_anal_yield_cnbd(E$1,$B436,1)</f>
        <v>2.7631000000000001</v>
      </c>
      <c r="F436" s="3">
        <f t="shared" ca="1" si="22"/>
        <v>2.7652600000000001</v>
      </c>
      <c r="G436" s="2">
        <f ca="1">[1]!b_anal_yield_cnbd(G$1,$B436,1)</f>
        <v>2.7631000000000001</v>
      </c>
      <c r="H436" s="2">
        <f>[1]!b_anal_yield_cnbd(H$1,$B436,1)</f>
        <v>2.7631000000000001</v>
      </c>
      <c r="I436" s="2">
        <f>[1]!b_anal_yield_cnbd(I$1,$B436,1)</f>
        <v>2.7631000000000001</v>
      </c>
      <c r="J436" s="2">
        <f>[1]!b_anal_yield_cnbd(J$1,$B436,1)</f>
        <v>2.7774999999999999</v>
      </c>
    </row>
    <row r="437" spans="2:10" x14ac:dyDescent="0.15">
      <c r="B437" s="1">
        <v>44754</v>
      </c>
      <c r="C437" s="3">
        <f t="shared" ca="1" si="20"/>
        <v>2.7747999999999999</v>
      </c>
      <c r="D437" s="3">
        <f t="shared" ca="1" si="21"/>
        <v>2.7766449999999998</v>
      </c>
      <c r="E437" s="2">
        <f ca="1">[1]!b_anal_yield_cnbd(E$1,$B437,1)</f>
        <v>2.7747999999999999</v>
      </c>
      <c r="F437" s="3">
        <f t="shared" ca="1" si="22"/>
        <v>2.7766449999999998</v>
      </c>
      <c r="G437" s="2">
        <f ca="1">[1]!b_anal_yield_cnbd(G$1,$B437,1)</f>
        <v>2.7747999999999999</v>
      </c>
      <c r="H437" s="2">
        <f>[1]!b_anal_yield_cnbd(H$1,$B437,1)</f>
        <v>2.7747999999999999</v>
      </c>
      <c r="I437" s="2">
        <f>[1]!b_anal_yield_cnbd(I$1,$B437,1)</f>
        <v>2.7747999999999999</v>
      </c>
      <c r="J437" s="2">
        <f>[1]!b_anal_yield_cnbd(J$1,$B437,1)</f>
        <v>2.7871000000000001</v>
      </c>
    </row>
    <row r="438" spans="2:10" x14ac:dyDescent="0.15">
      <c r="B438" s="1">
        <v>44753</v>
      </c>
      <c r="C438" s="3">
        <f t="shared" ca="1" si="20"/>
        <v>2.7856000000000001</v>
      </c>
      <c r="D438" s="3">
        <f t="shared" ca="1" si="21"/>
        <v>2.7890950000000001</v>
      </c>
      <c r="E438" s="2">
        <f ca="1">[1]!b_anal_yield_cnbd(E$1,$B438,1)</f>
        <v>2.7856000000000001</v>
      </c>
      <c r="F438" s="3">
        <f t="shared" ca="1" si="22"/>
        <v>2.7890950000000001</v>
      </c>
      <c r="G438" s="2">
        <f ca="1">[1]!b_anal_yield_cnbd(G$1,$B438,1)</f>
        <v>2.7856000000000001</v>
      </c>
      <c r="H438" s="2">
        <f>[1]!b_anal_yield_cnbd(H$1,$B438,1)</f>
        <v>2.7856000000000001</v>
      </c>
      <c r="I438" s="2">
        <f>[1]!b_anal_yield_cnbd(I$1,$B438,1)</f>
        <v>2.7856000000000001</v>
      </c>
      <c r="J438" s="2">
        <f>[1]!b_anal_yield_cnbd(J$1,$B438,1)</f>
        <v>2.8089</v>
      </c>
    </row>
    <row r="439" spans="2:10" x14ac:dyDescent="0.15">
      <c r="B439" s="1">
        <v>44750</v>
      </c>
      <c r="C439" s="3">
        <f t="shared" ca="1" si="20"/>
        <v>2.8066</v>
      </c>
      <c r="D439" s="3">
        <f t="shared" ca="1" si="21"/>
        <v>2.8092699999999997</v>
      </c>
      <c r="E439" s="2">
        <f ca="1">[1]!b_anal_yield_cnbd(E$1,$B439,1)</f>
        <v>2.8066</v>
      </c>
      <c r="F439" s="3">
        <f t="shared" ca="1" si="22"/>
        <v>2.8092699999999997</v>
      </c>
      <c r="G439" s="2">
        <f ca="1">[1]!b_anal_yield_cnbd(G$1,$B439,1)</f>
        <v>2.8066</v>
      </c>
      <c r="H439" s="2">
        <f>[1]!b_anal_yield_cnbd(H$1,$B439,1)</f>
        <v>2.8066</v>
      </c>
      <c r="I439" s="2">
        <f>[1]!b_anal_yield_cnbd(I$1,$B439,1)</f>
        <v>2.8066</v>
      </c>
      <c r="J439" s="2">
        <f>[1]!b_anal_yield_cnbd(J$1,$B439,1)</f>
        <v>2.8243999999999998</v>
      </c>
    </row>
    <row r="440" spans="2:10" x14ac:dyDescent="0.15">
      <c r="B440" s="1">
        <v>44749</v>
      </c>
      <c r="C440" s="3">
        <f t="shared" ca="1" si="20"/>
        <v>2.8069999999999999</v>
      </c>
      <c r="D440" s="3">
        <f t="shared" ca="1" si="21"/>
        <v>2.8096999999999999</v>
      </c>
      <c r="E440" s="2">
        <f ca="1">[1]!b_anal_yield_cnbd(E$1,$B440,1)</f>
        <v>2.8069999999999999</v>
      </c>
      <c r="F440" s="3">
        <f t="shared" ca="1" si="22"/>
        <v>2.8096999999999999</v>
      </c>
      <c r="G440" s="2">
        <f ca="1">[1]!b_anal_yield_cnbd(G$1,$B440,1)</f>
        <v>2.8069999999999999</v>
      </c>
      <c r="H440" s="2">
        <f>[1]!b_anal_yield_cnbd(H$1,$B440,1)</f>
        <v>2.8069999999999999</v>
      </c>
      <c r="I440" s="2">
        <f>[1]!b_anal_yield_cnbd(I$1,$B440,1)</f>
        <v>2.8069999999999999</v>
      </c>
      <c r="J440" s="2">
        <f>[1]!b_anal_yield_cnbd(J$1,$B440,1)</f>
        <v>2.8250000000000002</v>
      </c>
    </row>
    <row r="441" spans="2:10" x14ac:dyDescent="0.15">
      <c r="B441" s="1">
        <v>44748</v>
      </c>
      <c r="C441" s="3">
        <f t="shared" ca="1" si="20"/>
        <v>2.8125</v>
      </c>
      <c r="D441" s="3">
        <f t="shared" ca="1" si="21"/>
        <v>2.8147500000000001</v>
      </c>
      <c r="E441" s="2">
        <f ca="1">[1]!b_anal_yield_cnbd(E$1,$B441,1)</f>
        <v>2.8125</v>
      </c>
      <c r="F441" s="3">
        <f t="shared" ca="1" si="22"/>
        <v>2.8147500000000001</v>
      </c>
      <c r="G441" s="2">
        <f ca="1">[1]!b_anal_yield_cnbd(G$1,$B441,1)</f>
        <v>2.8125</v>
      </c>
      <c r="H441" s="2">
        <f>[1]!b_anal_yield_cnbd(H$1,$B441,1)</f>
        <v>2.8125</v>
      </c>
      <c r="I441" s="2">
        <f>[1]!b_anal_yield_cnbd(I$1,$B441,1)</f>
        <v>2.8125</v>
      </c>
      <c r="J441" s="2">
        <f>[1]!b_anal_yield_cnbd(J$1,$B441,1)</f>
        <v>2.8275000000000001</v>
      </c>
    </row>
    <row r="442" spans="2:10" x14ac:dyDescent="0.15">
      <c r="B442" s="1">
        <v>44747</v>
      </c>
      <c r="C442" s="3">
        <f t="shared" ca="1" si="20"/>
        <v>2.8224</v>
      </c>
      <c r="D442" s="3">
        <f t="shared" ca="1" si="21"/>
        <v>2.8250400000000004</v>
      </c>
      <c r="E442" s="2">
        <f ca="1">[1]!b_anal_yield_cnbd(E$1,$B442,1)</f>
        <v>2.8224</v>
      </c>
      <c r="F442" s="3">
        <f t="shared" ca="1" si="22"/>
        <v>2.8250400000000004</v>
      </c>
      <c r="G442" s="2">
        <f ca="1">[1]!b_anal_yield_cnbd(G$1,$B442,1)</f>
        <v>2.8224</v>
      </c>
      <c r="H442" s="2">
        <f>[1]!b_anal_yield_cnbd(H$1,$B442,1)</f>
        <v>2.8224</v>
      </c>
      <c r="I442" s="2">
        <f>[1]!b_anal_yield_cnbd(I$1,$B442,1)</f>
        <v>2.8224</v>
      </c>
      <c r="J442" s="2">
        <f>[1]!b_anal_yield_cnbd(J$1,$B442,1)</f>
        <v>2.84</v>
      </c>
    </row>
    <row r="443" spans="2:10" x14ac:dyDescent="0.15">
      <c r="B443" s="1">
        <v>44746</v>
      </c>
      <c r="C443" s="3">
        <f t="shared" ca="1" si="20"/>
        <v>2.8300999999999998</v>
      </c>
      <c r="D443" s="3">
        <f t="shared" ca="1" si="21"/>
        <v>2.832335</v>
      </c>
      <c r="E443" s="2">
        <f ca="1">[1]!b_anal_yield_cnbd(E$1,$B443,1)</f>
        <v>2.8300999999999998</v>
      </c>
      <c r="F443" s="3">
        <f t="shared" ca="1" si="22"/>
        <v>2.832335</v>
      </c>
      <c r="G443" s="2">
        <f ca="1">[1]!b_anal_yield_cnbd(G$1,$B443,1)</f>
        <v>2.8300999999999998</v>
      </c>
      <c r="H443" s="2">
        <f>[1]!b_anal_yield_cnbd(H$1,$B443,1)</f>
        <v>2.8300999999999998</v>
      </c>
      <c r="I443" s="2">
        <f>[1]!b_anal_yield_cnbd(I$1,$B443,1)</f>
        <v>2.8300999999999998</v>
      </c>
      <c r="J443" s="2">
        <f>[1]!b_anal_yield_cnbd(J$1,$B443,1)</f>
        <v>2.8450000000000002</v>
      </c>
    </row>
    <row r="444" spans="2:10" x14ac:dyDescent="0.15">
      <c r="B444" s="1">
        <v>44743</v>
      </c>
      <c r="C444" s="3">
        <f t="shared" ca="1" si="20"/>
        <v>2.7942</v>
      </c>
      <c r="D444" s="3">
        <f t="shared" ca="1" si="21"/>
        <v>2.7972600000000001</v>
      </c>
      <c r="E444" s="2">
        <f ca="1">[1]!b_anal_yield_cnbd(E$1,$B444,1)</f>
        <v>2.7942</v>
      </c>
      <c r="F444" s="3">
        <f t="shared" ca="1" si="22"/>
        <v>2.7972600000000001</v>
      </c>
      <c r="G444" s="2">
        <f ca="1">[1]!b_anal_yield_cnbd(G$1,$B444,1)</f>
        <v>2.7942</v>
      </c>
      <c r="H444" s="2">
        <f>[1]!b_anal_yield_cnbd(H$1,$B444,1)</f>
        <v>2.7942</v>
      </c>
      <c r="I444" s="2">
        <f>[1]!b_anal_yield_cnbd(I$1,$B444,1)</f>
        <v>2.7942</v>
      </c>
      <c r="J444" s="2">
        <f>[1]!b_anal_yield_cnbd(J$1,$B444,1)</f>
        <v>2.8146</v>
      </c>
    </row>
    <row r="445" spans="2:10" x14ac:dyDescent="0.15">
      <c r="B445" s="1">
        <v>44742</v>
      </c>
      <c r="C445" s="3">
        <f t="shared" ca="1" si="20"/>
        <v>2.7991999999999999</v>
      </c>
      <c r="D445" s="3">
        <f t="shared" ca="1" si="21"/>
        <v>2.8007599999999999</v>
      </c>
      <c r="E445" s="2">
        <f ca="1">[1]!b_anal_yield_cnbd(E$1,$B445,1)</f>
        <v>2.7991999999999999</v>
      </c>
      <c r="F445" s="3">
        <f t="shared" ca="1" si="22"/>
        <v>2.8007599999999999</v>
      </c>
      <c r="G445" s="2">
        <f ca="1">[1]!b_anal_yield_cnbd(G$1,$B445,1)</f>
        <v>2.7991999999999999</v>
      </c>
      <c r="H445" s="2">
        <f>[1]!b_anal_yield_cnbd(H$1,$B445,1)</f>
        <v>2.7991999999999999</v>
      </c>
      <c r="I445" s="2">
        <f>[1]!b_anal_yield_cnbd(I$1,$B445,1)</f>
        <v>2.7991999999999999</v>
      </c>
      <c r="J445" s="2">
        <f>[1]!b_anal_yield_cnbd(J$1,$B445,1)</f>
        <v>2.8096000000000001</v>
      </c>
    </row>
    <row r="446" spans="2:10" x14ac:dyDescent="0.15">
      <c r="B446" s="1">
        <v>44741</v>
      </c>
      <c r="C446" s="3">
        <f t="shared" ca="1" si="20"/>
        <v>2.82</v>
      </c>
      <c r="D446" s="3">
        <f t="shared" ca="1" si="21"/>
        <v>2.8218749999999999</v>
      </c>
      <c r="E446" s="2">
        <f ca="1">[1]!b_anal_yield_cnbd(E$1,$B446,1)</f>
        <v>2.82</v>
      </c>
      <c r="F446" s="3">
        <f t="shared" ca="1" si="22"/>
        <v>2.8218749999999999</v>
      </c>
      <c r="G446" s="2">
        <f ca="1">[1]!b_anal_yield_cnbd(G$1,$B446,1)</f>
        <v>2.82</v>
      </c>
      <c r="H446" s="2">
        <f>[1]!b_anal_yield_cnbd(H$1,$B446,1)</f>
        <v>2.82</v>
      </c>
      <c r="I446" s="2">
        <f>[1]!b_anal_yield_cnbd(I$1,$B446,1)</f>
        <v>2.82</v>
      </c>
      <c r="J446" s="2">
        <f>[1]!b_anal_yield_cnbd(J$1,$B446,1)</f>
        <v>2.8325</v>
      </c>
    </row>
    <row r="447" spans="2:10" x14ac:dyDescent="0.15">
      <c r="B447" s="1">
        <v>44740</v>
      </c>
      <c r="C447" s="3">
        <f t="shared" ca="1" si="20"/>
        <v>2.8096000000000001</v>
      </c>
      <c r="D447" s="3">
        <f t="shared" ca="1" si="21"/>
        <v>2.81413</v>
      </c>
      <c r="E447" s="2">
        <f ca="1">[1]!b_anal_yield_cnbd(E$1,$B447,1)</f>
        <v>2.8096000000000001</v>
      </c>
      <c r="F447" s="3">
        <f t="shared" ca="1" si="22"/>
        <v>2.81413</v>
      </c>
      <c r="G447" s="2">
        <f ca="1">[1]!b_anal_yield_cnbd(G$1,$B447,1)</f>
        <v>2.8096000000000001</v>
      </c>
      <c r="H447" s="2">
        <f>[1]!b_anal_yield_cnbd(H$1,$B447,1)</f>
        <v>2.8096000000000001</v>
      </c>
      <c r="I447" s="2">
        <f>[1]!b_anal_yield_cnbd(I$1,$B447,1)</f>
        <v>2.8096000000000001</v>
      </c>
      <c r="J447" s="2">
        <f>[1]!b_anal_yield_cnbd(J$1,$B447,1)</f>
        <v>2.8397999999999999</v>
      </c>
    </row>
    <row r="448" spans="2:10" x14ac:dyDescent="0.15">
      <c r="B448" s="1">
        <v>44739</v>
      </c>
      <c r="C448" s="3">
        <f t="shared" ca="1" si="20"/>
        <v>2.8191999999999999</v>
      </c>
      <c r="D448" s="3">
        <f t="shared" ca="1" si="21"/>
        <v>2.8214949999999996</v>
      </c>
      <c r="E448" s="2">
        <f ca="1">[1]!b_anal_yield_cnbd(E$1,$B448,1)</f>
        <v>2.8191999999999999</v>
      </c>
      <c r="F448" s="3">
        <f t="shared" ca="1" si="22"/>
        <v>2.8214949999999996</v>
      </c>
      <c r="G448" s="2">
        <f ca="1">[1]!b_anal_yield_cnbd(G$1,$B448,1)</f>
        <v>2.8191999999999999</v>
      </c>
      <c r="H448" s="2">
        <f>[1]!b_anal_yield_cnbd(H$1,$B448,1)</f>
        <v>2.8191999999999999</v>
      </c>
      <c r="I448" s="2">
        <f>[1]!b_anal_yield_cnbd(I$1,$B448,1)</f>
        <v>2.8191999999999999</v>
      </c>
      <c r="J448" s="2">
        <f>[1]!b_anal_yield_cnbd(J$1,$B448,1)</f>
        <v>2.8344999999999998</v>
      </c>
    </row>
    <row r="449" spans="2:10" x14ac:dyDescent="0.15">
      <c r="B449" s="1">
        <v>44736</v>
      </c>
      <c r="C449" s="3">
        <f t="shared" ca="1" si="20"/>
        <v>2.7793999999999999</v>
      </c>
      <c r="D449" s="3">
        <f t="shared" ca="1" si="21"/>
        <v>2.7820099999999996</v>
      </c>
      <c r="E449" s="2">
        <f ca="1">[1]!b_anal_yield_cnbd(E$1,$B449,1)</f>
        <v>2.7793999999999999</v>
      </c>
      <c r="F449" s="3">
        <f t="shared" ca="1" si="22"/>
        <v>2.7820099999999996</v>
      </c>
      <c r="G449" s="2">
        <f ca="1">[1]!b_anal_yield_cnbd(G$1,$B449,1)</f>
        <v>2.7793999999999999</v>
      </c>
      <c r="H449" s="2">
        <f>[1]!b_anal_yield_cnbd(H$1,$B449,1)</f>
        <v>2.7793999999999999</v>
      </c>
      <c r="I449" s="2">
        <f>[1]!b_anal_yield_cnbd(I$1,$B449,1)</f>
        <v>2.7793999999999999</v>
      </c>
      <c r="J449" s="2">
        <f>[1]!b_anal_yield_cnbd(J$1,$B449,1)</f>
        <v>2.7968000000000002</v>
      </c>
    </row>
    <row r="450" spans="2:10" x14ac:dyDescent="0.15">
      <c r="B450" s="1">
        <v>44735</v>
      </c>
      <c r="C450" s="3">
        <f t="shared" ca="1" si="20"/>
        <v>2.7618999999999998</v>
      </c>
      <c r="D450" s="3">
        <f t="shared" ca="1" si="21"/>
        <v>2.7643449999999996</v>
      </c>
      <c r="E450" s="2">
        <f ca="1">[1]!b_anal_yield_cnbd(E$1,$B450,1)</f>
        <v>2.7618999999999998</v>
      </c>
      <c r="F450" s="3">
        <f t="shared" ca="1" si="22"/>
        <v>2.7643449999999996</v>
      </c>
      <c r="G450" s="2">
        <f ca="1">[1]!b_anal_yield_cnbd(G$1,$B450,1)</f>
        <v>2.7618999999999998</v>
      </c>
      <c r="H450" s="2">
        <f>[1]!b_anal_yield_cnbd(H$1,$B450,1)</f>
        <v>2.7618999999999998</v>
      </c>
      <c r="I450" s="2">
        <f>[1]!b_anal_yield_cnbd(I$1,$B450,1)</f>
        <v>2.7618999999999998</v>
      </c>
      <c r="J450" s="2">
        <f>[1]!b_anal_yield_cnbd(J$1,$B450,1)</f>
        <v>2.7782</v>
      </c>
    </row>
    <row r="451" spans="2:10" x14ac:dyDescent="0.15">
      <c r="B451" s="1">
        <v>44734</v>
      </c>
      <c r="C451" s="3">
        <f t="shared" ref="C451:C495" ca="1" si="23">IF(E451&lt;&gt;0,IF(F451&lt;&gt;0,E451,0),0)</f>
        <v>2.7570999999999999</v>
      </c>
      <c r="D451" s="3">
        <f t="shared" ref="D451:D495" ca="1" si="24">IF(E451&lt;&gt;0,IF(F451&lt;&gt;0,F451,0),0)</f>
        <v>2.7599200000000002</v>
      </c>
      <c r="E451" s="2">
        <f ca="1">[1]!b_anal_yield_cnbd(E$1,$B451,1)</f>
        <v>2.7570999999999999</v>
      </c>
      <c r="F451" s="3">
        <f t="shared" ref="F451:F495" ca="1" si="25">SUMPRODUCT(G451:J451,$N$1:$Q$1)</f>
        <v>2.7599200000000002</v>
      </c>
      <c r="G451" s="2">
        <f ca="1">[1]!b_anal_yield_cnbd(G$1,$B451,1)</f>
        <v>2.7570999999999999</v>
      </c>
      <c r="H451" s="2">
        <f>[1]!b_anal_yield_cnbd(H$1,$B451,1)</f>
        <v>2.7570999999999999</v>
      </c>
      <c r="I451" s="2">
        <f>[1]!b_anal_yield_cnbd(I$1,$B451,1)</f>
        <v>2.7570999999999999</v>
      </c>
      <c r="J451" s="2">
        <f>[1]!b_anal_yield_cnbd(J$1,$B451,1)</f>
        <v>2.7759</v>
      </c>
    </row>
    <row r="452" spans="2:10" x14ac:dyDescent="0.15">
      <c r="B452" s="1">
        <v>44733</v>
      </c>
      <c r="C452" s="3">
        <f t="shared" ca="1" si="23"/>
        <v>2.7652000000000001</v>
      </c>
      <c r="D452" s="3">
        <f t="shared" ca="1" si="24"/>
        <v>2.7681400000000003</v>
      </c>
      <c r="E452" s="2">
        <f ca="1">[1]!b_anal_yield_cnbd(E$1,$B452,1)</f>
        <v>2.7652000000000001</v>
      </c>
      <c r="F452" s="3">
        <f t="shared" ca="1" si="25"/>
        <v>2.7681400000000003</v>
      </c>
      <c r="G452" s="2">
        <f ca="1">[1]!b_anal_yield_cnbd(G$1,$B452,1)</f>
        <v>2.7652000000000001</v>
      </c>
      <c r="H452" s="2">
        <f>[1]!b_anal_yield_cnbd(H$1,$B452,1)</f>
        <v>2.7652000000000001</v>
      </c>
      <c r="I452" s="2">
        <f>[1]!b_anal_yield_cnbd(I$1,$B452,1)</f>
        <v>2.7652000000000001</v>
      </c>
      <c r="J452" s="2">
        <f>[1]!b_anal_yield_cnbd(J$1,$B452,1)</f>
        <v>2.7848000000000002</v>
      </c>
    </row>
    <row r="453" spans="2:10" x14ac:dyDescent="0.15">
      <c r="B453" s="1">
        <v>44732</v>
      </c>
      <c r="C453" s="3">
        <f t="shared" ca="1" si="23"/>
        <v>2.7637999999999998</v>
      </c>
      <c r="D453" s="3">
        <f t="shared" ca="1" si="24"/>
        <v>2.7662900000000001</v>
      </c>
      <c r="E453" s="2">
        <f ca="1">[1]!b_anal_yield_cnbd(E$1,$B453,1)</f>
        <v>2.7637999999999998</v>
      </c>
      <c r="F453" s="3">
        <f t="shared" ca="1" si="25"/>
        <v>2.7662900000000001</v>
      </c>
      <c r="G453" s="2">
        <f ca="1">[1]!b_anal_yield_cnbd(G$1,$B453,1)</f>
        <v>2.7637999999999998</v>
      </c>
      <c r="H453" s="2">
        <f>[1]!b_anal_yield_cnbd(H$1,$B453,1)</f>
        <v>2.7637999999999998</v>
      </c>
      <c r="I453" s="2">
        <f>[1]!b_anal_yield_cnbd(I$1,$B453,1)</f>
        <v>2.7637999999999998</v>
      </c>
      <c r="J453" s="2">
        <f>[1]!b_anal_yield_cnbd(J$1,$B453,1)</f>
        <v>2.7804000000000002</v>
      </c>
    </row>
    <row r="454" spans="2:10" x14ac:dyDescent="0.15">
      <c r="B454" s="1">
        <v>44729</v>
      </c>
      <c r="C454" s="3">
        <f t="shared" ca="1" si="23"/>
        <v>2.7561</v>
      </c>
      <c r="D454" s="3">
        <f t="shared" ca="1" si="24"/>
        <v>2.7580649999999998</v>
      </c>
      <c r="E454" s="2">
        <f ca="1">[1]!b_anal_yield_cnbd(E$1,$B454,1)</f>
        <v>2.7561</v>
      </c>
      <c r="F454" s="3">
        <f t="shared" ca="1" si="25"/>
        <v>2.7580649999999998</v>
      </c>
      <c r="G454" s="2">
        <f ca="1">[1]!b_anal_yield_cnbd(G$1,$B454,1)</f>
        <v>2.7561</v>
      </c>
      <c r="H454" s="2">
        <f>[1]!b_anal_yield_cnbd(H$1,$B454,1)</f>
        <v>2.7561</v>
      </c>
      <c r="I454" s="2">
        <f>[1]!b_anal_yield_cnbd(I$1,$B454,1)</f>
        <v>2.7561</v>
      </c>
      <c r="J454" s="2">
        <f>[1]!b_anal_yield_cnbd(J$1,$B454,1)</f>
        <v>2.7692000000000001</v>
      </c>
    </row>
    <row r="455" spans="2:10" x14ac:dyDescent="0.15">
      <c r="B455" s="1">
        <v>44728</v>
      </c>
      <c r="C455" s="3">
        <f t="shared" ca="1" si="23"/>
        <v>2.7614000000000001</v>
      </c>
      <c r="D455" s="3">
        <f t="shared" ca="1" si="24"/>
        <v>2.7638150000000001</v>
      </c>
      <c r="E455" s="2">
        <f ca="1">[1]!b_anal_yield_cnbd(E$1,$B455,1)</f>
        <v>2.7614000000000001</v>
      </c>
      <c r="F455" s="3">
        <f t="shared" ca="1" si="25"/>
        <v>2.7638150000000001</v>
      </c>
      <c r="G455" s="2">
        <f ca="1">[1]!b_anal_yield_cnbd(G$1,$B455,1)</f>
        <v>2.7614000000000001</v>
      </c>
      <c r="H455" s="2">
        <f>[1]!b_anal_yield_cnbd(H$1,$B455,1)</f>
        <v>2.7614000000000001</v>
      </c>
      <c r="I455" s="2">
        <f>[1]!b_anal_yield_cnbd(I$1,$B455,1)</f>
        <v>2.7614000000000001</v>
      </c>
      <c r="J455" s="2">
        <f>[1]!b_anal_yield_cnbd(J$1,$B455,1)</f>
        <v>2.7774999999999999</v>
      </c>
    </row>
    <row r="456" spans="2:10" x14ac:dyDescent="0.15">
      <c r="B456" s="1">
        <v>44727</v>
      </c>
      <c r="C456" s="3">
        <f t="shared" ca="1" si="23"/>
        <v>2.7675999999999998</v>
      </c>
      <c r="D456" s="3">
        <f t="shared" ca="1" si="24"/>
        <v>2.7713349999999997</v>
      </c>
      <c r="E456" s="2">
        <f ca="1">[1]!b_anal_yield_cnbd(E$1,$B456,1)</f>
        <v>2.7675999999999998</v>
      </c>
      <c r="F456" s="3">
        <f t="shared" ca="1" si="25"/>
        <v>2.7713349999999997</v>
      </c>
      <c r="G456" s="2">
        <f ca="1">[1]!b_anal_yield_cnbd(G$1,$B456,1)</f>
        <v>2.7675999999999998</v>
      </c>
      <c r="H456" s="2">
        <f>[1]!b_anal_yield_cnbd(H$1,$B456,1)</f>
        <v>2.7675999999999998</v>
      </c>
      <c r="I456" s="2">
        <f>[1]!b_anal_yield_cnbd(I$1,$B456,1)</f>
        <v>2.7675999999999998</v>
      </c>
      <c r="J456" s="2">
        <f>[1]!b_anal_yield_cnbd(J$1,$B456,1)</f>
        <v>2.7925</v>
      </c>
    </row>
    <row r="457" spans="2:10" x14ac:dyDescent="0.15">
      <c r="B457" s="1">
        <v>44726</v>
      </c>
      <c r="C457" s="3">
        <f t="shared" ca="1" si="23"/>
        <v>2.7551999999999999</v>
      </c>
      <c r="D457" s="3">
        <f t="shared" ca="1" si="24"/>
        <v>2.7589199999999998</v>
      </c>
      <c r="E457" s="2">
        <f ca="1">[1]!b_anal_yield_cnbd(E$1,$B457,1)</f>
        <v>2.7551999999999999</v>
      </c>
      <c r="F457" s="3">
        <f t="shared" ca="1" si="25"/>
        <v>2.7589199999999998</v>
      </c>
      <c r="G457" s="2">
        <f ca="1">[1]!b_anal_yield_cnbd(G$1,$B457,1)</f>
        <v>2.7551999999999999</v>
      </c>
      <c r="H457" s="2">
        <f>[1]!b_anal_yield_cnbd(H$1,$B457,1)</f>
        <v>2.7551999999999999</v>
      </c>
      <c r="I457" s="2">
        <f>[1]!b_anal_yield_cnbd(I$1,$B457,1)</f>
        <v>2.7551999999999999</v>
      </c>
      <c r="J457" s="2">
        <f>[1]!b_anal_yield_cnbd(J$1,$B457,1)</f>
        <v>2.78</v>
      </c>
    </row>
    <row r="458" spans="2:10" x14ac:dyDescent="0.15">
      <c r="B458" s="1">
        <v>44725</v>
      </c>
      <c r="C458" s="3">
        <f t="shared" ca="1" si="23"/>
        <v>2.7513999999999998</v>
      </c>
      <c r="D458" s="3">
        <f t="shared" ca="1" si="24"/>
        <v>2.7556899999999995</v>
      </c>
      <c r="E458" s="2">
        <f ca="1">[1]!b_anal_yield_cnbd(E$1,$B458,1)</f>
        <v>2.7513999999999998</v>
      </c>
      <c r="F458" s="3">
        <f t="shared" ca="1" si="25"/>
        <v>2.7556899999999995</v>
      </c>
      <c r="G458" s="2">
        <f ca="1">[1]!b_anal_yield_cnbd(G$1,$B458,1)</f>
        <v>2.7513999999999998</v>
      </c>
      <c r="H458" s="2">
        <f>[1]!b_anal_yield_cnbd(H$1,$B458,1)</f>
        <v>2.7513999999999998</v>
      </c>
      <c r="I458" s="2">
        <f>[1]!b_anal_yield_cnbd(I$1,$B458,1)</f>
        <v>2.7513999999999998</v>
      </c>
      <c r="J458" s="2">
        <f>[1]!b_anal_yield_cnbd(J$1,$B458,1)</f>
        <v>2.78</v>
      </c>
    </row>
    <row r="459" spans="2:10" x14ac:dyDescent="0.15">
      <c r="B459" s="1">
        <v>44722</v>
      </c>
      <c r="C459" s="3">
        <f t="shared" ca="1" si="23"/>
        <v>2.7290000000000001</v>
      </c>
      <c r="D459" s="3">
        <f t="shared" ca="1" si="24"/>
        <v>2.734775</v>
      </c>
      <c r="E459" s="2">
        <f ca="1">[1]!b_anal_yield_cnbd(E$1,$B459,1)</f>
        <v>2.7290000000000001</v>
      </c>
      <c r="F459" s="3">
        <f t="shared" ca="1" si="25"/>
        <v>2.734775</v>
      </c>
      <c r="G459" s="2">
        <f ca="1">[1]!b_anal_yield_cnbd(G$1,$B459,1)</f>
        <v>2.7290000000000001</v>
      </c>
      <c r="H459" s="2">
        <f>[1]!b_anal_yield_cnbd(H$1,$B459,1)</f>
        <v>2.7290000000000001</v>
      </c>
      <c r="I459" s="2">
        <f>[1]!b_anal_yield_cnbd(I$1,$B459,1)</f>
        <v>2.7290000000000001</v>
      </c>
      <c r="J459" s="2">
        <f>[1]!b_anal_yield_cnbd(J$1,$B459,1)</f>
        <v>2.7675000000000001</v>
      </c>
    </row>
    <row r="460" spans="2:10" x14ac:dyDescent="0.15">
      <c r="B460" s="1">
        <v>44721</v>
      </c>
      <c r="C460" s="3">
        <f t="shared" ca="1" si="23"/>
        <v>2.7383999999999999</v>
      </c>
      <c r="D460" s="3">
        <f t="shared" ca="1" si="24"/>
        <v>2.7431399999999995</v>
      </c>
      <c r="E460" s="2">
        <f ca="1">[1]!b_anal_yield_cnbd(E$1,$B460,1)</f>
        <v>2.7383999999999999</v>
      </c>
      <c r="F460" s="3">
        <f t="shared" ca="1" si="25"/>
        <v>2.7431399999999995</v>
      </c>
      <c r="G460" s="2">
        <f ca="1">[1]!b_anal_yield_cnbd(G$1,$B460,1)</f>
        <v>2.7383999999999999</v>
      </c>
      <c r="H460" s="2">
        <f>[1]!b_anal_yield_cnbd(H$1,$B460,1)</f>
        <v>2.7383999999999999</v>
      </c>
      <c r="I460" s="2">
        <f>[1]!b_anal_yield_cnbd(I$1,$B460,1)</f>
        <v>2.7383999999999999</v>
      </c>
      <c r="J460" s="2">
        <f>[1]!b_anal_yield_cnbd(J$1,$B460,1)</f>
        <v>2.77</v>
      </c>
    </row>
    <row r="461" spans="2:10" x14ac:dyDescent="0.15">
      <c r="B461" s="1">
        <v>44720</v>
      </c>
      <c r="C461" s="3">
        <f t="shared" ca="1" si="23"/>
        <v>2.7524000000000002</v>
      </c>
      <c r="D461" s="3">
        <f t="shared" ca="1" si="24"/>
        <v>2.7572900000000002</v>
      </c>
      <c r="E461" s="2">
        <f ca="1">[1]!b_anal_yield_cnbd(E$1,$B461,1)</f>
        <v>2.7524000000000002</v>
      </c>
      <c r="F461" s="3">
        <f t="shared" ca="1" si="25"/>
        <v>2.7572900000000002</v>
      </c>
      <c r="G461" s="2">
        <f ca="1">[1]!b_anal_yield_cnbd(G$1,$B461,1)</f>
        <v>2.7524000000000002</v>
      </c>
      <c r="H461" s="2">
        <f>[1]!b_anal_yield_cnbd(H$1,$B461,1)</f>
        <v>2.7524000000000002</v>
      </c>
      <c r="I461" s="2">
        <f>[1]!b_anal_yield_cnbd(I$1,$B461,1)</f>
        <v>2.7524000000000002</v>
      </c>
      <c r="J461" s="2">
        <f>[1]!b_anal_yield_cnbd(J$1,$B461,1)</f>
        <v>2.7850000000000001</v>
      </c>
    </row>
    <row r="462" spans="2:10" x14ac:dyDescent="0.15">
      <c r="B462" s="1">
        <v>44719</v>
      </c>
      <c r="C462" s="3">
        <f t="shared" ca="1" si="23"/>
        <v>2.75</v>
      </c>
      <c r="D462" s="3">
        <f t="shared" ca="1" si="24"/>
        <v>2.7548749999999997</v>
      </c>
      <c r="E462" s="2">
        <f ca="1">[1]!b_anal_yield_cnbd(E$1,$B462,1)</f>
        <v>2.75</v>
      </c>
      <c r="F462" s="3">
        <f t="shared" ca="1" si="25"/>
        <v>2.7548749999999997</v>
      </c>
      <c r="G462" s="2">
        <f ca="1">[1]!b_anal_yield_cnbd(G$1,$B462,1)</f>
        <v>2.75</v>
      </c>
      <c r="H462" s="2">
        <f>[1]!b_anal_yield_cnbd(H$1,$B462,1)</f>
        <v>2.75</v>
      </c>
      <c r="I462" s="2">
        <f>[1]!b_anal_yield_cnbd(I$1,$B462,1)</f>
        <v>2.75</v>
      </c>
      <c r="J462" s="2">
        <f>[1]!b_anal_yield_cnbd(J$1,$B462,1)</f>
        <v>2.7825000000000002</v>
      </c>
    </row>
    <row r="463" spans="2:10" x14ac:dyDescent="0.15">
      <c r="B463" s="1">
        <v>44718</v>
      </c>
      <c r="C463" s="3">
        <f t="shared" ca="1" si="23"/>
        <v>2.7650000000000001</v>
      </c>
      <c r="D463" s="3">
        <f t="shared" ca="1" si="24"/>
        <v>2.7702499999999999</v>
      </c>
      <c r="E463" s="2">
        <f ca="1">[1]!b_anal_yield_cnbd(E$1,$B463,1)</f>
        <v>2.7650000000000001</v>
      </c>
      <c r="F463" s="3">
        <f t="shared" ca="1" si="25"/>
        <v>2.7702499999999999</v>
      </c>
      <c r="G463" s="2">
        <f ca="1">[1]!b_anal_yield_cnbd(G$1,$B463,1)</f>
        <v>2.7650000000000001</v>
      </c>
      <c r="H463" s="2">
        <f>[1]!b_anal_yield_cnbd(H$1,$B463,1)</f>
        <v>2.7650000000000001</v>
      </c>
      <c r="I463" s="2">
        <f>[1]!b_anal_yield_cnbd(I$1,$B463,1)</f>
        <v>2.7650000000000001</v>
      </c>
      <c r="J463" s="2">
        <f>[1]!b_anal_yield_cnbd(J$1,$B463,1)</f>
        <v>2.8</v>
      </c>
    </row>
    <row r="464" spans="2:10" x14ac:dyDescent="0.15">
      <c r="B464" s="1">
        <v>44714</v>
      </c>
      <c r="C464" s="3">
        <f t="shared" ca="1" si="23"/>
        <v>2.7439</v>
      </c>
      <c r="D464" s="3">
        <f t="shared" ca="1" si="24"/>
        <v>2.7485649999999997</v>
      </c>
      <c r="E464" s="2">
        <f ca="1">[1]!b_anal_yield_cnbd(E$1,$B464,1)</f>
        <v>2.7439</v>
      </c>
      <c r="F464" s="3">
        <f t="shared" ca="1" si="25"/>
        <v>2.7485649999999997</v>
      </c>
      <c r="G464" s="2">
        <f ca="1">[1]!b_anal_yield_cnbd(G$1,$B464,1)</f>
        <v>2.7439</v>
      </c>
      <c r="H464" s="2">
        <f>[1]!b_anal_yield_cnbd(H$1,$B464,1)</f>
        <v>2.7439</v>
      </c>
      <c r="I464" s="2">
        <f>[1]!b_anal_yield_cnbd(I$1,$B464,1)</f>
        <v>2.7439</v>
      </c>
      <c r="J464" s="2">
        <f>[1]!b_anal_yield_cnbd(J$1,$B464,1)</f>
        <v>2.7749999999999999</v>
      </c>
    </row>
    <row r="465" spans="2:10" x14ac:dyDescent="0.15">
      <c r="B465" s="1">
        <v>44713</v>
      </c>
      <c r="C465" s="3">
        <f t="shared" ca="1" si="23"/>
        <v>2.7309000000000001</v>
      </c>
      <c r="D465" s="3">
        <f t="shared" ca="1" si="24"/>
        <v>2.7363900000000005</v>
      </c>
      <c r="E465" s="2">
        <f ca="1">[1]!b_anal_yield_cnbd(E$1,$B465,1)</f>
        <v>2.7309000000000001</v>
      </c>
      <c r="F465" s="3">
        <f t="shared" ca="1" si="25"/>
        <v>2.7363900000000005</v>
      </c>
      <c r="G465" s="2">
        <f ca="1">[1]!b_anal_yield_cnbd(G$1,$B465,1)</f>
        <v>2.7309000000000001</v>
      </c>
      <c r="H465" s="2">
        <f>[1]!b_anal_yield_cnbd(H$1,$B465,1)</f>
        <v>2.7309000000000001</v>
      </c>
      <c r="I465" s="2">
        <f>[1]!b_anal_yield_cnbd(I$1,$B465,1)</f>
        <v>2.7309000000000001</v>
      </c>
      <c r="J465" s="2">
        <f>[1]!b_anal_yield_cnbd(J$1,$B465,1)</f>
        <v>2.7675000000000001</v>
      </c>
    </row>
    <row r="466" spans="2:10" x14ac:dyDescent="0.15">
      <c r="B466" s="1">
        <v>44712</v>
      </c>
      <c r="C466" s="3">
        <f t="shared" ca="1" si="23"/>
        <v>2.7315</v>
      </c>
      <c r="D466" s="3">
        <f t="shared" ca="1" si="24"/>
        <v>2.735325</v>
      </c>
      <c r="E466" s="2">
        <f ca="1">[1]!b_anal_yield_cnbd(E$1,$B466,1)</f>
        <v>2.7315</v>
      </c>
      <c r="F466" s="3">
        <f t="shared" ca="1" si="25"/>
        <v>2.735325</v>
      </c>
      <c r="G466" s="2">
        <f ca="1">[1]!b_anal_yield_cnbd(G$1,$B466,1)</f>
        <v>2.7315</v>
      </c>
      <c r="H466" s="2">
        <f>[1]!b_anal_yield_cnbd(H$1,$B466,1)</f>
        <v>2.7315</v>
      </c>
      <c r="I466" s="2">
        <f>[1]!b_anal_yield_cnbd(I$1,$B466,1)</f>
        <v>2.7315</v>
      </c>
      <c r="J466" s="2">
        <f>[1]!b_anal_yield_cnbd(J$1,$B466,1)</f>
        <v>2.7570000000000001</v>
      </c>
    </row>
    <row r="467" spans="2:10" x14ac:dyDescent="0.15">
      <c r="B467" s="1">
        <v>44711</v>
      </c>
      <c r="C467" s="3">
        <f t="shared" ca="1" si="23"/>
        <v>2.6966000000000001</v>
      </c>
      <c r="D467" s="3">
        <f t="shared" ca="1" si="24"/>
        <v>2.7012350000000001</v>
      </c>
      <c r="E467" s="2">
        <f ca="1">[1]!b_anal_yield_cnbd(E$1,$B467,1)</f>
        <v>2.6966000000000001</v>
      </c>
      <c r="F467" s="3">
        <f t="shared" ca="1" si="25"/>
        <v>2.7012350000000001</v>
      </c>
      <c r="G467" s="2">
        <f ca="1">[1]!b_anal_yield_cnbd(G$1,$B467,1)</f>
        <v>2.6966000000000001</v>
      </c>
      <c r="H467" s="2">
        <f>[1]!b_anal_yield_cnbd(H$1,$B467,1)</f>
        <v>2.6966000000000001</v>
      </c>
      <c r="I467" s="2">
        <f>[1]!b_anal_yield_cnbd(I$1,$B467,1)</f>
        <v>2.6966000000000001</v>
      </c>
      <c r="J467" s="2">
        <f>[1]!b_anal_yield_cnbd(J$1,$B467,1)</f>
        <v>2.7275</v>
      </c>
    </row>
    <row r="468" spans="2:10" x14ac:dyDescent="0.15">
      <c r="B468" s="1">
        <v>44708</v>
      </c>
      <c r="C468" s="3">
        <f t="shared" ca="1" si="23"/>
        <v>2.6753999999999998</v>
      </c>
      <c r="D468" s="3">
        <f t="shared" ca="1" si="24"/>
        <v>2.6783399999999995</v>
      </c>
      <c r="E468" s="2">
        <f ca="1">[1]!b_anal_yield_cnbd(E$1,$B468,1)</f>
        <v>2.6753999999999998</v>
      </c>
      <c r="F468" s="3">
        <f t="shared" ca="1" si="25"/>
        <v>2.6783399999999995</v>
      </c>
      <c r="G468" s="2">
        <f ca="1">[1]!b_anal_yield_cnbd(G$1,$B468,1)</f>
        <v>2.6753999999999998</v>
      </c>
      <c r="H468" s="2">
        <f>[1]!b_anal_yield_cnbd(H$1,$B468,1)</f>
        <v>2.6753999999999998</v>
      </c>
      <c r="I468" s="2">
        <f>[1]!b_anal_yield_cnbd(I$1,$B468,1)</f>
        <v>2.6753999999999998</v>
      </c>
      <c r="J468" s="2">
        <f>[1]!b_anal_yield_cnbd(J$1,$B468,1)</f>
        <v>2.6949999999999998</v>
      </c>
    </row>
    <row r="469" spans="2:10" x14ac:dyDescent="0.15">
      <c r="B469" s="1">
        <v>44707</v>
      </c>
      <c r="C469" s="3">
        <f t="shared" ca="1" si="23"/>
        <v>2.6779000000000002</v>
      </c>
      <c r="D469" s="3">
        <f t="shared" ca="1" si="24"/>
        <v>2.6819649999999999</v>
      </c>
      <c r="E469" s="2">
        <f ca="1">[1]!b_anal_yield_cnbd(E$1,$B469,1)</f>
        <v>2.6779000000000002</v>
      </c>
      <c r="F469" s="3">
        <f t="shared" ca="1" si="25"/>
        <v>2.6819649999999999</v>
      </c>
      <c r="G469" s="2">
        <f ca="1">[1]!b_anal_yield_cnbd(G$1,$B469,1)</f>
        <v>2.6779000000000002</v>
      </c>
      <c r="H469" s="2">
        <f>[1]!b_anal_yield_cnbd(H$1,$B469,1)</f>
        <v>2.6779000000000002</v>
      </c>
      <c r="I469" s="2">
        <f>[1]!b_anal_yield_cnbd(I$1,$B469,1)</f>
        <v>2.6779000000000002</v>
      </c>
      <c r="J469" s="2">
        <f>[1]!b_anal_yield_cnbd(J$1,$B469,1)</f>
        <v>2.7050000000000001</v>
      </c>
    </row>
    <row r="470" spans="2:10" x14ac:dyDescent="0.15">
      <c r="B470" s="1">
        <v>44706</v>
      </c>
      <c r="C470" s="3">
        <f t="shared" ca="1" si="23"/>
        <v>2.7258</v>
      </c>
      <c r="D470" s="3">
        <f t="shared" ca="1" si="24"/>
        <v>2.7309300000000003</v>
      </c>
      <c r="E470" s="2">
        <f ca="1">[1]!b_anal_yield_cnbd(E$1,$B470,1)</f>
        <v>2.7258</v>
      </c>
      <c r="F470" s="3">
        <f t="shared" ca="1" si="25"/>
        <v>2.7309300000000003</v>
      </c>
      <c r="G470" s="2">
        <f ca="1">[1]!b_anal_yield_cnbd(G$1,$B470,1)</f>
        <v>2.7258</v>
      </c>
      <c r="H470" s="2">
        <f>[1]!b_anal_yield_cnbd(H$1,$B470,1)</f>
        <v>2.7258</v>
      </c>
      <c r="I470" s="2">
        <f>[1]!b_anal_yield_cnbd(I$1,$B470,1)</f>
        <v>2.7258</v>
      </c>
      <c r="J470" s="2">
        <f>[1]!b_anal_yield_cnbd(J$1,$B470,1)</f>
        <v>2.76</v>
      </c>
    </row>
    <row r="471" spans="2:10" x14ac:dyDescent="0.15">
      <c r="B471" s="1">
        <v>44705</v>
      </c>
      <c r="C471" s="3">
        <f t="shared" ca="1" si="23"/>
        <v>2.7332999999999998</v>
      </c>
      <c r="D471" s="3">
        <f t="shared" ca="1" si="24"/>
        <v>2.7384300000000001</v>
      </c>
      <c r="E471" s="2">
        <f ca="1">[1]!b_anal_yield_cnbd(E$1,$B471,1)</f>
        <v>2.7332999999999998</v>
      </c>
      <c r="F471" s="3">
        <f t="shared" ca="1" si="25"/>
        <v>2.7384300000000001</v>
      </c>
      <c r="G471" s="2">
        <f ca="1">[1]!b_anal_yield_cnbd(G$1,$B471,1)</f>
        <v>2.7332999999999998</v>
      </c>
      <c r="H471" s="2">
        <f>[1]!b_anal_yield_cnbd(H$1,$B471,1)</f>
        <v>2.7332999999999998</v>
      </c>
      <c r="I471" s="2">
        <f>[1]!b_anal_yield_cnbd(I$1,$B471,1)</f>
        <v>2.7332999999999998</v>
      </c>
      <c r="J471" s="2">
        <f>[1]!b_anal_yield_cnbd(J$1,$B471,1)</f>
        <v>2.7675000000000001</v>
      </c>
    </row>
    <row r="472" spans="2:10" x14ac:dyDescent="0.15">
      <c r="B472" s="1">
        <v>44704</v>
      </c>
      <c r="C472" s="3">
        <f t="shared" ca="1" si="23"/>
        <v>2.7361</v>
      </c>
      <c r="D472" s="3">
        <f t="shared" ca="1" si="24"/>
        <v>2.7413349999999999</v>
      </c>
      <c r="E472" s="2">
        <f ca="1">[1]!b_anal_yield_cnbd(E$1,$B472,1)</f>
        <v>2.7361</v>
      </c>
      <c r="F472" s="3">
        <f t="shared" ca="1" si="25"/>
        <v>2.7413349999999999</v>
      </c>
      <c r="G472" s="2">
        <f ca="1">[1]!b_anal_yield_cnbd(G$1,$B472,1)</f>
        <v>2.7361</v>
      </c>
      <c r="H472" s="2">
        <f>[1]!b_anal_yield_cnbd(H$1,$B472,1)</f>
        <v>2.7361</v>
      </c>
      <c r="I472" s="2">
        <f>[1]!b_anal_yield_cnbd(I$1,$B472,1)</f>
        <v>2.7361</v>
      </c>
      <c r="J472" s="2">
        <f>[1]!b_anal_yield_cnbd(J$1,$B472,1)</f>
        <v>2.7709999999999999</v>
      </c>
    </row>
    <row r="473" spans="2:10" x14ac:dyDescent="0.15">
      <c r="B473" s="1">
        <v>44701</v>
      </c>
      <c r="C473" s="3">
        <f t="shared" ca="1" si="23"/>
        <v>2.7574000000000001</v>
      </c>
      <c r="D473" s="3">
        <f t="shared" ca="1" si="24"/>
        <v>2.7622899999999997</v>
      </c>
      <c r="E473" s="2">
        <f ca="1">[1]!b_anal_yield_cnbd(E$1,$B473,1)</f>
        <v>2.7574000000000001</v>
      </c>
      <c r="F473" s="3">
        <f t="shared" ca="1" si="25"/>
        <v>2.7622899999999997</v>
      </c>
      <c r="G473" s="2">
        <f ca="1">[1]!b_anal_yield_cnbd(G$1,$B473,1)</f>
        <v>2.7574000000000001</v>
      </c>
      <c r="H473" s="2">
        <f>[1]!b_anal_yield_cnbd(H$1,$B473,1)</f>
        <v>2.7574000000000001</v>
      </c>
      <c r="I473" s="2">
        <f>[1]!b_anal_yield_cnbd(I$1,$B473,1)</f>
        <v>2.7574000000000001</v>
      </c>
      <c r="J473" s="2">
        <f>[1]!b_anal_yield_cnbd(J$1,$B473,1)</f>
        <v>2.79</v>
      </c>
    </row>
    <row r="474" spans="2:10" x14ac:dyDescent="0.15">
      <c r="B474" s="1">
        <v>44700</v>
      </c>
      <c r="C474" s="3">
        <f t="shared" ca="1" si="23"/>
        <v>2.7519999999999998</v>
      </c>
      <c r="D474" s="3">
        <f t="shared" ca="1" si="24"/>
        <v>2.7569499999999993</v>
      </c>
      <c r="E474" s="2">
        <f ca="1">[1]!b_anal_yield_cnbd(E$1,$B474,1)</f>
        <v>2.7519999999999998</v>
      </c>
      <c r="F474" s="3">
        <f t="shared" ca="1" si="25"/>
        <v>2.7569499999999993</v>
      </c>
      <c r="G474" s="2">
        <f ca="1">[1]!b_anal_yield_cnbd(G$1,$B474,1)</f>
        <v>2.7519999999999998</v>
      </c>
      <c r="H474" s="2">
        <f>[1]!b_anal_yield_cnbd(H$1,$B474,1)</f>
        <v>2.7519999999999998</v>
      </c>
      <c r="I474" s="2">
        <f>[1]!b_anal_yield_cnbd(I$1,$B474,1)</f>
        <v>2.7519999999999998</v>
      </c>
      <c r="J474" s="2">
        <f>[1]!b_anal_yield_cnbd(J$1,$B474,1)</f>
        <v>2.7850000000000001</v>
      </c>
    </row>
    <row r="475" spans="2:10" x14ac:dyDescent="0.15">
      <c r="B475" s="1">
        <v>44699</v>
      </c>
      <c r="C475" s="3">
        <f t="shared" ca="1" si="23"/>
        <v>2.7576000000000001</v>
      </c>
      <c r="D475" s="3">
        <f t="shared" ca="1" si="24"/>
        <v>2.7624599999999999</v>
      </c>
      <c r="E475" s="2">
        <f ca="1">[1]!b_anal_yield_cnbd(E$1,$B475,1)</f>
        <v>2.7576000000000001</v>
      </c>
      <c r="F475" s="3">
        <f t="shared" ca="1" si="25"/>
        <v>2.7624599999999999</v>
      </c>
      <c r="G475" s="2">
        <f ca="1">[1]!b_anal_yield_cnbd(G$1,$B475,1)</f>
        <v>2.7576000000000001</v>
      </c>
      <c r="H475" s="2">
        <f>[1]!b_anal_yield_cnbd(H$1,$B475,1)</f>
        <v>2.7576000000000001</v>
      </c>
      <c r="I475" s="2">
        <f>[1]!b_anal_yield_cnbd(I$1,$B475,1)</f>
        <v>2.7576000000000001</v>
      </c>
      <c r="J475" s="2">
        <f>[1]!b_anal_yield_cnbd(J$1,$B475,1)</f>
        <v>2.79</v>
      </c>
    </row>
    <row r="476" spans="2:10" x14ac:dyDescent="0.15">
      <c r="B476" s="1">
        <v>44698</v>
      </c>
      <c r="C476" s="3">
        <f t="shared" ca="1" si="23"/>
        <v>2.7646999999999999</v>
      </c>
      <c r="D476" s="3">
        <f t="shared" ca="1" si="24"/>
        <v>2.7699949999999998</v>
      </c>
      <c r="E476" s="2">
        <f ca="1">[1]!b_anal_yield_cnbd(E$1,$B476,1)</f>
        <v>2.7646999999999999</v>
      </c>
      <c r="F476" s="3">
        <f t="shared" ca="1" si="25"/>
        <v>2.7699949999999998</v>
      </c>
      <c r="G476" s="2">
        <f ca="1">[1]!b_anal_yield_cnbd(G$1,$B476,1)</f>
        <v>2.7646999999999999</v>
      </c>
      <c r="H476" s="2">
        <f>[1]!b_anal_yield_cnbd(H$1,$B476,1)</f>
        <v>2.7646999999999999</v>
      </c>
      <c r="I476" s="2">
        <f>[1]!b_anal_yield_cnbd(I$1,$B476,1)</f>
        <v>2.7646999999999999</v>
      </c>
      <c r="J476" s="2">
        <f>[1]!b_anal_yield_cnbd(J$1,$B476,1)</f>
        <v>2.8</v>
      </c>
    </row>
    <row r="477" spans="2:10" x14ac:dyDescent="0.15">
      <c r="B477" s="1">
        <v>44697</v>
      </c>
      <c r="C477" s="3">
        <f t="shared" ca="1" si="23"/>
        <v>2.7746</v>
      </c>
      <c r="D477" s="3">
        <f t="shared" ca="1" si="24"/>
        <v>2.7799100000000001</v>
      </c>
      <c r="E477" s="2">
        <f ca="1">[1]!b_anal_yield_cnbd(E$1,$B477,1)</f>
        <v>2.7746</v>
      </c>
      <c r="F477" s="3">
        <f t="shared" ca="1" si="25"/>
        <v>2.7799100000000001</v>
      </c>
      <c r="G477" s="2">
        <f ca="1">[1]!b_anal_yield_cnbd(G$1,$B477,1)</f>
        <v>2.7746</v>
      </c>
      <c r="H477" s="2">
        <f>[1]!b_anal_yield_cnbd(H$1,$B477,1)</f>
        <v>2.7746</v>
      </c>
      <c r="I477" s="2">
        <f>[1]!b_anal_yield_cnbd(I$1,$B477,1)</f>
        <v>2.7746</v>
      </c>
      <c r="J477" s="2">
        <f>[1]!b_anal_yield_cnbd(J$1,$B477,1)</f>
        <v>2.81</v>
      </c>
    </row>
    <row r="478" spans="2:10" x14ac:dyDescent="0.15">
      <c r="B478" s="1">
        <v>44694</v>
      </c>
      <c r="C478" s="3">
        <f t="shared" ca="1" si="23"/>
        <v>2.7746</v>
      </c>
      <c r="D478" s="3">
        <f t="shared" ca="1" si="24"/>
        <v>2.7799100000000001</v>
      </c>
      <c r="E478" s="2">
        <f ca="1">[1]!b_anal_yield_cnbd(E$1,$B478,1)</f>
        <v>2.7746</v>
      </c>
      <c r="F478" s="3">
        <f t="shared" ca="1" si="25"/>
        <v>2.7799100000000001</v>
      </c>
      <c r="G478" s="2">
        <f ca="1">[1]!b_anal_yield_cnbd(G$1,$B478,1)</f>
        <v>2.7746</v>
      </c>
      <c r="H478" s="2">
        <f>[1]!b_anal_yield_cnbd(H$1,$B478,1)</f>
        <v>2.7746</v>
      </c>
      <c r="I478" s="2">
        <f>[1]!b_anal_yield_cnbd(I$1,$B478,1)</f>
        <v>2.7746</v>
      </c>
      <c r="J478" s="2">
        <f>[1]!b_anal_yield_cnbd(J$1,$B478,1)</f>
        <v>2.81</v>
      </c>
    </row>
    <row r="479" spans="2:10" x14ac:dyDescent="0.15">
      <c r="B479" s="1">
        <v>44693</v>
      </c>
      <c r="C479" s="3">
        <f t="shared" ca="1" si="23"/>
        <v>2.7696999999999998</v>
      </c>
      <c r="D479" s="3">
        <f t="shared" ca="1" si="24"/>
        <v>2.7746199999999996</v>
      </c>
      <c r="E479" s="2">
        <f ca="1">[1]!b_anal_yield_cnbd(E$1,$B479,1)</f>
        <v>2.7696999999999998</v>
      </c>
      <c r="F479" s="3">
        <f t="shared" ca="1" si="25"/>
        <v>2.7746199999999996</v>
      </c>
      <c r="G479" s="2">
        <f ca="1">[1]!b_anal_yield_cnbd(G$1,$B479,1)</f>
        <v>2.7696999999999998</v>
      </c>
      <c r="H479" s="2">
        <f>[1]!b_anal_yield_cnbd(H$1,$B479,1)</f>
        <v>2.7696999999999998</v>
      </c>
      <c r="I479" s="2">
        <f>[1]!b_anal_yield_cnbd(I$1,$B479,1)</f>
        <v>2.7696999999999998</v>
      </c>
      <c r="J479" s="2">
        <f>[1]!b_anal_yield_cnbd(J$1,$B479,1)</f>
        <v>2.8025000000000002</v>
      </c>
    </row>
    <row r="480" spans="2:10" x14ac:dyDescent="0.15">
      <c r="B480" s="1">
        <v>44692</v>
      </c>
      <c r="C480" s="3">
        <f t="shared" ca="1" si="23"/>
        <v>2.7846000000000002</v>
      </c>
      <c r="D480" s="3">
        <f t="shared" ca="1" si="24"/>
        <v>2.7902849999999999</v>
      </c>
      <c r="E480" s="2">
        <f ca="1">[1]!b_anal_yield_cnbd(E$1,$B480,1)</f>
        <v>2.7846000000000002</v>
      </c>
      <c r="F480" s="3">
        <f t="shared" ca="1" si="25"/>
        <v>2.7902849999999999</v>
      </c>
      <c r="G480" s="2">
        <f ca="1">[1]!b_anal_yield_cnbd(G$1,$B480,1)</f>
        <v>2.7846000000000002</v>
      </c>
      <c r="H480" s="2">
        <f>[1]!b_anal_yield_cnbd(H$1,$B480,1)</f>
        <v>2.7846000000000002</v>
      </c>
      <c r="I480" s="2">
        <f>[1]!b_anal_yield_cnbd(I$1,$B480,1)</f>
        <v>2.7846000000000002</v>
      </c>
      <c r="J480" s="2">
        <f>[1]!b_anal_yield_cnbd(J$1,$B480,1)</f>
        <v>2.8224999999999998</v>
      </c>
    </row>
    <row r="481" spans="2:10" x14ac:dyDescent="0.15">
      <c r="B481" s="1">
        <v>44691</v>
      </c>
      <c r="C481" s="3">
        <f t="shared" ca="1" si="23"/>
        <v>2.7787000000000002</v>
      </c>
      <c r="D481" s="3">
        <f t="shared" ca="1" si="24"/>
        <v>2.7838449999999999</v>
      </c>
      <c r="E481" s="2">
        <f ca="1">[1]!b_anal_yield_cnbd(E$1,$B481,1)</f>
        <v>2.7787000000000002</v>
      </c>
      <c r="F481" s="3">
        <f t="shared" ca="1" si="25"/>
        <v>2.7838449999999999</v>
      </c>
      <c r="G481" s="2">
        <f ca="1">[1]!b_anal_yield_cnbd(G$1,$B481,1)</f>
        <v>2.7787000000000002</v>
      </c>
      <c r="H481" s="2">
        <f>[1]!b_anal_yield_cnbd(H$1,$B481,1)</f>
        <v>2.7787000000000002</v>
      </c>
      <c r="I481" s="2">
        <f>[1]!b_anal_yield_cnbd(I$1,$B481,1)</f>
        <v>2.7787000000000002</v>
      </c>
      <c r="J481" s="2">
        <f>[1]!b_anal_yield_cnbd(J$1,$B481,1)</f>
        <v>2.8130000000000002</v>
      </c>
    </row>
    <row r="482" spans="2:10" x14ac:dyDescent="0.15">
      <c r="B482" s="1">
        <v>44690</v>
      </c>
      <c r="C482" s="3">
        <f t="shared" ca="1" si="23"/>
        <v>2.7976000000000001</v>
      </c>
      <c r="D482" s="3">
        <f t="shared" ca="1" si="24"/>
        <v>2.8017099999999999</v>
      </c>
      <c r="E482" s="2">
        <f ca="1">[1]!b_anal_yield_cnbd(E$1,$B482,1)</f>
        <v>2.7976000000000001</v>
      </c>
      <c r="F482" s="3">
        <f t="shared" ca="1" si="25"/>
        <v>2.8017099999999999</v>
      </c>
      <c r="G482" s="2">
        <f ca="1">[1]!b_anal_yield_cnbd(G$1,$B482,1)</f>
        <v>2.7976000000000001</v>
      </c>
      <c r="H482" s="2">
        <f>[1]!b_anal_yield_cnbd(H$1,$B482,1)</f>
        <v>2.7976000000000001</v>
      </c>
      <c r="I482" s="2">
        <f>[1]!b_anal_yield_cnbd(I$1,$B482,1)</f>
        <v>2.7976000000000001</v>
      </c>
      <c r="J482" s="2">
        <f>[1]!b_anal_yield_cnbd(J$1,$B482,1)</f>
        <v>2.8250000000000002</v>
      </c>
    </row>
    <row r="483" spans="2:10" x14ac:dyDescent="0.15">
      <c r="B483" s="1">
        <v>44688</v>
      </c>
      <c r="C483" s="3">
        <f t="shared" ca="1" si="23"/>
        <v>2.8130000000000002</v>
      </c>
      <c r="D483" s="3">
        <f t="shared" ca="1" si="24"/>
        <v>2.816675</v>
      </c>
      <c r="E483" s="2">
        <f ca="1">[1]!b_anal_yield_cnbd(E$1,$B483,1)</f>
        <v>2.8130000000000002</v>
      </c>
      <c r="F483" s="3">
        <f t="shared" ca="1" si="25"/>
        <v>2.816675</v>
      </c>
      <c r="G483" s="2">
        <f ca="1">[1]!b_anal_yield_cnbd(G$1,$B483,1)</f>
        <v>2.8130000000000002</v>
      </c>
      <c r="H483" s="2">
        <f>[1]!b_anal_yield_cnbd(H$1,$B483,1)</f>
        <v>2.8130000000000002</v>
      </c>
      <c r="I483" s="2">
        <f>[1]!b_anal_yield_cnbd(I$1,$B483,1)</f>
        <v>2.8130000000000002</v>
      </c>
      <c r="J483" s="2">
        <f>[1]!b_anal_yield_cnbd(J$1,$B483,1)</f>
        <v>2.8374999999999999</v>
      </c>
    </row>
    <row r="484" spans="2:10" x14ac:dyDescent="0.15">
      <c r="B484" s="1">
        <v>44687</v>
      </c>
      <c r="C484" s="3">
        <f t="shared" ca="1" si="23"/>
        <v>2.8134000000000001</v>
      </c>
      <c r="D484" s="3">
        <f t="shared" ca="1" si="24"/>
        <v>2.8173900000000005</v>
      </c>
      <c r="E484" s="2">
        <f ca="1">[1]!b_anal_yield_cnbd(E$1,$B484,1)</f>
        <v>2.8134000000000001</v>
      </c>
      <c r="F484" s="3">
        <f t="shared" ca="1" si="25"/>
        <v>2.8173900000000005</v>
      </c>
      <c r="G484" s="2">
        <f ca="1">[1]!b_anal_yield_cnbd(G$1,$B484,1)</f>
        <v>2.8134000000000001</v>
      </c>
      <c r="H484" s="2">
        <f>[1]!b_anal_yield_cnbd(H$1,$B484,1)</f>
        <v>2.8134000000000001</v>
      </c>
      <c r="I484" s="2">
        <f>[1]!b_anal_yield_cnbd(I$1,$B484,1)</f>
        <v>2.8134000000000001</v>
      </c>
      <c r="J484" s="2">
        <f>[1]!b_anal_yield_cnbd(J$1,$B484,1)</f>
        <v>2.84</v>
      </c>
    </row>
    <row r="485" spans="2:10" x14ac:dyDescent="0.15">
      <c r="B485" s="1">
        <v>44686</v>
      </c>
      <c r="C485" s="3">
        <f t="shared" ca="1" si="23"/>
        <v>2.8106</v>
      </c>
      <c r="D485" s="3">
        <f t="shared" ca="1" si="24"/>
        <v>2.81501</v>
      </c>
      <c r="E485" s="2">
        <f ca="1">[1]!b_anal_yield_cnbd(E$1,$B485,1)</f>
        <v>2.8106</v>
      </c>
      <c r="F485" s="3">
        <f t="shared" ca="1" si="25"/>
        <v>2.81501</v>
      </c>
      <c r="G485" s="2">
        <f ca="1">[1]!b_anal_yield_cnbd(G$1,$B485,1)</f>
        <v>2.8106</v>
      </c>
      <c r="H485" s="2">
        <f>[1]!b_anal_yield_cnbd(H$1,$B485,1)</f>
        <v>2.8106</v>
      </c>
      <c r="I485" s="2">
        <f>[1]!b_anal_yield_cnbd(I$1,$B485,1)</f>
        <v>2.8106</v>
      </c>
      <c r="J485" s="2">
        <f>[1]!b_anal_yield_cnbd(J$1,$B485,1)</f>
        <v>2.84</v>
      </c>
    </row>
    <row r="486" spans="2:10" x14ac:dyDescent="0.15">
      <c r="B486" s="1">
        <v>44680</v>
      </c>
      <c r="C486" s="3">
        <f t="shared" ca="1" si="23"/>
        <v>2.8172999999999999</v>
      </c>
      <c r="D486" s="3">
        <f t="shared" ca="1" si="24"/>
        <v>2.8218300000000003</v>
      </c>
      <c r="E486" s="2">
        <f ca="1">[1]!b_anal_yield_cnbd(E$1,$B486,1)</f>
        <v>2.8172999999999999</v>
      </c>
      <c r="F486" s="3">
        <f t="shared" ca="1" si="25"/>
        <v>2.8218300000000003</v>
      </c>
      <c r="G486" s="2">
        <f ca="1">[1]!b_anal_yield_cnbd(G$1,$B486,1)</f>
        <v>2.8172999999999999</v>
      </c>
      <c r="H486" s="2">
        <f>[1]!b_anal_yield_cnbd(H$1,$B486,1)</f>
        <v>2.8172999999999999</v>
      </c>
      <c r="I486" s="2">
        <f>[1]!b_anal_yield_cnbd(I$1,$B486,1)</f>
        <v>2.8172999999999999</v>
      </c>
      <c r="J486" s="2">
        <f>[1]!b_anal_yield_cnbd(J$1,$B486,1)</f>
        <v>2.8475000000000001</v>
      </c>
    </row>
    <row r="487" spans="2:10" x14ac:dyDescent="0.15">
      <c r="B487" s="1">
        <v>44679</v>
      </c>
      <c r="C487" s="3">
        <f t="shared" ca="1" si="23"/>
        <v>2.8279000000000001</v>
      </c>
      <c r="D487" s="3">
        <f t="shared" ca="1" si="24"/>
        <v>2.8327149999999999</v>
      </c>
      <c r="E487" s="2">
        <f ca="1">[1]!b_anal_yield_cnbd(E$1,$B487,1)</f>
        <v>2.8279000000000001</v>
      </c>
      <c r="F487" s="3">
        <f t="shared" ca="1" si="25"/>
        <v>2.8327149999999999</v>
      </c>
      <c r="G487" s="2">
        <f ca="1">[1]!b_anal_yield_cnbd(G$1,$B487,1)</f>
        <v>2.8279000000000001</v>
      </c>
      <c r="H487" s="2">
        <f>[1]!b_anal_yield_cnbd(H$1,$B487,1)</f>
        <v>2.8279000000000001</v>
      </c>
      <c r="I487" s="2">
        <f>[1]!b_anal_yield_cnbd(I$1,$B487,1)</f>
        <v>2.8279000000000001</v>
      </c>
      <c r="J487" s="2">
        <f>[1]!b_anal_yield_cnbd(J$1,$B487,1)</f>
        <v>2.86</v>
      </c>
    </row>
    <row r="488" spans="2:10" x14ac:dyDescent="0.15">
      <c r="B488" s="1">
        <v>44678</v>
      </c>
      <c r="C488" s="3">
        <f t="shared" ca="1" si="23"/>
        <v>2.8111000000000002</v>
      </c>
      <c r="D488" s="3">
        <f t="shared" ca="1" si="24"/>
        <v>2.817685</v>
      </c>
      <c r="E488" s="2">
        <f ca="1">[1]!b_anal_yield_cnbd(E$1,$B488,1)</f>
        <v>2.8111000000000002</v>
      </c>
      <c r="F488" s="3">
        <f t="shared" ca="1" si="25"/>
        <v>2.817685</v>
      </c>
      <c r="G488" s="2">
        <f ca="1">[1]!b_anal_yield_cnbd(G$1,$B488,1)</f>
        <v>2.8111000000000002</v>
      </c>
      <c r="H488" s="2">
        <f>[1]!b_anal_yield_cnbd(H$1,$B488,1)</f>
        <v>2.8111000000000002</v>
      </c>
      <c r="I488" s="2">
        <f>[1]!b_anal_yield_cnbd(I$1,$B488,1)</f>
        <v>2.8111000000000002</v>
      </c>
      <c r="J488" s="2">
        <f>[1]!b_anal_yield_cnbd(J$1,$B488,1)</f>
        <v>2.855</v>
      </c>
    </row>
    <row r="489" spans="2:10" x14ac:dyDescent="0.15">
      <c r="B489" s="1">
        <v>44677</v>
      </c>
      <c r="C489" s="3">
        <f t="shared" ca="1" si="23"/>
        <v>2.8043999999999998</v>
      </c>
      <c r="D489" s="3">
        <f t="shared" ca="1" si="24"/>
        <v>2.8101149999999997</v>
      </c>
      <c r="E489" s="2">
        <f ca="1">[1]!b_anal_yield_cnbd(E$1,$B489,1)</f>
        <v>2.8043999999999998</v>
      </c>
      <c r="F489" s="3">
        <f t="shared" ca="1" si="25"/>
        <v>2.8101149999999997</v>
      </c>
      <c r="G489" s="2">
        <f ca="1">[1]!b_anal_yield_cnbd(G$1,$B489,1)</f>
        <v>2.8043999999999998</v>
      </c>
      <c r="H489" s="2">
        <f>[1]!b_anal_yield_cnbd(H$1,$B489,1)</f>
        <v>2.8043999999999998</v>
      </c>
      <c r="I489" s="2">
        <f>[1]!b_anal_yield_cnbd(I$1,$B489,1)</f>
        <v>2.8043999999999998</v>
      </c>
      <c r="J489" s="2">
        <f>[1]!b_anal_yield_cnbd(J$1,$B489,1)</f>
        <v>2.8424999999999998</v>
      </c>
    </row>
    <row r="490" spans="2:10" x14ac:dyDescent="0.15">
      <c r="B490" s="1">
        <v>44676</v>
      </c>
      <c r="C490" s="3">
        <f t="shared" ca="1" si="23"/>
        <v>2.8</v>
      </c>
      <c r="D490" s="3">
        <f t="shared" ca="1" si="24"/>
        <v>2.80525</v>
      </c>
      <c r="E490" s="2">
        <f ca="1">[1]!b_anal_yield_cnbd(E$1,$B490,1)</f>
        <v>2.8</v>
      </c>
      <c r="F490" s="3">
        <f t="shared" ca="1" si="25"/>
        <v>2.80525</v>
      </c>
      <c r="G490" s="2">
        <f ca="1">[1]!b_anal_yield_cnbd(G$1,$B490,1)</f>
        <v>2.8</v>
      </c>
      <c r="H490" s="2">
        <f>[1]!b_anal_yield_cnbd(H$1,$B490,1)</f>
        <v>2.8</v>
      </c>
      <c r="I490" s="2">
        <f>[1]!b_anal_yield_cnbd(I$1,$B490,1)</f>
        <v>2.8</v>
      </c>
      <c r="J490" s="2">
        <f>[1]!b_anal_yield_cnbd(J$1,$B490,1)</f>
        <v>2.835</v>
      </c>
    </row>
    <row r="491" spans="2:10" x14ac:dyDescent="0.15">
      <c r="B491" s="1">
        <v>44675</v>
      </c>
      <c r="C491" s="3">
        <f t="shared" ca="1" si="23"/>
        <v>2.8106</v>
      </c>
      <c r="D491" s="3">
        <f t="shared" ca="1" si="24"/>
        <v>2.8172599999999997</v>
      </c>
      <c r="E491" s="2">
        <f ca="1">[1]!b_anal_yield_cnbd(E$1,$B491,1)</f>
        <v>2.8106</v>
      </c>
      <c r="F491" s="3">
        <f t="shared" ca="1" si="25"/>
        <v>2.8172599999999997</v>
      </c>
      <c r="G491" s="2">
        <f ca="1">[1]!b_anal_yield_cnbd(G$1,$B491,1)</f>
        <v>2.8106</v>
      </c>
      <c r="H491" s="2">
        <f>[1]!b_anal_yield_cnbd(H$1,$B491,1)</f>
        <v>2.8106</v>
      </c>
      <c r="I491" s="2">
        <f>[1]!b_anal_yield_cnbd(I$1,$B491,1)</f>
        <v>2.8106</v>
      </c>
      <c r="J491" s="2">
        <f>[1]!b_anal_yield_cnbd(J$1,$B491,1)</f>
        <v>2.855</v>
      </c>
    </row>
    <row r="492" spans="2:10" x14ac:dyDescent="0.15">
      <c r="B492" s="1">
        <v>44673</v>
      </c>
      <c r="C492" s="3">
        <f t="shared" ca="1" si="23"/>
        <v>2.8149000000000002</v>
      </c>
      <c r="D492" s="3">
        <f t="shared" ca="1" si="24"/>
        <v>2.8216649999999999</v>
      </c>
      <c r="E492" s="2">
        <f ca="1">[1]!b_anal_yield_cnbd(E$1,$B492,1)</f>
        <v>2.8149000000000002</v>
      </c>
      <c r="F492" s="3">
        <f t="shared" ca="1" si="25"/>
        <v>2.8216649999999999</v>
      </c>
      <c r="G492" s="2">
        <f ca="1">[1]!b_anal_yield_cnbd(G$1,$B492,1)</f>
        <v>2.8149000000000002</v>
      </c>
      <c r="H492" s="2">
        <f>[1]!b_anal_yield_cnbd(H$1,$B492,1)</f>
        <v>2.8149000000000002</v>
      </c>
      <c r="I492" s="2">
        <f>[1]!b_anal_yield_cnbd(I$1,$B492,1)</f>
        <v>2.8149000000000002</v>
      </c>
      <c r="J492" s="2">
        <f>[1]!b_anal_yield_cnbd(J$1,$B492,1)</f>
        <v>2.86</v>
      </c>
    </row>
    <row r="493" spans="2:10" x14ac:dyDescent="0.15">
      <c r="B493" s="1">
        <v>44672</v>
      </c>
      <c r="C493" s="3">
        <f t="shared" ca="1" si="23"/>
        <v>2.8050000000000002</v>
      </c>
      <c r="D493" s="3">
        <f t="shared" ca="1" si="24"/>
        <v>2.8110000000000004</v>
      </c>
      <c r="E493" s="2">
        <f ca="1">[1]!b_anal_yield_cnbd(E$1,$B493,1)</f>
        <v>2.8050000000000002</v>
      </c>
      <c r="F493" s="3">
        <f t="shared" ca="1" si="25"/>
        <v>2.8110000000000004</v>
      </c>
      <c r="G493" s="2">
        <f ca="1">[1]!b_anal_yield_cnbd(G$1,$B493,1)</f>
        <v>2.8050000000000002</v>
      </c>
      <c r="H493" s="2">
        <f>[1]!b_anal_yield_cnbd(H$1,$B493,1)</f>
        <v>2.8050000000000002</v>
      </c>
      <c r="I493" s="2">
        <f>[1]!b_anal_yield_cnbd(I$1,$B493,1)</f>
        <v>2.8050000000000002</v>
      </c>
      <c r="J493" s="2">
        <f>[1]!b_anal_yield_cnbd(J$1,$B493,1)</f>
        <v>2.8450000000000002</v>
      </c>
    </row>
    <row r="494" spans="2:10" x14ac:dyDescent="0.15">
      <c r="B494" s="1">
        <v>44671</v>
      </c>
      <c r="C494" s="3">
        <f t="shared" ca="1" si="23"/>
        <v>2.8054999999999999</v>
      </c>
      <c r="D494" s="3">
        <f t="shared" ca="1" si="24"/>
        <v>2.8114249999999998</v>
      </c>
      <c r="E494" s="2">
        <f ca="1">[1]!b_anal_yield_cnbd(E$1,$B494,1)</f>
        <v>2.8054999999999999</v>
      </c>
      <c r="F494" s="3">
        <f t="shared" ca="1" si="25"/>
        <v>2.8114249999999998</v>
      </c>
      <c r="G494" s="2">
        <f ca="1">[1]!b_anal_yield_cnbd(G$1,$B494,1)</f>
        <v>2.8054999999999999</v>
      </c>
      <c r="H494" s="2">
        <f>[1]!b_anal_yield_cnbd(H$1,$B494,1)</f>
        <v>2.8054999999999999</v>
      </c>
      <c r="I494" s="2">
        <f>[1]!b_anal_yield_cnbd(I$1,$B494,1)</f>
        <v>2.8054999999999999</v>
      </c>
      <c r="J494" s="2">
        <f>[1]!b_anal_yield_cnbd(J$1,$B494,1)</f>
        <v>2.8450000000000002</v>
      </c>
    </row>
    <row r="495" spans="2:10" x14ac:dyDescent="0.15">
      <c r="B495" s="1">
        <v>44670</v>
      </c>
      <c r="C495" s="3">
        <f t="shared" ca="1" si="23"/>
        <v>2.7909000000000002</v>
      </c>
      <c r="D495" s="3">
        <f t="shared" ca="1" si="24"/>
        <v>2.7960150000000001</v>
      </c>
      <c r="E495" s="2">
        <f ca="1">[1]!b_anal_yield_cnbd(E$1,$B495,1)</f>
        <v>2.7909000000000002</v>
      </c>
      <c r="F495" s="3">
        <f t="shared" ca="1" si="25"/>
        <v>2.7960150000000001</v>
      </c>
      <c r="G495" s="2">
        <f ca="1">[1]!b_anal_yield_cnbd(G$1,$B495,1)</f>
        <v>2.7909000000000002</v>
      </c>
      <c r="H495" s="2">
        <f>[1]!b_anal_yield_cnbd(H$1,$B495,1)</f>
        <v>2.7909000000000002</v>
      </c>
      <c r="I495" s="2">
        <f>[1]!b_anal_yield_cnbd(I$1,$B495,1)</f>
        <v>2.7909000000000002</v>
      </c>
      <c r="J495" s="2">
        <f>[1]!b_anal_yield_cnbd(J$1,$B495,1)</f>
        <v>2.8250000000000002</v>
      </c>
    </row>
    <row r="496" spans="2:10" x14ac:dyDescent="0.15">
      <c r="B496" s="1"/>
      <c r="C496" s="1"/>
      <c r="D496" s="1"/>
      <c r="E496" s="1"/>
      <c r="F496" s="1"/>
    </row>
    <row r="497" spans="2:6" x14ac:dyDescent="0.15">
      <c r="B497" s="1"/>
      <c r="C497" s="1"/>
      <c r="D497" s="1"/>
      <c r="E497" s="1"/>
      <c r="F497" s="1"/>
    </row>
    <row r="498" spans="2:6" x14ac:dyDescent="0.15">
      <c r="B498" s="1"/>
      <c r="C498" s="1"/>
      <c r="D498" s="1"/>
      <c r="E498" s="1"/>
      <c r="F498" s="1"/>
    </row>
    <row r="499" spans="2:6" x14ac:dyDescent="0.15">
      <c r="B499" s="1"/>
      <c r="C499" s="1"/>
      <c r="D499" s="1"/>
      <c r="E499" s="1"/>
      <c r="F499" s="1"/>
    </row>
    <row r="500" spans="2:6" x14ac:dyDescent="0.15">
      <c r="B500" s="1"/>
      <c r="C500" s="1"/>
      <c r="D500" s="1"/>
      <c r="E500" s="1"/>
      <c r="F500" s="1"/>
    </row>
    <row r="501" spans="2:6" x14ac:dyDescent="0.15">
      <c r="B501" s="1"/>
      <c r="C501" s="1"/>
      <c r="D501" s="1"/>
      <c r="E501" s="1"/>
      <c r="F501" s="1"/>
    </row>
    <row r="502" spans="2:6" x14ac:dyDescent="0.15">
      <c r="B502" s="1"/>
      <c r="C502" s="1"/>
      <c r="D502" s="1"/>
      <c r="E502" s="1"/>
      <c r="F502" s="1"/>
    </row>
    <row r="503" spans="2:6" x14ac:dyDescent="0.15">
      <c r="B503" s="1"/>
      <c r="C503" s="1"/>
      <c r="D503" s="1"/>
      <c r="E503" s="1"/>
      <c r="F503" s="1"/>
    </row>
    <row r="504" spans="2:6" x14ac:dyDescent="0.15">
      <c r="B504" s="1"/>
      <c r="C504" s="1"/>
      <c r="D504" s="1"/>
      <c r="E504" s="1"/>
      <c r="F504" s="1"/>
    </row>
    <row r="505" spans="2:6" x14ac:dyDescent="0.15">
      <c r="B505" s="1"/>
      <c r="C505" s="1"/>
      <c r="D505" s="1"/>
      <c r="E505" s="1"/>
      <c r="F505" s="1"/>
    </row>
    <row r="506" spans="2:6" x14ac:dyDescent="0.15">
      <c r="B506" s="1"/>
      <c r="C506" s="1"/>
      <c r="D506" s="1"/>
      <c r="E506" s="1"/>
      <c r="F506" s="1"/>
    </row>
    <row r="507" spans="2:6" x14ac:dyDescent="0.15">
      <c r="B507" s="1"/>
      <c r="C507" s="1"/>
      <c r="D507" s="1"/>
      <c r="E507" s="1"/>
      <c r="F507" s="1"/>
    </row>
    <row r="508" spans="2:6" x14ac:dyDescent="0.15">
      <c r="B508" s="1"/>
      <c r="C508" s="1"/>
      <c r="D508" s="1"/>
      <c r="E508" s="1"/>
      <c r="F508" s="1"/>
    </row>
    <row r="509" spans="2:6" x14ac:dyDescent="0.15">
      <c r="B509" s="1"/>
      <c r="C509" s="1"/>
      <c r="D509" s="1"/>
      <c r="E509" s="1"/>
      <c r="F509" s="1"/>
    </row>
    <row r="510" spans="2:6" x14ac:dyDescent="0.15">
      <c r="B510" s="1"/>
      <c r="C510" s="1"/>
      <c r="D510" s="1"/>
      <c r="E510" s="1"/>
      <c r="F510" s="1"/>
    </row>
    <row r="511" spans="2:6" x14ac:dyDescent="0.15">
      <c r="B511" s="1"/>
      <c r="C511" s="1"/>
      <c r="D511" s="1"/>
      <c r="E511" s="1"/>
      <c r="F511" s="1"/>
    </row>
    <row r="512" spans="2:6" x14ac:dyDescent="0.15">
      <c r="B512" s="1"/>
      <c r="C512" s="1"/>
      <c r="D512" s="1"/>
      <c r="E512" s="1"/>
      <c r="F512" s="1"/>
    </row>
    <row r="513" spans="2:6" x14ac:dyDescent="0.15">
      <c r="B513" s="1"/>
      <c r="C513" s="1"/>
      <c r="D513" s="1"/>
      <c r="E513" s="1"/>
      <c r="F513" s="1"/>
    </row>
    <row r="514" spans="2:6" x14ac:dyDescent="0.15">
      <c r="B514" s="1"/>
      <c r="C514" s="1"/>
      <c r="D514" s="1"/>
      <c r="E514" s="1"/>
      <c r="F514" s="1"/>
    </row>
    <row r="515" spans="2:6" x14ac:dyDescent="0.15">
      <c r="B515" s="1"/>
      <c r="C515" s="1"/>
      <c r="D515" s="1"/>
      <c r="E515" s="1"/>
      <c r="F515" s="1"/>
    </row>
    <row r="516" spans="2:6" x14ac:dyDescent="0.15">
      <c r="B516" s="1"/>
      <c r="C516" s="1"/>
      <c r="D516" s="1"/>
      <c r="E516" s="1"/>
      <c r="F516" s="1"/>
    </row>
    <row r="517" spans="2:6" x14ac:dyDescent="0.15">
      <c r="B517" s="1"/>
      <c r="C517" s="1"/>
      <c r="D517" s="1"/>
      <c r="E517" s="1"/>
      <c r="F517" s="1"/>
    </row>
    <row r="518" spans="2:6" x14ac:dyDescent="0.15">
      <c r="B518" s="1"/>
      <c r="C518" s="1"/>
      <c r="D518" s="1"/>
      <c r="E518" s="1"/>
      <c r="F518" s="1"/>
    </row>
    <row r="519" spans="2:6" x14ac:dyDescent="0.15">
      <c r="B519" s="1"/>
      <c r="C519" s="1"/>
      <c r="D519" s="1"/>
      <c r="E519" s="1"/>
      <c r="F519" s="1"/>
    </row>
    <row r="520" spans="2:6" x14ac:dyDescent="0.15">
      <c r="B520" s="1"/>
      <c r="C520" s="1"/>
      <c r="D520" s="1"/>
      <c r="E520" s="1"/>
      <c r="F520" s="1"/>
    </row>
    <row r="521" spans="2:6" x14ac:dyDescent="0.15">
      <c r="B521" s="1"/>
      <c r="C521" s="1"/>
      <c r="D521" s="1"/>
      <c r="E521" s="1"/>
      <c r="F521" s="1"/>
    </row>
    <row r="522" spans="2:6" x14ac:dyDescent="0.15">
      <c r="B522" s="1"/>
      <c r="C522" s="1"/>
      <c r="D522" s="1"/>
      <c r="E522" s="1"/>
      <c r="F522" s="1"/>
    </row>
    <row r="523" spans="2:6" x14ac:dyDescent="0.15">
      <c r="B523" s="1"/>
      <c r="C523" s="1"/>
      <c r="D523" s="1"/>
      <c r="E523" s="1"/>
      <c r="F523" s="1"/>
    </row>
    <row r="524" spans="2:6" x14ac:dyDescent="0.15">
      <c r="B524" s="1"/>
      <c r="C524" s="1"/>
      <c r="D524" s="1"/>
      <c r="E524" s="1"/>
      <c r="F524" s="1"/>
    </row>
  </sheetData>
  <phoneticPr fontId="3" type="noConversion"/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C25"/>
  <sheetViews>
    <sheetView workbookViewId="0">
      <selection activeCell="D38" sqref="D38"/>
    </sheetView>
  </sheetViews>
  <sheetFormatPr defaultRowHeight="13.5" x14ac:dyDescent="0.15"/>
  <cols>
    <col min="1" max="1" width="11.625" customWidth="1"/>
    <col min="2" max="2" width="13.375" customWidth="1"/>
    <col min="3" max="3" width="13.625" customWidth="1"/>
    <col min="4" max="4" width="8.625" customWidth="1"/>
    <col min="5" max="5" width="9.625" customWidth="1"/>
    <col min="6" max="6" width="9.5" bestFit="1" customWidth="1"/>
    <col min="7" max="8" width="8.5" customWidth="1"/>
    <col min="9" max="9" width="8.625" customWidth="1"/>
    <col min="11" max="11" width="27.875" bestFit="1" customWidth="1"/>
    <col min="12" max="13" width="11.625" bestFit="1" customWidth="1"/>
    <col min="14" max="14" width="9.625" customWidth="1"/>
    <col min="17" max="18" width="8.5" customWidth="1"/>
    <col min="19" max="19" width="8.625" customWidth="1"/>
    <col min="21" max="21" width="27.875" bestFit="1" customWidth="1"/>
    <col min="22" max="23" width="11.625" bestFit="1" customWidth="1"/>
  </cols>
  <sheetData>
    <row r="1" spans="1:3" x14ac:dyDescent="0.15">
      <c r="A1" t="s">
        <v>5</v>
      </c>
      <c r="B1" s="9" t="s">
        <v>6</v>
      </c>
    </row>
    <row r="2" spans="1:3" x14ac:dyDescent="0.15">
      <c r="A2" t="s">
        <v>7</v>
      </c>
      <c r="B2" s="12" t="str">
        <f ca="1">国债期货对冲分析!D15</f>
        <v>TF2406.CFE</v>
      </c>
    </row>
    <row r="3" spans="1:3" x14ac:dyDescent="0.15">
      <c r="A3" t="s">
        <v>8</v>
      </c>
      <c r="B3" s="12" t="str">
        <f ca="1">TEXT(TODAY(),"YYYYMMDD")</f>
        <v>20240408</v>
      </c>
    </row>
    <row r="4" spans="1:3" x14ac:dyDescent="0.15">
      <c r="A4" t="s">
        <v>9</v>
      </c>
      <c r="B4" s="10" t="s">
        <v>16</v>
      </c>
    </row>
    <row r="5" spans="1:3" x14ac:dyDescent="0.15">
      <c r="A5" t="s">
        <v>10</v>
      </c>
      <c r="B5" s="10" t="s">
        <v>2</v>
      </c>
    </row>
    <row r="6" spans="1:3" x14ac:dyDescent="0.15">
      <c r="A6" t="s">
        <v>11</v>
      </c>
      <c r="B6" s="10" t="s">
        <v>17</v>
      </c>
      <c r="C6" t="s">
        <v>14</v>
      </c>
    </row>
    <row r="7" spans="1:3" x14ac:dyDescent="0.15">
      <c r="A7" t="s">
        <v>12</v>
      </c>
      <c r="B7" t="s">
        <v>13</v>
      </c>
      <c r="C7" t="s">
        <v>15</v>
      </c>
    </row>
    <row r="8" spans="1:3" x14ac:dyDescent="0.15">
      <c r="A8" s="9" t="str">
        <f ca="1">[1]!wset("deliverablebondlist","windcode="&amp;B2,"date="&amp;B3,"flag="&amp;B4,"pricetype="&amp;B5,"field=code,name,market","cols=3;rows=18")</f>
        <v>210013.IB</v>
      </c>
      <c r="B8" s="10" t="s">
        <v>20</v>
      </c>
      <c r="C8" s="10" t="s">
        <v>104</v>
      </c>
    </row>
    <row r="9" spans="1:3" x14ac:dyDescent="0.15">
      <c r="A9" s="10" t="s">
        <v>22</v>
      </c>
      <c r="B9" s="10" t="s">
        <v>105</v>
      </c>
      <c r="C9" s="10" t="s">
        <v>106</v>
      </c>
    </row>
    <row r="10" spans="1:3" x14ac:dyDescent="0.15">
      <c r="A10" s="10" t="s">
        <v>23</v>
      </c>
      <c r="B10" s="10" t="s">
        <v>107</v>
      </c>
      <c r="C10" s="10" t="s">
        <v>108</v>
      </c>
    </row>
    <row r="11" spans="1:3" x14ac:dyDescent="0.15">
      <c r="A11" s="10" t="s">
        <v>109</v>
      </c>
      <c r="B11" s="10" t="s">
        <v>110</v>
      </c>
      <c r="C11" s="10" t="s">
        <v>111</v>
      </c>
    </row>
    <row r="12" spans="1:3" x14ac:dyDescent="0.15">
      <c r="A12" s="10" t="s">
        <v>112</v>
      </c>
      <c r="B12" s="10" t="s">
        <v>113</v>
      </c>
      <c r="C12" s="10" t="s">
        <v>106</v>
      </c>
    </row>
    <row r="13" spans="1:3" x14ac:dyDescent="0.15">
      <c r="A13" s="10" t="s">
        <v>114</v>
      </c>
      <c r="B13" s="10" t="s">
        <v>115</v>
      </c>
      <c r="C13" s="10" t="s">
        <v>108</v>
      </c>
    </row>
    <row r="14" spans="1:3" x14ac:dyDescent="0.15">
      <c r="A14" s="10" t="s">
        <v>24</v>
      </c>
      <c r="B14" s="10" t="s">
        <v>25</v>
      </c>
      <c r="C14" s="10" t="s">
        <v>108</v>
      </c>
    </row>
    <row r="15" spans="1:3" x14ac:dyDescent="0.15">
      <c r="A15" s="10" t="s">
        <v>116</v>
      </c>
      <c r="B15" s="10" t="s">
        <v>117</v>
      </c>
      <c r="C15" s="10" t="s">
        <v>106</v>
      </c>
    </row>
    <row r="16" spans="1:3" x14ac:dyDescent="0.15">
      <c r="A16" s="10" t="s">
        <v>118</v>
      </c>
      <c r="B16" s="10" t="s">
        <v>119</v>
      </c>
      <c r="C16" s="10" t="s">
        <v>120</v>
      </c>
    </row>
    <row r="17" spans="1:3" x14ac:dyDescent="0.15">
      <c r="A17" s="10" t="s">
        <v>26</v>
      </c>
      <c r="B17" s="10" t="s">
        <v>27</v>
      </c>
      <c r="C17" s="10" t="s">
        <v>21</v>
      </c>
    </row>
    <row r="18" spans="1:3" x14ac:dyDescent="0.15">
      <c r="A18" s="10" t="s">
        <v>28</v>
      </c>
      <c r="B18" s="10" t="s">
        <v>121</v>
      </c>
      <c r="C18" s="10" t="s">
        <v>106</v>
      </c>
    </row>
    <row r="19" spans="1:3" x14ac:dyDescent="0.15">
      <c r="A19" s="10" t="s">
        <v>29</v>
      </c>
      <c r="B19" s="10" t="s">
        <v>122</v>
      </c>
      <c r="C19" s="10" t="s">
        <v>123</v>
      </c>
    </row>
    <row r="20" spans="1:3" x14ac:dyDescent="0.15">
      <c r="A20" s="10" t="s">
        <v>31</v>
      </c>
      <c r="B20" s="10" t="s">
        <v>124</v>
      </c>
      <c r="C20" s="10" t="s">
        <v>108</v>
      </c>
    </row>
    <row r="21" spans="1:3" x14ac:dyDescent="0.15">
      <c r="A21" s="10" t="s">
        <v>125</v>
      </c>
      <c r="B21" s="10" t="s">
        <v>30</v>
      </c>
      <c r="C21" s="10" t="s">
        <v>106</v>
      </c>
    </row>
    <row r="22" spans="1:3" x14ac:dyDescent="0.15">
      <c r="A22" s="10" t="s">
        <v>126</v>
      </c>
      <c r="B22" s="10" t="s">
        <v>127</v>
      </c>
      <c r="C22" s="10" t="s">
        <v>21</v>
      </c>
    </row>
    <row r="23" spans="1:3" x14ac:dyDescent="0.15">
      <c r="A23" s="10" t="s">
        <v>128</v>
      </c>
      <c r="B23" s="10" t="s">
        <v>129</v>
      </c>
      <c r="C23" s="10" t="s">
        <v>108</v>
      </c>
    </row>
    <row r="24" spans="1:3" x14ac:dyDescent="0.15">
      <c r="A24" s="10" t="s">
        <v>130</v>
      </c>
      <c r="B24" s="10" t="s">
        <v>131</v>
      </c>
      <c r="C24" s="10" t="s">
        <v>21</v>
      </c>
    </row>
    <row r="25" spans="1:3" x14ac:dyDescent="0.15">
      <c r="A25" s="10" t="s">
        <v>132</v>
      </c>
      <c r="B25" s="10" t="s">
        <v>133</v>
      </c>
      <c r="C25" s="10" t="s">
        <v>106</v>
      </c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T51"/>
  <sheetViews>
    <sheetView zoomScaleNormal="100" workbookViewId="0">
      <selection activeCell="W9" sqref="W9"/>
    </sheetView>
  </sheetViews>
  <sheetFormatPr defaultRowHeight="13.5" x14ac:dyDescent="0.15"/>
  <cols>
    <col min="1" max="1" width="6.375" style="5" customWidth="1"/>
    <col min="2" max="2" width="14" style="4" customWidth="1"/>
    <col min="3" max="18" width="9" style="4"/>
    <col min="19" max="19" width="6.5" style="4" customWidth="1"/>
    <col min="20" max="16384" width="9" style="4"/>
  </cols>
  <sheetData>
    <row r="1" spans="1:20" ht="27.75" x14ac:dyDescent="0.45">
      <c r="A1" s="13"/>
      <c r="B1" s="13"/>
      <c r="C1" s="13"/>
      <c r="D1" s="13"/>
      <c r="E1" s="71" t="s">
        <v>32</v>
      </c>
      <c r="F1" s="71"/>
      <c r="G1" s="71"/>
      <c r="H1" s="71"/>
      <c r="I1" s="71"/>
      <c r="J1" s="71"/>
      <c r="K1" s="71"/>
      <c r="L1" s="71"/>
      <c r="M1" s="71"/>
      <c r="N1" s="71"/>
      <c r="O1" s="71"/>
      <c r="P1" s="13"/>
      <c r="Q1" s="13"/>
      <c r="R1" s="13"/>
      <c r="S1" s="13"/>
      <c r="T1" s="13"/>
    </row>
    <row r="2" spans="1:20" x14ac:dyDescent="0.1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x14ac:dyDescent="0.1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x14ac:dyDescent="0.15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</row>
    <row r="5" spans="1:20" x14ac:dyDescent="0.15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</row>
    <row r="6" spans="1:20" x14ac:dyDescent="0.15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</row>
    <row r="7" spans="1:20" x14ac:dyDescent="0.15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</row>
    <row r="8" spans="1:20" x14ac:dyDescent="0.15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</row>
    <row r="9" spans="1:20" x14ac:dyDescent="0.1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</row>
    <row r="10" spans="1:20" x14ac:dyDescent="0.1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</row>
    <row r="11" spans="1:20" x14ac:dyDescent="0.1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</row>
    <row r="12" spans="1:20" x14ac:dyDescent="0.1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</row>
    <row r="13" spans="1:20" x14ac:dyDescent="0.1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0" x14ac:dyDescent="0.1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</row>
    <row r="15" spans="1:20" x14ac:dyDescent="0.1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</row>
    <row r="16" spans="1:20" x14ac:dyDescent="0.1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</row>
    <row r="17" spans="1:20" x14ac:dyDescent="0.1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</row>
    <row r="18" spans="1:20" x14ac:dyDescent="0.1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</row>
    <row r="19" spans="1:20" x14ac:dyDescent="0.1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</row>
    <row r="20" spans="1:20" x14ac:dyDescent="0.1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</row>
    <row r="21" spans="1:20" x14ac:dyDescent="0.1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</row>
    <row r="22" spans="1:20" x14ac:dyDescent="0.1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</row>
    <row r="23" spans="1:20" x14ac:dyDescent="0.1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</row>
    <row r="24" spans="1:20" x14ac:dyDescent="0.1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</row>
    <row r="25" spans="1:20" x14ac:dyDescent="0.1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</row>
    <row r="26" spans="1:20" x14ac:dyDescent="0.1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</row>
    <row r="27" spans="1:20" x14ac:dyDescent="0.1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</row>
    <row r="28" spans="1:20" x14ac:dyDescent="0.1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</row>
    <row r="29" spans="1:20" x14ac:dyDescent="0.1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</row>
    <row r="30" spans="1:20" x14ac:dyDescent="0.15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</row>
    <row r="31" spans="1:20" x14ac:dyDescent="0.15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</row>
    <row r="32" spans="1:20" x14ac:dyDescent="0.15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</row>
    <row r="33" spans="1:20" x14ac:dyDescent="0.15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</row>
    <row r="34" spans="1:20" x14ac:dyDescent="0.15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</row>
    <row r="35" spans="1:20" x14ac:dyDescent="0.15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</row>
    <row r="36" spans="1:20" x14ac:dyDescent="0.1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</row>
    <row r="37" spans="1:20" x14ac:dyDescent="0.15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</row>
    <row r="38" spans="1:20" x14ac:dyDescent="0.1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</row>
    <row r="39" spans="1:20" x14ac:dyDescent="0.1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</row>
    <row r="40" spans="1:20" x14ac:dyDescent="0.1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</row>
    <row r="41" spans="1:20" x14ac:dyDescent="0.1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</row>
    <row r="42" spans="1:20" x14ac:dyDescent="0.1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</row>
    <row r="43" spans="1:20" x14ac:dyDescent="0.1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</row>
    <row r="44" spans="1:20" x14ac:dyDescent="0.1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</row>
    <row r="45" spans="1:20" x14ac:dyDescent="0.1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</row>
    <row r="46" spans="1:20" ht="18" x14ac:dyDescent="0.15">
      <c r="C46" s="6"/>
      <c r="D46" s="7"/>
      <c r="E46" s="5"/>
      <c r="F46" s="5"/>
    </row>
    <row r="47" spans="1:20" ht="18" x14ac:dyDescent="0.15">
      <c r="C47" s="6"/>
      <c r="D47" s="8"/>
      <c r="E47" s="5"/>
      <c r="F47" s="5"/>
    </row>
    <row r="48" spans="1:20" ht="18" x14ac:dyDescent="0.15">
      <c r="C48" s="6"/>
      <c r="D48" s="8"/>
      <c r="E48" s="5"/>
      <c r="F48" s="5"/>
    </row>
    <row r="49" spans="3:6" ht="18" x14ac:dyDescent="0.15">
      <c r="C49" s="6"/>
      <c r="D49" s="8"/>
      <c r="E49" s="5"/>
      <c r="F49" s="5"/>
    </row>
    <row r="50" spans="3:6" ht="18" x14ac:dyDescent="0.15">
      <c r="C50" s="6"/>
      <c r="D50" s="6"/>
      <c r="E50" s="5"/>
      <c r="F50" s="5"/>
    </row>
    <row r="51" spans="3:6" ht="18" x14ac:dyDescent="0.15">
      <c r="C51" s="6"/>
      <c r="D51" s="6"/>
      <c r="E51" s="5"/>
      <c r="F51" s="5"/>
    </row>
  </sheetData>
  <mergeCells count="1">
    <mergeCell ref="E1:O1"/>
  </mergeCells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"/>
  <sheetViews>
    <sheetView workbookViewId="0"/>
  </sheetViews>
  <sheetFormatPr defaultRowHeight="13.5" x14ac:dyDescent="0.15"/>
  <sheetData>
    <row r="1" spans="1:1" ht="17.25" x14ac:dyDescent="0.15">
      <c r="A1" s="11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国债期货对冲分析</vt:lpstr>
      <vt:lpstr>回归结果</vt:lpstr>
      <vt:lpstr>可交割券列表</vt:lpstr>
      <vt:lpstr>使用说明</vt:lpstr>
    </vt:vector>
  </TitlesOfParts>
  <Company>wind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wind001</dc:creator>
  <cp:lastModifiedBy>Cui YongQiang</cp:lastModifiedBy>
  <dcterms:created xsi:type="dcterms:W3CDTF">2013-09-12T02:47:47Z</dcterms:created>
  <dcterms:modified xsi:type="dcterms:W3CDTF">2024-04-08T05:44:13Z</dcterms:modified>
</cp:coreProperties>
</file>