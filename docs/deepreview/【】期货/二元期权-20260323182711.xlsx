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20230727 模板库-更新计划1期\衍生品\"/>
    </mc:Choice>
  </mc:AlternateContent>
  <bookViews>
    <workbookView xWindow="30975" yWindow="1875" windowWidth="21600" windowHeight="11385"/>
  </bookViews>
  <sheets>
    <sheet name="期权定价计算器 -二元期权定价计算器" sheetId="3" r:id="rId1"/>
    <sheet name="Wind模板" sheetId="4" state="veryHidden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" i="3" l="1"/>
  <c r="I14" i="3"/>
  <c r="I13" i="3"/>
  <c r="I12" i="3"/>
  <c r="I11" i="3"/>
  <c r="I10" i="3"/>
  <c r="I9" i="3"/>
  <c r="I8" i="3"/>
  <c r="H14" i="3"/>
  <c r="H13" i="3"/>
  <c r="H12" i="3"/>
  <c r="H11" i="3"/>
  <c r="H10" i="3"/>
  <c r="H9" i="3"/>
  <c r="H8" i="3"/>
  <c r="H7" i="3"/>
  <c r="C33" i="3"/>
  <c r="I7" i="3" l="1"/>
</calcChain>
</file>

<file path=xl/comments1.xml><?xml version="1.0" encoding="utf-8"?>
<comments xmlns="http://schemas.openxmlformats.org/spreadsheetml/2006/main">
  <authors>
    <author>Liu ZhiXuan</author>
    <author>Zhai Shuai</author>
    <author>Wang XiuFeng</author>
  </authors>
  <commentList>
    <comment ref="C12" authorId="0" shapeId="0">
      <text>
        <r>
          <rPr>
            <b/>
            <sz val="9"/>
            <color indexed="81"/>
            <rFont val="宋体"/>
            <family val="3"/>
            <charset val="134"/>
          </rPr>
          <t>手数：当标的类别为权益及期货时，该参数有效</t>
        </r>
      </text>
    </comment>
    <comment ref="C13" authorId="1" shapeId="0">
      <text>
        <r>
          <rPr>
            <b/>
            <sz val="9"/>
            <color indexed="81"/>
            <rFont val="宋体"/>
            <family val="3"/>
            <charset val="134"/>
          </rPr>
          <t>合约乘数：当标的类别为权益及期货时，该参数有效</t>
        </r>
      </text>
    </comment>
    <comment ref="C14" authorId="1" shapeId="0">
      <text>
        <r>
          <rPr>
            <b/>
            <sz val="9"/>
            <color indexed="81"/>
            <rFont val="宋体"/>
            <family val="3"/>
            <charset val="134"/>
          </rPr>
          <t>时间格式：yyyy-mm-dd 小时-分钟</t>
        </r>
      </text>
    </comment>
    <comment ref="C20" authorId="1" shapeId="0">
      <text>
        <r>
          <rPr>
            <sz val="9"/>
            <color indexed="81"/>
            <rFont val="宋体"/>
            <family val="3"/>
            <charset val="134"/>
          </rPr>
          <t>仅在</t>
        </r>
        <r>
          <rPr>
            <b/>
            <sz val="9"/>
            <color indexed="81"/>
            <rFont val="宋体"/>
            <family val="3"/>
            <charset val="134"/>
          </rPr>
          <t>标的类型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b/>
            <sz val="9"/>
            <color indexed="81"/>
            <rFont val="宋体"/>
            <family val="3"/>
            <charset val="134"/>
          </rPr>
          <t>权益</t>
        </r>
        <r>
          <rPr>
            <sz val="9"/>
            <color indexed="81"/>
            <rFont val="宋体"/>
            <family val="3"/>
            <charset val="134"/>
          </rPr>
          <t xml:space="preserve">时才调用
</t>
        </r>
      </text>
    </comment>
    <comment ref="C21" authorId="1" shapeId="0">
      <text>
        <r>
          <rPr>
            <sz val="9"/>
            <color indexed="81"/>
            <rFont val="宋体"/>
            <family val="3"/>
            <charset val="134"/>
          </rPr>
          <t>仅在标</t>
        </r>
        <r>
          <rPr>
            <b/>
            <sz val="9"/>
            <color indexed="81"/>
            <rFont val="宋体"/>
            <family val="3"/>
            <charset val="134"/>
          </rPr>
          <t>的类型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b/>
            <sz val="9"/>
            <color indexed="81"/>
            <rFont val="宋体"/>
            <family val="3"/>
            <charset val="134"/>
          </rPr>
          <t>外汇</t>
        </r>
        <r>
          <rPr>
            <sz val="9"/>
            <color indexed="81"/>
            <rFont val="宋体"/>
            <family val="3"/>
            <charset val="134"/>
          </rPr>
          <t>时才调用</t>
        </r>
        <r>
          <rPr>
            <b/>
            <sz val="9"/>
            <color indexed="81"/>
            <rFont val="宋体"/>
            <family val="3"/>
            <charset val="134"/>
          </rPr>
          <t xml:space="preserve">
</t>
        </r>
      </text>
    </comment>
    <comment ref="C33" authorId="2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<sst xmlns="http://schemas.openxmlformats.org/spreadsheetml/2006/main" count="59" uniqueCount="59">
  <si>
    <t>认购/认沽</t>
  </si>
  <si>
    <t>认购</t>
  </si>
  <si>
    <t>买卖方向</t>
  </si>
  <si>
    <t>买入</t>
  </si>
  <si>
    <t>到期日期</t>
  </si>
  <si>
    <t>行权价格</t>
  </si>
  <si>
    <t>类型</t>
  </si>
  <si>
    <t>利率(%)</t>
  </si>
  <si>
    <t>波动率(%)</t>
  </si>
  <si>
    <t>标的类别</t>
  </si>
  <si>
    <t>priceTotal</t>
  </si>
  <si>
    <t>理论价(总价)</t>
  </si>
  <si>
    <t>理论价(单价)</t>
  </si>
  <si>
    <t>pricePercent</t>
  </si>
  <si>
    <t>理论价(百分比)</t>
  </si>
  <si>
    <t>delta</t>
  </si>
  <si>
    <t>Delta</t>
  </si>
  <si>
    <t>gamma</t>
  </si>
  <si>
    <t>Gamma</t>
  </si>
  <si>
    <t>vega</t>
  </si>
  <si>
    <t>Vega</t>
  </si>
  <si>
    <t>theta</t>
  </si>
  <si>
    <t>Theta</t>
  </si>
  <si>
    <t>rho</t>
  </si>
  <si>
    <t>Rho</t>
  </si>
  <si>
    <t>13.95</t>
  </si>
  <si>
    <t>权益</t>
    <phoneticPr fontId="1" type="noConversion"/>
  </si>
  <si>
    <t>回扣</t>
  </si>
  <si>
    <t>priceSingle</t>
    <phoneticPr fontId="1" type="noConversion"/>
  </si>
  <si>
    <t>现金</t>
    <phoneticPr fontId="1" type="noConversion"/>
  </si>
  <si>
    <t>20230621</t>
    <phoneticPr fontId="1" type="noConversion"/>
  </si>
  <si>
    <t>20240619</t>
    <phoneticPr fontId="1" type="noConversion"/>
  </si>
  <si>
    <t>100</t>
    <phoneticPr fontId="1" type="noConversion"/>
  </si>
  <si>
    <t>2.357</t>
    <phoneticPr fontId="1" type="noConversion"/>
  </si>
  <si>
    <t>1</t>
    <phoneticPr fontId="1" type="noConversion"/>
  </si>
  <si>
    <t>使用该模板前，请升级Wind终端至最新版。</t>
    <phoneticPr fontId="1" type="noConversion"/>
  </si>
  <si>
    <t>参数设置区</t>
    <phoneticPr fontId="4" type="noConversion"/>
  </si>
  <si>
    <t>结果区</t>
    <phoneticPr fontId="4" type="noConversion"/>
  </si>
  <si>
    <t>权益</t>
  </si>
  <si>
    <t>买入</t>
    <phoneticPr fontId="1" type="noConversion"/>
  </si>
  <si>
    <t>卖出</t>
    <phoneticPr fontId="1" type="noConversion"/>
  </si>
  <si>
    <t>期货</t>
    <phoneticPr fontId="1" type="noConversion"/>
  </si>
  <si>
    <t>外汇</t>
    <phoneticPr fontId="1" type="noConversion"/>
  </si>
  <si>
    <t>手数</t>
    <phoneticPr fontId="1" type="noConversion"/>
  </si>
  <si>
    <t>标的价格</t>
    <phoneticPr fontId="1" type="noConversion"/>
  </si>
  <si>
    <t>第二货币利率(%)</t>
    <phoneticPr fontId="4" type="noConversion"/>
  </si>
  <si>
    <t>认购</t>
    <phoneticPr fontId="1" type="noConversion"/>
  </si>
  <si>
    <t>认沽</t>
    <phoneticPr fontId="1" type="noConversion"/>
  </si>
  <si>
    <t>资产</t>
    <phoneticPr fontId="1" type="noConversion"/>
  </si>
  <si>
    <t>期权定价计算器 -二元期权定价计算器</t>
    <phoneticPr fontId="4" type="noConversion"/>
  </si>
  <si>
    <t>开始日期</t>
    <phoneticPr fontId="4" type="noConversion"/>
  </si>
  <si>
    <t>合约乘数</t>
    <phoneticPr fontId="4" type="noConversion"/>
  </si>
  <si>
    <t>股息率(%)</t>
    <phoneticPr fontId="4" type="noConversion"/>
  </si>
  <si>
    <t>资产</t>
  </si>
  <si>
    <t>交易日</t>
    <phoneticPr fontId="1" type="noConversion"/>
  </si>
  <si>
    <t>自然日</t>
    <phoneticPr fontId="1" type="noConversion"/>
  </si>
  <si>
    <t>日历类型</t>
    <phoneticPr fontId="1" type="noConversion"/>
  </si>
  <si>
    <t>交易日</t>
  </si>
  <si>
    <t>二元期权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</si>
</sst>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#,##0.####"/>
    <numFmt numFmtId="177" formatCode="0.00_ "/>
    <numFmt numFmtId="178" formatCode="0.0%"/>
    <numFmt numFmtId="179" formatCode="0.0000_ "/>
    <numFmt numFmtId="180" formatCode="#,##0.##"/>
  </numFmts>
  <fonts count="1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14"/>
      <color theme="0"/>
      <name val="微软雅黑"/>
      <family val="2"/>
      <charset val="134"/>
    </font>
    <font>
      <sz val="9"/>
      <name val="宋体"/>
      <family val="3"/>
      <charset val="134"/>
    </font>
    <font>
      <sz val="12"/>
      <name val="微软雅黑"/>
      <family val="2"/>
      <charset val="134"/>
    </font>
    <font>
      <sz val="10"/>
      <color rgb="FF212121"/>
      <name val="微软雅黑"/>
      <family val="2"/>
      <charset val="134"/>
    </font>
    <font>
      <b/>
      <sz val="10"/>
      <color rgb="FF212121"/>
      <name val="微软雅黑"/>
      <family val="2"/>
      <charset val="134"/>
    </font>
    <font>
      <sz val="10"/>
      <color rgb="FF212121"/>
      <name val="Arial"/>
      <family val="2"/>
    </font>
    <font>
      <sz val="9"/>
      <color indexed="81"/>
      <name val="宋体"/>
      <family val="3"/>
      <charset val="134"/>
    </font>
    <font>
      <sz val="11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b/>
      <sz val="10"/>
      <color rgb="FF21212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8D078"/>
        <bgColor indexed="64"/>
      </patternFill>
    </fill>
    <fill>
      <patternFill patternType="solid">
        <fgColor rgb="FFF4F4F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2" borderId="0" xfId="0" applyFill="1" applyAlignment="1"/>
    <xf numFmtId="0" fontId="3" fillId="2" borderId="0" xfId="0" applyFont="1" applyFill="1">
      <alignment vertical="center"/>
    </xf>
    <xf numFmtId="0" fontId="0" fillId="3" borderId="0" xfId="0" applyFill="1" applyAlignment="1"/>
    <xf numFmtId="0" fontId="0" fillId="4" borderId="0" xfId="0" applyFill="1" applyAlignment="1"/>
    <xf numFmtId="0" fontId="5" fillId="4" borderId="1" xfId="0" applyFont="1" applyFill="1" applyBorder="1" applyAlignment="1">
      <alignment vertical="top"/>
    </xf>
    <xf numFmtId="0" fontId="0" fillId="4" borderId="1" xfId="0" applyFill="1" applyBorder="1" applyAlignment="1"/>
    <xf numFmtId="0" fontId="6" fillId="4" borderId="0" xfId="0" applyFont="1" applyFill="1" applyAlignment="1">
      <alignment horizontal="left"/>
    </xf>
    <xf numFmtId="0" fontId="7" fillId="5" borderId="0" xfId="0" applyFont="1" applyFill="1" applyAlignment="1"/>
    <xf numFmtId="177" fontId="7" fillId="7" borderId="0" xfId="0" applyNumberFormat="1" applyFont="1" applyFill="1">
      <alignment vertical="center"/>
    </xf>
    <xf numFmtId="0" fontId="6" fillId="4" borderId="0" xfId="0" applyFont="1" applyFill="1" applyAlignment="1"/>
    <xf numFmtId="0" fontId="7" fillId="4" borderId="0" xfId="0" applyFont="1" applyFill="1" applyAlignment="1"/>
    <xf numFmtId="177" fontId="8" fillId="4" borderId="0" xfId="0" applyNumberFormat="1" applyFont="1" applyFill="1" applyAlignment="1">
      <alignment horizontal="right" vertical="center"/>
    </xf>
    <xf numFmtId="0" fontId="0" fillId="4" borderId="0" xfId="0" applyFill="1">
      <alignment vertical="center"/>
    </xf>
    <xf numFmtId="0" fontId="6" fillId="4" borderId="0" xfId="0" applyFont="1" applyFill="1" applyAlignment="1">
      <alignment horizontal="center"/>
    </xf>
    <xf numFmtId="176" fontId="7" fillId="4" borderId="0" xfId="0" applyNumberFormat="1" applyFont="1" applyFill="1" applyAlignment="1"/>
    <xf numFmtId="0" fontId="10" fillId="4" borderId="0" xfId="0" applyFont="1" applyFill="1">
      <alignment vertical="center"/>
    </xf>
    <xf numFmtId="0" fontId="11" fillId="4" borderId="0" xfId="0" applyFont="1" applyFill="1">
      <alignment vertical="center"/>
    </xf>
    <xf numFmtId="49" fontId="11" fillId="4" borderId="0" xfId="0" applyNumberFormat="1" applyFont="1" applyFill="1" applyAlignment="1">
      <alignment horizontal="right" vertical="center"/>
    </xf>
    <xf numFmtId="176" fontId="11" fillId="4" borderId="0" xfId="0" applyNumberFormat="1" applyFont="1" applyFill="1" applyAlignment="1">
      <alignment horizontal="right" vertical="center"/>
    </xf>
    <xf numFmtId="179" fontId="12" fillId="7" borderId="0" xfId="0" applyNumberFormat="1" applyFont="1" applyFill="1" applyAlignment="1">
      <alignment horizontal="right" vertical="center"/>
    </xf>
    <xf numFmtId="179" fontId="12" fillId="4" borderId="0" xfId="0" applyNumberFormat="1" applyFont="1" applyFill="1" applyAlignment="1">
      <alignment horizontal="right" vertical="center"/>
    </xf>
    <xf numFmtId="178" fontId="6" fillId="6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11" fillId="0" borderId="0" xfId="0" applyFont="1">
      <alignment vertical="center"/>
    </xf>
    <xf numFmtId="0" fontId="6" fillId="6" borderId="0" xfId="0" applyFont="1" applyFill="1" applyAlignment="1">
      <alignment horizontal="center"/>
    </xf>
    <xf numFmtId="0" fontId="6" fillId="6" borderId="0" xfId="0" applyFont="1" applyFill="1" applyAlignment="1" applyProtection="1">
      <alignment horizontal="center"/>
      <protection locked="0"/>
    </xf>
    <xf numFmtId="180" fontId="0" fillId="0" borderId="0" xfId="0" applyNumberFormat="1" applyAlignment="1">
      <alignment horizontal="right" vertical="center"/>
    </xf>
    <xf numFmtId="180" fontId="11" fillId="4" borderId="0" xfId="0" applyNumberFormat="1" applyFont="1" applyFill="1" applyAlignment="1">
      <alignment horizontal="right" vertical="center"/>
    </xf>
    <xf numFmtId="0" fontId="5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CAC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85725</xdr:rowOff>
    </xdr:from>
    <xdr:to>
      <xdr:col>1</xdr:col>
      <xdr:colOff>95250</xdr:colOff>
      <xdr:row>0</xdr:row>
      <xdr:rowOff>345952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F971C10-E223-4BE7-B076-0305F6704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638175" cy="2602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w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CAC20"/>
  </sheetPr>
  <dimension ref="A1:O37"/>
  <sheetViews>
    <sheetView tabSelected="1" workbookViewId="0">
      <selection activeCell="C40" sqref="C40"/>
    </sheetView>
  </sheetViews>
  <sheetFormatPr defaultRowHeight="14.25" x14ac:dyDescent="0.2"/>
  <cols>
    <col min="1" max="2" width="9" style="13"/>
    <col min="3" max="3" width="14.625" style="13" customWidth="1"/>
    <col min="4" max="7" width="10.625" style="13" customWidth="1"/>
    <col min="8" max="8" width="12.625" style="13" customWidth="1"/>
    <col min="9" max="9" width="7.625" style="13" customWidth="1"/>
    <col min="10" max="10" width="8.625" style="13" customWidth="1"/>
    <col min="11" max="12" width="9" style="13"/>
    <col min="13" max="20" width="8.625" style="13" customWidth="1"/>
    <col min="21" max="16384" width="9" style="13"/>
  </cols>
  <sheetData>
    <row r="1" spans="1:14" ht="41.25" customHeight="1" x14ac:dyDescent="0.35">
      <c r="A1" s="1"/>
      <c r="B1" s="1"/>
      <c r="C1" s="1"/>
      <c r="D1" s="2" t="s">
        <v>49</v>
      </c>
      <c r="E1" s="2"/>
      <c r="F1" s="2"/>
      <c r="G1" s="1"/>
      <c r="H1" s="1"/>
      <c r="I1" s="1"/>
      <c r="J1" s="1"/>
      <c r="K1" s="1"/>
      <c r="M1" s="11"/>
      <c r="N1" s="14"/>
    </row>
    <row r="2" spans="1:14" x14ac:dyDescent="0.2">
      <c r="A2" s="3"/>
      <c r="B2" s="3"/>
      <c r="C2" s="3"/>
      <c r="D2" s="3" t="s">
        <v>35</v>
      </c>
      <c r="E2" s="3"/>
      <c r="F2" s="3"/>
      <c r="G2" s="3"/>
      <c r="H2" s="3"/>
      <c r="I2" s="3"/>
      <c r="J2" s="3"/>
      <c r="K2" s="3"/>
    </row>
    <row r="3" spans="1:14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x14ac:dyDescent="0.2">
      <c r="A4" s="3"/>
      <c r="B4" s="4"/>
      <c r="C4" s="4"/>
      <c r="D4" s="4"/>
      <c r="E4" s="4"/>
      <c r="F4" s="4"/>
      <c r="G4" s="4"/>
      <c r="H4" s="4"/>
      <c r="I4" s="4"/>
      <c r="J4" s="4"/>
      <c r="K4" s="3"/>
    </row>
    <row r="5" spans="1:14" ht="17.25" x14ac:dyDescent="0.35">
      <c r="A5" s="3"/>
      <c r="B5" s="4"/>
      <c r="C5" s="5" t="s">
        <v>36</v>
      </c>
      <c r="D5" s="6"/>
      <c r="E5" s="7"/>
      <c r="F5" s="7"/>
      <c r="G5" s="7"/>
      <c r="H5" s="5" t="s">
        <v>37</v>
      </c>
      <c r="I5" s="6"/>
      <c r="J5" s="4"/>
      <c r="K5" s="3"/>
    </row>
    <row r="6" spans="1:14" x14ac:dyDescent="0.2">
      <c r="A6" s="3"/>
      <c r="B6" s="4"/>
      <c r="C6" s="4"/>
      <c r="D6" s="4"/>
      <c r="E6" s="4"/>
      <c r="F6" s="4"/>
      <c r="G6" s="4"/>
      <c r="H6" s="4"/>
      <c r="I6" s="4"/>
      <c r="J6" s="4"/>
      <c r="K6" s="3"/>
    </row>
    <row r="7" spans="1:14" ht="16.5" x14ac:dyDescent="0.35">
      <c r="A7" s="3"/>
      <c r="B7" s="4"/>
      <c r="C7" s="8" t="s">
        <v>44</v>
      </c>
      <c r="D7" s="25" t="s">
        <v>32</v>
      </c>
      <c r="E7" s="25"/>
      <c r="F7" s="7"/>
      <c r="G7" s="7"/>
      <c r="H7" s="9" t="str">
        <f>C32</f>
        <v>理论价(总价)</v>
      </c>
      <c r="I7" s="20">
        <f>C33</f>
        <v>95.12</v>
      </c>
      <c r="J7" s="4"/>
      <c r="K7" s="3"/>
    </row>
    <row r="8" spans="1:14" ht="16.5" x14ac:dyDescent="0.35">
      <c r="A8" s="3"/>
      <c r="B8" s="4"/>
      <c r="C8" s="8" t="s">
        <v>9</v>
      </c>
      <c r="D8" s="26" t="s">
        <v>38</v>
      </c>
      <c r="E8" s="26"/>
      <c r="F8" s="7"/>
      <c r="G8" s="10"/>
      <c r="H8" s="15" t="str">
        <f>D32</f>
        <v>理论价(单价)</v>
      </c>
      <c r="I8" s="21">
        <f>D33</f>
        <v>95.12</v>
      </c>
      <c r="J8" s="4"/>
      <c r="K8" s="3"/>
    </row>
    <row r="9" spans="1:14" ht="16.5" x14ac:dyDescent="0.35">
      <c r="A9" s="3"/>
      <c r="B9" s="4"/>
      <c r="C9" s="8" t="s">
        <v>2</v>
      </c>
      <c r="D9" s="25" t="s">
        <v>3</v>
      </c>
      <c r="E9" s="25"/>
      <c r="F9" s="7"/>
      <c r="G9" s="10"/>
      <c r="H9" s="9" t="str">
        <f>E32</f>
        <v>理论价(百分比)</v>
      </c>
      <c r="I9" s="20">
        <f>E33</f>
        <v>95.12</v>
      </c>
      <c r="J9" s="4"/>
      <c r="K9" s="3"/>
    </row>
    <row r="10" spans="1:14" ht="16.5" x14ac:dyDescent="0.35">
      <c r="A10" s="3"/>
      <c r="B10" s="4"/>
      <c r="C10" s="8" t="s">
        <v>0</v>
      </c>
      <c r="D10" s="25" t="s">
        <v>1</v>
      </c>
      <c r="E10" s="25"/>
      <c r="F10" s="7"/>
      <c r="G10" s="10"/>
      <c r="H10" s="15" t="str">
        <f>F32</f>
        <v>Delta</v>
      </c>
      <c r="I10" s="21">
        <f>F33</f>
        <v>1.5496000000000001</v>
      </c>
      <c r="J10" s="4"/>
      <c r="K10" s="3"/>
    </row>
    <row r="11" spans="1:14" ht="16.5" x14ac:dyDescent="0.35">
      <c r="A11" s="3"/>
      <c r="B11" s="4"/>
      <c r="C11" s="8" t="s">
        <v>6</v>
      </c>
      <c r="D11" s="25" t="s">
        <v>53</v>
      </c>
      <c r="E11" s="25"/>
      <c r="F11" s="7"/>
      <c r="G11" s="10"/>
      <c r="H11" s="9" t="str">
        <f>G32</f>
        <v>Gamma</v>
      </c>
      <c r="I11" s="20">
        <f>G33</f>
        <v>-6.9199999999999998E-2</v>
      </c>
      <c r="J11" s="4"/>
      <c r="K11" s="3"/>
    </row>
    <row r="12" spans="1:14" ht="16.5" x14ac:dyDescent="0.35">
      <c r="A12" s="3"/>
      <c r="B12" s="4"/>
      <c r="C12" s="8" t="s">
        <v>43</v>
      </c>
      <c r="D12" s="25">
        <v>1</v>
      </c>
      <c r="E12" s="25"/>
      <c r="F12" s="7"/>
      <c r="G12" s="10"/>
      <c r="H12" s="15" t="str">
        <f>H32</f>
        <v>Vega</v>
      </c>
      <c r="I12" s="21">
        <f>H33</f>
        <v>-0.96870000000000001</v>
      </c>
      <c r="J12" s="12"/>
      <c r="K12" s="3"/>
    </row>
    <row r="13" spans="1:14" ht="16.5" x14ac:dyDescent="0.35">
      <c r="A13" s="3"/>
      <c r="B13" s="4"/>
      <c r="C13" s="8" t="s">
        <v>51</v>
      </c>
      <c r="D13" s="25">
        <v>1</v>
      </c>
      <c r="E13" s="25"/>
      <c r="F13" s="7"/>
      <c r="G13" s="10"/>
      <c r="H13" s="9" t="str">
        <f>I32</f>
        <v>Theta</v>
      </c>
      <c r="I13" s="20">
        <f>I33</f>
        <v>2.8400000000000002E-2</v>
      </c>
      <c r="J13" s="4"/>
      <c r="K13" s="3"/>
    </row>
    <row r="14" spans="1:14" ht="16.5" x14ac:dyDescent="0.35">
      <c r="A14" s="3"/>
      <c r="B14" s="4"/>
      <c r="C14" s="8" t="s">
        <v>50</v>
      </c>
      <c r="D14" s="25" t="s">
        <v>30</v>
      </c>
      <c r="E14" s="25"/>
      <c r="F14" s="7"/>
      <c r="G14" s="10"/>
      <c r="H14" s="15" t="str">
        <f>J32</f>
        <v>Rho</v>
      </c>
      <c r="I14" s="21">
        <f>J33</f>
        <v>0.60440000000000005</v>
      </c>
      <c r="J14" s="4"/>
      <c r="K14" s="3"/>
    </row>
    <row r="15" spans="1:14" ht="16.5" x14ac:dyDescent="0.35">
      <c r="A15" s="3"/>
      <c r="B15" s="4"/>
      <c r="C15" s="8" t="s">
        <v>4</v>
      </c>
      <c r="D15" s="25" t="s">
        <v>31</v>
      </c>
      <c r="E15" s="25"/>
      <c r="F15" s="7"/>
      <c r="G15" s="10"/>
      <c r="H15" s="7"/>
      <c r="I15" s="10"/>
      <c r="J15" s="4"/>
      <c r="K15" s="3"/>
    </row>
    <row r="16" spans="1:14" ht="16.5" x14ac:dyDescent="0.35">
      <c r="A16" s="3"/>
      <c r="B16" s="4"/>
      <c r="C16" s="8" t="s">
        <v>5</v>
      </c>
      <c r="D16" s="22">
        <v>0.8</v>
      </c>
      <c r="E16" s="23">
        <f>D16*D7</f>
        <v>80</v>
      </c>
      <c r="F16" s="7"/>
      <c r="G16" s="10"/>
      <c r="H16" s="7"/>
      <c r="I16" s="10"/>
      <c r="J16" s="4"/>
      <c r="K16" s="3"/>
    </row>
    <row r="17" spans="1:15" ht="16.5" x14ac:dyDescent="0.35">
      <c r="A17" s="3"/>
      <c r="B17" s="4"/>
      <c r="C17" s="8" t="s">
        <v>27</v>
      </c>
      <c r="D17" s="25">
        <v>1</v>
      </c>
      <c r="E17" s="25"/>
      <c r="F17" s="7"/>
      <c r="G17" s="10"/>
      <c r="H17" s="7"/>
      <c r="I17" s="10"/>
      <c r="J17" s="4"/>
      <c r="K17" s="3"/>
    </row>
    <row r="18" spans="1:15" ht="16.5" x14ac:dyDescent="0.35">
      <c r="A18" s="3"/>
      <c r="B18" s="4"/>
      <c r="C18" s="8" t="s">
        <v>8</v>
      </c>
      <c r="D18" s="25" t="s">
        <v>25</v>
      </c>
      <c r="E18" s="25"/>
      <c r="F18" s="7"/>
      <c r="G18" s="10"/>
      <c r="H18" s="7"/>
      <c r="I18" s="10"/>
      <c r="J18" s="4"/>
      <c r="K18" s="3"/>
    </row>
    <row r="19" spans="1:15" ht="16.5" x14ac:dyDescent="0.35">
      <c r="A19" s="3"/>
      <c r="B19" s="4"/>
      <c r="C19" s="8" t="s">
        <v>7</v>
      </c>
      <c r="D19" s="25" t="s">
        <v>33</v>
      </c>
      <c r="E19" s="25"/>
      <c r="F19" s="7"/>
      <c r="G19" s="10"/>
      <c r="H19" s="7"/>
      <c r="I19" s="10"/>
      <c r="J19" s="4"/>
      <c r="K19" s="3"/>
    </row>
    <row r="20" spans="1:15" ht="16.5" x14ac:dyDescent="0.35">
      <c r="A20" s="3"/>
      <c r="B20" s="4"/>
      <c r="C20" s="8" t="s">
        <v>52</v>
      </c>
      <c r="D20" s="25" t="s">
        <v>34</v>
      </c>
      <c r="E20" s="25"/>
      <c r="F20" s="12"/>
      <c r="G20" s="12"/>
      <c r="H20" s="12"/>
      <c r="I20" s="12"/>
      <c r="J20" s="4"/>
      <c r="K20" s="3"/>
    </row>
    <row r="21" spans="1:15" ht="16.5" x14ac:dyDescent="0.35">
      <c r="A21" s="3"/>
      <c r="B21" s="4"/>
      <c r="C21" s="8" t="s">
        <v>45</v>
      </c>
      <c r="D21" s="25">
        <v>0</v>
      </c>
      <c r="E21" s="25"/>
      <c r="G21" s="12"/>
      <c r="H21" s="12"/>
      <c r="I21" s="12"/>
      <c r="J21" s="4"/>
      <c r="K21" s="3"/>
    </row>
    <row r="22" spans="1:15" ht="16.5" x14ac:dyDescent="0.35">
      <c r="A22" s="3"/>
      <c r="B22" s="4"/>
      <c r="C22" s="8" t="s">
        <v>56</v>
      </c>
      <c r="D22" s="25" t="s">
        <v>57</v>
      </c>
      <c r="E22" s="25"/>
      <c r="G22" s="12"/>
      <c r="H22" s="12"/>
      <c r="I22" s="12"/>
      <c r="J22" s="4"/>
      <c r="K22" s="3"/>
    </row>
    <row r="23" spans="1:15" ht="16.5" x14ac:dyDescent="0.35">
      <c r="A23" s="3"/>
      <c r="B23" s="4"/>
      <c r="C23" s="11"/>
      <c r="D23" s="14"/>
      <c r="E23" s="14"/>
      <c r="F23" s="12"/>
      <c r="G23" s="12"/>
      <c r="H23" s="12"/>
      <c r="I23" s="12"/>
      <c r="J23" s="4"/>
      <c r="K23" s="3"/>
    </row>
    <row r="24" spans="1:15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31" spans="1:15" s="17" customFormat="1" hidden="1" x14ac:dyDescent="0.2">
      <c r="C31" s="17" t="s">
        <v>10</v>
      </c>
      <c r="D31" s="18" t="s">
        <v>28</v>
      </c>
      <c r="E31" s="17" t="s">
        <v>13</v>
      </c>
      <c r="F31" s="17" t="s">
        <v>15</v>
      </c>
      <c r="G31" s="17" t="s">
        <v>17</v>
      </c>
      <c r="H31" s="17" t="s">
        <v>19</v>
      </c>
      <c r="I31" s="17" t="s">
        <v>21</v>
      </c>
      <c r="J31" s="17" t="s">
        <v>23</v>
      </c>
      <c r="K31" s="17" t="s">
        <v>26</v>
      </c>
      <c r="L31" s="17" t="s">
        <v>39</v>
      </c>
      <c r="M31" s="17" t="s">
        <v>46</v>
      </c>
      <c r="N31" s="17" t="s">
        <v>29</v>
      </c>
      <c r="O31" s="24" t="s">
        <v>54</v>
      </c>
    </row>
    <row r="32" spans="1:15" s="17" customFormat="1" hidden="1" x14ac:dyDescent="0.2">
      <c r="C32" s="19" t="s">
        <v>11</v>
      </c>
      <c r="D32" s="19" t="s">
        <v>12</v>
      </c>
      <c r="E32" s="19" t="s">
        <v>14</v>
      </c>
      <c r="F32" s="19" t="s">
        <v>16</v>
      </c>
      <c r="G32" s="19" t="s">
        <v>18</v>
      </c>
      <c r="H32" s="19" t="s">
        <v>20</v>
      </c>
      <c r="I32" s="19" t="s">
        <v>22</v>
      </c>
      <c r="J32" s="19" t="s">
        <v>24</v>
      </c>
      <c r="K32" s="17" t="s">
        <v>41</v>
      </c>
      <c r="L32" s="17" t="s">
        <v>40</v>
      </c>
      <c r="M32" s="17" t="s">
        <v>47</v>
      </c>
      <c r="N32" s="17" t="s">
        <v>48</v>
      </c>
      <c r="O32" s="24" t="s">
        <v>55</v>
      </c>
    </row>
    <row r="33" spans="3:11" s="17" customFormat="1" hidden="1" x14ac:dyDescent="0.2">
      <c r="C33" s="27">
        <f>[1]!wset("ovc_digitals","optionType="&amp;D10,"direction="&amp;D9,"startDate="&amp;D14,"endDate="&amp;D15,"exercisePrice="&amp;E16,"count="&amp;D12,"multiplier="&amp;D13,"underlyingPrice="&amp;D7,"type="&amp;D11,"interestRateValue="&amp;D19,"volatilityValue="&amp;D18,"underlyingType="&amp;D8,"dividendYield="&amp;D20,"kickBackValue="&amp;D17,"secondInterestRate="&amp;D21,"dateType="&amp;D22,"field=priceTotal,priceSingle,pricePercent,delta,gamma,vega,theta,rho","cols=8;rows=1")</f>
        <v>95.12</v>
      </c>
      <c r="D33" s="28">
        <v>95.12</v>
      </c>
      <c r="E33" s="28">
        <v>95.12</v>
      </c>
      <c r="F33" s="28">
        <v>1.5496000000000001</v>
      </c>
      <c r="G33" s="28">
        <v>-6.9199999999999998E-2</v>
      </c>
      <c r="H33" s="28">
        <v>-0.96870000000000001</v>
      </c>
      <c r="I33" s="28">
        <v>2.8400000000000002E-2</v>
      </c>
      <c r="J33" s="28">
        <v>0.60440000000000005</v>
      </c>
      <c r="K33" s="17" t="s">
        <v>42</v>
      </c>
    </row>
    <row r="34" spans="3:11" s="16" customFormat="1" x14ac:dyDescent="0.2"/>
    <row r="35" spans="3:11" s="16" customFormat="1" x14ac:dyDescent="0.2"/>
    <row r="36" spans="3:11" s="16" customFormat="1" x14ac:dyDescent="0.2"/>
    <row r="37" spans="3:11" s="16" customFormat="1" x14ac:dyDescent="0.2"/>
  </sheetData>
  <dataConsolidate/>
  <mergeCells count="15">
    <mergeCell ref="D22:E22"/>
    <mergeCell ref="D18:E18"/>
    <mergeCell ref="D19:E19"/>
    <mergeCell ref="D20:E20"/>
    <mergeCell ref="D21:E21"/>
    <mergeCell ref="D12:E12"/>
    <mergeCell ref="D13:E13"/>
    <mergeCell ref="D14:E14"/>
    <mergeCell ref="D15:E15"/>
    <mergeCell ref="D17:E17"/>
    <mergeCell ref="D7:E7"/>
    <mergeCell ref="D8:E8"/>
    <mergeCell ref="D9:E9"/>
    <mergeCell ref="D10:E10"/>
    <mergeCell ref="D11:E11"/>
  </mergeCells>
  <phoneticPr fontId="1" type="noConversion"/>
  <dataValidations count="5">
    <dataValidation type="list" allowBlank="1" showInputMessage="1" showErrorMessage="1" sqref="D8:E8">
      <formula1>$K$31:$K$33</formula1>
    </dataValidation>
    <dataValidation type="list" allowBlank="1" showInputMessage="1" showErrorMessage="1" sqref="D9:E9">
      <formula1>$L$31:$L$32</formula1>
    </dataValidation>
    <dataValidation type="list" allowBlank="1" showInputMessage="1" showErrorMessage="1" sqref="D10:E10">
      <formula1>$M$31:$M$32</formula1>
    </dataValidation>
    <dataValidation type="list" allowBlank="1" showInputMessage="1" showErrorMessage="1" sqref="D11:E11">
      <formula1>$N$31:$N$32</formula1>
    </dataValidation>
    <dataValidation type="list" allowBlank="1" showInputMessage="1" showErrorMessage="1" sqref="D22:E22">
      <formula1>$O$31:$O$32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2"/>
  <sheetData>
    <row r="1" spans="1:1" ht="17.25" x14ac:dyDescent="0.2">
      <c r="A1" s="29" t="s">
        <v>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期权定价计算器 -二元期权定价计算器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XiuFeng</dc:creator>
  <cp:lastModifiedBy>Cui YongQiang</cp:lastModifiedBy>
  <dcterms:created xsi:type="dcterms:W3CDTF">2023-06-20T07:55:43Z</dcterms:created>
  <dcterms:modified xsi:type="dcterms:W3CDTF">2023-11-24T01:46:31Z</dcterms:modified>
</cp:coreProperties>
</file>