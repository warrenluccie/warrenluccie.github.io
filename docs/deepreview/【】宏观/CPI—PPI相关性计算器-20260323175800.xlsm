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yqcui\SVN\WindRes\Management\API\QntProduct\PT\yqcui\Excel插件模板库项目\20230727 模板库-更新计划1期\宏观\"/>
    </mc:Choice>
  </mc:AlternateContent>
  <bookViews>
    <workbookView xWindow="19110" yWindow="32760" windowWidth="19155" windowHeight="11505" tabRatio="533"/>
  </bookViews>
  <sheets>
    <sheet name="Calculator" sheetId="1" r:id="rId1"/>
    <sheet name="Help" sheetId="3" r:id="rId2"/>
    <sheet name="Data" sheetId="2" r:id="rId3"/>
    <sheet name="Wind模板" sheetId="4" state="veryHidden" r:id="rId4"/>
  </sheets>
  <externalReferences>
    <externalReference r:id="rId5"/>
  </externalReferences>
  <definedNames>
    <definedName name="DataBCPI" localSheetId="2">OFFSET(Data!$B$135,Data!$M$6-Data!$M$9+1,0,Data!$M$9,1)</definedName>
    <definedName name="DataBPPI" localSheetId="2">OFFSET(Data!$B$84,Data!$M$7-Data!$M$9+1,0,Data!$M$9,1)</definedName>
    <definedName name="DataCDE" localSheetId="2">OFFSET(Data!$C$135,Data!$M$6-Data!$M$9+1,Data!$K$11,Data!$M$9,1)</definedName>
    <definedName name="DataFGH" localSheetId="2">OFFSET(Data!$F$84,Data!$M$7-Data!$M$9+1,Data!$K$12,Data!$M$9,1)</definedName>
  </definedNames>
  <calcPr calcId="162913"/>
</workbook>
</file>

<file path=xl/calcChain.xml><?xml version="1.0" encoding="utf-8"?>
<calcChain xmlns="http://schemas.openxmlformats.org/spreadsheetml/2006/main">
  <c r="K12" i="2" l="1"/>
  <c r="L12" i="2" s="1"/>
  <c r="K11" i="2"/>
  <c r="L22" i="1" s="1"/>
  <c r="L10" i="1"/>
  <c r="L18" i="1"/>
  <c r="L14" i="1"/>
  <c r="B32" i="1"/>
  <c r="B2" i="2"/>
  <c r="L11" i="2" l="1"/>
  <c r="K3" i="2"/>
  <c r="L16" i="2"/>
  <c r="K4" i="2"/>
  <c r="K7" i="2" l="1"/>
  <c r="L9" i="2"/>
  <c r="L19" i="2"/>
  <c r="E139" i="1"/>
  <c r="I113" i="1"/>
  <c r="I47" i="1"/>
  <c r="G69" i="1"/>
  <c r="E102" i="1"/>
  <c r="E60" i="1"/>
  <c r="G44" i="1"/>
  <c r="E111" i="1"/>
  <c r="I61" i="1"/>
  <c r="K90" i="1"/>
  <c r="I87" i="1"/>
  <c r="E41" i="1"/>
  <c r="G79" i="1"/>
  <c r="K68" i="1"/>
  <c r="I69" i="1"/>
  <c r="I73" i="1"/>
  <c r="G52" i="1"/>
  <c r="K77" i="1"/>
  <c r="K61" i="1"/>
  <c r="K126" i="1"/>
  <c r="K65" i="1"/>
  <c r="G54" i="1"/>
  <c r="G83" i="1"/>
  <c r="K40" i="1"/>
  <c r="E134" i="1"/>
  <c r="E69" i="1"/>
  <c r="I77" i="1"/>
  <c r="E57" i="1"/>
  <c r="G104" i="1"/>
  <c r="I137" i="1"/>
  <c r="G138" i="1"/>
  <c r="K56" i="1"/>
  <c r="G95" i="1"/>
  <c r="K73" i="1"/>
  <c r="K93" i="1"/>
  <c r="K83" i="1"/>
  <c r="I96" i="1"/>
  <c r="K41" i="1"/>
  <c r="I117" i="1"/>
  <c r="K53" i="1"/>
  <c r="K88" i="1"/>
  <c r="G77" i="1"/>
  <c r="G78" i="1"/>
  <c r="G99" i="1"/>
  <c r="K44" i="1"/>
  <c r="I65" i="1"/>
  <c r="K36" i="1"/>
  <c r="K58" i="1"/>
  <c r="G85" i="1"/>
  <c r="I83" i="1"/>
  <c r="K39" i="1"/>
  <c r="K124" i="1"/>
  <c r="I124" i="1"/>
  <c r="G71" i="1"/>
  <c r="G103" i="1"/>
  <c r="I59" i="1"/>
  <c r="I108" i="1"/>
  <c r="K55" i="1"/>
  <c r="K121" i="1"/>
  <c r="K140" i="1"/>
  <c r="K94" i="1"/>
  <c r="G42" i="1"/>
  <c r="K122" i="1"/>
  <c r="E53" i="1"/>
  <c r="G129" i="1"/>
  <c r="I93" i="1"/>
  <c r="G130" i="1"/>
  <c r="E115" i="1"/>
  <c r="K99" i="1"/>
  <c r="G109" i="1"/>
  <c r="K134" i="1"/>
  <c r="G135" i="1"/>
  <c r="K70" i="1"/>
  <c r="E47" i="1"/>
  <c r="E101" i="1"/>
  <c r="E92" i="1"/>
  <c r="K139" i="1"/>
  <c r="G35" i="1"/>
  <c r="E77" i="1"/>
  <c r="G75" i="1"/>
  <c r="E86" i="1"/>
  <c r="G110" i="1"/>
  <c r="I88" i="1"/>
  <c r="E94" i="1"/>
  <c r="G101" i="1"/>
  <c r="E109" i="1"/>
  <c r="K109" i="1"/>
  <c r="E128" i="1"/>
  <c r="G125" i="1"/>
  <c r="G58" i="1"/>
  <c r="K136" i="1"/>
  <c r="G111" i="1"/>
  <c r="K46" i="1"/>
  <c r="E71" i="1"/>
  <c r="I63" i="1"/>
  <c r="G60" i="1"/>
  <c r="I121" i="1"/>
  <c r="K35" i="1"/>
  <c r="I43" i="1"/>
  <c r="E68" i="1"/>
  <c r="I90" i="1"/>
  <c r="K108" i="1"/>
  <c r="I48" i="1"/>
  <c r="K87" i="1"/>
  <c r="K82" i="1"/>
  <c r="E44" i="1"/>
  <c r="E87" i="1"/>
  <c r="E64" i="1"/>
  <c r="G134" i="1"/>
  <c r="I53" i="1"/>
  <c r="I89" i="1"/>
  <c r="E141" i="1"/>
  <c r="G137" i="1"/>
  <c r="E38" i="1"/>
  <c r="G65" i="1"/>
  <c r="I104" i="1"/>
  <c r="E62" i="1"/>
  <c r="G107" i="1"/>
  <c r="K102" i="1"/>
  <c r="I139" i="1"/>
  <c r="I125" i="1"/>
  <c r="K103" i="1"/>
  <c r="G91" i="1"/>
  <c r="G94" i="1"/>
  <c r="I94" i="1"/>
  <c r="K42" i="1"/>
  <c r="K63" i="1"/>
  <c r="G61" i="1"/>
  <c r="I41" i="1"/>
  <c r="K81" i="1"/>
  <c r="G132" i="1"/>
  <c r="E90" i="1"/>
  <c r="I54" i="1"/>
  <c r="E63" i="1"/>
  <c r="G68" i="1"/>
  <c r="K43" i="1"/>
  <c r="E50" i="1"/>
  <c r="K74" i="1"/>
  <c r="K116" i="1"/>
  <c r="K59" i="1"/>
  <c r="I91" i="1"/>
  <c r="E93" i="1"/>
  <c r="I70" i="1"/>
  <c r="I71" i="1"/>
  <c r="G72" i="1"/>
  <c r="I135" i="1"/>
  <c r="G62" i="1"/>
  <c r="I44" i="1"/>
  <c r="G117" i="1"/>
  <c r="G133" i="1"/>
  <c r="G47" i="1"/>
  <c r="E35" i="1"/>
  <c r="I84" i="1"/>
  <c r="G51" i="1"/>
  <c r="I131" i="1"/>
  <c r="E95" i="1"/>
  <c r="G131" i="1"/>
  <c r="G50" i="1"/>
  <c r="E122" i="1"/>
  <c r="E99" i="1"/>
  <c r="I85" i="1"/>
  <c r="K110" i="1"/>
  <c r="G38" i="1"/>
  <c r="I92" i="1"/>
  <c r="E36" i="1"/>
  <c r="K141" i="1"/>
  <c r="K133" i="1"/>
  <c r="K107" i="1"/>
  <c r="G67" i="1"/>
  <c r="I136" i="1"/>
  <c r="E37" i="1"/>
  <c r="K118" i="1"/>
  <c r="I103" i="1"/>
  <c r="I127" i="1"/>
  <c r="E72" i="1"/>
  <c r="K138" i="1"/>
  <c r="E75" i="1"/>
  <c r="I118" i="1"/>
  <c r="G34" i="1"/>
  <c r="E116" i="1"/>
  <c r="I119" i="1"/>
  <c r="K111" i="1"/>
  <c r="K78" i="1"/>
  <c r="E48" i="1"/>
  <c r="K123" i="1"/>
  <c r="G92" i="1"/>
  <c r="K96" i="1"/>
  <c r="E121" i="1"/>
  <c r="I129" i="1"/>
  <c r="E103" i="1"/>
  <c r="E108" i="1"/>
  <c r="G56" i="1"/>
  <c r="K54" i="1"/>
  <c r="G124" i="1"/>
  <c r="K127" i="1"/>
  <c r="E120" i="1"/>
  <c r="K85" i="1"/>
  <c r="I100" i="1"/>
  <c r="G102" i="1"/>
  <c r="I134" i="1"/>
  <c r="I128" i="1"/>
  <c r="I46" i="1"/>
  <c r="K104" i="1"/>
  <c r="G64" i="1"/>
  <c r="G45" i="1"/>
  <c r="E78" i="1"/>
  <c r="E39" i="1"/>
  <c r="E79" i="1"/>
  <c r="K89" i="1"/>
  <c r="K67" i="1"/>
  <c r="K130" i="1"/>
  <c r="E97" i="1"/>
  <c r="K101" i="1"/>
  <c r="I45" i="1"/>
  <c r="E34" i="1"/>
  <c r="E43" i="1"/>
  <c r="I111" i="1"/>
  <c r="E82" i="1"/>
  <c r="I120" i="1"/>
  <c r="I112" i="1"/>
  <c r="G37" i="1"/>
  <c r="I122" i="1"/>
  <c r="G127" i="1"/>
  <c r="I86" i="1"/>
  <c r="I141" i="1"/>
  <c r="G96" i="1"/>
  <c r="E114" i="1"/>
  <c r="E118" i="1"/>
  <c r="I40" i="1"/>
  <c r="K51" i="1"/>
  <c r="E132" i="1"/>
  <c r="E84" i="1"/>
  <c r="E126" i="1"/>
  <c r="K84" i="1"/>
  <c r="I110" i="1"/>
  <c r="E125" i="1"/>
  <c r="E136" i="1"/>
  <c r="I99" i="1"/>
  <c r="G114" i="1"/>
  <c r="G93" i="1"/>
  <c r="K86" i="1"/>
  <c r="K80" i="1"/>
  <c r="G118" i="1"/>
  <c r="K105" i="1"/>
  <c r="E100" i="1"/>
  <c r="K129" i="1"/>
  <c r="E61" i="1"/>
  <c r="E81" i="1"/>
  <c r="I79" i="1"/>
  <c r="J79" i="1" s="1"/>
  <c r="I101" i="1"/>
  <c r="G73" i="1"/>
  <c r="E65" i="1"/>
  <c r="K49" i="1"/>
  <c r="E54" i="1"/>
  <c r="K47" i="1"/>
  <c r="K75" i="1"/>
  <c r="G128" i="1"/>
  <c r="G48" i="1"/>
  <c r="I95" i="1"/>
  <c r="I138" i="1"/>
  <c r="G116" i="1"/>
  <c r="I60" i="1"/>
  <c r="I50" i="1"/>
  <c r="E107" i="1"/>
  <c r="G46" i="1"/>
  <c r="I116" i="1"/>
  <c r="E85" i="1"/>
  <c r="E127" i="1"/>
  <c r="G63" i="1"/>
  <c r="K45" i="1"/>
  <c r="E106" i="1"/>
  <c r="E96" i="1"/>
  <c r="K79" i="1"/>
  <c r="E45" i="1"/>
  <c r="K66" i="1"/>
  <c r="I72" i="1"/>
  <c r="I80" i="1"/>
  <c r="G112" i="1"/>
  <c r="E76" i="1"/>
  <c r="E123" i="1"/>
  <c r="E110" i="1"/>
  <c r="I39" i="1"/>
  <c r="E70" i="1"/>
  <c r="E117" i="1"/>
  <c r="K92" i="1"/>
  <c r="E140" i="1"/>
  <c r="G98" i="1"/>
  <c r="E46" i="1"/>
  <c r="G70" i="1"/>
  <c r="G113" i="1"/>
  <c r="G80" i="1"/>
  <c r="K132" i="1"/>
  <c r="G87" i="1"/>
  <c r="G36" i="1"/>
  <c r="K64" i="1"/>
  <c r="G59" i="1"/>
  <c r="E42" i="1"/>
  <c r="I123" i="1"/>
  <c r="I115" i="1"/>
  <c r="K112" i="1"/>
  <c r="E119" i="1"/>
  <c r="I107" i="1"/>
  <c r="K50" i="1"/>
  <c r="G90" i="1"/>
  <c r="E83" i="1"/>
  <c r="K91" i="1"/>
  <c r="K100" i="1"/>
  <c r="K71" i="1"/>
  <c r="G74" i="1"/>
  <c r="I114" i="1"/>
  <c r="I68" i="1"/>
  <c r="G66" i="1"/>
  <c r="G76" i="1"/>
  <c r="G89" i="1"/>
  <c r="K37" i="1"/>
  <c r="I97" i="1"/>
  <c r="I34" i="1"/>
  <c r="E51" i="1"/>
  <c r="E56" i="1"/>
  <c r="K137" i="1"/>
  <c r="E74" i="1"/>
  <c r="G140" i="1"/>
  <c r="E66" i="1"/>
  <c r="I81" i="1"/>
  <c r="G88" i="1"/>
  <c r="G126" i="1"/>
  <c r="I74" i="1"/>
  <c r="K72" i="1"/>
  <c r="G105" i="1"/>
  <c r="E138" i="1"/>
  <c r="G57" i="1"/>
  <c r="K128" i="1"/>
  <c r="I75" i="1"/>
  <c r="I35" i="1"/>
  <c r="I98" i="1"/>
  <c r="E67" i="1"/>
  <c r="I82" i="1"/>
  <c r="I126" i="1"/>
  <c r="E91" i="1"/>
  <c r="I64" i="1"/>
  <c r="E113" i="1"/>
  <c r="E98" i="1"/>
  <c r="E58" i="1"/>
  <c r="K76" i="1"/>
  <c r="I106" i="1"/>
  <c r="I49" i="1"/>
  <c r="G122" i="1"/>
  <c r="E40" i="1"/>
  <c r="K120" i="1"/>
  <c r="K60" i="1"/>
  <c r="G120" i="1"/>
  <c r="G49" i="1"/>
  <c r="G136" i="1"/>
  <c r="I133" i="1"/>
  <c r="G108" i="1"/>
  <c r="E89" i="1"/>
  <c r="K119" i="1"/>
  <c r="I38" i="1"/>
  <c r="E131" i="1"/>
  <c r="E137" i="1"/>
  <c r="G119" i="1"/>
  <c r="G97" i="1"/>
  <c r="I52" i="1"/>
  <c r="K135" i="1"/>
  <c r="E59" i="1"/>
  <c r="I109" i="1"/>
  <c r="K131" i="1"/>
  <c r="K38" i="1"/>
  <c r="E80" i="1"/>
  <c r="I140" i="1"/>
  <c r="I56" i="1"/>
  <c r="K34" i="1"/>
  <c r="K114" i="1"/>
  <c r="K115" i="1"/>
  <c r="E130" i="1"/>
  <c r="I58" i="1"/>
  <c r="G115" i="1"/>
  <c r="K113" i="1"/>
  <c r="G81" i="1"/>
  <c r="E135" i="1"/>
  <c r="G84" i="1"/>
  <c r="E105" i="1"/>
  <c r="E129" i="1"/>
  <c r="E104" i="1"/>
  <c r="I132" i="1"/>
  <c r="G43" i="1"/>
  <c r="I51" i="1"/>
  <c r="I55" i="1"/>
  <c r="I36" i="1"/>
  <c r="E112" i="1"/>
  <c r="E55" i="1"/>
  <c r="I67" i="1"/>
  <c r="K97" i="1"/>
  <c r="E73" i="1"/>
  <c r="I78" i="1"/>
  <c r="G39" i="1"/>
  <c r="I62" i="1"/>
  <c r="K52" i="1"/>
  <c r="K98" i="1"/>
  <c r="K125" i="1"/>
  <c r="G41" i="1"/>
  <c r="G100" i="1"/>
  <c r="G86" i="1"/>
  <c r="K62" i="1"/>
  <c r="I57" i="1"/>
  <c r="I76" i="1"/>
  <c r="I102" i="1"/>
  <c r="K117" i="1"/>
  <c r="K69" i="1"/>
  <c r="E52" i="1"/>
  <c r="G40" i="1"/>
  <c r="G121" i="1"/>
  <c r="I105" i="1"/>
  <c r="K106" i="1"/>
  <c r="G82" i="1"/>
  <c r="K57" i="1"/>
  <c r="K48" i="1"/>
  <c r="I42" i="1"/>
  <c r="E124" i="1"/>
  <c r="F124" i="1" s="1"/>
  <c r="K95" i="1"/>
  <c r="I130" i="1"/>
  <c r="I66" i="1"/>
  <c r="G106" i="1"/>
  <c r="E133" i="1"/>
  <c r="F133" i="1" s="1"/>
  <c r="I37" i="1"/>
  <c r="G123" i="1"/>
  <c r="G141" i="1"/>
  <c r="G55" i="1"/>
  <c r="G139" i="1"/>
  <c r="E49" i="1"/>
  <c r="G53" i="1"/>
  <c r="E88" i="1"/>
  <c r="F79" i="1" l="1"/>
  <c r="H124" i="1"/>
  <c r="H61" i="1"/>
  <c r="M69" i="1"/>
  <c r="L97" i="1"/>
  <c r="M132" i="1"/>
  <c r="F52" i="1"/>
  <c r="F61" i="1"/>
  <c r="M68" i="1"/>
  <c r="F70" i="1"/>
  <c r="M134" i="1"/>
  <c r="H70" i="1"/>
  <c r="M78" i="1"/>
  <c r="M139" i="1"/>
  <c r="F43" i="1"/>
  <c r="M42" i="1"/>
  <c r="M67" i="1"/>
  <c r="L115" i="1"/>
  <c r="M77" i="1"/>
  <c r="F106" i="1"/>
  <c r="M66" i="1"/>
  <c r="M54" i="1"/>
  <c r="M92" i="1"/>
  <c r="M138" i="1"/>
  <c r="M121" i="1"/>
  <c r="M58" i="1"/>
  <c r="M64" i="1"/>
  <c r="J133" i="1"/>
  <c r="M94" i="1"/>
  <c r="F88" i="1"/>
  <c r="M116" i="1"/>
  <c r="M48" i="1"/>
  <c r="M76" i="1"/>
  <c r="M57" i="1"/>
  <c r="M71" i="1"/>
  <c r="M109" i="1"/>
  <c r="H43" i="1"/>
  <c r="M90" i="1"/>
  <c r="M44" i="1"/>
  <c r="M62" i="1"/>
  <c r="M119" i="1"/>
  <c r="M107" i="1"/>
  <c r="M140" i="1"/>
  <c r="M65" i="1"/>
  <c r="M104" i="1"/>
  <c r="M87" i="1"/>
  <c r="M111" i="1"/>
  <c r="M95" i="1"/>
  <c r="M110" i="1"/>
  <c r="M127" i="1"/>
  <c r="M96" i="1"/>
  <c r="M39" i="1"/>
  <c r="M89" i="1"/>
  <c r="J115" i="1"/>
  <c r="M131" i="1"/>
  <c r="H97" i="1"/>
  <c r="M100" i="1"/>
  <c r="M136" i="1"/>
  <c r="M61" i="1"/>
  <c r="M91" i="1"/>
  <c r="M103" i="1"/>
  <c r="M85" i="1"/>
  <c r="M137" i="1"/>
  <c r="M126" i="1"/>
  <c r="M112" i="1"/>
  <c r="M82" i="1"/>
  <c r="M120" i="1"/>
  <c r="L106" i="1"/>
  <c r="M105" i="1"/>
  <c r="M98" i="1"/>
  <c r="M80" i="1"/>
  <c r="M86" i="1"/>
  <c r="M40" i="1"/>
  <c r="M135" i="1"/>
  <c r="M53" i="1"/>
  <c r="M47" i="1"/>
  <c r="M41" i="1"/>
  <c r="M72" i="1"/>
  <c r="L70" i="1"/>
  <c r="M113" i="1"/>
  <c r="M106" i="1"/>
  <c r="M75" i="1"/>
  <c r="M114" i="1"/>
  <c r="M123" i="1"/>
  <c r="M50" i="1"/>
  <c r="M36" i="1"/>
  <c r="M60" i="1"/>
  <c r="M99" i="1"/>
  <c r="M45" i="1"/>
  <c r="M141" i="1"/>
  <c r="M63" i="1"/>
  <c r="M130" i="1"/>
  <c r="M55" i="1"/>
  <c r="M59" i="1"/>
  <c r="M129" i="1"/>
  <c r="M51" i="1"/>
  <c r="M84" i="1"/>
  <c r="M108" i="1"/>
  <c r="L61" i="1"/>
  <c r="M56" i="1"/>
  <c r="M81" i="1"/>
  <c r="M125" i="1"/>
  <c r="M38" i="1"/>
  <c r="M35" i="1"/>
  <c r="M49" i="1"/>
  <c r="J70" i="1"/>
  <c r="H52" i="1"/>
  <c r="H115" i="1"/>
  <c r="J97" i="1"/>
  <c r="L79" i="1"/>
  <c r="M79" i="1"/>
  <c r="M37" i="1"/>
  <c r="J43" i="1"/>
  <c r="M102" i="1"/>
  <c r="M115" i="1"/>
  <c r="M133" i="1"/>
  <c r="F115" i="1"/>
  <c r="M70" i="1"/>
  <c r="L52" i="1"/>
  <c r="M43" i="1"/>
  <c r="H79" i="1"/>
  <c r="M124" i="1"/>
  <c r="M122" i="1"/>
  <c r="H133" i="1"/>
  <c r="M83" i="1"/>
  <c r="M97" i="1"/>
  <c r="M46" i="1"/>
  <c r="J88" i="1"/>
  <c r="J124" i="1"/>
  <c r="L88" i="1"/>
  <c r="M93" i="1"/>
  <c r="M118" i="1"/>
  <c r="F97" i="1"/>
  <c r="M128" i="1"/>
  <c r="L43" i="1"/>
  <c r="L124" i="1"/>
  <c r="M73" i="1"/>
  <c r="M74" i="1"/>
  <c r="L133" i="1"/>
  <c r="M101" i="1"/>
  <c r="M117" i="1"/>
  <c r="J61" i="1"/>
  <c r="J106" i="1"/>
  <c r="M88" i="1"/>
  <c r="H88" i="1"/>
  <c r="H106" i="1"/>
  <c r="M34" i="1"/>
  <c r="I33" i="1"/>
  <c r="J34" i="1"/>
  <c r="H34" i="1"/>
  <c r="G33" i="1"/>
  <c r="M52" i="1"/>
  <c r="J52" i="1"/>
  <c r="F34" i="1"/>
  <c r="E33" i="1"/>
  <c r="L34" i="1"/>
  <c r="K33" i="1"/>
  <c r="N52" i="1" l="1"/>
  <c r="N79" i="1"/>
  <c r="F33" i="1"/>
  <c r="N61" i="1"/>
  <c r="N133" i="1"/>
  <c r="N115" i="1"/>
  <c r="N106" i="1"/>
  <c r="N70" i="1"/>
  <c r="N124" i="1"/>
  <c r="N88" i="1"/>
  <c r="H33" i="1"/>
  <c r="N43" i="1"/>
  <c r="M33" i="1"/>
  <c r="N34" i="1"/>
  <c r="L33" i="1"/>
  <c r="N97" i="1"/>
  <c r="J33" i="1"/>
  <c r="N33" i="1" l="1"/>
</calcChain>
</file>

<file path=xl/comments1.xml><?xml version="1.0" encoding="utf-8"?>
<comments xmlns="http://schemas.openxmlformats.org/spreadsheetml/2006/main">
  <authors>
    <author>Qhu</author>
  </authors>
  <commentList>
    <comment ref="L6" authorId="0" shapeId="0">
      <text>
        <r>
          <rPr>
            <b/>
            <sz val="9"/>
            <color indexed="81"/>
            <rFont val="Tahoma"/>
            <family val="2"/>
          </rPr>
          <t>Qhu:</t>
        </r>
        <r>
          <rPr>
            <sz val="9"/>
            <color indexed="81"/>
            <rFont val="Tahoma"/>
            <family val="2"/>
          </rPr>
          <t xml:space="preserve">
</t>
        </r>
        <r>
          <rPr>
            <sz val="9"/>
            <color indexed="81"/>
            <rFont val="宋体"/>
            <family val="3"/>
            <charset val="134"/>
          </rPr>
          <t xml:space="preserve">可选指标：
</t>
        </r>
        <r>
          <rPr>
            <sz val="9"/>
            <color indexed="81"/>
            <rFont val="Tahoma"/>
            <family val="2"/>
          </rPr>
          <t>CPI:</t>
        </r>
        <r>
          <rPr>
            <sz val="9"/>
            <color indexed="81"/>
            <rFont val="宋体"/>
            <family val="3"/>
            <charset val="134"/>
          </rPr>
          <t xml:space="preserve">当月同比
</t>
        </r>
        <r>
          <rPr>
            <sz val="9"/>
            <color indexed="81"/>
            <rFont val="Tahoma"/>
            <family val="2"/>
          </rPr>
          <t>CPI:</t>
        </r>
        <r>
          <rPr>
            <sz val="9"/>
            <color indexed="81"/>
            <rFont val="宋体"/>
            <family val="3"/>
            <charset val="134"/>
          </rPr>
          <t>食品</t>
        </r>
        <r>
          <rPr>
            <sz val="9"/>
            <color indexed="81"/>
            <rFont val="Tahoma"/>
            <family val="2"/>
          </rPr>
          <t>:</t>
        </r>
        <r>
          <rPr>
            <sz val="9"/>
            <color indexed="81"/>
            <rFont val="宋体"/>
            <family val="3"/>
            <charset val="134"/>
          </rPr>
          <t xml:space="preserve">当月同比
</t>
        </r>
        <r>
          <rPr>
            <sz val="9"/>
            <color indexed="81"/>
            <rFont val="Tahoma"/>
            <family val="2"/>
          </rPr>
          <t>CPI:</t>
        </r>
        <r>
          <rPr>
            <sz val="9"/>
            <color indexed="81"/>
            <rFont val="宋体"/>
            <family val="3"/>
            <charset val="134"/>
          </rPr>
          <t>非食品</t>
        </r>
        <r>
          <rPr>
            <sz val="9"/>
            <color indexed="81"/>
            <rFont val="Tahoma"/>
            <family val="2"/>
          </rPr>
          <t>:</t>
        </r>
        <r>
          <rPr>
            <sz val="9"/>
            <color indexed="81"/>
            <rFont val="宋体"/>
            <family val="3"/>
            <charset val="134"/>
          </rPr>
          <t>当月同比</t>
        </r>
      </text>
    </comment>
    <comment ref="L7" authorId="0" shapeId="0">
      <text>
        <r>
          <rPr>
            <b/>
            <sz val="9"/>
            <color indexed="81"/>
            <rFont val="Tahoma"/>
            <family val="2"/>
          </rPr>
          <t>Qhu:</t>
        </r>
        <r>
          <rPr>
            <sz val="9"/>
            <color indexed="81"/>
            <rFont val="Tahoma"/>
            <family val="2"/>
          </rPr>
          <t xml:space="preserve">
PPI:</t>
        </r>
        <r>
          <rPr>
            <sz val="9"/>
            <color indexed="81"/>
            <rFont val="宋体"/>
            <family val="3"/>
            <charset val="134"/>
          </rPr>
          <t>全部工业品</t>
        </r>
        <r>
          <rPr>
            <sz val="9"/>
            <color indexed="81"/>
            <rFont val="Tahoma"/>
            <family val="2"/>
          </rPr>
          <t>:</t>
        </r>
        <r>
          <rPr>
            <sz val="9"/>
            <color indexed="81"/>
            <rFont val="宋体"/>
            <family val="3"/>
            <charset val="134"/>
          </rPr>
          <t xml:space="preserve">当月同比
</t>
        </r>
        <r>
          <rPr>
            <sz val="9"/>
            <color indexed="81"/>
            <rFont val="Tahoma"/>
            <family val="2"/>
          </rPr>
          <t>PPI:</t>
        </r>
        <r>
          <rPr>
            <sz val="9"/>
            <color indexed="81"/>
            <rFont val="宋体"/>
            <family val="3"/>
            <charset val="134"/>
          </rPr>
          <t>生产资料</t>
        </r>
        <r>
          <rPr>
            <sz val="9"/>
            <color indexed="81"/>
            <rFont val="Tahoma"/>
            <family val="2"/>
          </rPr>
          <t>:</t>
        </r>
        <r>
          <rPr>
            <sz val="9"/>
            <color indexed="81"/>
            <rFont val="宋体"/>
            <family val="3"/>
            <charset val="134"/>
          </rPr>
          <t>当月同比</t>
        </r>
        <r>
          <rPr>
            <sz val="9"/>
            <color indexed="81"/>
            <rFont val="Tahoma"/>
            <family val="2"/>
          </rPr>
          <t xml:space="preserve">
PPI:</t>
        </r>
        <r>
          <rPr>
            <sz val="9"/>
            <color indexed="81"/>
            <rFont val="宋体"/>
            <family val="3"/>
            <charset val="134"/>
          </rPr>
          <t>生活资料</t>
        </r>
        <r>
          <rPr>
            <sz val="9"/>
            <color indexed="81"/>
            <rFont val="Tahoma"/>
            <family val="2"/>
          </rPr>
          <t>:</t>
        </r>
        <r>
          <rPr>
            <sz val="9"/>
            <color indexed="81"/>
            <rFont val="宋体"/>
            <family val="3"/>
            <charset val="134"/>
          </rPr>
          <t>当月同比</t>
        </r>
      </text>
    </comment>
  </commentList>
</comments>
</file>

<file path=xl/comments2.xml><?xml version="1.0" encoding="utf-8"?>
<comments xmlns="http://schemas.openxmlformats.org/spreadsheetml/2006/main">
  <authors>
    <author>Qhu</author>
  </authors>
  <commentList>
    <comment ref="B2" authorId="0" shapeId="0">
      <text>
        <r>
          <rPr>
            <b/>
            <sz val="9"/>
            <color indexed="81"/>
            <rFont val="Tahoma"/>
            <family val="2"/>
          </rPr>
          <t>UEsDBBQACAgIALpb1VQAAAAAAAAAAAAAAAABAAAAMLWVzWocRxDHdc5TLA25bcN878ze/KVERLJFvASM8aGmu1pu1Ds96e4JFkKHEBtyyCFgE0hI7IMx9s0XhxiHvI1Xtt8iNbsrrZw9RCFoYQ/9r+6q/lV11Vy7ennjk42NjUOG91rrwhXbKL3HxodMooLOhG1o9jrYQzZmomFDJrVvDRzsWNlLcrrVSC0gaNsbtb/kBRsH12G/+FxLvGyg2T+ROo/bXQOOjRUYj0fDZdSJDgZvtHMvFBqMmSvXDE6xCX65fciE7ZrgDk7XEr1wenluEUI5/LrDRqw20SWaoJVGdyp5mLYGV0s0KALKedAv8GBb+8DGt5lDH6zD6zBFdoe22c6J1akAtVnYTpSu0Wcu27USAl6l/wp3isFpytDtQybuUmbxSxTWSRLu9HTznO5E9CvihPKJzcI/u7K7NR7csrd67V5wIMIE9s4is3E2ZPtI1GyUYyYKLLmsEuSZQsUrWUlexoCpUKomK/lpVp5nfz08/vX72Y8/HL98RJYWHGVsi24VDU9ycFpBQqRTn7Kj4b8jFGsIm9bKc4PEaQFJqRTPSkEgaSp5pQB4gaMsizFO4xF+DPLh6ZPZw28vjCdd47luG67+C1MWlXkWlymHFGqeySTjQCXhUYZJnYKqQUb/YPrt8UVixUkyOou122NNbAAzoNbuPLXbYNdZ2Yngz0+JRZ1jnXKsFVDlqpRXKT3GqEyxqut8VEZnKPuQswcvPnz3YvbHs7evf7lI1nKNdQeh8QOrTihplpybs8YkiWVZ8LwoUp5FIqdWo2rWsVJFnCFCXX/M+e7Rk7dvnr///f7xTz9fFGSarEHSWPfdFN3gM3qs569jHuWJrPKCoyqoA7GiUVJUyGWsBD1UgCwv1/iOX/35f/iIJugpbjpyehND0M38cyTuotj/CoyWpwPWgA83ahq4SbZYTA7a/h6mV9F9M/8qeQpsa7/p7JRMSZRQIyfxQrwZwIVLYU2f2IWULKUWnbZy6b0Nm50xu3OJHR39DVBLBwhVlIMG9AIAAEEHAAA=</t>
        </r>
      </text>
    </comment>
  </commentList>
</comments>
</file>

<file path=xl/sharedStrings.xml><?xml version="1.0" encoding="utf-8"?>
<sst xmlns="http://schemas.openxmlformats.org/spreadsheetml/2006/main" count="175" uniqueCount="61">
  <si>
    <t>CPI VS PPI</t>
    <phoneticPr fontId="1" type="noConversion"/>
  </si>
  <si>
    <t>Pair-Col.</t>
    <phoneticPr fontId="1" type="noConversion"/>
  </si>
  <si>
    <t>Baset-Col.</t>
    <phoneticPr fontId="1" type="noConversion"/>
  </si>
  <si>
    <r>
      <rPr>
        <sz val="12"/>
        <rFont val="宋体"/>
        <family val="3"/>
        <charset val="134"/>
      </rPr>
      <t>临时工作区</t>
    </r>
    <phoneticPr fontId="1" type="noConversion"/>
  </si>
  <si>
    <r>
      <t>PPI</t>
    </r>
    <r>
      <rPr>
        <sz val="12"/>
        <rFont val="宋体"/>
        <family val="3"/>
        <charset val="134"/>
      </rPr>
      <t>指标数</t>
    </r>
    <phoneticPr fontId="1" type="noConversion"/>
  </si>
  <si>
    <r>
      <rPr>
        <sz val="12"/>
        <rFont val="宋体"/>
        <family val="3"/>
        <charset val="134"/>
      </rPr>
      <t>引用格</t>
    </r>
    <phoneticPr fontId="1" type="noConversion"/>
  </si>
  <si>
    <r>
      <rPr>
        <sz val="12"/>
        <rFont val="宋体"/>
        <family val="3"/>
        <charset val="134"/>
      </rPr>
      <t>上限</t>
    </r>
    <phoneticPr fontId="1" type="noConversion"/>
  </si>
  <si>
    <r>
      <rPr>
        <sz val="12"/>
        <rFont val="宋体"/>
        <family val="3"/>
        <charset val="134"/>
      </rPr>
      <t>统计期</t>
    </r>
    <phoneticPr fontId="1" type="noConversion"/>
  </si>
  <si>
    <t>选择指标</t>
    <phoneticPr fontId="1" type="noConversion"/>
  </si>
  <si>
    <t>月</t>
    <phoneticPr fontId="1" type="noConversion"/>
  </si>
  <si>
    <r>
      <rPr>
        <sz val="12"/>
        <rFont val="宋体"/>
        <family val="3"/>
        <charset val="134"/>
      </rPr>
      <t>所选</t>
    </r>
    <r>
      <rPr>
        <sz val="12"/>
        <rFont val="Arial"/>
        <family val="2"/>
      </rPr>
      <t>CPI</t>
    </r>
    <phoneticPr fontId="1" type="noConversion"/>
  </si>
  <si>
    <r>
      <rPr>
        <sz val="12"/>
        <rFont val="宋体"/>
        <family val="3"/>
        <charset val="134"/>
      </rPr>
      <t>所选</t>
    </r>
    <r>
      <rPr>
        <sz val="12"/>
        <rFont val="Arial"/>
        <family val="2"/>
      </rPr>
      <t>PPI</t>
    </r>
    <phoneticPr fontId="1" type="noConversion"/>
  </si>
  <si>
    <r>
      <rPr>
        <sz val="12"/>
        <rFont val="宋体"/>
        <family val="3"/>
        <charset val="134"/>
      </rPr>
      <t>所选年份</t>
    </r>
    <phoneticPr fontId="1" type="noConversion"/>
  </si>
  <si>
    <r>
      <rPr>
        <sz val="12"/>
        <rFont val="宋体"/>
        <family val="3"/>
        <charset val="134"/>
      </rPr>
      <t>最新月份</t>
    </r>
    <phoneticPr fontId="1" type="noConversion"/>
  </si>
  <si>
    <r>
      <t>CPI</t>
    </r>
    <r>
      <rPr>
        <sz val="12"/>
        <rFont val="宋体"/>
        <family val="3"/>
        <charset val="134"/>
      </rPr>
      <t>指标数</t>
    </r>
    <phoneticPr fontId="1" type="noConversion"/>
  </si>
  <si>
    <t>年  月</t>
    <phoneticPr fontId="1" type="noConversion"/>
  </si>
  <si>
    <r>
      <t>CPI</t>
    </r>
    <r>
      <rPr>
        <sz val="12"/>
        <rFont val="宋体"/>
        <family val="3"/>
        <charset val="134"/>
      </rPr>
      <t>截止日</t>
    </r>
    <phoneticPr fontId="1" type="noConversion"/>
  </si>
  <si>
    <r>
      <t>PPI</t>
    </r>
    <r>
      <rPr>
        <sz val="12"/>
        <rFont val="宋体"/>
        <family val="3"/>
        <charset val="134"/>
      </rPr>
      <t>截止日</t>
    </r>
    <phoneticPr fontId="1" type="noConversion"/>
  </si>
  <si>
    <r>
      <rPr>
        <sz val="12"/>
        <rFont val="宋体"/>
        <family val="3"/>
        <charset val="134"/>
      </rPr>
      <t>前置</t>
    </r>
    <r>
      <rPr>
        <sz val="12"/>
        <rFont val="Arial"/>
        <family val="2"/>
      </rPr>
      <t>/</t>
    </r>
    <r>
      <rPr>
        <sz val="12"/>
        <rFont val="宋体"/>
        <family val="3"/>
        <charset val="134"/>
      </rPr>
      <t>后置</t>
    </r>
    <phoneticPr fontId="1" type="noConversion"/>
  </si>
  <si>
    <t>PPI:全部工业品:当月同比</t>
  </si>
  <si>
    <t>截止年份</t>
    <phoneticPr fontId="1" type="noConversion"/>
  </si>
  <si>
    <r>
      <t>1</t>
    </r>
    <r>
      <rPr>
        <b/>
        <sz val="12"/>
        <color indexed="9"/>
        <rFont val="宋体"/>
        <family val="3"/>
        <charset val="134"/>
      </rPr>
      <t>月</t>
    </r>
    <phoneticPr fontId="1" type="noConversion"/>
  </si>
  <si>
    <r>
      <t>2</t>
    </r>
    <r>
      <rPr>
        <b/>
        <sz val="12"/>
        <color indexed="9"/>
        <rFont val="宋体"/>
        <family val="3"/>
        <charset val="134"/>
      </rPr>
      <t>月</t>
    </r>
    <phoneticPr fontId="1" type="noConversion"/>
  </si>
  <si>
    <r>
      <t>3</t>
    </r>
    <r>
      <rPr>
        <b/>
        <sz val="12"/>
        <color indexed="9"/>
        <rFont val="宋体"/>
        <family val="3"/>
        <charset val="134"/>
      </rPr>
      <t>月</t>
    </r>
  </si>
  <si>
    <r>
      <t>4</t>
    </r>
    <r>
      <rPr>
        <b/>
        <sz val="12"/>
        <color indexed="9"/>
        <rFont val="宋体"/>
        <family val="3"/>
        <charset val="134"/>
      </rPr>
      <t>月</t>
    </r>
  </si>
  <si>
    <r>
      <t>5</t>
    </r>
    <r>
      <rPr>
        <b/>
        <sz val="12"/>
        <color indexed="9"/>
        <rFont val="宋体"/>
        <family val="3"/>
        <charset val="134"/>
      </rPr>
      <t>月</t>
    </r>
  </si>
  <si>
    <r>
      <t>6</t>
    </r>
    <r>
      <rPr>
        <b/>
        <sz val="12"/>
        <color indexed="9"/>
        <rFont val="宋体"/>
        <family val="3"/>
        <charset val="134"/>
      </rPr>
      <t>月</t>
    </r>
  </si>
  <si>
    <r>
      <t>7</t>
    </r>
    <r>
      <rPr>
        <b/>
        <sz val="12"/>
        <color indexed="9"/>
        <rFont val="宋体"/>
        <family val="3"/>
        <charset val="134"/>
      </rPr>
      <t>月</t>
    </r>
  </si>
  <si>
    <r>
      <t>8</t>
    </r>
    <r>
      <rPr>
        <b/>
        <sz val="12"/>
        <color indexed="9"/>
        <rFont val="宋体"/>
        <family val="3"/>
        <charset val="134"/>
      </rPr>
      <t>月</t>
    </r>
  </si>
  <si>
    <r>
      <t>9</t>
    </r>
    <r>
      <rPr>
        <b/>
        <sz val="12"/>
        <color indexed="9"/>
        <rFont val="宋体"/>
        <family val="3"/>
        <charset val="134"/>
      </rPr>
      <t>月</t>
    </r>
  </si>
  <si>
    <r>
      <t>10</t>
    </r>
    <r>
      <rPr>
        <b/>
        <sz val="12"/>
        <color indexed="9"/>
        <rFont val="宋体"/>
        <family val="3"/>
        <charset val="134"/>
      </rPr>
      <t>月</t>
    </r>
  </si>
  <si>
    <r>
      <t>11</t>
    </r>
    <r>
      <rPr>
        <b/>
        <sz val="12"/>
        <color indexed="9"/>
        <rFont val="宋体"/>
        <family val="3"/>
        <charset val="134"/>
      </rPr>
      <t>月</t>
    </r>
  </si>
  <si>
    <r>
      <t>12</t>
    </r>
    <r>
      <rPr>
        <b/>
        <sz val="12"/>
        <color indexed="9"/>
        <rFont val="宋体"/>
        <family val="3"/>
        <charset val="134"/>
      </rPr>
      <t>月</t>
    </r>
  </si>
  <si>
    <r>
      <t>12</t>
    </r>
    <r>
      <rPr>
        <b/>
        <sz val="12"/>
        <color indexed="9"/>
        <rFont val="宋体"/>
        <family val="3"/>
        <charset val="134"/>
      </rPr>
      <t>个月</t>
    </r>
    <phoneticPr fontId="1" type="noConversion"/>
  </si>
  <si>
    <r>
      <t>24</t>
    </r>
    <r>
      <rPr>
        <b/>
        <sz val="12"/>
        <color indexed="9"/>
        <rFont val="宋体"/>
        <family val="3"/>
        <charset val="134"/>
      </rPr>
      <t>个月</t>
    </r>
    <phoneticPr fontId="1" type="noConversion"/>
  </si>
  <si>
    <r>
      <t>36</t>
    </r>
    <r>
      <rPr>
        <b/>
        <sz val="12"/>
        <color indexed="9"/>
        <rFont val="宋体"/>
        <family val="3"/>
        <charset val="134"/>
      </rPr>
      <t>个月</t>
    </r>
    <phoneticPr fontId="1" type="noConversion"/>
  </si>
  <si>
    <r>
      <t>48</t>
    </r>
    <r>
      <rPr>
        <b/>
        <sz val="12"/>
        <color indexed="9"/>
        <rFont val="宋体"/>
        <family val="3"/>
        <charset val="134"/>
      </rPr>
      <t>个月</t>
    </r>
    <phoneticPr fontId="1" type="noConversion"/>
  </si>
  <si>
    <r>
      <rPr>
        <b/>
        <sz val="12"/>
        <color indexed="9"/>
        <rFont val="宋体"/>
        <family val="3"/>
        <charset val="134"/>
      </rPr>
      <t>最大值</t>
    </r>
    <phoneticPr fontId="1" type="noConversion"/>
  </si>
  <si>
    <r>
      <t xml:space="preserve">CPI VS PPI </t>
    </r>
    <r>
      <rPr>
        <sz val="9"/>
        <color indexed="9"/>
        <rFont val="宋体"/>
        <family val="3"/>
        <charset val="134"/>
      </rPr>
      <t>生产资料</t>
    </r>
    <phoneticPr fontId="1" type="noConversion"/>
  </si>
  <si>
    <r>
      <t>CPI VS PPI</t>
    </r>
    <r>
      <rPr>
        <sz val="9"/>
        <color indexed="9"/>
        <rFont val="宋体"/>
        <family val="3"/>
        <charset val="134"/>
      </rPr>
      <t>生活资料</t>
    </r>
    <phoneticPr fontId="1" type="noConversion"/>
  </si>
  <si>
    <r>
      <t>CPI</t>
    </r>
    <r>
      <rPr>
        <sz val="9"/>
        <color indexed="9"/>
        <rFont val="宋体"/>
        <family val="3"/>
        <charset val="134"/>
      </rPr>
      <t>食品</t>
    </r>
    <r>
      <rPr>
        <sz val="9"/>
        <color indexed="9"/>
        <rFont val="Arial"/>
        <family val="2"/>
      </rPr>
      <t xml:space="preserve"> VS PPI</t>
    </r>
    <phoneticPr fontId="1" type="noConversion"/>
  </si>
  <si>
    <r>
      <t>CPI</t>
    </r>
    <r>
      <rPr>
        <sz val="9"/>
        <color indexed="9"/>
        <rFont val="宋体"/>
        <family val="3"/>
        <charset val="134"/>
      </rPr>
      <t>食品</t>
    </r>
    <r>
      <rPr>
        <sz val="9"/>
        <color indexed="9"/>
        <rFont val="Arial"/>
        <family val="2"/>
      </rPr>
      <t xml:space="preserve"> VS PPI</t>
    </r>
    <r>
      <rPr>
        <sz val="9"/>
        <color indexed="9"/>
        <rFont val="宋体"/>
        <family val="3"/>
        <charset val="134"/>
      </rPr>
      <t>生产资料</t>
    </r>
    <phoneticPr fontId="1" type="noConversion"/>
  </si>
  <si>
    <r>
      <t>CPI</t>
    </r>
    <r>
      <rPr>
        <sz val="9"/>
        <color indexed="9"/>
        <rFont val="宋体"/>
        <family val="3"/>
        <charset val="134"/>
      </rPr>
      <t>食品</t>
    </r>
    <r>
      <rPr>
        <sz val="9"/>
        <color indexed="9"/>
        <rFont val="Arial"/>
        <family val="2"/>
      </rPr>
      <t xml:space="preserve"> VS PPI</t>
    </r>
    <r>
      <rPr>
        <sz val="9"/>
        <color indexed="9"/>
        <rFont val="宋体"/>
        <family val="3"/>
        <charset val="134"/>
      </rPr>
      <t>生活资料</t>
    </r>
    <phoneticPr fontId="1" type="noConversion"/>
  </si>
  <si>
    <r>
      <t>CPI</t>
    </r>
    <r>
      <rPr>
        <sz val="9"/>
        <color indexed="9"/>
        <rFont val="宋体"/>
        <family val="3"/>
        <charset val="134"/>
      </rPr>
      <t>非食品</t>
    </r>
    <r>
      <rPr>
        <sz val="9"/>
        <color indexed="9"/>
        <rFont val="Arial"/>
        <family val="2"/>
      </rPr>
      <t xml:space="preserve"> VS PPI</t>
    </r>
    <phoneticPr fontId="1" type="noConversion"/>
  </si>
  <si>
    <r>
      <t>CPI</t>
    </r>
    <r>
      <rPr>
        <sz val="9"/>
        <color indexed="9"/>
        <rFont val="宋体"/>
        <family val="3"/>
        <charset val="134"/>
      </rPr>
      <t>非食品</t>
    </r>
    <r>
      <rPr>
        <sz val="9"/>
        <color indexed="9"/>
        <rFont val="Arial"/>
        <family val="2"/>
      </rPr>
      <t xml:space="preserve"> VS PPI</t>
    </r>
    <r>
      <rPr>
        <sz val="9"/>
        <color indexed="9"/>
        <rFont val="宋体"/>
        <family val="3"/>
        <charset val="134"/>
      </rPr>
      <t>生产资料</t>
    </r>
    <phoneticPr fontId="1" type="noConversion"/>
  </si>
  <si>
    <r>
      <t>CPI</t>
    </r>
    <r>
      <rPr>
        <sz val="9"/>
        <color indexed="9"/>
        <rFont val="宋体"/>
        <family val="3"/>
        <charset val="134"/>
      </rPr>
      <t>非食品</t>
    </r>
    <r>
      <rPr>
        <sz val="9"/>
        <color indexed="9"/>
        <rFont val="Arial"/>
        <family val="2"/>
      </rPr>
      <t xml:space="preserve"> VS PPI</t>
    </r>
    <r>
      <rPr>
        <sz val="9"/>
        <color indexed="9"/>
        <rFont val="宋体"/>
        <family val="3"/>
        <charset val="134"/>
      </rPr>
      <t>生活资料</t>
    </r>
    <phoneticPr fontId="1" type="noConversion"/>
  </si>
  <si>
    <t>CPI:当月同比</t>
  </si>
  <si>
    <r>
      <t xml:space="preserve">
         CPI和PPI之间存在着一定的相关性。
         从生产——流通——消费的价值链来看,PPI是CPI的上游,并形成PPI上升推动CPI上升,PPI下降拉动CPI下降的传导关系。通常称之为</t>
    </r>
    <r>
      <rPr>
        <b/>
        <sz val="10"/>
        <rFont val="微软雅黑"/>
        <family val="2"/>
        <charset val="134"/>
      </rPr>
      <t>正向传导</t>
    </r>
    <r>
      <rPr>
        <sz val="10"/>
        <rFont val="微软雅黑"/>
        <family val="2"/>
        <charset val="134"/>
      </rPr>
      <t>。
         PPI对CPI的影响主要通过两条路径。一条是生活资料出厂价格直接影响CPI变化。不过,由于生活资料在PPI中所占权重较低,所以PPI中生活资料部分对CPI的影响并非决定性的。   
         另一条是生产资料出厂价格的变化,引起生产消费品的企业生产成本的变化,导致消费品出厂价格变化,间接导致CPI变化。这条传导路径大致分为两类,一类是以工业品为原材料的生产,体现为原材料→生产资料→生活资料的传导;另一类是以农产品为原材料的生产,体现为农产品→生产资料→食品的传导。由于生产资料在PPI中所占权重相当大,它的变化将对CPI产生显著影响。
         除了正向传导,PPI与CPI之间还存在后者向前者的</t>
    </r>
    <r>
      <rPr>
        <b/>
        <sz val="10"/>
        <rFont val="微软雅黑"/>
        <family val="2"/>
        <charset val="134"/>
      </rPr>
      <t>逆向传导</t>
    </r>
    <r>
      <rPr>
        <sz val="10"/>
        <rFont val="微软雅黑"/>
        <family val="2"/>
        <charset val="134"/>
      </rPr>
      <t>。
        传导方向之所以出现反转,通常有两方面的原因:一方面CPI中的部分消费品本身是PPI分类产品的原材料,前者价格的变动将对后者产生影响,如CPI食品分类中的众多生、鲜食品是PPI生活资料中食品类的原材料,前者价格的涨跌将会引起后者的变化;另一方面,消费者对下游消费品需求的显著变化会带动其上游的生产资料和生活资料价格的明显变化,这方面的典型例证是消费者对住房、汽车的需求大幅增加拉动铁矿石、钢铁产品以及成品油价格的上涨,从而出现CPI上涨拉动PPI上涨的情况。
        对于逆向传导,由于价格机制在信号传导上的时滞,CPI的显著变化要领先于PPI的变化。
        PPI变化引致CPI变化的正向传导,在价格上涨时主要表现为</t>
    </r>
    <r>
      <rPr>
        <b/>
        <sz val="10"/>
        <rFont val="微软雅黑"/>
        <family val="2"/>
        <charset val="134"/>
      </rPr>
      <t>成本推动型价格上涨</t>
    </r>
    <r>
      <rPr>
        <sz val="10"/>
        <rFont val="微软雅黑"/>
        <family val="2"/>
        <charset val="134"/>
      </rPr>
      <t>;而CPI变化引致PPI变化的逆向传导,在价格上涨时主要表现为</t>
    </r>
    <r>
      <rPr>
        <b/>
        <sz val="10"/>
        <rFont val="微软雅黑"/>
        <family val="2"/>
        <charset val="134"/>
      </rPr>
      <t>需求拉动型价格上涨</t>
    </r>
    <r>
      <rPr>
        <sz val="10"/>
        <rFont val="微软雅黑"/>
        <family val="2"/>
        <charset val="134"/>
      </rPr>
      <t>。进一步,当消费激增导致CPI快速上涨,并拉动PPI上涨后,由于上游原材料价格上涨,以及加工企业生产成本上涨,反过来将再次推动CPI上涨,构成了</t>
    </r>
    <r>
      <rPr>
        <b/>
        <sz val="10"/>
        <rFont val="微软雅黑"/>
        <family val="2"/>
        <charset val="134"/>
      </rPr>
      <t>价格的螺旋式攀升</t>
    </r>
    <r>
      <rPr>
        <sz val="10"/>
        <rFont val="微软雅黑"/>
        <family val="2"/>
        <charset val="134"/>
      </rPr>
      <t xml:space="preserve">。
        根据这一机理，可知CPI和PPI存在较强的相关性，在经济发展的不同阶段,CPI与PPI之间的传导关系不同。
        通过本计算器的绘图功能和相关系数的计算，可以清楚的了解两者传导的先后关系和相关关系，因此，本计算器是一个非常具有意义的工具，特别是对于通货膨胀、国家产业政策、居民生活的研究，能起重要作用，从而帮助使用者很好的解读经济运行状况。
        </t>
    </r>
    <r>
      <rPr>
        <b/>
        <sz val="10"/>
        <rFont val="微软雅黑"/>
        <family val="2"/>
        <charset val="134"/>
      </rPr>
      <t>Pair Correlation</t>
    </r>
    <r>
      <rPr>
        <sz val="10"/>
        <rFont val="微软雅黑"/>
        <family val="2"/>
        <charset val="134"/>
      </rPr>
      <t>是两个数据之间的相关性，</t>
    </r>
    <r>
      <rPr>
        <b/>
        <sz val="10"/>
        <rFont val="微软雅黑"/>
        <family val="2"/>
        <charset val="134"/>
      </rPr>
      <t>Basket Correlation</t>
    </r>
    <r>
      <rPr>
        <sz val="10"/>
        <rFont val="微软雅黑"/>
        <family val="2"/>
        <charset val="134"/>
      </rPr>
      <t>是一篮子（Basket）的数据成份两两相关系数的均值，配合所选取的统计期，能够反映何时、何久CPI和PPI最相关。</t>
    </r>
    <phoneticPr fontId="1" type="noConversion"/>
  </si>
  <si>
    <t>CPI—PPI相关性计算器</t>
  </si>
  <si>
    <t>指标名称</t>
    <phoneticPr fontId="1" type="noConversion"/>
  </si>
  <si>
    <t>CPI:当月同比</t>
    <phoneticPr fontId="1" type="noConversion"/>
  </si>
  <si>
    <t>CPI:食品:当月同比</t>
    <phoneticPr fontId="1" type="noConversion"/>
  </si>
  <si>
    <t>CPI:非食品:当月同比</t>
    <phoneticPr fontId="1" type="noConversion"/>
  </si>
  <si>
    <t>PPI:全部工业品:当月同比</t>
    <phoneticPr fontId="1" type="noConversion"/>
  </si>
  <si>
    <t>PPI:生产资料:当月同比</t>
    <phoneticPr fontId="1" type="noConversion"/>
  </si>
  <si>
    <t>PPI:生活资料:当月同比</t>
    <phoneticPr fontId="1" type="noConversion"/>
  </si>
  <si>
    <t>统计期</t>
    <phoneticPr fontId="1" type="noConversion"/>
  </si>
  <si>
    <r>
      <rPr>
        <b/>
        <sz val="12"/>
        <color indexed="9"/>
        <rFont val="Arial"/>
        <family val="2"/>
      </rPr>
      <t xml:space="preserve">CPI </t>
    </r>
    <r>
      <rPr>
        <b/>
        <sz val="12"/>
        <color indexed="9"/>
        <rFont val="宋体"/>
        <family val="3"/>
        <charset val="134"/>
      </rPr>
      <t>截止日期</t>
    </r>
    <phoneticPr fontId="1" type="noConversion"/>
  </si>
  <si>
    <r>
      <rPr>
        <b/>
        <sz val="12"/>
        <color indexed="9"/>
        <rFont val="宋体"/>
        <family val="3"/>
        <charset val="134"/>
      </rPr>
      <t>统计期</t>
    </r>
    <phoneticPr fontId="1" type="noConversion"/>
  </si>
  <si>
    <r>
      <t xml:space="preserve">PPI </t>
    </r>
    <r>
      <rPr>
        <b/>
        <sz val="12"/>
        <color indexed="9"/>
        <rFont val="宋体"/>
        <family val="3"/>
        <charset val="134"/>
      </rPr>
      <t>前置</t>
    </r>
    <r>
      <rPr>
        <b/>
        <sz val="12"/>
        <color indexed="9"/>
        <rFont val="Arial"/>
        <family val="2"/>
      </rPr>
      <t>/</t>
    </r>
    <r>
      <rPr>
        <b/>
        <sz val="12"/>
        <color indexed="9"/>
        <rFont val="宋体"/>
        <family val="3"/>
        <charset val="134"/>
      </rPr>
      <t>后置</t>
    </r>
    <phoneticPr fontId="1" type="noConversion"/>
  </si>
  <si>
    <r>
      <rPr>
        <b/>
        <sz val="12"/>
        <color indexed="9"/>
        <rFont val="宋体"/>
        <family val="3"/>
        <charset val="134"/>
      </rPr>
      <t>相关性</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</si>
</sst>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
    <numFmt numFmtId="177" formatCode="###,###,###,###,##0.00"/>
    <numFmt numFmtId="178" formatCode="yyyy&quot;年&quot;m&quot;月&quot;;@"/>
    <numFmt numFmtId="179" formatCode="0.0000_ "/>
    <numFmt numFmtId="180" formatCode="yyyy&quot;年&quot;"/>
    <numFmt numFmtId="181" formatCode="yyyy/mm"/>
    <numFmt numFmtId="182" formatCode="#,##0.00_ "/>
    <numFmt numFmtId="183" formatCode="yyyy\-mm"/>
  </numFmts>
  <fonts count="25" x14ac:knownFonts="1">
    <font>
      <sz val="12"/>
      <name val="宋体"/>
      <charset val="134"/>
    </font>
    <font>
      <sz val="9"/>
      <name val="宋体"/>
      <family val="3"/>
      <charset val="134"/>
    </font>
    <font>
      <sz val="10"/>
      <name val="Arial"/>
      <family val="2"/>
    </font>
    <font>
      <b/>
      <sz val="9"/>
      <color indexed="81"/>
      <name val="Tahoma"/>
      <family val="2"/>
    </font>
    <font>
      <b/>
      <sz val="12"/>
      <color indexed="10"/>
      <name val="Arial"/>
      <family val="2"/>
    </font>
    <font>
      <sz val="12"/>
      <name val="Arial"/>
      <family val="2"/>
    </font>
    <font>
      <sz val="12"/>
      <name val="宋体"/>
      <family val="3"/>
      <charset val="134"/>
    </font>
    <font>
      <sz val="13"/>
      <name val="Arial"/>
      <family val="2"/>
    </font>
    <font>
      <b/>
      <sz val="12"/>
      <name val="Arial"/>
      <family val="2"/>
    </font>
    <font>
      <sz val="14"/>
      <name val="Arial"/>
      <family val="2"/>
    </font>
    <font>
      <sz val="12"/>
      <name val="微软雅黑"/>
      <family val="2"/>
      <charset val="134"/>
    </font>
    <font>
      <sz val="9"/>
      <color indexed="81"/>
      <name val="Tahoma"/>
      <family val="2"/>
    </font>
    <font>
      <sz val="9"/>
      <color indexed="81"/>
      <name val="宋体"/>
      <family val="3"/>
      <charset val="134"/>
    </font>
    <font>
      <b/>
      <sz val="12"/>
      <color indexed="9"/>
      <name val="Arial"/>
      <family val="2"/>
    </font>
    <font>
      <b/>
      <sz val="12"/>
      <color indexed="9"/>
      <name val="宋体"/>
      <family val="3"/>
      <charset val="134"/>
    </font>
    <font>
      <sz val="9"/>
      <color indexed="9"/>
      <name val="Arial"/>
      <family val="2"/>
    </font>
    <font>
      <sz val="9"/>
      <color indexed="9"/>
      <name val="宋体"/>
      <family val="3"/>
      <charset val="134"/>
    </font>
    <font>
      <sz val="10"/>
      <name val="宋体"/>
      <family val="3"/>
      <charset val="134"/>
    </font>
    <font>
      <sz val="10"/>
      <name val="微软雅黑"/>
      <family val="2"/>
      <charset val="134"/>
    </font>
    <font>
      <b/>
      <sz val="10"/>
      <name val="微软雅黑"/>
      <family val="2"/>
      <charset val="134"/>
    </font>
    <font>
      <b/>
      <sz val="12"/>
      <color theme="0"/>
      <name val="宋体"/>
      <family val="3"/>
      <charset val="134"/>
    </font>
    <font>
      <b/>
      <sz val="9"/>
      <color theme="0"/>
      <name val="Arial"/>
      <family val="2"/>
    </font>
    <font>
      <b/>
      <sz val="12"/>
      <color theme="0"/>
      <name val="Arial"/>
      <family val="2"/>
    </font>
    <font>
      <sz val="9"/>
      <color theme="0"/>
      <name val="Arial"/>
      <family val="2"/>
    </font>
    <font>
      <b/>
      <sz val="12"/>
      <color theme="0"/>
      <name val="微软雅黑"/>
      <family val="2"/>
      <charset val="134"/>
    </font>
  </fonts>
  <fills count="9">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rgb="FF4279B5"/>
        <bgColor indexed="64"/>
      </patternFill>
    </fill>
    <fill>
      <patternFill patternType="solid">
        <fgColor rgb="FFC8D8ED"/>
        <bgColor indexed="64"/>
      </patternFill>
    </fill>
    <fill>
      <patternFill patternType="solid">
        <fgColor rgb="FFF0ECE1"/>
        <bgColor indexed="64"/>
      </patternFill>
    </fill>
    <fill>
      <patternFill patternType="solid">
        <fgColor rgb="FFFFCCCC"/>
        <bgColor indexed="64"/>
      </patternFill>
    </fill>
  </fills>
  <borders count="14">
    <border>
      <left/>
      <right/>
      <top/>
      <bottom/>
      <diagonal/>
    </border>
    <border>
      <left style="thin">
        <color indexed="30"/>
      </left>
      <right style="thin">
        <color indexed="30"/>
      </right>
      <top style="thin">
        <color indexed="30"/>
      </top>
      <bottom style="thin">
        <color indexed="30"/>
      </bottom>
      <diagonal/>
    </border>
    <border>
      <left style="medium">
        <color indexed="30"/>
      </left>
      <right/>
      <top style="medium">
        <color indexed="30"/>
      </top>
      <bottom style="medium">
        <color indexed="30"/>
      </bottom>
      <diagonal/>
    </border>
    <border>
      <left/>
      <right/>
      <top style="medium">
        <color indexed="30"/>
      </top>
      <bottom style="medium">
        <color indexed="30"/>
      </bottom>
      <diagonal/>
    </border>
    <border>
      <left/>
      <right style="medium">
        <color indexed="30"/>
      </right>
      <top style="medium">
        <color indexed="30"/>
      </top>
      <bottom style="medium">
        <color indexed="30"/>
      </bottom>
      <diagonal/>
    </border>
    <border>
      <left style="thin">
        <color indexed="30"/>
      </left>
      <right style="thin">
        <color indexed="30"/>
      </right>
      <top/>
      <bottom style="thin">
        <color indexed="30"/>
      </bottom>
      <diagonal/>
    </border>
    <border>
      <left style="medium">
        <color rgb="FFFFFFFF"/>
      </left>
      <right/>
      <top/>
      <bottom/>
      <diagonal/>
    </border>
    <border>
      <left/>
      <right style="medium">
        <color rgb="FFFFFFFF"/>
      </right>
      <top/>
      <bottom/>
      <diagonal/>
    </border>
    <border>
      <left style="medium">
        <color rgb="FFFFFFFF"/>
      </left>
      <right/>
      <top style="medium">
        <color rgb="FFFFFFFF"/>
      </top>
      <bottom/>
      <diagonal/>
    </border>
    <border>
      <left/>
      <right/>
      <top style="medium">
        <color rgb="FFFFFFFF"/>
      </top>
      <bottom/>
      <diagonal/>
    </border>
    <border>
      <left/>
      <right style="medium">
        <color rgb="FFFFFFFF"/>
      </right>
      <top style="medium">
        <color rgb="FFFFFFFF"/>
      </top>
      <bottom/>
      <diagonal/>
    </border>
    <border>
      <left style="medium">
        <color rgb="FFFFFFFF"/>
      </left>
      <right/>
      <top/>
      <bottom style="medium">
        <color rgb="FFFFFFFF"/>
      </bottom>
      <diagonal/>
    </border>
    <border>
      <left/>
      <right/>
      <top/>
      <bottom style="medium">
        <color rgb="FFFFFFFF"/>
      </bottom>
      <diagonal/>
    </border>
    <border>
      <left/>
      <right style="medium">
        <color rgb="FFFFFFFF"/>
      </right>
      <top/>
      <bottom style="medium">
        <color rgb="FFFFFFFF"/>
      </bottom>
      <diagonal/>
    </border>
  </borders>
  <cellStyleXfs count="2">
    <xf numFmtId="0" fontId="0" fillId="0" borderId="0"/>
    <xf numFmtId="0" fontId="2" fillId="0" borderId="0" applyNumberFormat="0" applyFill="0" applyBorder="0" applyAlignment="0" applyProtection="0"/>
  </cellStyleXfs>
  <cellXfs count="58">
    <xf numFmtId="0" fontId="0" fillId="0" borderId="0" xfId="0"/>
    <xf numFmtId="0" fontId="0" fillId="0" borderId="0" xfId="0" applyProtection="1">
      <protection hidden="1"/>
    </xf>
    <xf numFmtId="0" fontId="5" fillId="0" borderId="0" xfId="0" applyFont="1" applyAlignment="1" applyProtection="1">
      <alignment horizontal="center"/>
      <protection locked="0" hidden="1"/>
    </xf>
    <xf numFmtId="0" fontId="5" fillId="2" borderId="0" xfId="0" applyFont="1" applyFill="1" applyAlignment="1" applyProtection="1">
      <alignment horizontal="center"/>
      <protection locked="0" hidden="1"/>
    </xf>
    <xf numFmtId="0" fontId="7" fillId="0" borderId="0" xfId="1" applyFont="1" applyFill="1" applyAlignment="1" applyProtection="1">
      <alignment horizontal="center"/>
      <protection hidden="1"/>
    </xf>
    <xf numFmtId="0" fontId="5" fillId="0" borderId="0" xfId="0" applyFont="1" applyFill="1" applyProtection="1">
      <protection hidden="1"/>
    </xf>
    <xf numFmtId="0" fontId="5" fillId="0" borderId="0" xfId="0" applyFont="1" applyProtection="1">
      <protection hidden="1"/>
    </xf>
    <xf numFmtId="0" fontId="5" fillId="0" borderId="0" xfId="0" applyFont="1" applyFill="1" applyBorder="1" applyProtection="1">
      <protection hidden="1"/>
    </xf>
    <xf numFmtId="0" fontId="5" fillId="3" borderId="0" xfId="0" applyFont="1" applyFill="1" applyBorder="1" applyProtection="1">
      <protection hidden="1"/>
    </xf>
    <xf numFmtId="0" fontId="5" fillId="0" borderId="0" xfId="0" applyFont="1" applyBorder="1" applyProtection="1">
      <protection hidden="1"/>
    </xf>
    <xf numFmtId="176" fontId="5" fillId="0" borderId="0" xfId="0" applyNumberFormat="1" applyFont="1" applyProtection="1">
      <protection hidden="1"/>
    </xf>
    <xf numFmtId="177" fontId="5" fillId="0" borderId="0" xfId="0" applyNumberFormat="1" applyFont="1" applyAlignment="1" applyProtection="1">
      <alignment horizontal="right"/>
      <protection hidden="1"/>
    </xf>
    <xf numFmtId="0" fontId="5" fillId="0" borderId="0" xfId="0" applyFont="1" applyFill="1" applyAlignment="1" applyProtection="1">
      <alignment horizontal="center"/>
      <protection hidden="1"/>
    </xf>
    <xf numFmtId="0" fontId="2" fillId="0" borderId="0" xfId="0" applyFont="1" applyFill="1" applyAlignment="1" applyProtection="1">
      <alignment horizontal="center" vertical="center"/>
      <protection hidden="1"/>
    </xf>
    <xf numFmtId="0" fontId="2" fillId="0" borderId="0" xfId="0" applyFont="1" applyFill="1" applyAlignment="1" applyProtection="1">
      <alignment horizontal="center"/>
      <protection hidden="1"/>
    </xf>
    <xf numFmtId="179" fontId="5" fillId="6" borderId="1" xfId="0" applyNumberFormat="1" applyFont="1" applyFill="1" applyBorder="1" applyAlignment="1" applyProtection="1">
      <alignment horizontal="center"/>
      <protection hidden="1"/>
    </xf>
    <xf numFmtId="0" fontId="21" fillId="5" borderId="1" xfId="0" applyFont="1" applyFill="1" applyBorder="1" applyAlignment="1" applyProtection="1">
      <alignment horizontal="center"/>
      <protection hidden="1"/>
    </xf>
    <xf numFmtId="0" fontId="22" fillId="5" borderId="1" xfId="0" applyFont="1" applyFill="1" applyBorder="1" applyAlignment="1" applyProtection="1">
      <alignment horizontal="center"/>
      <protection hidden="1"/>
    </xf>
    <xf numFmtId="181" fontId="4" fillId="0" borderId="0" xfId="0" applyNumberFormat="1" applyFont="1" applyAlignment="1" applyProtection="1">
      <alignment horizontal="center"/>
      <protection locked="0" hidden="1"/>
    </xf>
    <xf numFmtId="181" fontId="5" fillId="0" borderId="0" xfId="0" applyNumberFormat="1" applyFont="1" applyAlignment="1" applyProtection="1">
      <alignment horizontal="center"/>
      <protection locked="0" hidden="1"/>
    </xf>
    <xf numFmtId="0" fontId="5" fillId="0" borderId="0" xfId="0" applyFont="1" applyFill="1" applyAlignment="1" applyProtection="1">
      <alignment horizontal="right" vertical="center"/>
      <protection locked="0" hidden="1"/>
    </xf>
    <xf numFmtId="0" fontId="5" fillId="0" borderId="0" xfId="0" applyFont="1" applyFill="1" applyAlignment="1" applyProtection="1">
      <alignment horizontal="right"/>
      <protection locked="0" hidden="1"/>
    </xf>
    <xf numFmtId="0" fontId="17" fillId="0" borderId="0" xfId="0" applyNumberFormat="1" applyFont="1" applyAlignment="1" applyProtection="1">
      <alignment horizontal="left"/>
      <protection locked="0" hidden="1"/>
    </xf>
    <xf numFmtId="0" fontId="2" fillId="0" borderId="0" xfId="0" applyNumberFormat="1" applyFont="1" applyFill="1" applyAlignment="1" applyProtection="1">
      <alignment horizontal="left" vertical="center"/>
      <protection locked="0" hidden="1"/>
    </xf>
    <xf numFmtId="0" fontId="2" fillId="0" borderId="0" xfId="0" applyNumberFormat="1" applyFont="1" applyFill="1" applyAlignment="1" applyProtection="1">
      <alignment horizontal="left"/>
      <protection locked="0" hidden="1"/>
    </xf>
    <xf numFmtId="182" fontId="5" fillId="0" borderId="0" xfId="0" applyNumberFormat="1" applyFont="1" applyFill="1" applyAlignment="1" applyProtection="1">
      <alignment horizontal="right" vertical="center"/>
      <protection locked="0" hidden="1"/>
    </xf>
    <xf numFmtId="182" fontId="5" fillId="0" borderId="0" xfId="0" applyNumberFormat="1" applyFont="1" applyFill="1" applyAlignment="1" applyProtection="1">
      <alignment horizontal="right"/>
      <protection locked="0" hidden="1"/>
    </xf>
    <xf numFmtId="183" fontId="5" fillId="0" borderId="0" xfId="0" applyNumberFormat="1" applyFont="1" applyAlignment="1" applyProtection="1">
      <alignment horizontal="right"/>
      <protection locked="0" hidden="1"/>
    </xf>
    <xf numFmtId="0" fontId="5" fillId="0" borderId="0" xfId="0" applyFont="1" applyAlignment="1" applyProtection="1">
      <alignment horizontal="center"/>
      <protection locked="0" hidden="1"/>
    </xf>
    <xf numFmtId="0" fontId="23" fillId="5" borderId="1" xfId="0" applyFont="1" applyFill="1" applyBorder="1" applyAlignment="1" applyProtection="1">
      <alignment horizontal="center"/>
      <protection hidden="1"/>
    </xf>
    <xf numFmtId="179" fontId="5" fillId="6" borderId="1" xfId="0" applyNumberFormat="1"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protection hidden="1"/>
    </xf>
    <xf numFmtId="180" fontId="22" fillId="5" borderId="1" xfId="0" applyNumberFormat="1" applyFont="1" applyFill="1" applyBorder="1" applyAlignment="1" applyProtection="1">
      <alignment horizontal="center" vertical="center"/>
      <protection hidden="1"/>
    </xf>
    <xf numFmtId="0" fontId="22" fillId="5" borderId="1" xfId="0" applyFont="1" applyFill="1" applyBorder="1" applyAlignment="1" applyProtection="1">
      <alignment horizontal="center" vertical="center"/>
      <protection hidden="1"/>
    </xf>
    <xf numFmtId="178" fontId="22" fillId="5" borderId="1" xfId="0" applyNumberFormat="1" applyFont="1" applyFill="1" applyBorder="1" applyAlignment="1" applyProtection="1">
      <alignment horizontal="center" vertical="center"/>
      <protection hidden="1"/>
    </xf>
    <xf numFmtId="179" fontId="9" fillId="8" borderId="0" xfId="0" applyNumberFormat="1" applyFont="1" applyFill="1" applyBorder="1" applyAlignment="1" applyProtection="1">
      <alignment horizontal="center" vertical="center"/>
      <protection hidden="1"/>
    </xf>
    <xf numFmtId="0" fontId="5" fillId="0" borderId="0" xfId="0" applyFont="1" applyFill="1" applyBorder="1" applyAlignment="1" applyProtection="1">
      <alignment horizontal="center"/>
      <protection hidden="1"/>
    </xf>
    <xf numFmtId="0" fontId="24" fillId="5" borderId="0" xfId="0" applyFont="1" applyFill="1" applyBorder="1" applyAlignment="1" applyProtection="1">
      <alignment horizontal="center" vertical="center"/>
      <protection hidden="1"/>
    </xf>
    <xf numFmtId="0" fontId="8" fillId="6" borderId="0" xfId="0" applyFont="1" applyFill="1" applyBorder="1" applyAlignment="1" applyProtection="1">
      <alignment horizontal="center" vertical="center"/>
      <protection hidden="1"/>
    </xf>
    <xf numFmtId="0" fontId="10" fillId="3" borderId="0" xfId="0" applyFont="1" applyFill="1" applyBorder="1" applyAlignment="1" applyProtection="1">
      <alignment horizontal="center" vertical="center"/>
      <protection hidden="1"/>
    </xf>
    <xf numFmtId="178" fontId="8" fillId="6" borderId="0" xfId="0" applyNumberFormat="1" applyFont="1" applyFill="1" applyBorder="1" applyAlignment="1" applyProtection="1">
      <alignment horizontal="center" vertical="center"/>
      <protection hidden="1"/>
    </xf>
    <xf numFmtId="0" fontId="5" fillId="0" borderId="0" xfId="0" applyFont="1" applyAlignment="1" applyProtection="1">
      <alignment horizontal="center"/>
      <protection locked="0" hidden="1"/>
    </xf>
    <xf numFmtId="0" fontId="18" fillId="0" borderId="2" xfId="0" applyFont="1" applyBorder="1" applyAlignment="1" applyProtection="1">
      <alignment horizontal="left" vertical="top" wrapText="1"/>
      <protection hidden="1"/>
    </xf>
    <xf numFmtId="0" fontId="18" fillId="0" borderId="3" xfId="0" applyFont="1" applyBorder="1" applyAlignment="1" applyProtection="1">
      <alignment horizontal="left" vertical="top" wrapText="1"/>
      <protection hidden="1"/>
    </xf>
    <xf numFmtId="0" fontId="18" fillId="0" borderId="4" xfId="0" applyFont="1" applyBorder="1" applyAlignment="1" applyProtection="1">
      <alignment horizontal="left" vertical="top" wrapText="1"/>
      <protection hidden="1"/>
    </xf>
    <xf numFmtId="0" fontId="20" fillId="5" borderId="5" xfId="0" applyFont="1" applyFill="1" applyBorder="1" applyAlignment="1" applyProtection="1">
      <alignment horizontal="center"/>
      <protection hidden="1"/>
    </xf>
    <xf numFmtId="0" fontId="5" fillId="4" borderId="5" xfId="0" applyFont="1" applyFill="1" applyBorder="1" applyAlignment="1" applyProtection="1">
      <alignment horizontal="center" vertical="center"/>
      <protection hidden="1"/>
    </xf>
    <xf numFmtId="0" fontId="22" fillId="5" borderId="5" xfId="0" applyFont="1" applyFill="1" applyBorder="1" applyAlignment="1" applyProtection="1">
      <alignment horizontal="center"/>
      <protection hidden="1"/>
    </xf>
    <xf numFmtId="0" fontId="5" fillId="0" borderId="6" xfId="0" applyFont="1" applyFill="1" applyBorder="1" applyAlignment="1" applyProtection="1">
      <alignment horizontal="center"/>
      <protection hidden="1"/>
    </xf>
    <xf numFmtId="0" fontId="5" fillId="0" borderId="7" xfId="0" applyFont="1" applyFill="1" applyBorder="1" applyAlignment="1" applyProtection="1">
      <alignment horizontal="center"/>
      <protection hidden="1"/>
    </xf>
    <xf numFmtId="0" fontId="5" fillId="0" borderId="8" xfId="0" applyFont="1" applyFill="1" applyBorder="1" applyAlignment="1" applyProtection="1">
      <alignment horizontal="center"/>
      <protection hidden="1"/>
    </xf>
    <xf numFmtId="0" fontId="5" fillId="0" borderId="9" xfId="0" applyFont="1" applyFill="1" applyBorder="1" applyAlignment="1" applyProtection="1">
      <alignment horizontal="center"/>
      <protection hidden="1"/>
    </xf>
    <xf numFmtId="0" fontId="5" fillId="0" borderId="10" xfId="0" applyFont="1" applyFill="1" applyBorder="1" applyAlignment="1" applyProtection="1">
      <alignment horizontal="center"/>
      <protection hidden="1"/>
    </xf>
    <xf numFmtId="0" fontId="5" fillId="0" borderId="11" xfId="0" applyFont="1" applyFill="1" applyBorder="1" applyAlignment="1" applyProtection="1">
      <alignment horizontal="center"/>
      <protection hidden="1"/>
    </xf>
    <xf numFmtId="0" fontId="5" fillId="0" borderId="12" xfId="0" applyFont="1" applyFill="1" applyBorder="1" applyAlignment="1" applyProtection="1">
      <alignment horizontal="center"/>
      <protection hidden="1"/>
    </xf>
    <xf numFmtId="0" fontId="5" fillId="0" borderId="13" xfId="0" applyFont="1" applyFill="1" applyBorder="1" applyAlignment="1" applyProtection="1">
      <alignment horizontal="center"/>
      <protection hidden="1"/>
    </xf>
    <xf numFmtId="0" fontId="14" fillId="5" borderId="5" xfId="0" applyFont="1" applyFill="1" applyBorder="1" applyAlignment="1" applyProtection="1">
      <alignment horizontal="center" vertical="center"/>
      <protection hidden="1"/>
    </xf>
    <xf numFmtId="0" fontId="19" fillId="7" borderId="0" xfId="0" applyFont="1" applyFill="1" applyBorder="1" applyAlignment="1" applyProtection="1">
      <alignment horizontal="center"/>
      <protection locked="0" hidden="1"/>
    </xf>
  </cellXfs>
  <cellStyles count="2">
    <cellStyle name="常规" xfId="0" builtinId="0"/>
    <cellStyle name="常规_Sheet1" xfId="1"/>
  </cellStyles>
  <dxfs count="10">
    <dxf>
      <fill>
        <patternFill>
          <bgColor rgb="FF92D05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altLang="zh-CN" sz="2000">
                <a:latin typeface="微软雅黑" panose="020B0503020204020204" pitchFamily="34" charset="-122"/>
                <a:ea typeface="微软雅黑" panose="020B0503020204020204" pitchFamily="34" charset="-122"/>
                <a:cs typeface="Arial" pitchFamily="34" charset="0"/>
              </a:rPr>
              <a:t>CPI  </a:t>
            </a:r>
            <a:r>
              <a:rPr lang="zh-CN" altLang="en-US" sz="2000" baseline="0">
                <a:latin typeface="微软雅黑" panose="020B0503020204020204" pitchFamily="34" charset="-122"/>
                <a:ea typeface="微软雅黑" panose="020B0503020204020204" pitchFamily="34" charset="-122"/>
                <a:cs typeface="Arial" pitchFamily="34" charset="0"/>
              </a:rPr>
              <a:t>  </a:t>
            </a:r>
            <a:r>
              <a:rPr lang="en-US" altLang="zh-CN" sz="2000" baseline="0">
                <a:latin typeface="微软雅黑" panose="020B0503020204020204" pitchFamily="34" charset="-122"/>
                <a:ea typeface="微软雅黑" panose="020B0503020204020204" pitchFamily="34" charset="-122"/>
                <a:cs typeface="Arial" pitchFamily="34" charset="0"/>
              </a:rPr>
              <a:t>V.S.   </a:t>
            </a:r>
            <a:r>
              <a:rPr lang="en-US" altLang="zh-CN" sz="2000">
                <a:latin typeface="微软雅黑" panose="020B0503020204020204" pitchFamily="34" charset="-122"/>
                <a:ea typeface="微软雅黑" panose="020B0503020204020204" pitchFamily="34" charset="-122"/>
                <a:cs typeface="Arial" pitchFamily="34" charset="0"/>
              </a:rPr>
              <a:t>PPI </a:t>
            </a:r>
            <a:r>
              <a:rPr lang="zh-CN" altLang="en-US" sz="2000">
                <a:latin typeface="微软雅黑" pitchFamily="34" charset="-122"/>
                <a:ea typeface="微软雅黑" pitchFamily="34" charset="-122"/>
              </a:rPr>
              <a:t>走势对比</a:t>
            </a:r>
          </a:p>
        </c:rich>
      </c:tx>
      <c:layout>
        <c:manualLayout>
          <c:xMode val="edge"/>
          <c:yMode val="edge"/>
          <c:x val="0.14976754487967486"/>
          <c:y val="4.5951177343882136E-3"/>
        </c:manualLayout>
      </c:layout>
      <c:overlay val="0"/>
      <c:spPr>
        <a:noFill/>
        <a:ln w="25400">
          <a:noFill/>
        </a:ln>
      </c:spPr>
    </c:title>
    <c:autoTitleDeleted val="0"/>
    <c:plotArea>
      <c:layout>
        <c:manualLayout>
          <c:layoutTarget val="inner"/>
          <c:xMode val="edge"/>
          <c:yMode val="edge"/>
          <c:x val="7.0323488045007029E-2"/>
          <c:y val="0.15513126491646778"/>
          <c:w val="0.85091420534458506"/>
          <c:h val="0.73985680190930792"/>
        </c:manualLayout>
      </c:layout>
      <c:lineChart>
        <c:grouping val="standard"/>
        <c:varyColors val="0"/>
        <c:ser>
          <c:idx val="0"/>
          <c:order val="0"/>
          <c:tx>
            <c:strRef>
              <c:f>Data!$L$11</c:f>
              <c:strCache>
                <c:ptCount val="1"/>
                <c:pt idx="0">
                  <c:v>CPI:当月同比</c:v>
                </c:pt>
              </c:strCache>
            </c:strRef>
          </c:tx>
          <c:marker>
            <c:symbol val="none"/>
          </c:marker>
          <c:cat>
            <c:numRef>
              <c:f>Data!DataBCPI</c:f>
              <c:numCache>
                <c:formatCode>yyyy\-mm</c:formatCode>
                <c:ptCount val="36"/>
                <c:pt idx="0">
                  <c:v>44227</c:v>
                </c:pt>
                <c:pt idx="1">
                  <c:v>44255</c:v>
                </c:pt>
                <c:pt idx="2">
                  <c:v>44286</c:v>
                </c:pt>
                <c:pt idx="3">
                  <c:v>44316</c:v>
                </c:pt>
                <c:pt idx="4">
                  <c:v>44347</c:v>
                </c:pt>
                <c:pt idx="5">
                  <c:v>44377</c:v>
                </c:pt>
                <c:pt idx="6">
                  <c:v>44408</c:v>
                </c:pt>
                <c:pt idx="7">
                  <c:v>44439</c:v>
                </c:pt>
                <c:pt idx="8">
                  <c:v>44469</c:v>
                </c:pt>
                <c:pt idx="9">
                  <c:v>44500</c:v>
                </c:pt>
                <c:pt idx="10">
                  <c:v>44530</c:v>
                </c:pt>
                <c:pt idx="11">
                  <c:v>44561</c:v>
                </c:pt>
                <c:pt idx="12">
                  <c:v>44592</c:v>
                </c:pt>
                <c:pt idx="13">
                  <c:v>44620</c:v>
                </c:pt>
                <c:pt idx="14">
                  <c:v>44651</c:v>
                </c:pt>
                <c:pt idx="15">
                  <c:v>44681</c:v>
                </c:pt>
                <c:pt idx="16">
                  <c:v>44712</c:v>
                </c:pt>
                <c:pt idx="17">
                  <c:v>44742</c:v>
                </c:pt>
                <c:pt idx="18">
                  <c:v>44773</c:v>
                </c:pt>
                <c:pt idx="19">
                  <c:v>44804</c:v>
                </c:pt>
                <c:pt idx="20">
                  <c:v>44834</c:v>
                </c:pt>
                <c:pt idx="21">
                  <c:v>44865</c:v>
                </c:pt>
                <c:pt idx="22">
                  <c:v>44895</c:v>
                </c:pt>
                <c:pt idx="23">
                  <c:v>44926</c:v>
                </c:pt>
                <c:pt idx="24">
                  <c:v>44957</c:v>
                </c:pt>
                <c:pt idx="25">
                  <c:v>44985</c:v>
                </c:pt>
                <c:pt idx="26">
                  <c:v>45016</c:v>
                </c:pt>
                <c:pt idx="27">
                  <c:v>45046</c:v>
                </c:pt>
                <c:pt idx="28">
                  <c:v>45077</c:v>
                </c:pt>
                <c:pt idx="29">
                  <c:v>45107</c:v>
                </c:pt>
                <c:pt idx="30">
                  <c:v>45138</c:v>
                </c:pt>
                <c:pt idx="31">
                  <c:v>45169</c:v>
                </c:pt>
                <c:pt idx="32">
                  <c:v>45199</c:v>
                </c:pt>
                <c:pt idx="33">
                  <c:v>45230</c:v>
                </c:pt>
                <c:pt idx="34">
                  <c:v>45260</c:v>
                </c:pt>
                <c:pt idx="35">
                  <c:v>45291</c:v>
                </c:pt>
              </c:numCache>
            </c:numRef>
          </c:cat>
          <c:val>
            <c:numRef>
              <c:f>Data!DataCDE</c:f>
              <c:numCache>
                <c:formatCode>#,##0.00_ </c:formatCode>
                <c:ptCount val="36"/>
                <c:pt idx="0">
                  <c:v>-0.3</c:v>
                </c:pt>
                <c:pt idx="1">
                  <c:v>-0.2</c:v>
                </c:pt>
                <c:pt idx="2">
                  <c:v>0.4</c:v>
                </c:pt>
                <c:pt idx="3">
                  <c:v>0.9</c:v>
                </c:pt>
                <c:pt idx="4">
                  <c:v>1.3</c:v>
                </c:pt>
                <c:pt idx="5">
                  <c:v>1.1000000000000001</c:v>
                </c:pt>
                <c:pt idx="6">
                  <c:v>1</c:v>
                </c:pt>
                <c:pt idx="7">
                  <c:v>0.8</c:v>
                </c:pt>
                <c:pt idx="8">
                  <c:v>0.7</c:v>
                </c:pt>
                <c:pt idx="9">
                  <c:v>1.5</c:v>
                </c:pt>
                <c:pt idx="10">
                  <c:v>2.2999999999999998</c:v>
                </c:pt>
                <c:pt idx="11">
                  <c:v>1.5</c:v>
                </c:pt>
                <c:pt idx="12">
                  <c:v>0.9</c:v>
                </c:pt>
                <c:pt idx="13">
                  <c:v>0.9</c:v>
                </c:pt>
                <c:pt idx="14">
                  <c:v>1.5</c:v>
                </c:pt>
                <c:pt idx="15">
                  <c:v>2.1</c:v>
                </c:pt>
                <c:pt idx="16">
                  <c:v>2.1</c:v>
                </c:pt>
                <c:pt idx="17">
                  <c:v>2.5</c:v>
                </c:pt>
                <c:pt idx="18">
                  <c:v>2.7</c:v>
                </c:pt>
                <c:pt idx="19">
                  <c:v>2.5</c:v>
                </c:pt>
                <c:pt idx="20">
                  <c:v>2.8</c:v>
                </c:pt>
                <c:pt idx="21">
                  <c:v>2.1</c:v>
                </c:pt>
                <c:pt idx="22">
                  <c:v>1.6</c:v>
                </c:pt>
                <c:pt idx="23">
                  <c:v>1.8</c:v>
                </c:pt>
                <c:pt idx="24">
                  <c:v>2.1</c:v>
                </c:pt>
                <c:pt idx="25">
                  <c:v>1</c:v>
                </c:pt>
                <c:pt idx="26">
                  <c:v>0.7</c:v>
                </c:pt>
                <c:pt idx="27">
                  <c:v>0.1</c:v>
                </c:pt>
                <c:pt idx="28">
                  <c:v>0.2</c:v>
                </c:pt>
                <c:pt idx="29">
                  <c:v>0</c:v>
                </c:pt>
                <c:pt idx="30">
                  <c:v>-0.3</c:v>
                </c:pt>
                <c:pt idx="31">
                  <c:v>0.1</c:v>
                </c:pt>
                <c:pt idx="32">
                  <c:v>0</c:v>
                </c:pt>
                <c:pt idx="33">
                  <c:v>-0.2</c:v>
                </c:pt>
                <c:pt idx="34">
                  <c:v>-0.5</c:v>
                </c:pt>
                <c:pt idx="35">
                  <c:v>-0.3</c:v>
                </c:pt>
              </c:numCache>
            </c:numRef>
          </c:val>
          <c:smooth val="0"/>
          <c:extLst>
            <c:ext xmlns:c16="http://schemas.microsoft.com/office/drawing/2014/chart" uri="{C3380CC4-5D6E-409C-BE32-E72D297353CC}">
              <c16:uniqueId val="{00000000-0F16-405C-892F-61F8604C08AE}"/>
            </c:ext>
          </c:extLst>
        </c:ser>
        <c:dLbls>
          <c:showLegendKey val="0"/>
          <c:showVal val="0"/>
          <c:showCatName val="0"/>
          <c:showSerName val="0"/>
          <c:showPercent val="0"/>
          <c:showBubbleSize val="0"/>
        </c:dLbls>
        <c:marker val="1"/>
        <c:smooth val="0"/>
        <c:axId val="176650976"/>
        <c:axId val="1"/>
      </c:lineChart>
      <c:lineChart>
        <c:grouping val="standard"/>
        <c:varyColors val="0"/>
        <c:ser>
          <c:idx val="1"/>
          <c:order val="1"/>
          <c:tx>
            <c:strRef>
              <c:f>Data!$L$12</c:f>
              <c:strCache>
                <c:ptCount val="1"/>
                <c:pt idx="0">
                  <c:v>PPI:全部工业品:当月同比(右轴)</c:v>
                </c:pt>
              </c:strCache>
            </c:strRef>
          </c:tx>
          <c:marker>
            <c:symbol val="none"/>
          </c:marker>
          <c:cat>
            <c:numRef>
              <c:f>Data!DataBPPI</c:f>
              <c:numCache>
                <c:formatCode>yyyy\-mm</c:formatCode>
                <c:ptCount val="36"/>
                <c:pt idx="0">
                  <c:v>44227</c:v>
                </c:pt>
                <c:pt idx="1">
                  <c:v>44255</c:v>
                </c:pt>
                <c:pt idx="2">
                  <c:v>44286</c:v>
                </c:pt>
                <c:pt idx="3">
                  <c:v>44316</c:v>
                </c:pt>
                <c:pt idx="4">
                  <c:v>44347</c:v>
                </c:pt>
                <c:pt idx="5">
                  <c:v>44377</c:v>
                </c:pt>
                <c:pt idx="6">
                  <c:v>44408</c:v>
                </c:pt>
                <c:pt idx="7">
                  <c:v>44439</c:v>
                </c:pt>
                <c:pt idx="8">
                  <c:v>44469</c:v>
                </c:pt>
                <c:pt idx="9">
                  <c:v>44500</c:v>
                </c:pt>
                <c:pt idx="10">
                  <c:v>44530</c:v>
                </c:pt>
                <c:pt idx="11">
                  <c:v>44561</c:v>
                </c:pt>
                <c:pt idx="12">
                  <c:v>44592</c:v>
                </c:pt>
                <c:pt idx="13">
                  <c:v>44620</c:v>
                </c:pt>
                <c:pt idx="14">
                  <c:v>44651</c:v>
                </c:pt>
                <c:pt idx="15">
                  <c:v>44681</c:v>
                </c:pt>
                <c:pt idx="16">
                  <c:v>44712</c:v>
                </c:pt>
                <c:pt idx="17">
                  <c:v>44742</c:v>
                </c:pt>
                <c:pt idx="18">
                  <c:v>44773</c:v>
                </c:pt>
                <c:pt idx="19">
                  <c:v>44804</c:v>
                </c:pt>
                <c:pt idx="20">
                  <c:v>44834</c:v>
                </c:pt>
                <c:pt idx="21">
                  <c:v>44865</c:v>
                </c:pt>
                <c:pt idx="22">
                  <c:v>44895</c:v>
                </c:pt>
                <c:pt idx="23">
                  <c:v>44926</c:v>
                </c:pt>
                <c:pt idx="24">
                  <c:v>44957</c:v>
                </c:pt>
                <c:pt idx="25">
                  <c:v>44985</c:v>
                </c:pt>
                <c:pt idx="26">
                  <c:v>45016</c:v>
                </c:pt>
                <c:pt idx="27">
                  <c:v>45046</c:v>
                </c:pt>
                <c:pt idx="28">
                  <c:v>45077</c:v>
                </c:pt>
                <c:pt idx="29">
                  <c:v>45107</c:v>
                </c:pt>
                <c:pt idx="30">
                  <c:v>45138</c:v>
                </c:pt>
                <c:pt idx="31">
                  <c:v>45169</c:v>
                </c:pt>
                <c:pt idx="32">
                  <c:v>45199</c:v>
                </c:pt>
                <c:pt idx="33">
                  <c:v>45230</c:v>
                </c:pt>
                <c:pt idx="34">
                  <c:v>45260</c:v>
                </c:pt>
                <c:pt idx="35">
                  <c:v>45291</c:v>
                </c:pt>
              </c:numCache>
            </c:numRef>
          </c:cat>
          <c:val>
            <c:numRef>
              <c:f>Data!DataFGH</c:f>
              <c:numCache>
                <c:formatCode>#,##0.00_ </c:formatCode>
                <c:ptCount val="36"/>
                <c:pt idx="0">
                  <c:v>0.3</c:v>
                </c:pt>
                <c:pt idx="1">
                  <c:v>1.7</c:v>
                </c:pt>
                <c:pt idx="2">
                  <c:v>4.4000000000000004</c:v>
                </c:pt>
                <c:pt idx="3">
                  <c:v>6.8</c:v>
                </c:pt>
                <c:pt idx="4">
                  <c:v>9</c:v>
                </c:pt>
                <c:pt idx="5">
                  <c:v>8.8000000000000007</c:v>
                </c:pt>
                <c:pt idx="6">
                  <c:v>9</c:v>
                </c:pt>
                <c:pt idx="7">
                  <c:v>9.5</c:v>
                </c:pt>
                <c:pt idx="8">
                  <c:v>10.7</c:v>
                </c:pt>
                <c:pt idx="9">
                  <c:v>13.5</c:v>
                </c:pt>
                <c:pt idx="10">
                  <c:v>12.9</c:v>
                </c:pt>
                <c:pt idx="11">
                  <c:v>10.3</c:v>
                </c:pt>
                <c:pt idx="12">
                  <c:v>9.1</c:v>
                </c:pt>
                <c:pt idx="13">
                  <c:v>8.8000000000000007</c:v>
                </c:pt>
                <c:pt idx="14">
                  <c:v>8.3000000000000007</c:v>
                </c:pt>
                <c:pt idx="15">
                  <c:v>8</c:v>
                </c:pt>
                <c:pt idx="16">
                  <c:v>6.4</c:v>
                </c:pt>
                <c:pt idx="17">
                  <c:v>6.1</c:v>
                </c:pt>
                <c:pt idx="18">
                  <c:v>4.2</c:v>
                </c:pt>
                <c:pt idx="19">
                  <c:v>2.2999999999999998</c:v>
                </c:pt>
                <c:pt idx="20">
                  <c:v>0.9</c:v>
                </c:pt>
                <c:pt idx="21">
                  <c:v>-1.3</c:v>
                </c:pt>
                <c:pt idx="22">
                  <c:v>-1.3</c:v>
                </c:pt>
                <c:pt idx="23">
                  <c:v>-0.7</c:v>
                </c:pt>
                <c:pt idx="24">
                  <c:v>-0.8</c:v>
                </c:pt>
                <c:pt idx="25">
                  <c:v>-1.4</c:v>
                </c:pt>
                <c:pt idx="26">
                  <c:v>-2.5</c:v>
                </c:pt>
                <c:pt idx="27">
                  <c:v>-3.6</c:v>
                </c:pt>
                <c:pt idx="28">
                  <c:v>-4.5999999999999996</c:v>
                </c:pt>
                <c:pt idx="29">
                  <c:v>-5.4</c:v>
                </c:pt>
                <c:pt idx="30">
                  <c:v>-4.4000000000000004</c:v>
                </c:pt>
                <c:pt idx="31">
                  <c:v>-3</c:v>
                </c:pt>
                <c:pt idx="32">
                  <c:v>-2.5</c:v>
                </c:pt>
                <c:pt idx="33">
                  <c:v>-2.6</c:v>
                </c:pt>
                <c:pt idx="34">
                  <c:v>-3</c:v>
                </c:pt>
                <c:pt idx="35">
                  <c:v>-2.7</c:v>
                </c:pt>
              </c:numCache>
            </c:numRef>
          </c:val>
          <c:smooth val="0"/>
          <c:extLst>
            <c:ext xmlns:c16="http://schemas.microsoft.com/office/drawing/2014/chart" uri="{C3380CC4-5D6E-409C-BE32-E72D297353CC}">
              <c16:uniqueId val="{00000001-0F16-405C-892F-61F8604C08AE}"/>
            </c:ext>
          </c:extLst>
        </c:ser>
        <c:dLbls>
          <c:showLegendKey val="0"/>
          <c:showVal val="0"/>
          <c:showCatName val="0"/>
          <c:showSerName val="0"/>
          <c:showPercent val="0"/>
          <c:showBubbleSize val="0"/>
        </c:dLbls>
        <c:marker val="1"/>
        <c:smooth val="0"/>
        <c:axId val="3"/>
        <c:axId val="4"/>
      </c:lineChart>
      <c:dateAx>
        <c:axId val="176650976"/>
        <c:scaling>
          <c:orientation val="minMax"/>
        </c:scaling>
        <c:delete val="0"/>
        <c:axPos val="b"/>
        <c:numFmt formatCode="yyyy/mm" sourceLinked="0"/>
        <c:majorTickMark val="out"/>
        <c:minorTickMark val="none"/>
        <c:tickLblPos val="low"/>
        <c:txPr>
          <a:bodyPr rot="0" vert="horz" anchor="ctr" anchorCtr="1"/>
          <a:lstStyle/>
          <a:p>
            <a:pPr>
              <a:defRPr/>
            </a:pPr>
            <a:endParaRPr lang="zh-CN"/>
          </a:p>
        </c:txPr>
        <c:crossAx val="1"/>
        <c:crossesAt val="-4"/>
        <c:auto val="0"/>
        <c:lblOffset val="100"/>
        <c:baseTimeUnit val="months"/>
      </c:dateAx>
      <c:valAx>
        <c:axId val="1"/>
        <c:scaling>
          <c:orientation val="minMax"/>
        </c:scaling>
        <c:delete val="0"/>
        <c:axPos val="l"/>
        <c:majorGridlines/>
        <c:numFmt formatCode="#,##0.00_ " sourceLinked="1"/>
        <c:majorTickMark val="out"/>
        <c:minorTickMark val="none"/>
        <c:tickLblPos val="nextTo"/>
        <c:crossAx val="176650976"/>
        <c:crosses val="autoZero"/>
        <c:crossBetween val="midCat"/>
      </c:valAx>
      <c:dateAx>
        <c:axId val="3"/>
        <c:scaling>
          <c:orientation val="minMax"/>
        </c:scaling>
        <c:delete val="1"/>
        <c:axPos val="t"/>
        <c:numFmt formatCode="yyyy\-mm" sourceLinked="1"/>
        <c:majorTickMark val="out"/>
        <c:minorTickMark val="none"/>
        <c:tickLblPos val="nextTo"/>
        <c:crossAx val="4"/>
        <c:crosses val="max"/>
        <c:auto val="0"/>
        <c:lblOffset val="100"/>
        <c:baseTimeUnit val="months"/>
      </c:dateAx>
      <c:valAx>
        <c:axId val="4"/>
        <c:scaling>
          <c:orientation val="minMax"/>
        </c:scaling>
        <c:delete val="0"/>
        <c:axPos val="r"/>
        <c:numFmt formatCode="#,##0.00_ " sourceLinked="1"/>
        <c:majorTickMark val="out"/>
        <c:minorTickMark val="none"/>
        <c:tickLblPos val="nextTo"/>
        <c:crossAx val="3"/>
        <c:crosses val="max"/>
        <c:crossBetween val="midCat"/>
      </c:valAx>
    </c:plotArea>
    <c:legend>
      <c:legendPos val="r"/>
      <c:layout>
        <c:manualLayout>
          <c:xMode val="edge"/>
          <c:yMode val="edge"/>
          <c:x val="0.61228316924519455"/>
          <c:y val="1.1933174224343675E-2"/>
          <c:w val="0.3792780121894046"/>
          <c:h val="0.10739856801909307"/>
        </c:manualLayout>
      </c:layout>
      <c:overlay val="0"/>
      <c:txPr>
        <a:bodyPr/>
        <a:lstStyle/>
        <a:p>
          <a:pPr>
            <a:defRPr>
              <a:latin typeface="微软雅黑" pitchFamily="34" charset="-122"/>
              <a:ea typeface="微软雅黑" pitchFamily="34" charset="-122"/>
            </a:defRPr>
          </a:pPr>
          <a:endParaRPr lang="zh-CN"/>
        </a:p>
      </c:txPr>
    </c:legend>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Spin" dx="16" fmlaLink="Data!$K$7" inc="12" max="30000" min="1" page="10" val="363"/>
</file>

<file path=xl/ctrlProps/ctrlProp2.xml><?xml version="1.0" encoding="utf-8"?>
<formControlPr xmlns="http://schemas.microsoft.com/office/spreadsheetml/2009/9/main" objectType="Spin" dx="16" fmlaLink="Data!$K$15" max="2100" min="2005" page="10" val="2012"/>
</file>

<file path=xl/ctrlProps/ctrlProp3.xml><?xml version="1.0" encoding="utf-8"?>
<formControlPr xmlns="http://schemas.microsoft.com/office/spreadsheetml/2009/9/main" objectType="Spin" dx="16" fmlaLink="Data!$K$7" max="30000" min="1" page="10" val="363"/>
</file>

<file path=xl/ctrlProps/ctrlProp4.xml><?xml version="1.0" encoding="utf-8"?>
<formControlPr xmlns="http://schemas.microsoft.com/office/spreadsheetml/2009/9/main" objectType="Spin" dx="16" fmlaLink="Data!$K$7" inc="12" max="30000" min="1" page="10" val="363"/>
</file>

<file path=xl/ctrlProps/ctrlProp5.xml><?xml version="1.0" encoding="utf-8"?>
<formControlPr xmlns="http://schemas.microsoft.com/office/spreadsheetml/2009/9/main" objectType="Spin" dx="16" fmlaLink="Data!$K$7" max="30000" min="1" page="10" val="363"/>
</file>

<file path=xl/ctrlProps/ctrlProp6.xml><?xml version="1.0" encoding="utf-8"?>
<formControlPr xmlns="http://schemas.microsoft.com/office/spreadsheetml/2009/9/main" objectType="Spin" dx="16" fmlaLink="Data!$K$9" inc="12" max="30000" min="2" page="10" val="36"/>
</file>

<file path=xl/ctrlProps/ctrlProp7.xml><?xml version="1.0" encoding="utf-8"?>
<formControlPr xmlns="http://schemas.microsoft.com/office/spreadsheetml/2009/9/main" objectType="Spin" dx="16" fmlaLink="Data!$K$6" max="30000" min="2" page="10" val="312"/>
</file>

<file path=xl/ctrlProps/ctrlProp8.xml><?xml version="1.0" encoding="utf-8"?>
<formControlPr xmlns="http://schemas.microsoft.com/office/spreadsheetml/2009/9/main" objectType="Spin" dx="16" fmlaLink="Data!$K$6" inc="12" max="30000" min="2" page="10" val="312"/>
</file>

<file path=xl/ctrlProps/ctrlProp9.xml><?xml version="1.0" encoding="utf-8"?>
<formControlPr xmlns="http://schemas.microsoft.com/office/spreadsheetml/2009/9/main" objectType="Spin" dx="16" fmlaLink="Data!$K$9" inc="12" max="30000" min="2" page="10" val="36"/>
</file>

<file path=xl/ctrlProps/ctrlProp10.xml><?xml version="1.0" encoding="utf-8"?>
<formControlPr xmlns="http://schemas.microsoft.com/office/spreadsheetml/2009/9/main" objectType="Spin" dx="16" fmlaLink="Data!$K$9" max="30000" min="2" page="10" val="36"/>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66675</xdr:colOff>
      <xdr:row>3</xdr:row>
      <xdr:rowOff>0</xdr:rowOff>
    </xdr:from>
    <xdr:to>
      <xdr:col>10</xdr:col>
      <xdr:colOff>828675</xdr:colOff>
      <xdr:row>24</xdr:row>
      <xdr:rowOff>171450</xdr:rowOff>
    </xdr:to>
    <xdr:graphicFrame macro="">
      <xdr:nvGraphicFramePr>
        <xdr:cNvPr id="224300" name="图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27</xdr:row>
      <xdr:rowOff>38100</xdr:rowOff>
    </xdr:from>
    <xdr:to>
      <xdr:col>14</xdr:col>
      <xdr:colOff>1</xdr:colOff>
      <xdr:row>29</xdr:row>
      <xdr:rowOff>142876</xdr:rowOff>
    </xdr:to>
    <xdr:sp macro="" textlink="">
      <xdr:nvSpPr>
        <xdr:cNvPr id="5" name="com_bar">
          <a:extLst>
            <a:ext uri="{FF2B5EF4-FFF2-40B4-BE49-F238E27FC236}">
              <a16:creationId xmlns:a16="http://schemas.microsoft.com/office/drawing/2014/main" id="{09A8E011-909F-482E-924D-4EE341834E6D}"/>
            </a:ext>
          </a:extLst>
        </xdr:cNvPr>
        <xdr:cNvSpPr>
          <a:spLocks noChangeArrowheads="1"/>
        </xdr:cNvSpPr>
      </xdr:nvSpPr>
      <xdr:spPr bwMode="auto">
        <a:xfrm>
          <a:off x="180975" y="4972050"/>
          <a:ext cx="11553826" cy="485776"/>
        </a:xfrm>
        <a:prstGeom prst="rect">
          <a:avLst/>
        </a:prstGeom>
        <a:gradFill rotWithShape="1">
          <a:gsLst>
            <a:gs pos="0">
              <a:srgbClr val="477AB7"/>
            </a:gs>
            <a:gs pos="100000">
              <a:srgbClr val="B8CCE4">
                <a:alpha val="74001"/>
              </a:srgbClr>
            </a:gs>
          </a:gsLst>
          <a:lin ang="0" scaled="1"/>
        </a:gradFill>
        <a:ln w="9525">
          <a:solidFill>
            <a:srgbClr val="99CCFF"/>
          </a:solidFill>
          <a:miter lim="800000"/>
          <a:headEnd/>
          <a:tailEnd/>
        </a:ln>
      </xdr:spPr>
      <xdr:txBody>
        <a:bodyPr vertOverflow="clip" wrap="square" lIns="0" tIns="0" rIns="0" bIns="0" anchor="ctr" upright="1"/>
        <a:lstStyle/>
        <a:p>
          <a:pPr algn="ctr" rtl="1">
            <a:defRPr sz="1000"/>
          </a:pPr>
          <a:r>
            <a:rPr lang="zh-CN" altLang="en-US" sz="2000" b="1" i="0" strike="noStrike">
              <a:solidFill>
                <a:srgbClr val="FFFFFF"/>
              </a:solidFill>
              <a:latin typeface="微软雅黑" panose="020B0503020204020204" pitchFamily="34" charset="-122"/>
              <a:ea typeface="微软雅黑" panose="020B0503020204020204" pitchFamily="34" charset="-122"/>
              <a:cs typeface="Arial" pitchFamily="34" charset="0"/>
            </a:rPr>
            <a:t>配对和一篮子相关性</a:t>
          </a:r>
        </a:p>
      </xdr:txBody>
    </xdr:sp>
    <xdr:clientData/>
  </xdr:twoCellAnchor>
  <xdr:twoCellAnchor>
    <xdr:from>
      <xdr:col>2</xdr:col>
      <xdr:colOff>571501</xdr:colOff>
      <xdr:row>0</xdr:row>
      <xdr:rowOff>9526</xdr:rowOff>
    </xdr:from>
    <xdr:to>
      <xdr:col>14</xdr:col>
      <xdr:colOff>9526</xdr:colOff>
      <xdr:row>2</xdr:row>
      <xdr:rowOff>114300</xdr:rowOff>
    </xdr:to>
    <xdr:sp macro="" textlink="">
      <xdr:nvSpPr>
        <xdr:cNvPr id="6" name="com_bar">
          <a:extLst>
            <a:ext uri="{FF2B5EF4-FFF2-40B4-BE49-F238E27FC236}">
              <a16:creationId xmlns:a16="http://schemas.microsoft.com/office/drawing/2014/main" id="{F05C07FC-7050-4978-8CB1-E2D920D5F5B5}"/>
            </a:ext>
          </a:extLst>
        </xdr:cNvPr>
        <xdr:cNvSpPr>
          <a:spLocks noChangeArrowheads="1"/>
        </xdr:cNvSpPr>
      </xdr:nvSpPr>
      <xdr:spPr bwMode="auto">
        <a:xfrm>
          <a:off x="1438276" y="9526"/>
          <a:ext cx="10306050" cy="466724"/>
        </a:xfrm>
        <a:prstGeom prst="rect">
          <a:avLst/>
        </a:prstGeom>
        <a:gradFill>
          <a:gsLst>
            <a:gs pos="0">
              <a:srgbClr val="043E79"/>
            </a:gs>
            <a:gs pos="100000">
              <a:srgbClr val="4177B5"/>
            </a:gs>
          </a:gsLst>
          <a:lin ang="5400000" scaled="0"/>
        </a:gradFill>
        <a:ln w="9525">
          <a:noFill/>
          <a:miter lim="800000"/>
          <a:headEnd/>
          <a:tailEnd/>
        </a:ln>
      </xdr:spPr>
      <xdr:txBody>
        <a:bodyPr vertOverflow="clip" wrap="square" lIns="0" tIns="0" rIns="0" bIns="0" anchor="ctr" upright="1"/>
        <a:lstStyle/>
        <a:p>
          <a:pPr algn="ctr" rtl="0">
            <a:defRPr sz="1000"/>
          </a:pPr>
          <a:r>
            <a:rPr lang="en-US" altLang="zh-CN" sz="2000" b="1" i="0" u="none" strike="noStrike" baseline="0">
              <a:solidFill>
                <a:schemeClr val="bg1"/>
              </a:solidFill>
              <a:latin typeface="微软雅黑" panose="020B0503020204020204" pitchFamily="34" charset="-122"/>
              <a:ea typeface="微软雅黑" panose="020B0503020204020204" pitchFamily="34" charset="-122"/>
            </a:rPr>
            <a:t>CPI—PPI</a:t>
          </a:r>
          <a:r>
            <a:rPr lang="zh-CN" altLang="en-US" sz="2000" b="1" i="0" u="none" strike="noStrike" baseline="0">
              <a:solidFill>
                <a:schemeClr val="bg1"/>
              </a:solidFill>
              <a:latin typeface="微软雅黑" panose="020B0503020204020204" pitchFamily="34" charset="-122"/>
              <a:ea typeface="微软雅黑" panose="020B0503020204020204" pitchFamily="34" charset="-122"/>
            </a:rPr>
            <a:t>相关性计算器</a:t>
          </a:r>
        </a:p>
      </xdr:txBody>
    </xdr:sp>
    <xdr:clientData/>
  </xdr:twoCellAnchor>
  <mc:AlternateContent xmlns:mc="http://schemas.openxmlformats.org/markup-compatibility/2006">
    <mc:Choice xmlns:a14="http://schemas.microsoft.com/office/drawing/2010/main" Requires="a14">
      <xdr:twoCellAnchor>
        <xdr:from>
          <xdr:col>14</xdr:col>
          <xdr:colOff>0</xdr:colOff>
          <xdr:row>18</xdr:row>
          <xdr:rowOff>9525</xdr:rowOff>
        </xdr:from>
        <xdr:to>
          <xdr:col>14</xdr:col>
          <xdr:colOff>0</xdr:colOff>
          <xdr:row>19</xdr:row>
          <xdr:rowOff>171450</xdr:rowOff>
        </xdr:to>
        <xdr:sp macro="" textlink="">
          <xdr:nvSpPr>
            <xdr:cNvPr id="1160" name="微调框 2"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30</xdr:row>
          <xdr:rowOff>19050</xdr:rowOff>
        </xdr:from>
        <xdr:to>
          <xdr:col>2</xdr:col>
          <xdr:colOff>676275</xdr:colOff>
          <xdr:row>32</xdr:row>
          <xdr:rowOff>180975</xdr:rowOff>
        </xdr:to>
        <xdr:sp macro="" textlink="">
          <xdr:nvSpPr>
            <xdr:cNvPr id="1244" name="微调框 2"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9525</xdr:rowOff>
        </xdr:from>
        <xdr:to>
          <xdr:col>14</xdr:col>
          <xdr:colOff>0</xdr:colOff>
          <xdr:row>19</xdr:row>
          <xdr:rowOff>171450</xdr:rowOff>
        </xdr:to>
        <xdr:sp macro="" textlink="">
          <xdr:nvSpPr>
            <xdr:cNvPr id="1292" name="微调框 5"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9525</xdr:rowOff>
        </xdr:from>
        <xdr:to>
          <xdr:col>14</xdr:col>
          <xdr:colOff>0</xdr:colOff>
          <xdr:row>14</xdr:row>
          <xdr:rowOff>171450</xdr:rowOff>
        </xdr:to>
        <xdr:sp macro="" textlink="">
          <xdr:nvSpPr>
            <xdr:cNvPr id="1611" name="微调框 2" hidden="1">
              <a:extLst>
                <a:ext uri="{63B3BB69-23CF-44E3-9099-C40C66FF867C}">
                  <a14:compatExt spid="_x0000_s1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9525</xdr:rowOff>
        </xdr:from>
        <xdr:to>
          <xdr:col>14</xdr:col>
          <xdr:colOff>0</xdr:colOff>
          <xdr:row>14</xdr:row>
          <xdr:rowOff>171450</xdr:rowOff>
        </xdr:to>
        <xdr:sp macro="" textlink="">
          <xdr:nvSpPr>
            <xdr:cNvPr id="1612" name="微调框 5" hidden="1">
              <a:extLst>
                <a:ext uri="{63B3BB69-23CF-44E3-9099-C40C66FF867C}">
                  <a14:compatExt spid="_x0000_s1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9525</xdr:rowOff>
        </xdr:from>
        <xdr:to>
          <xdr:col>14</xdr:col>
          <xdr:colOff>0</xdr:colOff>
          <xdr:row>18</xdr:row>
          <xdr:rowOff>171450</xdr:rowOff>
        </xdr:to>
        <xdr:sp macro="" textlink="">
          <xdr:nvSpPr>
            <xdr:cNvPr id="1613" name="微调框 3" hidden="1">
              <a:extLst>
                <a:ext uri="{63B3BB69-23CF-44E3-9099-C40C66FF867C}">
                  <a14:compatExt spid="_x0000_s1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9</xdr:row>
          <xdr:rowOff>9525</xdr:rowOff>
        </xdr:from>
        <xdr:to>
          <xdr:col>13</xdr:col>
          <xdr:colOff>666750</xdr:colOff>
          <xdr:row>10</xdr:row>
          <xdr:rowOff>171450</xdr:rowOff>
        </xdr:to>
        <xdr:sp macro="" textlink="">
          <xdr:nvSpPr>
            <xdr:cNvPr id="1628" name="微调框 4" hidden="1">
              <a:extLst>
                <a:ext uri="{63B3BB69-23CF-44E3-9099-C40C66FF867C}">
                  <a14:compatExt spid="_x0000_s16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9</xdr:row>
          <xdr:rowOff>9525</xdr:rowOff>
        </xdr:from>
        <xdr:to>
          <xdr:col>13</xdr:col>
          <xdr:colOff>333375</xdr:colOff>
          <xdr:row>10</xdr:row>
          <xdr:rowOff>171450</xdr:rowOff>
        </xdr:to>
        <xdr:sp macro="" textlink="">
          <xdr:nvSpPr>
            <xdr:cNvPr id="1629" name="微调框 1" hidden="1">
              <a:extLst>
                <a:ext uri="{63B3BB69-23CF-44E3-9099-C40C66FF867C}">
                  <a14:compatExt spid="_x0000_s16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xdr:colOff>
          <xdr:row>13</xdr:row>
          <xdr:rowOff>9525</xdr:rowOff>
        </xdr:from>
        <xdr:to>
          <xdr:col>13</xdr:col>
          <xdr:colOff>333375</xdr:colOff>
          <xdr:row>14</xdr:row>
          <xdr:rowOff>161925</xdr:rowOff>
        </xdr:to>
        <xdr:sp macro="" textlink="">
          <xdr:nvSpPr>
            <xdr:cNvPr id="1631" name="微调框 3" hidden="1">
              <a:extLst>
                <a:ext uri="{63B3BB69-23CF-44E3-9099-C40C66FF867C}">
                  <a14:compatExt spid="_x0000_s16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13</xdr:row>
          <xdr:rowOff>9525</xdr:rowOff>
        </xdr:from>
        <xdr:to>
          <xdr:col>13</xdr:col>
          <xdr:colOff>666750</xdr:colOff>
          <xdr:row>14</xdr:row>
          <xdr:rowOff>161925</xdr:rowOff>
        </xdr:to>
        <xdr:sp macro="" textlink="">
          <xdr:nvSpPr>
            <xdr:cNvPr id="1632" name="微调框 6" hidden="1">
              <a:extLst>
                <a:ext uri="{63B3BB69-23CF-44E3-9099-C40C66FF867C}">
                  <a14:compatExt spid="_x0000_s16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0</xdr:rowOff>
        </xdr:from>
        <xdr:to>
          <xdr:col>14</xdr:col>
          <xdr:colOff>9525</xdr:colOff>
          <xdr:row>18</xdr:row>
          <xdr:rowOff>171450</xdr:rowOff>
        </xdr:to>
        <xdr:sp macro="" textlink="">
          <xdr:nvSpPr>
            <xdr:cNvPr id="1687" name="SpinButton1" hidden="1">
              <a:extLst>
                <a:ext uri="{63B3BB69-23CF-44E3-9099-C40C66FF867C}">
                  <a14:compatExt spid="_x0000_s1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304800</xdr:colOff>
      <xdr:row>0</xdr:row>
      <xdr:rowOff>114300</xdr:rowOff>
    </xdr:from>
    <xdr:to>
      <xdr:col>2</xdr:col>
      <xdr:colOff>447675</xdr:colOff>
      <xdr:row>2</xdr:row>
      <xdr:rowOff>38100</xdr:rowOff>
    </xdr:to>
    <xdr:pic>
      <xdr:nvPicPr>
        <xdr:cNvPr id="224303" name="图片 1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5775" y="114300"/>
          <a:ext cx="8286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439079</xdr:colOff>
      <xdr:row>0</xdr:row>
      <xdr:rowOff>57614</xdr:rowOff>
    </xdr:from>
    <xdr:to>
      <xdr:col>14</xdr:col>
      <xdr:colOff>19049</xdr:colOff>
      <xdr:row>3</xdr:row>
      <xdr:rowOff>66674</xdr:rowOff>
    </xdr:to>
    <xdr:sp macro="" textlink="">
      <xdr:nvSpPr>
        <xdr:cNvPr id="4" name="com_bar">
          <a:extLst>
            <a:ext uri="{FF2B5EF4-FFF2-40B4-BE49-F238E27FC236}">
              <a16:creationId xmlns:a16="http://schemas.microsoft.com/office/drawing/2014/main" id="{67CD1B3E-A9F6-4871-9365-30E21162340F}"/>
            </a:ext>
          </a:extLst>
        </xdr:cNvPr>
        <xdr:cNvSpPr>
          <a:spLocks noChangeArrowheads="1"/>
        </xdr:cNvSpPr>
      </xdr:nvSpPr>
      <xdr:spPr bwMode="auto">
        <a:xfrm>
          <a:off x="1963079" y="57614"/>
          <a:ext cx="7228545" cy="399585"/>
        </a:xfrm>
        <a:prstGeom prst="rect">
          <a:avLst/>
        </a:prstGeom>
        <a:gradFill>
          <a:gsLst>
            <a:gs pos="0">
              <a:srgbClr val="043E79"/>
            </a:gs>
            <a:gs pos="100000">
              <a:srgbClr val="4177B5"/>
            </a:gs>
          </a:gsLst>
          <a:lin ang="5400000" scaled="0"/>
        </a:gradFill>
        <a:ln w="9525">
          <a:noFill/>
          <a:miter lim="800000"/>
          <a:headEnd/>
          <a:tailEnd/>
        </a:ln>
      </xdr:spPr>
      <xdr:txBody>
        <a:bodyPr vertOverflow="clip" wrap="square" lIns="0" tIns="0" rIns="0" bIns="0" anchor="ctr" upright="1"/>
        <a:lstStyle/>
        <a:p>
          <a:pPr algn="ctr" rtl="0">
            <a:defRPr sz="1000"/>
          </a:pPr>
          <a:r>
            <a:rPr lang="en-US" altLang="zh-CN" sz="1600" b="1" i="0" u="none" strike="noStrike" baseline="0">
              <a:solidFill>
                <a:schemeClr val="bg1"/>
              </a:solidFill>
              <a:latin typeface="黑体" pitchFamily="2" charset="-122"/>
              <a:ea typeface="黑体" pitchFamily="2" charset="-122"/>
            </a:rPr>
            <a:t>CPI—PPI</a:t>
          </a:r>
          <a:r>
            <a:rPr lang="zh-CN" altLang="en-US" sz="1600" b="1" i="0" u="none" strike="noStrike" baseline="0">
              <a:solidFill>
                <a:schemeClr val="bg1"/>
              </a:solidFill>
              <a:latin typeface="黑体" pitchFamily="2" charset="-122"/>
              <a:ea typeface="黑体" pitchFamily="2" charset="-122"/>
            </a:rPr>
            <a:t>相关性计算器</a:t>
          </a:r>
        </a:p>
      </xdr:txBody>
    </xdr:sp>
    <xdr:clientData/>
  </xdr:twoCellAnchor>
  <xdr:twoCellAnchor editAs="oneCell">
    <xdr:from>
      <xdr:col>1</xdr:col>
      <xdr:colOff>295275</xdr:colOff>
      <xdr:row>0</xdr:row>
      <xdr:rowOff>114300</xdr:rowOff>
    </xdr:from>
    <xdr:to>
      <xdr:col>2</xdr:col>
      <xdr:colOff>438150</xdr:colOff>
      <xdr:row>3</xdr:row>
      <xdr:rowOff>9525</xdr:rowOff>
    </xdr:to>
    <xdr:pic>
      <xdr:nvPicPr>
        <xdr:cNvPr id="107764" name="图片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7675" y="114300"/>
          <a:ext cx="8286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edb"/>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163"/>
  <sheetViews>
    <sheetView showGridLines="0" tabSelected="1" topLeftCell="B1" zoomScaleNormal="100" workbookViewId="0">
      <selection activeCell="A46" sqref="A46"/>
    </sheetView>
  </sheetViews>
  <sheetFormatPr defaultRowHeight="15" x14ac:dyDescent="0.2"/>
  <cols>
    <col min="1" max="1" width="1.125" style="5" hidden="1" customWidth="1"/>
    <col min="2" max="2" width="9" style="5"/>
    <col min="3" max="3" width="9" style="5" customWidth="1"/>
    <col min="4" max="4" width="14.625" style="5" customWidth="1"/>
    <col min="5" max="12" width="12.625" style="5" customWidth="1"/>
    <col min="13" max="15" width="9" style="5"/>
    <col min="16" max="16" width="10.125" style="5" bestFit="1" customWidth="1"/>
    <col min="17" max="17" width="9" style="5"/>
    <col min="18" max="16384" width="9" style="6"/>
  </cols>
  <sheetData>
    <row r="1" spans="1:14" ht="14.25" customHeight="1" x14ac:dyDescent="0.25">
      <c r="A1" s="4"/>
      <c r="B1" s="4"/>
      <c r="C1" s="4"/>
      <c r="D1" s="4"/>
      <c r="E1" s="4"/>
      <c r="F1" s="4"/>
      <c r="G1" s="4"/>
      <c r="H1" s="4"/>
      <c r="I1" s="4"/>
      <c r="J1" s="4"/>
      <c r="K1" s="4"/>
      <c r="L1" s="4"/>
      <c r="M1" s="4"/>
      <c r="N1" s="4"/>
    </row>
    <row r="2" spans="1:14" ht="14.25" customHeight="1" x14ac:dyDescent="0.25">
      <c r="A2" s="4"/>
      <c r="B2" s="4"/>
      <c r="C2" s="4"/>
      <c r="D2" s="4"/>
      <c r="E2" s="4"/>
      <c r="F2" s="4"/>
      <c r="G2" s="4"/>
      <c r="H2" s="4"/>
      <c r="I2" s="4"/>
      <c r="J2" s="4"/>
      <c r="K2" s="4"/>
      <c r="L2" s="4"/>
      <c r="M2" s="4"/>
      <c r="N2" s="4"/>
    </row>
    <row r="3" spans="1:14" ht="14.25" customHeight="1" x14ac:dyDescent="0.25">
      <c r="A3" s="4"/>
      <c r="B3" s="4"/>
      <c r="C3" s="4"/>
      <c r="D3" s="4"/>
      <c r="E3" s="4"/>
      <c r="F3" s="4"/>
      <c r="G3" s="4"/>
      <c r="H3" s="4"/>
      <c r="I3" s="4"/>
      <c r="J3" s="4"/>
      <c r="K3" s="4"/>
      <c r="L3" s="4"/>
      <c r="M3" s="4"/>
      <c r="N3" s="4"/>
    </row>
    <row r="4" spans="1:14" ht="14.25" customHeight="1" x14ac:dyDescent="0.2">
      <c r="B4" s="7"/>
      <c r="C4" s="7"/>
      <c r="D4" s="7"/>
      <c r="E4" s="7"/>
      <c r="F4" s="7"/>
      <c r="G4" s="7"/>
      <c r="H4" s="7"/>
      <c r="I4" s="7"/>
      <c r="J4" s="7"/>
      <c r="K4" s="7"/>
      <c r="L4" s="37" t="s">
        <v>8</v>
      </c>
      <c r="M4" s="37"/>
      <c r="N4" s="37"/>
    </row>
    <row r="5" spans="1:14" ht="14.25" customHeight="1" x14ac:dyDescent="0.2">
      <c r="B5" s="7"/>
      <c r="C5" s="7"/>
      <c r="D5" s="7"/>
      <c r="E5" s="7"/>
      <c r="F5" s="7"/>
      <c r="G5" s="7"/>
      <c r="H5" s="7"/>
      <c r="I5" s="7"/>
      <c r="J5" s="7"/>
      <c r="K5" s="7"/>
      <c r="L5" s="37"/>
      <c r="M5" s="37"/>
      <c r="N5" s="37"/>
    </row>
    <row r="6" spans="1:14" ht="14.25" customHeight="1" x14ac:dyDescent="0.35">
      <c r="B6" s="7"/>
      <c r="C6" s="7"/>
      <c r="D6" s="7"/>
      <c r="E6" s="7"/>
      <c r="F6" s="7"/>
      <c r="G6" s="7"/>
      <c r="H6" s="7"/>
      <c r="I6" s="7"/>
      <c r="J6" s="7"/>
      <c r="K6" s="7"/>
      <c r="L6" s="57" t="s">
        <v>46</v>
      </c>
      <c r="M6" s="57"/>
      <c r="N6" s="57"/>
    </row>
    <row r="7" spans="1:14" ht="14.25" customHeight="1" x14ac:dyDescent="0.35">
      <c r="B7" s="7"/>
      <c r="C7" s="7"/>
      <c r="D7" s="7"/>
      <c r="E7" s="7"/>
      <c r="F7" s="7"/>
      <c r="G7" s="7"/>
      <c r="H7" s="7"/>
      <c r="I7" s="7"/>
      <c r="J7" s="7"/>
      <c r="K7" s="7"/>
      <c r="L7" s="57" t="s">
        <v>19</v>
      </c>
      <c r="M7" s="57"/>
      <c r="N7" s="57"/>
    </row>
    <row r="8" spans="1:14" ht="14.25" customHeight="1" x14ac:dyDescent="0.2">
      <c r="B8" s="7"/>
      <c r="C8" s="7"/>
      <c r="D8" s="7"/>
      <c r="E8" s="7"/>
      <c r="F8" s="7"/>
      <c r="G8" s="7"/>
      <c r="H8" s="7"/>
      <c r="I8" s="7"/>
      <c r="J8" s="7"/>
      <c r="K8" s="7"/>
      <c r="L8" s="37" t="s">
        <v>57</v>
      </c>
      <c r="M8" s="37"/>
      <c r="N8" s="39" t="s">
        <v>15</v>
      </c>
    </row>
    <row r="9" spans="1:14" ht="14.25" customHeight="1" x14ac:dyDescent="0.2">
      <c r="B9" s="7"/>
      <c r="C9" s="7"/>
      <c r="D9" s="7"/>
      <c r="E9" s="7"/>
      <c r="F9" s="7"/>
      <c r="G9" s="7"/>
      <c r="H9" s="7"/>
      <c r="I9" s="7"/>
      <c r="J9" s="7"/>
      <c r="K9" s="7"/>
      <c r="L9" s="37"/>
      <c r="M9" s="37"/>
      <c r="N9" s="39"/>
    </row>
    <row r="10" spans="1:14" ht="14.25" customHeight="1" x14ac:dyDescent="0.2">
      <c r="B10" s="7"/>
      <c r="C10" s="7"/>
      <c r="D10" s="7"/>
      <c r="E10" s="7"/>
      <c r="F10" s="7"/>
      <c r="G10" s="7"/>
      <c r="H10" s="7"/>
      <c r="I10" s="7"/>
      <c r="J10" s="7"/>
      <c r="K10" s="7"/>
      <c r="L10" s="40">
        <f ca="1">OFFSET(Data!$B$135,Data!$M$6,0)</f>
        <v>45291</v>
      </c>
      <c r="M10" s="40"/>
      <c r="N10" s="8"/>
    </row>
    <row r="11" spans="1:14" ht="14.25" customHeight="1" x14ac:dyDescent="0.2">
      <c r="B11" s="7"/>
      <c r="C11" s="7"/>
      <c r="D11" s="7"/>
      <c r="E11" s="7"/>
      <c r="F11" s="7"/>
      <c r="G11" s="7"/>
      <c r="H11" s="7"/>
      <c r="I11" s="7"/>
      <c r="J11" s="7"/>
      <c r="K11" s="7"/>
      <c r="L11" s="40"/>
      <c r="M11" s="40"/>
      <c r="N11" s="8"/>
    </row>
    <row r="12" spans="1:14" ht="14.25" customHeight="1" x14ac:dyDescent="0.2">
      <c r="B12" s="7"/>
      <c r="C12" s="7"/>
      <c r="D12" s="7"/>
      <c r="E12" s="7"/>
      <c r="F12" s="7"/>
      <c r="G12" s="7"/>
      <c r="H12" s="7"/>
      <c r="I12" s="7"/>
      <c r="J12" s="7"/>
      <c r="K12" s="7"/>
      <c r="L12" s="37" t="s">
        <v>58</v>
      </c>
      <c r="M12" s="37"/>
      <c r="N12" s="39" t="s">
        <v>15</v>
      </c>
    </row>
    <row r="13" spans="1:14" ht="14.25" customHeight="1" x14ac:dyDescent="0.2">
      <c r="B13" s="7"/>
      <c r="C13" s="7"/>
      <c r="D13" s="7"/>
      <c r="E13" s="7"/>
      <c r="F13" s="9"/>
      <c r="G13" s="9"/>
      <c r="H13" s="9"/>
      <c r="I13" s="9"/>
      <c r="J13" s="7"/>
      <c r="K13" s="7"/>
      <c r="L13" s="37"/>
      <c r="M13" s="37"/>
      <c r="N13" s="39"/>
    </row>
    <row r="14" spans="1:14" ht="15" customHeight="1" x14ac:dyDescent="0.2">
      <c r="B14" s="7"/>
      <c r="C14" s="7"/>
      <c r="D14" s="7"/>
      <c r="E14" s="7"/>
      <c r="F14" s="7"/>
      <c r="G14" s="7"/>
      <c r="H14" s="7"/>
      <c r="I14" s="7"/>
      <c r="J14" s="7"/>
      <c r="K14" s="7"/>
      <c r="L14" s="38" t="str">
        <f>Data!$M$9&amp;"个月"</f>
        <v>36个月</v>
      </c>
      <c r="M14" s="38"/>
      <c r="N14" s="8"/>
    </row>
    <row r="15" spans="1:14" ht="14.25" customHeight="1" x14ac:dyDescent="0.2">
      <c r="B15" s="7"/>
      <c r="C15" s="7"/>
      <c r="D15" s="7"/>
      <c r="E15" s="7"/>
      <c r="F15" s="7"/>
      <c r="G15" s="7"/>
      <c r="H15" s="7"/>
      <c r="I15" s="7"/>
      <c r="J15" s="7"/>
      <c r="K15" s="7"/>
      <c r="L15" s="38"/>
      <c r="M15" s="38"/>
      <c r="N15" s="8"/>
    </row>
    <row r="16" spans="1:14" ht="14.25" customHeight="1" x14ac:dyDescent="0.2">
      <c r="B16" s="7"/>
      <c r="C16" s="7"/>
      <c r="D16" s="7"/>
      <c r="E16" s="7"/>
      <c r="F16" s="7"/>
      <c r="G16" s="7"/>
      <c r="H16" s="7"/>
      <c r="I16" s="7"/>
      <c r="J16" s="7"/>
      <c r="K16" s="7"/>
      <c r="L16" s="37" t="s">
        <v>59</v>
      </c>
      <c r="M16" s="37"/>
      <c r="N16" s="39" t="s">
        <v>9</v>
      </c>
    </row>
    <row r="17" spans="2:15" ht="14.25" customHeight="1" x14ac:dyDescent="0.2">
      <c r="B17" s="7"/>
      <c r="C17" s="7"/>
      <c r="D17" s="7"/>
      <c r="E17" s="7"/>
      <c r="F17" s="7"/>
      <c r="G17" s="7"/>
      <c r="H17" s="7"/>
      <c r="I17" s="7"/>
      <c r="J17" s="7"/>
      <c r="K17" s="7"/>
      <c r="L17" s="37"/>
      <c r="M17" s="37"/>
      <c r="N17" s="39"/>
      <c r="O17" s="12"/>
    </row>
    <row r="18" spans="2:15" x14ac:dyDescent="0.2">
      <c r="B18" s="7"/>
      <c r="C18" s="7"/>
      <c r="D18" s="7"/>
      <c r="E18" s="7"/>
      <c r="F18" s="7"/>
      <c r="G18" s="7"/>
      <c r="H18" s="7"/>
      <c r="I18" s="7"/>
      <c r="J18" s="7"/>
      <c r="K18" s="7"/>
      <c r="L18" s="38" t="str">
        <f>Data!M19&amp;"个月"</f>
        <v>0个月</v>
      </c>
      <c r="M18" s="38"/>
      <c r="N18" s="8"/>
    </row>
    <row r="19" spans="2:15" ht="14.25" customHeight="1" x14ac:dyDescent="0.2">
      <c r="B19" s="7"/>
      <c r="C19" s="7"/>
      <c r="D19" s="7"/>
      <c r="E19" s="7"/>
      <c r="F19" s="7"/>
      <c r="G19" s="7"/>
      <c r="H19" s="7"/>
      <c r="I19" s="7"/>
      <c r="J19" s="7"/>
      <c r="K19" s="7"/>
      <c r="L19" s="38"/>
      <c r="M19" s="38"/>
      <c r="N19" s="8"/>
    </row>
    <row r="20" spans="2:15" ht="14.25" customHeight="1" x14ac:dyDescent="0.2">
      <c r="B20" s="7"/>
      <c r="C20" s="7"/>
      <c r="D20" s="7"/>
      <c r="E20" s="7"/>
      <c r="F20" s="7"/>
      <c r="G20" s="7"/>
      <c r="H20" s="7"/>
      <c r="I20" s="7"/>
      <c r="J20" s="7"/>
      <c r="K20" s="7"/>
      <c r="L20" s="37" t="s">
        <v>60</v>
      </c>
      <c r="M20" s="37"/>
      <c r="N20" s="37"/>
    </row>
    <row r="21" spans="2:15" ht="14.25" customHeight="1" x14ac:dyDescent="0.2">
      <c r="B21" s="7"/>
      <c r="C21" s="7"/>
      <c r="D21" s="7"/>
      <c r="E21" s="7"/>
      <c r="F21" s="7"/>
      <c r="G21" s="7"/>
      <c r="H21" s="7"/>
      <c r="I21" s="7"/>
      <c r="J21" s="7"/>
      <c r="K21" s="7"/>
      <c r="L21" s="37"/>
      <c r="M21" s="37"/>
      <c r="N21" s="37"/>
    </row>
    <row r="22" spans="2:15" ht="14.25" customHeight="1" x14ac:dyDescent="0.2">
      <c r="B22" s="7"/>
      <c r="C22" s="7"/>
      <c r="D22" s="7"/>
      <c r="E22" s="7"/>
      <c r="F22" s="7"/>
      <c r="G22" s="7"/>
      <c r="H22" s="7"/>
      <c r="I22" s="7"/>
      <c r="J22" s="7"/>
      <c r="K22" s="7"/>
      <c r="L22" s="35">
        <f ca="1">CORREL(Data!DataCDE,Data!DataFGH)</f>
        <v>0.44482229018261088</v>
      </c>
      <c r="M22" s="35"/>
      <c r="N22" s="35"/>
    </row>
    <row r="23" spans="2:15" ht="14.25" customHeight="1" x14ac:dyDescent="0.2">
      <c r="B23" s="7"/>
      <c r="C23" s="7"/>
      <c r="D23" s="7"/>
      <c r="E23" s="7"/>
      <c r="F23" s="7"/>
      <c r="G23" s="7"/>
      <c r="H23" s="7"/>
      <c r="I23" s="7"/>
      <c r="J23" s="7"/>
      <c r="K23" s="7"/>
      <c r="L23" s="35"/>
      <c r="M23" s="35"/>
      <c r="N23" s="35"/>
    </row>
    <row r="24" spans="2:15" ht="14.25" customHeight="1" x14ac:dyDescent="0.2">
      <c r="B24" s="7"/>
      <c r="C24" s="7"/>
      <c r="D24" s="7"/>
      <c r="E24" s="7"/>
      <c r="F24" s="7"/>
      <c r="G24" s="7"/>
      <c r="H24" s="7"/>
      <c r="I24" s="7"/>
      <c r="J24" s="7"/>
      <c r="K24" s="7"/>
      <c r="L24" s="35"/>
      <c r="M24" s="35"/>
      <c r="N24" s="35"/>
    </row>
    <row r="25" spans="2:15" ht="14.25" customHeight="1" x14ac:dyDescent="0.2">
      <c r="B25" s="7"/>
      <c r="C25" s="7"/>
      <c r="D25" s="7"/>
      <c r="E25" s="7"/>
      <c r="F25" s="7"/>
      <c r="G25" s="7"/>
      <c r="H25" s="7"/>
      <c r="I25" s="7"/>
      <c r="J25" s="7"/>
      <c r="K25" s="7"/>
      <c r="L25" s="35"/>
      <c r="M25" s="35"/>
      <c r="N25" s="35"/>
    </row>
    <row r="27" spans="2:15" ht="15.75" thickBot="1" x14ac:dyDescent="0.25">
      <c r="D27" s="13"/>
      <c r="E27" s="14"/>
      <c r="F27" s="14"/>
      <c r="G27" s="14"/>
      <c r="H27" s="14"/>
      <c r="I27" s="14"/>
    </row>
    <row r="28" spans="2:15" x14ac:dyDescent="0.2">
      <c r="B28" s="50"/>
      <c r="C28" s="51"/>
      <c r="D28" s="51"/>
      <c r="E28" s="51"/>
      <c r="F28" s="51"/>
      <c r="G28" s="51"/>
      <c r="H28" s="51"/>
      <c r="I28" s="51"/>
      <c r="J28" s="51"/>
      <c r="K28" s="51"/>
      <c r="L28" s="51"/>
      <c r="M28" s="51"/>
      <c r="N28" s="52"/>
    </row>
    <row r="29" spans="2:15" x14ac:dyDescent="0.2">
      <c r="B29" s="48"/>
      <c r="C29" s="36"/>
      <c r="D29" s="36"/>
      <c r="E29" s="36"/>
      <c r="F29" s="36"/>
      <c r="G29" s="36"/>
      <c r="H29" s="36"/>
      <c r="I29" s="36"/>
      <c r="J29" s="36"/>
      <c r="K29" s="36"/>
      <c r="L29" s="36"/>
      <c r="M29" s="36"/>
      <c r="N29" s="49"/>
    </row>
    <row r="30" spans="2:15" ht="15.75" thickBot="1" x14ac:dyDescent="0.25">
      <c r="B30" s="53"/>
      <c r="C30" s="54"/>
      <c r="D30" s="54"/>
      <c r="E30" s="54"/>
      <c r="F30" s="54"/>
      <c r="G30" s="54"/>
      <c r="H30" s="54"/>
      <c r="I30" s="54"/>
      <c r="J30" s="54"/>
      <c r="K30" s="54"/>
      <c r="L30" s="54"/>
      <c r="M30" s="54"/>
      <c r="N30" s="55"/>
    </row>
    <row r="31" spans="2:15" ht="15.75" x14ac:dyDescent="0.25">
      <c r="B31" s="45" t="s">
        <v>20</v>
      </c>
      <c r="C31" s="46"/>
      <c r="D31" s="56" t="s">
        <v>56</v>
      </c>
      <c r="E31" s="47" t="s">
        <v>33</v>
      </c>
      <c r="F31" s="47"/>
      <c r="G31" s="47" t="s">
        <v>34</v>
      </c>
      <c r="H31" s="47"/>
      <c r="I31" s="47" t="s">
        <v>35</v>
      </c>
      <c r="J31" s="47"/>
      <c r="K31" s="47" t="s">
        <v>36</v>
      </c>
      <c r="L31" s="47"/>
      <c r="M31" s="47" t="s">
        <v>37</v>
      </c>
      <c r="N31" s="47"/>
    </row>
    <row r="32" spans="2:15" x14ac:dyDescent="0.2">
      <c r="B32" s="32" t="str">
        <f>Data!M15&amp;"年"</f>
        <v>2012年</v>
      </c>
      <c r="C32" s="31"/>
      <c r="D32" s="33"/>
      <c r="E32" s="16" t="s">
        <v>1</v>
      </c>
      <c r="F32" s="16" t="s">
        <v>2</v>
      </c>
      <c r="G32" s="16" t="s">
        <v>1</v>
      </c>
      <c r="H32" s="16" t="s">
        <v>2</v>
      </c>
      <c r="I32" s="16" t="s">
        <v>1</v>
      </c>
      <c r="J32" s="16" t="s">
        <v>2</v>
      </c>
      <c r="K32" s="16" t="s">
        <v>1</v>
      </c>
      <c r="L32" s="16" t="s">
        <v>2</v>
      </c>
      <c r="M32" s="16" t="s">
        <v>1</v>
      </c>
      <c r="N32" s="16" t="s">
        <v>2</v>
      </c>
    </row>
    <row r="33" spans="2:14" ht="15.75" x14ac:dyDescent="0.25">
      <c r="B33" s="32"/>
      <c r="C33" s="31"/>
      <c r="D33" s="17" t="s">
        <v>37</v>
      </c>
      <c r="E33" s="15">
        <f t="shared" ref="E33:N33" ca="1" si="0">MAX(E34:E141)</f>
        <v>0.99713205722022014</v>
      </c>
      <c r="F33" s="15">
        <f t="shared" ca="1" si="0"/>
        <v>0.98527908823502452</v>
      </c>
      <c r="G33" s="15">
        <f t="shared" ca="1" si="0"/>
        <v>0.99647641665779951</v>
      </c>
      <c r="H33" s="15">
        <f t="shared" ca="1" si="0"/>
        <v>0.95745803735691049</v>
      </c>
      <c r="I33" s="15">
        <f t="shared" ca="1" si="0"/>
        <v>0.98567952883639998</v>
      </c>
      <c r="J33" s="15">
        <f t="shared" ca="1" si="0"/>
        <v>0.9328081715960308</v>
      </c>
      <c r="K33" s="15">
        <f t="shared" ca="1" si="0"/>
        <v>0.98227711890578495</v>
      </c>
      <c r="L33" s="15">
        <f t="shared" ca="1" si="0"/>
        <v>0.81719103141784211</v>
      </c>
      <c r="M33" s="15">
        <f t="shared" ca="1" si="0"/>
        <v>0.99713205722022014</v>
      </c>
      <c r="N33" s="15">
        <f t="shared" ca="1" si="0"/>
        <v>0.98527908823502452</v>
      </c>
    </row>
    <row r="34" spans="2:14" x14ac:dyDescent="0.2">
      <c r="B34" s="34" t="s">
        <v>21</v>
      </c>
      <c r="C34" s="29" t="s">
        <v>0</v>
      </c>
      <c r="D34" s="29"/>
      <c r="E34" s="15">
        <f ca="1">IF(AND(Data!$M$15=Data!$L$15,INDEX((INT((ROW()-34)/9)+1),1,1)&gt;Data!$L$16),"-",CORREL(OFFSET(Data!$B$183,INDEX((Data!$M$15-2005)*12+INT((ROW()-34)/9)+1-INT((COLUMN()-5)/2+1)*12+1,1,1),IF(LEFT($C34,6)="CPI VS",1,IF(LEFT($C34,6)="CPI食品 ",2,3)),INDEX(((COLUMN()-5)/2+1)*12,1,1),1),OFFSET(Data!$B$183,INDEX((Data!$M$15-2005)*12+INT((ROW()-34)/9)+1-INT((COLUMN()-5)/2+1)*12+1,1,1),IF(RIGHT($C34,4)=" PPI",4,IF(RIGHT($C34,4)="生产资料",5,6)),INDEX(((COLUMN()-5)/2+1)*12,1,1),1)))</f>
        <v>0.76655476019171886</v>
      </c>
      <c r="F34" s="30">
        <f ca="1">IF(ISERROR(AVERAGE(E34,E42)),"-",AVERAGE(E34,E42))</f>
        <v>0.82865657895333134</v>
      </c>
      <c r="G34" s="15">
        <f ca="1">IF(AND(Data!$M$15=Data!$L$15,INDEX((INT((ROW()-34)/9)+1),1,1)&gt;Data!$L$16),"-",CORREL(OFFSET(Data!$B$183,INDEX((Data!$M$15-2005)*12+INT((ROW()-34)/9)+1-INT((COLUMN()-5)/2+1)*12+1,1,1),IF(LEFT($C34,6)="CPI VS",1,IF(LEFT($C34,6)="CPI食品 ",2,3)),INDEX(((COLUMN()-5)/2+1)*12,1,1),1),OFFSET(Data!$B$183,INDEX((Data!$M$15-2005)*12+INT((ROW()-34)/9)+1-INT((COLUMN()-5)/2+1)*12+1,1,1),IF(RIGHT($C34,4)=" PPI",4,IF(RIGHT($C34,4)="生产资料",5,6)),INDEX(((COLUMN()-5)/2+1)*12,1,1),1)))</f>
        <v>0.67343755124537985</v>
      </c>
      <c r="H34" s="30">
        <f ca="1">IF(ISERROR(AVERAGE(G34,G42)),"-",AVERAGE(G34,G42))</f>
        <v>0.76052634488108972</v>
      </c>
      <c r="I34" s="15">
        <f ca="1">IF(AND(Data!$M$15=Data!$L$15,INDEX((INT((ROW()-34)/9)+1),1,1)&gt;Data!$L$16),"-",CORREL(OFFSET(Data!$B$183,INDEX((Data!$M$15-2005)*12+INT((ROW()-34)/9)+1-INT((COLUMN()-5)/2+1)*12+1,1,1),IF(LEFT($C34,6)="CPI VS",1,IF(LEFT($C34,6)="CPI食品 ",2,3)),INDEX(((COLUMN()-5)/2+1)*12,1,1),1),OFFSET(Data!$B$183,INDEX((Data!$M$15-2005)*12+INT((ROW()-34)/9)+1-INT((COLUMN()-5)/2+1)*12+1,1,1),IF(RIGHT($C34,4)=" PPI",4,IF(RIGHT($C34,4)="生产资料",5,6)),INDEX(((COLUMN()-5)/2+1)*12,1,1),1)))</f>
        <v>0.6521733496697979</v>
      </c>
      <c r="J34" s="30">
        <f ca="1">IF(ISERROR(AVERAGE(I34,I42)),"-",AVERAGE(I34,I42))</f>
        <v>0.64188016504359513</v>
      </c>
      <c r="K34" s="15">
        <f ca="1">IF(AND(Data!$M$15=Data!$L$15,INDEX((INT((ROW()-34)/9)+1),1,1)&gt;Data!$L$16),"-",CORREL(OFFSET(Data!$B$183,INDEX((Data!$M$15-2005)*12+INT((ROW()-34)/9)+1-INT((COLUMN()-5)/2+1)*12+1,1,1),IF(LEFT($C34,6)="CPI VS",1,IF(LEFT($C34,6)="CPI食品 ",2,3)),INDEX(((COLUMN()-5)/2+1)*12,1,1),1),OFFSET(Data!$B$183,INDEX((Data!$M$15-2005)*12+INT((ROW()-34)/9)+1-INT((COLUMN()-5)/2+1)*12+1,1,1),IF(RIGHT($C34,4)=" PPI",4,IF(RIGHT($C34,4)="生产资料",5,6)),INDEX(((COLUMN()-5)/2+1)*12,1,1),1)))</f>
        <v>0.55357192667509658</v>
      </c>
      <c r="L34" s="30">
        <f ca="1">IF(ISERROR(AVERAGE(K34,K42)),"-",AVERAGE(K34,K42))</f>
        <v>0.5083293652588684</v>
      </c>
      <c r="M34" s="15">
        <f ca="1">IF(AND(Data!$M$15=Data!$L$15,INDEX((INT((ROW()-34)/9)+1),1,1)&gt;Data!$L$16),"-",MAX(E34,MAX(G34,MAX(I34,K34))))</f>
        <v>0.76655476019171886</v>
      </c>
      <c r="N34" s="30">
        <f ca="1">IF(AND(Data!$M$15=Data!$L$15,INDEX((INT((ROW()-34)/9)+1),1,1)&gt;Data!$L$16),"-",MAX(F34,MAX(H34,MAX(J34,L34))))</f>
        <v>0.82865657895333134</v>
      </c>
    </row>
    <row r="35" spans="2:14" x14ac:dyDescent="0.2">
      <c r="B35" s="34"/>
      <c r="C35" s="29" t="s">
        <v>38</v>
      </c>
      <c r="D35" s="29"/>
      <c r="E35" s="15">
        <f ca="1">IF(AND(Data!$M$15=Data!$L$15,INDEX((INT((ROW()-34)/9)+1),1,1)&gt;Data!$L$16),"-",CORREL(OFFSET(Data!$B$183,INDEX((Data!$M$15-2005)*12+INT((ROW()-34)/9)+1-INT((COLUMN()-5)/2+1)*12+1,1,1),IF(LEFT($C35,6)="CPI VS",1,IF(LEFT($C35,6)="CPI食品 ",2,3)),INDEX(((COLUMN()-5)/2+1)*12,1,1),1),OFFSET(Data!$B$183,INDEX((Data!$M$15-2005)*12+INT((ROW()-34)/9)+1-INT((COLUMN()-5)/2+1)*12+1,1,1),IF(RIGHT($C35,4)=" PPI",4,IF(RIGHT($C35,4)="生产资料",5,6)),INDEX(((COLUMN()-5)/2+1)*12,1,1),1)))</f>
        <v>0.73715486493992222</v>
      </c>
      <c r="F35" s="30"/>
      <c r="G35" s="15">
        <f ca="1">IF(AND(Data!$M$15=Data!$L$15,INDEX((INT((ROW()-34)/9)+1),1,1)&gt;Data!$L$16),"-",CORREL(OFFSET(Data!$B$183,INDEX((Data!$M$15-2005)*12+INT((ROW()-34)/9)+1-INT((COLUMN()-5)/2+1)*12+1,1,1),IF(LEFT($C35,6)="CPI VS",1,IF(LEFT($C35,6)="CPI食品 ",2,3)),INDEX(((COLUMN()-5)/2+1)*12,1,1),1),OFFSET(Data!$B$183,INDEX((Data!$M$15-2005)*12+INT((ROW()-34)/9)+1-INT((COLUMN()-5)/2+1)*12+1,1,1),IF(RIGHT($C35,4)=" PPI",4,IF(RIGHT($C35,4)="生产资料",5,6)),INDEX(((COLUMN()-5)/2+1)*12,1,1),1)))</f>
        <v>0.6354154888048863</v>
      </c>
      <c r="H35" s="30"/>
      <c r="I35" s="15">
        <f ca="1">IF(AND(Data!$M$15=Data!$L$15,INDEX((INT((ROW()-34)/9)+1),1,1)&gt;Data!$L$16),"-",CORREL(OFFSET(Data!$B$183,INDEX((Data!$M$15-2005)*12+INT((ROW()-34)/9)+1-INT((COLUMN()-5)/2+1)*12+1,1,1),IF(LEFT($C35,6)="CPI VS",1,IF(LEFT($C35,6)="CPI食品 ",2,3)),INDEX(((COLUMN()-5)/2+1)*12,1,1),1),OFFSET(Data!$B$183,INDEX((Data!$M$15-2005)*12+INT((ROW()-34)/9)+1-INT((COLUMN()-5)/2+1)*12+1,1,1),IF(RIGHT($C35,4)=" PPI",4,IF(RIGHT($C35,4)="生产资料",5,6)),INDEX(((COLUMN()-5)/2+1)*12,1,1),1)))</f>
        <v>0.55750820545047242</v>
      </c>
      <c r="J35" s="30"/>
      <c r="K35" s="15">
        <f ca="1">IF(AND(Data!$M$15=Data!$L$15,INDEX((INT((ROW()-34)/9)+1),1,1)&gt;Data!$L$16),"-",CORREL(OFFSET(Data!$B$183,INDEX((Data!$M$15-2005)*12+INT((ROW()-34)/9)+1-INT((COLUMN()-5)/2+1)*12+1,1,1),IF(LEFT($C35,6)="CPI VS",1,IF(LEFT($C35,6)="CPI食品 ",2,3)),INDEX(((COLUMN()-5)/2+1)*12,1,1),1),OFFSET(Data!$B$183,INDEX((Data!$M$15-2005)*12+INT((ROW()-34)/9)+1-INT((COLUMN()-5)/2+1)*12+1,1,1),IF(RIGHT($C35,4)=" PPI",4,IF(RIGHT($C35,4)="生产资料",5,6)),INDEX(((COLUMN()-5)/2+1)*12,1,1),1)))</f>
        <v>0.39693850601909314</v>
      </c>
      <c r="L35" s="30"/>
      <c r="M35" s="15">
        <f ca="1">IF(AND(Data!$M$15=Data!$L$15,INDEX((INT((ROW()-34)/9)+1),1,1)&gt;Data!$L$16),"-",MAX(E35,MAX(G35,MAX(I35,K35))))</f>
        <v>0.73715486493992222</v>
      </c>
      <c r="N35" s="30"/>
    </row>
    <row r="36" spans="2:14" x14ac:dyDescent="0.2">
      <c r="B36" s="34"/>
      <c r="C36" s="29" t="s">
        <v>39</v>
      </c>
      <c r="D36" s="29"/>
      <c r="E36" s="15">
        <f ca="1">IF(AND(Data!$M$15=Data!$L$15,INDEX((INT((ROW()-34)/9)+1),1,1)&gt;Data!$L$16),"-",CORREL(OFFSET(Data!$B$183,INDEX((Data!$M$15-2005)*12+INT((ROW()-34)/9)+1-INT((COLUMN()-5)/2+1)*12+1,1,1),IF(LEFT($C36,6)="CPI VS",1,IF(LEFT($C36,6)="CPI食品 ",2,3)),INDEX(((COLUMN()-5)/2+1)*12,1,1),1),OFFSET(Data!$B$183,INDEX((Data!$M$15-2005)*12+INT((ROW()-34)/9)+1-INT((COLUMN()-5)/2+1)*12+1,1,1),IF(RIGHT($C36,4)=" PPI",4,IF(RIGHT($C36,4)="生产资料",5,6)),INDEX(((COLUMN()-5)/2+1)*12,1,1),1)))</f>
        <v>0.96537787282772403</v>
      </c>
      <c r="F36" s="30"/>
      <c r="G36" s="15">
        <f ca="1">IF(AND(Data!$M$15=Data!$L$15,INDEX((INT((ROW()-34)/9)+1),1,1)&gt;Data!$L$16),"-",CORREL(OFFSET(Data!$B$183,INDEX((Data!$M$15-2005)*12+INT((ROW()-34)/9)+1-INT((COLUMN()-5)/2+1)*12+1,1,1),IF(LEFT($C36,6)="CPI VS",1,IF(LEFT($C36,6)="CPI食品 ",2,3)),INDEX(((COLUMN()-5)/2+1)*12,1,1),1),OFFSET(Data!$B$183,INDEX((Data!$M$15-2005)*12+INT((ROW()-34)/9)+1-INT((COLUMN()-5)/2+1)*12+1,1,1),IF(RIGHT($C36,4)=" PPI",4,IF(RIGHT($C36,4)="生产资料",5,6)),INDEX(((COLUMN()-5)/2+1)*12,1,1),1)))</f>
        <v>0.9395916267146317</v>
      </c>
      <c r="H36" s="30"/>
      <c r="I36" s="15">
        <f ca="1">IF(AND(Data!$M$15=Data!$L$15,INDEX((INT((ROW()-34)/9)+1),1,1)&gt;Data!$L$16),"-",CORREL(OFFSET(Data!$B$183,INDEX((Data!$M$15-2005)*12+INT((ROW()-34)/9)+1-INT((COLUMN()-5)/2+1)*12+1,1,1),IF(LEFT($C36,6)="CPI VS",1,IF(LEFT($C36,6)="CPI食品 ",2,3)),INDEX(((COLUMN()-5)/2+1)*12,1,1),1),OFFSET(Data!$B$183,INDEX((Data!$M$15-2005)*12+INT((ROW()-34)/9)+1-INT((COLUMN()-5)/2+1)*12+1,1,1),IF(RIGHT($C36,4)=" PPI",4,IF(RIGHT($C36,4)="生产资料",5,6)),INDEX(((COLUMN()-5)/2+1)*12,1,1),1)))</f>
        <v>0.95610835833667085</v>
      </c>
      <c r="J36" s="30"/>
      <c r="K36" s="15">
        <f ca="1">IF(AND(Data!$M$15=Data!$L$15,INDEX((INT((ROW()-34)/9)+1),1,1)&gt;Data!$L$16),"-",CORREL(OFFSET(Data!$B$183,INDEX((Data!$M$15-2005)*12+INT((ROW()-34)/9)+1-INT((COLUMN()-5)/2+1)*12+1,1,1),IF(LEFT($C36,6)="CPI VS",1,IF(LEFT($C36,6)="CPI食品 ",2,3)),INDEX(((COLUMN()-5)/2+1)*12,1,1),1),OFFSET(Data!$B$183,INDEX((Data!$M$15-2005)*12+INT((ROW()-34)/9)+1-INT((COLUMN()-5)/2+1)*12+1,1,1),IF(RIGHT($C36,4)=" PPI",4,IF(RIGHT($C36,4)="生产资料",5,6)),INDEX(((COLUMN()-5)/2+1)*12,1,1),1)))</f>
        <v>0.94226829004987867</v>
      </c>
      <c r="L36" s="30"/>
      <c r="M36" s="15">
        <f ca="1">IF(AND(Data!$M$15=Data!$L$15,INDEX((INT((ROW()-34)/9)+1),1,1)&gt;Data!$L$16),"-",MAX(E36,MAX(G36,MAX(I36,K36))))</f>
        <v>0.96537787282772403</v>
      </c>
      <c r="N36" s="30"/>
    </row>
    <row r="37" spans="2:14" x14ac:dyDescent="0.2">
      <c r="B37" s="34"/>
      <c r="C37" s="29" t="s">
        <v>40</v>
      </c>
      <c r="D37" s="29"/>
      <c r="E37" s="15">
        <f ca="1">IF(AND(Data!$M$15=Data!$L$15,INDEX((INT((ROW()-34)/9)+1),1,1)&gt;Data!$L$16),"-",CORREL(OFFSET(Data!$B$183,INDEX((Data!$M$15-2005)*12+INT((ROW()-34)/9)+1-INT((COLUMN()-5)/2+1)*12+1,1,1),IF(LEFT($C37,6)="CPI VS",1,IF(LEFT($C37,6)="CPI食品 ",2,3)),INDEX(((COLUMN()-5)/2+1)*12,1,1),1),OFFSET(Data!$B$183,INDEX((Data!$M$15-2005)*12+INT((ROW()-34)/9)+1-INT((COLUMN()-5)/2+1)*12+1,1,1),IF(RIGHT($C37,4)=" PPI",4,IF(RIGHT($C37,4)="生产资料",5,6)),INDEX(((COLUMN()-5)/2+1)*12,1,1),1)))</f>
        <v>0.63581485082463463</v>
      </c>
      <c r="F37" s="30"/>
      <c r="G37" s="15">
        <f ca="1">IF(AND(Data!$M$15=Data!$L$15,INDEX((INT((ROW()-34)/9)+1),1,1)&gt;Data!$L$16),"-",CORREL(OFFSET(Data!$B$183,INDEX((Data!$M$15-2005)*12+INT((ROW()-34)/9)+1-INT((COLUMN()-5)/2+1)*12+1,1,1),IF(LEFT($C37,6)="CPI VS",1,IF(LEFT($C37,6)="CPI食品 ",2,3)),INDEX(((COLUMN()-5)/2+1)*12,1,1),1),OFFSET(Data!$B$183,INDEX((Data!$M$15-2005)*12+INT((ROW()-34)/9)+1-INT((COLUMN()-5)/2+1)*12+1,1,1),IF(RIGHT($C37,4)=" PPI",4,IF(RIGHT($C37,4)="生产资料",5,6)),INDEX(((COLUMN()-5)/2+1)*12,1,1),1)))</f>
        <v>0.53123810712518715</v>
      </c>
      <c r="H37" s="30"/>
      <c r="I37" s="15">
        <f ca="1">IF(AND(Data!$M$15=Data!$L$15,INDEX((INT((ROW()-34)/9)+1),1,1)&gt;Data!$L$16),"-",CORREL(OFFSET(Data!$B$183,INDEX((Data!$M$15-2005)*12+INT((ROW()-34)/9)+1-INT((COLUMN()-5)/2+1)*12+1,1,1),IF(LEFT($C37,6)="CPI VS",1,IF(LEFT($C37,6)="CPI食品 ",2,3)),INDEX(((COLUMN()-5)/2+1)*12,1,1),1),OFFSET(Data!$B$183,INDEX((Data!$M$15-2005)*12+INT((ROW()-34)/9)+1-INT((COLUMN()-5)/2+1)*12+1,1,1),IF(RIGHT($C37,4)=" PPI",4,IF(RIGHT($C37,4)="生产资料",5,6)),INDEX(((COLUMN()-5)/2+1)*12,1,1),1)))</f>
        <v>0.54750192473080017</v>
      </c>
      <c r="J37" s="30"/>
      <c r="K37" s="15">
        <f ca="1">IF(AND(Data!$M$15=Data!$L$15,INDEX((INT((ROW()-34)/9)+1),1,1)&gt;Data!$L$16),"-",CORREL(OFFSET(Data!$B$183,INDEX((Data!$M$15-2005)*12+INT((ROW()-34)/9)+1-INT((COLUMN()-5)/2+1)*12+1,1,1),IF(LEFT($C37,6)="CPI VS",1,IF(LEFT($C37,6)="CPI食品 ",2,3)),INDEX(((COLUMN()-5)/2+1)*12,1,1),1),OFFSET(Data!$B$183,INDEX((Data!$M$15-2005)*12+INT((ROW()-34)/9)+1-INT((COLUMN()-5)/2+1)*12+1,1,1),IF(RIGHT($C37,4)=" PPI",4,IF(RIGHT($C37,4)="生产资料",5,6)),INDEX(((COLUMN()-5)/2+1)*12,1,1),1)))</f>
        <v>0.44580706347654314</v>
      </c>
      <c r="L37" s="30"/>
      <c r="M37" s="15">
        <f ca="1">IF(AND(Data!$M$15=Data!$L$15,INDEX((INT((ROW()-34)/9)+1),1,1)&gt;Data!$L$16),"-",MAX(E37,MAX(G37,MAX(I37,K37))))</f>
        <v>0.63581485082463463</v>
      </c>
      <c r="N37" s="30"/>
    </row>
    <row r="38" spans="2:14" ht="14.25" customHeight="1" x14ac:dyDescent="0.2">
      <c r="B38" s="34"/>
      <c r="C38" s="29" t="s">
        <v>41</v>
      </c>
      <c r="D38" s="29"/>
      <c r="E38" s="15">
        <f ca="1">IF(AND(Data!$M$15=Data!$L$15,INDEX((INT((ROW()-34)/9)+1),1,1)&gt;Data!$L$16),"-",CORREL(OFFSET(Data!$B$183,INDEX((Data!$M$15-2005)*12+INT((ROW()-34)/9)+1-INT((COLUMN()-5)/2+1)*12+1,1,1),IF(LEFT($C38,6)="CPI VS",1,IF(LEFT($C38,6)="CPI食品 ",2,3)),INDEX(((COLUMN()-5)/2+1)*12,1,1),1),OFFSET(Data!$B$183,INDEX((Data!$M$15-2005)*12+INT((ROW()-34)/9)+1-INT((COLUMN()-5)/2+1)*12+1,1,1),IF(RIGHT($C38,4)=" PPI",4,IF(RIGHT($C38,4)="生产资料",5,6)),INDEX(((COLUMN()-5)/2+1)*12,1,1),1)))</f>
        <v>0.6007363980280136</v>
      </c>
      <c r="F38" s="30"/>
      <c r="G38" s="15">
        <f ca="1">IF(AND(Data!$M$15=Data!$L$15,INDEX((INT((ROW()-34)/9)+1),1,1)&gt;Data!$L$16),"-",CORREL(OFFSET(Data!$B$183,INDEX((Data!$M$15-2005)*12+INT((ROW()-34)/9)+1-INT((COLUMN()-5)/2+1)*12+1,1,1),IF(LEFT($C38,6)="CPI VS",1,IF(LEFT($C38,6)="CPI食品 ",2,3)),INDEX(((COLUMN()-5)/2+1)*12,1,1),1),OFFSET(Data!$B$183,INDEX((Data!$M$15-2005)*12+INT((ROW()-34)/9)+1-INT((COLUMN()-5)/2+1)*12+1,1,1),IF(RIGHT($C38,4)=" PPI",4,IF(RIGHT($C38,4)="生产资料",5,6)),INDEX(((COLUMN()-5)/2+1)*12,1,1),1)))</f>
        <v>0.48769647081600814</v>
      </c>
      <c r="H38" s="30"/>
      <c r="I38" s="15">
        <f ca="1">IF(AND(Data!$M$15=Data!$L$15,INDEX((INT((ROW()-34)/9)+1),1,1)&gt;Data!$L$16),"-",CORREL(OFFSET(Data!$B$183,INDEX((Data!$M$15-2005)*12+INT((ROW()-34)/9)+1-INT((COLUMN()-5)/2+1)*12+1,1,1),IF(LEFT($C38,6)="CPI VS",1,IF(LEFT($C38,6)="CPI食品 ",2,3)),INDEX(((COLUMN()-5)/2+1)*12,1,1),1),OFFSET(Data!$B$183,INDEX((Data!$M$15-2005)*12+INT((ROW()-34)/9)+1-INT((COLUMN()-5)/2+1)*12+1,1,1),IF(RIGHT($C38,4)=" PPI",4,IF(RIGHT($C38,4)="生产资料",5,6)),INDEX(((COLUMN()-5)/2+1)*12,1,1),1)))</f>
        <v>0.44374658969303887</v>
      </c>
      <c r="J38" s="30"/>
      <c r="K38" s="15">
        <f ca="1">IF(AND(Data!$M$15=Data!$L$15,INDEX((INT((ROW()-34)/9)+1),1,1)&gt;Data!$L$16),"-",CORREL(OFFSET(Data!$B$183,INDEX((Data!$M$15-2005)*12+INT((ROW()-34)/9)+1-INT((COLUMN()-5)/2+1)*12+1,1,1),IF(LEFT($C38,6)="CPI VS",1,IF(LEFT($C38,6)="CPI食品 ",2,3)),INDEX(((COLUMN()-5)/2+1)*12,1,1),1),OFFSET(Data!$B$183,INDEX((Data!$M$15-2005)*12+INT((ROW()-34)/9)+1-INT((COLUMN()-5)/2+1)*12+1,1,1),IF(RIGHT($C38,4)=" PPI",4,IF(RIGHT($C38,4)="生产资料",5,6)),INDEX(((COLUMN()-5)/2+1)*12,1,1),1)))</f>
        <v>0.28022203895740155</v>
      </c>
      <c r="L38" s="30"/>
      <c r="M38" s="15">
        <f ca="1">IF(AND(Data!$M$15=Data!$L$15,INDEX((INT((ROW()-34)/9)+1),1,1)&gt;Data!$L$16),"-",MAX(E38,MAX(G38,MAX(I38,K38))))</f>
        <v>0.6007363980280136</v>
      </c>
      <c r="N38" s="30"/>
    </row>
    <row r="39" spans="2:14" x14ac:dyDescent="0.2">
      <c r="B39" s="34"/>
      <c r="C39" s="29" t="s">
        <v>42</v>
      </c>
      <c r="D39" s="29"/>
      <c r="E39" s="15">
        <f ca="1">IF(AND(Data!$M$15=Data!$L$15,INDEX((INT((ROW()-34)/9)+1),1,1)&gt;Data!$L$16),"-",CORREL(OFFSET(Data!$B$183,INDEX((Data!$M$15-2005)*12+INT((ROW()-34)/9)+1-INT((COLUMN()-5)/2+1)*12+1,1,1),IF(LEFT($C39,6)="CPI VS",1,IF(LEFT($C39,6)="CPI食品 ",2,3)),INDEX(((COLUMN()-5)/2+1)*12,1,1),1),OFFSET(Data!$B$183,INDEX((Data!$M$15-2005)*12+INT((ROW()-34)/9)+1-INT((COLUMN()-5)/2+1)*12+1,1,1),IF(RIGHT($C39,4)=" PPI",4,IF(RIGHT($C39,4)="生产资料",5,6)),INDEX(((COLUMN()-5)/2+1)*12,1,1),1)))</f>
        <v>0.90736550513337988</v>
      </c>
      <c r="F39" s="30"/>
      <c r="G39" s="15">
        <f ca="1">IF(AND(Data!$M$15=Data!$L$15,INDEX((INT((ROW()-34)/9)+1),1,1)&gt;Data!$L$16),"-",CORREL(OFFSET(Data!$B$183,INDEX((Data!$M$15-2005)*12+INT((ROW()-34)/9)+1-INT((COLUMN()-5)/2+1)*12+1,1,1),IF(LEFT($C39,6)="CPI VS",1,IF(LEFT($C39,6)="CPI食品 ",2,3)),INDEX(((COLUMN()-5)/2+1)*12,1,1),1),OFFSET(Data!$B$183,INDEX((Data!$M$15-2005)*12+INT((ROW()-34)/9)+1-INT((COLUMN()-5)/2+1)*12+1,1,1),IF(RIGHT($C39,4)=" PPI",4,IF(RIGHT($C39,4)="生产资料",5,6)),INDEX(((COLUMN()-5)/2+1)*12,1,1),1)))</f>
        <v>0.87332217498807263</v>
      </c>
      <c r="H39" s="30"/>
      <c r="I39" s="15">
        <f ca="1">IF(AND(Data!$M$15=Data!$L$15,INDEX((INT((ROW()-34)/9)+1),1,1)&gt;Data!$L$16),"-",CORREL(OFFSET(Data!$B$183,INDEX((Data!$M$15-2005)*12+INT((ROW()-34)/9)+1-INT((COLUMN()-5)/2+1)*12+1,1,1),IF(LEFT($C39,6)="CPI VS",1,IF(LEFT($C39,6)="CPI食品 ",2,3)),INDEX(((COLUMN()-5)/2+1)*12,1,1),1),OFFSET(Data!$B$183,INDEX((Data!$M$15-2005)*12+INT((ROW()-34)/9)+1-INT((COLUMN()-5)/2+1)*12+1,1,1),IF(RIGHT($C39,4)=" PPI",4,IF(RIGHT($C39,4)="生产资料",5,6)),INDEX(((COLUMN()-5)/2+1)*12,1,1),1)))</f>
        <v>0.93615833053048947</v>
      </c>
      <c r="J39" s="30"/>
      <c r="K39" s="15">
        <f ca="1">IF(AND(Data!$M$15=Data!$L$15,INDEX((INT((ROW()-34)/9)+1),1,1)&gt;Data!$L$16),"-",CORREL(OFFSET(Data!$B$183,INDEX((Data!$M$15-2005)*12+INT((ROW()-34)/9)+1-INT((COLUMN()-5)/2+1)*12+1,1,1),IF(LEFT($C39,6)="CPI VS",1,IF(LEFT($C39,6)="CPI食品 ",2,3)),INDEX(((COLUMN()-5)/2+1)*12,1,1),1),OFFSET(Data!$B$183,INDEX((Data!$M$15-2005)*12+INT((ROW()-34)/9)+1-INT((COLUMN()-5)/2+1)*12+1,1,1),IF(RIGHT($C39,4)=" PPI",4,IF(RIGHT($C39,4)="生产资料",5,6)),INDEX(((COLUMN()-5)/2+1)*12,1,1),1)))</f>
        <v>0.93575160024695125</v>
      </c>
      <c r="L39" s="30"/>
      <c r="M39" s="15">
        <f ca="1">IF(AND(Data!$M$15=Data!$L$15,INDEX((INT((ROW()-34)/9)+1),1,1)&gt;Data!$L$16),"-",MAX(E39,MAX(G39,MAX(I39,K39))))</f>
        <v>0.93615833053048947</v>
      </c>
      <c r="N39" s="30"/>
    </row>
    <row r="40" spans="2:14" x14ac:dyDescent="0.2">
      <c r="B40" s="34"/>
      <c r="C40" s="29" t="s">
        <v>43</v>
      </c>
      <c r="D40" s="29"/>
      <c r="E40" s="15">
        <f ca="1">IF(AND(Data!$M$15=Data!$L$15,INDEX((INT((ROW()-34)/9)+1),1,1)&gt;Data!$L$16),"-",CORREL(OFFSET(Data!$B$183,INDEX((Data!$M$15-2005)*12+INT((ROW()-34)/9)+1-INT((COLUMN()-5)/2+1)*12+1,1,1),IF(LEFT($C40,6)="CPI VS",1,IF(LEFT($C40,6)="CPI食品 ",2,3)),INDEX(((COLUMN()-5)/2+1)*12,1,1),1),OFFSET(Data!$B$183,INDEX((Data!$M$15-2005)*12+INT((ROW()-34)/9)+1-INT((COLUMN()-5)/2+1)*12+1,1,1),IF(RIGHT($C40,4)=" PPI",4,IF(RIGHT($C40,4)="生产资料",5,6)),INDEX(((COLUMN()-5)/2+1)*12,1,1),1)))</f>
        <v>0.99493839210469204</v>
      </c>
      <c r="F40" s="30"/>
      <c r="G40" s="15">
        <f ca="1">IF(AND(Data!$M$15=Data!$L$15,INDEX((INT((ROW()-34)/9)+1),1,1)&gt;Data!$L$16),"-",CORREL(OFFSET(Data!$B$183,INDEX((Data!$M$15-2005)*12+INT((ROW()-34)/9)+1-INT((COLUMN()-5)/2+1)*12+1,1,1),IF(LEFT($C40,6)="CPI VS",1,IF(LEFT($C40,6)="CPI食品 ",2,3)),INDEX(((COLUMN()-5)/2+1)*12,1,1),1),OFFSET(Data!$B$183,INDEX((Data!$M$15-2005)*12+INT((ROW()-34)/9)+1-INT((COLUMN()-5)/2+1)*12+1,1,1),IF(RIGHT($C40,4)=" PPI",4,IF(RIGHT($C40,4)="生产资料",5,6)),INDEX(((COLUMN()-5)/2+1)*12,1,1),1)))</f>
        <v>0.96648738551084079</v>
      </c>
      <c r="H40" s="30"/>
      <c r="I40" s="15">
        <f ca="1">IF(AND(Data!$M$15=Data!$L$15,INDEX((INT((ROW()-34)/9)+1),1,1)&gt;Data!$L$16),"-",CORREL(OFFSET(Data!$B$183,INDEX((Data!$M$15-2005)*12+INT((ROW()-34)/9)+1-INT((COLUMN()-5)/2+1)*12+1,1,1),IF(LEFT($C40,6)="CPI VS",1,IF(LEFT($C40,6)="CPI食品 ",2,3)),INDEX(((COLUMN()-5)/2+1)*12,1,1),1),OFFSET(Data!$B$183,INDEX((Data!$M$15-2005)*12+INT((ROW()-34)/9)+1-INT((COLUMN()-5)/2+1)*12+1,1,1),IF(RIGHT($C40,4)=" PPI",4,IF(RIGHT($C40,4)="生产资料",5,6)),INDEX(((COLUMN()-5)/2+1)*12,1,1),1)))</f>
        <v>0.94931647037841138</v>
      </c>
      <c r="J40" s="30"/>
      <c r="K40" s="15">
        <f ca="1">IF(AND(Data!$M$15=Data!$L$15,INDEX((INT((ROW()-34)/9)+1),1,1)&gt;Data!$L$16),"-",CORREL(OFFSET(Data!$B$183,INDEX((Data!$M$15-2005)*12+INT((ROW()-34)/9)+1-INT((COLUMN()-5)/2+1)*12+1,1,1),IF(LEFT($C40,6)="CPI VS",1,IF(LEFT($C40,6)="CPI食品 ",2,3)),INDEX(((COLUMN()-5)/2+1)*12,1,1),1),OFFSET(Data!$B$183,INDEX((Data!$M$15-2005)*12+INT((ROW()-34)/9)+1-INT((COLUMN()-5)/2+1)*12+1,1,1),IF(RIGHT($C40,4)=" PPI",4,IF(RIGHT($C40,4)="生产资料",5,6)),INDEX(((COLUMN()-5)/2+1)*12,1,1),1)))</f>
        <v>0.9358194294063259</v>
      </c>
      <c r="L40" s="30"/>
      <c r="M40" s="15">
        <f ca="1">IF(AND(Data!$M$15=Data!$L$15,INDEX((INT((ROW()-34)/9)+1),1,1)&gt;Data!$L$16),"-",MAX(E40,MAX(G40,MAX(I40,K40))))</f>
        <v>0.99493839210469204</v>
      </c>
      <c r="N40" s="30"/>
    </row>
    <row r="41" spans="2:14" x14ac:dyDescent="0.2">
      <c r="B41" s="34"/>
      <c r="C41" s="29" t="s">
        <v>44</v>
      </c>
      <c r="D41" s="29"/>
      <c r="E41" s="15">
        <f ca="1">IF(AND(Data!$M$15=Data!$L$15,INDEX((INT((ROW()-34)/9)+1),1,1)&gt;Data!$L$16),"-",CORREL(OFFSET(Data!$B$183,INDEX((Data!$M$15-2005)*12+INT((ROW()-34)/9)+1-INT((COLUMN()-5)/2+1)*12+1,1,1),IF(LEFT($C41,6)="CPI VS",1,IF(LEFT($C41,6)="CPI食品 ",2,3)),INDEX(((COLUMN()-5)/2+1)*12,1,1),1),OFFSET(Data!$B$183,INDEX((Data!$M$15-2005)*12+INT((ROW()-34)/9)+1-INT((COLUMN()-5)/2+1)*12+1,1,1),IF(RIGHT($C41,4)=" PPI",4,IF(RIGHT($C41,4)="生产资料",5,6)),INDEX(((COLUMN()-5)/2+1)*12,1,1),1)))</f>
        <v>0.99311399658670718</v>
      </c>
      <c r="F41" s="30"/>
      <c r="G41" s="15">
        <f ca="1">IF(AND(Data!$M$15=Data!$L$15,INDEX((INT((ROW()-34)/9)+1),1,1)&gt;Data!$L$16),"-",CORREL(OFFSET(Data!$B$183,INDEX((Data!$M$15-2005)*12+INT((ROW()-34)/9)+1-INT((COLUMN()-5)/2+1)*12+1,1,1),IF(LEFT($C41,6)="CPI VS",1,IF(LEFT($C41,6)="CPI食品 ",2,3)),INDEX(((COLUMN()-5)/2+1)*12,1,1),1),OFFSET(Data!$B$183,INDEX((Data!$M$15-2005)*12+INT((ROW()-34)/9)+1-INT((COLUMN()-5)/2+1)*12+1,1,1),IF(RIGHT($C41,4)=" PPI",4,IF(RIGHT($C41,4)="生产资料",5,6)),INDEX(((COLUMN()-5)/2+1)*12,1,1),1)))</f>
        <v>0.96315174069018406</v>
      </c>
      <c r="H41" s="30"/>
      <c r="I41" s="15">
        <f ca="1">IF(AND(Data!$M$15=Data!$L$15,INDEX((INT((ROW()-34)/9)+1),1,1)&gt;Data!$L$16),"-",CORREL(OFFSET(Data!$B$183,INDEX((Data!$M$15-2005)*12+INT((ROW()-34)/9)+1-INT((COLUMN()-5)/2+1)*12+1,1,1),IF(LEFT($C41,6)="CPI VS",1,IF(LEFT($C41,6)="CPI食品 ",2,3)),INDEX(((COLUMN()-5)/2+1)*12,1,1),1),OFFSET(Data!$B$183,INDEX((Data!$M$15-2005)*12+INT((ROW()-34)/9)+1-INT((COLUMN()-5)/2+1)*12+1,1,1),IF(RIGHT($C41,4)=" PPI",4,IF(RIGHT($C41,4)="生产资料",5,6)),INDEX(((COLUMN()-5)/2+1)*12,1,1),1)))</f>
        <v>0.94997942397215429</v>
      </c>
      <c r="J41" s="30"/>
      <c r="K41" s="15">
        <f ca="1">IF(AND(Data!$M$15=Data!$L$15,INDEX((INT((ROW()-34)/9)+1),1,1)&gt;Data!$L$16),"-",CORREL(OFFSET(Data!$B$183,INDEX((Data!$M$15-2005)*12+INT((ROW()-34)/9)+1-INT((COLUMN()-5)/2+1)*12+1,1,1),IF(LEFT($C41,6)="CPI VS",1,IF(LEFT($C41,6)="CPI食品 ",2,3)),INDEX(((COLUMN()-5)/2+1)*12,1,1),1),OFFSET(Data!$B$183,INDEX((Data!$M$15-2005)*12+INT((ROW()-34)/9)+1-INT((COLUMN()-5)/2+1)*12+1,1,1),IF(RIGHT($C41,4)=" PPI",4,IF(RIGHT($C41,4)="生产资料",5,6)),INDEX(((COLUMN()-5)/2+1)*12,1,1),1)))</f>
        <v>0.92307484902019732</v>
      </c>
      <c r="L41" s="30"/>
      <c r="M41" s="15">
        <f ca="1">IF(AND(Data!$M$15=Data!$L$15,INDEX((INT((ROW()-34)/9)+1),1,1)&gt;Data!$L$16),"-",MAX(E41,MAX(G41,MAX(I41,K41))))</f>
        <v>0.99311399658670718</v>
      </c>
      <c r="N41" s="30"/>
    </row>
    <row r="42" spans="2:14" x14ac:dyDescent="0.2">
      <c r="B42" s="34"/>
      <c r="C42" s="29" t="s">
        <v>45</v>
      </c>
      <c r="D42" s="29"/>
      <c r="E42" s="15">
        <f ca="1">IF(AND(Data!$M$15=Data!$L$15,INDEX((INT((ROW()-34)/9)+1),1,1)&gt;Data!$L$16),"-",CORREL(OFFSET(Data!$B$183,INDEX((Data!$M$15-2005)*12+INT((ROW()-34)/9)+1-INT((COLUMN()-5)/2+1)*12+1,1,1),IF(LEFT($C42,6)="CPI VS",1,IF(LEFT($C42,6)="CPI食品 ",2,3)),INDEX(((COLUMN()-5)/2+1)*12,1,1),1),OFFSET(Data!$B$183,INDEX((Data!$M$15-2005)*12+INT((ROW()-34)/9)+1-INT((COLUMN()-5)/2+1)*12+1,1,1),IF(RIGHT($C42,4)=" PPI",4,IF(RIGHT($C42,4)="生产资料",5,6)),INDEX(((COLUMN()-5)/2+1)*12,1,1),1)))</f>
        <v>0.89075839771494369</v>
      </c>
      <c r="F42" s="30"/>
      <c r="G42" s="15">
        <f ca="1">IF(AND(Data!$M$15=Data!$L$15,INDEX((INT((ROW()-34)/9)+1),1,1)&gt;Data!$L$16),"-",CORREL(OFFSET(Data!$B$183,INDEX((Data!$M$15-2005)*12+INT((ROW()-34)/9)+1-INT((COLUMN()-5)/2+1)*12+1,1,1),IF(LEFT($C42,6)="CPI VS",1,IF(LEFT($C42,6)="CPI食品 ",2,3)),INDEX(((COLUMN()-5)/2+1)*12,1,1),1),OFFSET(Data!$B$183,INDEX((Data!$M$15-2005)*12+INT((ROW()-34)/9)+1-INT((COLUMN()-5)/2+1)*12+1,1,1),IF(RIGHT($C42,4)=" PPI",4,IF(RIGHT($C42,4)="生产资料",5,6)),INDEX(((COLUMN()-5)/2+1)*12,1,1),1)))</f>
        <v>0.8476151385167997</v>
      </c>
      <c r="H42" s="30"/>
      <c r="I42" s="15">
        <f ca="1">IF(AND(Data!$M$15=Data!$L$15,INDEX((INT((ROW()-34)/9)+1),1,1)&gt;Data!$L$16),"-",CORREL(OFFSET(Data!$B$183,INDEX((Data!$M$15-2005)*12+INT((ROW()-34)/9)+1-INT((COLUMN()-5)/2+1)*12+1,1,1),IF(LEFT($C42,6)="CPI VS",1,IF(LEFT($C42,6)="CPI食品 ",2,3)),INDEX(((COLUMN()-5)/2+1)*12,1,1),1),OFFSET(Data!$B$183,INDEX((Data!$M$15-2005)*12+INT((ROW()-34)/9)+1-INT((COLUMN()-5)/2+1)*12+1,1,1),IF(RIGHT($C42,4)=" PPI",4,IF(RIGHT($C42,4)="生产资料",5,6)),INDEX(((COLUMN()-5)/2+1)*12,1,1),1)))</f>
        <v>0.63158698041739236</v>
      </c>
      <c r="J42" s="30"/>
      <c r="K42" s="15">
        <f ca="1">IF(AND(Data!$M$15=Data!$L$15,INDEX((INT((ROW()-34)/9)+1),1,1)&gt;Data!$L$16),"-",CORREL(OFFSET(Data!$B$183,INDEX((Data!$M$15-2005)*12+INT((ROW()-34)/9)+1-INT((COLUMN()-5)/2+1)*12+1,1,1),IF(LEFT($C42,6)="CPI VS",1,IF(LEFT($C42,6)="CPI食品 ",2,3)),INDEX(((COLUMN()-5)/2+1)*12,1,1),1),OFFSET(Data!$B$183,INDEX((Data!$M$15-2005)*12+INT((ROW()-34)/9)+1-INT((COLUMN()-5)/2+1)*12+1,1,1),IF(RIGHT($C42,4)=" PPI",4,IF(RIGHT($C42,4)="生产资料",5,6)),INDEX(((COLUMN()-5)/2+1)*12,1,1),1)))</f>
        <v>0.46308680384264017</v>
      </c>
      <c r="L42" s="30"/>
      <c r="M42" s="15">
        <f ca="1">IF(AND(Data!$M$15=Data!$L$15,INDEX((INT((ROW()-34)/9)+1),1,1)&gt;Data!$L$16),"-",MAX(E42,MAX(G42,MAX(I42,K42))))</f>
        <v>0.89075839771494369</v>
      </c>
      <c r="N42" s="30"/>
    </row>
    <row r="43" spans="2:14" x14ac:dyDescent="0.2">
      <c r="B43" s="34" t="s">
        <v>22</v>
      </c>
      <c r="C43" s="29" t="s">
        <v>0</v>
      </c>
      <c r="D43" s="29"/>
      <c r="E43" s="15">
        <f ca="1">IF(AND(Data!$M$15=Data!$L$15,INDEX((INT((ROW()-34)/9)+1),1,1)&gt;Data!$L$16),"-",CORREL(OFFSET(Data!$B$183,INDEX((Data!$M$15-2005)*12+INT((ROW()-34)/9)+1-INT((COLUMN()-5)/2+1)*12+1,1,1),IF(LEFT($C43,6)="CPI VS",1,IF(LEFT($C43,6)="CPI食品 ",2,3)),INDEX(((COLUMN()-5)/2+1)*12,1,1),1),OFFSET(Data!$B$183,INDEX((Data!$M$15-2005)*12+INT((ROW()-34)/9)+1-INT((COLUMN()-5)/2+1)*12+1,1,1),IF(RIGHT($C43,4)=" PPI",4,IF(RIGHT($C43,4)="生产资料",5,6)),INDEX(((COLUMN()-5)/2+1)*12,1,1),1)))</f>
        <v>0.87367031313314147</v>
      </c>
      <c r="F43" s="30">
        <f ca="1">IF(ISERROR(AVERAGE(E43,E51)),"-",AVERAGE(E43,E51))</f>
        <v>0.90243279798283416</v>
      </c>
      <c r="G43" s="15">
        <f ca="1">IF(AND(Data!$M$15=Data!$L$15,INDEX((INT((ROW()-34)/9)+1),1,1)&gt;Data!$L$16),"-",CORREL(OFFSET(Data!$B$183,INDEX((Data!$M$15-2005)*12+INT((ROW()-34)/9)+1-INT((COLUMN()-5)/2+1)*12+1,1,1),IF(LEFT($C43,6)="CPI VS",1,IF(LEFT($C43,6)="CPI食品 ",2,3)),INDEX(((COLUMN()-5)/2+1)*12,1,1),1),OFFSET(Data!$B$183,INDEX((Data!$M$15-2005)*12+INT((ROW()-34)/9)+1-INT((COLUMN()-5)/2+1)*12+1,1,1),IF(RIGHT($C43,4)=" PPI",4,IF(RIGHT($C43,4)="生产资料",5,6)),INDEX(((COLUMN()-5)/2+1)*12,1,1),1)))</f>
        <v>0.75247539033214994</v>
      </c>
      <c r="H43" s="30">
        <f ca="1">IF(ISERROR(AVERAGE(G43,G51)),"-",AVERAGE(G43,G51))</f>
        <v>0.82291389673545812</v>
      </c>
      <c r="I43" s="15">
        <f ca="1">IF(AND(Data!$M$15=Data!$L$15,INDEX((INT((ROW()-34)/9)+1),1,1)&gt;Data!$L$16),"-",CORREL(OFFSET(Data!$B$183,INDEX((Data!$M$15-2005)*12+INT((ROW()-34)/9)+1-INT((COLUMN()-5)/2+1)*12+1,1,1),IF(LEFT($C43,6)="CPI VS",1,IF(LEFT($C43,6)="CPI食品 ",2,3)),INDEX(((COLUMN()-5)/2+1)*12,1,1),1),OFFSET(Data!$B$183,INDEX((Data!$M$15-2005)*12+INT((ROW()-34)/9)+1-INT((COLUMN()-5)/2+1)*12+1,1,1),IF(RIGHT($C43,4)=" PPI",4,IF(RIGHT($C43,4)="生产资料",5,6)),INDEX(((COLUMN()-5)/2+1)*12,1,1),1)))</f>
        <v>0.70403269819259862</v>
      </c>
      <c r="J43" s="30">
        <f ca="1">IF(ISERROR(AVERAGE(I43,I51)),"-",AVERAGE(I43,I51))</f>
        <v>0.67138603347403025</v>
      </c>
      <c r="K43" s="15">
        <f ca="1">IF(AND(Data!$M$15=Data!$L$15,INDEX((INT((ROW()-34)/9)+1),1,1)&gt;Data!$L$16),"-",CORREL(OFFSET(Data!$B$183,INDEX((Data!$M$15-2005)*12+INT((ROW()-34)/9)+1-INT((COLUMN()-5)/2+1)*12+1,1,1),IF(LEFT($C43,6)="CPI VS",1,IF(LEFT($C43,6)="CPI食品 ",2,3)),INDEX(((COLUMN()-5)/2+1)*12,1,1),1),OFFSET(Data!$B$183,INDEX((Data!$M$15-2005)*12+INT((ROW()-34)/9)+1-INT((COLUMN()-5)/2+1)*12+1,1,1),IF(RIGHT($C43,4)=" PPI",4,IF(RIGHT($C43,4)="生产资料",5,6)),INDEX(((COLUMN()-5)/2+1)*12,1,1),1)))</f>
        <v>0.60091727117271398</v>
      </c>
      <c r="L43" s="30">
        <f ca="1">IF(ISERROR(AVERAGE(K43,K51)),"-",AVERAGE(K43,K51))</f>
        <v>0.53698937512929013</v>
      </c>
      <c r="M43" s="15">
        <f ca="1">IF(AND(Data!$M$15=Data!$L$15,INDEX((INT((ROW()-34)/9)+1),1,1)&gt;Data!$L$16),"-",MAX(E43,MAX(G43,MAX(I43,K43))))</f>
        <v>0.87367031313314147</v>
      </c>
      <c r="N43" s="30">
        <f ca="1">IF(AND(Data!$M$15=Data!$L$15,INDEX((INT((ROW()-34)/9)+1),1,1)&gt;Data!$L$16),"-",MAX(F43,MAX(H43,MAX(J43,L43))))</f>
        <v>0.90243279798283416</v>
      </c>
    </row>
    <row r="44" spans="2:14" x14ac:dyDescent="0.2">
      <c r="B44" s="34"/>
      <c r="C44" s="29" t="s">
        <v>38</v>
      </c>
      <c r="D44" s="29"/>
      <c r="E44" s="15">
        <f ca="1">IF(AND(Data!$M$15=Data!$L$15,INDEX((INT((ROW()-34)/9)+1),1,1)&gt;Data!$L$16),"-",CORREL(OFFSET(Data!$B$183,INDEX((Data!$M$15-2005)*12+INT((ROW()-34)/9)+1-INT((COLUMN()-5)/2+1)*12+1,1,1),IF(LEFT($C44,6)="CPI VS",1,IF(LEFT($C44,6)="CPI食品 ",2,3)),INDEX(((COLUMN()-5)/2+1)*12,1,1),1),OFFSET(Data!$B$183,INDEX((Data!$M$15-2005)*12+INT((ROW()-34)/9)+1-INT((COLUMN()-5)/2+1)*12+1,1,1),IF(RIGHT($C44,4)=" PPI",4,IF(RIGHT($C44,4)="生产资料",5,6)),INDEX(((COLUMN()-5)/2+1)*12,1,1),1)))</f>
        <v>0.85641476541323869</v>
      </c>
      <c r="F44" s="30"/>
      <c r="G44" s="15">
        <f ca="1">IF(AND(Data!$M$15=Data!$L$15,INDEX((INT((ROW()-34)/9)+1),1,1)&gt;Data!$L$16),"-",CORREL(OFFSET(Data!$B$183,INDEX((Data!$M$15-2005)*12+INT((ROW()-34)/9)+1-INT((COLUMN()-5)/2+1)*12+1,1,1),IF(LEFT($C44,6)="CPI VS",1,IF(LEFT($C44,6)="CPI食品 ",2,3)),INDEX(((COLUMN()-5)/2+1)*12,1,1),1),OFFSET(Data!$B$183,INDEX((Data!$M$15-2005)*12+INT((ROW()-34)/9)+1-INT((COLUMN()-5)/2+1)*12+1,1,1),IF(RIGHT($C44,4)=" PPI",4,IF(RIGHT($C44,4)="生产资料",5,6)),INDEX(((COLUMN()-5)/2+1)*12,1,1),1)))</f>
        <v>0.72271846371910031</v>
      </c>
      <c r="H44" s="30"/>
      <c r="I44" s="15">
        <f ca="1">IF(AND(Data!$M$15=Data!$L$15,INDEX((INT((ROW()-34)/9)+1),1,1)&gt;Data!$L$16),"-",CORREL(OFFSET(Data!$B$183,INDEX((Data!$M$15-2005)*12+INT((ROW()-34)/9)+1-INT((COLUMN()-5)/2+1)*12+1,1,1),IF(LEFT($C44,6)="CPI VS",1,IF(LEFT($C44,6)="CPI食品 ",2,3)),INDEX(((COLUMN()-5)/2+1)*12,1,1),1),OFFSET(Data!$B$183,INDEX((Data!$M$15-2005)*12+INT((ROW()-34)/9)+1-INT((COLUMN()-5)/2+1)*12+1,1,1),IF(RIGHT($C44,4)=" PPI",4,IF(RIGHT($C44,4)="生产资料",5,6)),INDEX(((COLUMN()-5)/2+1)*12,1,1),1)))</f>
        <v>0.62907529434032528</v>
      </c>
      <c r="J44" s="30"/>
      <c r="K44" s="15">
        <f ca="1">IF(AND(Data!$M$15=Data!$L$15,INDEX((INT((ROW()-34)/9)+1),1,1)&gt;Data!$L$16),"-",CORREL(OFFSET(Data!$B$183,INDEX((Data!$M$15-2005)*12+INT((ROW()-34)/9)+1-INT((COLUMN()-5)/2+1)*12+1,1,1),IF(LEFT($C44,6)="CPI VS",1,IF(LEFT($C44,6)="CPI食品 ",2,3)),INDEX(((COLUMN()-5)/2+1)*12,1,1),1),OFFSET(Data!$B$183,INDEX((Data!$M$15-2005)*12+INT((ROW()-34)/9)+1-INT((COLUMN()-5)/2+1)*12+1,1,1),IF(RIGHT($C44,4)=" PPI",4,IF(RIGHT($C44,4)="生产资料",5,6)),INDEX(((COLUMN()-5)/2+1)*12,1,1),1)))</f>
        <v>0.4662733084427253</v>
      </c>
      <c r="L44" s="30"/>
      <c r="M44" s="15">
        <f ca="1">IF(AND(Data!$M$15=Data!$L$15,INDEX((INT((ROW()-34)/9)+1),1,1)&gt;Data!$L$16),"-",MAX(E44,MAX(G44,MAX(I44,K44))))</f>
        <v>0.85641476541323869</v>
      </c>
      <c r="N44" s="30"/>
    </row>
    <row r="45" spans="2:14" x14ac:dyDescent="0.2">
      <c r="B45" s="34"/>
      <c r="C45" s="29" t="s">
        <v>39</v>
      </c>
      <c r="D45" s="29"/>
      <c r="E45" s="15">
        <f ca="1">IF(AND(Data!$M$15=Data!$L$15,INDEX((INT((ROW()-34)/9)+1),1,1)&gt;Data!$L$16),"-",CORREL(OFFSET(Data!$B$183,INDEX((Data!$M$15-2005)*12+INT((ROW()-34)/9)+1-INT((COLUMN()-5)/2+1)*12+1,1,1),IF(LEFT($C45,6)="CPI VS",1,IF(LEFT($C45,6)="CPI食品 ",2,3)),INDEX(((COLUMN()-5)/2+1)*12,1,1),1),OFFSET(Data!$B$183,INDEX((Data!$M$15-2005)*12+INT((ROW()-34)/9)+1-INT((COLUMN()-5)/2+1)*12+1,1,1),IF(RIGHT($C45,4)=" PPI",4,IF(RIGHT($C45,4)="生产资料",5,6)),INDEX(((COLUMN()-5)/2+1)*12,1,1),1)))</f>
        <v>0.9836811347726534</v>
      </c>
      <c r="F45" s="30"/>
      <c r="G45" s="15">
        <f ca="1">IF(AND(Data!$M$15=Data!$L$15,INDEX((INT((ROW()-34)/9)+1),1,1)&gt;Data!$L$16),"-",CORREL(OFFSET(Data!$B$183,INDEX((Data!$M$15-2005)*12+INT((ROW()-34)/9)+1-INT((COLUMN()-5)/2+1)*12+1,1,1),IF(LEFT($C45,6)="CPI VS",1,IF(LEFT($C45,6)="CPI食品 ",2,3)),INDEX(((COLUMN()-5)/2+1)*12,1,1),1),OFFSET(Data!$B$183,INDEX((Data!$M$15-2005)*12+INT((ROW()-34)/9)+1-INT((COLUMN()-5)/2+1)*12+1,1,1),IF(RIGHT($C45,4)=" PPI",4,IF(RIGHT($C45,4)="生产资料",5,6)),INDEX(((COLUMN()-5)/2+1)*12,1,1),1)))</f>
        <v>0.9528313089745184</v>
      </c>
      <c r="H45" s="30"/>
      <c r="I45" s="15">
        <f ca="1">IF(AND(Data!$M$15=Data!$L$15,INDEX((INT((ROW()-34)/9)+1),1,1)&gt;Data!$L$16),"-",CORREL(OFFSET(Data!$B$183,INDEX((Data!$M$15-2005)*12+INT((ROW()-34)/9)+1-INT((COLUMN()-5)/2+1)*12+1,1,1),IF(LEFT($C45,6)="CPI VS",1,IF(LEFT($C45,6)="CPI食品 ",2,3)),INDEX(((COLUMN()-5)/2+1)*12,1,1),1),OFFSET(Data!$B$183,INDEX((Data!$M$15-2005)*12+INT((ROW()-34)/9)+1-INT((COLUMN()-5)/2+1)*12+1,1,1),IF(RIGHT($C45,4)=" PPI",4,IF(RIGHT($C45,4)="生产资料",5,6)),INDEX(((COLUMN()-5)/2+1)*12,1,1),1)))</f>
        <v>0.95405702629321731</v>
      </c>
      <c r="J45" s="30"/>
      <c r="K45" s="15">
        <f ca="1">IF(AND(Data!$M$15=Data!$L$15,INDEX((INT((ROW()-34)/9)+1),1,1)&gt;Data!$L$16),"-",CORREL(OFFSET(Data!$B$183,INDEX((Data!$M$15-2005)*12+INT((ROW()-34)/9)+1-INT((COLUMN()-5)/2+1)*12+1,1,1),IF(LEFT($C45,6)="CPI VS",1,IF(LEFT($C45,6)="CPI食品 ",2,3)),INDEX(((COLUMN()-5)/2+1)*12,1,1),1),OFFSET(Data!$B$183,INDEX((Data!$M$15-2005)*12+INT((ROW()-34)/9)+1-INT((COLUMN()-5)/2+1)*12+1,1,1),IF(RIGHT($C45,4)=" PPI",4,IF(RIGHT($C45,4)="生产资料",5,6)),INDEX(((COLUMN()-5)/2+1)*12,1,1),1)))</f>
        <v>0.94391030693786404</v>
      </c>
      <c r="L45" s="30"/>
      <c r="M45" s="15">
        <f ca="1">IF(AND(Data!$M$15=Data!$L$15,INDEX((INT((ROW()-34)/9)+1),1,1)&gt;Data!$L$16),"-",MAX(E45,MAX(G45,MAX(I45,K45))))</f>
        <v>0.9836811347726534</v>
      </c>
      <c r="N45" s="30"/>
    </row>
    <row r="46" spans="2:14" x14ac:dyDescent="0.2">
      <c r="B46" s="34"/>
      <c r="C46" s="29" t="s">
        <v>40</v>
      </c>
      <c r="D46" s="29"/>
      <c r="E46" s="15">
        <f ca="1">IF(AND(Data!$M$15=Data!$L$15,INDEX((INT((ROW()-34)/9)+1),1,1)&gt;Data!$L$16),"-",CORREL(OFFSET(Data!$B$183,INDEX((Data!$M$15-2005)*12+INT((ROW()-34)/9)+1-INT((COLUMN()-5)/2+1)*12+1,1,1),IF(LEFT($C46,6)="CPI VS",1,IF(LEFT($C46,6)="CPI食品 ",2,3)),INDEX(((COLUMN()-5)/2+1)*12,1,1),1),OFFSET(Data!$B$183,INDEX((Data!$M$15-2005)*12+INT((ROW()-34)/9)+1-INT((COLUMN()-5)/2+1)*12+1,1,1),IF(RIGHT($C46,4)=" PPI",4,IF(RIGHT($C46,4)="生产资料",5,6)),INDEX(((COLUMN()-5)/2+1)*12,1,1),1)))</f>
        <v>0.78230438259795754</v>
      </c>
      <c r="F46" s="30"/>
      <c r="G46" s="15">
        <f ca="1">IF(AND(Data!$M$15=Data!$L$15,INDEX((INT((ROW()-34)/9)+1),1,1)&gt;Data!$L$16),"-",CORREL(OFFSET(Data!$B$183,INDEX((Data!$M$15-2005)*12+INT((ROW()-34)/9)+1-INT((COLUMN()-5)/2+1)*12+1,1,1),IF(LEFT($C46,6)="CPI VS",1,IF(LEFT($C46,6)="CPI食品 ",2,3)),INDEX(((COLUMN()-5)/2+1)*12,1,1),1),OFFSET(Data!$B$183,INDEX((Data!$M$15-2005)*12+INT((ROW()-34)/9)+1-INT((COLUMN()-5)/2+1)*12+1,1,1),IF(RIGHT($C46,4)=" PPI",4,IF(RIGHT($C46,4)="生产资料",5,6)),INDEX(((COLUMN()-5)/2+1)*12,1,1),1)))</f>
        <v>0.63059809370444042</v>
      </c>
      <c r="H46" s="30"/>
      <c r="I46" s="15">
        <f ca="1">IF(AND(Data!$M$15=Data!$L$15,INDEX((INT((ROW()-34)/9)+1),1,1)&gt;Data!$L$16),"-",CORREL(OFFSET(Data!$B$183,INDEX((Data!$M$15-2005)*12+INT((ROW()-34)/9)+1-INT((COLUMN()-5)/2+1)*12+1,1,1),IF(LEFT($C46,6)="CPI VS",1,IF(LEFT($C46,6)="CPI食品 ",2,3)),INDEX(((COLUMN()-5)/2+1)*12,1,1),1),OFFSET(Data!$B$183,INDEX((Data!$M$15-2005)*12+INT((ROW()-34)/9)+1-INT((COLUMN()-5)/2+1)*12+1,1,1),IF(RIGHT($C46,4)=" PPI",4,IF(RIGHT($C46,4)="生产资料",5,6)),INDEX(((COLUMN()-5)/2+1)*12,1,1),1)))</f>
        <v>0.59132421713482519</v>
      </c>
      <c r="J46" s="30"/>
      <c r="K46" s="15">
        <f ca="1">IF(AND(Data!$M$15=Data!$L$15,INDEX((INT((ROW()-34)/9)+1),1,1)&gt;Data!$L$16),"-",CORREL(OFFSET(Data!$B$183,INDEX((Data!$M$15-2005)*12+INT((ROW()-34)/9)+1-INT((COLUMN()-5)/2+1)*12+1,1,1),IF(LEFT($C46,6)="CPI VS",1,IF(LEFT($C46,6)="CPI食品 ",2,3)),INDEX(((COLUMN()-5)/2+1)*12,1,1),1),OFFSET(Data!$B$183,INDEX((Data!$M$15-2005)*12+INT((ROW()-34)/9)+1-INT((COLUMN()-5)/2+1)*12+1,1,1),IF(RIGHT($C46,4)=" PPI",4,IF(RIGHT($C46,4)="生产资料",5,6)),INDEX(((COLUMN()-5)/2+1)*12,1,1),1)))</f>
        <v>0.48019860704146483</v>
      </c>
      <c r="L46" s="30"/>
      <c r="M46" s="15">
        <f ca="1">IF(AND(Data!$M$15=Data!$L$15,INDEX((INT((ROW()-34)/9)+1),1,1)&gt;Data!$L$16),"-",MAX(E46,MAX(G46,MAX(I46,K46))))</f>
        <v>0.78230438259795754</v>
      </c>
      <c r="N46" s="30"/>
    </row>
    <row r="47" spans="2:14" x14ac:dyDescent="0.2">
      <c r="B47" s="34"/>
      <c r="C47" s="29" t="s">
        <v>41</v>
      </c>
      <c r="D47" s="29"/>
      <c r="E47" s="15">
        <f ca="1">IF(AND(Data!$M$15=Data!$L$15,INDEX((INT((ROW()-34)/9)+1),1,1)&gt;Data!$L$16),"-",CORREL(OFFSET(Data!$B$183,INDEX((Data!$M$15-2005)*12+INT((ROW()-34)/9)+1-INT((COLUMN()-5)/2+1)*12+1,1,1),IF(LEFT($C47,6)="CPI VS",1,IF(LEFT($C47,6)="CPI食品 ",2,3)),INDEX(((COLUMN()-5)/2+1)*12,1,1),1),OFFSET(Data!$B$183,INDEX((Data!$M$15-2005)*12+INT((ROW()-34)/9)+1-INT((COLUMN()-5)/2+1)*12+1,1,1),IF(RIGHT($C47,4)=" PPI",4,IF(RIGHT($C47,4)="生产资料",5,6)),INDEX(((COLUMN()-5)/2+1)*12,1,1),1)))</f>
        <v>0.7602896896747372</v>
      </c>
      <c r="F47" s="30"/>
      <c r="G47" s="15">
        <f ca="1">IF(AND(Data!$M$15=Data!$L$15,INDEX((INT((ROW()-34)/9)+1),1,1)&gt;Data!$L$16),"-",CORREL(OFFSET(Data!$B$183,INDEX((Data!$M$15-2005)*12+INT((ROW()-34)/9)+1-INT((COLUMN()-5)/2+1)*12+1,1,1),IF(LEFT($C47,6)="CPI VS",1,IF(LEFT($C47,6)="CPI食品 ",2,3)),INDEX(((COLUMN()-5)/2+1)*12,1,1),1),OFFSET(Data!$B$183,INDEX((Data!$M$15-2005)*12+INT((ROW()-34)/9)+1-INT((COLUMN()-5)/2+1)*12+1,1,1),IF(RIGHT($C47,4)=" PPI",4,IF(RIGHT($C47,4)="生产资料",5,6)),INDEX(((COLUMN()-5)/2+1)*12,1,1),1)))</f>
        <v>0.59544016896588903</v>
      </c>
      <c r="H47" s="30"/>
      <c r="I47" s="15">
        <f ca="1">IF(AND(Data!$M$15=Data!$L$15,INDEX((INT((ROW()-34)/9)+1),1,1)&gt;Data!$L$16),"-",CORREL(OFFSET(Data!$B$183,INDEX((Data!$M$15-2005)*12+INT((ROW()-34)/9)+1-INT((COLUMN()-5)/2+1)*12+1,1,1),IF(LEFT($C47,6)="CPI VS",1,IF(LEFT($C47,6)="CPI食品 ",2,3)),INDEX(((COLUMN()-5)/2+1)*12,1,1),1),OFFSET(Data!$B$183,INDEX((Data!$M$15-2005)*12+INT((ROW()-34)/9)+1-INT((COLUMN()-5)/2+1)*12+1,1,1),IF(RIGHT($C47,4)=" PPI",4,IF(RIGHT($C47,4)="生产资料",5,6)),INDEX(((COLUMN()-5)/2+1)*12,1,1),1)))</f>
        <v>0.50602909094302739</v>
      </c>
      <c r="J47" s="30"/>
      <c r="K47" s="15">
        <f ca="1">IF(AND(Data!$M$15=Data!$L$15,INDEX((INT((ROW()-34)/9)+1),1,1)&gt;Data!$L$16),"-",CORREL(OFFSET(Data!$B$183,INDEX((Data!$M$15-2005)*12+INT((ROW()-34)/9)+1-INT((COLUMN()-5)/2+1)*12+1,1,1),IF(LEFT($C47,6)="CPI VS",1,IF(LEFT($C47,6)="CPI食品 ",2,3)),INDEX(((COLUMN()-5)/2+1)*12,1,1),1),OFFSET(Data!$B$183,INDEX((Data!$M$15-2005)*12+INT((ROW()-34)/9)+1-INT((COLUMN()-5)/2+1)*12+1,1,1),IF(RIGHT($C47,4)=" PPI",4,IF(RIGHT($C47,4)="生产资料",5,6)),INDEX(((COLUMN()-5)/2+1)*12,1,1),1)))</f>
        <v>0.33447268185754825</v>
      </c>
      <c r="L47" s="30"/>
      <c r="M47" s="15">
        <f ca="1">IF(AND(Data!$M$15=Data!$L$15,INDEX((INT((ROW()-34)/9)+1),1,1)&gt;Data!$L$16),"-",MAX(E47,MAX(G47,MAX(I47,K47))))</f>
        <v>0.7602896896747372</v>
      </c>
      <c r="N47" s="30"/>
    </row>
    <row r="48" spans="2:14" x14ac:dyDescent="0.2">
      <c r="B48" s="34"/>
      <c r="C48" s="29" t="s">
        <v>42</v>
      </c>
      <c r="D48" s="29"/>
      <c r="E48" s="15">
        <f ca="1">IF(AND(Data!$M$15=Data!$L$15,INDEX((INT((ROW()-34)/9)+1),1,1)&gt;Data!$L$16),"-",CORREL(OFFSET(Data!$B$183,INDEX((Data!$M$15-2005)*12+INT((ROW()-34)/9)+1-INT((COLUMN()-5)/2+1)*12+1,1,1),IF(LEFT($C48,6)="CPI VS",1,IF(LEFT($C48,6)="CPI食品 ",2,3)),INDEX(((COLUMN()-5)/2+1)*12,1,1),1),OFFSET(Data!$B$183,INDEX((Data!$M$15-2005)*12+INT((ROW()-34)/9)+1-INT((COLUMN()-5)/2+1)*12+1,1,1),IF(RIGHT($C48,4)=" PPI",4,IF(RIGHT($C48,4)="生产资料",5,6)),INDEX(((COLUMN()-5)/2+1)*12,1,1),1)))</f>
        <v>0.94720720380099277</v>
      </c>
      <c r="F48" s="30"/>
      <c r="G48" s="15">
        <f ca="1">IF(AND(Data!$M$15=Data!$L$15,INDEX((INT((ROW()-34)/9)+1),1,1)&gt;Data!$L$16),"-",CORREL(OFFSET(Data!$B$183,INDEX((Data!$M$15-2005)*12+INT((ROW()-34)/9)+1-INT((COLUMN()-5)/2+1)*12+1,1,1),IF(LEFT($C48,6)="CPI VS",1,IF(LEFT($C48,6)="CPI食品 ",2,3)),INDEX(((COLUMN()-5)/2+1)*12,1,1),1),OFFSET(Data!$B$183,INDEX((Data!$M$15-2005)*12+INT((ROW()-34)/9)+1-INT((COLUMN()-5)/2+1)*12+1,1,1),IF(RIGHT($C48,4)=" PPI",4,IF(RIGHT($C48,4)="生产资料",5,6)),INDEX(((COLUMN()-5)/2+1)*12,1,1),1)))</f>
        <v>0.89834973821222142</v>
      </c>
      <c r="H48" s="30"/>
      <c r="I48" s="15">
        <f ca="1">IF(AND(Data!$M$15=Data!$L$15,INDEX((INT((ROW()-34)/9)+1),1,1)&gt;Data!$L$16),"-",CORREL(OFFSET(Data!$B$183,INDEX((Data!$M$15-2005)*12+INT((ROW()-34)/9)+1-INT((COLUMN()-5)/2+1)*12+1,1,1),IF(LEFT($C48,6)="CPI VS",1,IF(LEFT($C48,6)="CPI食品 ",2,3)),INDEX(((COLUMN()-5)/2+1)*12,1,1),1),OFFSET(Data!$B$183,INDEX((Data!$M$15-2005)*12+INT((ROW()-34)/9)+1-INT((COLUMN()-5)/2+1)*12+1,1,1),IF(RIGHT($C48,4)=" PPI",4,IF(RIGHT($C48,4)="生产资料",5,6)),INDEX(((COLUMN()-5)/2+1)*12,1,1),1)))</f>
        <v>0.9383294071179632</v>
      </c>
      <c r="J48" s="30"/>
      <c r="K48" s="15">
        <f ca="1">IF(AND(Data!$M$15=Data!$L$15,INDEX((INT((ROW()-34)/9)+1),1,1)&gt;Data!$L$16),"-",CORREL(OFFSET(Data!$B$183,INDEX((Data!$M$15-2005)*12+INT((ROW()-34)/9)+1-INT((COLUMN()-5)/2+1)*12+1,1,1),IF(LEFT($C48,6)="CPI VS",1,IF(LEFT($C48,6)="CPI食品 ",2,3)),INDEX(((COLUMN()-5)/2+1)*12,1,1),1),OFFSET(Data!$B$183,INDEX((Data!$M$15-2005)*12+INT((ROW()-34)/9)+1-INT((COLUMN()-5)/2+1)*12+1,1,1),IF(RIGHT($C48,4)=" PPI",4,IF(RIGHT($C48,4)="生产资料",5,6)),INDEX(((COLUMN()-5)/2+1)*12,1,1),1)))</f>
        <v>0.94277366127203621</v>
      </c>
      <c r="L48" s="30"/>
      <c r="M48" s="15">
        <f ca="1">IF(AND(Data!$M$15=Data!$L$15,INDEX((INT((ROW()-34)/9)+1),1,1)&gt;Data!$L$16),"-",MAX(E48,MAX(G48,MAX(I48,K48))))</f>
        <v>0.94720720380099277</v>
      </c>
      <c r="N48" s="30"/>
    </row>
    <row r="49" spans="2:14" x14ac:dyDescent="0.2">
      <c r="B49" s="34"/>
      <c r="C49" s="29" t="s">
        <v>43</v>
      </c>
      <c r="D49" s="29"/>
      <c r="E49" s="15">
        <f ca="1">IF(AND(Data!$M$15=Data!$L$15,INDEX((INT((ROW()-34)/9)+1),1,1)&gt;Data!$L$16),"-",CORREL(OFFSET(Data!$B$183,INDEX((Data!$M$15-2005)*12+INT((ROW()-34)/9)+1-INT((COLUMN()-5)/2+1)*12+1,1,1),IF(LEFT($C49,6)="CPI VS",1,IF(LEFT($C49,6)="CPI食品 ",2,3)),INDEX(((COLUMN()-5)/2+1)*12,1,1),1),OFFSET(Data!$B$183,INDEX((Data!$M$15-2005)*12+INT((ROW()-34)/9)+1-INT((COLUMN()-5)/2+1)*12+1,1,1),IF(RIGHT($C49,4)=" PPI",4,IF(RIGHT($C49,4)="生产资料",5,6)),INDEX(((COLUMN()-5)/2+1)*12,1,1),1)))</f>
        <v>0.99494481129488266</v>
      </c>
      <c r="F49" s="30"/>
      <c r="G49" s="15">
        <f ca="1">IF(AND(Data!$M$15=Data!$L$15,INDEX((INT((ROW()-34)/9)+1),1,1)&gt;Data!$L$16),"-",CORREL(OFFSET(Data!$B$183,INDEX((Data!$M$15-2005)*12+INT((ROW()-34)/9)+1-INT((COLUMN()-5)/2+1)*12+1,1,1),IF(LEFT($C49,6)="CPI VS",1,IF(LEFT($C49,6)="CPI食品 ",2,3)),INDEX(((COLUMN()-5)/2+1)*12,1,1),1),OFFSET(Data!$B$183,INDEX((Data!$M$15-2005)*12+INT((ROW()-34)/9)+1-INT((COLUMN()-5)/2+1)*12+1,1,1),IF(RIGHT($C49,4)=" PPI",4,IF(RIGHT($C49,4)="生产资料",5,6)),INDEX(((COLUMN()-5)/2+1)*12,1,1),1)))</f>
        <v>0.96753337862600786</v>
      </c>
      <c r="H49" s="30"/>
      <c r="I49" s="15">
        <f ca="1">IF(AND(Data!$M$15=Data!$L$15,INDEX((INT((ROW()-34)/9)+1),1,1)&gt;Data!$L$16),"-",CORREL(OFFSET(Data!$B$183,INDEX((Data!$M$15-2005)*12+INT((ROW()-34)/9)+1-INT((COLUMN()-5)/2+1)*12+1,1,1),IF(LEFT($C49,6)="CPI VS",1,IF(LEFT($C49,6)="CPI食品 ",2,3)),INDEX(((COLUMN()-5)/2+1)*12,1,1),1),OFFSET(Data!$B$183,INDEX((Data!$M$15-2005)*12+INT((ROW()-34)/9)+1-INT((COLUMN()-5)/2+1)*12+1,1,1),IF(RIGHT($C49,4)=" PPI",4,IF(RIGHT($C49,4)="生产资料",5,6)),INDEX(((COLUMN()-5)/2+1)*12,1,1),1)))</f>
        <v>0.95146637600312134</v>
      </c>
      <c r="J49" s="30"/>
      <c r="K49" s="15">
        <f ca="1">IF(AND(Data!$M$15=Data!$L$15,INDEX((INT((ROW()-34)/9)+1),1,1)&gt;Data!$L$16),"-",CORREL(OFFSET(Data!$B$183,INDEX((Data!$M$15-2005)*12+INT((ROW()-34)/9)+1-INT((COLUMN()-5)/2+1)*12+1,1,1),IF(LEFT($C49,6)="CPI VS",1,IF(LEFT($C49,6)="CPI食品 ",2,3)),INDEX(((COLUMN()-5)/2+1)*12,1,1),1),OFFSET(Data!$B$183,INDEX((Data!$M$15-2005)*12+INT((ROW()-34)/9)+1-INT((COLUMN()-5)/2+1)*12+1,1,1),IF(RIGHT($C49,4)=" PPI",4,IF(RIGHT($C49,4)="生产资料",5,6)),INDEX(((COLUMN()-5)/2+1)*12,1,1),1)))</f>
        <v>0.93985717300324079</v>
      </c>
      <c r="L49" s="30"/>
      <c r="M49" s="15">
        <f ca="1">IF(AND(Data!$M$15=Data!$L$15,INDEX((INT((ROW()-34)/9)+1),1,1)&gt;Data!$L$16),"-",MAX(E49,MAX(G49,MAX(I49,K49))))</f>
        <v>0.99494481129488266</v>
      </c>
      <c r="N49" s="30"/>
    </row>
    <row r="50" spans="2:14" x14ac:dyDescent="0.2">
      <c r="B50" s="34"/>
      <c r="C50" s="29" t="s">
        <v>44</v>
      </c>
      <c r="D50" s="29"/>
      <c r="E50" s="15">
        <f ca="1">IF(AND(Data!$M$15=Data!$L$15,INDEX((INT((ROW()-34)/9)+1),1,1)&gt;Data!$L$16),"-",CORREL(OFFSET(Data!$B$183,INDEX((Data!$M$15-2005)*12+INT((ROW()-34)/9)+1-INT((COLUMN()-5)/2+1)*12+1,1,1),IF(LEFT($C50,6)="CPI VS",1,IF(LEFT($C50,6)="CPI食品 ",2,3)),INDEX(((COLUMN()-5)/2+1)*12,1,1),1),OFFSET(Data!$B$183,INDEX((Data!$M$15-2005)*12+INT((ROW()-34)/9)+1-INT((COLUMN()-5)/2+1)*12+1,1,1),IF(RIGHT($C50,4)=" PPI",4,IF(RIGHT($C50,4)="生产资料",5,6)),INDEX(((COLUMN()-5)/2+1)*12,1,1),1)))</f>
        <v>0.9939876569198266</v>
      </c>
      <c r="F50" s="30"/>
      <c r="G50" s="15">
        <f ca="1">IF(AND(Data!$M$15=Data!$L$15,INDEX((INT((ROW()-34)/9)+1),1,1)&gt;Data!$L$16),"-",CORREL(OFFSET(Data!$B$183,INDEX((Data!$M$15-2005)*12+INT((ROW()-34)/9)+1-INT((COLUMN()-5)/2+1)*12+1,1,1),IF(LEFT($C50,6)="CPI VS",1,IF(LEFT($C50,6)="CPI食品 ",2,3)),INDEX(((COLUMN()-5)/2+1)*12,1,1),1),OFFSET(Data!$B$183,INDEX((Data!$M$15-2005)*12+INT((ROW()-34)/9)+1-INT((COLUMN()-5)/2+1)*12+1,1,1),IF(RIGHT($C50,4)=" PPI",4,IF(RIGHT($C50,4)="生产资料",5,6)),INDEX(((COLUMN()-5)/2+1)*12,1,1),1)))</f>
        <v>0.96315947170194804</v>
      </c>
      <c r="H50" s="30"/>
      <c r="I50" s="15">
        <f ca="1">IF(AND(Data!$M$15=Data!$L$15,INDEX((INT((ROW()-34)/9)+1),1,1)&gt;Data!$L$16),"-",CORREL(OFFSET(Data!$B$183,INDEX((Data!$M$15-2005)*12+INT((ROW()-34)/9)+1-INT((COLUMN()-5)/2+1)*12+1,1,1),IF(LEFT($C50,6)="CPI VS",1,IF(LEFT($C50,6)="CPI食品 ",2,3)),INDEX(((COLUMN()-5)/2+1)*12,1,1),1),OFFSET(Data!$B$183,INDEX((Data!$M$15-2005)*12+INT((ROW()-34)/9)+1-INT((COLUMN()-5)/2+1)*12+1,1,1),IF(RIGHT($C50,4)=" PPI",4,IF(RIGHT($C50,4)="生产资料",5,6)),INDEX(((COLUMN()-5)/2+1)*12,1,1),1)))</f>
        <v>0.95637758518489224</v>
      </c>
      <c r="J50" s="30"/>
      <c r="K50" s="15">
        <f ca="1">IF(AND(Data!$M$15=Data!$L$15,INDEX((INT((ROW()-34)/9)+1),1,1)&gt;Data!$L$16),"-",CORREL(OFFSET(Data!$B$183,INDEX((Data!$M$15-2005)*12+INT((ROW()-34)/9)+1-INT((COLUMN()-5)/2+1)*12+1,1,1),IF(LEFT($C50,6)="CPI VS",1,IF(LEFT($C50,6)="CPI食品 ",2,3)),INDEX(((COLUMN()-5)/2+1)*12,1,1),1),OFFSET(Data!$B$183,INDEX((Data!$M$15-2005)*12+INT((ROW()-34)/9)+1-INT((COLUMN()-5)/2+1)*12+1,1,1),IF(RIGHT($C50,4)=" PPI",4,IF(RIGHT($C50,4)="生产资料",5,6)),INDEX(((COLUMN()-5)/2+1)*12,1,1),1)))</f>
        <v>0.9323382890469476</v>
      </c>
      <c r="L50" s="30"/>
      <c r="M50" s="15">
        <f ca="1">IF(AND(Data!$M$15=Data!$L$15,INDEX((INT((ROW()-34)/9)+1),1,1)&gt;Data!$L$16),"-",MAX(E50,MAX(G50,MAX(I50,K50))))</f>
        <v>0.9939876569198266</v>
      </c>
      <c r="N50" s="30"/>
    </row>
    <row r="51" spans="2:14" x14ac:dyDescent="0.2">
      <c r="B51" s="34"/>
      <c r="C51" s="29" t="s">
        <v>45</v>
      </c>
      <c r="D51" s="29"/>
      <c r="E51" s="15">
        <f ca="1">IF(AND(Data!$M$15=Data!$L$15,INDEX((INT((ROW()-34)/9)+1),1,1)&gt;Data!$L$16),"-",CORREL(OFFSET(Data!$B$183,INDEX((Data!$M$15-2005)*12+INT((ROW()-34)/9)+1-INT((COLUMN()-5)/2+1)*12+1,1,1),IF(LEFT($C51,6)="CPI VS",1,IF(LEFT($C51,6)="CPI食品 ",2,3)),INDEX(((COLUMN()-5)/2+1)*12,1,1),1),OFFSET(Data!$B$183,INDEX((Data!$M$15-2005)*12+INT((ROW()-34)/9)+1-INT((COLUMN()-5)/2+1)*12+1,1,1),IF(RIGHT($C51,4)=" PPI",4,IF(RIGHT($C51,4)="生产资料",5,6)),INDEX(((COLUMN()-5)/2+1)*12,1,1),1)))</f>
        <v>0.93119528283252695</v>
      </c>
      <c r="F51" s="30"/>
      <c r="G51" s="15">
        <f ca="1">IF(AND(Data!$M$15=Data!$L$15,INDEX((INT((ROW()-34)/9)+1),1,1)&gt;Data!$L$16),"-",CORREL(OFFSET(Data!$B$183,INDEX((Data!$M$15-2005)*12+INT((ROW()-34)/9)+1-INT((COLUMN()-5)/2+1)*12+1,1,1),IF(LEFT($C51,6)="CPI VS",1,IF(LEFT($C51,6)="CPI食品 ",2,3)),INDEX(((COLUMN()-5)/2+1)*12,1,1),1),OFFSET(Data!$B$183,INDEX((Data!$M$15-2005)*12+INT((ROW()-34)/9)+1-INT((COLUMN()-5)/2+1)*12+1,1,1),IF(RIGHT($C51,4)=" PPI",4,IF(RIGHT($C51,4)="生产资料",5,6)),INDEX(((COLUMN()-5)/2+1)*12,1,1),1)))</f>
        <v>0.89335240313876618</v>
      </c>
      <c r="H51" s="30"/>
      <c r="I51" s="15">
        <f ca="1">IF(AND(Data!$M$15=Data!$L$15,INDEX((INT((ROW()-34)/9)+1),1,1)&gt;Data!$L$16),"-",CORREL(OFFSET(Data!$B$183,INDEX((Data!$M$15-2005)*12+INT((ROW()-34)/9)+1-INT((COLUMN()-5)/2+1)*12+1,1,1),IF(LEFT($C51,6)="CPI VS",1,IF(LEFT($C51,6)="CPI食品 ",2,3)),INDEX(((COLUMN()-5)/2+1)*12,1,1),1),OFFSET(Data!$B$183,INDEX((Data!$M$15-2005)*12+INT((ROW()-34)/9)+1-INT((COLUMN()-5)/2+1)*12+1,1,1),IF(RIGHT($C51,4)=" PPI",4,IF(RIGHT($C51,4)="生产资料",5,6)),INDEX(((COLUMN()-5)/2+1)*12,1,1),1)))</f>
        <v>0.63873936875546189</v>
      </c>
      <c r="J51" s="30"/>
      <c r="K51" s="15">
        <f ca="1">IF(AND(Data!$M$15=Data!$L$15,INDEX((INT((ROW()-34)/9)+1),1,1)&gt;Data!$L$16),"-",CORREL(OFFSET(Data!$B$183,INDEX((Data!$M$15-2005)*12+INT((ROW()-34)/9)+1-INT((COLUMN()-5)/2+1)*12+1,1,1),IF(LEFT($C51,6)="CPI VS",1,IF(LEFT($C51,6)="CPI食品 ",2,3)),INDEX(((COLUMN()-5)/2+1)*12,1,1),1),OFFSET(Data!$B$183,INDEX((Data!$M$15-2005)*12+INT((ROW()-34)/9)+1-INT((COLUMN()-5)/2+1)*12+1,1,1),IF(RIGHT($C51,4)=" PPI",4,IF(RIGHT($C51,4)="生产资料",5,6)),INDEX(((COLUMN()-5)/2+1)*12,1,1),1)))</f>
        <v>0.47306147908586632</v>
      </c>
      <c r="L51" s="30"/>
      <c r="M51" s="15">
        <f ca="1">IF(AND(Data!$M$15=Data!$L$15,INDEX((INT((ROW()-34)/9)+1),1,1)&gt;Data!$L$16),"-",MAX(E51,MAX(G51,MAX(I51,K51))))</f>
        <v>0.93119528283252695</v>
      </c>
      <c r="N51" s="30"/>
    </row>
    <row r="52" spans="2:14" x14ac:dyDescent="0.2">
      <c r="B52" s="34" t="s">
        <v>23</v>
      </c>
      <c r="C52" s="29" t="s">
        <v>0</v>
      </c>
      <c r="D52" s="29"/>
      <c r="E52" s="15">
        <f ca="1">IF(AND(Data!$M$15=Data!$L$15,INDEX((INT((ROW()-34)/9)+1),1,1)&gt;Data!$L$16),"-",CORREL(OFFSET(Data!$B$183,INDEX((Data!$M$15-2005)*12+INT((ROW()-34)/9)+1-INT((COLUMN()-5)/2+1)*12+1,1,1),IF(LEFT($C52,6)="CPI VS",1,IF(LEFT($C52,6)="CPI食品 ",2,3)),INDEX(((COLUMN()-5)/2+1)*12,1,1),1),OFFSET(Data!$B$183,INDEX((Data!$M$15-2005)*12+INT((ROW()-34)/9)+1-INT((COLUMN()-5)/2+1)*12+1,1,1),IF(RIGHT($C52,4)=" PPI",4,IF(RIGHT($C52,4)="生产资料",5,6)),INDEX(((COLUMN()-5)/2+1)*12,1,1),1)))</f>
        <v>0.91148256571314268</v>
      </c>
      <c r="F52" s="30">
        <f ca="1">IF(ISERROR(AVERAGE(E52,E60)),"-",AVERAGE(E52,E60))</f>
        <v>0.93351681647930618</v>
      </c>
      <c r="G52" s="15">
        <f ca="1">IF(AND(Data!$M$15=Data!$L$15,INDEX((INT((ROW()-34)/9)+1),1,1)&gt;Data!$L$16),"-",CORREL(OFFSET(Data!$B$183,INDEX((Data!$M$15-2005)*12+INT((ROW()-34)/9)+1-INT((COLUMN()-5)/2+1)*12+1,1,1),IF(LEFT($C52,6)="CPI VS",1,IF(LEFT($C52,6)="CPI食品 ",2,3)),INDEX(((COLUMN()-5)/2+1)*12,1,1),1),OFFSET(Data!$B$183,INDEX((Data!$M$15-2005)*12+INT((ROW()-34)/9)+1-INT((COLUMN()-5)/2+1)*12+1,1,1),IF(RIGHT($C52,4)=" PPI",4,IF(RIGHT($C52,4)="生产资料",5,6)),INDEX(((COLUMN()-5)/2+1)*12,1,1),1)))</f>
        <v>0.80338317178663821</v>
      </c>
      <c r="H52" s="30">
        <f ca="1">IF(ISERROR(AVERAGE(G52,G60)),"-",AVERAGE(G52,G60))</f>
        <v>0.86819399647433249</v>
      </c>
      <c r="I52" s="15">
        <f ca="1">IF(AND(Data!$M$15=Data!$L$15,INDEX((INT((ROW()-34)/9)+1),1,1)&gt;Data!$L$16),"-",CORREL(OFFSET(Data!$B$183,INDEX((Data!$M$15-2005)*12+INT((ROW()-34)/9)+1-INT((COLUMN()-5)/2+1)*12+1,1,1),IF(LEFT($C52,6)="CPI VS",1,IF(LEFT($C52,6)="CPI食品 ",2,3)),INDEX(((COLUMN()-5)/2+1)*12,1,1),1),OFFSET(Data!$B$183,INDEX((Data!$M$15-2005)*12+INT((ROW()-34)/9)+1-INT((COLUMN()-5)/2+1)*12+1,1,1),IF(RIGHT($C52,4)=" PPI",4,IF(RIGHT($C52,4)="生产资料",5,6)),INDEX(((COLUMN()-5)/2+1)*12,1,1),1)))</f>
        <v>0.73841401220923419</v>
      </c>
      <c r="J52" s="30">
        <f ca="1">IF(ISERROR(AVERAGE(I52,I60)),"-",AVERAGE(I52,I60))</f>
        <v>0.71364383945874366</v>
      </c>
      <c r="K52" s="15">
        <f ca="1">IF(AND(Data!$M$15=Data!$L$15,INDEX((INT((ROW()-34)/9)+1),1,1)&gt;Data!$L$16),"-",CORREL(OFFSET(Data!$B$183,INDEX((Data!$M$15-2005)*12+INT((ROW()-34)/9)+1-INT((COLUMN()-5)/2+1)*12+1,1,1),IF(LEFT($C52,6)="CPI VS",1,IF(LEFT($C52,6)="CPI食品 ",2,3)),INDEX(((COLUMN()-5)/2+1)*12,1,1),1),OFFSET(Data!$B$183,INDEX((Data!$M$15-2005)*12+INT((ROW()-34)/9)+1-INT((COLUMN()-5)/2+1)*12+1,1,1),IF(RIGHT($C52,4)=" PPI",4,IF(RIGHT($C52,4)="生产资料",5,6)),INDEX(((COLUMN()-5)/2+1)*12,1,1),1)))</f>
        <v>0.63596884680769639</v>
      </c>
      <c r="L52" s="30">
        <f ca="1">IF(ISERROR(AVERAGE(K52,K60)),"-",AVERAGE(K52,K60))</f>
        <v>0.57489997591809305</v>
      </c>
      <c r="M52" s="15">
        <f ca="1">IF(AND(Data!$M$15=Data!$L$15,INDEX((INT((ROW()-34)/9)+1),1,1)&gt;Data!$L$16),"-",MAX(E52,MAX(G52,MAX(I52,K52))))</f>
        <v>0.91148256571314268</v>
      </c>
      <c r="N52" s="30">
        <f ca="1">IF(AND(Data!$M$15=Data!$L$15,INDEX((INT((ROW()-34)/9)+1),1,1)&gt;Data!$L$16),"-",MAX(F52,MAX(H52,MAX(J52,L52))))</f>
        <v>0.93351681647930618</v>
      </c>
    </row>
    <row r="53" spans="2:14" x14ac:dyDescent="0.2">
      <c r="B53" s="34"/>
      <c r="C53" s="29" t="s">
        <v>38</v>
      </c>
      <c r="D53" s="29"/>
      <c r="E53" s="15">
        <f ca="1">IF(AND(Data!$M$15=Data!$L$15,INDEX((INT((ROW()-34)/9)+1),1,1)&gt;Data!$L$16),"-",CORREL(OFFSET(Data!$B$183,INDEX((Data!$M$15-2005)*12+INT((ROW()-34)/9)+1-INT((COLUMN()-5)/2+1)*12+1,1,1),IF(LEFT($C53,6)="CPI VS",1,IF(LEFT($C53,6)="CPI食品 ",2,3)),INDEX(((COLUMN()-5)/2+1)*12,1,1),1),OFFSET(Data!$B$183,INDEX((Data!$M$15-2005)*12+INT((ROW()-34)/9)+1-INT((COLUMN()-5)/2+1)*12+1,1,1),IF(RIGHT($C53,4)=" PPI",4,IF(RIGHT($C53,4)="生产资料",5,6)),INDEX(((COLUMN()-5)/2+1)*12,1,1),1)))</f>
        <v>0.90076689838834989</v>
      </c>
      <c r="F53" s="30"/>
      <c r="G53" s="15">
        <f ca="1">IF(AND(Data!$M$15=Data!$L$15,INDEX((INT((ROW()-34)/9)+1),1,1)&gt;Data!$L$16),"-",CORREL(OFFSET(Data!$B$183,INDEX((Data!$M$15-2005)*12+INT((ROW()-34)/9)+1-INT((COLUMN()-5)/2+1)*12+1,1,1),IF(LEFT($C53,6)="CPI VS",1,IF(LEFT($C53,6)="CPI食品 ",2,3)),INDEX(((COLUMN()-5)/2+1)*12,1,1),1),OFFSET(Data!$B$183,INDEX((Data!$M$15-2005)*12+INT((ROW()-34)/9)+1-INT((COLUMN()-5)/2+1)*12+1,1,1),IF(RIGHT($C53,4)=" PPI",4,IF(RIGHT($C53,4)="生产资料",5,6)),INDEX(((COLUMN()-5)/2+1)*12,1,1),1)))</f>
        <v>0.77919958275204504</v>
      </c>
      <c r="H53" s="30"/>
      <c r="I53" s="15">
        <f ca="1">IF(AND(Data!$M$15=Data!$L$15,INDEX((INT((ROW()-34)/9)+1),1,1)&gt;Data!$L$16),"-",CORREL(OFFSET(Data!$B$183,INDEX((Data!$M$15-2005)*12+INT((ROW()-34)/9)+1-INT((COLUMN()-5)/2+1)*12+1,1,1),IF(LEFT($C53,6)="CPI VS",1,IF(LEFT($C53,6)="CPI食品 ",2,3)),INDEX(((COLUMN()-5)/2+1)*12,1,1),1),OFFSET(Data!$B$183,INDEX((Data!$M$15-2005)*12+INT((ROW()-34)/9)+1-INT((COLUMN()-5)/2+1)*12+1,1,1),IF(RIGHT($C53,4)=" PPI",4,IF(RIGHT($C53,4)="生产资料",5,6)),INDEX(((COLUMN()-5)/2+1)*12,1,1),1)))</f>
        <v>0.67779990051185324</v>
      </c>
      <c r="J53" s="30"/>
      <c r="K53" s="15">
        <f ca="1">IF(AND(Data!$M$15=Data!$L$15,INDEX((INT((ROW()-34)/9)+1),1,1)&gt;Data!$L$16),"-",CORREL(OFFSET(Data!$B$183,INDEX((Data!$M$15-2005)*12+INT((ROW()-34)/9)+1-INT((COLUMN()-5)/2+1)*12+1,1,1),IF(LEFT($C53,6)="CPI VS",1,IF(LEFT($C53,6)="CPI食品 ",2,3)),INDEX(((COLUMN()-5)/2+1)*12,1,1),1),OFFSET(Data!$B$183,INDEX((Data!$M$15-2005)*12+INT((ROW()-34)/9)+1-INT((COLUMN()-5)/2+1)*12+1,1,1),IF(RIGHT($C53,4)=" PPI",4,IF(RIGHT($C53,4)="生产资料",5,6)),INDEX(((COLUMN()-5)/2+1)*12,1,1),1)))</f>
        <v>0.52150634824731124</v>
      </c>
      <c r="L53" s="30"/>
      <c r="M53" s="15">
        <f ca="1">IF(AND(Data!$M$15=Data!$L$15,INDEX((INT((ROW()-34)/9)+1),1,1)&gt;Data!$L$16),"-",MAX(E53,MAX(G53,MAX(I53,K53))))</f>
        <v>0.90076689838834989</v>
      </c>
      <c r="N53" s="30"/>
    </row>
    <row r="54" spans="2:14" x14ac:dyDescent="0.2">
      <c r="B54" s="34"/>
      <c r="C54" s="29" t="s">
        <v>39</v>
      </c>
      <c r="D54" s="29"/>
      <c r="E54" s="15">
        <f ca="1">IF(AND(Data!$M$15=Data!$L$15,INDEX((INT((ROW()-34)/9)+1),1,1)&gt;Data!$L$16),"-",CORREL(OFFSET(Data!$B$183,INDEX((Data!$M$15-2005)*12+INT((ROW()-34)/9)+1-INT((COLUMN()-5)/2+1)*12+1,1,1),IF(LEFT($C54,6)="CPI VS",1,IF(LEFT($C54,6)="CPI食品 ",2,3)),INDEX(((COLUMN()-5)/2+1)*12,1,1),1),OFFSET(Data!$B$183,INDEX((Data!$M$15-2005)*12+INT((ROW()-34)/9)+1-INT((COLUMN()-5)/2+1)*12+1,1,1),IF(RIGHT($C54,4)=" PPI",4,IF(RIGHT($C54,4)="生产资料",5,6)),INDEX(((COLUMN()-5)/2+1)*12,1,1),1)))</f>
        <v>0.98061655749125498</v>
      </c>
      <c r="F54" s="30"/>
      <c r="G54" s="15">
        <f ca="1">IF(AND(Data!$M$15=Data!$L$15,INDEX((INT((ROW()-34)/9)+1),1,1)&gt;Data!$L$16),"-",CORREL(OFFSET(Data!$B$183,INDEX((Data!$M$15-2005)*12+INT((ROW()-34)/9)+1-INT((COLUMN()-5)/2+1)*12+1,1,1),IF(LEFT($C54,6)="CPI VS",1,IF(LEFT($C54,6)="CPI食品 ",2,3)),INDEX(((COLUMN()-5)/2+1)*12,1,1),1),OFFSET(Data!$B$183,INDEX((Data!$M$15-2005)*12+INT((ROW()-34)/9)+1-INT((COLUMN()-5)/2+1)*12+1,1,1),IF(RIGHT($C54,4)=" PPI",4,IF(RIGHT($C54,4)="生产资料",5,6)),INDEX(((COLUMN()-5)/2+1)*12,1,1),1)))</f>
        <v>0.95955539646551269</v>
      </c>
      <c r="H54" s="30"/>
      <c r="I54" s="15">
        <f ca="1">IF(AND(Data!$M$15=Data!$L$15,INDEX((INT((ROW()-34)/9)+1),1,1)&gt;Data!$L$16),"-",CORREL(OFFSET(Data!$B$183,INDEX((Data!$M$15-2005)*12+INT((ROW()-34)/9)+1-INT((COLUMN()-5)/2+1)*12+1,1,1),IF(LEFT($C54,6)="CPI VS",1,IF(LEFT($C54,6)="CPI食品 ",2,3)),INDEX(((COLUMN()-5)/2+1)*12,1,1),1),OFFSET(Data!$B$183,INDEX((Data!$M$15-2005)*12+INT((ROW()-34)/9)+1-INT((COLUMN()-5)/2+1)*12+1,1,1),IF(RIGHT($C54,4)=" PPI",4,IF(RIGHT($C54,4)="生产资料",5,6)),INDEX(((COLUMN()-5)/2+1)*12,1,1),1)))</f>
        <v>0.95747144744281731</v>
      </c>
      <c r="J54" s="30"/>
      <c r="K54" s="15">
        <f ca="1">IF(AND(Data!$M$15=Data!$L$15,INDEX((INT((ROW()-34)/9)+1),1,1)&gt;Data!$L$16),"-",CORREL(OFFSET(Data!$B$183,INDEX((Data!$M$15-2005)*12+INT((ROW()-34)/9)+1-INT((COLUMN()-5)/2+1)*12+1,1,1),IF(LEFT($C54,6)="CPI VS",1,IF(LEFT($C54,6)="CPI食品 ",2,3)),INDEX(((COLUMN()-5)/2+1)*12,1,1),1),OFFSET(Data!$B$183,INDEX((Data!$M$15-2005)*12+INT((ROW()-34)/9)+1-INT((COLUMN()-5)/2+1)*12+1,1,1),IF(RIGHT($C54,4)=" PPI",4,IF(RIGHT($C54,4)="生产资料",5,6)),INDEX(((COLUMN()-5)/2+1)*12,1,1),1)))</f>
        <v>0.94874848407266177</v>
      </c>
      <c r="L54" s="30"/>
      <c r="M54" s="15">
        <f ca="1">IF(AND(Data!$M$15=Data!$L$15,INDEX((INT((ROW()-34)/9)+1),1,1)&gt;Data!$L$16),"-",MAX(E54,MAX(G54,MAX(I54,K54))))</f>
        <v>0.98061655749125498</v>
      </c>
      <c r="N54" s="30"/>
    </row>
    <row r="55" spans="2:14" x14ac:dyDescent="0.2">
      <c r="B55" s="34"/>
      <c r="C55" s="29" t="s">
        <v>40</v>
      </c>
      <c r="D55" s="29"/>
      <c r="E55" s="15">
        <f ca="1">IF(AND(Data!$M$15=Data!$L$15,INDEX((INT((ROW()-34)/9)+1),1,1)&gt;Data!$L$16),"-",CORREL(OFFSET(Data!$B$183,INDEX((Data!$M$15-2005)*12+INT((ROW()-34)/9)+1-INT((COLUMN()-5)/2+1)*12+1,1,1),IF(LEFT($C55,6)="CPI VS",1,IF(LEFT($C55,6)="CPI食品 ",2,3)),INDEX(((COLUMN()-5)/2+1)*12,1,1),1),OFFSET(Data!$B$183,INDEX((Data!$M$15-2005)*12+INT((ROW()-34)/9)+1-INT((COLUMN()-5)/2+1)*12+1,1,1),IF(RIGHT($C55,4)=" PPI",4,IF(RIGHT($C55,4)="生产资料",5,6)),INDEX(((COLUMN()-5)/2+1)*12,1,1),1)))</f>
        <v>0.83424563418697373</v>
      </c>
      <c r="F55" s="30"/>
      <c r="G55" s="15">
        <f ca="1">IF(AND(Data!$M$15=Data!$L$15,INDEX((INT((ROW()-34)/9)+1),1,1)&gt;Data!$L$16),"-",CORREL(OFFSET(Data!$B$183,INDEX((Data!$M$15-2005)*12+INT((ROW()-34)/9)+1-INT((COLUMN()-5)/2+1)*12+1,1,1),IF(LEFT($C55,6)="CPI VS",1,IF(LEFT($C55,6)="CPI食品 ",2,3)),INDEX(((COLUMN()-5)/2+1)*12,1,1),1),OFFSET(Data!$B$183,INDEX((Data!$M$15-2005)*12+INT((ROW()-34)/9)+1-INT((COLUMN()-5)/2+1)*12+1,1,1),IF(RIGHT($C55,4)=" PPI",4,IF(RIGHT($C55,4)="生产资料",5,6)),INDEX(((COLUMN()-5)/2+1)*12,1,1),1)))</f>
        <v>0.69598195410944386</v>
      </c>
      <c r="H55" s="30"/>
      <c r="I55" s="15">
        <f ca="1">IF(AND(Data!$M$15=Data!$L$15,INDEX((INT((ROW()-34)/9)+1),1,1)&gt;Data!$L$16),"-",CORREL(OFFSET(Data!$B$183,INDEX((Data!$M$15-2005)*12+INT((ROW()-34)/9)+1-INT((COLUMN()-5)/2+1)*12+1,1,1),IF(LEFT($C55,6)="CPI VS",1,IF(LEFT($C55,6)="CPI食品 ",2,3)),INDEX(((COLUMN()-5)/2+1)*12,1,1),1),OFFSET(Data!$B$183,INDEX((Data!$M$15-2005)*12+INT((ROW()-34)/9)+1-INT((COLUMN()-5)/2+1)*12+1,1,1),IF(RIGHT($C55,4)=" PPI",4,IF(RIGHT($C55,4)="生产资料",5,6)),INDEX(((COLUMN()-5)/2+1)*12,1,1),1)))</f>
        <v>0.6191180360255899</v>
      </c>
      <c r="J55" s="30"/>
      <c r="K55" s="15">
        <f ca="1">IF(AND(Data!$M$15=Data!$L$15,INDEX((INT((ROW()-34)/9)+1),1,1)&gt;Data!$L$16),"-",CORREL(OFFSET(Data!$B$183,INDEX((Data!$M$15-2005)*12+INT((ROW()-34)/9)+1-INT((COLUMN()-5)/2+1)*12+1,1,1),IF(LEFT($C55,6)="CPI VS",1,IF(LEFT($C55,6)="CPI食品 ",2,3)),INDEX(((COLUMN()-5)/2+1)*12,1,1),1),OFFSET(Data!$B$183,INDEX((Data!$M$15-2005)*12+INT((ROW()-34)/9)+1-INT((COLUMN()-5)/2+1)*12+1,1,1),IF(RIGHT($C55,4)=" PPI",4,IF(RIGHT($C55,4)="生产资料",5,6)),INDEX(((COLUMN()-5)/2+1)*12,1,1),1)))</f>
        <v>0.5041319014378447</v>
      </c>
      <c r="L55" s="30"/>
      <c r="M55" s="15">
        <f ca="1">IF(AND(Data!$M$15=Data!$L$15,INDEX((INT((ROW()-34)/9)+1),1,1)&gt;Data!$L$16),"-",MAX(E55,MAX(G55,MAX(I55,K55))))</f>
        <v>0.83424563418697373</v>
      </c>
      <c r="N55" s="30"/>
    </row>
    <row r="56" spans="2:14" x14ac:dyDescent="0.2">
      <c r="B56" s="34"/>
      <c r="C56" s="29" t="s">
        <v>41</v>
      </c>
      <c r="D56" s="29"/>
      <c r="E56" s="15">
        <f ca="1">IF(AND(Data!$M$15=Data!$L$15,INDEX((INT((ROW()-34)/9)+1),1,1)&gt;Data!$L$16),"-",CORREL(OFFSET(Data!$B$183,INDEX((Data!$M$15-2005)*12+INT((ROW()-34)/9)+1-INT((COLUMN()-5)/2+1)*12+1,1,1),IF(LEFT($C56,6)="CPI VS",1,IF(LEFT($C56,6)="CPI食品 ",2,3)),INDEX(((COLUMN()-5)/2+1)*12,1,1),1),OFFSET(Data!$B$183,INDEX((Data!$M$15-2005)*12+INT((ROW()-34)/9)+1-INT((COLUMN()-5)/2+1)*12+1,1,1),IF(RIGHT($C56,4)=" PPI",4,IF(RIGHT($C56,4)="生产资料",5,6)),INDEX(((COLUMN()-5)/2+1)*12,1,1),1)))</f>
        <v>0.81991735728289772</v>
      </c>
      <c r="F56" s="30"/>
      <c r="G56" s="15">
        <f ca="1">IF(AND(Data!$M$15=Data!$L$15,INDEX((INT((ROW()-34)/9)+1),1,1)&gt;Data!$L$16),"-",CORREL(OFFSET(Data!$B$183,INDEX((Data!$M$15-2005)*12+INT((ROW()-34)/9)+1-INT((COLUMN()-5)/2+1)*12+1,1,1),IF(LEFT($C56,6)="CPI VS",1,IF(LEFT($C56,6)="CPI食品 ",2,3)),INDEX(((COLUMN()-5)/2+1)*12,1,1),1),OFFSET(Data!$B$183,INDEX((Data!$M$15-2005)*12+INT((ROW()-34)/9)+1-INT((COLUMN()-5)/2+1)*12+1,1,1),IF(RIGHT($C56,4)=" PPI",4,IF(RIGHT($C56,4)="生产资料",5,6)),INDEX(((COLUMN()-5)/2+1)*12,1,1),1)))</f>
        <v>0.66692670407995669</v>
      </c>
      <c r="H56" s="30"/>
      <c r="I56" s="15">
        <f ca="1">IF(AND(Data!$M$15=Data!$L$15,INDEX((INT((ROW()-34)/9)+1),1,1)&gt;Data!$L$16),"-",CORREL(OFFSET(Data!$B$183,INDEX((Data!$M$15-2005)*12+INT((ROW()-34)/9)+1-INT((COLUMN()-5)/2+1)*12+1,1,1),IF(LEFT($C56,6)="CPI VS",1,IF(LEFT($C56,6)="CPI食品 ",2,3)),INDEX(((COLUMN()-5)/2+1)*12,1,1),1),OFFSET(Data!$B$183,INDEX((Data!$M$15-2005)*12+INT((ROW()-34)/9)+1-INT((COLUMN()-5)/2+1)*12+1,1,1),IF(RIGHT($C56,4)=" PPI",4,IF(RIGHT($C56,4)="生产资料",5,6)),INDEX(((COLUMN()-5)/2+1)*12,1,1),1)))</f>
        <v>0.54830890011827793</v>
      </c>
      <c r="J56" s="30"/>
      <c r="K56" s="15">
        <f ca="1">IF(AND(Data!$M$15=Data!$L$15,INDEX((INT((ROW()-34)/9)+1),1,1)&gt;Data!$L$16),"-",CORREL(OFFSET(Data!$B$183,INDEX((Data!$M$15-2005)*12+INT((ROW()-34)/9)+1-INT((COLUMN()-5)/2+1)*12+1,1,1),IF(LEFT($C56,6)="CPI VS",1,IF(LEFT($C56,6)="CPI食品 ",2,3)),INDEX(((COLUMN()-5)/2+1)*12,1,1),1),OFFSET(Data!$B$183,INDEX((Data!$M$15-2005)*12+INT((ROW()-34)/9)+1-INT((COLUMN()-5)/2+1)*12+1,1,1),IF(RIGHT($C56,4)=" PPI",4,IF(RIGHT($C56,4)="生产资料",5,6)),INDEX(((COLUMN()-5)/2+1)*12,1,1),1)))</f>
        <v>0.3776994668098505</v>
      </c>
      <c r="L56" s="30"/>
      <c r="M56" s="15">
        <f ca="1">IF(AND(Data!$M$15=Data!$L$15,INDEX((INT((ROW()-34)/9)+1),1,1)&gt;Data!$L$16),"-",MAX(E56,MAX(G56,MAX(I56,K56))))</f>
        <v>0.81991735728289772</v>
      </c>
      <c r="N56" s="30"/>
    </row>
    <row r="57" spans="2:14" x14ac:dyDescent="0.2">
      <c r="B57" s="34"/>
      <c r="C57" s="29" t="s">
        <v>42</v>
      </c>
      <c r="D57" s="29"/>
      <c r="E57" s="15">
        <f ca="1">IF(AND(Data!$M$15=Data!$L$15,INDEX((INT((ROW()-34)/9)+1),1,1)&gt;Data!$L$16),"-",CORREL(OFFSET(Data!$B$183,INDEX((Data!$M$15-2005)*12+INT((ROW()-34)/9)+1-INT((COLUMN()-5)/2+1)*12+1,1,1),IF(LEFT($C57,6)="CPI VS",1,IF(LEFT($C57,6)="CPI食品 ",2,3)),INDEX(((COLUMN()-5)/2+1)*12,1,1),1),OFFSET(Data!$B$183,INDEX((Data!$M$15-2005)*12+INT((ROW()-34)/9)+1-INT((COLUMN()-5)/2+1)*12+1,1,1),IF(RIGHT($C57,4)=" PPI",4,IF(RIGHT($C57,4)="生产资料",5,6)),INDEX(((COLUMN()-5)/2+1)*12,1,1),1)))</f>
        <v>0.94385471244761199</v>
      </c>
      <c r="F57" s="30"/>
      <c r="G57" s="15">
        <f ca="1">IF(AND(Data!$M$15=Data!$L$15,INDEX((INT((ROW()-34)/9)+1),1,1)&gt;Data!$L$16),"-",CORREL(OFFSET(Data!$B$183,INDEX((Data!$M$15-2005)*12+INT((ROW()-34)/9)+1-INT((COLUMN()-5)/2+1)*12+1,1,1),IF(LEFT($C57,6)="CPI VS",1,IF(LEFT($C57,6)="CPI食品 ",2,3)),INDEX(((COLUMN()-5)/2+1)*12,1,1),1),OFFSET(Data!$B$183,INDEX((Data!$M$15-2005)*12+INT((ROW()-34)/9)+1-INT((COLUMN()-5)/2+1)*12+1,1,1),IF(RIGHT($C57,4)=" PPI",4,IF(RIGHT($C57,4)="生产资料",5,6)),INDEX(((COLUMN()-5)/2+1)*12,1,1),1)))</f>
        <v>0.9076697476975768</v>
      </c>
      <c r="H57" s="30"/>
      <c r="I57" s="15">
        <f ca="1">IF(AND(Data!$M$15=Data!$L$15,INDEX((INT((ROW()-34)/9)+1),1,1)&gt;Data!$L$16),"-",CORREL(OFFSET(Data!$B$183,INDEX((Data!$M$15-2005)*12+INT((ROW()-34)/9)+1-INT((COLUMN()-5)/2+1)*12+1,1,1),IF(LEFT($C57,6)="CPI VS",1,IF(LEFT($C57,6)="CPI食品 ",2,3)),INDEX(((COLUMN()-5)/2+1)*12,1,1),1),OFFSET(Data!$B$183,INDEX((Data!$M$15-2005)*12+INT((ROW()-34)/9)+1-INT((COLUMN()-5)/2+1)*12+1,1,1),IF(RIGHT($C57,4)=" PPI",4,IF(RIGHT($C57,4)="生产资料",5,6)),INDEX(((COLUMN()-5)/2+1)*12,1,1),1)))</f>
        <v>0.93664440185408926</v>
      </c>
      <c r="J57" s="30"/>
      <c r="K57" s="15">
        <f ca="1">IF(AND(Data!$M$15=Data!$L$15,INDEX((INT((ROW()-34)/9)+1),1,1)&gt;Data!$L$16),"-",CORREL(OFFSET(Data!$B$183,INDEX((Data!$M$15-2005)*12+INT((ROW()-34)/9)+1-INT((COLUMN()-5)/2+1)*12+1,1,1),IF(LEFT($C57,6)="CPI VS",1,IF(LEFT($C57,6)="CPI食品 ",2,3)),INDEX(((COLUMN()-5)/2+1)*12,1,1),1),OFFSET(Data!$B$183,INDEX((Data!$M$15-2005)*12+INT((ROW()-34)/9)+1-INT((COLUMN()-5)/2+1)*12+1,1,1),IF(RIGHT($C57,4)=" PPI",4,IF(RIGHT($C57,4)="生产资料",5,6)),INDEX(((COLUMN()-5)/2+1)*12,1,1),1)))</f>
        <v>0.94525868966823079</v>
      </c>
      <c r="L57" s="30"/>
      <c r="M57" s="15">
        <f ca="1">IF(AND(Data!$M$15=Data!$L$15,INDEX((INT((ROW()-34)/9)+1),1,1)&gt;Data!$L$16),"-",MAX(E57,MAX(G57,MAX(I57,K57))))</f>
        <v>0.94525868966823079</v>
      </c>
      <c r="N57" s="30"/>
    </row>
    <row r="58" spans="2:14" x14ac:dyDescent="0.2">
      <c r="B58" s="34"/>
      <c r="C58" s="29" t="s">
        <v>43</v>
      </c>
      <c r="D58" s="29"/>
      <c r="E58" s="15">
        <f ca="1">IF(AND(Data!$M$15=Data!$L$15,INDEX((INT((ROW()-34)/9)+1),1,1)&gt;Data!$L$16),"-",CORREL(OFFSET(Data!$B$183,INDEX((Data!$M$15-2005)*12+INT((ROW()-34)/9)+1-INT((COLUMN()-5)/2+1)*12+1,1,1),IF(LEFT($C58,6)="CPI VS",1,IF(LEFT($C58,6)="CPI食品 ",2,3)),INDEX(((COLUMN()-5)/2+1)*12,1,1),1),OFFSET(Data!$B$183,INDEX((Data!$M$15-2005)*12+INT((ROW()-34)/9)+1-INT((COLUMN()-5)/2+1)*12+1,1,1),IF(RIGHT($C58,4)=" PPI",4,IF(RIGHT($C58,4)="生产资料",5,6)),INDEX(((COLUMN()-5)/2+1)*12,1,1),1)))</f>
        <v>0.99623398606686875</v>
      </c>
      <c r="F58" s="30"/>
      <c r="G58" s="15">
        <f ca="1">IF(AND(Data!$M$15=Data!$L$15,INDEX((INT((ROW()-34)/9)+1),1,1)&gt;Data!$L$16),"-",CORREL(OFFSET(Data!$B$183,INDEX((Data!$M$15-2005)*12+INT((ROW()-34)/9)+1-INT((COLUMN()-5)/2+1)*12+1,1,1),IF(LEFT($C58,6)="CPI VS",1,IF(LEFT($C58,6)="CPI食品 ",2,3)),INDEX(((COLUMN()-5)/2+1)*12,1,1),1),OFFSET(Data!$B$183,INDEX((Data!$M$15-2005)*12+INT((ROW()-34)/9)+1-INT((COLUMN()-5)/2+1)*12+1,1,1),IF(RIGHT($C58,4)=" PPI",4,IF(RIGHT($C58,4)="生产资料",5,6)),INDEX(((COLUMN()-5)/2+1)*12,1,1),1)))</f>
        <v>0.97721072456820834</v>
      </c>
      <c r="H58" s="30"/>
      <c r="I58" s="15">
        <f ca="1">IF(AND(Data!$M$15=Data!$L$15,INDEX((INT((ROW()-34)/9)+1),1,1)&gt;Data!$L$16),"-",CORREL(OFFSET(Data!$B$183,INDEX((Data!$M$15-2005)*12+INT((ROW()-34)/9)+1-INT((COLUMN()-5)/2+1)*12+1,1,1),IF(LEFT($C58,6)="CPI VS",1,IF(LEFT($C58,6)="CPI食品 ",2,3)),INDEX(((COLUMN()-5)/2+1)*12,1,1),1),OFFSET(Data!$B$183,INDEX((Data!$M$15-2005)*12+INT((ROW()-34)/9)+1-INT((COLUMN()-5)/2+1)*12+1,1,1),IF(RIGHT($C58,4)=" PPI",4,IF(RIGHT($C58,4)="生产资料",5,6)),INDEX(((COLUMN()-5)/2+1)*12,1,1),1)))</f>
        <v>0.96050725438917695</v>
      </c>
      <c r="J58" s="30"/>
      <c r="K58" s="15">
        <f ca="1">IF(AND(Data!$M$15=Data!$L$15,INDEX((INT((ROW()-34)/9)+1),1,1)&gt;Data!$L$16),"-",CORREL(OFFSET(Data!$B$183,INDEX((Data!$M$15-2005)*12+INT((ROW()-34)/9)+1-INT((COLUMN()-5)/2+1)*12+1,1,1),IF(LEFT($C58,6)="CPI VS",1,IF(LEFT($C58,6)="CPI食品 ",2,3)),INDEX(((COLUMN()-5)/2+1)*12,1,1),1),OFFSET(Data!$B$183,INDEX((Data!$M$15-2005)*12+INT((ROW()-34)/9)+1-INT((COLUMN()-5)/2+1)*12+1,1,1),IF(RIGHT($C58,4)=" PPI",4,IF(RIGHT($C58,4)="生产资料",5,6)),INDEX(((COLUMN()-5)/2+1)*12,1,1),1)))</f>
        <v>0.95281668692832222</v>
      </c>
      <c r="L58" s="30"/>
      <c r="M58" s="15">
        <f ca="1">IF(AND(Data!$M$15=Data!$L$15,INDEX((INT((ROW()-34)/9)+1),1,1)&gt;Data!$L$16),"-",MAX(E58,MAX(G58,MAX(I58,K58))))</f>
        <v>0.99623398606686875</v>
      </c>
      <c r="N58" s="30"/>
    </row>
    <row r="59" spans="2:14" x14ac:dyDescent="0.2">
      <c r="B59" s="34"/>
      <c r="C59" s="29" t="s">
        <v>44</v>
      </c>
      <c r="D59" s="29"/>
      <c r="E59" s="15">
        <f ca="1">IF(AND(Data!$M$15=Data!$L$15,INDEX((INT((ROW()-34)/9)+1),1,1)&gt;Data!$L$16),"-",CORREL(OFFSET(Data!$B$183,INDEX((Data!$M$15-2005)*12+INT((ROW()-34)/9)+1-INT((COLUMN()-5)/2+1)*12+1,1,1),IF(LEFT($C59,6)="CPI VS",1,IF(LEFT($C59,6)="CPI食品 ",2,3)),INDEX(((COLUMN()-5)/2+1)*12,1,1),1),OFFSET(Data!$B$183,INDEX((Data!$M$15-2005)*12+INT((ROW()-34)/9)+1-INT((COLUMN()-5)/2+1)*12+1,1,1),IF(RIGHT($C59,4)=" PPI",4,IF(RIGHT($C59,4)="生产资料",5,6)),INDEX(((COLUMN()-5)/2+1)*12,1,1),1)))</f>
        <v>0.99587427811620866</v>
      </c>
      <c r="F59" s="30"/>
      <c r="G59" s="15">
        <f ca="1">IF(AND(Data!$M$15=Data!$L$15,INDEX((INT((ROW()-34)/9)+1),1,1)&gt;Data!$L$16),"-",CORREL(OFFSET(Data!$B$183,INDEX((Data!$M$15-2005)*12+INT((ROW()-34)/9)+1-INT((COLUMN()-5)/2+1)*12+1,1,1),IF(LEFT($C59,6)="CPI VS",1,IF(LEFT($C59,6)="CPI食品 ",2,3)),INDEX(((COLUMN()-5)/2+1)*12,1,1),1),OFFSET(Data!$B$183,INDEX((Data!$M$15-2005)*12+INT((ROW()-34)/9)+1-INT((COLUMN()-5)/2+1)*12+1,1,1),IF(RIGHT($C59,4)=" PPI",4,IF(RIGHT($C59,4)="生产资料",5,6)),INDEX(((COLUMN()-5)/2+1)*12,1,1),1)))</f>
        <v>0.97257916451317317</v>
      </c>
      <c r="H59" s="30"/>
      <c r="I59" s="15">
        <f ca="1">IF(AND(Data!$M$15=Data!$L$15,INDEX((INT((ROW()-34)/9)+1),1,1)&gt;Data!$L$16),"-",CORREL(OFFSET(Data!$B$183,INDEX((Data!$M$15-2005)*12+INT((ROW()-34)/9)+1-INT((COLUMN()-5)/2+1)*12+1,1,1),IF(LEFT($C59,6)="CPI VS",1,IF(LEFT($C59,6)="CPI食品 ",2,3)),INDEX(((COLUMN()-5)/2+1)*12,1,1),1),OFFSET(Data!$B$183,INDEX((Data!$M$15-2005)*12+INT((ROW()-34)/9)+1-INT((COLUMN()-5)/2+1)*12+1,1,1),IF(RIGHT($C59,4)=" PPI",4,IF(RIGHT($C59,4)="生产资料",5,6)),INDEX(((COLUMN()-5)/2+1)*12,1,1),1)))</f>
        <v>0.96487068422318145</v>
      </c>
      <c r="J59" s="30"/>
      <c r="K59" s="15">
        <f ca="1">IF(AND(Data!$M$15=Data!$L$15,INDEX((INT((ROW()-34)/9)+1),1,1)&gt;Data!$L$16),"-",CORREL(OFFSET(Data!$B$183,INDEX((Data!$M$15-2005)*12+INT((ROW()-34)/9)+1-INT((COLUMN()-5)/2+1)*12+1,1,1),IF(LEFT($C59,6)="CPI VS",1,IF(LEFT($C59,6)="CPI食品 ",2,3)),INDEX(((COLUMN()-5)/2+1)*12,1,1),1),OFFSET(Data!$B$183,INDEX((Data!$M$15-2005)*12+INT((ROW()-34)/9)+1-INT((COLUMN()-5)/2+1)*12+1,1,1),IF(RIGHT($C59,4)=" PPI",4,IF(RIGHT($C59,4)="生产资料",5,6)),INDEX(((COLUMN()-5)/2+1)*12,1,1),1)))</f>
        <v>0.94917165179976526</v>
      </c>
      <c r="L59" s="30"/>
      <c r="M59" s="15">
        <f ca="1">IF(AND(Data!$M$15=Data!$L$15,INDEX((INT((ROW()-34)/9)+1),1,1)&gt;Data!$L$16),"-",MAX(E59,MAX(G59,MAX(I59,K59))))</f>
        <v>0.99587427811620866</v>
      </c>
      <c r="N59" s="30"/>
    </row>
    <row r="60" spans="2:14" x14ac:dyDescent="0.2">
      <c r="B60" s="34"/>
      <c r="C60" s="29" t="s">
        <v>45</v>
      </c>
      <c r="D60" s="29"/>
      <c r="E60" s="15">
        <f ca="1">IF(AND(Data!$M$15=Data!$L$15,INDEX((INT((ROW()-34)/9)+1),1,1)&gt;Data!$L$16),"-",CORREL(OFFSET(Data!$B$183,INDEX((Data!$M$15-2005)*12+INT((ROW()-34)/9)+1-INT((COLUMN()-5)/2+1)*12+1,1,1),IF(LEFT($C60,6)="CPI VS",1,IF(LEFT($C60,6)="CPI食品 ",2,3)),INDEX(((COLUMN()-5)/2+1)*12,1,1),1),OFFSET(Data!$B$183,INDEX((Data!$M$15-2005)*12+INT((ROW()-34)/9)+1-INT((COLUMN()-5)/2+1)*12+1,1,1),IF(RIGHT($C60,4)=" PPI",4,IF(RIGHT($C60,4)="生产资料",5,6)),INDEX(((COLUMN()-5)/2+1)*12,1,1),1)))</f>
        <v>0.95555106724546957</v>
      </c>
      <c r="F60" s="30"/>
      <c r="G60" s="15">
        <f ca="1">IF(AND(Data!$M$15=Data!$L$15,INDEX((INT((ROW()-34)/9)+1),1,1)&gt;Data!$L$16),"-",CORREL(OFFSET(Data!$B$183,INDEX((Data!$M$15-2005)*12+INT((ROW()-34)/9)+1-INT((COLUMN()-5)/2+1)*12+1,1,1),IF(LEFT($C60,6)="CPI VS",1,IF(LEFT($C60,6)="CPI食品 ",2,3)),INDEX(((COLUMN()-5)/2+1)*12,1,1),1),OFFSET(Data!$B$183,INDEX((Data!$M$15-2005)*12+INT((ROW()-34)/9)+1-INT((COLUMN()-5)/2+1)*12+1,1,1),IF(RIGHT($C60,4)=" PPI",4,IF(RIGHT($C60,4)="生产资料",5,6)),INDEX(((COLUMN()-5)/2+1)*12,1,1),1)))</f>
        <v>0.93300482116202677</v>
      </c>
      <c r="H60" s="30"/>
      <c r="I60" s="15">
        <f ca="1">IF(AND(Data!$M$15=Data!$L$15,INDEX((INT((ROW()-34)/9)+1),1,1)&gt;Data!$L$16),"-",CORREL(OFFSET(Data!$B$183,INDEX((Data!$M$15-2005)*12+INT((ROW()-34)/9)+1-INT((COLUMN()-5)/2+1)*12+1,1,1),IF(LEFT($C60,6)="CPI VS",1,IF(LEFT($C60,6)="CPI食品 ",2,3)),INDEX(((COLUMN()-5)/2+1)*12,1,1),1),OFFSET(Data!$B$183,INDEX((Data!$M$15-2005)*12+INT((ROW()-34)/9)+1-INT((COLUMN()-5)/2+1)*12+1,1,1),IF(RIGHT($C60,4)=" PPI",4,IF(RIGHT($C60,4)="生产资料",5,6)),INDEX(((COLUMN()-5)/2+1)*12,1,1),1)))</f>
        <v>0.68887366670825312</v>
      </c>
      <c r="J60" s="30"/>
      <c r="K60" s="15">
        <f ca="1">IF(AND(Data!$M$15=Data!$L$15,INDEX((INT((ROW()-34)/9)+1),1,1)&gt;Data!$L$16),"-",CORREL(OFFSET(Data!$B$183,INDEX((Data!$M$15-2005)*12+INT((ROW()-34)/9)+1-INT((COLUMN()-5)/2+1)*12+1,1,1),IF(LEFT($C60,6)="CPI VS",1,IF(LEFT($C60,6)="CPI食品 ",2,3)),INDEX(((COLUMN()-5)/2+1)*12,1,1),1),OFFSET(Data!$B$183,INDEX((Data!$M$15-2005)*12+INT((ROW()-34)/9)+1-INT((COLUMN()-5)/2+1)*12+1,1,1),IF(RIGHT($C60,4)=" PPI",4,IF(RIGHT($C60,4)="生产资料",5,6)),INDEX(((COLUMN()-5)/2+1)*12,1,1),1)))</f>
        <v>0.51383110502848961</v>
      </c>
      <c r="L60" s="30"/>
      <c r="M60" s="15">
        <f ca="1">IF(AND(Data!$M$15=Data!$L$15,INDEX((INT((ROW()-34)/9)+1),1,1)&gt;Data!$L$16),"-",MAX(E60,MAX(G60,MAX(I60,K60))))</f>
        <v>0.95555106724546957</v>
      </c>
      <c r="N60" s="30"/>
    </row>
    <row r="61" spans="2:14" x14ac:dyDescent="0.2">
      <c r="B61" s="34" t="s">
        <v>24</v>
      </c>
      <c r="C61" s="29" t="s">
        <v>0</v>
      </c>
      <c r="D61" s="29"/>
      <c r="E61" s="15">
        <f ca="1">IF(AND(Data!$M$15=Data!$L$15,INDEX((INT((ROW()-34)/9)+1),1,1)&gt;Data!$L$16),"-",CORREL(OFFSET(Data!$B$183,INDEX((Data!$M$15-2005)*12+INT((ROW()-34)/9)+1-INT((COLUMN()-5)/2+1)*12+1,1,1),IF(LEFT($C61,6)="CPI VS",1,IF(LEFT($C61,6)="CPI食品 ",2,3)),INDEX(((COLUMN()-5)/2+1)*12,1,1),1),OFFSET(Data!$B$183,INDEX((Data!$M$15-2005)*12+INT((ROW()-34)/9)+1-INT((COLUMN()-5)/2+1)*12+1,1,1),IF(RIGHT($C61,4)=" PPI",4,IF(RIGHT($C61,4)="生产资料",5,6)),INDEX(((COLUMN()-5)/2+1)*12,1,1),1)))</f>
        <v>0.94505542669945308</v>
      </c>
      <c r="F61" s="30">
        <f ca="1">IF(ISERROR(AVERAGE(E61,E69)),"-",AVERAGE(E61,E69))</f>
        <v>0.95824725915764764</v>
      </c>
      <c r="G61" s="15">
        <f ca="1">IF(AND(Data!$M$15=Data!$L$15,INDEX((INT((ROW()-34)/9)+1),1,1)&gt;Data!$L$16),"-",CORREL(OFFSET(Data!$B$183,INDEX((Data!$M$15-2005)*12+INT((ROW()-34)/9)+1-INT((COLUMN()-5)/2+1)*12+1,1,1),IF(LEFT($C61,6)="CPI VS",1,IF(LEFT($C61,6)="CPI食品 ",2,3)),INDEX(((COLUMN()-5)/2+1)*12,1,1),1),OFFSET(Data!$B$183,INDEX((Data!$M$15-2005)*12+INT((ROW()-34)/9)+1-INT((COLUMN()-5)/2+1)*12+1,1,1),IF(RIGHT($C61,4)=" PPI",4,IF(RIGHT($C61,4)="生产资料",5,6)),INDEX(((COLUMN()-5)/2+1)*12,1,1),1)))</f>
        <v>0.84053282910941329</v>
      </c>
      <c r="H61" s="30">
        <f ca="1">IF(ISERROR(AVERAGE(G61,G69)),"-",AVERAGE(G61,G69))</f>
        <v>0.89643659946107035</v>
      </c>
      <c r="I61" s="15">
        <f ca="1">IF(AND(Data!$M$15=Data!$L$15,INDEX((INT((ROW()-34)/9)+1),1,1)&gt;Data!$L$16),"-",CORREL(OFFSET(Data!$B$183,INDEX((Data!$M$15-2005)*12+INT((ROW()-34)/9)+1-INT((COLUMN()-5)/2+1)*12+1,1,1),IF(LEFT($C61,6)="CPI VS",1,IF(LEFT($C61,6)="CPI食品 ",2,3)),INDEX(((COLUMN()-5)/2+1)*12,1,1),1),OFFSET(Data!$B$183,INDEX((Data!$M$15-2005)*12+INT((ROW()-34)/9)+1-INT((COLUMN()-5)/2+1)*12+1,1,1),IF(RIGHT($C61,4)=" PPI",4,IF(RIGHT($C61,4)="生产资料",5,6)),INDEX(((COLUMN()-5)/2+1)*12,1,1),1)))</f>
        <v>0.76670246057510394</v>
      </c>
      <c r="J61" s="30">
        <f ca="1">IF(ISERROR(AVERAGE(I61,I69)),"-",AVERAGE(I61,I69))</f>
        <v>0.75498423973436402</v>
      </c>
      <c r="K61" s="15">
        <f ca="1">IF(AND(Data!$M$15=Data!$L$15,INDEX((INT((ROW()-34)/9)+1),1,1)&gt;Data!$L$16),"-",CORREL(OFFSET(Data!$B$183,INDEX((Data!$M$15-2005)*12+INT((ROW()-34)/9)+1-INT((COLUMN()-5)/2+1)*12+1,1,1),IF(LEFT($C61,6)="CPI VS",1,IF(LEFT($C61,6)="CPI食品 ",2,3)),INDEX(((COLUMN()-5)/2+1)*12,1,1),1),OFFSET(Data!$B$183,INDEX((Data!$M$15-2005)*12+INT((ROW()-34)/9)+1-INT((COLUMN()-5)/2+1)*12+1,1,1),IF(RIGHT($C61,4)=" PPI",4,IF(RIGHT($C61,4)="生产资料",5,6)),INDEX(((COLUMN()-5)/2+1)*12,1,1),1)))</f>
        <v>0.67504251140329152</v>
      </c>
      <c r="L61" s="30">
        <f ca="1">IF(ISERROR(AVERAGE(K61,K69)),"-",AVERAGE(K61,K69))</f>
        <v>0.61703848784722415</v>
      </c>
      <c r="M61" s="15">
        <f ca="1">IF(AND(Data!$M$15=Data!$L$15,INDEX((INT((ROW()-34)/9)+1),1,1)&gt;Data!$L$16),"-",MAX(E61,MAX(G61,MAX(I61,K61))))</f>
        <v>0.94505542669945308</v>
      </c>
      <c r="N61" s="30">
        <f ca="1">IF(AND(Data!$M$15=Data!$L$15,INDEX((INT((ROW()-34)/9)+1),1,1)&gt;Data!$L$16),"-",MAX(F61,MAX(H61,MAX(J61,L61))))</f>
        <v>0.95824725915764764</v>
      </c>
    </row>
    <row r="62" spans="2:14" x14ac:dyDescent="0.2">
      <c r="B62" s="34"/>
      <c r="C62" s="29" t="s">
        <v>38</v>
      </c>
      <c r="D62" s="29"/>
      <c r="E62" s="15">
        <f ca="1">IF(AND(Data!$M$15=Data!$L$15,INDEX((INT((ROW()-34)/9)+1),1,1)&gt;Data!$L$16),"-",CORREL(OFFSET(Data!$B$183,INDEX((Data!$M$15-2005)*12+INT((ROW()-34)/9)+1-INT((COLUMN()-5)/2+1)*12+1,1,1),IF(LEFT($C62,6)="CPI VS",1,IF(LEFT($C62,6)="CPI食品 ",2,3)),INDEX(((COLUMN()-5)/2+1)*12,1,1),1),OFFSET(Data!$B$183,INDEX((Data!$M$15-2005)*12+INT((ROW()-34)/9)+1-INT((COLUMN()-5)/2+1)*12+1,1,1),IF(RIGHT($C62,4)=" PPI",4,IF(RIGHT($C62,4)="生产资料",5,6)),INDEX(((COLUMN()-5)/2+1)*12,1,1),1)))</f>
        <v>0.93916300460218505</v>
      </c>
      <c r="F62" s="30"/>
      <c r="G62" s="15">
        <f ca="1">IF(AND(Data!$M$15=Data!$L$15,INDEX((INT((ROW()-34)/9)+1),1,1)&gt;Data!$L$16),"-",CORREL(OFFSET(Data!$B$183,INDEX((Data!$M$15-2005)*12+INT((ROW()-34)/9)+1-INT((COLUMN()-5)/2+1)*12+1,1,1),IF(LEFT($C62,6)="CPI VS",1,IF(LEFT($C62,6)="CPI食品 ",2,3)),INDEX(((COLUMN()-5)/2+1)*12,1,1),1),OFFSET(Data!$B$183,INDEX((Data!$M$15-2005)*12+INT((ROW()-34)/9)+1-INT((COLUMN()-5)/2+1)*12+1,1,1),IF(RIGHT($C62,4)=" PPI",4,IF(RIGHT($C62,4)="生产资料",5,6)),INDEX(((COLUMN()-5)/2+1)*12,1,1),1)))</f>
        <v>0.82050323097797007</v>
      </c>
      <c r="H62" s="30"/>
      <c r="I62" s="15">
        <f ca="1">IF(AND(Data!$M$15=Data!$L$15,INDEX((INT((ROW()-34)/9)+1),1,1)&gt;Data!$L$16),"-",CORREL(OFFSET(Data!$B$183,INDEX((Data!$M$15-2005)*12+INT((ROW()-34)/9)+1-INT((COLUMN()-5)/2+1)*12+1,1,1),IF(LEFT($C62,6)="CPI VS",1,IF(LEFT($C62,6)="CPI食品 ",2,3)),INDEX(((COLUMN()-5)/2+1)*12,1,1),1),OFFSET(Data!$B$183,INDEX((Data!$M$15-2005)*12+INT((ROW()-34)/9)+1-INT((COLUMN()-5)/2+1)*12+1,1,1),IF(RIGHT($C62,4)=" PPI",4,IF(RIGHT($C62,4)="生产资料",5,6)),INDEX(((COLUMN()-5)/2+1)*12,1,1),1)))</f>
        <v>0.71635082974510111</v>
      </c>
      <c r="J62" s="30"/>
      <c r="K62" s="15">
        <f ca="1">IF(AND(Data!$M$15=Data!$L$15,INDEX((INT((ROW()-34)/9)+1),1,1)&gt;Data!$L$16),"-",CORREL(OFFSET(Data!$B$183,INDEX((Data!$M$15-2005)*12+INT((ROW()-34)/9)+1-INT((COLUMN()-5)/2+1)*12+1,1,1),IF(LEFT($C62,6)="CPI VS",1,IF(LEFT($C62,6)="CPI食品 ",2,3)),INDEX(((COLUMN()-5)/2+1)*12,1,1),1),OFFSET(Data!$B$183,INDEX((Data!$M$15-2005)*12+INT((ROW()-34)/9)+1-INT((COLUMN()-5)/2+1)*12+1,1,1),IF(RIGHT($C62,4)=" PPI",4,IF(RIGHT($C62,4)="生产资料",5,6)),INDEX(((COLUMN()-5)/2+1)*12,1,1),1)))</f>
        <v>0.57835728646198958</v>
      </c>
      <c r="L62" s="30"/>
      <c r="M62" s="15">
        <f ca="1">IF(AND(Data!$M$15=Data!$L$15,INDEX((INT((ROW()-34)/9)+1),1,1)&gt;Data!$L$16),"-",MAX(E62,MAX(G62,MAX(I62,K62))))</f>
        <v>0.93916300460218505</v>
      </c>
      <c r="N62" s="30"/>
    </row>
    <row r="63" spans="2:14" x14ac:dyDescent="0.2">
      <c r="B63" s="34"/>
      <c r="C63" s="29" t="s">
        <v>39</v>
      </c>
      <c r="D63" s="29"/>
      <c r="E63" s="15">
        <f ca="1">IF(AND(Data!$M$15=Data!$L$15,INDEX((INT((ROW()-34)/9)+1),1,1)&gt;Data!$L$16),"-",CORREL(OFFSET(Data!$B$183,INDEX((Data!$M$15-2005)*12+INT((ROW()-34)/9)+1-INT((COLUMN()-5)/2+1)*12+1,1,1),IF(LEFT($C63,6)="CPI VS",1,IF(LEFT($C63,6)="CPI食品 ",2,3)),INDEX(((COLUMN()-5)/2+1)*12,1,1),1),OFFSET(Data!$B$183,INDEX((Data!$M$15-2005)*12+INT((ROW()-34)/9)+1-INT((COLUMN()-5)/2+1)*12+1,1,1),IF(RIGHT($C63,4)=" PPI",4,IF(RIGHT($C63,4)="生产资料",5,6)),INDEX(((COLUMN()-5)/2+1)*12,1,1),1)))</f>
        <v>0.98146903126906349</v>
      </c>
      <c r="F63" s="30"/>
      <c r="G63" s="15">
        <f ca="1">IF(AND(Data!$M$15=Data!$L$15,INDEX((INT((ROW()-34)/9)+1),1,1)&gt;Data!$L$16),"-",CORREL(OFFSET(Data!$B$183,INDEX((Data!$M$15-2005)*12+INT((ROW()-34)/9)+1-INT((COLUMN()-5)/2+1)*12+1,1,1),IF(LEFT($C63,6)="CPI VS",1,IF(LEFT($C63,6)="CPI食品 ",2,3)),INDEX(((COLUMN()-5)/2+1)*12,1,1),1),OFFSET(Data!$B$183,INDEX((Data!$M$15-2005)*12+INT((ROW()-34)/9)+1-INT((COLUMN()-5)/2+1)*12+1,1,1),IF(RIGHT($C63,4)=" PPI",4,IF(RIGHT($C63,4)="生产资料",5,6)),INDEX(((COLUMN()-5)/2+1)*12,1,1),1)))</f>
        <v>0.96484228209221778</v>
      </c>
      <c r="H63" s="30"/>
      <c r="I63" s="15">
        <f ca="1">IF(AND(Data!$M$15=Data!$L$15,INDEX((INT((ROW()-34)/9)+1),1,1)&gt;Data!$L$16),"-",CORREL(OFFSET(Data!$B$183,INDEX((Data!$M$15-2005)*12+INT((ROW()-34)/9)+1-INT((COLUMN()-5)/2+1)*12+1,1,1),IF(LEFT($C63,6)="CPI VS",1,IF(LEFT($C63,6)="CPI食品 ",2,3)),INDEX(((COLUMN()-5)/2+1)*12,1,1),1),OFFSET(Data!$B$183,INDEX((Data!$M$15-2005)*12+INT((ROW()-34)/9)+1-INT((COLUMN()-5)/2+1)*12+1,1,1),IF(RIGHT($C63,4)=" PPI",4,IF(RIGHT($C63,4)="生产资料",5,6)),INDEX(((COLUMN()-5)/2+1)*12,1,1),1)))</f>
        <v>0.96264140613748528</v>
      </c>
      <c r="J63" s="30"/>
      <c r="K63" s="15">
        <f ca="1">IF(AND(Data!$M$15=Data!$L$15,INDEX((INT((ROW()-34)/9)+1),1,1)&gt;Data!$L$16),"-",CORREL(OFFSET(Data!$B$183,INDEX((Data!$M$15-2005)*12+INT((ROW()-34)/9)+1-INT((COLUMN()-5)/2+1)*12+1,1,1),IF(LEFT($C63,6)="CPI VS",1,IF(LEFT($C63,6)="CPI食品 ",2,3)),INDEX(((COLUMN()-5)/2+1)*12,1,1),1),OFFSET(Data!$B$183,INDEX((Data!$M$15-2005)*12+INT((ROW()-34)/9)+1-INT((COLUMN()-5)/2+1)*12+1,1,1),IF(RIGHT($C63,4)=" PPI",4,IF(RIGHT($C63,4)="生产资料",5,6)),INDEX(((COLUMN()-5)/2+1)*12,1,1),1)))</f>
        <v>0.95240843181409107</v>
      </c>
      <c r="L63" s="30"/>
      <c r="M63" s="15">
        <f ca="1">IF(AND(Data!$M$15=Data!$L$15,INDEX((INT((ROW()-34)/9)+1),1,1)&gt;Data!$L$16),"-",MAX(E63,MAX(G63,MAX(I63,K63))))</f>
        <v>0.98146903126906349</v>
      </c>
      <c r="N63" s="30"/>
    </row>
    <row r="64" spans="2:14" x14ac:dyDescent="0.2">
      <c r="B64" s="34"/>
      <c r="C64" s="29" t="s">
        <v>40</v>
      </c>
      <c r="D64" s="29"/>
      <c r="E64" s="15">
        <f ca="1">IF(AND(Data!$M$15=Data!$L$15,INDEX((INT((ROW()-34)/9)+1),1,1)&gt;Data!$L$16),"-",CORREL(OFFSET(Data!$B$183,INDEX((Data!$M$15-2005)*12+INT((ROW()-34)/9)+1-INT((COLUMN()-5)/2+1)*12+1,1,1),IF(LEFT($C64,6)="CPI VS",1,IF(LEFT($C64,6)="CPI食品 ",2,3)),INDEX(((COLUMN()-5)/2+1)*12,1,1),1),OFFSET(Data!$B$183,INDEX((Data!$M$15-2005)*12+INT((ROW()-34)/9)+1-INT((COLUMN()-5)/2+1)*12+1,1,1),IF(RIGHT($C64,4)=" PPI",4,IF(RIGHT($C64,4)="生产资料",5,6)),INDEX(((COLUMN()-5)/2+1)*12,1,1),1)))</f>
        <v>0.88748071204027146</v>
      </c>
      <c r="F64" s="30"/>
      <c r="G64" s="15">
        <f ca="1">IF(AND(Data!$M$15=Data!$L$15,INDEX((INT((ROW()-34)/9)+1),1,1)&gt;Data!$L$16),"-",CORREL(OFFSET(Data!$B$183,INDEX((Data!$M$15-2005)*12+INT((ROW()-34)/9)+1-INT((COLUMN()-5)/2+1)*12+1,1,1),IF(LEFT($C64,6)="CPI VS",1,IF(LEFT($C64,6)="CPI食品 ",2,3)),INDEX(((COLUMN()-5)/2+1)*12,1,1),1),OFFSET(Data!$B$183,INDEX((Data!$M$15-2005)*12+INT((ROW()-34)/9)+1-INT((COLUMN()-5)/2+1)*12+1,1,1),IF(RIGHT($C64,4)=" PPI",4,IF(RIGHT($C64,4)="生产资料",5,6)),INDEX(((COLUMN()-5)/2+1)*12,1,1),1)))</f>
        <v>0.74721319523314012</v>
      </c>
      <c r="H64" s="30"/>
      <c r="I64" s="15">
        <f ca="1">IF(AND(Data!$M$15=Data!$L$15,INDEX((INT((ROW()-34)/9)+1),1,1)&gt;Data!$L$16),"-",CORREL(OFFSET(Data!$B$183,INDEX((Data!$M$15-2005)*12+INT((ROW()-34)/9)+1-INT((COLUMN()-5)/2+1)*12+1,1,1),IF(LEFT($C64,6)="CPI VS",1,IF(LEFT($C64,6)="CPI食品 ",2,3)),INDEX(((COLUMN()-5)/2+1)*12,1,1),1),OFFSET(Data!$B$183,INDEX((Data!$M$15-2005)*12+INT((ROW()-34)/9)+1-INT((COLUMN()-5)/2+1)*12+1,1,1),IF(RIGHT($C64,4)=" PPI",4,IF(RIGHT($C64,4)="生产资料",5,6)),INDEX(((COLUMN()-5)/2+1)*12,1,1),1)))</f>
        <v>0.64532387839112171</v>
      </c>
      <c r="J64" s="30"/>
      <c r="K64" s="15">
        <f ca="1">IF(AND(Data!$M$15=Data!$L$15,INDEX((INT((ROW()-34)/9)+1),1,1)&gt;Data!$L$16),"-",CORREL(OFFSET(Data!$B$183,INDEX((Data!$M$15-2005)*12+INT((ROW()-34)/9)+1-INT((COLUMN()-5)/2+1)*12+1,1,1),IF(LEFT($C64,6)="CPI VS",1,IF(LEFT($C64,6)="CPI食品 ",2,3)),INDEX(((COLUMN()-5)/2+1)*12,1,1),1),OFFSET(Data!$B$183,INDEX((Data!$M$15-2005)*12+INT((ROW()-34)/9)+1-INT((COLUMN()-5)/2+1)*12+1,1,1),IF(RIGHT($C64,4)=" PPI",4,IF(RIGHT($C64,4)="生产资料",5,6)),INDEX(((COLUMN()-5)/2+1)*12,1,1),1)))</f>
        <v>0.53612861766617015</v>
      </c>
      <c r="L64" s="30"/>
      <c r="M64" s="15">
        <f ca="1">IF(AND(Data!$M$15=Data!$L$15,INDEX((INT((ROW()-34)/9)+1),1,1)&gt;Data!$L$16),"-",MAX(E64,MAX(G64,MAX(I64,K64))))</f>
        <v>0.88748071204027146</v>
      </c>
      <c r="N64" s="30"/>
    </row>
    <row r="65" spans="2:14" x14ac:dyDescent="0.2">
      <c r="B65" s="34"/>
      <c r="C65" s="29" t="s">
        <v>41</v>
      </c>
      <c r="D65" s="29"/>
      <c r="E65" s="15">
        <f ca="1">IF(AND(Data!$M$15=Data!$L$15,INDEX((INT((ROW()-34)/9)+1),1,1)&gt;Data!$L$16),"-",CORREL(OFFSET(Data!$B$183,INDEX((Data!$M$15-2005)*12+INT((ROW()-34)/9)+1-INT((COLUMN()-5)/2+1)*12+1,1,1),IF(LEFT($C65,6)="CPI VS",1,IF(LEFT($C65,6)="CPI食品 ",2,3)),INDEX(((COLUMN()-5)/2+1)*12,1,1),1),OFFSET(Data!$B$183,INDEX((Data!$M$15-2005)*12+INT((ROW()-34)/9)+1-INT((COLUMN()-5)/2+1)*12+1,1,1),IF(RIGHT($C65,4)=" PPI",4,IF(RIGHT($C65,4)="生产资料",5,6)),INDEX(((COLUMN()-5)/2+1)*12,1,1),1)))</f>
        <v>0.87917890534086685</v>
      </c>
      <c r="F65" s="30"/>
      <c r="G65" s="15">
        <f ca="1">IF(AND(Data!$M$15=Data!$L$15,INDEX((INT((ROW()-34)/9)+1),1,1)&gt;Data!$L$16),"-",CORREL(OFFSET(Data!$B$183,INDEX((Data!$M$15-2005)*12+INT((ROW()-34)/9)+1-INT((COLUMN()-5)/2+1)*12+1,1,1),IF(LEFT($C65,6)="CPI VS",1,IF(LEFT($C65,6)="CPI食品 ",2,3)),INDEX(((COLUMN()-5)/2+1)*12,1,1),1),OFFSET(Data!$B$183,INDEX((Data!$M$15-2005)*12+INT((ROW()-34)/9)+1-INT((COLUMN()-5)/2+1)*12+1,1,1),IF(RIGHT($C65,4)=" PPI",4,IF(RIGHT($C65,4)="生产资料",5,6)),INDEX(((COLUMN()-5)/2+1)*12,1,1),1)))</f>
        <v>0.72277873328315745</v>
      </c>
      <c r="H65" s="30"/>
      <c r="I65" s="15">
        <f ca="1">IF(AND(Data!$M$15=Data!$L$15,INDEX((INT((ROW()-34)/9)+1),1,1)&gt;Data!$L$16),"-",CORREL(OFFSET(Data!$B$183,INDEX((Data!$M$15-2005)*12+INT((ROW()-34)/9)+1-INT((COLUMN()-5)/2+1)*12+1,1,1),IF(LEFT($C65,6)="CPI VS",1,IF(LEFT($C65,6)="CPI食品 ",2,3)),INDEX(((COLUMN()-5)/2+1)*12,1,1),1),OFFSET(Data!$B$183,INDEX((Data!$M$15-2005)*12+INT((ROW()-34)/9)+1-INT((COLUMN()-5)/2+1)*12+1,1,1),IF(RIGHT($C65,4)=" PPI",4,IF(RIGHT($C65,4)="生产资料",5,6)),INDEX(((COLUMN()-5)/2+1)*12,1,1),1)))</f>
        <v>0.58529031518996866</v>
      </c>
      <c r="J65" s="30"/>
      <c r="K65" s="15">
        <f ca="1">IF(AND(Data!$M$15=Data!$L$15,INDEX((INT((ROW()-34)/9)+1),1,1)&gt;Data!$L$16),"-",CORREL(OFFSET(Data!$B$183,INDEX((Data!$M$15-2005)*12+INT((ROW()-34)/9)+1-INT((COLUMN()-5)/2+1)*12+1,1,1),IF(LEFT($C65,6)="CPI VS",1,IF(LEFT($C65,6)="CPI食品 ",2,3)),INDEX(((COLUMN()-5)/2+1)*12,1,1),1),OFFSET(Data!$B$183,INDEX((Data!$M$15-2005)*12+INT((ROW()-34)/9)+1-INT((COLUMN()-5)/2+1)*12+1,1,1),IF(RIGHT($C65,4)=" PPI",4,IF(RIGHT($C65,4)="生产资料",5,6)),INDEX(((COLUMN()-5)/2+1)*12,1,1),1)))</f>
        <v>0.42677939678675847</v>
      </c>
      <c r="L65" s="30"/>
      <c r="M65" s="15">
        <f ca="1">IF(AND(Data!$M$15=Data!$L$15,INDEX((INT((ROW()-34)/9)+1),1,1)&gt;Data!$L$16),"-",MAX(E65,MAX(G65,MAX(I65,K65))))</f>
        <v>0.87917890534086685</v>
      </c>
      <c r="N65" s="30"/>
    </row>
    <row r="66" spans="2:14" x14ac:dyDescent="0.2">
      <c r="B66" s="34"/>
      <c r="C66" s="29" t="s">
        <v>42</v>
      </c>
      <c r="D66" s="29"/>
      <c r="E66" s="15">
        <f ca="1">IF(AND(Data!$M$15=Data!$L$15,INDEX((INT((ROW()-34)/9)+1),1,1)&gt;Data!$L$16),"-",CORREL(OFFSET(Data!$B$183,INDEX((Data!$M$15-2005)*12+INT((ROW()-34)/9)+1-INT((COLUMN()-5)/2+1)*12+1,1,1),IF(LEFT($C66,6)="CPI VS",1,IF(LEFT($C66,6)="CPI食品 ",2,3)),INDEX(((COLUMN()-5)/2+1)*12,1,1),1),OFFSET(Data!$B$183,INDEX((Data!$M$15-2005)*12+INT((ROW()-34)/9)+1-INT((COLUMN()-5)/2+1)*12+1,1,1),IF(RIGHT($C66,4)=" PPI",4,IF(RIGHT($C66,4)="生产资料",5,6)),INDEX(((COLUMN()-5)/2+1)*12,1,1),1)))</f>
        <v>0.95080036223509967</v>
      </c>
      <c r="F66" s="30"/>
      <c r="G66" s="15">
        <f ca="1">IF(AND(Data!$M$15=Data!$L$15,INDEX((INT((ROW()-34)/9)+1),1,1)&gt;Data!$L$16),"-",CORREL(OFFSET(Data!$B$183,INDEX((Data!$M$15-2005)*12+INT((ROW()-34)/9)+1-INT((COLUMN()-5)/2+1)*12+1,1,1),IF(LEFT($C66,6)="CPI VS",1,IF(LEFT($C66,6)="CPI食品 ",2,3)),INDEX(((COLUMN()-5)/2+1)*12,1,1),1),OFFSET(Data!$B$183,INDEX((Data!$M$15-2005)*12+INT((ROW()-34)/9)+1-INT((COLUMN()-5)/2+1)*12+1,1,1),IF(RIGHT($C66,4)=" PPI",4,IF(RIGHT($C66,4)="生产资料",5,6)),INDEX(((COLUMN()-5)/2+1)*12,1,1),1)))</f>
        <v>0.91851610337152945</v>
      </c>
      <c r="H66" s="30"/>
      <c r="I66" s="15">
        <f ca="1">IF(AND(Data!$M$15=Data!$L$15,INDEX((INT((ROW()-34)/9)+1),1,1)&gt;Data!$L$16),"-",CORREL(OFFSET(Data!$B$183,INDEX((Data!$M$15-2005)*12+INT((ROW()-34)/9)+1-INT((COLUMN()-5)/2+1)*12+1,1,1),IF(LEFT($C66,6)="CPI VS",1,IF(LEFT($C66,6)="CPI食品 ",2,3)),INDEX(((COLUMN()-5)/2+1)*12,1,1),1),OFFSET(Data!$B$183,INDEX((Data!$M$15-2005)*12+INT((ROW()-34)/9)+1-INT((COLUMN()-5)/2+1)*12+1,1,1),IF(RIGHT($C66,4)=" PPI",4,IF(RIGHT($C66,4)="生产资料",5,6)),INDEX(((COLUMN()-5)/2+1)*12,1,1),1)))</f>
        <v>0.93628053467984784</v>
      </c>
      <c r="J66" s="30"/>
      <c r="K66" s="15">
        <f ca="1">IF(AND(Data!$M$15=Data!$L$15,INDEX((INT((ROW()-34)/9)+1),1,1)&gt;Data!$L$16),"-",CORREL(OFFSET(Data!$B$183,INDEX((Data!$M$15-2005)*12+INT((ROW()-34)/9)+1-INT((COLUMN()-5)/2+1)*12+1,1,1),IF(LEFT($C66,6)="CPI VS",1,IF(LEFT($C66,6)="CPI食品 ",2,3)),INDEX(((COLUMN()-5)/2+1)*12,1,1),1),OFFSET(Data!$B$183,INDEX((Data!$M$15-2005)*12+INT((ROW()-34)/9)+1-INT((COLUMN()-5)/2+1)*12+1,1,1),IF(RIGHT($C66,4)=" PPI",4,IF(RIGHT($C66,4)="生产资料",5,6)),INDEX(((COLUMN()-5)/2+1)*12,1,1),1)))</f>
        <v>0.94599327769284347</v>
      </c>
      <c r="L66" s="30"/>
      <c r="M66" s="15">
        <f ca="1">IF(AND(Data!$M$15=Data!$L$15,INDEX((INT((ROW()-34)/9)+1),1,1)&gt;Data!$L$16),"-",MAX(E66,MAX(G66,MAX(I66,K66))))</f>
        <v>0.95080036223509967</v>
      </c>
      <c r="N66" s="30"/>
    </row>
    <row r="67" spans="2:14" x14ac:dyDescent="0.2">
      <c r="B67" s="34"/>
      <c r="C67" s="29" t="s">
        <v>43</v>
      </c>
      <c r="D67" s="29"/>
      <c r="E67" s="15">
        <f ca="1">IF(AND(Data!$M$15=Data!$L$15,INDEX((INT((ROW()-34)/9)+1),1,1)&gt;Data!$L$16),"-",CORREL(OFFSET(Data!$B$183,INDEX((Data!$M$15-2005)*12+INT((ROW()-34)/9)+1-INT((COLUMN()-5)/2+1)*12+1,1,1),IF(LEFT($C67,6)="CPI VS",1,IF(LEFT($C67,6)="CPI食品 ",2,3)),INDEX(((COLUMN()-5)/2+1)*12,1,1),1),OFFSET(Data!$B$183,INDEX((Data!$M$15-2005)*12+INT((ROW()-34)/9)+1-INT((COLUMN()-5)/2+1)*12+1,1,1),IF(RIGHT($C67,4)=" PPI",4,IF(RIGHT($C67,4)="生产资料",5,6)),INDEX(((COLUMN()-5)/2+1)*12,1,1),1)))</f>
        <v>0.99681288659049894</v>
      </c>
      <c r="F67" s="30"/>
      <c r="G67" s="15">
        <f ca="1">IF(AND(Data!$M$15=Data!$L$15,INDEX((INT((ROW()-34)/9)+1),1,1)&gt;Data!$L$16),"-",CORREL(OFFSET(Data!$B$183,INDEX((Data!$M$15-2005)*12+INT((ROW()-34)/9)+1-INT((COLUMN()-5)/2+1)*12+1,1,1),IF(LEFT($C67,6)="CPI VS",1,IF(LEFT($C67,6)="CPI食品 ",2,3)),INDEX(((COLUMN()-5)/2+1)*12,1,1),1),OFFSET(Data!$B$183,INDEX((Data!$M$15-2005)*12+INT((ROW()-34)/9)+1-INT((COLUMN()-5)/2+1)*12+1,1,1),IF(RIGHT($C67,4)=" PPI",4,IF(RIGHT($C67,4)="生产资料",5,6)),INDEX(((COLUMN()-5)/2+1)*12,1,1),1)))</f>
        <v>0.98212662174838139</v>
      </c>
      <c r="H67" s="30"/>
      <c r="I67" s="15">
        <f ca="1">IF(AND(Data!$M$15=Data!$L$15,INDEX((INT((ROW()-34)/9)+1),1,1)&gt;Data!$L$16),"-",CORREL(OFFSET(Data!$B$183,INDEX((Data!$M$15-2005)*12+INT((ROW()-34)/9)+1-INT((COLUMN()-5)/2+1)*12+1,1,1),IF(LEFT($C67,6)="CPI VS",1,IF(LEFT($C67,6)="CPI食品 ",2,3)),INDEX(((COLUMN()-5)/2+1)*12,1,1),1),OFFSET(Data!$B$183,INDEX((Data!$M$15-2005)*12+INT((ROW()-34)/9)+1-INT((COLUMN()-5)/2+1)*12+1,1,1),IF(RIGHT($C67,4)=" PPI",4,IF(RIGHT($C67,4)="生产资料",5,6)),INDEX(((COLUMN()-5)/2+1)*12,1,1),1)))</f>
        <v>0.96815642061559348</v>
      </c>
      <c r="J67" s="30"/>
      <c r="K67" s="15">
        <f ca="1">IF(AND(Data!$M$15=Data!$L$15,INDEX((INT((ROW()-34)/9)+1),1,1)&gt;Data!$L$16),"-",CORREL(OFFSET(Data!$B$183,INDEX((Data!$M$15-2005)*12+INT((ROW()-34)/9)+1-INT((COLUMN()-5)/2+1)*12+1,1,1),IF(LEFT($C67,6)="CPI VS",1,IF(LEFT($C67,6)="CPI食品 ",2,3)),INDEX(((COLUMN()-5)/2+1)*12,1,1),1),OFFSET(Data!$B$183,INDEX((Data!$M$15-2005)*12+INT((ROW()-34)/9)+1-INT((COLUMN()-5)/2+1)*12+1,1,1),IF(RIGHT($C67,4)=" PPI",4,IF(RIGHT($C67,4)="生产资料",5,6)),INDEX(((COLUMN()-5)/2+1)*12,1,1),1)))</f>
        <v>0.962184687798603</v>
      </c>
      <c r="L67" s="30"/>
      <c r="M67" s="15">
        <f ca="1">IF(AND(Data!$M$15=Data!$L$15,INDEX((INT((ROW()-34)/9)+1),1,1)&gt;Data!$L$16),"-",MAX(E67,MAX(G67,MAX(I67,K67))))</f>
        <v>0.99681288659049894</v>
      </c>
      <c r="N67" s="30"/>
    </row>
    <row r="68" spans="2:14" x14ac:dyDescent="0.2">
      <c r="B68" s="34"/>
      <c r="C68" s="29" t="s">
        <v>44</v>
      </c>
      <c r="D68" s="29"/>
      <c r="E68" s="15">
        <f ca="1">IF(AND(Data!$M$15=Data!$L$15,INDEX((INT((ROW()-34)/9)+1),1,1)&gt;Data!$L$16),"-",CORREL(OFFSET(Data!$B$183,INDEX((Data!$M$15-2005)*12+INT((ROW()-34)/9)+1-INT((COLUMN()-5)/2+1)*12+1,1,1),IF(LEFT($C68,6)="CPI VS",1,IF(LEFT($C68,6)="CPI食品 ",2,3)),INDEX(((COLUMN()-5)/2+1)*12,1,1),1),OFFSET(Data!$B$183,INDEX((Data!$M$15-2005)*12+INT((ROW()-34)/9)+1-INT((COLUMN()-5)/2+1)*12+1,1,1),IF(RIGHT($C68,4)=" PPI",4,IF(RIGHT($C68,4)="生产资料",5,6)),INDEX(((COLUMN()-5)/2+1)*12,1,1),1)))</f>
        <v>0.99667055497721846</v>
      </c>
      <c r="F68" s="30"/>
      <c r="G68" s="15">
        <f ca="1">IF(AND(Data!$M$15=Data!$L$15,INDEX((INT((ROW()-34)/9)+1),1,1)&gt;Data!$L$16),"-",CORREL(OFFSET(Data!$B$183,INDEX((Data!$M$15-2005)*12+INT((ROW()-34)/9)+1-INT((COLUMN()-5)/2+1)*12+1,1,1),IF(LEFT($C68,6)="CPI VS",1,IF(LEFT($C68,6)="CPI食品 ",2,3)),INDEX(((COLUMN()-5)/2+1)*12,1,1),1),OFFSET(Data!$B$183,INDEX((Data!$M$15-2005)*12+INT((ROW()-34)/9)+1-INT((COLUMN()-5)/2+1)*12+1,1,1),IF(RIGHT($C68,4)=" PPI",4,IF(RIGHT($C68,4)="生产资料",5,6)),INDEX(((COLUMN()-5)/2+1)*12,1,1),1)))</f>
        <v>0.97776422743436231</v>
      </c>
      <c r="H68" s="30"/>
      <c r="I68" s="15">
        <f ca="1">IF(AND(Data!$M$15=Data!$L$15,INDEX((INT((ROW()-34)/9)+1),1,1)&gt;Data!$L$16),"-",CORREL(OFFSET(Data!$B$183,INDEX((Data!$M$15-2005)*12+INT((ROW()-34)/9)+1-INT((COLUMN()-5)/2+1)*12+1,1,1),IF(LEFT($C68,6)="CPI VS",1,IF(LEFT($C68,6)="CPI食品 ",2,3)),INDEX(((COLUMN()-5)/2+1)*12,1,1),1),OFFSET(Data!$B$183,INDEX((Data!$M$15-2005)*12+INT((ROW()-34)/9)+1-INT((COLUMN()-5)/2+1)*12+1,1,1),IF(RIGHT($C68,4)=" PPI",4,IF(RIGHT($C68,4)="生产资料",5,6)),INDEX(((COLUMN()-5)/2+1)*12,1,1),1)))</f>
        <v>0.97082063560021903</v>
      </c>
      <c r="J68" s="30"/>
      <c r="K68" s="15">
        <f ca="1">IF(AND(Data!$M$15=Data!$L$15,INDEX((INT((ROW()-34)/9)+1),1,1)&gt;Data!$L$16),"-",CORREL(OFFSET(Data!$B$183,INDEX((Data!$M$15-2005)*12+INT((ROW()-34)/9)+1-INT((COLUMN()-5)/2+1)*12+1,1,1),IF(LEFT($C68,6)="CPI VS",1,IF(LEFT($C68,6)="CPI食品 ",2,3)),INDEX(((COLUMN()-5)/2+1)*12,1,1),1),OFFSET(Data!$B$183,INDEX((Data!$M$15-2005)*12+INT((ROW()-34)/9)+1-INT((COLUMN()-5)/2+1)*12+1,1,1),IF(RIGHT($C68,4)=" PPI",4,IF(RIGHT($C68,4)="生产资料",5,6)),INDEX(((COLUMN()-5)/2+1)*12,1,1),1)))</f>
        <v>0.96160029698979732</v>
      </c>
      <c r="L68" s="30"/>
      <c r="M68" s="15">
        <f ca="1">IF(AND(Data!$M$15=Data!$L$15,INDEX((INT((ROW()-34)/9)+1),1,1)&gt;Data!$L$16),"-",MAX(E68,MAX(G68,MAX(I68,K68))))</f>
        <v>0.99667055497721846</v>
      </c>
      <c r="N68" s="30"/>
    </row>
    <row r="69" spans="2:14" x14ac:dyDescent="0.2">
      <c r="B69" s="34"/>
      <c r="C69" s="29" t="s">
        <v>45</v>
      </c>
      <c r="D69" s="29"/>
      <c r="E69" s="15">
        <f ca="1">IF(AND(Data!$M$15=Data!$L$15,INDEX((INT((ROW()-34)/9)+1),1,1)&gt;Data!$L$16),"-",CORREL(OFFSET(Data!$B$183,INDEX((Data!$M$15-2005)*12+INT((ROW()-34)/9)+1-INT((COLUMN()-5)/2+1)*12+1,1,1),IF(LEFT($C69,6)="CPI VS",1,IF(LEFT($C69,6)="CPI食品 ",2,3)),INDEX(((COLUMN()-5)/2+1)*12,1,1),1),OFFSET(Data!$B$183,INDEX((Data!$M$15-2005)*12+INT((ROW()-34)/9)+1-INT((COLUMN()-5)/2+1)*12+1,1,1),IF(RIGHT($C69,4)=" PPI",4,IF(RIGHT($C69,4)="生产资料",5,6)),INDEX(((COLUMN()-5)/2+1)*12,1,1),1)))</f>
        <v>0.97143909161584208</v>
      </c>
      <c r="F69" s="30"/>
      <c r="G69" s="15">
        <f ca="1">IF(AND(Data!$M$15=Data!$L$15,INDEX((INT((ROW()-34)/9)+1),1,1)&gt;Data!$L$16),"-",CORREL(OFFSET(Data!$B$183,INDEX((Data!$M$15-2005)*12+INT((ROW()-34)/9)+1-INT((COLUMN()-5)/2+1)*12+1,1,1),IF(LEFT($C69,6)="CPI VS",1,IF(LEFT($C69,6)="CPI食品 ",2,3)),INDEX(((COLUMN()-5)/2+1)*12,1,1),1),OFFSET(Data!$B$183,INDEX((Data!$M$15-2005)*12+INT((ROW()-34)/9)+1-INT((COLUMN()-5)/2+1)*12+1,1,1),IF(RIGHT($C69,4)=" PPI",4,IF(RIGHT($C69,4)="生产资料",5,6)),INDEX(((COLUMN()-5)/2+1)*12,1,1),1)))</f>
        <v>0.95234036981272729</v>
      </c>
      <c r="H69" s="30"/>
      <c r="I69" s="15">
        <f ca="1">IF(AND(Data!$M$15=Data!$L$15,INDEX((INT((ROW()-34)/9)+1),1,1)&gt;Data!$L$16),"-",CORREL(OFFSET(Data!$B$183,INDEX((Data!$M$15-2005)*12+INT((ROW()-34)/9)+1-INT((COLUMN()-5)/2+1)*12+1,1,1),IF(LEFT($C69,6)="CPI VS",1,IF(LEFT($C69,6)="CPI食品 ",2,3)),INDEX(((COLUMN()-5)/2+1)*12,1,1),1),OFFSET(Data!$B$183,INDEX((Data!$M$15-2005)*12+INT((ROW()-34)/9)+1-INT((COLUMN()-5)/2+1)*12+1,1,1),IF(RIGHT($C69,4)=" PPI",4,IF(RIGHT($C69,4)="生产资料",5,6)),INDEX(((COLUMN()-5)/2+1)*12,1,1),1)))</f>
        <v>0.74326601889362409</v>
      </c>
      <c r="J69" s="30"/>
      <c r="K69" s="15">
        <f ca="1">IF(AND(Data!$M$15=Data!$L$15,INDEX((INT((ROW()-34)/9)+1),1,1)&gt;Data!$L$16),"-",CORREL(OFFSET(Data!$B$183,INDEX((Data!$M$15-2005)*12+INT((ROW()-34)/9)+1-INT((COLUMN()-5)/2+1)*12+1,1,1),IF(LEFT($C69,6)="CPI VS",1,IF(LEFT($C69,6)="CPI食品 ",2,3)),INDEX(((COLUMN()-5)/2+1)*12,1,1),1),OFFSET(Data!$B$183,INDEX((Data!$M$15-2005)*12+INT((ROW()-34)/9)+1-INT((COLUMN()-5)/2+1)*12+1,1,1),IF(RIGHT($C69,4)=" PPI",4,IF(RIGHT($C69,4)="生产资料",5,6)),INDEX(((COLUMN()-5)/2+1)*12,1,1),1)))</f>
        <v>0.55903446429115666</v>
      </c>
      <c r="L69" s="30"/>
      <c r="M69" s="15">
        <f ca="1">IF(AND(Data!$M$15=Data!$L$15,INDEX((INT((ROW()-34)/9)+1),1,1)&gt;Data!$L$16),"-",MAX(E69,MAX(G69,MAX(I69,K69))))</f>
        <v>0.97143909161584208</v>
      </c>
      <c r="N69" s="30"/>
    </row>
    <row r="70" spans="2:14" x14ac:dyDescent="0.2">
      <c r="B70" s="34" t="s">
        <v>25</v>
      </c>
      <c r="C70" s="29" t="s">
        <v>0</v>
      </c>
      <c r="D70" s="29"/>
      <c r="E70" s="15">
        <f ca="1">IF(AND(Data!$M$15=Data!$L$15,INDEX((INT((ROW()-34)/9)+1),1,1)&gt;Data!$L$16),"-",CORREL(OFFSET(Data!$B$183,INDEX((Data!$M$15-2005)*12+INT((ROW()-34)/9)+1-INT((COLUMN()-5)/2+1)*12+1,1,1),IF(LEFT($C70,6)="CPI VS",1,IF(LEFT($C70,6)="CPI食品 ",2,3)),INDEX(((COLUMN()-5)/2+1)*12,1,1),1),OFFSET(Data!$B$183,INDEX((Data!$M$15-2005)*12+INT((ROW()-34)/9)+1-INT((COLUMN()-5)/2+1)*12+1,1,1),IF(RIGHT($C70,4)=" PPI",4,IF(RIGHT($C70,4)="生产资料",5,6)),INDEX(((COLUMN()-5)/2+1)*12,1,1),1)))</f>
        <v>0.96607889190639762</v>
      </c>
      <c r="F70" s="30">
        <f ca="1">IF(ISERROR(AVERAGE(E70,E78)),"-",AVERAGE(E70,E78))</f>
        <v>0.97520188800952323</v>
      </c>
      <c r="G70" s="15">
        <f ca="1">IF(AND(Data!$M$15=Data!$L$15,INDEX((INT((ROW()-34)/9)+1),1,1)&gt;Data!$L$16),"-",CORREL(OFFSET(Data!$B$183,INDEX((Data!$M$15-2005)*12+INT((ROW()-34)/9)+1-INT((COLUMN()-5)/2+1)*12+1,1,1),IF(LEFT($C70,6)="CPI VS",1,IF(LEFT($C70,6)="CPI食品 ",2,3)),INDEX(((COLUMN()-5)/2+1)*12,1,1),1),OFFSET(Data!$B$183,INDEX((Data!$M$15-2005)*12+INT((ROW()-34)/9)+1-INT((COLUMN()-5)/2+1)*12+1,1,1),IF(RIGHT($C70,4)=" PPI",4,IF(RIGHT($C70,4)="生产资料",5,6)),INDEX(((COLUMN()-5)/2+1)*12,1,1),1)))</f>
        <v>0.86459798262704568</v>
      </c>
      <c r="H70" s="30">
        <f ca="1">IF(ISERROR(AVERAGE(G70,G78)),"-",AVERAGE(G70,G78))</f>
        <v>0.91391278132512055</v>
      </c>
      <c r="I70" s="15">
        <f ca="1">IF(AND(Data!$M$15=Data!$L$15,INDEX((INT((ROW()-34)/9)+1),1,1)&gt;Data!$L$16),"-",CORREL(OFFSET(Data!$B$183,INDEX((Data!$M$15-2005)*12+INT((ROW()-34)/9)+1-INT((COLUMN()-5)/2+1)*12+1,1,1),IF(LEFT($C70,6)="CPI VS",1,IF(LEFT($C70,6)="CPI食品 ",2,3)),INDEX(((COLUMN()-5)/2+1)*12,1,1),1),OFFSET(Data!$B$183,INDEX((Data!$M$15-2005)*12+INT((ROW()-34)/9)+1-INT((COLUMN()-5)/2+1)*12+1,1,1),IF(RIGHT($C70,4)=" PPI",4,IF(RIGHT($C70,4)="生产资料",5,6)),INDEX(((COLUMN()-5)/2+1)*12,1,1),1)))</f>
        <v>0.79088428516121612</v>
      </c>
      <c r="J70" s="30">
        <f ca="1">IF(ISERROR(AVERAGE(I70,I78)),"-",AVERAGE(I70,I78))</f>
        <v>0.79538290231116981</v>
      </c>
      <c r="K70" s="15">
        <f ca="1">IF(AND(Data!$M$15=Data!$L$15,INDEX((INT((ROW()-34)/9)+1),1,1)&gt;Data!$L$16),"-",CORREL(OFFSET(Data!$B$183,INDEX((Data!$M$15-2005)*12+INT((ROW()-34)/9)+1-INT((COLUMN()-5)/2+1)*12+1,1,1),IF(LEFT($C70,6)="CPI VS",1,IF(LEFT($C70,6)="CPI食品 ",2,3)),INDEX(((COLUMN()-5)/2+1)*12,1,1),1),OFFSET(Data!$B$183,INDEX((Data!$M$15-2005)*12+INT((ROW()-34)/9)+1-INT((COLUMN()-5)/2+1)*12+1,1,1),IF(RIGHT($C70,4)=" PPI",4,IF(RIGHT($C70,4)="生产资料",5,6)),INDEX(((COLUMN()-5)/2+1)*12,1,1),1)))</f>
        <v>0.70705176829333405</v>
      </c>
      <c r="L70" s="30">
        <f ca="1">IF(ISERROR(AVERAGE(K70,K78)),"-",AVERAGE(K70,K78))</f>
        <v>0.65495914070440164</v>
      </c>
      <c r="M70" s="15">
        <f ca="1">IF(AND(Data!$M$15=Data!$L$15,INDEX((INT((ROW()-34)/9)+1),1,1)&gt;Data!$L$16),"-",MAX(E70,MAX(G70,MAX(I70,K70))))</f>
        <v>0.96607889190639762</v>
      </c>
      <c r="N70" s="30">
        <f ca="1">IF(AND(Data!$M$15=Data!$L$15,INDEX((INT((ROW()-34)/9)+1),1,1)&gt;Data!$L$16),"-",MAX(F70,MAX(H70,MAX(J70,L70))))</f>
        <v>0.97520188800952323</v>
      </c>
    </row>
    <row r="71" spans="2:14" x14ac:dyDescent="0.2">
      <c r="B71" s="34"/>
      <c r="C71" s="29" t="s">
        <v>38</v>
      </c>
      <c r="D71" s="29"/>
      <c r="E71" s="15">
        <f ca="1">IF(AND(Data!$M$15=Data!$L$15,INDEX((INT((ROW()-34)/9)+1),1,1)&gt;Data!$L$16),"-",CORREL(OFFSET(Data!$B$183,INDEX((Data!$M$15-2005)*12+INT((ROW()-34)/9)+1-INT((COLUMN()-5)/2+1)*12+1,1,1),IF(LEFT($C71,6)="CPI VS",1,IF(LEFT($C71,6)="CPI食品 ",2,3)),INDEX(((COLUMN()-5)/2+1)*12,1,1),1),OFFSET(Data!$B$183,INDEX((Data!$M$15-2005)*12+INT((ROW()-34)/9)+1-INT((COLUMN()-5)/2+1)*12+1,1,1),IF(RIGHT($C71,4)=" PPI",4,IF(RIGHT($C71,4)="生产资料",5,6)),INDEX(((COLUMN()-5)/2+1)*12,1,1),1)))</f>
        <v>0.96322607729981813</v>
      </c>
      <c r="F71" s="30"/>
      <c r="G71" s="15">
        <f ca="1">IF(AND(Data!$M$15=Data!$L$15,INDEX((INT((ROW()-34)/9)+1),1,1)&gt;Data!$L$16),"-",CORREL(OFFSET(Data!$B$183,INDEX((Data!$M$15-2005)*12+INT((ROW()-34)/9)+1-INT((COLUMN()-5)/2+1)*12+1,1,1),IF(LEFT($C71,6)="CPI VS",1,IF(LEFT($C71,6)="CPI食品 ",2,3)),INDEX(((COLUMN()-5)/2+1)*12,1,1),1),OFFSET(Data!$B$183,INDEX((Data!$M$15-2005)*12+INT((ROW()-34)/9)+1-INT((COLUMN()-5)/2+1)*12+1,1,1),IF(RIGHT($C71,4)=" PPI",4,IF(RIGHT($C71,4)="生产资料",5,6)),INDEX(((COLUMN()-5)/2+1)*12,1,1),1)))</f>
        <v>0.84739243633451455</v>
      </c>
      <c r="H71" s="30"/>
      <c r="I71" s="15">
        <f ca="1">IF(AND(Data!$M$15=Data!$L$15,INDEX((INT((ROW()-34)/9)+1),1,1)&gt;Data!$L$16),"-",CORREL(OFFSET(Data!$B$183,INDEX((Data!$M$15-2005)*12+INT((ROW()-34)/9)+1-INT((COLUMN()-5)/2+1)*12+1,1,1),IF(LEFT($C71,6)="CPI VS",1,IF(LEFT($C71,6)="CPI食品 ",2,3)),INDEX(((COLUMN()-5)/2+1)*12,1,1),1),OFFSET(Data!$B$183,INDEX((Data!$M$15-2005)*12+INT((ROW()-34)/9)+1-INT((COLUMN()-5)/2+1)*12+1,1,1),IF(RIGHT($C71,4)=" PPI",4,IF(RIGHT($C71,4)="生产资料",5,6)),INDEX(((COLUMN()-5)/2+1)*12,1,1),1)))</f>
        <v>0.74926423448436319</v>
      </c>
      <c r="J71" s="30"/>
      <c r="K71" s="15">
        <f ca="1">IF(AND(Data!$M$15=Data!$L$15,INDEX((INT((ROW()-34)/9)+1),1,1)&gt;Data!$L$16),"-",CORREL(OFFSET(Data!$B$183,INDEX((Data!$M$15-2005)*12+INT((ROW()-34)/9)+1-INT((COLUMN()-5)/2+1)*12+1,1,1),IF(LEFT($C71,6)="CPI VS",1,IF(LEFT($C71,6)="CPI食品 ",2,3)),INDEX(((COLUMN()-5)/2+1)*12,1,1),1),OFFSET(Data!$B$183,INDEX((Data!$M$15-2005)*12+INT((ROW()-34)/9)+1-INT((COLUMN()-5)/2+1)*12+1,1,1),IF(RIGHT($C71,4)=" PPI",4,IF(RIGHT($C71,4)="生产资料",5,6)),INDEX(((COLUMN()-5)/2+1)*12,1,1),1)))</f>
        <v>0.62542045210197617</v>
      </c>
      <c r="L71" s="30"/>
      <c r="M71" s="15">
        <f ca="1">IF(AND(Data!$M$15=Data!$L$15,INDEX((INT((ROW()-34)/9)+1),1,1)&gt;Data!$L$16),"-",MAX(E71,MAX(G71,MAX(I71,K71))))</f>
        <v>0.96322607729981813</v>
      </c>
      <c r="N71" s="30"/>
    </row>
    <row r="72" spans="2:14" x14ac:dyDescent="0.2">
      <c r="B72" s="34"/>
      <c r="C72" s="29" t="s">
        <v>39</v>
      </c>
      <c r="D72" s="29"/>
      <c r="E72" s="15">
        <f ca="1">IF(AND(Data!$M$15=Data!$L$15,INDEX((INT((ROW()-34)/9)+1),1,1)&gt;Data!$L$16),"-",CORREL(OFFSET(Data!$B$183,INDEX((Data!$M$15-2005)*12+INT((ROW()-34)/9)+1-INT((COLUMN()-5)/2+1)*12+1,1,1),IF(LEFT($C72,6)="CPI VS",1,IF(LEFT($C72,6)="CPI食品 ",2,3)),INDEX(((COLUMN()-5)/2+1)*12,1,1),1),OFFSET(Data!$B$183,INDEX((Data!$M$15-2005)*12+INT((ROW()-34)/9)+1-INT((COLUMN()-5)/2+1)*12+1,1,1),IF(RIGHT($C72,4)=" PPI",4,IF(RIGHT($C72,4)="生产资料",5,6)),INDEX(((COLUMN()-5)/2+1)*12,1,1),1)))</f>
        <v>0.98021442640413359</v>
      </c>
      <c r="F72" s="30"/>
      <c r="G72" s="15">
        <f ca="1">IF(AND(Data!$M$15=Data!$L$15,INDEX((INT((ROW()-34)/9)+1),1,1)&gt;Data!$L$16),"-",CORREL(OFFSET(Data!$B$183,INDEX((Data!$M$15-2005)*12+INT((ROW()-34)/9)+1-INT((COLUMN()-5)/2+1)*12+1,1,1),IF(LEFT($C72,6)="CPI VS",1,IF(LEFT($C72,6)="CPI食品 ",2,3)),INDEX(((COLUMN()-5)/2+1)*12,1,1),1),OFFSET(Data!$B$183,INDEX((Data!$M$15-2005)*12+INT((ROW()-34)/9)+1-INT((COLUMN()-5)/2+1)*12+1,1,1),IF(RIGHT($C72,4)=" PPI",4,IF(RIGHT($C72,4)="生产资料",5,6)),INDEX(((COLUMN()-5)/2+1)*12,1,1),1)))</f>
        <v>0.96832191845781102</v>
      </c>
      <c r="H72" s="30"/>
      <c r="I72" s="15">
        <f ca="1">IF(AND(Data!$M$15=Data!$L$15,INDEX((INT((ROW()-34)/9)+1),1,1)&gt;Data!$L$16),"-",CORREL(OFFSET(Data!$B$183,INDEX((Data!$M$15-2005)*12+INT((ROW()-34)/9)+1-INT((COLUMN()-5)/2+1)*12+1,1,1),IF(LEFT($C72,6)="CPI VS",1,IF(LEFT($C72,6)="CPI食品 ",2,3)),INDEX(((COLUMN()-5)/2+1)*12,1,1),1),OFFSET(Data!$B$183,INDEX((Data!$M$15-2005)*12+INT((ROW()-34)/9)+1-INT((COLUMN()-5)/2+1)*12+1,1,1),IF(RIGHT($C72,4)=" PPI",4,IF(RIGHT($C72,4)="生产资料",5,6)),INDEX(((COLUMN()-5)/2+1)*12,1,1),1)))</f>
        <v>0.96731166626673604</v>
      </c>
      <c r="J72" s="30"/>
      <c r="K72" s="15">
        <f ca="1">IF(AND(Data!$M$15=Data!$L$15,INDEX((INT((ROW()-34)/9)+1),1,1)&gt;Data!$L$16),"-",CORREL(OFFSET(Data!$B$183,INDEX((Data!$M$15-2005)*12+INT((ROW()-34)/9)+1-INT((COLUMN()-5)/2+1)*12+1,1,1),IF(LEFT($C72,6)="CPI VS",1,IF(LEFT($C72,6)="CPI食品 ",2,3)),INDEX(((COLUMN()-5)/2+1)*12,1,1),1),OFFSET(Data!$B$183,INDEX((Data!$M$15-2005)*12+INT((ROW()-34)/9)+1-INT((COLUMN()-5)/2+1)*12+1,1,1),IF(RIGHT($C72,4)=" PPI",4,IF(RIGHT($C72,4)="生产资料",5,6)),INDEX(((COLUMN()-5)/2+1)*12,1,1),1)))</f>
        <v>0.95637773775012835</v>
      </c>
      <c r="L72" s="30"/>
      <c r="M72" s="15">
        <f ca="1">IF(AND(Data!$M$15=Data!$L$15,INDEX((INT((ROW()-34)/9)+1),1,1)&gt;Data!$L$16),"-",MAX(E72,MAX(G72,MAX(I72,K72))))</f>
        <v>0.98021442640413359</v>
      </c>
      <c r="N72" s="30"/>
    </row>
    <row r="73" spans="2:14" x14ac:dyDescent="0.2">
      <c r="B73" s="34"/>
      <c r="C73" s="29" t="s">
        <v>40</v>
      </c>
      <c r="D73" s="29"/>
      <c r="E73" s="15">
        <f ca="1">IF(AND(Data!$M$15=Data!$L$15,INDEX((INT((ROW()-34)/9)+1),1,1)&gt;Data!$L$16),"-",CORREL(OFFSET(Data!$B$183,INDEX((Data!$M$15-2005)*12+INT((ROW()-34)/9)+1-INT((COLUMN()-5)/2+1)*12+1,1,1),IF(LEFT($C73,6)="CPI VS",1,IF(LEFT($C73,6)="CPI食品 ",2,3)),INDEX(((COLUMN()-5)/2+1)*12,1,1),1),OFFSET(Data!$B$183,INDEX((Data!$M$15-2005)*12+INT((ROW()-34)/9)+1-INT((COLUMN()-5)/2+1)*12+1,1,1),IF(RIGHT($C73,4)=" PPI",4,IF(RIGHT($C73,4)="生产资料",5,6)),INDEX(((COLUMN()-5)/2+1)*12,1,1),1)))</f>
        <v>0.92893665395202085</v>
      </c>
      <c r="F73" s="30"/>
      <c r="G73" s="15">
        <f ca="1">IF(AND(Data!$M$15=Data!$L$15,INDEX((INT((ROW()-34)/9)+1),1,1)&gt;Data!$L$16),"-",CORREL(OFFSET(Data!$B$183,INDEX((Data!$M$15-2005)*12+INT((ROW()-34)/9)+1-INT((COLUMN()-5)/2+1)*12+1,1,1),IF(LEFT($C73,6)="CPI VS",1,IF(LEFT($C73,6)="CPI食品 ",2,3)),INDEX(((COLUMN()-5)/2+1)*12,1,1),1),OFFSET(Data!$B$183,INDEX((Data!$M$15-2005)*12+INT((ROW()-34)/9)+1-INT((COLUMN()-5)/2+1)*12+1,1,1),IF(RIGHT($C73,4)=" PPI",4,IF(RIGHT($C73,4)="生产资料",5,6)),INDEX(((COLUMN()-5)/2+1)*12,1,1),1)))</f>
        <v>0.78046478128691466</v>
      </c>
      <c r="H73" s="30"/>
      <c r="I73" s="15">
        <f ca="1">IF(AND(Data!$M$15=Data!$L$15,INDEX((INT((ROW()-34)/9)+1),1,1)&gt;Data!$L$16),"-",CORREL(OFFSET(Data!$B$183,INDEX((Data!$M$15-2005)*12+INT((ROW()-34)/9)+1-INT((COLUMN()-5)/2+1)*12+1,1,1),IF(LEFT($C73,6)="CPI VS",1,IF(LEFT($C73,6)="CPI食品 ",2,3)),INDEX(((COLUMN()-5)/2+1)*12,1,1),1),OFFSET(Data!$B$183,INDEX((Data!$M$15-2005)*12+INT((ROW()-34)/9)+1-INT((COLUMN()-5)/2+1)*12+1,1,1),IF(RIGHT($C73,4)=" PPI",4,IF(RIGHT($C73,4)="生产资料",5,6)),INDEX(((COLUMN()-5)/2+1)*12,1,1),1)))</f>
        <v>0.66923724619578895</v>
      </c>
      <c r="J73" s="30"/>
      <c r="K73" s="15">
        <f ca="1">IF(AND(Data!$M$15=Data!$L$15,INDEX((INT((ROW()-34)/9)+1),1,1)&gt;Data!$L$16),"-",CORREL(OFFSET(Data!$B$183,INDEX((Data!$M$15-2005)*12+INT((ROW()-34)/9)+1-INT((COLUMN()-5)/2+1)*12+1,1,1),IF(LEFT($C73,6)="CPI VS",1,IF(LEFT($C73,6)="CPI食品 ",2,3)),INDEX(((COLUMN()-5)/2+1)*12,1,1),1),OFFSET(Data!$B$183,INDEX((Data!$M$15-2005)*12+INT((ROW()-34)/9)+1-INT((COLUMN()-5)/2+1)*12+1,1,1),IF(RIGHT($C73,4)=" PPI",4,IF(RIGHT($C73,4)="生产资料",5,6)),INDEX(((COLUMN()-5)/2+1)*12,1,1),1)))</f>
        <v>0.56244128359766499</v>
      </c>
      <c r="L73" s="30"/>
      <c r="M73" s="15">
        <f ca="1">IF(AND(Data!$M$15=Data!$L$15,INDEX((INT((ROW()-34)/9)+1),1,1)&gt;Data!$L$16),"-",MAX(E73,MAX(G73,MAX(I73,K73))))</f>
        <v>0.92893665395202085</v>
      </c>
      <c r="N73" s="30"/>
    </row>
    <row r="74" spans="2:14" x14ac:dyDescent="0.2">
      <c r="B74" s="34"/>
      <c r="C74" s="29" t="s">
        <v>41</v>
      </c>
      <c r="D74" s="29"/>
      <c r="E74" s="15">
        <f ca="1">IF(AND(Data!$M$15=Data!$L$15,INDEX((INT((ROW()-34)/9)+1),1,1)&gt;Data!$L$16),"-",CORREL(OFFSET(Data!$B$183,INDEX((Data!$M$15-2005)*12+INT((ROW()-34)/9)+1-INT((COLUMN()-5)/2+1)*12+1,1,1),IF(LEFT($C74,6)="CPI VS",1,IF(LEFT($C74,6)="CPI食品 ",2,3)),INDEX(((COLUMN()-5)/2+1)*12,1,1),1),OFFSET(Data!$B$183,INDEX((Data!$M$15-2005)*12+INT((ROW()-34)/9)+1-INT((COLUMN()-5)/2+1)*12+1,1,1),IF(RIGHT($C74,4)=" PPI",4,IF(RIGHT($C74,4)="生产资料",5,6)),INDEX(((COLUMN()-5)/2+1)*12,1,1),1)))</f>
        <v>0.92489720940857856</v>
      </c>
      <c r="F74" s="30"/>
      <c r="G74" s="15">
        <f ca="1">IF(AND(Data!$M$15=Data!$L$15,INDEX((INT((ROW()-34)/9)+1),1,1)&gt;Data!$L$16),"-",CORREL(OFFSET(Data!$B$183,INDEX((Data!$M$15-2005)*12+INT((ROW()-34)/9)+1-INT((COLUMN()-5)/2+1)*12+1,1,1),IF(LEFT($C74,6)="CPI VS",1,IF(LEFT($C74,6)="CPI食品 ",2,3)),INDEX(((COLUMN()-5)/2+1)*12,1,1),1),OFFSET(Data!$B$183,INDEX((Data!$M$15-2005)*12+INT((ROW()-34)/9)+1-INT((COLUMN()-5)/2+1)*12+1,1,1),IF(RIGHT($C74,4)=" PPI",4,IF(RIGHT($C74,4)="生产资料",5,6)),INDEX(((COLUMN()-5)/2+1)*12,1,1),1)))</f>
        <v>0.75916803959760437</v>
      </c>
      <c r="H74" s="30"/>
      <c r="I74" s="15">
        <f ca="1">IF(AND(Data!$M$15=Data!$L$15,INDEX((INT((ROW()-34)/9)+1),1,1)&gt;Data!$L$16),"-",CORREL(OFFSET(Data!$B$183,INDEX((Data!$M$15-2005)*12+INT((ROW()-34)/9)+1-INT((COLUMN()-5)/2+1)*12+1,1,1),IF(LEFT($C74,6)="CPI VS",1,IF(LEFT($C74,6)="CPI食品 ",2,3)),INDEX(((COLUMN()-5)/2+1)*12,1,1),1),OFFSET(Data!$B$183,INDEX((Data!$M$15-2005)*12+INT((ROW()-34)/9)+1-INT((COLUMN()-5)/2+1)*12+1,1,1),IF(RIGHT($C74,4)=" PPI",4,IF(RIGHT($C74,4)="生产资料",5,6)),INDEX(((COLUMN()-5)/2+1)*12,1,1),1)))</f>
        <v>0.61876437143605834</v>
      </c>
      <c r="J74" s="30"/>
      <c r="K74" s="15">
        <f ca="1">IF(AND(Data!$M$15=Data!$L$15,INDEX((INT((ROW()-34)/9)+1),1,1)&gt;Data!$L$16),"-",CORREL(OFFSET(Data!$B$183,INDEX((Data!$M$15-2005)*12+INT((ROW()-34)/9)+1-INT((COLUMN()-5)/2+1)*12+1,1,1),IF(LEFT($C74,6)="CPI VS",1,IF(LEFT($C74,6)="CPI食品 ",2,3)),INDEX(((COLUMN()-5)/2+1)*12,1,1),1),OFFSET(Data!$B$183,INDEX((Data!$M$15-2005)*12+INT((ROW()-34)/9)+1-INT((COLUMN()-5)/2+1)*12+1,1,1),IF(RIGHT($C74,4)=" PPI",4,IF(RIGHT($C74,4)="生产资料",5,6)),INDEX(((COLUMN()-5)/2+1)*12,1,1),1)))</f>
        <v>0.46787850690855393</v>
      </c>
      <c r="L74" s="30"/>
      <c r="M74" s="15">
        <f ca="1">IF(AND(Data!$M$15=Data!$L$15,INDEX((INT((ROW()-34)/9)+1),1,1)&gt;Data!$L$16),"-",MAX(E74,MAX(G74,MAX(I74,K74))))</f>
        <v>0.92489720940857856</v>
      </c>
      <c r="N74" s="30"/>
    </row>
    <row r="75" spans="2:14" x14ac:dyDescent="0.2">
      <c r="B75" s="34"/>
      <c r="C75" s="29" t="s">
        <v>42</v>
      </c>
      <c r="D75" s="29"/>
      <c r="E75" s="15">
        <f ca="1">IF(AND(Data!$M$15=Data!$L$15,INDEX((INT((ROW()-34)/9)+1),1,1)&gt;Data!$L$16),"-",CORREL(OFFSET(Data!$B$183,INDEX((Data!$M$15-2005)*12+INT((ROW()-34)/9)+1-INT((COLUMN()-5)/2+1)*12+1,1,1),IF(LEFT($C75,6)="CPI VS",1,IF(LEFT($C75,6)="CPI食品 ",2,3)),INDEX(((COLUMN()-5)/2+1)*12,1,1),1),OFFSET(Data!$B$183,INDEX((Data!$M$15-2005)*12+INT((ROW()-34)/9)+1-INT((COLUMN()-5)/2+1)*12+1,1,1),IF(RIGHT($C75,4)=" PPI",4,IF(RIGHT($C75,4)="生产资料",5,6)),INDEX(((COLUMN()-5)/2+1)*12,1,1),1)))</f>
        <v>0.95623756242725</v>
      </c>
      <c r="F75" s="30"/>
      <c r="G75" s="15">
        <f ca="1">IF(AND(Data!$M$15=Data!$L$15,INDEX((INT((ROW()-34)/9)+1),1,1)&gt;Data!$L$16),"-",CORREL(OFFSET(Data!$B$183,INDEX((Data!$M$15-2005)*12+INT((ROW()-34)/9)+1-INT((COLUMN()-5)/2+1)*12+1,1,1),IF(LEFT($C75,6)="CPI VS",1,IF(LEFT($C75,6)="CPI食品 ",2,3)),INDEX(((COLUMN()-5)/2+1)*12,1,1),1),OFFSET(Data!$B$183,INDEX((Data!$M$15-2005)*12+INT((ROW()-34)/9)+1-INT((COLUMN()-5)/2+1)*12+1,1,1),IF(RIGHT($C75,4)=" PPI",4,IF(RIGHT($C75,4)="生产资料",5,6)),INDEX(((COLUMN()-5)/2+1)*12,1,1),1)))</f>
        <v>0.92564488557081337</v>
      </c>
      <c r="H75" s="30"/>
      <c r="I75" s="15">
        <f ca="1">IF(AND(Data!$M$15=Data!$L$15,INDEX((INT((ROW()-34)/9)+1),1,1)&gt;Data!$L$16),"-",CORREL(OFFSET(Data!$B$183,INDEX((Data!$M$15-2005)*12+INT((ROW()-34)/9)+1-INT((COLUMN()-5)/2+1)*12+1,1,1),IF(LEFT($C75,6)="CPI VS",1,IF(LEFT($C75,6)="CPI食品 ",2,3)),INDEX(((COLUMN()-5)/2+1)*12,1,1),1),OFFSET(Data!$B$183,INDEX((Data!$M$15-2005)*12+INT((ROW()-34)/9)+1-INT((COLUMN()-5)/2+1)*12+1,1,1),IF(RIGHT($C75,4)=" PPI",4,IF(RIGHT($C75,4)="生产资料",5,6)),INDEX(((COLUMN()-5)/2+1)*12,1,1),1)))</f>
        <v>0.93318812156401232</v>
      </c>
      <c r="J75" s="30"/>
      <c r="K75" s="15">
        <f ca="1">IF(AND(Data!$M$15=Data!$L$15,INDEX((INT((ROW()-34)/9)+1),1,1)&gt;Data!$L$16),"-",CORREL(OFFSET(Data!$B$183,INDEX((Data!$M$15-2005)*12+INT((ROW()-34)/9)+1-INT((COLUMN()-5)/2+1)*12+1,1,1),IF(LEFT($C75,6)="CPI VS",1,IF(LEFT($C75,6)="CPI食品 ",2,3)),INDEX(((COLUMN()-5)/2+1)*12,1,1),1),OFFSET(Data!$B$183,INDEX((Data!$M$15-2005)*12+INT((ROW()-34)/9)+1-INT((COLUMN()-5)/2+1)*12+1,1,1),IF(RIGHT($C75,4)=" PPI",4,IF(RIGHT($C75,4)="生产资料",5,6)),INDEX(((COLUMN()-5)/2+1)*12,1,1),1)))</f>
        <v>0.94482174438102862</v>
      </c>
      <c r="L75" s="30"/>
      <c r="M75" s="15">
        <f ca="1">IF(AND(Data!$M$15=Data!$L$15,INDEX((INT((ROW()-34)/9)+1),1,1)&gt;Data!$L$16),"-",MAX(E75,MAX(G75,MAX(I75,K75))))</f>
        <v>0.95623756242725</v>
      </c>
      <c r="N75" s="30"/>
    </row>
    <row r="76" spans="2:14" x14ac:dyDescent="0.2">
      <c r="B76" s="34"/>
      <c r="C76" s="29" t="s">
        <v>43</v>
      </c>
      <c r="D76" s="29"/>
      <c r="E76" s="15">
        <f ca="1">IF(AND(Data!$M$15=Data!$L$15,INDEX((INT((ROW()-34)/9)+1),1,1)&gt;Data!$L$16),"-",CORREL(OFFSET(Data!$B$183,INDEX((Data!$M$15-2005)*12+INT((ROW()-34)/9)+1-INT((COLUMN()-5)/2+1)*12+1,1,1),IF(LEFT($C76,6)="CPI VS",1,IF(LEFT($C76,6)="CPI食品 ",2,3)),INDEX(((COLUMN()-5)/2+1)*12,1,1),1),OFFSET(Data!$B$183,INDEX((Data!$M$15-2005)*12+INT((ROW()-34)/9)+1-INT((COLUMN()-5)/2+1)*12+1,1,1),IF(RIGHT($C76,4)=" PPI",4,IF(RIGHT($C76,4)="生产资料",5,6)),INDEX(((COLUMN()-5)/2+1)*12,1,1),1)))</f>
        <v>0.99713205722022014</v>
      </c>
      <c r="F76" s="30"/>
      <c r="G76" s="15">
        <f ca="1">IF(AND(Data!$M$15=Data!$L$15,INDEX((INT((ROW()-34)/9)+1),1,1)&gt;Data!$L$16),"-",CORREL(OFFSET(Data!$B$183,INDEX((Data!$M$15-2005)*12+INT((ROW()-34)/9)+1-INT((COLUMN()-5)/2+1)*12+1,1,1),IF(LEFT($C76,6)="CPI VS",1,IF(LEFT($C76,6)="CPI食品 ",2,3)),INDEX(((COLUMN()-5)/2+1)*12,1,1),1),OFFSET(Data!$B$183,INDEX((Data!$M$15-2005)*12+INT((ROW()-34)/9)+1-INT((COLUMN()-5)/2+1)*12+1,1,1),IF(RIGHT($C76,4)=" PPI",4,IF(RIGHT($C76,4)="生产资料",5,6)),INDEX(((COLUMN()-5)/2+1)*12,1,1),1)))</f>
        <v>0.98576390658628732</v>
      </c>
      <c r="H76" s="30"/>
      <c r="I76" s="15">
        <f ca="1">IF(AND(Data!$M$15=Data!$L$15,INDEX((INT((ROW()-34)/9)+1),1,1)&gt;Data!$L$16),"-",CORREL(OFFSET(Data!$B$183,INDEX((Data!$M$15-2005)*12+INT((ROW()-34)/9)+1-INT((COLUMN()-5)/2+1)*12+1,1,1),IF(LEFT($C76,6)="CPI VS",1,IF(LEFT($C76,6)="CPI食品 ",2,3)),INDEX(((COLUMN()-5)/2+1)*12,1,1),1),OFFSET(Data!$B$183,INDEX((Data!$M$15-2005)*12+INT((ROW()-34)/9)+1-INT((COLUMN()-5)/2+1)*12+1,1,1),IF(RIGHT($C76,4)=" PPI",4,IF(RIGHT($C76,4)="生产资料",5,6)),INDEX(((COLUMN()-5)/2+1)*12,1,1),1)))</f>
        <v>0.97462826030688166</v>
      </c>
      <c r="J76" s="30"/>
      <c r="K76" s="15">
        <f ca="1">IF(AND(Data!$M$15=Data!$L$15,INDEX((INT((ROW()-34)/9)+1),1,1)&gt;Data!$L$16),"-",CORREL(OFFSET(Data!$B$183,INDEX((Data!$M$15-2005)*12+INT((ROW()-34)/9)+1-INT((COLUMN()-5)/2+1)*12+1,1,1),IF(LEFT($C76,6)="CPI VS",1,IF(LEFT($C76,6)="CPI食品 ",2,3)),INDEX(((COLUMN()-5)/2+1)*12,1,1),1),OFFSET(Data!$B$183,INDEX((Data!$M$15-2005)*12+INT((ROW()-34)/9)+1-INT((COLUMN()-5)/2+1)*12+1,1,1),IF(RIGHT($C76,4)=" PPI",4,IF(RIGHT($C76,4)="生产资料",5,6)),INDEX(((COLUMN()-5)/2+1)*12,1,1),1)))</f>
        <v>0.96925614011147843</v>
      </c>
      <c r="L76" s="30"/>
      <c r="M76" s="15">
        <f ca="1">IF(AND(Data!$M$15=Data!$L$15,INDEX((INT((ROW()-34)/9)+1),1,1)&gt;Data!$L$16),"-",MAX(E76,MAX(G76,MAX(I76,K76))))</f>
        <v>0.99713205722022014</v>
      </c>
      <c r="N76" s="30"/>
    </row>
    <row r="77" spans="2:14" x14ac:dyDescent="0.2">
      <c r="B77" s="34"/>
      <c r="C77" s="29" t="s">
        <v>44</v>
      </c>
      <c r="D77" s="29"/>
      <c r="E77" s="15">
        <f ca="1">IF(AND(Data!$M$15=Data!$L$15,INDEX((INT((ROW()-34)/9)+1),1,1)&gt;Data!$L$16),"-",CORREL(OFFSET(Data!$B$183,INDEX((Data!$M$15-2005)*12+INT((ROW()-34)/9)+1-INT((COLUMN()-5)/2+1)*12+1,1,1),IF(LEFT($C77,6)="CPI VS",1,IF(LEFT($C77,6)="CPI食品 ",2,3)),INDEX(((COLUMN()-5)/2+1)*12,1,1),1),OFFSET(Data!$B$183,INDEX((Data!$M$15-2005)*12+INT((ROW()-34)/9)+1-INT((COLUMN()-5)/2+1)*12+1,1,1),IF(RIGHT($C77,4)=" PPI",4,IF(RIGHT($C77,4)="生产资料",5,6)),INDEX(((COLUMN()-5)/2+1)*12,1,1),1)))</f>
        <v>0.99678213857023512</v>
      </c>
      <c r="F77" s="30"/>
      <c r="G77" s="15">
        <f ca="1">IF(AND(Data!$M$15=Data!$L$15,INDEX((INT((ROW()-34)/9)+1),1,1)&gt;Data!$L$16),"-",CORREL(OFFSET(Data!$B$183,INDEX((Data!$M$15-2005)*12+INT((ROW()-34)/9)+1-INT((COLUMN()-5)/2+1)*12+1,1,1),IF(LEFT($C77,6)="CPI VS",1,IF(LEFT($C77,6)="CPI食品 ",2,3)),INDEX(((COLUMN()-5)/2+1)*12,1,1),1),OFFSET(Data!$B$183,INDEX((Data!$M$15-2005)*12+INT((ROW()-34)/9)+1-INT((COLUMN()-5)/2+1)*12+1,1,1),IF(RIGHT($C77,4)=" PPI",4,IF(RIGHT($C77,4)="生产资料",5,6)),INDEX(((COLUMN()-5)/2+1)*12,1,1),1)))</f>
        <v>0.98187887547462116</v>
      </c>
      <c r="H77" s="30"/>
      <c r="I77" s="15">
        <f ca="1">IF(AND(Data!$M$15=Data!$L$15,INDEX((INT((ROW()-34)/9)+1),1,1)&gt;Data!$L$16),"-",CORREL(OFFSET(Data!$B$183,INDEX((Data!$M$15-2005)*12+INT((ROW()-34)/9)+1-INT((COLUMN()-5)/2+1)*12+1,1,1),IF(LEFT($C77,6)="CPI VS",1,IF(LEFT($C77,6)="CPI食品 ",2,3)),INDEX(((COLUMN()-5)/2+1)*12,1,1),1),OFFSET(Data!$B$183,INDEX((Data!$M$15-2005)*12+INT((ROW()-34)/9)+1-INT((COLUMN()-5)/2+1)*12+1,1,1),IF(RIGHT($C77,4)=" PPI",4,IF(RIGHT($C77,4)="生产资料",5,6)),INDEX(((COLUMN()-5)/2+1)*12,1,1),1)))</f>
        <v>0.97559902825817157</v>
      </c>
      <c r="J77" s="30"/>
      <c r="K77" s="15">
        <f ca="1">IF(AND(Data!$M$15=Data!$L$15,INDEX((INT((ROW()-34)/9)+1),1,1)&gt;Data!$L$16),"-",CORREL(OFFSET(Data!$B$183,INDEX((Data!$M$15-2005)*12+INT((ROW()-34)/9)+1-INT((COLUMN()-5)/2+1)*12+1,1,1),IF(LEFT($C77,6)="CPI VS",1,IF(LEFT($C77,6)="CPI食品 ",2,3)),INDEX(((COLUMN()-5)/2+1)*12,1,1),1),OFFSET(Data!$B$183,INDEX((Data!$M$15-2005)*12+INT((ROW()-34)/9)+1-INT((COLUMN()-5)/2+1)*12+1,1,1),IF(RIGHT($C77,4)=" PPI",4,IF(RIGHT($C77,4)="生产资料",5,6)),INDEX(((COLUMN()-5)/2+1)*12,1,1),1)))</f>
        <v>0.97149448558723517</v>
      </c>
      <c r="L77" s="30"/>
      <c r="M77" s="15">
        <f ca="1">IF(AND(Data!$M$15=Data!$L$15,INDEX((INT((ROW()-34)/9)+1),1,1)&gt;Data!$L$16),"-",MAX(E77,MAX(G77,MAX(I77,K77))))</f>
        <v>0.99678213857023512</v>
      </c>
      <c r="N77" s="30"/>
    </row>
    <row r="78" spans="2:14" x14ac:dyDescent="0.2">
      <c r="B78" s="34"/>
      <c r="C78" s="29" t="s">
        <v>45</v>
      </c>
      <c r="D78" s="29"/>
      <c r="E78" s="15">
        <f ca="1">IF(AND(Data!$M$15=Data!$L$15,INDEX((INT((ROW()-34)/9)+1),1,1)&gt;Data!$L$16),"-",CORREL(OFFSET(Data!$B$183,INDEX((Data!$M$15-2005)*12+INT((ROW()-34)/9)+1-INT((COLUMN()-5)/2+1)*12+1,1,1),IF(LEFT($C78,6)="CPI VS",1,IF(LEFT($C78,6)="CPI食品 ",2,3)),INDEX(((COLUMN()-5)/2+1)*12,1,1),1),OFFSET(Data!$B$183,INDEX((Data!$M$15-2005)*12+INT((ROW()-34)/9)+1-INT((COLUMN()-5)/2+1)*12+1,1,1),IF(RIGHT($C78,4)=" PPI",4,IF(RIGHT($C78,4)="生产资料",5,6)),INDEX(((COLUMN()-5)/2+1)*12,1,1),1)))</f>
        <v>0.98432488411264885</v>
      </c>
      <c r="F78" s="30"/>
      <c r="G78" s="15">
        <f ca="1">IF(AND(Data!$M$15=Data!$L$15,INDEX((INT((ROW()-34)/9)+1),1,1)&gt;Data!$L$16),"-",CORREL(OFFSET(Data!$B$183,INDEX((Data!$M$15-2005)*12+INT((ROW()-34)/9)+1-INT((COLUMN()-5)/2+1)*12+1,1,1),IF(LEFT($C78,6)="CPI VS",1,IF(LEFT($C78,6)="CPI食品 ",2,3)),INDEX(((COLUMN()-5)/2+1)*12,1,1),1),OFFSET(Data!$B$183,INDEX((Data!$M$15-2005)*12+INT((ROW()-34)/9)+1-INT((COLUMN()-5)/2+1)*12+1,1,1),IF(RIGHT($C78,4)=" PPI",4,IF(RIGHT($C78,4)="生产资料",5,6)),INDEX(((COLUMN()-5)/2+1)*12,1,1),1)))</f>
        <v>0.96322758002319542</v>
      </c>
      <c r="H78" s="30"/>
      <c r="I78" s="15">
        <f ca="1">IF(AND(Data!$M$15=Data!$L$15,INDEX((INT((ROW()-34)/9)+1),1,1)&gt;Data!$L$16),"-",CORREL(OFFSET(Data!$B$183,INDEX((Data!$M$15-2005)*12+INT((ROW()-34)/9)+1-INT((COLUMN()-5)/2+1)*12+1,1,1),IF(LEFT($C78,6)="CPI VS",1,IF(LEFT($C78,6)="CPI食品 ",2,3)),INDEX(((COLUMN()-5)/2+1)*12,1,1),1),OFFSET(Data!$B$183,INDEX((Data!$M$15-2005)*12+INT((ROW()-34)/9)+1-INT((COLUMN()-5)/2+1)*12+1,1,1),IF(RIGHT($C78,4)=" PPI",4,IF(RIGHT($C78,4)="生产资料",5,6)),INDEX(((COLUMN()-5)/2+1)*12,1,1),1)))</f>
        <v>0.79988151946112362</v>
      </c>
      <c r="J78" s="30"/>
      <c r="K78" s="15">
        <f ca="1">IF(AND(Data!$M$15=Data!$L$15,INDEX((INT((ROW()-34)/9)+1),1,1)&gt;Data!$L$16),"-",CORREL(OFFSET(Data!$B$183,INDEX((Data!$M$15-2005)*12+INT((ROW()-34)/9)+1-INT((COLUMN()-5)/2+1)*12+1,1,1),IF(LEFT($C78,6)="CPI VS",1,IF(LEFT($C78,6)="CPI食品 ",2,3)),INDEX(((COLUMN()-5)/2+1)*12,1,1),1),OFFSET(Data!$B$183,INDEX((Data!$M$15-2005)*12+INT((ROW()-34)/9)+1-INT((COLUMN()-5)/2+1)*12+1,1,1),IF(RIGHT($C78,4)=" PPI",4,IF(RIGHT($C78,4)="生产资料",5,6)),INDEX(((COLUMN()-5)/2+1)*12,1,1),1)))</f>
        <v>0.60286651311546924</v>
      </c>
      <c r="L78" s="30"/>
      <c r="M78" s="15">
        <f ca="1">IF(AND(Data!$M$15=Data!$L$15,INDEX((INT((ROW()-34)/9)+1),1,1)&gt;Data!$L$16),"-",MAX(E78,MAX(G78,MAX(I78,K78))))</f>
        <v>0.98432488411264885</v>
      </c>
      <c r="N78" s="30"/>
    </row>
    <row r="79" spans="2:14" x14ac:dyDescent="0.2">
      <c r="B79" s="34" t="s">
        <v>26</v>
      </c>
      <c r="C79" s="29" t="s">
        <v>0</v>
      </c>
      <c r="D79" s="29"/>
      <c r="E79" s="15">
        <f ca="1">IF(AND(Data!$M$15=Data!$L$15,INDEX((INT((ROW()-34)/9)+1),1,1)&gt;Data!$L$16),"-",CORREL(OFFSET(Data!$B$183,INDEX((Data!$M$15-2005)*12+INT((ROW()-34)/9)+1-INT((COLUMN()-5)/2+1)*12+1,1,1),IF(LEFT($C79,6)="CPI VS",1,IF(LEFT($C79,6)="CPI食品 ",2,3)),INDEX(((COLUMN()-5)/2+1)*12,1,1),1),OFFSET(Data!$B$183,INDEX((Data!$M$15-2005)*12+INT((ROW()-34)/9)+1-INT((COLUMN()-5)/2+1)*12+1,1,1),IF(RIGHT($C79,4)=" PPI",4,IF(RIGHT($C79,4)="生产资料",5,6)),INDEX(((COLUMN()-5)/2+1)*12,1,1),1)))</f>
        <v>0.97997866115703725</v>
      </c>
      <c r="F79" s="30">
        <f ca="1">IF(ISERROR(AVERAGE(E79,E87)),"-",AVERAGE(E79,E87))</f>
        <v>0.98436465630382597</v>
      </c>
      <c r="G79" s="15">
        <f ca="1">IF(AND(Data!$M$15=Data!$L$15,INDEX((INT((ROW()-34)/9)+1),1,1)&gt;Data!$L$16),"-",CORREL(OFFSET(Data!$B$183,INDEX((Data!$M$15-2005)*12+INT((ROW()-34)/9)+1-INT((COLUMN()-5)/2+1)*12+1,1,1),IF(LEFT($C79,6)="CPI VS",1,IF(LEFT($C79,6)="CPI食品 ",2,3)),INDEX(((COLUMN()-5)/2+1)*12,1,1),1),OFFSET(Data!$B$183,INDEX((Data!$M$15-2005)*12+INT((ROW()-34)/9)+1-INT((COLUMN()-5)/2+1)*12+1,1,1),IF(RIGHT($C79,4)=" PPI",4,IF(RIGHT($C79,4)="生产资料",5,6)),INDEX(((COLUMN()-5)/2+1)*12,1,1),1)))</f>
        <v>0.88243984358079774</v>
      </c>
      <c r="H79" s="30">
        <f ca="1">IF(ISERROR(AVERAGE(G79,G87)),"-",AVERAGE(G79,G87))</f>
        <v>0.92639976635828947</v>
      </c>
      <c r="I79" s="15">
        <f ca="1">IF(AND(Data!$M$15=Data!$L$15,INDEX((INT((ROW()-34)/9)+1),1,1)&gt;Data!$L$16),"-",CORREL(OFFSET(Data!$B$183,INDEX((Data!$M$15-2005)*12+INT((ROW()-34)/9)+1-INT((COLUMN()-5)/2+1)*12+1,1,1),IF(LEFT($C79,6)="CPI VS",1,IF(LEFT($C79,6)="CPI食品 ",2,3)),INDEX(((COLUMN()-5)/2+1)*12,1,1),1),OFFSET(Data!$B$183,INDEX((Data!$M$15-2005)*12+INT((ROW()-34)/9)+1-INT((COLUMN()-5)/2+1)*12+1,1,1),IF(RIGHT($C79,4)=" PPI",4,IF(RIGHT($C79,4)="生产资料",5,6)),INDEX(((COLUMN()-5)/2+1)*12,1,1),1)))</f>
        <v>0.81800579483920155</v>
      </c>
      <c r="J79" s="30">
        <f ca="1">IF(ISERROR(AVERAGE(I79,I87)),"-",AVERAGE(I79,I87))</f>
        <v>0.83412375165906416</v>
      </c>
      <c r="K79" s="15">
        <f ca="1">IF(AND(Data!$M$15=Data!$L$15,INDEX((INT((ROW()-34)/9)+1),1,1)&gt;Data!$L$16),"-",CORREL(OFFSET(Data!$B$183,INDEX((Data!$M$15-2005)*12+INT((ROW()-34)/9)+1-INT((COLUMN()-5)/2+1)*12+1,1,1),IF(LEFT($C79,6)="CPI VS",1,IF(LEFT($C79,6)="CPI食品 ",2,3)),INDEX(((COLUMN()-5)/2+1)*12,1,1),1),OFFSET(Data!$B$183,INDEX((Data!$M$15-2005)*12+INT((ROW()-34)/9)+1-INT((COLUMN()-5)/2+1)*12+1,1,1),IF(RIGHT($C79,4)=" PPI",4,IF(RIGHT($C79,4)="生产资料",5,6)),INDEX(((COLUMN()-5)/2+1)*12,1,1),1)))</f>
        <v>0.73565002636508969</v>
      </c>
      <c r="L79" s="30">
        <f ca="1">IF(ISERROR(AVERAGE(K79,K87)),"-",AVERAGE(K79,K87))</f>
        <v>0.69079481768563644</v>
      </c>
      <c r="M79" s="15">
        <f ca="1">IF(AND(Data!$M$15=Data!$L$15,INDEX((INT((ROW()-34)/9)+1),1,1)&gt;Data!$L$16),"-",MAX(E79,MAX(G79,MAX(I79,K79))))</f>
        <v>0.97997866115703725</v>
      </c>
      <c r="N79" s="30">
        <f ca="1">IF(AND(Data!$M$15=Data!$L$15,INDEX((INT((ROW()-34)/9)+1),1,1)&gt;Data!$L$16),"-",MAX(F79,MAX(H79,MAX(J79,L79))))</f>
        <v>0.98436465630382597</v>
      </c>
    </row>
    <row r="80" spans="2:14" x14ac:dyDescent="0.2">
      <c r="B80" s="34"/>
      <c r="C80" s="29" t="s">
        <v>38</v>
      </c>
      <c r="D80" s="29"/>
      <c r="E80" s="15">
        <f ca="1">IF(AND(Data!$M$15=Data!$L$15,INDEX((INT((ROW()-34)/9)+1),1,1)&gt;Data!$L$16),"-",CORREL(OFFSET(Data!$B$183,INDEX((Data!$M$15-2005)*12+INT((ROW()-34)/9)+1-INT((COLUMN()-5)/2+1)*12+1,1,1),IF(LEFT($C80,6)="CPI VS",1,IF(LEFT($C80,6)="CPI食品 ",2,3)),INDEX(((COLUMN()-5)/2+1)*12,1,1),1),OFFSET(Data!$B$183,INDEX((Data!$M$15-2005)*12+INT((ROW()-34)/9)+1-INT((COLUMN()-5)/2+1)*12+1,1,1),IF(RIGHT($C80,4)=" PPI",4,IF(RIGHT($C80,4)="生产资料",5,6)),INDEX(((COLUMN()-5)/2+1)*12,1,1),1)))</f>
        <v>0.97859531928971166</v>
      </c>
      <c r="F80" s="30"/>
      <c r="G80" s="15">
        <f ca="1">IF(AND(Data!$M$15=Data!$L$15,INDEX((INT((ROW()-34)/9)+1),1,1)&gt;Data!$L$16),"-",CORREL(OFFSET(Data!$B$183,INDEX((Data!$M$15-2005)*12+INT((ROW()-34)/9)+1-INT((COLUMN()-5)/2+1)*12+1,1,1),IF(LEFT($C80,6)="CPI VS",1,IF(LEFT($C80,6)="CPI食品 ",2,3)),INDEX(((COLUMN()-5)/2+1)*12,1,1),1),OFFSET(Data!$B$183,INDEX((Data!$M$15-2005)*12+INT((ROW()-34)/9)+1-INT((COLUMN()-5)/2+1)*12+1,1,1),IF(RIGHT($C80,4)=" PPI",4,IF(RIGHT($C80,4)="生产资料",5,6)),INDEX(((COLUMN()-5)/2+1)*12,1,1),1)))</f>
        <v>0.86748882500622781</v>
      </c>
      <c r="H80" s="30"/>
      <c r="I80" s="15">
        <f ca="1">IF(AND(Data!$M$15=Data!$L$15,INDEX((INT((ROW()-34)/9)+1),1,1)&gt;Data!$L$16),"-",CORREL(OFFSET(Data!$B$183,INDEX((Data!$M$15-2005)*12+INT((ROW()-34)/9)+1-INT((COLUMN()-5)/2+1)*12+1,1,1),IF(LEFT($C80,6)="CPI VS",1,IF(LEFT($C80,6)="CPI食品 ",2,3)),INDEX(((COLUMN()-5)/2+1)*12,1,1),1),OFFSET(Data!$B$183,INDEX((Data!$M$15-2005)*12+INT((ROW()-34)/9)+1-INT((COLUMN()-5)/2+1)*12+1,1,1),IF(RIGHT($C80,4)=" PPI",4,IF(RIGHT($C80,4)="生产资料",5,6)),INDEX(((COLUMN()-5)/2+1)*12,1,1),1)))</f>
        <v>0.78482584916218434</v>
      </c>
      <c r="J80" s="30"/>
      <c r="K80" s="15">
        <f ca="1">IF(AND(Data!$M$15=Data!$L$15,INDEX((INT((ROW()-34)/9)+1),1,1)&gt;Data!$L$16),"-",CORREL(OFFSET(Data!$B$183,INDEX((Data!$M$15-2005)*12+INT((ROW()-34)/9)+1-INT((COLUMN()-5)/2+1)*12+1,1,1),IF(LEFT($C80,6)="CPI VS",1,IF(LEFT($C80,6)="CPI食品 ",2,3)),INDEX(((COLUMN()-5)/2+1)*12,1,1),1),OFFSET(Data!$B$183,INDEX((Data!$M$15-2005)*12+INT((ROW()-34)/9)+1-INT((COLUMN()-5)/2+1)*12+1,1,1),IF(RIGHT($C80,4)=" PPI",4,IF(RIGHT($C80,4)="生产资料",5,6)),INDEX(((COLUMN()-5)/2+1)*12,1,1),1)))</f>
        <v>0.66603492099124795</v>
      </c>
      <c r="L80" s="30"/>
      <c r="M80" s="15">
        <f ca="1">IF(AND(Data!$M$15=Data!$L$15,INDEX((INT((ROW()-34)/9)+1),1,1)&gt;Data!$L$16),"-",MAX(E80,MAX(G80,MAX(I80,K80))))</f>
        <v>0.97859531928971166</v>
      </c>
      <c r="N80" s="30"/>
    </row>
    <row r="81" spans="2:14" x14ac:dyDescent="0.2">
      <c r="B81" s="34"/>
      <c r="C81" s="29" t="s">
        <v>39</v>
      </c>
      <c r="D81" s="29"/>
      <c r="E81" s="15">
        <f ca="1">IF(AND(Data!$M$15=Data!$L$15,INDEX((INT((ROW()-34)/9)+1),1,1)&gt;Data!$L$16),"-",CORREL(OFFSET(Data!$B$183,INDEX((Data!$M$15-2005)*12+INT((ROW()-34)/9)+1-INT((COLUMN()-5)/2+1)*12+1,1,1),IF(LEFT($C81,6)="CPI VS",1,IF(LEFT($C81,6)="CPI食品 ",2,3)),INDEX(((COLUMN()-5)/2+1)*12,1,1),1),OFFSET(Data!$B$183,INDEX((Data!$M$15-2005)*12+INT((ROW()-34)/9)+1-INT((COLUMN()-5)/2+1)*12+1,1,1),IF(RIGHT($C81,4)=" PPI",4,IF(RIGHT($C81,4)="生产资料",5,6)),INDEX(((COLUMN()-5)/2+1)*12,1,1),1)))</f>
        <v>0.98139563385354633</v>
      </c>
      <c r="F81" s="30"/>
      <c r="G81" s="15">
        <f ca="1">IF(AND(Data!$M$15=Data!$L$15,INDEX((INT((ROW()-34)/9)+1),1,1)&gt;Data!$L$16),"-",CORREL(OFFSET(Data!$B$183,INDEX((Data!$M$15-2005)*12+INT((ROW()-34)/9)+1-INT((COLUMN()-5)/2+1)*12+1,1,1),IF(LEFT($C81,6)="CPI VS",1,IF(LEFT($C81,6)="CPI食品 ",2,3)),INDEX(((COLUMN()-5)/2+1)*12,1,1),1),OFFSET(Data!$B$183,INDEX((Data!$M$15-2005)*12+INT((ROW()-34)/9)+1-INT((COLUMN()-5)/2+1)*12+1,1,1),IF(RIGHT($C81,4)=" PPI",4,IF(RIGHT($C81,4)="生产资料",5,6)),INDEX(((COLUMN()-5)/2+1)*12,1,1),1)))</f>
        <v>0.97148703491718513</v>
      </c>
      <c r="H81" s="30"/>
      <c r="I81" s="15">
        <f ca="1">IF(AND(Data!$M$15=Data!$L$15,INDEX((INT((ROW()-34)/9)+1),1,1)&gt;Data!$L$16),"-",CORREL(OFFSET(Data!$B$183,INDEX((Data!$M$15-2005)*12+INT((ROW()-34)/9)+1-INT((COLUMN()-5)/2+1)*12+1,1,1),IF(LEFT($C81,6)="CPI VS",1,IF(LEFT($C81,6)="CPI食品 ",2,3)),INDEX(((COLUMN()-5)/2+1)*12,1,1),1),OFFSET(Data!$B$183,INDEX((Data!$M$15-2005)*12+INT((ROW()-34)/9)+1-INT((COLUMN()-5)/2+1)*12+1,1,1),IF(RIGHT($C81,4)=" PPI",4,IF(RIGHT($C81,4)="生产资料",5,6)),INDEX(((COLUMN()-5)/2+1)*12,1,1),1)))</f>
        <v>0.97137567447732087</v>
      </c>
      <c r="J81" s="30"/>
      <c r="K81" s="15">
        <f ca="1">IF(AND(Data!$M$15=Data!$L$15,INDEX((INT((ROW()-34)/9)+1),1,1)&gt;Data!$L$16),"-",CORREL(OFFSET(Data!$B$183,INDEX((Data!$M$15-2005)*12+INT((ROW()-34)/9)+1-INT((COLUMN()-5)/2+1)*12+1,1,1),IF(LEFT($C81,6)="CPI VS",1,IF(LEFT($C81,6)="CPI食品 ",2,3)),INDEX(((COLUMN()-5)/2+1)*12,1,1),1),OFFSET(Data!$B$183,INDEX((Data!$M$15-2005)*12+INT((ROW()-34)/9)+1-INT((COLUMN()-5)/2+1)*12+1,1,1),IF(RIGHT($C81,4)=" PPI",4,IF(RIGHT($C81,4)="生产资料",5,6)),INDEX(((COLUMN()-5)/2+1)*12,1,1),1)))</f>
        <v>0.95972799607530379</v>
      </c>
      <c r="L81" s="30"/>
      <c r="M81" s="15">
        <f ca="1">IF(AND(Data!$M$15=Data!$L$15,INDEX((INT((ROW()-34)/9)+1),1,1)&gt;Data!$L$16),"-",MAX(E81,MAX(G81,MAX(I81,K81))))</f>
        <v>0.98139563385354633</v>
      </c>
      <c r="N81" s="30"/>
    </row>
    <row r="82" spans="2:14" x14ac:dyDescent="0.2">
      <c r="B82" s="34"/>
      <c r="C82" s="29" t="s">
        <v>40</v>
      </c>
      <c r="D82" s="29"/>
      <c r="E82" s="15">
        <f ca="1">IF(AND(Data!$M$15=Data!$L$15,INDEX((INT((ROW()-34)/9)+1),1,1)&gt;Data!$L$16),"-",CORREL(OFFSET(Data!$B$183,INDEX((Data!$M$15-2005)*12+INT((ROW()-34)/9)+1-INT((COLUMN()-5)/2+1)*12+1,1,1),IF(LEFT($C82,6)="CPI VS",1,IF(LEFT($C82,6)="CPI食品 ",2,3)),INDEX(((COLUMN()-5)/2+1)*12,1,1),1),OFFSET(Data!$B$183,INDEX((Data!$M$15-2005)*12+INT((ROW()-34)/9)+1-INT((COLUMN()-5)/2+1)*12+1,1,1),IF(RIGHT($C82,4)=" PPI",4,IF(RIGHT($C82,4)="生产资料",5,6)),INDEX(((COLUMN()-5)/2+1)*12,1,1),1)))</f>
        <v>0.95856155553109468</v>
      </c>
      <c r="F82" s="30"/>
      <c r="G82" s="15">
        <f ca="1">IF(AND(Data!$M$15=Data!$L$15,INDEX((INT((ROW()-34)/9)+1),1,1)&gt;Data!$L$16),"-",CORREL(OFFSET(Data!$B$183,INDEX((Data!$M$15-2005)*12+INT((ROW()-34)/9)+1-INT((COLUMN()-5)/2+1)*12+1,1,1),IF(LEFT($C82,6)="CPI VS",1,IF(LEFT($C82,6)="CPI食品 ",2,3)),INDEX(((COLUMN()-5)/2+1)*12,1,1),1),OFFSET(Data!$B$183,INDEX((Data!$M$15-2005)*12+INT((ROW()-34)/9)+1-INT((COLUMN()-5)/2+1)*12+1,1,1),IF(RIGHT($C82,4)=" PPI",4,IF(RIGHT($C82,4)="生产资料",5,6)),INDEX(((COLUMN()-5)/2+1)*12,1,1),1)))</f>
        <v>0.80514778109248686</v>
      </c>
      <c r="H82" s="30"/>
      <c r="I82" s="15">
        <f ca="1">IF(AND(Data!$M$15=Data!$L$15,INDEX((INT((ROW()-34)/9)+1),1,1)&gt;Data!$L$16),"-",CORREL(OFFSET(Data!$B$183,INDEX((Data!$M$15-2005)*12+INT((ROW()-34)/9)+1-INT((COLUMN()-5)/2+1)*12+1,1,1),IF(LEFT($C82,6)="CPI VS",1,IF(LEFT($C82,6)="CPI食品 ",2,3)),INDEX(((COLUMN()-5)/2+1)*12,1,1),1),OFFSET(Data!$B$183,INDEX((Data!$M$15-2005)*12+INT((ROW()-34)/9)+1-INT((COLUMN()-5)/2+1)*12+1,1,1),IF(RIGHT($C82,4)=" PPI",4,IF(RIGHT($C82,4)="生产资料",5,6)),INDEX(((COLUMN()-5)/2+1)*12,1,1),1)))</f>
        <v>0.70086038510019799</v>
      </c>
      <c r="J82" s="30"/>
      <c r="K82" s="15">
        <f ca="1">IF(AND(Data!$M$15=Data!$L$15,INDEX((INT((ROW()-34)/9)+1),1,1)&gt;Data!$L$16),"-",CORREL(OFFSET(Data!$B$183,INDEX((Data!$M$15-2005)*12+INT((ROW()-34)/9)+1-INT((COLUMN()-5)/2+1)*12+1,1,1),IF(LEFT($C82,6)="CPI VS",1,IF(LEFT($C82,6)="CPI食品 ",2,3)),INDEX(((COLUMN()-5)/2+1)*12,1,1),1),OFFSET(Data!$B$183,INDEX((Data!$M$15-2005)*12+INT((ROW()-34)/9)+1-INT((COLUMN()-5)/2+1)*12+1,1,1),IF(RIGHT($C82,4)=" PPI",4,IF(RIGHT($C82,4)="生产资料",5,6)),INDEX(((COLUMN()-5)/2+1)*12,1,1),1)))</f>
        <v>0.58822763635594899</v>
      </c>
      <c r="L82" s="30"/>
      <c r="M82" s="15">
        <f ca="1">IF(AND(Data!$M$15=Data!$L$15,INDEX((INT((ROW()-34)/9)+1),1,1)&gt;Data!$L$16),"-",MAX(E82,MAX(G82,MAX(I82,K82))))</f>
        <v>0.95856155553109468</v>
      </c>
      <c r="N82" s="30"/>
    </row>
    <row r="83" spans="2:14" x14ac:dyDescent="0.2">
      <c r="B83" s="34"/>
      <c r="C83" s="29" t="s">
        <v>41</v>
      </c>
      <c r="D83" s="29"/>
      <c r="E83" s="15">
        <f ca="1">IF(AND(Data!$M$15=Data!$L$15,INDEX((INT((ROW()-34)/9)+1),1,1)&gt;Data!$L$16),"-",CORREL(OFFSET(Data!$B$183,INDEX((Data!$M$15-2005)*12+INT((ROW()-34)/9)+1-INT((COLUMN()-5)/2+1)*12+1,1,1),IF(LEFT($C83,6)="CPI VS",1,IF(LEFT($C83,6)="CPI食品 ",2,3)),INDEX(((COLUMN()-5)/2+1)*12,1,1),1),OFFSET(Data!$B$183,INDEX((Data!$M$15-2005)*12+INT((ROW()-34)/9)+1-INT((COLUMN()-5)/2+1)*12+1,1,1),IF(RIGHT($C83,4)=" PPI",4,IF(RIGHT($C83,4)="生产资料",5,6)),INDEX(((COLUMN()-5)/2+1)*12,1,1),1)))</f>
        <v>0.95667669826129342</v>
      </c>
      <c r="F83" s="30"/>
      <c r="G83" s="15">
        <f ca="1">IF(AND(Data!$M$15=Data!$L$15,INDEX((INT((ROW()-34)/9)+1),1,1)&gt;Data!$L$16),"-",CORREL(OFFSET(Data!$B$183,INDEX((Data!$M$15-2005)*12+INT((ROW()-34)/9)+1-INT((COLUMN()-5)/2+1)*12+1,1,1),IF(LEFT($C83,6)="CPI VS",1,IF(LEFT($C83,6)="CPI食品 ",2,3)),INDEX(((COLUMN()-5)/2+1)*12,1,1),1),OFFSET(Data!$B$183,INDEX((Data!$M$15-2005)*12+INT((ROW()-34)/9)+1-INT((COLUMN()-5)/2+1)*12+1,1,1),IF(RIGHT($C83,4)=" PPI",4,IF(RIGHT($C83,4)="生产资料",5,6)),INDEX(((COLUMN()-5)/2+1)*12,1,1),1)))</f>
        <v>0.786424934293672</v>
      </c>
      <c r="H83" s="30"/>
      <c r="I83" s="15">
        <f ca="1">IF(AND(Data!$M$15=Data!$L$15,INDEX((INT((ROW()-34)/9)+1),1,1)&gt;Data!$L$16),"-",CORREL(OFFSET(Data!$B$183,INDEX((Data!$M$15-2005)*12+INT((ROW()-34)/9)+1-INT((COLUMN()-5)/2+1)*12+1,1,1),IF(LEFT($C83,6)="CPI VS",1,IF(LEFT($C83,6)="CPI食品 ",2,3)),INDEX(((COLUMN()-5)/2+1)*12,1,1),1),OFFSET(Data!$B$183,INDEX((Data!$M$15-2005)*12+INT((ROW()-34)/9)+1-INT((COLUMN()-5)/2+1)*12+1,1,1),IF(RIGHT($C83,4)=" PPI",4,IF(RIGHT($C83,4)="生产资料",5,6)),INDEX(((COLUMN()-5)/2+1)*12,1,1),1)))</f>
        <v>0.65979328457705977</v>
      </c>
      <c r="J83" s="30"/>
      <c r="K83" s="15">
        <f ca="1">IF(AND(Data!$M$15=Data!$L$15,INDEX((INT((ROW()-34)/9)+1),1,1)&gt;Data!$L$16),"-",CORREL(OFFSET(Data!$B$183,INDEX((Data!$M$15-2005)*12+INT((ROW()-34)/9)+1-INT((COLUMN()-5)/2+1)*12+1,1,1),IF(LEFT($C83,6)="CPI VS",1,IF(LEFT($C83,6)="CPI食品 ",2,3)),INDEX(((COLUMN()-5)/2+1)*12,1,1),1),OFFSET(Data!$B$183,INDEX((Data!$M$15-2005)*12+INT((ROW()-34)/9)+1-INT((COLUMN()-5)/2+1)*12+1,1,1),IF(RIGHT($C83,4)=" PPI",4,IF(RIGHT($C83,4)="生产资料",5,6)),INDEX(((COLUMN()-5)/2+1)*12,1,1),1)))</f>
        <v>0.50578464124247158</v>
      </c>
      <c r="L83" s="30"/>
      <c r="M83" s="15">
        <f ca="1">IF(AND(Data!$M$15=Data!$L$15,INDEX((INT((ROW()-34)/9)+1),1,1)&gt;Data!$L$16),"-",MAX(E83,MAX(G83,MAX(I83,K83))))</f>
        <v>0.95667669826129342</v>
      </c>
      <c r="N83" s="30"/>
    </row>
    <row r="84" spans="2:14" x14ac:dyDescent="0.2">
      <c r="B84" s="34"/>
      <c r="C84" s="29" t="s">
        <v>42</v>
      </c>
      <c r="D84" s="29"/>
      <c r="E84" s="15">
        <f ca="1">IF(AND(Data!$M$15=Data!$L$15,INDEX((INT((ROW()-34)/9)+1),1,1)&gt;Data!$L$16),"-",CORREL(OFFSET(Data!$B$183,INDEX((Data!$M$15-2005)*12+INT((ROW()-34)/9)+1-INT((COLUMN()-5)/2+1)*12+1,1,1),IF(LEFT($C84,6)="CPI VS",1,IF(LEFT($C84,6)="CPI食品 ",2,3)),INDEX(((COLUMN()-5)/2+1)*12,1,1),1),OFFSET(Data!$B$183,INDEX((Data!$M$15-2005)*12+INT((ROW()-34)/9)+1-INT((COLUMN()-5)/2+1)*12+1,1,1),IF(RIGHT($C84,4)=" PPI",4,IF(RIGHT($C84,4)="生产资料",5,6)),INDEX(((COLUMN()-5)/2+1)*12,1,1),1)))</f>
        <v>0.96519673017087715</v>
      </c>
      <c r="F84" s="30"/>
      <c r="G84" s="15">
        <f ca="1">IF(AND(Data!$M$15=Data!$L$15,INDEX((INT((ROW()-34)/9)+1),1,1)&gt;Data!$L$16),"-",CORREL(OFFSET(Data!$B$183,INDEX((Data!$M$15-2005)*12+INT((ROW()-34)/9)+1-INT((COLUMN()-5)/2+1)*12+1,1,1),IF(LEFT($C84,6)="CPI VS",1,IF(LEFT($C84,6)="CPI食品 ",2,3)),INDEX(((COLUMN()-5)/2+1)*12,1,1),1),OFFSET(Data!$B$183,INDEX((Data!$M$15-2005)*12+INT((ROW()-34)/9)+1-INT((COLUMN()-5)/2+1)*12+1,1,1),IF(RIGHT($C84,4)=" PPI",4,IF(RIGHT($C84,4)="生产资料",5,6)),INDEX(((COLUMN()-5)/2+1)*12,1,1),1)))</f>
        <v>0.93140535555853365</v>
      </c>
      <c r="H84" s="30"/>
      <c r="I84" s="15">
        <f ca="1">IF(AND(Data!$M$15=Data!$L$15,INDEX((INT((ROW()-34)/9)+1),1,1)&gt;Data!$L$16),"-",CORREL(OFFSET(Data!$B$183,INDEX((Data!$M$15-2005)*12+INT((ROW()-34)/9)+1-INT((COLUMN()-5)/2+1)*12+1,1,1),IF(LEFT($C84,6)="CPI VS",1,IF(LEFT($C84,6)="CPI食品 ",2,3)),INDEX(((COLUMN()-5)/2+1)*12,1,1),1),OFFSET(Data!$B$183,INDEX((Data!$M$15-2005)*12+INT((ROW()-34)/9)+1-INT((COLUMN()-5)/2+1)*12+1,1,1),IF(RIGHT($C84,4)=" PPI",4,IF(RIGHT($C84,4)="生产资料",5,6)),INDEX(((COLUMN()-5)/2+1)*12,1,1),1)))</f>
        <v>0.93114682841677987</v>
      </c>
      <c r="J84" s="30"/>
      <c r="K84" s="15">
        <f ca="1">IF(AND(Data!$M$15=Data!$L$15,INDEX((INT((ROW()-34)/9)+1),1,1)&gt;Data!$L$16),"-",CORREL(OFFSET(Data!$B$183,INDEX((Data!$M$15-2005)*12+INT((ROW()-34)/9)+1-INT((COLUMN()-5)/2+1)*12+1,1,1),IF(LEFT($C84,6)="CPI VS",1,IF(LEFT($C84,6)="CPI食品 ",2,3)),INDEX(((COLUMN()-5)/2+1)*12,1,1),1),OFFSET(Data!$B$183,INDEX((Data!$M$15-2005)*12+INT((ROW()-34)/9)+1-INT((COLUMN()-5)/2+1)*12+1,1,1),IF(RIGHT($C84,4)=" PPI",4,IF(RIGHT($C84,4)="生产资料",5,6)),INDEX(((COLUMN()-5)/2+1)*12,1,1),1)))</f>
        <v>0.94355093494384301</v>
      </c>
      <c r="L84" s="30"/>
      <c r="M84" s="15">
        <f ca="1">IF(AND(Data!$M$15=Data!$L$15,INDEX((INT((ROW()-34)/9)+1),1,1)&gt;Data!$L$16),"-",MAX(E84,MAX(G84,MAX(I84,K84))))</f>
        <v>0.96519673017087715</v>
      </c>
      <c r="N84" s="30"/>
    </row>
    <row r="85" spans="2:14" x14ac:dyDescent="0.2">
      <c r="B85" s="34"/>
      <c r="C85" s="29" t="s">
        <v>43</v>
      </c>
      <c r="D85" s="29"/>
      <c r="E85" s="15">
        <f ca="1">IF(AND(Data!$M$15=Data!$L$15,INDEX((INT((ROW()-34)/9)+1),1,1)&gt;Data!$L$16),"-",CORREL(OFFSET(Data!$B$183,INDEX((Data!$M$15-2005)*12+INT((ROW()-34)/9)+1-INT((COLUMN()-5)/2+1)*12+1,1,1),IF(LEFT($C85,6)="CPI VS",1,IF(LEFT($C85,6)="CPI食品 ",2,3)),INDEX(((COLUMN()-5)/2+1)*12,1,1),1),OFFSET(Data!$B$183,INDEX((Data!$M$15-2005)*12+INT((ROW()-34)/9)+1-INT((COLUMN()-5)/2+1)*12+1,1,1),IF(RIGHT($C85,4)=" PPI",4,IF(RIGHT($C85,4)="生产资料",5,6)),INDEX(((COLUMN()-5)/2+1)*12,1,1),1)))</f>
        <v>0.9969356026908065</v>
      </c>
      <c r="F85" s="30"/>
      <c r="G85" s="15">
        <f ca="1">IF(AND(Data!$M$15=Data!$L$15,INDEX((INT((ROW()-34)/9)+1),1,1)&gt;Data!$L$16),"-",CORREL(OFFSET(Data!$B$183,INDEX((Data!$M$15-2005)*12+INT((ROW()-34)/9)+1-INT((COLUMN()-5)/2+1)*12+1,1,1),IF(LEFT($C85,6)="CPI VS",1,IF(LEFT($C85,6)="CPI食品 ",2,3)),INDEX(((COLUMN()-5)/2+1)*12,1,1),1),OFFSET(Data!$B$183,INDEX((Data!$M$15-2005)*12+INT((ROW()-34)/9)+1-INT((COLUMN()-5)/2+1)*12+1,1,1),IF(RIGHT($C85,4)=" PPI",4,IF(RIGHT($C85,4)="生产资料",5,6)),INDEX(((COLUMN()-5)/2+1)*12,1,1),1)))</f>
        <v>0.98903357261215474</v>
      </c>
      <c r="H85" s="30"/>
      <c r="I85" s="15">
        <f ca="1">IF(AND(Data!$M$15=Data!$L$15,INDEX((INT((ROW()-34)/9)+1),1,1)&gt;Data!$L$16),"-",CORREL(OFFSET(Data!$B$183,INDEX((Data!$M$15-2005)*12+INT((ROW()-34)/9)+1-INT((COLUMN()-5)/2+1)*12+1,1,1),IF(LEFT($C85,6)="CPI VS",1,IF(LEFT($C85,6)="CPI食品 ",2,3)),INDEX(((COLUMN()-5)/2+1)*12,1,1),1),OFFSET(Data!$B$183,INDEX((Data!$M$15-2005)*12+INT((ROW()-34)/9)+1-INT((COLUMN()-5)/2+1)*12+1,1,1),IF(RIGHT($C85,4)=" PPI",4,IF(RIGHT($C85,4)="生产资料",5,6)),INDEX(((COLUMN()-5)/2+1)*12,1,1),1)))</f>
        <v>0.97843454294765164</v>
      </c>
      <c r="J85" s="30"/>
      <c r="K85" s="15">
        <f ca="1">IF(AND(Data!$M$15=Data!$L$15,INDEX((INT((ROW()-34)/9)+1),1,1)&gt;Data!$L$16),"-",CORREL(OFFSET(Data!$B$183,INDEX((Data!$M$15-2005)*12+INT((ROW()-34)/9)+1-INT((COLUMN()-5)/2+1)*12+1,1,1),IF(LEFT($C85,6)="CPI VS",1,IF(LEFT($C85,6)="CPI食品 ",2,3)),INDEX(((COLUMN()-5)/2+1)*12,1,1),1),OFFSET(Data!$B$183,INDEX((Data!$M$15-2005)*12+INT((ROW()-34)/9)+1-INT((COLUMN()-5)/2+1)*12+1,1,1),IF(RIGHT($C85,4)=" PPI",4,IF(RIGHT($C85,4)="生产资料",5,6)),INDEX(((COLUMN()-5)/2+1)*12,1,1),1)))</f>
        <v>0.97325758966994014</v>
      </c>
      <c r="L85" s="30"/>
      <c r="M85" s="15">
        <f ca="1">IF(AND(Data!$M$15=Data!$L$15,INDEX((INT((ROW()-34)/9)+1),1,1)&gt;Data!$L$16),"-",MAX(E85,MAX(G85,MAX(I85,K85))))</f>
        <v>0.9969356026908065</v>
      </c>
      <c r="N85" s="30"/>
    </row>
    <row r="86" spans="2:14" x14ac:dyDescent="0.2">
      <c r="B86" s="34"/>
      <c r="C86" s="29" t="s">
        <v>44</v>
      </c>
      <c r="D86" s="29"/>
      <c r="E86" s="15">
        <f ca="1">IF(AND(Data!$M$15=Data!$L$15,INDEX((INT((ROW()-34)/9)+1),1,1)&gt;Data!$L$16),"-",CORREL(OFFSET(Data!$B$183,INDEX((Data!$M$15-2005)*12+INT((ROW()-34)/9)+1-INT((COLUMN()-5)/2+1)*12+1,1,1),IF(LEFT($C86,6)="CPI VS",1,IF(LEFT($C86,6)="CPI食品 ",2,3)),INDEX(((COLUMN()-5)/2+1)*12,1,1),1),OFFSET(Data!$B$183,INDEX((Data!$M$15-2005)*12+INT((ROW()-34)/9)+1-INT((COLUMN()-5)/2+1)*12+1,1,1),IF(RIGHT($C86,4)=" PPI",4,IF(RIGHT($C86,4)="生产资料",5,6)),INDEX(((COLUMN()-5)/2+1)*12,1,1),1)))</f>
        <v>0.99650681038747324</v>
      </c>
      <c r="F86" s="30"/>
      <c r="G86" s="15">
        <f ca="1">IF(AND(Data!$M$15=Data!$L$15,INDEX((INT((ROW()-34)/9)+1),1,1)&gt;Data!$L$16),"-",CORREL(OFFSET(Data!$B$183,INDEX((Data!$M$15-2005)*12+INT((ROW()-34)/9)+1-INT((COLUMN()-5)/2+1)*12+1,1,1),IF(LEFT($C86,6)="CPI VS",1,IF(LEFT($C86,6)="CPI食品 ",2,3)),INDEX(((COLUMN()-5)/2+1)*12,1,1),1),OFFSET(Data!$B$183,INDEX((Data!$M$15-2005)*12+INT((ROW()-34)/9)+1-INT((COLUMN()-5)/2+1)*12+1,1,1),IF(RIGHT($C86,4)=" PPI",4,IF(RIGHT($C86,4)="生产资料",5,6)),INDEX(((COLUMN()-5)/2+1)*12,1,1),1)))</f>
        <v>0.98564960279656388</v>
      </c>
      <c r="H86" s="30"/>
      <c r="I86" s="15">
        <f ca="1">IF(AND(Data!$M$15=Data!$L$15,INDEX((INT((ROW()-34)/9)+1),1,1)&gt;Data!$L$16),"-",CORREL(OFFSET(Data!$B$183,INDEX((Data!$M$15-2005)*12+INT((ROW()-34)/9)+1-INT((COLUMN()-5)/2+1)*12+1,1,1),IF(LEFT($C86,6)="CPI VS",1,IF(LEFT($C86,6)="CPI食品 ",2,3)),INDEX(((COLUMN()-5)/2+1)*12,1,1),1),OFFSET(Data!$B$183,INDEX((Data!$M$15-2005)*12+INT((ROW()-34)/9)+1-INT((COLUMN()-5)/2+1)*12+1,1,1),IF(RIGHT($C86,4)=" PPI",4,IF(RIGHT($C86,4)="生产资料",5,6)),INDEX(((COLUMN()-5)/2+1)*12,1,1),1)))</f>
        <v>0.97866341774790744</v>
      </c>
      <c r="J86" s="30"/>
      <c r="K86" s="15">
        <f ca="1">IF(AND(Data!$M$15=Data!$L$15,INDEX((INT((ROW()-34)/9)+1),1,1)&gt;Data!$L$16),"-",CORREL(OFFSET(Data!$B$183,INDEX((Data!$M$15-2005)*12+INT((ROW()-34)/9)+1-INT((COLUMN()-5)/2+1)*12+1,1,1),IF(LEFT($C86,6)="CPI VS",1,IF(LEFT($C86,6)="CPI食品 ",2,3)),INDEX(((COLUMN()-5)/2+1)*12,1,1),1),OFFSET(Data!$B$183,INDEX((Data!$M$15-2005)*12+INT((ROW()-34)/9)+1-INT((COLUMN()-5)/2+1)*12+1,1,1),IF(RIGHT($C86,4)=" PPI",4,IF(RIGHT($C86,4)="生产资料",5,6)),INDEX(((COLUMN()-5)/2+1)*12,1,1),1)))</f>
        <v>0.97612372250531843</v>
      </c>
      <c r="L86" s="30"/>
      <c r="M86" s="15">
        <f ca="1">IF(AND(Data!$M$15=Data!$L$15,INDEX((INT((ROW()-34)/9)+1),1,1)&gt;Data!$L$16),"-",MAX(E86,MAX(G86,MAX(I86,K86))))</f>
        <v>0.99650681038747324</v>
      </c>
      <c r="N86" s="30"/>
    </row>
    <row r="87" spans="2:14" x14ac:dyDescent="0.2">
      <c r="B87" s="34"/>
      <c r="C87" s="29" t="s">
        <v>45</v>
      </c>
      <c r="D87" s="29"/>
      <c r="E87" s="15">
        <f ca="1">IF(AND(Data!$M$15=Data!$L$15,INDEX((INT((ROW()-34)/9)+1),1,1)&gt;Data!$L$16),"-",CORREL(OFFSET(Data!$B$183,INDEX((Data!$M$15-2005)*12+INT((ROW()-34)/9)+1-INT((COLUMN()-5)/2+1)*12+1,1,1),IF(LEFT($C87,6)="CPI VS",1,IF(LEFT($C87,6)="CPI食品 ",2,3)),INDEX(((COLUMN()-5)/2+1)*12,1,1),1),OFFSET(Data!$B$183,INDEX((Data!$M$15-2005)*12+INT((ROW()-34)/9)+1-INT((COLUMN()-5)/2+1)*12+1,1,1),IF(RIGHT($C87,4)=" PPI",4,IF(RIGHT($C87,4)="生产资料",5,6)),INDEX(((COLUMN()-5)/2+1)*12,1,1),1)))</f>
        <v>0.9887506514506148</v>
      </c>
      <c r="F87" s="30"/>
      <c r="G87" s="15">
        <f ca="1">IF(AND(Data!$M$15=Data!$L$15,INDEX((INT((ROW()-34)/9)+1),1,1)&gt;Data!$L$16),"-",CORREL(OFFSET(Data!$B$183,INDEX((Data!$M$15-2005)*12+INT((ROW()-34)/9)+1-INT((COLUMN()-5)/2+1)*12+1,1,1),IF(LEFT($C87,6)="CPI VS",1,IF(LEFT($C87,6)="CPI食品 ",2,3)),INDEX(((COLUMN()-5)/2+1)*12,1,1),1),OFFSET(Data!$B$183,INDEX((Data!$M$15-2005)*12+INT((ROW()-34)/9)+1-INT((COLUMN()-5)/2+1)*12+1,1,1),IF(RIGHT($C87,4)=" PPI",4,IF(RIGHT($C87,4)="生产资料",5,6)),INDEX(((COLUMN()-5)/2+1)*12,1,1),1)))</f>
        <v>0.97035968913578119</v>
      </c>
      <c r="H87" s="30"/>
      <c r="I87" s="15">
        <f ca="1">IF(AND(Data!$M$15=Data!$L$15,INDEX((INT((ROW()-34)/9)+1),1,1)&gt;Data!$L$16),"-",CORREL(OFFSET(Data!$B$183,INDEX((Data!$M$15-2005)*12+INT((ROW()-34)/9)+1-INT((COLUMN()-5)/2+1)*12+1,1,1),IF(LEFT($C87,6)="CPI VS",1,IF(LEFT($C87,6)="CPI食品 ",2,3)),INDEX(((COLUMN()-5)/2+1)*12,1,1),1),OFFSET(Data!$B$183,INDEX((Data!$M$15-2005)*12+INT((ROW()-34)/9)+1-INT((COLUMN()-5)/2+1)*12+1,1,1),IF(RIGHT($C87,4)=" PPI",4,IF(RIGHT($C87,4)="生产资料",5,6)),INDEX(((COLUMN()-5)/2+1)*12,1,1),1)))</f>
        <v>0.85024170847892677</v>
      </c>
      <c r="J87" s="30"/>
      <c r="K87" s="15">
        <f ca="1">IF(AND(Data!$M$15=Data!$L$15,INDEX((INT((ROW()-34)/9)+1),1,1)&gt;Data!$L$16),"-",CORREL(OFFSET(Data!$B$183,INDEX((Data!$M$15-2005)*12+INT((ROW()-34)/9)+1-INT((COLUMN()-5)/2+1)*12+1,1,1),IF(LEFT($C87,6)="CPI VS",1,IF(LEFT($C87,6)="CPI食品 ",2,3)),INDEX(((COLUMN()-5)/2+1)*12,1,1),1),OFFSET(Data!$B$183,INDEX((Data!$M$15-2005)*12+INT((ROW()-34)/9)+1-INT((COLUMN()-5)/2+1)*12+1,1,1),IF(RIGHT($C87,4)=" PPI",4,IF(RIGHT($C87,4)="生产资料",5,6)),INDEX(((COLUMN()-5)/2+1)*12,1,1),1)))</f>
        <v>0.64593960900618319</v>
      </c>
      <c r="L87" s="30"/>
      <c r="M87" s="15">
        <f ca="1">IF(AND(Data!$M$15=Data!$L$15,INDEX((INT((ROW()-34)/9)+1),1,1)&gt;Data!$L$16),"-",MAX(E87,MAX(G87,MAX(I87,K87))))</f>
        <v>0.9887506514506148</v>
      </c>
      <c r="N87" s="30"/>
    </row>
    <row r="88" spans="2:14" x14ac:dyDescent="0.2">
      <c r="B88" s="34" t="s">
        <v>27</v>
      </c>
      <c r="C88" s="29" t="s">
        <v>0</v>
      </c>
      <c r="D88" s="29"/>
      <c r="E88" s="15">
        <f ca="1">IF(AND(Data!$M$15=Data!$L$15,INDEX((INT((ROW()-34)/9)+1),1,1)&gt;Data!$L$16),"-",CORREL(OFFSET(Data!$B$183,INDEX((Data!$M$15-2005)*12+INT((ROW()-34)/9)+1-INT((COLUMN()-5)/2+1)*12+1,1,1),IF(LEFT($C88,6)="CPI VS",1,IF(LEFT($C88,6)="CPI食品 ",2,3)),INDEX(((COLUMN()-5)/2+1)*12,1,1),1),OFFSET(Data!$B$183,INDEX((Data!$M$15-2005)*12+INT((ROW()-34)/9)+1-INT((COLUMN()-5)/2+1)*12+1,1,1),IF(RIGHT($C88,4)=" PPI",4,IF(RIGHT($C88,4)="生产资料",5,6)),INDEX(((COLUMN()-5)/2+1)*12,1,1),1)))</f>
        <v>0.98132685157057586</v>
      </c>
      <c r="F88" s="30">
        <f ca="1">IF(ISERROR(AVERAGE(E88,E96)),"-",AVERAGE(E88,E96))</f>
        <v>0.98527908823502452</v>
      </c>
      <c r="G88" s="15">
        <f ca="1">IF(AND(Data!$M$15=Data!$L$15,INDEX((INT((ROW()-34)/9)+1),1,1)&gt;Data!$L$16),"-",CORREL(OFFSET(Data!$B$183,INDEX((Data!$M$15-2005)*12+INT((ROW()-34)/9)+1-INT((COLUMN()-5)/2+1)*12+1,1,1),IF(LEFT($C88,6)="CPI VS",1,IF(LEFT($C88,6)="CPI食品 ",2,3)),INDEX(((COLUMN()-5)/2+1)*12,1,1),1),OFFSET(Data!$B$183,INDEX((Data!$M$15-2005)*12+INT((ROW()-34)/9)+1-INT((COLUMN()-5)/2+1)*12+1,1,1),IF(RIGHT($C88,4)=" PPI",4,IF(RIGHT($C88,4)="生产资料",5,6)),INDEX(((COLUMN()-5)/2+1)*12,1,1),1)))</f>
        <v>0.89885689406929759</v>
      </c>
      <c r="H88" s="30">
        <f ca="1">IF(ISERROR(AVERAGE(G88,G96)),"-",AVERAGE(G88,G96))</f>
        <v>0.93663858688114932</v>
      </c>
      <c r="I88" s="15">
        <f ca="1">IF(AND(Data!$M$15=Data!$L$15,INDEX((INT((ROW()-34)/9)+1),1,1)&gt;Data!$L$16),"-",CORREL(OFFSET(Data!$B$183,INDEX((Data!$M$15-2005)*12+INT((ROW()-34)/9)+1-INT((COLUMN()-5)/2+1)*12+1,1,1),IF(LEFT($C88,6)="CPI VS",1,IF(LEFT($C88,6)="CPI食品 ",2,3)),INDEX(((COLUMN()-5)/2+1)*12,1,1),1),OFFSET(Data!$B$183,INDEX((Data!$M$15-2005)*12+INT((ROW()-34)/9)+1-INT((COLUMN()-5)/2+1)*12+1,1,1),IF(RIGHT($C88,4)=" PPI",4,IF(RIGHT($C88,4)="生产资料",5,6)),INDEX(((COLUMN()-5)/2+1)*12,1,1),1)))</f>
        <v>0.84551531806248026</v>
      </c>
      <c r="J88" s="30">
        <f ca="1">IF(ISERROR(AVERAGE(I88,I96)),"-",AVERAGE(I88,I96))</f>
        <v>0.867751820993381</v>
      </c>
      <c r="K88" s="15">
        <f ca="1">IF(AND(Data!$M$15=Data!$L$15,INDEX((INT((ROW()-34)/9)+1),1,1)&gt;Data!$L$16),"-",CORREL(OFFSET(Data!$B$183,INDEX((Data!$M$15-2005)*12+INT((ROW()-34)/9)+1-INT((COLUMN()-5)/2+1)*12+1,1,1),IF(LEFT($C88,6)="CPI VS",1,IF(LEFT($C88,6)="CPI食品 ",2,3)),INDEX(((COLUMN()-5)/2+1)*12,1,1),1),OFFSET(Data!$B$183,INDEX((Data!$M$15-2005)*12+INT((ROW()-34)/9)+1-INT((COLUMN()-5)/2+1)*12+1,1,1),IF(RIGHT($C88,4)=" PPI",4,IF(RIGHT($C88,4)="生产资料",5,6)),INDEX(((COLUMN()-5)/2+1)*12,1,1),1)))</f>
        <v>0.76005615846501007</v>
      </c>
      <c r="L88" s="30">
        <f ca="1">IF(ISERROR(AVERAGE(K88,K96)),"-",AVERAGE(K88,K96))</f>
        <v>0.7248625490196452</v>
      </c>
      <c r="M88" s="15">
        <f ca="1">IF(AND(Data!$M$15=Data!$L$15,INDEX((INT((ROW()-34)/9)+1),1,1)&gt;Data!$L$16),"-",MAX(E88,MAX(G88,MAX(I88,K88))))</f>
        <v>0.98132685157057586</v>
      </c>
      <c r="N88" s="30">
        <f ca="1">IF(AND(Data!$M$15=Data!$L$15,INDEX((INT((ROW()-34)/9)+1),1,1)&gt;Data!$L$16),"-",MAX(F88,MAX(H88,MAX(J88,L88))))</f>
        <v>0.98527908823502452</v>
      </c>
    </row>
    <row r="89" spans="2:14" x14ac:dyDescent="0.2">
      <c r="B89" s="34"/>
      <c r="C89" s="29" t="s">
        <v>38</v>
      </c>
      <c r="D89" s="29"/>
      <c r="E89" s="15">
        <f ca="1">IF(AND(Data!$M$15=Data!$L$15,INDEX((INT((ROW()-34)/9)+1),1,1)&gt;Data!$L$16),"-",CORREL(OFFSET(Data!$B$183,INDEX((Data!$M$15-2005)*12+INT((ROW()-34)/9)+1-INT((COLUMN()-5)/2+1)*12+1,1,1),IF(LEFT($C89,6)="CPI VS",1,IF(LEFT($C89,6)="CPI食品 ",2,3)),INDEX(((COLUMN()-5)/2+1)*12,1,1),1),OFFSET(Data!$B$183,INDEX((Data!$M$15-2005)*12+INT((ROW()-34)/9)+1-INT((COLUMN()-5)/2+1)*12+1,1,1),IF(RIGHT($C89,4)=" PPI",4,IF(RIGHT($C89,4)="生产资料",5,6)),INDEX(((COLUMN()-5)/2+1)*12,1,1),1)))</f>
        <v>0.98008449731113201</v>
      </c>
      <c r="F89" s="30"/>
      <c r="G89" s="15">
        <f ca="1">IF(AND(Data!$M$15=Data!$L$15,INDEX((INT((ROW()-34)/9)+1),1,1)&gt;Data!$L$16),"-",CORREL(OFFSET(Data!$B$183,INDEX((Data!$M$15-2005)*12+INT((ROW()-34)/9)+1-INT((COLUMN()-5)/2+1)*12+1,1,1),IF(LEFT($C89,6)="CPI VS",1,IF(LEFT($C89,6)="CPI食品 ",2,3)),INDEX(((COLUMN()-5)/2+1)*12,1,1),1),OFFSET(Data!$B$183,INDEX((Data!$M$15-2005)*12+INT((ROW()-34)/9)+1-INT((COLUMN()-5)/2+1)*12+1,1,1),IF(RIGHT($C89,4)=" PPI",4,IF(RIGHT($C89,4)="生产资料",5,6)),INDEX(((COLUMN()-5)/2+1)*12,1,1),1)))</f>
        <v>0.88606505419696679</v>
      </c>
      <c r="H89" s="30"/>
      <c r="I89" s="15">
        <f ca="1">IF(AND(Data!$M$15=Data!$L$15,INDEX((INT((ROW()-34)/9)+1),1,1)&gt;Data!$L$16),"-",CORREL(OFFSET(Data!$B$183,INDEX((Data!$M$15-2005)*12+INT((ROW()-34)/9)+1-INT((COLUMN()-5)/2+1)*12+1,1,1),IF(LEFT($C89,6)="CPI VS",1,IF(LEFT($C89,6)="CPI食品 ",2,3)),INDEX(((COLUMN()-5)/2+1)*12,1,1),1),OFFSET(Data!$B$183,INDEX((Data!$M$15-2005)*12+INT((ROW()-34)/9)+1-INT((COLUMN()-5)/2+1)*12+1,1,1),IF(RIGHT($C89,4)=" PPI",4,IF(RIGHT($C89,4)="生产资料",5,6)),INDEX(((COLUMN()-5)/2+1)*12,1,1),1)))</f>
        <v>0.81962021684049469</v>
      </c>
      <c r="J89" s="30"/>
      <c r="K89" s="15">
        <f ca="1">IF(AND(Data!$M$15=Data!$L$15,INDEX((INT((ROW()-34)/9)+1),1,1)&gt;Data!$L$16),"-",CORREL(OFFSET(Data!$B$183,INDEX((Data!$M$15-2005)*12+INT((ROW()-34)/9)+1-INT((COLUMN()-5)/2+1)*12+1,1,1),IF(LEFT($C89,6)="CPI VS",1,IF(LEFT($C89,6)="CPI食品 ",2,3)),INDEX(((COLUMN()-5)/2+1)*12,1,1),1),OFFSET(Data!$B$183,INDEX((Data!$M$15-2005)*12+INT((ROW()-34)/9)+1-INT((COLUMN()-5)/2+1)*12+1,1,1),IF(RIGHT($C89,4)=" PPI",4,IF(RIGHT($C89,4)="生产资料",5,6)),INDEX(((COLUMN()-5)/2+1)*12,1,1),1)))</f>
        <v>0.69985551911929933</v>
      </c>
      <c r="L89" s="30"/>
      <c r="M89" s="15">
        <f ca="1">IF(AND(Data!$M$15=Data!$L$15,INDEX((INT((ROW()-34)/9)+1),1,1)&gt;Data!$L$16),"-",MAX(E89,MAX(G89,MAX(I89,K89))))</f>
        <v>0.98008449731113201</v>
      </c>
      <c r="N89" s="30"/>
    </row>
    <row r="90" spans="2:14" x14ac:dyDescent="0.2">
      <c r="B90" s="34"/>
      <c r="C90" s="29" t="s">
        <v>39</v>
      </c>
      <c r="D90" s="29"/>
      <c r="E90" s="15">
        <f ca="1">IF(AND(Data!$M$15=Data!$L$15,INDEX((INT((ROW()-34)/9)+1),1,1)&gt;Data!$L$16),"-",CORREL(OFFSET(Data!$B$183,INDEX((Data!$M$15-2005)*12+INT((ROW()-34)/9)+1-INT((COLUMN()-5)/2+1)*12+1,1,1),IF(LEFT($C90,6)="CPI VS",1,IF(LEFT($C90,6)="CPI食品 ",2,3)),INDEX(((COLUMN()-5)/2+1)*12,1,1),1),OFFSET(Data!$B$183,INDEX((Data!$M$15-2005)*12+INT((ROW()-34)/9)+1-INT((COLUMN()-5)/2+1)*12+1,1,1),IF(RIGHT($C90,4)=" PPI",4,IF(RIGHT($C90,4)="生产资料",5,6)),INDEX(((COLUMN()-5)/2+1)*12,1,1),1)))</f>
        <v>0.9793108433075749</v>
      </c>
      <c r="F90" s="30"/>
      <c r="G90" s="15">
        <f ca="1">IF(AND(Data!$M$15=Data!$L$15,INDEX((INT((ROW()-34)/9)+1),1,1)&gt;Data!$L$16),"-",CORREL(OFFSET(Data!$B$183,INDEX((Data!$M$15-2005)*12+INT((ROW()-34)/9)+1-INT((COLUMN()-5)/2+1)*12+1,1,1),IF(LEFT($C90,6)="CPI VS",1,IF(LEFT($C90,6)="CPI食品 ",2,3)),INDEX(((COLUMN()-5)/2+1)*12,1,1),1),OFFSET(Data!$B$183,INDEX((Data!$M$15-2005)*12+INT((ROW()-34)/9)+1-INT((COLUMN()-5)/2+1)*12+1,1,1),IF(RIGHT($C90,4)=" PPI",4,IF(RIGHT($C90,4)="生产资料",5,6)),INDEX(((COLUMN()-5)/2+1)*12,1,1),1)))</f>
        <v>0.97410609980335039</v>
      </c>
      <c r="H90" s="30"/>
      <c r="I90" s="15">
        <f ca="1">IF(AND(Data!$M$15=Data!$L$15,INDEX((INT((ROW()-34)/9)+1),1,1)&gt;Data!$L$16),"-",CORREL(OFFSET(Data!$B$183,INDEX((Data!$M$15-2005)*12+INT((ROW()-34)/9)+1-INT((COLUMN()-5)/2+1)*12+1,1,1),IF(LEFT($C90,6)="CPI VS",1,IF(LEFT($C90,6)="CPI食品 ",2,3)),INDEX(((COLUMN()-5)/2+1)*12,1,1),1),OFFSET(Data!$B$183,INDEX((Data!$M$15-2005)*12+INT((ROW()-34)/9)+1-INT((COLUMN()-5)/2+1)*12+1,1,1),IF(RIGHT($C90,4)=" PPI",4,IF(RIGHT($C90,4)="生产资料",5,6)),INDEX(((COLUMN()-5)/2+1)*12,1,1),1)))</f>
        <v>0.97245227364898523</v>
      </c>
      <c r="J90" s="30"/>
      <c r="K90" s="15">
        <f ca="1">IF(AND(Data!$M$15=Data!$L$15,INDEX((INT((ROW()-34)/9)+1),1,1)&gt;Data!$L$16),"-",CORREL(OFFSET(Data!$B$183,INDEX((Data!$M$15-2005)*12+INT((ROW()-34)/9)+1-INT((COLUMN()-5)/2+1)*12+1,1,1),IF(LEFT($C90,6)="CPI VS",1,IF(LEFT($C90,6)="CPI食品 ",2,3)),INDEX(((COLUMN()-5)/2+1)*12,1,1),1),OFFSET(Data!$B$183,INDEX((Data!$M$15-2005)*12+INT((ROW()-34)/9)+1-INT((COLUMN()-5)/2+1)*12+1,1,1),IF(RIGHT($C90,4)=" PPI",4,IF(RIGHT($C90,4)="生产资料",5,6)),INDEX(((COLUMN()-5)/2+1)*12,1,1),1)))</f>
        <v>0.96309339079361656</v>
      </c>
      <c r="L90" s="30"/>
      <c r="M90" s="15">
        <f ca="1">IF(AND(Data!$M$15=Data!$L$15,INDEX((INT((ROW()-34)/9)+1),1,1)&gt;Data!$L$16),"-",MAX(E90,MAX(G90,MAX(I90,K90))))</f>
        <v>0.9793108433075749</v>
      </c>
      <c r="N90" s="30"/>
    </row>
    <row r="91" spans="2:14" x14ac:dyDescent="0.2">
      <c r="B91" s="34"/>
      <c r="C91" s="29" t="s">
        <v>40</v>
      </c>
      <c r="D91" s="29"/>
      <c r="E91" s="15">
        <f ca="1">IF(AND(Data!$M$15=Data!$L$15,INDEX((INT((ROW()-34)/9)+1),1,1)&gt;Data!$L$16),"-",CORREL(OFFSET(Data!$B$183,INDEX((Data!$M$15-2005)*12+INT((ROW()-34)/9)+1-INT((COLUMN()-5)/2+1)*12+1,1,1),IF(LEFT($C91,6)="CPI VS",1,IF(LEFT($C91,6)="CPI食品 ",2,3)),INDEX(((COLUMN()-5)/2+1)*12,1,1),1),OFFSET(Data!$B$183,INDEX((Data!$M$15-2005)*12+INT((ROW()-34)/9)+1-INT((COLUMN()-5)/2+1)*12+1,1,1),IF(RIGHT($C91,4)=" PPI",4,IF(RIGHT($C91,4)="生产资料",5,6)),INDEX(((COLUMN()-5)/2+1)*12,1,1),1)))</f>
        <v>0.96359929974697633</v>
      </c>
      <c r="F91" s="30"/>
      <c r="G91" s="15">
        <f ca="1">IF(AND(Data!$M$15=Data!$L$15,INDEX((INT((ROW()-34)/9)+1),1,1)&gt;Data!$L$16),"-",CORREL(OFFSET(Data!$B$183,INDEX((Data!$M$15-2005)*12+INT((ROW()-34)/9)+1-INT((COLUMN()-5)/2+1)*12+1,1,1),IF(LEFT($C91,6)="CPI VS",1,IF(LEFT($C91,6)="CPI食品 ",2,3)),INDEX(((COLUMN()-5)/2+1)*12,1,1),1),OFFSET(Data!$B$183,INDEX((Data!$M$15-2005)*12+INT((ROW()-34)/9)+1-INT((COLUMN()-5)/2+1)*12+1,1,1),IF(RIGHT($C91,4)=" PPI",4,IF(RIGHT($C91,4)="生产资料",5,6)),INDEX(((COLUMN()-5)/2+1)*12,1,1),1)))</f>
        <v>0.82825938071127769</v>
      </c>
      <c r="H91" s="30"/>
      <c r="I91" s="15">
        <f ca="1">IF(AND(Data!$M$15=Data!$L$15,INDEX((INT((ROW()-34)/9)+1),1,1)&gt;Data!$L$16),"-",CORREL(OFFSET(Data!$B$183,INDEX((Data!$M$15-2005)*12+INT((ROW()-34)/9)+1-INT((COLUMN()-5)/2+1)*12+1,1,1),IF(LEFT($C91,6)="CPI VS",1,IF(LEFT($C91,6)="CPI食品 ",2,3)),INDEX(((COLUMN()-5)/2+1)*12,1,1),1),OFFSET(Data!$B$183,INDEX((Data!$M$15-2005)*12+INT((ROW()-34)/9)+1-INT((COLUMN()-5)/2+1)*12+1,1,1),IF(RIGHT($C91,4)=" PPI",4,IF(RIGHT($C91,4)="生产资料",5,6)),INDEX(((COLUMN()-5)/2+1)*12,1,1),1)))</f>
        <v>0.73677988666123295</v>
      </c>
      <c r="J91" s="30"/>
      <c r="K91" s="15">
        <f ca="1">IF(AND(Data!$M$15=Data!$L$15,INDEX((INT((ROW()-34)/9)+1),1,1)&gt;Data!$L$16),"-",CORREL(OFFSET(Data!$B$183,INDEX((Data!$M$15-2005)*12+INT((ROW()-34)/9)+1-INT((COLUMN()-5)/2+1)*12+1,1,1),IF(LEFT($C91,6)="CPI VS",1,IF(LEFT($C91,6)="CPI食品 ",2,3)),INDEX(((COLUMN()-5)/2+1)*12,1,1),1),OFFSET(Data!$B$183,INDEX((Data!$M$15-2005)*12+INT((ROW()-34)/9)+1-INT((COLUMN()-5)/2+1)*12+1,1,1),IF(RIGHT($C91,4)=" PPI",4,IF(RIGHT($C91,4)="生产资料",5,6)),INDEX(((COLUMN()-5)/2+1)*12,1,1),1)))</f>
        <v>0.61289040861588617</v>
      </c>
      <c r="L91" s="30"/>
      <c r="M91" s="15">
        <f ca="1">IF(AND(Data!$M$15=Data!$L$15,INDEX((INT((ROW()-34)/9)+1),1,1)&gt;Data!$L$16),"-",MAX(E91,MAX(G91,MAX(I91,K91))))</f>
        <v>0.96359929974697633</v>
      </c>
      <c r="N91" s="30"/>
    </row>
    <row r="92" spans="2:14" x14ac:dyDescent="0.2">
      <c r="B92" s="34"/>
      <c r="C92" s="29" t="s">
        <v>41</v>
      </c>
      <c r="D92" s="29"/>
      <c r="E92" s="15">
        <f ca="1">IF(AND(Data!$M$15=Data!$L$15,INDEX((INT((ROW()-34)/9)+1),1,1)&gt;Data!$L$16),"-",CORREL(OFFSET(Data!$B$183,INDEX((Data!$M$15-2005)*12+INT((ROW()-34)/9)+1-INT((COLUMN()-5)/2+1)*12+1,1,1),IF(LEFT($C92,6)="CPI VS",1,IF(LEFT($C92,6)="CPI食品 ",2,3)),INDEX(((COLUMN()-5)/2+1)*12,1,1),1),OFFSET(Data!$B$183,INDEX((Data!$M$15-2005)*12+INT((ROW()-34)/9)+1-INT((COLUMN()-5)/2+1)*12+1,1,1),IF(RIGHT($C92,4)=" PPI",4,IF(RIGHT($C92,4)="生产资料",5,6)),INDEX(((COLUMN()-5)/2+1)*12,1,1),1)))</f>
        <v>0.96197752259021796</v>
      </c>
      <c r="F92" s="30"/>
      <c r="G92" s="15">
        <f ca="1">IF(AND(Data!$M$15=Data!$L$15,INDEX((INT((ROW()-34)/9)+1),1,1)&gt;Data!$L$16),"-",CORREL(OFFSET(Data!$B$183,INDEX((Data!$M$15-2005)*12+INT((ROW()-34)/9)+1-INT((COLUMN()-5)/2+1)*12+1,1,1),IF(LEFT($C92,6)="CPI VS",1,IF(LEFT($C92,6)="CPI食品 ",2,3)),INDEX(((COLUMN()-5)/2+1)*12,1,1),1),OFFSET(Data!$B$183,INDEX((Data!$M$15-2005)*12+INT((ROW()-34)/9)+1-INT((COLUMN()-5)/2+1)*12+1,1,1),IF(RIGHT($C92,4)=" PPI",4,IF(RIGHT($C92,4)="生产资料",5,6)),INDEX(((COLUMN()-5)/2+1)*12,1,1),1)))</f>
        <v>0.81202547381197232</v>
      </c>
      <c r="H92" s="30"/>
      <c r="I92" s="15">
        <f ca="1">IF(AND(Data!$M$15=Data!$L$15,INDEX((INT((ROW()-34)/9)+1),1,1)&gt;Data!$L$16),"-",CORREL(OFFSET(Data!$B$183,INDEX((Data!$M$15-2005)*12+INT((ROW()-34)/9)+1-INT((COLUMN()-5)/2+1)*12+1,1,1),IF(LEFT($C92,6)="CPI VS",1,IF(LEFT($C92,6)="CPI食品 ",2,3)),INDEX(((COLUMN()-5)/2+1)*12,1,1),1),OFFSET(Data!$B$183,INDEX((Data!$M$15-2005)*12+INT((ROW()-34)/9)+1-INT((COLUMN()-5)/2+1)*12+1,1,1),IF(RIGHT($C92,4)=" PPI",4,IF(RIGHT($C92,4)="生产资料",5,6)),INDEX(((COLUMN()-5)/2+1)*12,1,1),1)))</f>
        <v>0.70404889157287909</v>
      </c>
      <c r="J92" s="30"/>
      <c r="K92" s="15">
        <f ca="1">IF(AND(Data!$M$15=Data!$L$15,INDEX((INT((ROW()-34)/9)+1),1,1)&gt;Data!$L$16),"-",CORREL(OFFSET(Data!$B$183,INDEX((Data!$M$15-2005)*12+INT((ROW()-34)/9)+1-INT((COLUMN()-5)/2+1)*12+1,1,1),IF(LEFT($C92,6)="CPI VS",1,IF(LEFT($C92,6)="CPI食品 ",2,3)),INDEX(((COLUMN()-5)/2+1)*12,1,1),1),OFFSET(Data!$B$183,INDEX((Data!$M$15-2005)*12+INT((ROW()-34)/9)+1-INT((COLUMN()-5)/2+1)*12+1,1,1),IF(RIGHT($C92,4)=" PPI",4,IF(RIGHT($C92,4)="生产资料",5,6)),INDEX(((COLUMN()-5)/2+1)*12,1,1),1)))</f>
        <v>0.54025813296210667</v>
      </c>
      <c r="L92" s="30"/>
      <c r="M92" s="15">
        <f ca="1">IF(AND(Data!$M$15=Data!$L$15,INDEX((INT((ROW()-34)/9)+1),1,1)&gt;Data!$L$16),"-",MAX(E92,MAX(G92,MAX(I92,K92))))</f>
        <v>0.96197752259021796</v>
      </c>
      <c r="N92" s="30"/>
    </row>
    <row r="93" spans="2:14" x14ac:dyDescent="0.2">
      <c r="B93" s="34"/>
      <c r="C93" s="29" t="s">
        <v>42</v>
      </c>
      <c r="D93" s="29"/>
      <c r="E93" s="15">
        <f ca="1">IF(AND(Data!$M$15=Data!$L$15,INDEX((INT((ROW()-34)/9)+1),1,1)&gt;Data!$L$16),"-",CORREL(OFFSET(Data!$B$183,INDEX((Data!$M$15-2005)*12+INT((ROW()-34)/9)+1-INT((COLUMN()-5)/2+1)*12+1,1,1),IF(LEFT($C93,6)="CPI VS",1,IF(LEFT($C93,6)="CPI食品 ",2,3)),INDEX(((COLUMN()-5)/2+1)*12,1,1),1),OFFSET(Data!$B$183,INDEX((Data!$M$15-2005)*12+INT((ROW()-34)/9)+1-INT((COLUMN()-5)/2+1)*12+1,1,1),IF(RIGHT($C93,4)=" PPI",4,IF(RIGHT($C93,4)="生产资料",5,6)),INDEX(((COLUMN()-5)/2+1)*12,1,1),1)))</f>
        <v>0.96510053068279544</v>
      </c>
      <c r="F93" s="30"/>
      <c r="G93" s="15">
        <f ca="1">IF(AND(Data!$M$15=Data!$L$15,INDEX((INT((ROW()-34)/9)+1),1,1)&gt;Data!$L$16),"-",CORREL(OFFSET(Data!$B$183,INDEX((Data!$M$15-2005)*12+INT((ROW()-34)/9)+1-INT((COLUMN()-5)/2+1)*12+1,1,1),IF(LEFT($C93,6)="CPI VS",1,IF(LEFT($C93,6)="CPI食品 ",2,3)),INDEX(((COLUMN()-5)/2+1)*12,1,1),1),OFFSET(Data!$B$183,INDEX((Data!$M$15-2005)*12+INT((ROW()-34)/9)+1-INT((COLUMN()-5)/2+1)*12+1,1,1),IF(RIGHT($C93,4)=" PPI",4,IF(RIGHT($C93,4)="生产资料",5,6)),INDEX(((COLUMN()-5)/2+1)*12,1,1),1)))</f>
        <v>0.93659665214826848</v>
      </c>
      <c r="H93" s="30"/>
      <c r="I93" s="15">
        <f ca="1">IF(AND(Data!$M$15=Data!$L$15,INDEX((INT((ROW()-34)/9)+1),1,1)&gt;Data!$L$16),"-",CORREL(OFFSET(Data!$B$183,INDEX((Data!$M$15-2005)*12+INT((ROW()-34)/9)+1-INT((COLUMN()-5)/2+1)*12+1,1,1),IF(LEFT($C93,6)="CPI VS",1,IF(LEFT($C93,6)="CPI食品 ",2,3)),INDEX(((COLUMN()-5)/2+1)*12,1,1),1),OFFSET(Data!$B$183,INDEX((Data!$M$15-2005)*12+INT((ROW()-34)/9)+1-INT((COLUMN()-5)/2+1)*12+1,1,1),IF(RIGHT($C93,4)=" PPI",4,IF(RIGHT($C93,4)="生产资料",5,6)),INDEX(((COLUMN()-5)/2+1)*12,1,1),1)))</f>
        <v>0.92905286274333754</v>
      </c>
      <c r="J93" s="30"/>
      <c r="K93" s="15">
        <f ca="1">IF(AND(Data!$M$15=Data!$L$15,INDEX((INT((ROW()-34)/9)+1),1,1)&gt;Data!$L$16),"-",CORREL(OFFSET(Data!$B$183,INDEX((Data!$M$15-2005)*12+INT((ROW()-34)/9)+1-INT((COLUMN()-5)/2+1)*12+1,1,1),IF(LEFT($C93,6)="CPI VS",1,IF(LEFT($C93,6)="CPI食品 ",2,3)),INDEX(((COLUMN()-5)/2+1)*12,1,1),1),OFFSET(Data!$B$183,INDEX((Data!$M$15-2005)*12+INT((ROW()-34)/9)+1-INT((COLUMN()-5)/2+1)*12+1,1,1),IF(RIGHT($C93,4)=" PPI",4,IF(RIGHT($C93,4)="生产资料",5,6)),INDEX(((COLUMN()-5)/2+1)*12,1,1),1)))</f>
        <v>0.94193625626623001</v>
      </c>
      <c r="L93" s="30"/>
      <c r="M93" s="15">
        <f ca="1">IF(AND(Data!$M$15=Data!$L$15,INDEX((INT((ROW()-34)/9)+1),1,1)&gt;Data!$L$16),"-",MAX(E93,MAX(G93,MAX(I93,K93))))</f>
        <v>0.96510053068279544</v>
      </c>
      <c r="N93" s="30"/>
    </row>
    <row r="94" spans="2:14" x14ac:dyDescent="0.2">
      <c r="B94" s="34"/>
      <c r="C94" s="29" t="s">
        <v>43</v>
      </c>
      <c r="D94" s="29"/>
      <c r="E94" s="15">
        <f ca="1">IF(AND(Data!$M$15=Data!$L$15,INDEX((INT((ROW()-34)/9)+1),1,1)&gt;Data!$L$16),"-",CORREL(OFFSET(Data!$B$183,INDEX((Data!$M$15-2005)*12+INT((ROW()-34)/9)+1-INT((COLUMN()-5)/2+1)*12+1,1,1),IF(LEFT($C94,6)="CPI VS",1,IF(LEFT($C94,6)="CPI食品 ",2,3)),INDEX(((COLUMN()-5)/2+1)*12,1,1),1),OFFSET(Data!$B$183,INDEX((Data!$M$15-2005)*12+INT((ROW()-34)/9)+1-INT((COLUMN()-5)/2+1)*12+1,1,1),IF(RIGHT($C94,4)=" PPI",4,IF(RIGHT($C94,4)="生产资料",5,6)),INDEX(((COLUMN()-5)/2+1)*12,1,1),1)))</f>
        <v>0.99630199806590347</v>
      </c>
      <c r="F94" s="30"/>
      <c r="G94" s="15">
        <f ca="1">IF(AND(Data!$M$15=Data!$L$15,INDEX((INT((ROW()-34)/9)+1),1,1)&gt;Data!$L$16),"-",CORREL(OFFSET(Data!$B$183,INDEX((Data!$M$15-2005)*12+INT((ROW()-34)/9)+1-INT((COLUMN()-5)/2+1)*12+1,1,1),IF(LEFT($C94,6)="CPI VS",1,IF(LEFT($C94,6)="CPI食品 ",2,3)),INDEX(((COLUMN()-5)/2+1)*12,1,1),1),OFFSET(Data!$B$183,INDEX((Data!$M$15-2005)*12+INT((ROW()-34)/9)+1-INT((COLUMN()-5)/2+1)*12+1,1,1),IF(RIGHT($C94,4)=" PPI",4,IF(RIGHT($C94,4)="生产资料",5,6)),INDEX(((COLUMN()-5)/2+1)*12,1,1),1)))</f>
        <v>0.99081950926346174</v>
      </c>
      <c r="H94" s="30"/>
      <c r="I94" s="15">
        <f ca="1">IF(AND(Data!$M$15=Data!$L$15,INDEX((INT((ROW()-34)/9)+1),1,1)&gt;Data!$L$16),"-",CORREL(OFFSET(Data!$B$183,INDEX((Data!$M$15-2005)*12+INT((ROW()-34)/9)+1-INT((COLUMN()-5)/2+1)*12+1,1,1),IF(LEFT($C94,6)="CPI VS",1,IF(LEFT($C94,6)="CPI食品 ",2,3)),INDEX(((COLUMN()-5)/2+1)*12,1,1),1),OFFSET(Data!$B$183,INDEX((Data!$M$15-2005)*12+INT((ROW()-34)/9)+1-INT((COLUMN()-5)/2+1)*12+1,1,1),IF(RIGHT($C94,4)=" PPI",4,IF(RIGHT($C94,4)="生产资料",5,6)),INDEX(((COLUMN()-5)/2+1)*12,1,1),1)))</f>
        <v>0.9810003082078077</v>
      </c>
      <c r="J94" s="30"/>
      <c r="K94" s="15">
        <f ca="1">IF(AND(Data!$M$15=Data!$L$15,INDEX((INT((ROW()-34)/9)+1),1,1)&gt;Data!$L$16),"-",CORREL(OFFSET(Data!$B$183,INDEX((Data!$M$15-2005)*12+INT((ROW()-34)/9)+1-INT((COLUMN()-5)/2+1)*12+1,1,1),IF(LEFT($C94,6)="CPI VS",1,IF(LEFT($C94,6)="CPI食品 ",2,3)),INDEX(((COLUMN()-5)/2+1)*12,1,1),1),OFFSET(Data!$B$183,INDEX((Data!$M$15-2005)*12+INT((ROW()-34)/9)+1-INT((COLUMN()-5)/2+1)*12+1,1,1),IF(RIGHT($C94,4)=" PPI",4,IF(RIGHT($C94,4)="生产资料",5,6)),INDEX(((COLUMN()-5)/2+1)*12,1,1),1)))</f>
        <v>0.97599384792108446</v>
      </c>
      <c r="L94" s="30"/>
      <c r="M94" s="15">
        <f ca="1">IF(AND(Data!$M$15=Data!$L$15,INDEX((INT((ROW()-34)/9)+1),1,1)&gt;Data!$L$16),"-",MAX(E94,MAX(G94,MAX(I94,K94))))</f>
        <v>0.99630199806590347</v>
      </c>
      <c r="N94" s="30"/>
    </row>
    <row r="95" spans="2:14" x14ac:dyDescent="0.2">
      <c r="B95" s="34"/>
      <c r="C95" s="29" t="s">
        <v>44</v>
      </c>
      <c r="D95" s="29"/>
      <c r="E95" s="15">
        <f ca="1">IF(AND(Data!$M$15=Data!$L$15,INDEX((INT((ROW()-34)/9)+1),1,1)&gt;Data!$L$16),"-",CORREL(OFFSET(Data!$B$183,INDEX((Data!$M$15-2005)*12+INT((ROW()-34)/9)+1-INT((COLUMN()-5)/2+1)*12+1,1,1),IF(LEFT($C95,6)="CPI VS",1,IF(LEFT($C95,6)="CPI食品 ",2,3)),INDEX(((COLUMN()-5)/2+1)*12,1,1),1),OFFSET(Data!$B$183,INDEX((Data!$M$15-2005)*12+INT((ROW()-34)/9)+1-INT((COLUMN()-5)/2+1)*12+1,1,1),IF(RIGHT($C95,4)=" PPI",4,IF(RIGHT($C95,4)="生产资料",5,6)),INDEX(((COLUMN()-5)/2+1)*12,1,1),1)))</f>
        <v>0.99569055355762692</v>
      </c>
      <c r="F95" s="30"/>
      <c r="G95" s="15">
        <f ca="1">IF(AND(Data!$M$15=Data!$L$15,INDEX((INT((ROW()-34)/9)+1),1,1)&gt;Data!$L$16),"-",CORREL(OFFSET(Data!$B$183,INDEX((Data!$M$15-2005)*12+INT((ROW()-34)/9)+1-INT((COLUMN()-5)/2+1)*12+1,1,1),IF(LEFT($C95,6)="CPI VS",1,IF(LEFT($C95,6)="CPI食品 ",2,3)),INDEX(((COLUMN()-5)/2+1)*12,1,1),1),OFFSET(Data!$B$183,INDEX((Data!$M$15-2005)*12+INT((ROW()-34)/9)+1-INT((COLUMN()-5)/2+1)*12+1,1,1),IF(RIGHT($C95,4)=" PPI",4,IF(RIGHT($C95,4)="生产资料",5,6)),INDEX(((COLUMN()-5)/2+1)*12,1,1),1)))</f>
        <v>0.98807918198261258</v>
      </c>
      <c r="H95" s="30"/>
      <c r="I95" s="15">
        <f ca="1">IF(AND(Data!$M$15=Data!$L$15,INDEX((INT((ROW()-34)/9)+1),1,1)&gt;Data!$L$16),"-",CORREL(OFFSET(Data!$B$183,INDEX((Data!$M$15-2005)*12+INT((ROW()-34)/9)+1-INT((COLUMN()-5)/2+1)*12+1,1,1),IF(LEFT($C95,6)="CPI VS",1,IF(LEFT($C95,6)="CPI食品 ",2,3)),INDEX(((COLUMN()-5)/2+1)*12,1,1),1),OFFSET(Data!$B$183,INDEX((Data!$M$15-2005)*12+INT((ROW()-34)/9)+1-INT((COLUMN()-5)/2+1)*12+1,1,1),IF(RIGHT($C95,4)=" PPI",4,IF(RIGHT($C95,4)="生产资料",5,6)),INDEX(((COLUMN()-5)/2+1)*12,1,1),1)))</f>
        <v>0.98072731674271429</v>
      </c>
      <c r="J95" s="30"/>
      <c r="K95" s="15">
        <f ca="1">IF(AND(Data!$M$15=Data!$L$15,INDEX((INT((ROW()-34)/9)+1),1,1)&gt;Data!$L$16),"-",CORREL(OFFSET(Data!$B$183,INDEX((Data!$M$15-2005)*12+INT((ROW()-34)/9)+1-INT((COLUMN()-5)/2+1)*12+1,1,1),IF(LEFT($C95,6)="CPI VS",1,IF(LEFT($C95,6)="CPI食品 ",2,3)),INDEX(((COLUMN()-5)/2+1)*12,1,1),1),OFFSET(Data!$B$183,INDEX((Data!$M$15-2005)*12+INT((ROW()-34)/9)+1-INT((COLUMN()-5)/2+1)*12+1,1,1),IF(RIGHT($C95,4)=" PPI",4,IF(RIGHT($C95,4)="生产资料",5,6)),INDEX(((COLUMN()-5)/2+1)*12,1,1),1)))</f>
        <v>0.97855734137951644</v>
      </c>
      <c r="L95" s="30"/>
      <c r="M95" s="15">
        <f ca="1">IF(AND(Data!$M$15=Data!$L$15,INDEX((INT((ROW()-34)/9)+1),1,1)&gt;Data!$L$16),"-",MAX(E95,MAX(G95,MAX(I95,K95))))</f>
        <v>0.99569055355762692</v>
      </c>
      <c r="N95" s="30"/>
    </row>
    <row r="96" spans="2:14" x14ac:dyDescent="0.2">
      <c r="B96" s="34"/>
      <c r="C96" s="29" t="s">
        <v>45</v>
      </c>
      <c r="D96" s="29"/>
      <c r="E96" s="15">
        <f ca="1">IF(AND(Data!$M$15=Data!$L$15,INDEX((INT((ROW()-34)/9)+1),1,1)&gt;Data!$L$16),"-",CORREL(OFFSET(Data!$B$183,INDEX((Data!$M$15-2005)*12+INT((ROW()-34)/9)+1-INT((COLUMN()-5)/2+1)*12+1,1,1),IF(LEFT($C96,6)="CPI VS",1,IF(LEFT($C96,6)="CPI食品 ",2,3)),INDEX(((COLUMN()-5)/2+1)*12,1,1),1),OFFSET(Data!$B$183,INDEX((Data!$M$15-2005)*12+INT((ROW()-34)/9)+1-INT((COLUMN()-5)/2+1)*12+1,1,1),IF(RIGHT($C96,4)=" PPI",4,IF(RIGHT($C96,4)="生产资料",5,6)),INDEX(((COLUMN()-5)/2+1)*12,1,1),1)))</f>
        <v>0.98923132489947319</v>
      </c>
      <c r="F96" s="30"/>
      <c r="G96" s="15">
        <f ca="1">IF(AND(Data!$M$15=Data!$L$15,INDEX((INT((ROW()-34)/9)+1),1,1)&gt;Data!$L$16),"-",CORREL(OFFSET(Data!$B$183,INDEX((Data!$M$15-2005)*12+INT((ROW()-34)/9)+1-INT((COLUMN()-5)/2+1)*12+1,1,1),IF(LEFT($C96,6)="CPI VS",1,IF(LEFT($C96,6)="CPI食品 ",2,3)),INDEX(((COLUMN()-5)/2+1)*12,1,1),1),OFFSET(Data!$B$183,INDEX((Data!$M$15-2005)*12+INT((ROW()-34)/9)+1-INT((COLUMN()-5)/2+1)*12+1,1,1),IF(RIGHT($C96,4)=" PPI",4,IF(RIGHT($C96,4)="生产资料",5,6)),INDEX(((COLUMN()-5)/2+1)*12,1,1),1)))</f>
        <v>0.97442027969300093</v>
      </c>
      <c r="H96" s="30"/>
      <c r="I96" s="15">
        <f ca="1">IF(AND(Data!$M$15=Data!$L$15,INDEX((INT((ROW()-34)/9)+1),1,1)&gt;Data!$L$16),"-",CORREL(OFFSET(Data!$B$183,INDEX((Data!$M$15-2005)*12+INT((ROW()-34)/9)+1-INT((COLUMN()-5)/2+1)*12+1,1,1),IF(LEFT($C96,6)="CPI VS",1,IF(LEFT($C96,6)="CPI食品 ",2,3)),INDEX(((COLUMN()-5)/2+1)*12,1,1),1),OFFSET(Data!$B$183,INDEX((Data!$M$15-2005)*12+INT((ROW()-34)/9)+1-INT((COLUMN()-5)/2+1)*12+1,1,1),IF(RIGHT($C96,4)=" PPI",4,IF(RIGHT($C96,4)="生产资料",5,6)),INDEX(((COLUMN()-5)/2+1)*12,1,1),1)))</f>
        <v>0.88998832392428184</v>
      </c>
      <c r="J96" s="30"/>
      <c r="K96" s="15">
        <f ca="1">IF(AND(Data!$M$15=Data!$L$15,INDEX((INT((ROW()-34)/9)+1),1,1)&gt;Data!$L$16),"-",CORREL(OFFSET(Data!$B$183,INDEX((Data!$M$15-2005)*12+INT((ROW()-34)/9)+1-INT((COLUMN()-5)/2+1)*12+1,1,1),IF(LEFT($C96,6)="CPI VS",1,IF(LEFT($C96,6)="CPI食品 ",2,3)),INDEX(((COLUMN()-5)/2+1)*12,1,1),1),OFFSET(Data!$B$183,INDEX((Data!$M$15-2005)*12+INT((ROW()-34)/9)+1-INT((COLUMN()-5)/2+1)*12+1,1,1),IF(RIGHT($C96,4)=" PPI",4,IF(RIGHT($C96,4)="生产资料",5,6)),INDEX(((COLUMN()-5)/2+1)*12,1,1),1)))</f>
        <v>0.68966893957428022</v>
      </c>
      <c r="L96" s="30"/>
      <c r="M96" s="15">
        <f ca="1">IF(AND(Data!$M$15=Data!$L$15,INDEX((INT((ROW()-34)/9)+1),1,1)&gt;Data!$L$16),"-",MAX(E96,MAX(G96,MAX(I96,K96))))</f>
        <v>0.98923132489947319</v>
      </c>
      <c r="N96" s="30"/>
    </row>
    <row r="97" spans="2:14" x14ac:dyDescent="0.2">
      <c r="B97" s="34" t="s">
        <v>28</v>
      </c>
      <c r="C97" s="29" t="s">
        <v>0</v>
      </c>
      <c r="D97" s="29"/>
      <c r="E97" s="15">
        <f ca="1">IF(AND(Data!$M$15=Data!$L$15,INDEX((INT((ROW()-34)/9)+1),1,1)&gt;Data!$L$16),"-",CORREL(OFFSET(Data!$B$183,INDEX((Data!$M$15-2005)*12+INT((ROW()-34)/9)+1-INT((COLUMN()-5)/2+1)*12+1,1,1),IF(LEFT($C97,6)="CPI VS",1,IF(LEFT($C97,6)="CPI食品 ",2,3)),INDEX(((COLUMN()-5)/2+1)*12,1,1),1),OFFSET(Data!$B$183,INDEX((Data!$M$15-2005)*12+INT((ROW()-34)/9)+1-INT((COLUMN()-5)/2+1)*12+1,1,1),IF(RIGHT($C97,4)=" PPI",4,IF(RIGHT($C97,4)="生产资料",5,6)),INDEX(((COLUMN()-5)/2+1)*12,1,1),1)))</f>
        <v>0.97470847823720663</v>
      </c>
      <c r="F97" s="30">
        <f ca="1">IF(ISERROR(AVERAGE(E97,E105)),"-",AVERAGE(E97,E105))</f>
        <v>0.98056092351389734</v>
      </c>
      <c r="G97" s="15">
        <f ca="1">IF(AND(Data!$M$15=Data!$L$15,INDEX((INT((ROW()-34)/9)+1),1,1)&gt;Data!$L$16),"-",CORREL(OFFSET(Data!$B$183,INDEX((Data!$M$15-2005)*12+INT((ROW()-34)/9)+1-INT((COLUMN()-5)/2+1)*12+1,1,1),IF(LEFT($C97,6)="CPI VS",1,IF(LEFT($C97,6)="CPI食品 ",2,3)),INDEX(((COLUMN()-5)/2+1)*12,1,1),1),OFFSET(Data!$B$183,INDEX((Data!$M$15-2005)*12+INT((ROW()-34)/9)+1-INT((COLUMN()-5)/2+1)*12+1,1,1),IF(RIGHT($C97,4)=" PPI",4,IF(RIGHT($C97,4)="生产资料",5,6)),INDEX(((COLUMN()-5)/2+1)*12,1,1),1)))</f>
        <v>0.91339575037343068</v>
      </c>
      <c r="H97" s="30">
        <f ca="1">IF(ISERROR(AVERAGE(G97,G105)),"-",AVERAGE(G97,G105))</f>
        <v>0.94531623494734995</v>
      </c>
      <c r="I97" s="15">
        <f ca="1">IF(AND(Data!$M$15=Data!$L$15,INDEX((INT((ROW()-34)/9)+1),1,1)&gt;Data!$L$16),"-",CORREL(OFFSET(Data!$B$183,INDEX((Data!$M$15-2005)*12+INT((ROW()-34)/9)+1-INT((COLUMN()-5)/2+1)*12+1,1,1),IF(LEFT($C97,6)="CPI VS",1,IF(LEFT($C97,6)="CPI食品 ",2,3)),INDEX(((COLUMN()-5)/2+1)*12,1,1),1),OFFSET(Data!$B$183,INDEX((Data!$M$15-2005)*12+INT((ROW()-34)/9)+1-INT((COLUMN()-5)/2+1)*12+1,1,1),IF(RIGHT($C97,4)=" PPI",4,IF(RIGHT($C97,4)="生产资料",5,6)),INDEX(((COLUMN()-5)/2+1)*12,1,1),1)))</f>
        <v>0.86410525863411602</v>
      </c>
      <c r="J97" s="30">
        <f ca="1">IF(ISERROR(AVERAGE(I97,I105)),"-",AVERAGE(I97,I105))</f>
        <v>0.89198683048603267</v>
      </c>
      <c r="K97" s="15">
        <f ca="1">IF(AND(Data!$M$15=Data!$L$15,INDEX((INT((ROW()-34)/9)+1),1,1)&gt;Data!$L$16),"-",CORREL(OFFSET(Data!$B$183,INDEX((Data!$M$15-2005)*12+INT((ROW()-34)/9)+1-INT((COLUMN()-5)/2+1)*12+1,1,1),IF(LEFT($C97,6)="CPI VS",1,IF(LEFT($C97,6)="CPI食品 ",2,3)),INDEX(((COLUMN()-5)/2+1)*12,1,1),1),OFFSET(Data!$B$183,INDEX((Data!$M$15-2005)*12+INT((ROW()-34)/9)+1-INT((COLUMN()-5)/2+1)*12+1,1,1),IF(RIGHT($C97,4)=" PPI",4,IF(RIGHT($C97,4)="生产资料",5,6)),INDEX(((COLUMN()-5)/2+1)*12,1,1),1)))</f>
        <v>0.78126667979723963</v>
      </c>
      <c r="L97" s="30">
        <f ca="1">IF(ISERROR(AVERAGE(K97,K105)),"-",AVERAGE(K97,K105))</f>
        <v>0.75263066871510298</v>
      </c>
      <c r="M97" s="15">
        <f ca="1">IF(AND(Data!$M$15=Data!$L$15,INDEX((INT((ROW()-34)/9)+1),1,1)&gt;Data!$L$16),"-",MAX(E97,MAX(G97,MAX(I97,K97))))</f>
        <v>0.97470847823720663</v>
      </c>
      <c r="N97" s="30">
        <f ca="1">IF(AND(Data!$M$15=Data!$L$15,INDEX((INT((ROW()-34)/9)+1),1,1)&gt;Data!$L$16),"-",MAX(F97,MAX(H97,MAX(J97,L97))))</f>
        <v>0.98056092351389734</v>
      </c>
    </row>
    <row r="98" spans="2:14" x14ac:dyDescent="0.2">
      <c r="B98" s="34"/>
      <c r="C98" s="29" t="s">
        <v>38</v>
      </c>
      <c r="D98" s="29"/>
      <c r="E98" s="15">
        <f ca="1">IF(AND(Data!$M$15=Data!$L$15,INDEX((INT((ROW()-34)/9)+1),1,1)&gt;Data!$L$16),"-",CORREL(OFFSET(Data!$B$183,INDEX((Data!$M$15-2005)*12+INT((ROW()-34)/9)+1-INT((COLUMN()-5)/2+1)*12+1,1,1),IF(LEFT($C98,6)="CPI VS",1,IF(LEFT($C98,6)="CPI食品 ",2,3)),INDEX(((COLUMN()-5)/2+1)*12,1,1),1),OFFSET(Data!$B$183,INDEX((Data!$M$15-2005)*12+INT((ROW()-34)/9)+1-INT((COLUMN()-5)/2+1)*12+1,1,1),IF(RIGHT($C98,4)=" PPI",4,IF(RIGHT($C98,4)="生产资料",5,6)),INDEX(((COLUMN()-5)/2+1)*12,1,1),1)))</f>
        <v>0.97327202561310511</v>
      </c>
      <c r="F98" s="30"/>
      <c r="G98" s="15">
        <f ca="1">IF(AND(Data!$M$15=Data!$L$15,INDEX((INT((ROW()-34)/9)+1),1,1)&gt;Data!$L$16),"-",CORREL(OFFSET(Data!$B$183,INDEX((Data!$M$15-2005)*12+INT((ROW()-34)/9)+1-INT((COLUMN()-5)/2+1)*12+1,1,1),IF(LEFT($C98,6)="CPI VS",1,IF(LEFT($C98,6)="CPI食品 ",2,3)),INDEX(((COLUMN()-5)/2+1)*12,1,1),1),OFFSET(Data!$B$183,INDEX((Data!$M$15-2005)*12+INT((ROW()-34)/9)+1-INT((COLUMN()-5)/2+1)*12+1,1,1),IF(RIGHT($C98,4)=" PPI",4,IF(RIGHT($C98,4)="生产资料",5,6)),INDEX(((COLUMN()-5)/2+1)*12,1,1),1)))</f>
        <v>0.90306431026793277</v>
      </c>
      <c r="H98" s="30"/>
      <c r="I98" s="15">
        <f ca="1">IF(AND(Data!$M$15=Data!$L$15,INDEX((INT((ROW()-34)/9)+1),1,1)&gt;Data!$L$16),"-",CORREL(OFFSET(Data!$B$183,INDEX((Data!$M$15-2005)*12+INT((ROW()-34)/9)+1-INT((COLUMN()-5)/2+1)*12+1,1,1),IF(LEFT($C98,6)="CPI VS",1,IF(LEFT($C98,6)="CPI食品 ",2,3)),INDEX(((COLUMN()-5)/2+1)*12,1,1),1),OFFSET(Data!$B$183,INDEX((Data!$M$15-2005)*12+INT((ROW()-34)/9)+1-INT((COLUMN()-5)/2+1)*12+1,1,1),IF(RIGHT($C98,4)=" PPI",4,IF(RIGHT($C98,4)="生产资料",5,6)),INDEX(((COLUMN()-5)/2+1)*12,1,1),1)))</f>
        <v>0.84328769606592768</v>
      </c>
      <c r="J98" s="30"/>
      <c r="K98" s="15">
        <f ca="1">IF(AND(Data!$M$15=Data!$L$15,INDEX((INT((ROW()-34)/9)+1),1,1)&gt;Data!$L$16),"-",CORREL(OFFSET(Data!$B$183,INDEX((Data!$M$15-2005)*12+INT((ROW()-34)/9)+1-INT((COLUMN()-5)/2+1)*12+1,1,1),IF(LEFT($C98,6)="CPI VS",1,IF(LEFT($C98,6)="CPI食品 ",2,3)),INDEX(((COLUMN()-5)/2+1)*12,1,1),1),OFFSET(Data!$B$183,INDEX((Data!$M$15-2005)*12+INT((ROW()-34)/9)+1-INT((COLUMN()-5)/2+1)*12+1,1,1),IF(RIGHT($C98,4)=" PPI",4,IF(RIGHT($C98,4)="生产资料",5,6)),INDEX(((COLUMN()-5)/2+1)*12,1,1),1)))</f>
        <v>0.72912385598815466</v>
      </c>
      <c r="L98" s="30"/>
      <c r="M98" s="15">
        <f ca="1">IF(AND(Data!$M$15=Data!$L$15,INDEX((INT((ROW()-34)/9)+1),1,1)&gt;Data!$L$16),"-",MAX(E98,MAX(G98,MAX(I98,K98))))</f>
        <v>0.97327202561310511</v>
      </c>
      <c r="N98" s="30"/>
    </row>
    <row r="99" spans="2:14" x14ac:dyDescent="0.2">
      <c r="B99" s="34"/>
      <c r="C99" s="29" t="s">
        <v>39</v>
      </c>
      <c r="D99" s="29"/>
      <c r="E99" s="15">
        <f ca="1">IF(AND(Data!$M$15=Data!$L$15,INDEX((INT((ROW()-34)/9)+1),1,1)&gt;Data!$L$16),"-",CORREL(OFFSET(Data!$B$183,INDEX((Data!$M$15-2005)*12+INT((ROW()-34)/9)+1-INT((COLUMN()-5)/2+1)*12+1,1,1),IF(LEFT($C99,6)="CPI VS",1,IF(LEFT($C99,6)="CPI食品 ",2,3)),INDEX(((COLUMN()-5)/2+1)*12,1,1),1),OFFSET(Data!$B$183,INDEX((Data!$M$15-2005)*12+INT((ROW()-34)/9)+1-INT((COLUMN()-5)/2+1)*12+1,1,1),IF(RIGHT($C99,4)=" PPI",4,IF(RIGHT($C99,4)="生产资料",5,6)),INDEX(((COLUMN()-5)/2+1)*12,1,1),1)))</f>
        <v>0.97245767404695282</v>
      </c>
      <c r="F99" s="30"/>
      <c r="G99" s="15">
        <f ca="1">IF(AND(Data!$M$15=Data!$L$15,INDEX((INT((ROW()-34)/9)+1),1,1)&gt;Data!$L$16),"-",CORREL(OFFSET(Data!$B$183,INDEX((Data!$M$15-2005)*12+INT((ROW()-34)/9)+1-INT((COLUMN()-5)/2+1)*12+1,1,1),IF(LEFT($C99,6)="CPI VS",1,IF(LEFT($C99,6)="CPI食品 ",2,3)),INDEX(((COLUMN()-5)/2+1)*12,1,1),1),OFFSET(Data!$B$183,INDEX((Data!$M$15-2005)*12+INT((ROW()-34)/9)+1-INT((COLUMN()-5)/2+1)*12+1,1,1),IF(RIGHT($C99,4)=" PPI",4,IF(RIGHT($C99,4)="生产资料",5,6)),INDEX(((COLUMN()-5)/2+1)*12,1,1),1)))</f>
        <v>0.97613453956120888</v>
      </c>
      <c r="H99" s="30"/>
      <c r="I99" s="15">
        <f ca="1">IF(AND(Data!$M$15=Data!$L$15,INDEX((INT((ROW()-34)/9)+1),1,1)&gt;Data!$L$16),"-",CORREL(OFFSET(Data!$B$183,INDEX((Data!$M$15-2005)*12+INT((ROW()-34)/9)+1-INT((COLUMN()-5)/2+1)*12+1,1,1),IF(LEFT($C99,6)="CPI VS",1,IF(LEFT($C99,6)="CPI食品 ",2,3)),INDEX(((COLUMN()-5)/2+1)*12,1,1),1),OFFSET(Data!$B$183,INDEX((Data!$M$15-2005)*12+INT((ROW()-34)/9)+1-INT((COLUMN()-5)/2+1)*12+1,1,1),IF(RIGHT($C99,4)=" PPI",4,IF(RIGHT($C99,4)="生产资料",5,6)),INDEX(((COLUMN()-5)/2+1)*12,1,1),1)))</f>
        <v>0.97308747918140803</v>
      </c>
      <c r="J99" s="30"/>
      <c r="K99" s="15">
        <f ca="1">IF(AND(Data!$M$15=Data!$L$15,INDEX((INT((ROW()-34)/9)+1),1,1)&gt;Data!$L$16),"-",CORREL(OFFSET(Data!$B$183,INDEX((Data!$M$15-2005)*12+INT((ROW()-34)/9)+1-INT((COLUMN()-5)/2+1)*12+1,1,1),IF(LEFT($C99,6)="CPI VS",1,IF(LEFT($C99,6)="CPI食品 ",2,3)),INDEX(((COLUMN()-5)/2+1)*12,1,1),1),OFFSET(Data!$B$183,INDEX((Data!$M$15-2005)*12+INT((ROW()-34)/9)+1-INT((COLUMN()-5)/2+1)*12+1,1,1),IF(RIGHT($C99,4)=" PPI",4,IF(RIGHT($C99,4)="生产资料",5,6)),INDEX(((COLUMN()-5)/2+1)*12,1,1),1)))</f>
        <v>0.96483358352194715</v>
      </c>
      <c r="L99" s="30"/>
      <c r="M99" s="15">
        <f ca="1">IF(AND(Data!$M$15=Data!$L$15,INDEX((INT((ROW()-34)/9)+1),1,1)&gt;Data!$L$16),"-",MAX(E99,MAX(G99,MAX(I99,K99))))</f>
        <v>0.97613453956120888</v>
      </c>
      <c r="N99" s="30"/>
    </row>
    <row r="100" spans="2:14" x14ac:dyDescent="0.2">
      <c r="B100" s="34"/>
      <c r="C100" s="29" t="s">
        <v>40</v>
      </c>
      <c r="D100" s="29"/>
      <c r="E100" s="15">
        <f ca="1">IF(AND(Data!$M$15=Data!$L$15,INDEX((INT((ROW()-34)/9)+1),1,1)&gt;Data!$L$16),"-",CORREL(OFFSET(Data!$B$183,INDEX((Data!$M$15-2005)*12+INT((ROW()-34)/9)+1-INT((COLUMN()-5)/2+1)*12+1,1,1),IF(LEFT($C100,6)="CPI VS",1,IF(LEFT($C100,6)="CPI食品 ",2,3)),INDEX(((COLUMN()-5)/2+1)*12,1,1),1),OFFSET(Data!$B$183,INDEX((Data!$M$15-2005)*12+INT((ROW()-34)/9)+1-INT((COLUMN()-5)/2+1)*12+1,1,1),IF(RIGHT($C100,4)=" PPI",4,IF(RIGHT($C100,4)="生产资料",5,6)),INDEX(((COLUMN()-5)/2+1)*12,1,1),1)))</f>
        <v>0.94505770731851502</v>
      </c>
      <c r="F100" s="30"/>
      <c r="G100" s="15">
        <f ca="1">IF(AND(Data!$M$15=Data!$L$15,INDEX((INT((ROW()-34)/9)+1),1,1)&gt;Data!$L$16),"-",CORREL(OFFSET(Data!$B$183,INDEX((Data!$M$15-2005)*12+INT((ROW()-34)/9)+1-INT((COLUMN()-5)/2+1)*12+1,1,1),IF(LEFT($C100,6)="CPI VS",1,IF(LEFT($C100,6)="CPI食品 ",2,3)),INDEX(((COLUMN()-5)/2+1)*12,1,1),1),OFFSET(Data!$B$183,INDEX((Data!$M$15-2005)*12+INT((ROW()-34)/9)+1-INT((COLUMN()-5)/2+1)*12+1,1,1),IF(RIGHT($C100,4)=" PPI",4,IF(RIGHT($C100,4)="生产资料",5,6)),INDEX(((COLUMN()-5)/2+1)*12,1,1),1)))</f>
        <v>0.84862603940815784</v>
      </c>
      <c r="H100" s="30"/>
      <c r="I100" s="15">
        <f ca="1">IF(AND(Data!$M$15=Data!$L$15,INDEX((INT((ROW()-34)/9)+1),1,1)&gt;Data!$L$16),"-",CORREL(OFFSET(Data!$B$183,INDEX((Data!$M$15-2005)*12+INT((ROW()-34)/9)+1-INT((COLUMN()-5)/2+1)*12+1,1,1),IF(LEFT($C100,6)="CPI VS",1,IF(LEFT($C100,6)="CPI食品 ",2,3)),INDEX(((COLUMN()-5)/2+1)*12,1,1),1),OFFSET(Data!$B$183,INDEX((Data!$M$15-2005)*12+INT((ROW()-34)/9)+1-INT((COLUMN()-5)/2+1)*12+1,1,1),IF(RIGHT($C100,4)=" PPI",4,IF(RIGHT($C100,4)="生产资料",5,6)),INDEX(((COLUMN()-5)/2+1)*12,1,1),1)))</f>
        <v>0.76242458256624879</v>
      </c>
      <c r="J100" s="30"/>
      <c r="K100" s="15">
        <f ca="1">IF(AND(Data!$M$15=Data!$L$15,INDEX((INT((ROW()-34)/9)+1),1,1)&gt;Data!$L$16),"-",CORREL(OFFSET(Data!$B$183,INDEX((Data!$M$15-2005)*12+INT((ROW()-34)/9)+1-INT((COLUMN()-5)/2+1)*12+1,1,1),IF(LEFT($C100,6)="CPI VS",1,IF(LEFT($C100,6)="CPI食品 ",2,3)),INDEX(((COLUMN()-5)/2+1)*12,1,1),1),OFFSET(Data!$B$183,INDEX((Data!$M$15-2005)*12+INT((ROW()-34)/9)+1-INT((COLUMN()-5)/2+1)*12+1,1,1),IF(RIGHT($C100,4)=" PPI",4,IF(RIGHT($C100,4)="生产资料",5,6)),INDEX(((COLUMN()-5)/2+1)*12,1,1),1)))</f>
        <v>0.63486254092561412</v>
      </c>
      <c r="L100" s="30"/>
      <c r="M100" s="15">
        <f ca="1">IF(AND(Data!$M$15=Data!$L$15,INDEX((INT((ROW()-34)/9)+1),1,1)&gt;Data!$L$16),"-",MAX(E100,MAX(G100,MAX(I100,K100))))</f>
        <v>0.94505770731851502</v>
      </c>
      <c r="N100" s="30"/>
    </row>
    <row r="101" spans="2:14" x14ac:dyDescent="0.2">
      <c r="B101" s="34"/>
      <c r="C101" s="29" t="s">
        <v>41</v>
      </c>
      <c r="D101" s="29"/>
      <c r="E101" s="15">
        <f ca="1">IF(AND(Data!$M$15=Data!$L$15,INDEX((INT((ROW()-34)/9)+1),1,1)&gt;Data!$L$16),"-",CORREL(OFFSET(Data!$B$183,INDEX((Data!$M$15-2005)*12+INT((ROW()-34)/9)+1-INT((COLUMN()-5)/2+1)*12+1,1,1),IF(LEFT($C101,6)="CPI VS",1,IF(LEFT($C101,6)="CPI食品 ",2,3)),INDEX(((COLUMN()-5)/2+1)*12,1,1),1),OFFSET(Data!$B$183,INDEX((Data!$M$15-2005)*12+INT((ROW()-34)/9)+1-INT((COLUMN()-5)/2+1)*12+1,1,1),IF(RIGHT($C101,4)=" PPI",4,IF(RIGHT($C101,4)="生产资料",5,6)),INDEX(((COLUMN()-5)/2+1)*12,1,1),1)))</f>
        <v>0.94302396697829327</v>
      </c>
      <c r="F101" s="30"/>
      <c r="G101" s="15">
        <f ca="1">IF(AND(Data!$M$15=Data!$L$15,INDEX((INT((ROW()-34)/9)+1),1,1)&gt;Data!$L$16),"-",CORREL(OFFSET(Data!$B$183,INDEX((Data!$M$15-2005)*12+INT((ROW()-34)/9)+1-INT((COLUMN()-5)/2+1)*12+1,1,1),IF(LEFT($C101,6)="CPI VS",1,IF(LEFT($C101,6)="CPI食品 ",2,3)),INDEX(((COLUMN()-5)/2+1)*12,1,1),1),OFFSET(Data!$B$183,INDEX((Data!$M$15-2005)*12+INT((ROW()-34)/9)+1-INT((COLUMN()-5)/2+1)*12+1,1,1),IF(RIGHT($C101,4)=" PPI",4,IF(RIGHT($C101,4)="生产资料",5,6)),INDEX(((COLUMN()-5)/2+1)*12,1,1),1)))</f>
        <v>0.83530202268615261</v>
      </c>
      <c r="H101" s="30"/>
      <c r="I101" s="15">
        <f ca="1">IF(AND(Data!$M$15=Data!$L$15,INDEX((INT((ROW()-34)/9)+1),1,1)&gt;Data!$L$16),"-",CORREL(OFFSET(Data!$B$183,INDEX((Data!$M$15-2005)*12+INT((ROW()-34)/9)+1-INT((COLUMN()-5)/2+1)*12+1,1,1),IF(LEFT($C101,6)="CPI VS",1,IF(LEFT($C101,6)="CPI食品 ",2,3)),INDEX(((COLUMN()-5)/2+1)*12,1,1),1),OFFSET(Data!$B$183,INDEX((Data!$M$15-2005)*12+INT((ROW()-34)/9)+1-INT((COLUMN()-5)/2+1)*12+1,1,1),IF(RIGHT($C101,4)=" PPI",4,IF(RIGHT($C101,4)="生产资料",5,6)),INDEX(((COLUMN()-5)/2+1)*12,1,1),1)))</f>
        <v>0.73577114862544024</v>
      </c>
      <c r="J101" s="30"/>
      <c r="K101" s="15">
        <f ca="1">IF(AND(Data!$M$15=Data!$L$15,INDEX((INT((ROW()-34)/9)+1),1,1)&gt;Data!$L$16),"-",CORREL(OFFSET(Data!$B$183,INDEX((Data!$M$15-2005)*12+INT((ROW()-34)/9)+1-INT((COLUMN()-5)/2+1)*12+1,1,1),IF(LEFT($C101,6)="CPI VS",1,IF(LEFT($C101,6)="CPI食品 ",2,3)),INDEX(((COLUMN()-5)/2+1)*12,1,1),1),OFFSET(Data!$B$183,INDEX((Data!$M$15-2005)*12+INT((ROW()-34)/9)+1-INT((COLUMN()-5)/2+1)*12+1,1,1),IF(RIGHT($C101,4)=" PPI",4,IF(RIGHT($C101,4)="生产资料",5,6)),INDEX(((COLUMN()-5)/2+1)*12,1,1),1)))</f>
        <v>0.57074940094819004</v>
      </c>
      <c r="L101" s="30"/>
      <c r="M101" s="15">
        <f ca="1">IF(AND(Data!$M$15=Data!$L$15,INDEX((INT((ROW()-34)/9)+1),1,1)&gt;Data!$L$16),"-",MAX(E101,MAX(G101,MAX(I101,K101))))</f>
        <v>0.94302396697829327</v>
      </c>
      <c r="N101" s="30"/>
    </row>
    <row r="102" spans="2:14" x14ac:dyDescent="0.2">
      <c r="B102" s="34"/>
      <c r="C102" s="29" t="s">
        <v>42</v>
      </c>
      <c r="D102" s="29"/>
      <c r="E102" s="15">
        <f ca="1">IF(AND(Data!$M$15=Data!$L$15,INDEX((INT((ROW()-34)/9)+1),1,1)&gt;Data!$L$16),"-",CORREL(OFFSET(Data!$B$183,INDEX((Data!$M$15-2005)*12+INT((ROW()-34)/9)+1-INT((COLUMN()-5)/2+1)*12+1,1,1),IF(LEFT($C102,6)="CPI VS",1,IF(LEFT($C102,6)="CPI食品 ",2,3)),INDEX(((COLUMN()-5)/2+1)*12,1,1),1),OFFSET(Data!$B$183,INDEX((Data!$M$15-2005)*12+INT((ROW()-34)/9)+1-INT((COLUMN()-5)/2+1)*12+1,1,1),IF(RIGHT($C102,4)=" PPI",4,IF(RIGHT($C102,4)="生产资料",5,6)),INDEX(((COLUMN()-5)/2+1)*12,1,1),1)))</f>
        <v>0.94815823764976037</v>
      </c>
      <c r="F102" s="30"/>
      <c r="G102" s="15">
        <f ca="1">IF(AND(Data!$M$15=Data!$L$15,INDEX((INT((ROW()-34)/9)+1),1,1)&gt;Data!$L$16),"-",CORREL(OFFSET(Data!$B$183,INDEX((Data!$M$15-2005)*12+INT((ROW()-34)/9)+1-INT((COLUMN()-5)/2+1)*12+1,1,1),IF(LEFT($C102,6)="CPI VS",1,IF(LEFT($C102,6)="CPI食品 ",2,3)),INDEX(((COLUMN()-5)/2+1)*12,1,1),1),OFFSET(Data!$B$183,INDEX((Data!$M$15-2005)*12+INT((ROW()-34)/9)+1-INT((COLUMN()-5)/2+1)*12+1,1,1),IF(RIGHT($C102,4)=" PPI",4,IF(RIGHT($C102,4)="生产资料",5,6)),INDEX(((COLUMN()-5)/2+1)*12,1,1),1)))</f>
        <v>0.94058457572980514</v>
      </c>
      <c r="H102" s="30"/>
      <c r="I102" s="15">
        <f ca="1">IF(AND(Data!$M$15=Data!$L$15,INDEX((INT((ROW()-34)/9)+1),1,1)&gt;Data!$L$16),"-",CORREL(OFFSET(Data!$B$183,INDEX((Data!$M$15-2005)*12+INT((ROW()-34)/9)+1-INT((COLUMN()-5)/2+1)*12+1,1,1),IF(LEFT($C102,6)="CPI VS",1,IF(LEFT($C102,6)="CPI食品 ",2,3)),INDEX(((COLUMN()-5)/2+1)*12,1,1),1),OFFSET(Data!$B$183,INDEX((Data!$M$15-2005)*12+INT((ROW()-34)/9)+1-INT((COLUMN()-5)/2+1)*12+1,1,1),IF(RIGHT($C102,4)=" PPI",4,IF(RIGHT($C102,4)="生产资料",5,6)),INDEX(((COLUMN()-5)/2+1)*12,1,1),1)))</f>
        <v>0.92753838827328117</v>
      </c>
      <c r="J102" s="30"/>
      <c r="K102" s="15">
        <f ca="1">IF(AND(Data!$M$15=Data!$L$15,INDEX((INT((ROW()-34)/9)+1),1,1)&gt;Data!$L$16),"-",CORREL(OFFSET(Data!$B$183,INDEX((Data!$M$15-2005)*12+INT((ROW()-34)/9)+1-INT((COLUMN()-5)/2+1)*12+1,1,1),IF(LEFT($C102,6)="CPI VS",1,IF(LEFT($C102,6)="CPI食品 ",2,3)),INDEX(((COLUMN()-5)/2+1)*12,1,1),1),OFFSET(Data!$B$183,INDEX((Data!$M$15-2005)*12+INT((ROW()-34)/9)+1-INT((COLUMN()-5)/2+1)*12+1,1,1),IF(RIGHT($C102,4)=" PPI",4,IF(RIGHT($C102,4)="生产资料",5,6)),INDEX(((COLUMN()-5)/2+1)*12,1,1),1)))</f>
        <v>0.93948552321103262</v>
      </c>
      <c r="L102" s="30"/>
      <c r="M102" s="15">
        <f ca="1">IF(AND(Data!$M$15=Data!$L$15,INDEX((INT((ROW()-34)/9)+1),1,1)&gt;Data!$L$16),"-",MAX(E102,MAX(G102,MAX(I102,K102))))</f>
        <v>0.94815823764976037</v>
      </c>
      <c r="N102" s="30"/>
    </row>
    <row r="103" spans="2:14" x14ac:dyDescent="0.2">
      <c r="B103" s="34"/>
      <c r="C103" s="29" t="s">
        <v>43</v>
      </c>
      <c r="D103" s="29"/>
      <c r="E103" s="15">
        <f ca="1">IF(AND(Data!$M$15=Data!$L$15,INDEX((INT((ROW()-34)/9)+1),1,1)&gt;Data!$L$16),"-",CORREL(OFFSET(Data!$B$183,INDEX((Data!$M$15-2005)*12+INT((ROW()-34)/9)+1-INT((COLUMN()-5)/2+1)*12+1,1,1),IF(LEFT($C103,6)="CPI VS",1,IF(LEFT($C103,6)="CPI食品 ",2,3)),INDEX(((COLUMN()-5)/2+1)*12,1,1),1),OFFSET(Data!$B$183,INDEX((Data!$M$15-2005)*12+INT((ROW()-34)/9)+1-INT((COLUMN()-5)/2+1)*12+1,1,1),IF(RIGHT($C103,4)=" PPI",4,IF(RIGHT($C103,4)="生产资料",5,6)),INDEX(((COLUMN()-5)/2+1)*12,1,1),1)))</f>
        <v>0.99616752337709213</v>
      </c>
      <c r="F103" s="30"/>
      <c r="G103" s="15">
        <f ca="1">IF(AND(Data!$M$15=Data!$L$15,INDEX((INT((ROW()-34)/9)+1),1,1)&gt;Data!$L$16),"-",CORREL(OFFSET(Data!$B$183,INDEX((Data!$M$15-2005)*12+INT((ROW()-34)/9)+1-INT((COLUMN()-5)/2+1)*12+1,1,1),IF(LEFT($C103,6)="CPI VS",1,IF(LEFT($C103,6)="CPI食品 ",2,3)),INDEX(((COLUMN()-5)/2+1)*12,1,1),1),OFFSET(Data!$B$183,INDEX((Data!$M$15-2005)*12+INT((ROW()-34)/9)+1-INT((COLUMN()-5)/2+1)*12+1,1,1),IF(RIGHT($C103,4)=" PPI",4,IF(RIGHT($C103,4)="生产资料",5,6)),INDEX(((COLUMN()-5)/2+1)*12,1,1),1)))</f>
        <v>0.99215931160955007</v>
      </c>
      <c r="H103" s="30"/>
      <c r="I103" s="15">
        <f ca="1">IF(AND(Data!$M$15=Data!$L$15,INDEX((INT((ROW()-34)/9)+1),1,1)&gt;Data!$L$16),"-",CORREL(OFFSET(Data!$B$183,INDEX((Data!$M$15-2005)*12+INT((ROW()-34)/9)+1-INT((COLUMN()-5)/2+1)*12+1,1,1),IF(LEFT($C103,6)="CPI VS",1,IF(LEFT($C103,6)="CPI食品 ",2,3)),INDEX(((COLUMN()-5)/2+1)*12,1,1),1),OFFSET(Data!$B$183,INDEX((Data!$M$15-2005)*12+INT((ROW()-34)/9)+1-INT((COLUMN()-5)/2+1)*12+1,1,1),IF(RIGHT($C103,4)=" PPI",4,IF(RIGHT($C103,4)="生产资料",5,6)),INDEX(((COLUMN()-5)/2+1)*12,1,1),1)))</f>
        <v>0.98379395304330242</v>
      </c>
      <c r="J103" s="30"/>
      <c r="K103" s="15">
        <f ca="1">IF(AND(Data!$M$15=Data!$L$15,INDEX((INT((ROW()-34)/9)+1),1,1)&gt;Data!$L$16),"-",CORREL(OFFSET(Data!$B$183,INDEX((Data!$M$15-2005)*12+INT((ROW()-34)/9)+1-INT((COLUMN()-5)/2+1)*12+1,1,1),IF(LEFT($C103,6)="CPI VS",1,IF(LEFT($C103,6)="CPI食品 ",2,3)),INDEX(((COLUMN()-5)/2+1)*12,1,1),1),OFFSET(Data!$B$183,INDEX((Data!$M$15-2005)*12+INT((ROW()-34)/9)+1-INT((COLUMN()-5)/2+1)*12+1,1,1),IF(RIGHT($C103,4)=" PPI",4,IF(RIGHT($C103,4)="生产资料",5,6)),INDEX(((COLUMN()-5)/2+1)*12,1,1),1)))</f>
        <v>0.9780152502738666</v>
      </c>
      <c r="L103" s="30"/>
      <c r="M103" s="15">
        <f ca="1">IF(AND(Data!$M$15=Data!$L$15,INDEX((INT((ROW()-34)/9)+1),1,1)&gt;Data!$L$16),"-",MAX(E103,MAX(G103,MAX(I103,K103))))</f>
        <v>0.99616752337709213</v>
      </c>
      <c r="N103" s="30"/>
    </row>
    <row r="104" spans="2:14" x14ac:dyDescent="0.2">
      <c r="B104" s="34"/>
      <c r="C104" s="29" t="s">
        <v>44</v>
      </c>
      <c r="D104" s="29"/>
      <c r="E104" s="15">
        <f ca="1">IF(AND(Data!$M$15=Data!$L$15,INDEX((INT((ROW()-34)/9)+1),1,1)&gt;Data!$L$16),"-",CORREL(OFFSET(Data!$B$183,INDEX((Data!$M$15-2005)*12+INT((ROW()-34)/9)+1-INT((COLUMN()-5)/2+1)*12+1,1,1),IF(LEFT($C104,6)="CPI VS",1,IF(LEFT($C104,6)="CPI食品 ",2,3)),INDEX(((COLUMN()-5)/2+1)*12,1,1),1),OFFSET(Data!$B$183,INDEX((Data!$M$15-2005)*12+INT((ROW()-34)/9)+1-INT((COLUMN()-5)/2+1)*12+1,1,1),IF(RIGHT($C104,4)=" PPI",4,IF(RIGHT($C104,4)="生产资料",5,6)),INDEX(((COLUMN()-5)/2+1)*12,1,1),1)))</f>
        <v>0.99569789820404564</v>
      </c>
      <c r="F104" s="30"/>
      <c r="G104" s="15">
        <f ca="1">IF(AND(Data!$M$15=Data!$L$15,INDEX((INT((ROW()-34)/9)+1),1,1)&gt;Data!$L$16),"-",CORREL(OFFSET(Data!$B$183,INDEX((Data!$M$15-2005)*12+INT((ROW()-34)/9)+1-INT((COLUMN()-5)/2+1)*12+1,1,1),IF(LEFT($C104,6)="CPI VS",1,IF(LEFT($C104,6)="CPI食品 ",2,3)),INDEX(((COLUMN()-5)/2+1)*12,1,1),1),OFFSET(Data!$B$183,INDEX((Data!$M$15-2005)*12+INT((ROW()-34)/9)+1-INT((COLUMN()-5)/2+1)*12+1,1,1),IF(RIGHT($C104,4)=" PPI",4,IF(RIGHT($C104,4)="生产资料",5,6)),INDEX(((COLUMN()-5)/2+1)*12,1,1),1)))</f>
        <v>0.99018439277697046</v>
      </c>
      <c r="H104" s="30"/>
      <c r="I104" s="15">
        <f ca="1">IF(AND(Data!$M$15=Data!$L$15,INDEX((INT((ROW()-34)/9)+1),1,1)&gt;Data!$L$16),"-",CORREL(OFFSET(Data!$B$183,INDEX((Data!$M$15-2005)*12+INT((ROW()-34)/9)+1-INT((COLUMN()-5)/2+1)*12+1,1,1),IF(LEFT($C104,6)="CPI VS",1,IF(LEFT($C104,6)="CPI食品 ",2,3)),INDEX(((COLUMN()-5)/2+1)*12,1,1),1),OFFSET(Data!$B$183,INDEX((Data!$M$15-2005)*12+INT((ROW()-34)/9)+1-INT((COLUMN()-5)/2+1)*12+1,1,1),IF(RIGHT($C104,4)=" PPI",4,IF(RIGHT($C104,4)="生产资料",5,6)),INDEX(((COLUMN()-5)/2+1)*12,1,1),1)))</f>
        <v>0.98274432273701806</v>
      </c>
      <c r="J104" s="30"/>
      <c r="K104" s="15">
        <f ca="1">IF(AND(Data!$M$15=Data!$L$15,INDEX((INT((ROW()-34)/9)+1),1,1)&gt;Data!$L$16),"-",CORREL(OFFSET(Data!$B$183,INDEX((Data!$M$15-2005)*12+INT((ROW()-34)/9)+1-INT((COLUMN()-5)/2+1)*12+1,1,1),IF(LEFT($C104,6)="CPI VS",1,IF(LEFT($C104,6)="CPI食品 ",2,3)),INDEX(((COLUMN()-5)/2+1)*12,1,1),1),OFFSET(Data!$B$183,INDEX((Data!$M$15-2005)*12+INT((ROW()-34)/9)+1-INT((COLUMN()-5)/2+1)*12+1,1,1),IF(RIGHT($C104,4)=" PPI",4,IF(RIGHT($C104,4)="生产资料",5,6)),INDEX(((COLUMN()-5)/2+1)*12,1,1),1)))</f>
        <v>0.98053296075407015</v>
      </c>
      <c r="L104" s="30"/>
      <c r="M104" s="15">
        <f ca="1">IF(AND(Data!$M$15=Data!$L$15,INDEX((INT((ROW()-34)/9)+1),1,1)&gt;Data!$L$16),"-",MAX(E104,MAX(G104,MAX(I104,K104))))</f>
        <v>0.99569789820404564</v>
      </c>
      <c r="N104" s="30"/>
    </row>
    <row r="105" spans="2:14" x14ac:dyDescent="0.2">
      <c r="B105" s="34"/>
      <c r="C105" s="29" t="s">
        <v>45</v>
      </c>
      <c r="D105" s="29"/>
      <c r="E105" s="15">
        <f ca="1">IF(AND(Data!$M$15=Data!$L$15,INDEX((INT((ROW()-34)/9)+1),1,1)&gt;Data!$L$16),"-",CORREL(OFFSET(Data!$B$183,INDEX((Data!$M$15-2005)*12+INT((ROW()-34)/9)+1-INT((COLUMN()-5)/2+1)*12+1,1,1),IF(LEFT($C105,6)="CPI VS",1,IF(LEFT($C105,6)="CPI食品 ",2,3)),INDEX(((COLUMN()-5)/2+1)*12,1,1),1),OFFSET(Data!$B$183,INDEX((Data!$M$15-2005)*12+INT((ROW()-34)/9)+1-INT((COLUMN()-5)/2+1)*12+1,1,1),IF(RIGHT($C105,4)=" PPI",4,IF(RIGHT($C105,4)="生产资料",5,6)),INDEX(((COLUMN()-5)/2+1)*12,1,1),1)))</f>
        <v>0.98641336879058805</v>
      </c>
      <c r="F105" s="30"/>
      <c r="G105" s="15">
        <f ca="1">IF(AND(Data!$M$15=Data!$L$15,INDEX((INT((ROW()-34)/9)+1),1,1)&gt;Data!$L$16),"-",CORREL(OFFSET(Data!$B$183,INDEX((Data!$M$15-2005)*12+INT((ROW()-34)/9)+1-INT((COLUMN()-5)/2+1)*12+1,1,1),IF(LEFT($C105,6)="CPI VS",1,IF(LEFT($C105,6)="CPI食品 ",2,3)),INDEX(((COLUMN()-5)/2+1)*12,1,1),1),OFFSET(Data!$B$183,INDEX((Data!$M$15-2005)*12+INT((ROW()-34)/9)+1-INT((COLUMN()-5)/2+1)*12+1,1,1),IF(RIGHT($C105,4)=" PPI",4,IF(RIGHT($C105,4)="生产资料",5,6)),INDEX(((COLUMN()-5)/2+1)*12,1,1),1)))</f>
        <v>0.97723671952126923</v>
      </c>
      <c r="H105" s="30"/>
      <c r="I105" s="15">
        <f ca="1">IF(AND(Data!$M$15=Data!$L$15,INDEX((INT((ROW()-34)/9)+1),1,1)&gt;Data!$L$16),"-",CORREL(OFFSET(Data!$B$183,INDEX((Data!$M$15-2005)*12+INT((ROW()-34)/9)+1-INT((COLUMN()-5)/2+1)*12+1,1,1),IF(LEFT($C105,6)="CPI VS",1,IF(LEFT($C105,6)="CPI食品 ",2,3)),INDEX(((COLUMN()-5)/2+1)*12,1,1),1),OFFSET(Data!$B$183,INDEX((Data!$M$15-2005)*12+INT((ROW()-34)/9)+1-INT((COLUMN()-5)/2+1)*12+1,1,1),IF(RIGHT($C105,4)=" PPI",4,IF(RIGHT($C105,4)="生产资料",5,6)),INDEX(((COLUMN()-5)/2+1)*12,1,1),1)))</f>
        <v>0.91986840233794931</v>
      </c>
      <c r="J105" s="30"/>
      <c r="K105" s="15">
        <f ca="1">IF(AND(Data!$M$15=Data!$L$15,INDEX((INT((ROW()-34)/9)+1),1,1)&gt;Data!$L$16),"-",CORREL(OFFSET(Data!$B$183,INDEX((Data!$M$15-2005)*12+INT((ROW()-34)/9)+1-INT((COLUMN()-5)/2+1)*12+1,1,1),IF(LEFT($C105,6)="CPI VS",1,IF(LEFT($C105,6)="CPI食品 ",2,3)),INDEX(((COLUMN()-5)/2+1)*12,1,1),1),OFFSET(Data!$B$183,INDEX((Data!$M$15-2005)*12+INT((ROW()-34)/9)+1-INT((COLUMN()-5)/2+1)*12+1,1,1),IF(RIGHT($C105,4)=" PPI",4,IF(RIGHT($C105,4)="生产资料",5,6)),INDEX(((COLUMN()-5)/2+1)*12,1,1),1)))</f>
        <v>0.72399465763296644</v>
      </c>
      <c r="L105" s="30"/>
      <c r="M105" s="15">
        <f ca="1">IF(AND(Data!$M$15=Data!$L$15,INDEX((INT((ROW()-34)/9)+1),1,1)&gt;Data!$L$16),"-",MAX(E105,MAX(G105,MAX(I105,K105))))</f>
        <v>0.98641336879058805</v>
      </c>
      <c r="N105" s="30"/>
    </row>
    <row r="106" spans="2:14" x14ac:dyDescent="0.2">
      <c r="B106" s="34" t="s">
        <v>29</v>
      </c>
      <c r="C106" s="29" t="s">
        <v>0</v>
      </c>
      <c r="D106" s="29"/>
      <c r="E106" s="15">
        <f ca="1">IF(AND(Data!$M$15=Data!$L$15,INDEX((INT((ROW()-34)/9)+1),1,1)&gt;Data!$L$16),"-",CORREL(OFFSET(Data!$B$183,INDEX((Data!$M$15-2005)*12+INT((ROW()-34)/9)+1-INT((COLUMN()-5)/2+1)*12+1,1,1),IF(LEFT($C106,6)="CPI VS",1,IF(LEFT($C106,6)="CPI食品 ",2,3)),INDEX(((COLUMN()-5)/2+1)*12,1,1),1),OFFSET(Data!$B$183,INDEX((Data!$M$15-2005)*12+INT((ROW()-34)/9)+1-INT((COLUMN()-5)/2+1)*12+1,1,1),IF(RIGHT($C106,4)=" PPI",4,IF(RIGHT($C106,4)="生产资料",5,6)),INDEX(((COLUMN()-5)/2+1)*12,1,1),1)))</f>
        <v>0.95991900848714096</v>
      </c>
      <c r="F106" s="30">
        <f ca="1">IF(ISERROR(AVERAGE(E106,E114)),"-",AVERAGE(E106,E114))</f>
        <v>0.97139553925725908</v>
      </c>
      <c r="G106" s="15">
        <f ca="1">IF(AND(Data!$M$15=Data!$L$15,INDEX((INT((ROW()-34)/9)+1),1,1)&gt;Data!$L$16),"-",CORREL(OFFSET(Data!$B$183,INDEX((Data!$M$15-2005)*12+INT((ROW()-34)/9)+1-INT((COLUMN()-5)/2+1)*12+1,1,1),IF(LEFT($C106,6)="CPI VS",1,IF(LEFT($C106,6)="CPI食品 ",2,3)),INDEX(((COLUMN()-5)/2+1)*12,1,1),1),OFFSET(Data!$B$183,INDEX((Data!$M$15-2005)*12+INT((ROW()-34)/9)+1-INT((COLUMN()-5)/2+1)*12+1,1,1),IF(RIGHT($C106,4)=" PPI",4,IF(RIGHT($C106,4)="生产资料",5,6)),INDEX(((COLUMN()-5)/2+1)*12,1,1),1)))</f>
        <v>0.92313347405791646</v>
      </c>
      <c r="H106" s="30">
        <f ca="1">IF(ISERROR(AVERAGE(G106,G114)),"-",AVERAGE(G106,G114))</f>
        <v>0.9509026456478088</v>
      </c>
      <c r="I106" s="15">
        <f ca="1">IF(AND(Data!$M$15=Data!$L$15,INDEX((INT((ROW()-34)/9)+1),1,1)&gt;Data!$L$16),"-",CORREL(OFFSET(Data!$B$183,INDEX((Data!$M$15-2005)*12+INT((ROW()-34)/9)+1-INT((COLUMN()-5)/2+1)*12+1,1,1),IF(LEFT($C106,6)="CPI VS",1,IF(LEFT($C106,6)="CPI食品 ",2,3)),INDEX(((COLUMN()-5)/2+1)*12,1,1),1),OFFSET(Data!$B$183,INDEX((Data!$M$15-2005)*12+INT((ROW()-34)/9)+1-INT((COLUMN()-5)/2+1)*12+1,1,1),IF(RIGHT($C106,4)=" PPI",4,IF(RIGHT($C106,4)="生产资料",5,6)),INDEX(((COLUMN()-5)/2+1)*12,1,1),1)))</f>
        <v>0.87959833831622303</v>
      </c>
      <c r="J106" s="30">
        <f ca="1">IF(ISERROR(AVERAGE(I106,I114)),"-",AVERAGE(I106,I114))</f>
        <v>0.90892131660468511</v>
      </c>
      <c r="K106" s="15">
        <f ca="1">IF(AND(Data!$M$15=Data!$L$15,INDEX((INT((ROW()-34)/9)+1),1,1)&gt;Data!$L$16),"-",CORREL(OFFSET(Data!$B$183,INDEX((Data!$M$15-2005)*12+INT((ROW()-34)/9)+1-INT((COLUMN()-5)/2+1)*12+1,1,1),IF(LEFT($C106,6)="CPI VS",1,IF(LEFT($C106,6)="CPI食品 ",2,3)),INDEX(((COLUMN()-5)/2+1)*12,1,1),1),OFFSET(Data!$B$183,INDEX((Data!$M$15-2005)*12+INT((ROW()-34)/9)+1-INT((COLUMN()-5)/2+1)*12+1,1,1),IF(RIGHT($C106,4)=" PPI",4,IF(RIGHT($C106,4)="生产资料",5,6)),INDEX(((COLUMN()-5)/2+1)*12,1,1),1)))</f>
        <v>0.7992220355247992</v>
      </c>
      <c r="L106" s="30">
        <f ca="1">IF(ISERROR(AVERAGE(K106,K114)),"-",AVERAGE(K106,K114))</f>
        <v>0.77480831775201875</v>
      </c>
      <c r="M106" s="15">
        <f ca="1">IF(AND(Data!$M$15=Data!$L$15,INDEX((INT((ROW()-34)/9)+1),1,1)&gt;Data!$L$16),"-",MAX(E106,MAX(G106,MAX(I106,K106))))</f>
        <v>0.95991900848714096</v>
      </c>
      <c r="N106" s="30">
        <f ca="1">IF(AND(Data!$M$15=Data!$L$15,INDEX((INT((ROW()-34)/9)+1),1,1)&gt;Data!$L$16),"-",MAX(F106,MAX(H106,MAX(J106,L106))))</f>
        <v>0.97139553925725908</v>
      </c>
    </row>
    <row r="107" spans="2:14" x14ac:dyDescent="0.2">
      <c r="B107" s="34"/>
      <c r="C107" s="29" t="s">
        <v>38</v>
      </c>
      <c r="D107" s="29"/>
      <c r="E107" s="15">
        <f ca="1">IF(AND(Data!$M$15=Data!$L$15,INDEX((INT((ROW()-34)/9)+1),1,1)&gt;Data!$L$16),"-",CORREL(OFFSET(Data!$B$183,INDEX((Data!$M$15-2005)*12+INT((ROW()-34)/9)+1-INT((COLUMN()-5)/2+1)*12+1,1,1),IF(LEFT($C107,6)="CPI VS",1,IF(LEFT($C107,6)="CPI食品 ",2,3)),INDEX(((COLUMN()-5)/2+1)*12,1,1),1),OFFSET(Data!$B$183,INDEX((Data!$M$15-2005)*12+INT((ROW()-34)/9)+1-INT((COLUMN()-5)/2+1)*12+1,1,1),IF(RIGHT($C107,4)=" PPI",4,IF(RIGHT($C107,4)="生产资料",5,6)),INDEX(((COLUMN()-5)/2+1)*12,1,1),1)))</f>
        <v>0.95865295612892854</v>
      </c>
      <c r="F107" s="30"/>
      <c r="G107" s="15">
        <f ca="1">IF(AND(Data!$M$15=Data!$L$15,INDEX((INT((ROW()-34)/9)+1),1,1)&gt;Data!$L$16),"-",CORREL(OFFSET(Data!$B$183,INDEX((Data!$M$15-2005)*12+INT((ROW()-34)/9)+1-INT((COLUMN()-5)/2+1)*12+1,1,1),IF(LEFT($C107,6)="CPI VS",1,IF(LEFT($C107,6)="CPI食品 ",2,3)),INDEX(((COLUMN()-5)/2+1)*12,1,1),1),OFFSET(Data!$B$183,INDEX((Data!$M$15-2005)*12+INT((ROW()-34)/9)+1-INT((COLUMN()-5)/2+1)*12+1,1,1),IF(RIGHT($C107,4)=" PPI",4,IF(RIGHT($C107,4)="生产资料",5,6)),INDEX(((COLUMN()-5)/2+1)*12,1,1),1)))</f>
        <v>0.91420571262500117</v>
      </c>
      <c r="H107" s="30"/>
      <c r="I107" s="15">
        <f ca="1">IF(AND(Data!$M$15=Data!$L$15,INDEX((INT((ROW()-34)/9)+1),1,1)&gt;Data!$L$16),"-",CORREL(OFFSET(Data!$B$183,INDEX((Data!$M$15-2005)*12+INT((ROW()-34)/9)+1-INT((COLUMN()-5)/2+1)*12+1,1,1),IF(LEFT($C107,6)="CPI VS",1,IF(LEFT($C107,6)="CPI食品 ",2,3)),INDEX(((COLUMN()-5)/2+1)*12,1,1),1),OFFSET(Data!$B$183,INDEX((Data!$M$15-2005)*12+INT((ROW()-34)/9)+1-INT((COLUMN()-5)/2+1)*12+1,1,1),IF(RIGHT($C107,4)=" PPI",4,IF(RIGHT($C107,4)="生产资料",5,6)),INDEX(((COLUMN()-5)/2+1)*12,1,1),1)))</f>
        <v>0.8621972491120472</v>
      </c>
      <c r="J107" s="30"/>
      <c r="K107" s="15">
        <f ca="1">IF(AND(Data!$M$15=Data!$L$15,INDEX((INT((ROW()-34)/9)+1),1,1)&gt;Data!$L$16),"-",CORREL(OFFSET(Data!$B$183,INDEX((Data!$M$15-2005)*12+INT((ROW()-34)/9)+1-INT((COLUMN()-5)/2+1)*12+1,1,1),IF(LEFT($C107,6)="CPI VS",1,IF(LEFT($C107,6)="CPI食品 ",2,3)),INDEX(((COLUMN()-5)/2+1)*12,1,1),1),OFFSET(Data!$B$183,INDEX((Data!$M$15-2005)*12+INT((ROW()-34)/9)+1-INT((COLUMN()-5)/2+1)*12+1,1,1),IF(RIGHT($C107,4)=" PPI",4,IF(RIGHT($C107,4)="生产资料",5,6)),INDEX(((COLUMN()-5)/2+1)*12,1,1),1)))</f>
        <v>0.75321659913849948</v>
      </c>
      <c r="L107" s="30"/>
      <c r="M107" s="15">
        <f ca="1">IF(AND(Data!$M$15=Data!$L$15,INDEX((INT((ROW()-34)/9)+1),1,1)&gt;Data!$L$16),"-",MAX(E107,MAX(G107,MAX(I107,K107))))</f>
        <v>0.95865295612892854</v>
      </c>
      <c r="N107" s="30"/>
    </row>
    <row r="108" spans="2:14" x14ac:dyDescent="0.2">
      <c r="B108" s="34"/>
      <c r="C108" s="29" t="s">
        <v>39</v>
      </c>
      <c r="D108" s="29"/>
      <c r="E108" s="15">
        <f ca="1">IF(AND(Data!$M$15=Data!$L$15,INDEX((INT((ROW()-34)/9)+1),1,1)&gt;Data!$L$16),"-",CORREL(OFFSET(Data!$B$183,INDEX((Data!$M$15-2005)*12+INT((ROW()-34)/9)+1-INT((COLUMN()-5)/2+1)*12+1,1,1),IF(LEFT($C108,6)="CPI VS",1,IF(LEFT($C108,6)="CPI食品 ",2,3)),INDEX(((COLUMN()-5)/2+1)*12,1,1),1),OFFSET(Data!$B$183,INDEX((Data!$M$15-2005)*12+INT((ROW()-34)/9)+1-INT((COLUMN()-5)/2+1)*12+1,1,1),IF(RIGHT($C108,4)=" PPI",4,IF(RIGHT($C108,4)="生产资料",5,6)),INDEX(((COLUMN()-5)/2+1)*12,1,1),1)))</f>
        <v>0.95488238749896936</v>
      </c>
      <c r="F108" s="30"/>
      <c r="G108" s="15">
        <f ca="1">IF(AND(Data!$M$15=Data!$L$15,INDEX((INT((ROW()-34)/9)+1),1,1)&gt;Data!$L$16),"-",CORREL(OFFSET(Data!$B$183,INDEX((Data!$M$15-2005)*12+INT((ROW()-34)/9)+1-INT((COLUMN()-5)/2+1)*12+1,1,1),IF(LEFT($C108,6)="CPI VS",1,IF(LEFT($C108,6)="CPI食品 ",2,3)),INDEX(((COLUMN()-5)/2+1)*12,1,1),1),OFFSET(Data!$B$183,INDEX((Data!$M$15-2005)*12+INT((ROW()-34)/9)+1-INT((COLUMN()-5)/2+1)*12+1,1,1),IF(RIGHT($C108,4)=" PPI",4,IF(RIGHT($C108,4)="生产资料",5,6)),INDEX(((COLUMN()-5)/2+1)*12,1,1),1)))</f>
        <v>0.97712423965860795</v>
      </c>
      <c r="H108" s="30"/>
      <c r="I108" s="15">
        <f ca="1">IF(AND(Data!$M$15=Data!$L$15,INDEX((INT((ROW()-34)/9)+1),1,1)&gt;Data!$L$16),"-",CORREL(OFFSET(Data!$B$183,INDEX((Data!$M$15-2005)*12+INT((ROW()-34)/9)+1-INT((COLUMN()-5)/2+1)*12+1,1,1),IF(LEFT($C108,6)="CPI VS",1,IF(LEFT($C108,6)="CPI食品 ",2,3)),INDEX(((COLUMN()-5)/2+1)*12,1,1),1),OFFSET(Data!$B$183,INDEX((Data!$M$15-2005)*12+INT((ROW()-34)/9)+1-INT((COLUMN()-5)/2+1)*12+1,1,1),IF(RIGHT($C108,4)=" PPI",4,IF(RIGHT($C108,4)="生产资料",5,6)),INDEX(((COLUMN()-5)/2+1)*12,1,1),1)))</f>
        <v>0.97286684364863218</v>
      </c>
      <c r="J108" s="30"/>
      <c r="K108" s="15">
        <f ca="1">IF(AND(Data!$M$15=Data!$L$15,INDEX((INT((ROW()-34)/9)+1),1,1)&gt;Data!$L$16),"-",CORREL(OFFSET(Data!$B$183,INDEX((Data!$M$15-2005)*12+INT((ROW()-34)/9)+1-INT((COLUMN()-5)/2+1)*12+1,1,1),IF(LEFT($C108,6)="CPI VS",1,IF(LEFT($C108,6)="CPI食品 ",2,3)),INDEX(((COLUMN()-5)/2+1)*12,1,1),1),OFFSET(Data!$B$183,INDEX((Data!$M$15-2005)*12+INT((ROW()-34)/9)+1-INT((COLUMN()-5)/2+1)*12+1,1,1),IF(RIGHT($C108,4)=" PPI",4,IF(RIGHT($C108,4)="生产资料",5,6)),INDEX(((COLUMN()-5)/2+1)*12,1,1),1)))</f>
        <v>0.96553858345638865</v>
      </c>
      <c r="L108" s="30"/>
      <c r="M108" s="15">
        <f ca="1">IF(AND(Data!$M$15=Data!$L$15,INDEX((INT((ROW()-34)/9)+1),1,1)&gt;Data!$L$16),"-",MAX(E108,MAX(G108,MAX(I108,K108))))</f>
        <v>0.97712423965860795</v>
      </c>
      <c r="N108" s="30"/>
    </row>
    <row r="109" spans="2:14" x14ac:dyDescent="0.2">
      <c r="B109" s="34"/>
      <c r="C109" s="29" t="s">
        <v>40</v>
      </c>
      <c r="D109" s="29"/>
      <c r="E109" s="15">
        <f ca="1">IF(AND(Data!$M$15=Data!$L$15,INDEX((INT((ROW()-34)/9)+1),1,1)&gt;Data!$L$16),"-",CORREL(OFFSET(Data!$B$183,INDEX((Data!$M$15-2005)*12+INT((ROW()-34)/9)+1-INT((COLUMN()-5)/2+1)*12+1,1,1),IF(LEFT($C109,6)="CPI VS",1,IF(LEFT($C109,6)="CPI食品 ",2,3)),INDEX(((COLUMN()-5)/2+1)*12,1,1),1),OFFSET(Data!$B$183,INDEX((Data!$M$15-2005)*12+INT((ROW()-34)/9)+1-INT((COLUMN()-5)/2+1)*12+1,1,1),IF(RIGHT($C109,4)=" PPI",4,IF(RIGHT($C109,4)="生产资料",5,6)),INDEX(((COLUMN()-5)/2+1)*12,1,1),1)))</f>
        <v>0.90256340504719146</v>
      </c>
      <c r="F109" s="30"/>
      <c r="G109" s="15">
        <f ca="1">IF(AND(Data!$M$15=Data!$L$15,INDEX((INT((ROW()-34)/9)+1),1,1)&gt;Data!$L$16),"-",CORREL(OFFSET(Data!$B$183,INDEX((Data!$M$15-2005)*12+INT((ROW()-34)/9)+1-INT((COLUMN()-5)/2+1)*12+1,1,1),IF(LEFT($C109,6)="CPI VS",1,IF(LEFT($C109,6)="CPI食品 ",2,3)),INDEX(((COLUMN()-5)/2+1)*12,1,1),1),OFFSET(Data!$B$183,INDEX((Data!$M$15-2005)*12+INT((ROW()-34)/9)+1-INT((COLUMN()-5)/2+1)*12+1,1,1),IF(RIGHT($C109,4)=" PPI",4,IF(RIGHT($C109,4)="生产资料",5,6)),INDEX(((COLUMN()-5)/2+1)*12,1,1),1)))</f>
        <v>0.86100429910996001</v>
      </c>
      <c r="H109" s="30"/>
      <c r="I109" s="15">
        <f ca="1">IF(AND(Data!$M$15=Data!$L$15,INDEX((INT((ROW()-34)/9)+1),1,1)&gt;Data!$L$16),"-",CORREL(OFFSET(Data!$B$183,INDEX((Data!$M$15-2005)*12+INT((ROW()-34)/9)+1-INT((COLUMN()-5)/2+1)*12+1,1,1),IF(LEFT($C109,6)="CPI VS",1,IF(LEFT($C109,6)="CPI食品 ",2,3)),INDEX(((COLUMN()-5)/2+1)*12,1,1),1),OFFSET(Data!$B$183,INDEX((Data!$M$15-2005)*12+INT((ROW()-34)/9)+1-INT((COLUMN()-5)/2+1)*12+1,1,1),IF(RIGHT($C109,4)=" PPI",4,IF(RIGHT($C109,4)="生产资料",5,6)),INDEX(((COLUMN()-5)/2+1)*12,1,1),1)))</f>
        <v>0.78414494263309031</v>
      </c>
      <c r="J109" s="30"/>
      <c r="K109" s="15">
        <f ca="1">IF(AND(Data!$M$15=Data!$L$15,INDEX((INT((ROW()-34)/9)+1),1,1)&gt;Data!$L$16),"-",CORREL(OFFSET(Data!$B$183,INDEX((Data!$M$15-2005)*12+INT((ROW()-34)/9)+1-INT((COLUMN()-5)/2+1)*12+1,1,1),IF(LEFT($C109,6)="CPI VS",1,IF(LEFT($C109,6)="CPI食品 ",2,3)),INDEX(((COLUMN()-5)/2+1)*12,1,1),1),OFFSET(Data!$B$183,INDEX((Data!$M$15-2005)*12+INT((ROW()-34)/9)+1-INT((COLUMN()-5)/2+1)*12+1,1,1),IF(RIGHT($C109,4)=" PPI",4,IF(RIGHT($C109,4)="生产资料",5,6)),INDEX(((COLUMN()-5)/2+1)*12,1,1),1)))</f>
        <v>0.65335367274605916</v>
      </c>
      <c r="L109" s="30"/>
      <c r="M109" s="15">
        <f ca="1">IF(AND(Data!$M$15=Data!$L$15,INDEX((INT((ROW()-34)/9)+1),1,1)&gt;Data!$L$16),"-",MAX(E109,MAX(G109,MAX(I109,K109))))</f>
        <v>0.90256340504719146</v>
      </c>
      <c r="N109" s="30"/>
    </row>
    <row r="110" spans="2:14" x14ac:dyDescent="0.2">
      <c r="B110" s="34"/>
      <c r="C110" s="29" t="s">
        <v>41</v>
      </c>
      <c r="D110" s="29"/>
      <c r="E110" s="15">
        <f ca="1">IF(AND(Data!$M$15=Data!$L$15,INDEX((INT((ROW()-34)/9)+1),1,1)&gt;Data!$L$16),"-",CORREL(OFFSET(Data!$B$183,INDEX((Data!$M$15-2005)*12+INT((ROW()-34)/9)+1-INT((COLUMN()-5)/2+1)*12+1,1,1),IF(LEFT($C110,6)="CPI VS",1,IF(LEFT($C110,6)="CPI食品 ",2,3)),INDEX(((COLUMN()-5)/2+1)*12,1,1),1),OFFSET(Data!$B$183,INDEX((Data!$M$15-2005)*12+INT((ROW()-34)/9)+1-INT((COLUMN()-5)/2+1)*12+1,1,1),IF(RIGHT($C110,4)=" PPI",4,IF(RIGHT($C110,4)="生产资料",5,6)),INDEX(((COLUMN()-5)/2+1)*12,1,1),1)))</f>
        <v>0.9004918442961144</v>
      </c>
      <c r="F110" s="30"/>
      <c r="G110" s="15">
        <f ca="1">IF(AND(Data!$M$15=Data!$L$15,INDEX((INT((ROW()-34)/9)+1),1,1)&gt;Data!$L$16),"-",CORREL(OFFSET(Data!$B$183,INDEX((Data!$M$15-2005)*12+INT((ROW()-34)/9)+1-INT((COLUMN()-5)/2+1)*12+1,1,1),IF(LEFT($C110,6)="CPI VS",1,IF(LEFT($C110,6)="CPI食品 ",2,3)),INDEX(((COLUMN()-5)/2+1)*12,1,1),1),OFFSET(Data!$B$183,INDEX((Data!$M$15-2005)*12+INT((ROW()-34)/9)+1-INT((COLUMN()-5)/2+1)*12+1,1,1),IF(RIGHT($C110,4)=" PPI",4,IF(RIGHT($C110,4)="生产资料",5,6)),INDEX(((COLUMN()-5)/2+1)*12,1,1),1)))</f>
        <v>0.8493146638021648</v>
      </c>
      <c r="H110" s="30"/>
      <c r="I110" s="15">
        <f ca="1">IF(AND(Data!$M$15=Data!$L$15,INDEX((INT((ROW()-34)/9)+1),1,1)&gt;Data!$L$16),"-",CORREL(OFFSET(Data!$B$183,INDEX((Data!$M$15-2005)*12+INT((ROW()-34)/9)+1-INT((COLUMN()-5)/2+1)*12+1,1,1),IF(LEFT($C110,6)="CPI VS",1,IF(LEFT($C110,6)="CPI食品 ",2,3)),INDEX(((COLUMN()-5)/2+1)*12,1,1),1),OFFSET(Data!$B$183,INDEX((Data!$M$15-2005)*12+INT((ROW()-34)/9)+1-INT((COLUMN()-5)/2+1)*12+1,1,1),IF(RIGHT($C110,4)=" PPI",4,IF(RIGHT($C110,4)="生产资料",5,6)),INDEX(((COLUMN()-5)/2+1)*12,1,1),1)))</f>
        <v>0.76157521556771335</v>
      </c>
      <c r="J110" s="30"/>
      <c r="K110" s="15">
        <f ca="1">IF(AND(Data!$M$15=Data!$L$15,INDEX((INT((ROW()-34)/9)+1),1,1)&gt;Data!$L$16),"-",CORREL(OFFSET(Data!$B$183,INDEX((Data!$M$15-2005)*12+INT((ROW()-34)/9)+1-INT((COLUMN()-5)/2+1)*12+1,1,1),IF(LEFT($C110,6)="CPI VS",1,IF(LEFT($C110,6)="CPI食品 ",2,3)),INDEX(((COLUMN()-5)/2+1)*12,1,1),1),OFFSET(Data!$B$183,INDEX((Data!$M$15-2005)*12+INT((ROW()-34)/9)+1-INT((COLUMN()-5)/2+1)*12+1,1,1),IF(RIGHT($C110,4)=" PPI",4,IF(RIGHT($C110,4)="生产资料",5,6)),INDEX(((COLUMN()-5)/2+1)*12,1,1),1)))</f>
        <v>0.5957409756537172</v>
      </c>
      <c r="L110" s="30"/>
      <c r="M110" s="15">
        <f ca="1">IF(AND(Data!$M$15=Data!$L$15,INDEX((INT((ROW()-34)/9)+1),1,1)&gt;Data!$L$16),"-",MAX(E110,MAX(G110,MAX(I110,K110))))</f>
        <v>0.9004918442961144</v>
      </c>
      <c r="N110" s="30"/>
    </row>
    <row r="111" spans="2:14" x14ac:dyDescent="0.2">
      <c r="B111" s="34"/>
      <c r="C111" s="29" t="s">
        <v>42</v>
      </c>
      <c r="D111" s="29"/>
      <c r="E111" s="15">
        <f ca="1">IF(AND(Data!$M$15=Data!$L$15,INDEX((INT((ROW()-34)/9)+1),1,1)&gt;Data!$L$16),"-",CORREL(OFFSET(Data!$B$183,INDEX((Data!$M$15-2005)*12+INT((ROW()-34)/9)+1-INT((COLUMN()-5)/2+1)*12+1,1,1),IF(LEFT($C111,6)="CPI VS",1,IF(LEFT($C111,6)="CPI食品 ",2,3)),INDEX(((COLUMN()-5)/2+1)*12,1,1),1),OFFSET(Data!$B$183,INDEX((Data!$M$15-2005)*12+INT((ROW()-34)/9)+1-INT((COLUMN()-5)/2+1)*12+1,1,1),IF(RIGHT($C111,4)=" PPI",4,IF(RIGHT($C111,4)="生产资料",5,6)),INDEX(((COLUMN()-5)/2+1)*12,1,1),1)))</f>
        <v>0.90400815701305814</v>
      </c>
      <c r="F111" s="30"/>
      <c r="G111" s="15">
        <f ca="1">IF(AND(Data!$M$15=Data!$L$15,INDEX((INT((ROW()-34)/9)+1),1,1)&gt;Data!$L$16),"-",CORREL(OFFSET(Data!$B$183,INDEX((Data!$M$15-2005)*12+INT((ROW()-34)/9)+1-INT((COLUMN()-5)/2+1)*12+1,1,1),IF(LEFT($C111,6)="CPI VS",1,IF(LEFT($C111,6)="CPI食品 ",2,3)),INDEX(((COLUMN()-5)/2+1)*12,1,1),1),OFFSET(Data!$B$183,INDEX((Data!$M$15-2005)*12+INT((ROW()-34)/9)+1-INT((COLUMN()-5)/2+1)*12+1,1,1),IF(RIGHT($C111,4)=" PPI",4,IF(RIGHT($C111,4)="生产资料",5,6)),INDEX(((COLUMN()-5)/2+1)*12,1,1),1)))</f>
        <v>0.94179792663467343</v>
      </c>
      <c r="H111" s="30"/>
      <c r="I111" s="15">
        <f ca="1">IF(AND(Data!$M$15=Data!$L$15,INDEX((INT((ROW()-34)/9)+1),1,1)&gt;Data!$L$16),"-",CORREL(OFFSET(Data!$B$183,INDEX((Data!$M$15-2005)*12+INT((ROW()-34)/9)+1-INT((COLUMN()-5)/2+1)*12+1,1,1),IF(LEFT($C111,6)="CPI VS",1,IF(LEFT($C111,6)="CPI食品 ",2,3)),INDEX(((COLUMN()-5)/2+1)*12,1,1),1),OFFSET(Data!$B$183,INDEX((Data!$M$15-2005)*12+INT((ROW()-34)/9)+1-INT((COLUMN()-5)/2+1)*12+1,1,1),IF(RIGHT($C111,4)=" PPI",4,IF(RIGHT($C111,4)="生产资料",5,6)),INDEX(((COLUMN()-5)/2+1)*12,1,1),1)))</f>
        <v>0.92587371104483307</v>
      </c>
      <c r="J111" s="30"/>
      <c r="K111" s="15">
        <f ca="1">IF(AND(Data!$M$15=Data!$L$15,INDEX((INT((ROW()-34)/9)+1),1,1)&gt;Data!$L$16),"-",CORREL(OFFSET(Data!$B$183,INDEX((Data!$M$15-2005)*12+INT((ROW()-34)/9)+1-INT((COLUMN()-5)/2+1)*12+1,1,1),IF(LEFT($C111,6)="CPI VS",1,IF(LEFT($C111,6)="CPI食品 ",2,3)),INDEX(((COLUMN()-5)/2+1)*12,1,1),1),OFFSET(Data!$B$183,INDEX((Data!$M$15-2005)*12+INT((ROW()-34)/9)+1-INT((COLUMN()-5)/2+1)*12+1,1,1),IF(RIGHT($C111,4)=" PPI",4,IF(RIGHT($C111,4)="生产资料",5,6)),INDEX(((COLUMN()-5)/2+1)*12,1,1),1)))</f>
        <v>0.93595460522908791</v>
      </c>
      <c r="L111" s="30"/>
      <c r="M111" s="15">
        <f ca="1">IF(AND(Data!$M$15=Data!$L$15,INDEX((INT((ROW()-34)/9)+1),1,1)&gt;Data!$L$16),"-",MAX(E111,MAX(G111,MAX(I111,K111))))</f>
        <v>0.94179792663467343</v>
      </c>
      <c r="N111" s="30"/>
    </row>
    <row r="112" spans="2:14" x14ac:dyDescent="0.2">
      <c r="B112" s="34"/>
      <c r="C112" s="29" t="s">
        <v>43</v>
      </c>
      <c r="D112" s="29"/>
      <c r="E112" s="15">
        <f ca="1">IF(AND(Data!$M$15=Data!$L$15,INDEX((INT((ROW()-34)/9)+1),1,1)&gt;Data!$L$16),"-",CORREL(OFFSET(Data!$B$183,INDEX((Data!$M$15-2005)*12+INT((ROW()-34)/9)+1-INT((COLUMN()-5)/2+1)*12+1,1,1),IF(LEFT($C112,6)="CPI VS",1,IF(LEFT($C112,6)="CPI食品 ",2,3)),INDEX(((COLUMN()-5)/2+1)*12,1,1),1),OFFSET(Data!$B$183,INDEX((Data!$M$15-2005)*12+INT((ROW()-34)/9)+1-INT((COLUMN()-5)/2+1)*12+1,1,1),IF(RIGHT($C112,4)=" PPI",4,IF(RIGHT($C112,4)="生产资料",5,6)),INDEX(((COLUMN()-5)/2+1)*12,1,1),1)))</f>
        <v>0.99450579455644905</v>
      </c>
      <c r="F112" s="30"/>
      <c r="G112" s="15">
        <f ca="1">IF(AND(Data!$M$15=Data!$L$15,INDEX((INT((ROW()-34)/9)+1),1,1)&gt;Data!$L$16),"-",CORREL(OFFSET(Data!$B$183,INDEX((Data!$M$15-2005)*12+INT((ROW()-34)/9)+1-INT((COLUMN()-5)/2+1)*12+1,1,1),IF(LEFT($C112,6)="CPI VS",1,IF(LEFT($C112,6)="CPI食品 ",2,3)),INDEX(((COLUMN()-5)/2+1)*12,1,1),1),OFFSET(Data!$B$183,INDEX((Data!$M$15-2005)*12+INT((ROW()-34)/9)+1-INT((COLUMN()-5)/2+1)*12+1,1,1),IF(RIGHT($C112,4)=" PPI",4,IF(RIGHT($C112,4)="生产资料",5,6)),INDEX(((COLUMN()-5)/2+1)*12,1,1),1)))</f>
        <v>0.99411094564901936</v>
      </c>
      <c r="H112" s="30"/>
      <c r="I112" s="15">
        <f ca="1">IF(AND(Data!$M$15=Data!$L$15,INDEX((INT((ROW()-34)/9)+1),1,1)&gt;Data!$L$16),"-",CORREL(OFFSET(Data!$B$183,INDEX((Data!$M$15-2005)*12+INT((ROW()-34)/9)+1-INT((COLUMN()-5)/2+1)*12+1,1,1),IF(LEFT($C112,6)="CPI VS",1,IF(LEFT($C112,6)="CPI食品 ",2,3)),INDEX(((COLUMN()-5)/2+1)*12,1,1),1),OFFSET(Data!$B$183,INDEX((Data!$M$15-2005)*12+INT((ROW()-34)/9)+1-INT((COLUMN()-5)/2+1)*12+1,1,1),IF(RIGHT($C112,4)=" PPI",4,IF(RIGHT($C112,4)="生产资料",5,6)),INDEX(((COLUMN()-5)/2+1)*12,1,1),1)))</f>
        <v>0.9845529576242964</v>
      </c>
      <c r="J112" s="30"/>
      <c r="K112" s="15">
        <f ca="1">IF(AND(Data!$M$15=Data!$L$15,INDEX((INT((ROW()-34)/9)+1),1,1)&gt;Data!$L$16),"-",CORREL(OFFSET(Data!$B$183,INDEX((Data!$M$15-2005)*12+INT((ROW()-34)/9)+1-INT((COLUMN()-5)/2+1)*12+1,1,1),IF(LEFT($C112,6)="CPI VS",1,IF(LEFT($C112,6)="CPI食品 ",2,3)),INDEX(((COLUMN()-5)/2+1)*12,1,1),1),OFFSET(Data!$B$183,INDEX((Data!$M$15-2005)*12+INT((ROW()-34)/9)+1-INT((COLUMN()-5)/2+1)*12+1,1,1),IF(RIGHT($C112,4)=" PPI",4,IF(RIGHT($C112,4)="生产资料",5,6)),INDEX(((COLUMN()-5)/2+1)*12,1,1),1)))</f>
        <v>0.97899024717683969</v>
      </c>
      <c r="L112" s="30"/>
      <c r="M112" s="15">
        <f ca="1">IF(AND(Data!$M$15=Data!$L$15,INDEX((INT((ROW()-34)/9)+1),1,1)&gt;Data!$L$16),"-",MAX(E112,MAX(G112,MAX(I112,K112))))</f>
        <v>0.99450579455644905</v>
      </c>
      <c r="N112" s="30"/>
    </row>
    <row r="113" spans="2:14" x14ac:dyDescent="0.2">
      <c r="B113" s="34"/>
      <c r="C113" s="29" t="s">
        <v>44</v>
      </c>
      <c r="D113" s="29"/>
      <c r="E113" s="15">
        <f ca="1">IF(AND(Data!$M$15=Data!$L$15,INDEX((INT((ROW()-34)/9)+1),1,1)&gt;Data!$L$16),"-",CORREL(OFFSET(Data!$B$183,INDEX((Data!$M$15-2005)*12+INT((ROW()-34)/9)+1-INT((COLUMN()-5)/2+1)*12+1,1,1),IF(LEFT($C113,6)="CPI VS",1,IF(LEFT($C113,6)="CPI食品 ",2,3)),INDEX(((COLUMN()-5)/2+1)*12,1,1),1),OFFSET(Data!$B$183,INDEX((Data!$M$15-2005)*12+INT((ROW()-34)/9)+1-INT((COLUMN()-5)/2+1)*12+1,1,1),IF(RIGHT($C113,4)=" PPI",4,IF(RIGHT($C113,4)="生产资料",5,6)),INDEX(((COLUMN()-5)/2+1)*12,1,1),1)))</f>
        <v>0.99435943393748139</v>
      </c>
      <c r="F113" s="30"/>
      <c r="G113" s="15">
        <f ca="1">IF(AND(Data!$M$15=Data!$L$15,INDEX((INT((ROW()-34)/9)+1),1,1)&gt;Data!$L$16),"-",CORREL(OFFSET(Data!$B$183,INDEX((Data!$M$15-2005)*12+INT((ROW()-34)/9)+1-INT((COLUMN()-5)/2+1)*12+1,1,1),IF(LEFT($C113,6)="CPI VS",1,IF(LEFT($C113,6)="CPI食品 ",2,3)),INDEX(((COLUMN()-5)/2+1)*12,1,1),1),OFFSET(Data!$B$183,INDEX((Data!$M$15-2005)*12+INT((ROW()-34)/9)+1-INT((COLUMN()-5)/2+1)*12+1,1,1),IF(RIGHT($C113,4)=" PPI",4,IF(RIGHT($C113,4)="生产资料",5,6)),INDEX(((COLUMN()-5)/2+1)*12,1,1),1)))</f>
        <v>0.99268265915637721</v>
      </c>
      <c r="H113" s="30"/>
      <c r="I113" s="15">
        <f ca="1">IF(AND(Data!$M$15=Data!$L$15,INDEX((INT((ROW()-34)/9)+1),1,1)&gt;Data!$L$16),"-",CORREL(OFFSET(Data!$B$183,INDEX((Data!$M$15-2005)*12+INT((ROW()-34)/9)+1-INT((COLUMN()-5)/2+1)*12+1,1,1),IF(LEFT($C113,6)="CPI VS",1,IF(LEFT($C113,6)="CPI食品 ",2,3)),INDEX(((COLUMN()-5)/2+1)*12,1,1),1),OFFSET(Data!$B$183,INDEX((Data!$M$15-2005)*12+INT((ROW()-34)/9)+1-INT((COLUMN()-5)/2+1)*12+1,1,1),IF(RIGHT($C113,4)=" PPI",4,IF(RIGHT($C113,4)="生产资料",5,6)),INDEX(((COLUMN()-5)/2+1)*12,1,1),1)))</f>
        <v>0.98330324853830398</v>
      </c>
      <c r="J113" s="30"/>
      <c r="K113" s="15">
        <f ca="1">IF(AND(Data!$M$15=Data!$L$15,INDEX((INT((ROW()-34)/9)+1),1,1)&gt;Data!$L$16),"-",CORREL(OFFSET(Data!$B$183,INDEX((Data!$M$15-2005)*12+INT((ROW()-34)/9)+1-INT((COLUMN()-5)/2+1)*12+1,1,1),IF(LEFT($C113,6)="CPI VS",1,IF(LEFT($C113,6)="CPI食品 ",2,3)),INDEX(((COLUMN()-5)/2+1)*12,1,1),1),OFFSET(Data!$B$183,INDEX((Data!$M$15-2005)*12+INT((ROW()-34)/9)+1-INT((COLUMN()-5)/2+1)*12+1,1,1),IF(RIGHT($C113,4)=" PPI",4,IF(RIGHT($C113,4)="生产资料",5,6)),INDEX(((COLUMN()-5)/2+1)*12,1,1),1)))</f>
        <v>0.98172583936405899</v>
      </c>
      <c r="L113" s="30"/>
      <c r="M113" s="15">
        <f ca="1">IF(AND(Data!$M$15=Data!$L$15,INDEX((INT((ROW()-34)/9)+1),1,1)&gt;Data!$L$16),"-",MAX(E113,MAX(G113,MAX(I113,K113))))</f>
        <v>0.99435943393748139</v>
      </c>
      <c r="N113" s="30"/>
    </row>
    <row r="114" spans="2:14" x14ac:dyDescent="0.2">
      <c r="B114" s="34"/>
      <c r="C114" s="29" t="s">
        <v>45</v>
      </c>
      <c r="D114" s="29"/>
      <c r="E114" s="15">
        <f ca="1">IF(AND(Data!$M$15=Data!$L$15,INDEX((INT((ROW()-34)/9)+1),1,1)&gt;Data!$L$16),"-",CORREL(OFFSET(Data!$B$183,INDEX((Data!$M$15-2005)*12+INT((ROW()-34)/9)+1-INT((COLUMN()-5)/2+1)*12+1,1,1),IF(LEFT($C114,6)="CPI VS",1,IF(LEFT($C114,6)="CPI食品 ",2,3)),INDEX(((COLUMN()-5)/2+1)*12,1,1),1),OFFSET(Data!$B$183,INDEX((Data!$M$15-2005)*12+INT((ROW()-34)/9)+1-INT((COLUMN()-5)/2+1)*12+1,1,1),IF(RIGHT($C114,4)=" PPI",4,IF(RIGHT($C114,4)="生产资料",5,6)),INDEX(((COLUMN()-5)/2+1)*12,1,1),1)))</f>
        <v>0.98287207002737731</v>
      </c>
      <c r="F114" s="30"/>
      <c r="G114" s="15">
        <f ca="1">IF(AND(Data!$M$15=Data!$L$15,INDEX((INT((ROW()-34)/9)+1),1,1)&gt;Data!$L$16),"-",CORREL(OFFSET(Data!$B$183,INDEX((Data!$M$15-2005)*12+INT((ROW()-34)/9)+1-INT((COLUMN()-5)/2+1)*12+1,1,1),IF(LEFT($C114,6)="CPI VS",1,IF(LEFT($C114,6)="CPI食品 ",2,3)),INDEX(((COLUMN()-5)/2+1)*12,1,1),1),OFFSET(Data!$B$183,INDEX((Data!$M$15-2005)*12+INT((ROW()-34)/9)+1-INT((COLUMN()-5)/2+1)*12+1,1,1),IF(RIGHT($C114,4)=" PPI",4,IF(RIGHT($C114,4)="生产资料",5,6)),INDEX(((COLUMN()-5)/2+1)*12,1,1),1)))</f>
        <v>0.97867181723770114</v>
      </c>
      <c r="H114" s="30"/>
      <c r="I114" s="15">
        <f ca="1">IF(AND(Data!$M$15=Data!$L$15,INDEX((INT((ROW()-34)/9)+1),1,1)&gt;Data!$L$16),"-",CORREL(OFFSET(Data!$B$183,INDEX((Data!$M$15-2005)*12+INT((ROW()-34)/9)+1-INT((COLUMN()-5)/2+1)*12+1,1,1),IF(LEFT($C114,6)="CPI VS",1,IF(LEFT($C114,6)="CPI食品 ",2,3)),INDEX(((COLUMN()-5)/2+1)*12,1,1),1),OFFSET(Data!$B$183,INDEX((Data!$M$15-2005)*12+INT((ROW()-34)/9)+1-INT((COLUMN()-5)/2+1)*12+1,1,1),IF(RIGHT($C114,4)=" PPI",4,IF(RIGHT($C114,4)="生产资料",5,6)),INDEX(((COLUMN()-5)/2+1)*12,1,1),1)))</f>
        <v>0.9382442948931472</v>
      </c>
      <c r="J114" s="30"/>
      <c r="K114" s="15">
        <f ca="1">IF(AND(Data!$M$15=Data!$L$15,INDEX((INT((ROW()-34)/9)+1),1,1)&gt;Data!$L$16),"-",CORREL(OFFSET(Data!$B$183,INDEX((Data!$M$15-2005)*12+INT((ROW()-34)/9)+1-INT((COLUMN()-5)/2+1)*12+1,1,1),IF(LEFT($C114,6)="CPI VS",1,IF(LEFT($C114,6)="CPI食品 ",2,3)),INDEX(((COLUMN()-5)/2+1)*12,1,1),1),OFFSET(Data!$B$183,INDEX((Data!$M$15-2005)*12+INT((ROW()-34)/9)+1-INT((COLUMN()-5)/2+1)*12+1,1,1),IF(RIGHT($C114,4)=" PPI",4,IF(RIGHT($C114,4)="生产资料",5,6)),INDEX(((COLUMN()-5)/2+1)*12,1,1),1)))</f>
        <v>0.7503945999792383</v>
      </c>
      <c r="L114" s="30"/>
      <c r="M114" s="15">
        <f ca="1">IF(AND(Data!$M$15=Data!$L$15,INDEX((INT((ROW()-34)/9)+1),1,1)&gt;Data!$L$16),"-",MAX(E114,MAX(G114,MAX(I114,K114))))</f>
        <v>0.98287207002737731</v>
      </c>
      <c r="N114" s="30"/>
    </row>
    <row r="115" spans="2:14" x14ac:dyDescent="0.2">
      <c r="B115" s="34" t="s">
        <v>30</v>
      </c>
      <c r="C115" s="29" t="s">
        <v>0</v>
      </c>
      <c r="D115" s="29"/>
      <c r="E115" s="15">
        <f ca="1">IF(AND(Data!$M$15=Data!$L$15,INDEX((INT((ROW()-34)/9)+1),1,1)&gt;Data!$L$16),"-",CORREL(OFFSET(Data!$B$183,INDEX((Data!$M$15-2005)*12+INT((ROW()-34)/9)+1-INT((COLUMN()-5)/2+1)*12+1,1,1),IF(LEFT($C115,6)="CPI VS",1,IF(LEFT($C115,6)="CPI食品 ",2,3)),INDEX(((COLUMN()-5)/2+1)*12,1,1),1),OFFSET(Data!$B$183,INDEX((Data!$M$15-2005)*12+INT((ROW()-34)/9)+1-INT((COLUMN()-5)/2+1)*12+1,1,1),IF(RIGHT($C115,4)=" PPI",4,IF(RIGHT($C115,4)="生产资料",5,6)),INDEX(((COLUMN()-5)/2+1)*12,1,1),1)))</f>
        <v>0.91841094711599736</v>
      </c>
      <c r="F115" s="30">
        <f ca="1">IF(ISERROR(AVERAGE(E115,E123)),"-",AVERAGE(E115,E123))</f>
        <v>0.94851471422054745</v>
      </c>
      <c r="G115" s="15">
        <f ca="1">IF(AND(Data!$M$15=Data!$L$15,INDEX((INT((ROW()-34)/9)+1),1,1)&gt;Data!$L$16),"-",CORREL(OFFSET(Data!$B$183,INDEX((Data!$M$15-2005)*12+INT((ROW()-34)/9)+1-INT((COLUMN()-5)/2+1)*12+1,1,1),IF(LEFT($C115,6)="CPI VS",1,IF(LEFT($C115,6)="CPI食品 ",2,3)),INDEX(((COLUMN()-5)/2+1)*12,1,1),1),OFFSET(Data!$B$183,INDEX((Data!$M$15-2005)*12+INT((ROW()-34)/9)+1-INT((COLUMN()-5)/2+1)*12+1,1,1),IF(RIGHT($C115,4)=" PPI",4,IF(RIGHT($C115,4)="生产资料",5,6)),INDEX(((COLUMN()-5)/2+1)*12,1,1),1)))</f>
        <v>0.93161992266790727</v>
      </c>
      <c r="H115" s="30">
        <f ca="1">IF(ISERROR(AVERAGE(G115,G123)),"-",AVERAGE(G115,G123))</f>
        <v>0.95563157645010366</v>
      </c>
      <c r="I115" s="15">
        <f ca="1">IF(AND(Data!$M$15=Data!$L$15,INDEX((INT((ROW()-34)/9)+1),1,1)&gt;Data!$L$16),"-",CORREL(OFFSET(Data!$B$183,INDEX((Data!$M$15-2005)*12+INT((ROW()-34)/9)+1-INT((COLUMN()-5)/2+1)*12+1,1,1),IF(LEFT($C115,6)="CPI VS",1,IF(LEFT($C115,6)="CPI食品 ",2,3)),INDEX(((COLUMN()-5)/2+1)*12,1,1),1),OFFSET(Data!$B$183,INDEX((Data!$M$15-2005)*12+INT((ROW()-34)/9)+1-INT((COLUMN()-5)/2+1)*12+1,1,1),IF(RIGHT($C115,4)=" PPI",4,IF(RIGHT($C115,4)="生产资料",5,6)),INDEX(((COLUMN()-5)/2+1)*12,1,1),1)))</f>
        <v>0.89228582756778385</v>
      </c>
      <c r="J115" s="30">
        <f ca="1">IF(ISERROR(AVERAGE(I115,I123)),"-",AVERAGE(I115,I123))</f>
        <v>0.92261068012717429</v>
      </c>
      <c r="K115" s="15">
        <f ca="1">IF(AND(Data!$M$15=Data!$L$15,INDEX((INT((ROW()-34)/9)+1),1,1)&gt;Data!$L$16),"-",CORREL(OFFSET(Data!$B$183,INDEX((Data!$M$15-2005)*12+INT((ROW()-34)/9)+1-INT((COLUMN()-5)/2+1)*12+1,1,1),IF(LEFT($C115,6)="CPI VS",1,IF(LEFT($C115,6)="CPI食品 ",2,3)),INDEX(((COLUMN()-5)/2+1)*12,1,1),1),OFFSET(Data!$B$183,INDEX((Data!$M$15-2005)*12+INT((ROW()-34)/9)+1-INT((COLUMN()-5)/2+1)*12+1,1,1),IF(RIGHT($C115,4)=" PPI",4,IF(RIGHT($C115,4)="生产资料",5,6)),INDEX(((COLUMN()-5)/2+1)*12,1,1),1)))</f>
        <v>0.81253337148896299</v>
      </c>
      <c r="L115" s="30">
        <f ca="1">IF(ISERROR(AVERAGE(K115,K123)),"-",AVERAGE(K115,K123))</f>
        <v>0.79345108025131594</v>
      </c>
      <c r="M115" s="15">
        <f ca="1">IF(AND(Data!$M$15=Data!$L$15,INDEX((INT((ROW()-34)/9)+1),1,1)&gt;Data!$L$16),"-",MAX(E115,MAX(G115,MAX(I115,K115))))</f>
        <v>0.93161992266790727</v>
      </c>
      <c r="N115" s="30">
        <f ca="1">IF(AND(Data!$M$15=Data!$L$15,INDEX((INT((ROW()-34)/9)+1),1,1)&gt;Data!$L$16),"-",MAX(F115,MAX(H115,MAX(J115,L115))))</f>
        <v>0.95563157645010366</v>
      </c>
    </row>
    <row r="116" spans="2:14" x14ac:dyDescent="0.2">
      <c r="B116" s="34"/>
      <c r="C116" s="29" t="s">
        <v>38</v>
      </c>
      <c r="D116" s="29"/>
      <c r="E116" s="15">
        <f ca="1">IF(AND(Data!$M$15=Data!$L$15,INDEX((INT((ROW()-34)/9)+1),1,1)&gt;Data!$L$16),"-",CORREL(OFFSET(Data!$B$183,INDEX((Data!$M$15-2005)*12+INT((ROW()-34)/9)+1-INT((COLUMN()-5)/2+1)*12+1,1,1),IF(LEFT($C116,6)="CPI VS",1,IF(LEFT($C116,6)="CPI食品 ",2,3)),INDEX(((COLUMN()-5)/2+1)*12,1,1),1),OFFSET(Data!$B$183,INDEX((Data!$M$15-2005)*12+INT((ROW()-34)/9)+1-INT((COLUMN()-5)/2+1)*12+1,1,1),IF(RIGHT($C116,4)=" PPI",4,IF(RIGHT($C116,4)="生产资料",5,6)),INDEX(((COLUMN()-5)/2+1)*12,1,1),1)))</f>
        <v>0.91706540602997622</v>
      </c>
      <c r="F116" s="30"/>
      <c r="G116" s="15">
        <f ca="1">IF(AND(Data!$M$15=Data!$L$15,INDEX((INT((ROW()-34)/9)+1),1,1)&gt;Data!$L$16),"-",CORREL(OFFSET(Data!$B$183,INDEX((Data!$M$15-2005)*12+INT((ROW()-34)/9)+1-INT((COLUMN()-5)/2+1)*12+1,1,1),IF(LEFT($C116,6)="CPI VS",1,IF(LEFT($C116,6)="CPI食品 ",2,3)),INDEX(((COLUMN()-5)/2+1)*12,1,1),1),OFFSET(Data!$B$183,INDEX((Data!$M$15-2005)*12+INT((ROW()-34)/9)+1-INT((COLUMN()-5)/2+1)*12+1,1,1),IF(RIGHT($C116,4)=" PPI",4,IF(RIGHT($C116,4)="生产资料",5,6)),INDEX(((COLUMN()-5)/2+1)*12,1,1),1)))</f>
        <v>0.92379692683355996</v>
      </c>
      <c r="H116" s="30"/>
      <c r="I116" s="15">
        <f ca="1">IF(AND(Data!$M$15=Data!$L$15,INDEX((INT((ROW()-34)/9)+1),1,1)&gt;Data!$L$16),"-",CORREL(OFFSET(Data!$B$183,INDEX((Data!$M$15-2005)*12+INT((ROW()-34)/9)+1-INT((COLUMN()-5)/2+1)*12+1,1,1),IF(LEFT($C116,6)="CPI VS",1,IF(LEFT($C116,6)="CPI食品 ",2,3)),INDEX(((COLUMN()-5)/2+1)*12,1,1),1),OFFSET(Data!$B$183,INDEX((Data!$M$15-2005)*12+INT((ROW()-34)/9)+1-INT((COLUMN()-5)/2+1)*12+1,1,1),IF(RIGHT($C116,4)=" PPI",4,IF(RIGHT($C116,4)="生产资料",5,6)),INDEX(((COLUMN()-5)/2+1)*12,1,1),1)))</f>
        <v>0.87805727615063822</v>
      </c>
      <c r="J116" s="30"/>
      <c r="K116" s="15">
        <f ca="1">IF(AND(Data!$M$15=Data!$L$15,INDEX((INT((ROW()-34)/9)+1),1,1)&gt;Data!$L$16),"-",CORREL(OFFSET(Data!$B$183,INDEX((Data!$M$15-2005)*12+INT((ROW()-34)/9)+1-INT((COLUMN()-5)/2+1)*12+1,1,1),IF(LEFT($C116,6)="CPI VS",1,IF(LEFT($C116,6)="CPI食品 ",2,3)),INDEX(((COLUMN()-5)/2+1)*12,1,1),1),OFFSET(Data!$B$183,INDEX((Data!$M$15-2005)*12+INT((ROW()-34)/9)+1-INT((COLUMN()-5)/2+1)*12+1,1,1),IF(RIGHT($C116,4)=" PPI",4,IF(RIGHT($C116,4)="生产资料",5,6)),INDEX(((COLUMN()-5)/2+1)*12,1,1),1)))</f>
        <v>0.77125617190192919</v>
      </c>
      <c r="L116" s="30"/>
      <c r="M116" s="15">
        <f ca="1">IF(AND(Data!$M$15=Data!$L$15,INDEX((INT((ROW()-34)/9)+1),1,1)&gt;Data!$L$16),"-",MAX(E116,MAX(G116,MAX(I116,K116))))</f>
        <v>0.92379692683355996</v>
      </c>
      <c r="N116" s="30"/>
    </row>
    <row r="117" spans="2:14" x14ac:dyDescent="0.2">
      <c r="B117" s="34"/>
      <c r="C117" s="29" t="s">
        <v>39</v>
      </c>
      <c r="D117" s="29"/>
      <c r="E117" s="15">
        <f ca="1">IF(AND(Data!$M$15=Data!$L$15,INDEX((INT((ROW()-34)/9)+1),1,1)&gt;Data!$L$16),"-",CORREL(OFFSET(Data!$B$183,INDEX((Data!$M$15-2005)*12+INT((ROW()-34)/9)+1-INT((COLUMN()-5)/2+1)*12+1,1,1),IF(LEFT($C117,6)="CPI VS",1,IF(LEFT($C117,6)="CPI食品 ",2,3)),INDEX(((COLUMN()-5)/2+1)*12,1,1),1),OFFSET(Data!$B$183,INDEX((Data!$M$15-2005)*12+INT((ROW()-34)/9)+1-INT((COLUMN()-5)/2+1)*12+1,1,1),IF(RIGHT($C117,4)=" PPI",4,IF(RIGHT($C117,4)="生产资料",5,6)),INDEX(((COLUMN()-5)/2+1)*12,1,1),1)))</f>
        <v>0.91610301962073837</v>
      </c>
      <c r="F117" s="30"/>
      <c r="G117" s="15">
        <f ca="1">IF(AND(Data!$M$15=Data!$L$15,INDEX((INT((ROW()-34)/9)+1),1,1)&gt;Data!$L$16),"-",CORREL(OFFSET(Data!$B$183,INDEX((Data!$M$15-2005)*12+INT((ROW()-34)/9)+1-INT((COLUMN()-5)/2+1)*12+1,1,1),IF(LEFT($C117,6)="CPI VS",1,IF(LEFT($C117,6)="CPI食品 ",2,3)),INDEX(((COLUMN()-5)/2+1)*12,1,1),1),OFFSET(Data!$B$183,INDEX((Data!$M$15-2005)*12+INT((ROW()-34)/9)+1-INT((COLUMN()-5)/2+1)*12+1,1,1),IF(RIGHT($C117,4)=" PPI",4,IF(RIGHT($C117,4)="生产资料",5,6)),INDEX(((COLUMN()-5)/2+1)*12,1,1),1)))</f>
        <v>0.97837191089896292</v>
      </c>
      <c r="H117" s="30"/>
      <c r="I117" s="15">
        <f ca="1">IF(AND(Data!$M$15=Data!$L$15,INDEX((INT((ROW()-34)/9)+1),1,1)&gt;Data!$L$16),"-",CORREL(OFFSET(Data!$B$183,INDEX((Data!$M$15-2005)*12+INT((ROW()-34)/9)+1-INT((COLUMN()-5)/2+1)*12+1,1,1),IF(LEFT($C117,6)="CPI VS",1,IF(LEFT($C117,6)="CPI食品 ",2,3)),INDEX(((COLUMN()-5)/2+1)*12,1,1),1),OFFSET(Data!$B$183,INDEX((Data!$M$15-2005)*12+INT((ROW()-34)/9)+1-INT((COLUMN()-5)/2+1)*12+1,1,1),IF(RIGHT($C117,4)=" PPI",4,IF(RIGHT($C117,4)="生产资料",5,6)),INDEX(((COLUMN()-5)/2+1)*12,1,1),1)))</f>
        <v>0.97304940793182249</v>
      </c>
      <c r="J117" s="30"/>
      <c r="K117" s="15">
        <f ca="1">IF(AND(Data!$M$15=Data!$L$15,INDEX((INT((ROW()-34)/9)+1),1,1)&gt;Data!$L$16),"-",CORREL(OFFSET(Data!$B$183,INDEX((Data!$M$15-2005)*12+INT((ROW()-34)/9)+1-INT((COLUMN()-5)/2+1)*12+1,1,1),IF(LEFT($C117,6)="CPI VS",1,IF(LEFT($C117,6)="CPI食品 ",2,3)),INDEX(((COLUMN()-5)/2+1)*12,1,1),1),OFFSET(Data!$B$183,INDEX((Data!$M$15-2005)*12+INT((ROW()-34)/9)+1-INT((COLUMN()-5)/2+1)*12+1,1,1),IF(RIGHT($C117,4)=" PPI",4,IF(RIGHT($C117,4)="生产资料",5,6)),INDEX(((COLUMN()-5)/2+1)*12,1,1),1)))</f>
        <v>0.96684330148235231</v>
      </c>
      <c r="L117" s="30"/>
      <c r="M117" s="15">
        <f ca="1">IF(AND(Data!$M$15=Data!$L$15,INDEX((INT((ROW()-34)/9)+1),1,1)&gt;Data!$L$16),"-",MAX(E117,MAX(G117,MAX(I117,K117))))</f>
        <v>0.97837191089896292</v>
      </c>
      <c r="N117" s="30"/>
    </row>
    <row r="118" spans="2:14" x14ac:dyDescent="0.2">
      <c r="B118" s="34"/>
      <c r="C118" s="29" t="s">
        <v>40</v>
      </c>
      <c r="D118" s="29"/>
      <c r="E118" s="15">
        <f ca="1">IF(AND(Data!$M$15=Data!$L$15,INDEX((INT((ROW()-34)/9)+1),1,1)&gt;Data!$L$16),"-",CORREL(OFFSET(Data!$B$183,INDEX((Data!$M$15-2005)*12+INT((ROW()-34)/9)+1-INT((COLUMN()-5)/2+1)*12+1,1,1),IF(LEFT($C118,6)="CPI VS",1,IF(LEFT($C118,6)="CPI食品 ",2,3)),INDEX(((COLUMN()-5)/2+1)*12,1,1),1),OFFSET(Data!$B$183,INDEX((Data!$M$15-2005)*12+INT((ROW()-34)/9)+1-INT((COLUMN()-5)/2+1)*12+1,1,1),IF(RIGHT($C118,4)=" PPI",4,IF(RIGHT($C118,4)="生产资料",5,6)),INDEX(((COLUMN()-5)/2+1)*12,1,1),1)))</f>
        <v>0.81624955643065622</v>
      </c>
      <c r="F118" s="30"/>
      <c r="G118" s="15">
        <f ca="1">IF(AND(Data!$M$15=Data!$L$15,INDEX((INT((ROW()-34)/9)+1),1,1)&gt;Data!$L$16),"-",CORREL(OFFSET(Data!$B$183,INDEX((Data!$M$15-2005)*12+INT((ROW()-34)/9)+1-INT((COLUMN()-5)/2+1)*12+1,1,1),IF(LEFT($C118,6)="CPI VS",1,IF(LEFT($C118,6)="CPI食品 ",2,3)),INDEX(((COLUMN()-5)/2+1)*12,1,1),1),OFFSET(Data!$B$183,INDEX((Data!$M$15-2005)*12+INT((ROW()-34)/9)+1-INT((COLUMN()-5)/2+1)*12+1,1,1),IF(RIGHT($C118,4)=" PPI",4,IF(RIGHT($C118,4)="生产资料",5,6)),INDEX(((COLUMN()-5)/2+1)*12,1,1),1)))</f>
        <v>0.87270026189829109</v>
      </c>
      <c r="H118" s="30"/>
      <c r="I118" s="15">
        <f ca="1">IF(AND(Data!$M$15=Data!$L$15,INDEX((INT((ROW()-34)/9)+1),1,1)&gt;Data!$L$16),"-",CORREL(OFFSET(Data!$B$183,INDEX((Data!$M$15-2005)*12+INT((ROW()-34)/9)+1-INT((COLUMN()-5)/2+1)*12+1,1,1),IF(LEFT($C118,6)="CPI VS",1,IF(LEFT($C118,6)="CPI食品 ",2,3)),INDEX(((COLUMN()-5)/2+1)*12,1,1),1),OFFSET(Data!$B$183,INDEX((Data!$M$15-2005)*12+INT((ROW()-34)/9)+1-INT((COLUMN()-5)/2+1)*12+1,1,1),IF(RIGHT($C118,4)=" PPI",4,IF(RIGHT($C118,4)="生产资料",5,6)),INDEX(((COLUMN()-5)/2+1)*12,1,1),1)))</f>
        <v>0.80486812275027408</v>
      </c>
      <c r="J118" s="30"/>
      <c r="K118" s="15">
        <f ca="1">IF(AND(Data!$M$15=Data!$L$15,INDEX((INT((ROW()-34)/9)+1),1,1)&gt;Data!$L$16),"-",CORREL(OFFSET(Data!$B$183,INDEX((Data!$M$15-2005)*12+INT((ROW()-34)/9)+1-INT((COLUMN()-5)/2+1)*12+1,1,1),IF(LEFT($C118,6)="CPI VS",1,IF(LEFT($C118,6)="CPI食品 ",2,3)),INDEX(((COLUMN()-5)/2+1)*12,1,1),1),OFFSET(Data!$B$183,INDEX((Data!$M$15-2005)*12+INT((ROW()-34)/9)+1-INT((COLUMN()-5)/2+1)*12+1,1,1),IF(RIGHT($C118,4)=" PPI",4,IF(RIGHT($C118,4)="生产资料",5,6)),INDEX(((COLUMN()-5)/2+1)*12,1,1),1)))</f>
        <v>0.66942940686069585</v>
      </c>
      <c r="L118" s="30"/>
      <c r="M118" s="15">
        <f ca="1">IF(AND(Data!$M$15=Data!$L$15,INDEX((INT((ROW()-34)/9)+1),1,1)&gt;Data!$L$16),"-",MAX(E118,MAX(G118,MAX(I118,K118))))</f>
        <v>0.87270026189829109</v>
      </c>
      <c r="N118" s="30"/>
    </row>
    <row r="119" spans="2:14" x14ac:dyDescent="0.2">
      <c r="B119" s="34"/>
      <c r="C119" s="29" t="s">
        <v>41</v>
      </c>
      <c r="D119" s="29"/>
      <c r="E119" s="15">
        <f ca="1">IF(AND(Data!$M$15=Data!$L$15,INDEX((INT((ROW()-34)/9)+1),1,1)&gt;Data!$L$16),"-",CORREL(OFFSET(Data!$B$183,INDEX((Data!$M$15-2005)*12+INT((ROW()-34)/9)+1-INT((COLUMN()-5)/2+1)*12+1,1,1),IF(LEFT($C119,6)="CPI VS",1,IF(LEFT($C119,6)="CPI食品 ",2,3)),INDEX(((COLUMN()-5)/2+1)*12,1,1),1),OFFSET(Data!$B$183,INDEX((Data!$M$15-2005)*12+INT((ROW()-34)/9)+1-INT((COLUMN()-5)/2+1)*12+1,1,1),IF(RIGHT($C119,4)=" PPI",4,IF(RIGHT($C119,4)="生产资料",5,6)),INDEX(((COLUMN()-5)/2+1)*12,1,1),1)))</f>
        <v>0.81388974700227912</v>
      </c>
      <c r="F119" s="30"/>
      <c r="G119" s="15">
        <f ca="1">IF(AND(Data!$M$15=Data!$L$15,INDEX((INT((ROW()-34)/9)+1),1,1)&gt;Data!$L$16),"-",CORREL(OFFSET(Data!$B$183,INDEX((Data!$M$15-2005)*12+INT((ROW()-34)/9)+1-INT((COLUMN()-5)/2+1)*12+1,1,1),IF(LEFT($C119,6)="CPI VS",1,IF(LEFT($C119,6)="CPI食品 ",2,3)),INDEX(((COLUMN()-5)/2+1)*12,1,1),1),OFFSET(Data!$B$183,INDEX((Data!$M$15-2005)*12+INT((ROW()-34)/9)+1-INT((COLUMN()-5)/2+1)*12+1,1,1),IF(RIGHT($C119,4)=" PPI",4,IF(RIGHT($C119,4)="生产资料",5,6)),INDEX(((COLUMN()-5)/2+1)*12,1,1),1)))</f>
        <v>0.86230912106926572</v>
      </c>
      <c r="H119" s="30"/>
      <c r="I119" s="15">
        <f ca="1">IF(AND(Data!$M$15=Data!$L$15,INDEX((INT((ROW()-34)/9)+1),1,1)&gt;Data!$L$16),"-",CORREL(OFFSET(Data!$B$183,INDEX((Data!$M$15-2005)*12+INT((ROW()-34)/9)+1-INT((COLUMN()-5)/2+1)*12+1,1,1),IF(LEFT($C119,6)="CPI VS",1,IF(LEFT($C119,6)="CPI食品 ",2,3)),INDEX(((COLUMN()-5)/2+1)*12,1,1),1),OFFSET(Data!$B$183,INDEX((Data!$M$15-2005)*12+INT((ROW()-34)/9)+1-INT((COLUMN()-5)/2+1)*12+1,1,1),IF(RIGHT($C119,4)=" PPI",4,IF(RIGHT($C119,4)="生产资料",5,6)),INDEX(((COLUMN()-5)/2+1)*12,1,1),1)))</f>
        <v>0.78633457839590837</v>
      </c>
      <c r="J119" s="30"/>
      <c r="K119" s="15">
        <f ca="1">IF(AND(Data!$M$15=Data!$L$15,INDEX((INT((ROW()-34)/9)+1),1,1)&gt;Data!$L$16),"-",CORREL(OFFSET(Data!$B$183,INDEX((Data!$M$15-2005)*12+INT((ROW()-34)/9)+1-INT((COLUMN()-5)/2+1)*12+1,1,1),IF(LEFT($C119,6)="CPI VS",1,IF(LEFT($C119,6)="CPI食品 ",2,3)),INDEX(((COLUMN()-5)/2+1)*12,1,1),1),OFFSET(Data!$B$183,INDEX((Data!$M$15-2005)*12+INT((ROW()-34)/9)+1-INT((COLUMN()-5)/2+1)*12+1,1,1),IF(RIGHT($C119,4)=" PPI",4,IF(RIGHT($C119,4)="生产资料",5,6)),INDEX(((COLUMN()-5)/2+1)*12,1,1),1)))</f>
        <v>0.61703996924251803</v>
      </c>
      <c r="L119" s="30"/>
      <c r="M119" s="15">
        <f ca="1">IF(AND(Data!$M$15=Data!$L$15,INDEX((INT((ROW()-34)/9)+1),1,1)&gt;Data!$L$16),"-",MAX(E119,MAX(G119,MAX(I119,K119))))</f>
        <v>0.86230912106926572</v>
      </c>
      <c r="N119" s="30"/>
    </row>
    <row r="120" spans="2:14" x14ac:dyDescent="0.2">
      <c r="B120" s="34"/>
      <c r="C120" s="29" t="s">
        <v>42</v>
      </c>
      <c r="D120" s="29"/>
      <c r="E120" s="15">
        <f ca="1">IF(AND(Data!$M$15=Data!$L$15,INDEX((INT((ROW()-34)/9)+1),1,1)&gt;Data!$L$16),"-",CORREL(OFFSET(Data!$B$183,INDEX((Data!$M$15-2005)*12+INT((ROW()-34)/9)+1-INT((COLUMN()-5)/2+1)*12+1,1,1),IF(LEFT($C120,6)="CPI VS",1,IF(LEFT($C120,6)="CPI食品 ",2,3)),INDEX(((COLUMN()-5)/2+1)*12,1,1),1),OFFSET(Data!$B$183,INDEX((Data!$M$15-2005)*12+INT((ROW()-34)/9)+1-INT((COLUMN()-5)/2+1)*12+1,1,1),IF(RIGHT($C120,4)=" PPI",4,IF(RIGHT($C120,4)="生产资料",5,6)),INDEX(((COLUMN()-5)/2+1)*12,1,1),1)))</f>
        <v>0.81990623489070236</v>
      </c>
      <c r="F120" s="30"/>
      <c r="G120" s="15">
        <f ca="1">IF(AND(Data!$M$15=Data!$L$15,INDEX((INT((ROW()-34)/9)+1),1,1)&gt;Data!$L$16),"-",CORREL(OFFSET(Data!$B$183,INDEX((Data!$M$15-2005)*12+INT((ROW()-34)/9)+1-INT((COLUMN()-5)/2+1)*12+1,1,1),IF(LEFT($C120,6)="CPI VS",1,IF(LEFT($C120,6)="CPI食品 ",2,3)),INDEX(((COLUMN()-5)/2+1)*12,1,1),1),OFFSET(Data!$B$183,INDEX((Data!$M$15-2005)*12+INT((ROW()-34)/9)+1-INT((COLUMN()-5)/2+1)*12+1,1,1),IF(RIGHT($C120,4)=" PPI",4,IF(RIGHT($C120,4)="生产资料",5,6)),INDEX(((COLUMN()-5)/2+1)*12,1,1),1)))</f>
        <v>0.94423537271695968</v>
      </c>
      <c r="H120" s="30"/>
      <c r="I120" s="15">
        <f ca="1">IF(AND(Data!$M$15=Data!$L$15,INDEX((INT((ROW()-34)/9)+1),1,1)&gt;Data!$L$16),"-",CORREL(OFFSET(Data!$B$183,INDEX((Data!$M$15-2005)*12+INT((ROW()-34)/9)+1-INT((COLUMN()-5)/2+1)*12+1,1,1),IF(LEFT($C120,6)="CPI VS",1,IF(LEFT($C120,6)="CPI食品 ",2,3)),INDEX(((COLUMN()-5)/2+1)*12,1,1),1),OFFSET(Data!$B$183,INDEX((Data!$M$15-2005)*12+INT((ROW()-34)/9)+1-INT((COLUMN()-5)/2+1)*12+1,1,1),IF(RIGHT($C120,4)=" PPI",4,IF(RIGHT($C120,4)="生产资料",5,6)),INDEX(((COLUMN()-5)/2+1)*12,1,1),1)))</f>
        <v>0.92692119683858831</v>
      </c>
      <c r="J120" s="30"/>
      <c r="K120" s="15">
        <f ca="1">IF(AND(Data!$M$15=Data!$L$15,INDEX((INT((ROW()-34)/9)+1),1,1)&gt;Data!$L$16),"-",CORREL(OFFSET(Data!$B$183,INDEX((Data!$M$15-2005)*12+INT((ROW()-34)/9)+1-INT((COLUMN()-5)/2+1)*12+1,1,1),IF(LEFT($C120,6)="CPI VS",1,IF(LEFT($C120,6)="CPI食品 ",2,3)),INDEX(((COLUMN()-5)/2+1)*12,1,1),1),OFFSET(Data!$B$183,INDEX((Data!$M$15-2005)*12+INT((ROW()-34)/9)+1-INT((COLUMN()-5)/2+1)*12+1,1,1),IF(RIGHT($C120,4)=" PPI",4,IF(RIGHT($C120,4)="生产资料",5,6)),INDEX(((COLUMN()-5)/2+1)*12,1,1),1)))</f>
        <v>0.93413155529392988</v>
      </c>
      <c r="L120" s="30"/>
      <c r="M120" s="15">
        <f ca="1">IF(AND(Data!$M$15=Data!$L$15,INDEX((INT((ROW()-34)/9)+1),1,1)&gt;Data!$L$16),"-",MAX(E120,MAX(G120,MAX(I120,K120))))</f>
        <v>0.94423537271695968</v>
      </c>
      <c r="N120" s="30"/>
    </row>
    <row r="121" spans="2:14" x14ac:dyDescent="0.2">
      <c r="B121" s="34"/>
      <c r="C121" s="29" t="s">
        <v>43</v>
      </c>
      <c r="D121" s="29"/>
      <c r="E121" s="15">
        <f ca="1">IF(AND(Data!$M$15=Data!$L$15,INDEX((INT((ROW()-34)/9)+1),1,1)&gt;Data!$L$16),"-",CORREL(OFFSET(Data!$B$183,INDEX((Data!$M$15-2005)*12+INT((ROW()-34)/9)+1-INT((COLUMN()-5)/2+1)*12+1,1,1),IF(LEFT($C121,6)="CPI VS",1,IF(LEFT($C121,6)="CPI食品 ",2,3)),INDEX(((COLUMN()-5)/2+1)*12,1,1),1),OFFSET(Data!$B$183,INDEX((Data!$M$15-2005)*12+INT((ROW()-34)/9)+1-INT((COLUMN()-5)/2+1)*12+1,1,1),IF(RIGHT($C121,4)=" PPI",4,IF(RIGHT($C121,4)="生产资料",5,6)),INDEX(((COLUMN()-5)/2+1)*12,1,1),1)))</f>
        <v>0.98791271703540429</v>
      </c>
      <c r="F121" s="30"/>
      <c r="G121" s="15">
        <f ca="1">IF(AND(Data!$M$15=Data!$L$15,INDEX((INT((ROW()-34)/9)+1),1,1)&gt;Data!$L$16),"-",CORREL(OFFSET(Data!$B$183,INDEX((Data!$M$15-2005)*12+INT((ROW()-34)/9)+1-INT((COLUMN()-5)/2+1)*12+1,1,1),IF(LEFT($C121,6)="CPI VS",1,IF(LEFT($C121,6)="CPI食品 ",2,3)),INDEX(((COLUMN()-5)/2+1)*12,1,1),1),OFFSET(Data!$B$183,INDEX((Data!$M$15-2005)*12+INT((ROW()-34)/9)+1-INT((COLUMN()-5)/2+1)*12+1,1,1),IF(RIGHT($C121,4)=" PPI",4,IF(RIGHT($C121,4)="生产资料",5,6)),INDEX(((COLUMN()-5)/2+1)*12,1,1),1)))</f>
        <v>0.99528029001606622</v>
      </c>
      <c r="H121" s="30"/>
      <c r="I121" s="15">
        <f ca="1">IF(AND(Data!$M$15=Data!$L$15,INDEX((INT((ROW()-34)/9)+1),1,1)&gt;Data!$L$16),"-",CORREL(OFFSET(Data!$B$183,INDEX((Data!$M$15-2005)*12+INT((ROW()-34)/9)+1-INT((COLUMN()-5)/2+1)*12+1,1,1),IF(LEFT($C121,6)="CPI VS",1,IF(LEFT($C121,6)="CPI食品 ",2,3)),INDEX(((COLUMN()-5)/2+1)*12,1,1),1),OFFSET(Data!$B$183,INDEX((Data!$M$15-2005)*12+INT((ROW()-34)/9)+1-INT((COLUMN()-5)/2+1)*12+1,1,1),IF(RIGHT($C121,4)=" PPI",4,IF(RIGHT($C121,4)="生产资料",5,6)),INDEX(((COLUMN()-5)/2+1)*12,1,1),1)))</f>
        <v>0.98528156441465886</v>
      </c>
      <c r="J121" s="30"/>
      <c r="K121" s="15">
        <f ca="1">IF(AND(Data!$M$15=Data!$L$15,INDEX((INT((ROW()-34)/9)+1),1,1)&gt;Data!$L$16),"-",CORREL(OFFSET(Data!$B$183,INDEX((Data!$M$15-2005)*12+INT((ROW()-34)/9)+1-INT((COLUMN()-5)/2+1)*12+1,1,1),IF(LEFT($C121,6)="CPI VS",1,IF(LEFT($C121,6)="CPI食品 ",2,3)),INDEX(((COLUMN()-5)/2+1)*12,1,1),1),OFFSET(Data!$B$183,INDEX((Data!$M$15-2005)*12+INT((ROW()-34)/9)+1-INT((COLUMN()-5)/2+1)*12+1,1,1),IF(RIGHT($C121,4)=" PPI",4,IF(RIGHT($C121,4)="生产资料",5,6)),INDEX(((COLUMN()-5)/2+1)*12,1,1),1)))</f>
        <v>0.97966182004530811</v>
      </c>
      <c r="L121" s="30"/>
      <c r="M121" s="15">
        <f ca="1">IF(AND(Data!$M$15=Data!$L$15,INDEX((INT((ROW()-34)/9)+1),1,1)&gt;Data!$L$16),"-",MAX(E121,MAX(G121,MAX(I121,K121))))</f>
        <v>0.99528029001606622</v>
      </c>
      <c r="N121" s="30"/>
    </row>
    <row r="122" spans="2:14" x14ac:dyDescent="0.2">
      <c r="B122" s="34"/>
      <c r="C122" s="29" t="s">
        <v>44</v>
      </c>
      <c r="D122" s="29"/>
      <c r="E122" s="15">
        <f ca="1">IF(AND(Data!$M$15=Data!$L$15,INDEX((INT((ROW()-34)/9)+1),1,1)&gt;Data!$L$16),"-",CORREL(OFFSET(Data!$B$183,INDEX((Data!$M$15-2005)*12+INT((ROW()-34)/9)+1-INT((COLUMN()-5)/2+1)*12+1,1,1),IF(LEFT($C122,6)="CPI VS",1,IF(LEFT($C122,6)="CPI食品 ",2,3)),INDEX(((COLUMN()-5)/2+1)*12,1,1),1),OFFSET(Data!$B$183,INDEX((Data!$M$15-2005)*12+INT((ROW()-34)/9)+1-INT((COLUMN()-5)/2+1)*12+1,1,1),IF(RIGHT($C122,4)=" PPI",4,IF(RIGHT($C122,4)="生产资料",5,6)),INDEX(((COLUMN()-5)/2+1)*12,1,1),1)))</f>
        <v>0.98833741667238628</v>
      </c>
      <c r="F122" s="30"/>
      <c r="G122" s="15">
        <f ca="1">IF(AND(Data!$M$15=Data!$L$15,INDEX((INT((ROW()-34)/9)+1),1,1)&gt;Data!$L$16),"-",CORREL(OFFSET(Data!$B$183,INDEX((Data!$M$15-2005)*12+INT((ROW()-34)/9)+1-INT((COLUMN()-5)/2+1)*12+1,1,1),IF(LEFT($C122,6)="CPI VS",1,IF(LEFT($C122,6)="CPI食品 ",2,3)),INDEX(((COLUMN()-5)/2+1)*12,1,1),1),OFFSET(Data!$B$183,INDEX((Data!$M$15-2005)*12+INT((ROW()-34)/9)+1-INT((COLUMN()-5)/2+1)*12+1,1,1),IF(RIGHT($C122,4)=" PPI",4,IF(RIGHT($C122,4)="生产资料",5,6)),INDEX(((COLUMN()-5)/2+1)*12,1,1),1)))</f>
        <v>0.99421656862710495</v>
      </c>
      <c r="H122" s="30"/>
      <c r="I122" s="15">
        <f ca="1">IF(AND(Data!$M$15=Data!$L$15,INDEX((INT((ROW()-34)/9)+1),1,1)&gt;Data!$L$16),"-",CORREL(OFFSET(Data!$B$183,INDEX((Data!$M$15-2005)*12+INT((ROW()-34)/9)+1-INT((COLUMN()-5)/2+1)*12+1,1,1),IF(LEFT($C122,6)="CPI VS",1,IF(LEFT($C122,6)="CPI食品 ",2,3)),INDEX(((COLUMN()-5)/2+1)*12,1,1),1),OFFSET(Data!$B$183,INDEX((Data!$M$15-2005)*12+INT((ROW()-34)/9)+1-INT((COLUMN()-5)/2+1)*12+1,1,1),IF(RIGHT($C122,4)=" PPI",4,IF(RIGHT($C122,4)="生产资料",5,6)),INDEX(((COLUMN()-5)/2+1)*12,1,1),1)))</f>
        <v>0.98366723279788204</v>
      </c>
      <c r="J122" s="30"/>
      <c r="K122" s="15">
        <f ca="1">IF(AND(Data!$M$15=Data!$L$15,INDEX((INT((ROW()-34)/9)+1),1,1)&gt;Data!$L$16),"-",CORREL(OFFSET(Data!$B$183,INDEX((Data!$M$15-2005)*12+INT((ROW()-34)/9)+1-INT((COLUMN()-5)/2+1)*12+1,1,1),IF(LEFT($C122,6)="CPI VS",1,IF(LEFT($C122,6)="CPI食品 ",2,3)),INDEX(((COLUMN()-5)/2+1)*12,1,1),1),OFFSET(Data!$B$183,INDEX((Data!$M$15-2005)*12+INT((ROW()-34)/9)+1-INT((COLUMN()-5)/2+1)*12+1,1,1),IF(RIGHT($C122,4)=" PPI",4,IF(RIGHT($C122,4)="生产资料",5,6)),INDEX(((COLUMN()-5)/2+1)*12,1,1),1)))</f>
        <v>0.98227711890578495</v>
      </c>
      <c r="L122" s="30"/>
      <c r="M122" s="15">
        <f ca="1">IF(AND(Data!$M$15=Data!$L$15,INDEX((INT((ROW()-34)/9)+1),1,1)&gt;Data!$L$16),"-",MAX(E122,MAX(G122,MAX(I122,K122))))</f>
        <v>0.99421656862710495</v>
      </c>
      <c r="N122" s="30"/>
    </row>
    <row r="123" spans="2:14" x14ac:dyDescent="0.2">
      <c r="B123" s="34"/>
      <c r="C123" s="29" t="s">
        <v>45</v>
      </c>
      <c r="D123" s="29"/>
      <c r="E123" s="15">
        <f ca="1">IF(AND(Data!$M$15=Data!$L$15,INDEX((INT((ROW()-34)/9)+1),1,1)&gt;Data!$L$16),"-",CORREL(OFFSET(Data!$B$183,INDEX((Data!$M$15-2005)*12+INT((ROW()-34)/9)+1-INT((COLUMN()-5)/2+1)*12+1,1,1),IF(LEFT($C123,6)="CPI VS",1,IF(LEFT($C123,6)="CPI食品 ",2,3)),INDEX(((COLUMN()-5)/2+1)*12,1,1),1),OFFSET(Data!$B$183,INDEX((Data!$M$15-2005)*12+INT((ROW()-34)/9)+1-INT((COLUMN()-5)/2+1)*12+1,1,1),IF(RIGHT($C123,4)=" PPI",4,IF(RIGHT($C123,4)="生产资料",5,6)),INDEX(((COLUMN()-5)/2+1)*12,1,1),1)))</f>
        <v>0.97861848132509743</v>
      </c>
      <c r="F123" s="30"/>
      <c r="G123" s="15">
        <f ca="1">IF(AND(Data!$M$15=Data!$L$15,INDEX((INT((ROW()-34)/9)+1),1,1)&gt;Data!$L$16),"-",CORREL(OFFSET(Data!$B$183,INDEX((Data!$M$15-2005)*12+INT((ROW()-34)/9)+1-INT((COLUMN()-5)/2+1)*12+1,1,1),IF(LEFT($C123,6)="CPI VS",1,IF(LEFT($C123,6)="CPI食品 ",2,3)),INDEX(((COLUMN()-5)/2+1)*12,1,1),1),OFFSET(Data!$B$183,INDEX((Data!$M$15-2005)*12+INT((ROW()-34)/9)+1-INT((COLUMN()-5)/2+1)*12+1,1,1),IF(RIGHT($C123,4)=" PPI",4,IF(RIGHT($C123,4)="生产资料",5,6)),INDEX(((COLUMN()-5)/2+1)*12,1,1),1)))</f>
        <v>0.97964323023230004</v>
      </c>
      <c r="H123" s="30"/>
      <c r="I123" s="15">
        <f ca="1">IF(AND(Data!$M$15=Data!$L$15,INDEX((INT((ROW()-34)/9)+1),1,1)&gt;Data!$L$16),"-",CORREL(OFFSET(Data!$B$183,INDEX((Data!$M$15-2005)*12+INT((ROW()-34)/9)+1-INT((COLUMN()-5)/2+1)*12+1,1,1),IF(LEFT($C123,6)="CPI VS",1,IF(LEFT($C123,6)="CPI食品 ",2,3)),INDEX(((COLUMN()-5)/2+1)*12,1,1),1),OFFSET(Data!$B$183,INDEX((Data!$M$15-2005)*12+INT((ROW()-34)/9)+1-INT((COLUMN()-5)/2+1)*12+1,1,1),IF(RIGHT($C123,4)=" PPI",4,IF(RIGHT($C123,4)="生产资料",5,6)),INDEX(((COLUMN()-5)/2+1)*12,1,1),1)))</f>
        <v>0.95293553268656483</v>
      </c>
      <c r="J123" s="30"/>
      <c r="K123" s="15">
        <f ca="1">IF(AND(Data!$M$15=Data!$L$15,INDEX((INT((ROW()-34)/9)+1),1,1)&gt;Data!$L$16),"-",CORREL(OFFSET(Data!$B$183,INDEX((Data!$M$15-2005)*12+INT((ROW()-34)/9)+1-INT((COLUMN()-5)/2+1)*12+1,1,1),IF(LEFT($C123,6)="CPI VS",1,IF(LEFT($C123,6)="CPI食品 ",2,3)),INDEX(((COLUMN()-5)/2+1)*12,1,1),1),OFFSET(Data!$B$183,INDEX((Data!$M$15-2005)*12+INT((ROW()-34)/9)+1-INT((COLUMN()-5)/2+1)*12+1,1,1),IF(RIGHT($C123,4)=" PPI",4,IF(RIGHT($C123,4)="生产资料",5,6)),INDEX(((COLUMN()-5)/2+1)*12,1,1),1)))</f>
        <v>0.7743687890136689</v>
      </c>
      <c r="L123" s="30"/>
      <c r="M123" s="15">
        <f ca="1">IF(AND(Data!$M$15=Data!$L$15,INDEX((INT((ROW()-34)/9)+1),1,1)&gt;Data!$L$16),"-",MAX(E123,MAX(G123,MAX(I123,K123))))</f>
        <v>0.97964323023230004</v>
      </c>
      <c r="N123" s="30"/>
    </row>
    <row r="124" spans="2:14" x14ac:dyDescent="0.2">
      <c r="B124" s="34" t="s">
        <v>31</v>
      </c>
      <c r="C124" s="29" t="s">
        <v>0</v>
      </c>
      <c r="D124" s="29"/>
      <c r="E124" s="15">
        <f ca="1">IF(AND(Data!$M$15=Data!$L$15,INDEX((INT((ROW()-34)/9)+1),1,1)&gt;Data!$L$16),"-",CORREL(OFFSET(Data!$B$183,INDEX((Data!$M$15-2005)*12+INT((ROW()-34)/9)+1-INT((COLUMN()-5)/2+1)*12+1,1,1),IF(LEFT($C124,6)="CPI VS",1,IF(LEFT($C124,6)="CPI食品 ",2,3)),INDEX(((COLUMN()-5)/2+1)*12,1,1),1),OFFSET(Data!$B$183,INDEX((Data!$M$15-2005)*12+INT((ROW()-34)/9)+1-INT((COLUMN()-5)/2+1)*12+1,1,1),IF(RIGHT($C124,4)=" PPI",4,IF(RIGHT($C124,4)="生产资料",5,6)),INDEX(((COLUMN()-5)/2+1)*12,1,1),1)))</f>
        <v>0.86501246342929949</v>
      </c>
      <c r="F124" s="30">
        <f ca="1">IF(ISERROR(AVERAGE(E124,E132)),"-",AVERAGE(E124,E132))</f>
        <v>0.91279366640629767</v>
      </c>
      <c r="G124" s="15">
        <f ca="1">IF(AND(Data!$M$15=Data!$L$15,INDEX((INT((ROW()-34)/9)+1),1,1)&gt;Data!$L$16),"-",CORREL(OFFSET(Data!$B$183,INDEX((Data!$M$15-2005)*12+INT((ROW()-34)/9)+1-INT((COLUMN()-5)/2+1)*12+1,1,1),IF(LEFT($C124,6)="CPI VS",1,IF(LEFT($C124,6)="CPI食品 ",2,3)),INDEX(((COLUMN()-5)/2+1)*12,1,1),1),OFFSET(Data!$B$183,INDEX((Data!$M$15-2005)*12+INT((ROW()-34)/9)+1-INT((COLUMN()-5)/2+1)*12+1,1,1),IF(RIGHT($C124,4)=" PPI",4,IF(RIGHT($C124,4)="生产资料",5,6)),INDEX(((COLUMN()-5)/2+1)*12,1,1),1)))</f>
        <v>0.93559821559910283</v>
      </c>
      <c r="H124" s="30">
        <f ca="1">IF(ISERROR(AVERAGE(G124,G132)),"-",AVERAGE(G124,G132))</f>
        <v>0.95745803735691049</v>
      </c>
      <c r="I124" s="15">
        <f ca="1">IF(AND(Data!$M$15=Data!$L$15,INDEX((INT((ROW()-34)/9)+1),1,1)&gt;Data!$L$16),"-",CORREL(OFFSET(Data!$B$183,INDEX((Data!$M$15-2005)*12+INT((ROW()-34)/9)+1-INT((COLUMN()-5)/2+1)*12+1,1,1),IF(LEFT($C124,6)="CPI VS",1,IF(LEFT($C124,6)="CPI食品 ",2,3)),INDEX(((COLUMN()-5)/2+1)*12,1,1),1),OFFSET(Data!$B$183,INDEX((Data!$M$15-2005)*12+INT((ROW()-34)/9)+1-INT((COLUMN()-5)/2+1)*12+1,1,1),IF(RIGHT($C124,4)=" PPI",4,IF(RIGHT($C124,4)="生产资料",5,6)),INDEX(((COLUMN()-5)/2+1)*12,1,1),1)))</f>
        <v>0.89874899407761044</v>
      </c>
      <c r="J124" s="30">
        <f ca="1">IF(ISERROR(AVERAGE(I124,I132)),"-",AVERAGE(I124,I132))</f>
        <v>0.93033391290899803</v>
      </c>
      <c r="K124" s="15">
        <f ca="1">IF(AND(Data!$M$15=Data!$L$15,INDEX((INT((ROW()-34)/9)+1),1,1)&gt;Data!$L$16),"-",CORREL(OFFSET(Data!$B$183,INDEX((Data!$M$15-2005)*12+INT((ROW()-34)/9)+1-INT((COLUMN()-5)/2+1)*12+1,1,1),IF(LEFT($C124,6)="CPI VS",1,IF(LEFT($C124,6)="CPI食品 ",2,3)),INDEX(((COLUMN()-5)/2+1)*12,1,1),1),OFFSET(Data!$B$183,INDEX((Data!$M$15-2005)*12+INT((ROW()-34)/9)+1-INT((COLUMN()-5)/2+1)*12+1,1,1),IF(RIGHT($C124,4)=" PPI",4,IF(RIGHT($C124,4)="生产资料",5,6)),INDEX(((COLUMN()-5)/2+1)*12,1,1),1)))</f>
        <v>0.82012716485686055</v>
      </c>
      <c r="L124" s="30">
        <f ca="1">IF(ISERROR(AVERAGE(K124,K132)),"-",AVERAGE(K124,K132))</f>
        <v>0.80657853574837235</v>
      </c>
      <c r="M124" s="15">
        <f ca="1">IF(AND(Data!$M$15=Data!$L$15,INDEX((INT((ROW()-34)/9)+1),1,1)&gt;Data!$L$16),"-",MAX(E124,MAX(G124,MAX(I124,K124))))</f>
        <v>0.93559821559910283</v>
      </c>
      <c r="N124" s="30">
        <f ca="1">IF(AND(Data!$M$15=Data!$L$15,INDEX((INT((ROW()-34)/9)+1),1,1)&gt;Data!$L$16),"-",MAX(F124,MAX(H124,MAX(J124,L124))))</f>
        <v>0.95745803735691049</v>
      </c>
    </row>
    <row r="125" spans="2:14" x14ac:dyDescent="0.2">
      <c r="B125" s="34"/>
      <c r="C125" s="29" t="s">
        <v>38</v>
      </c>
      <c r="D125" s="29"/>
      <c r="E125" s="15">
        <f ca="1">IF(AND(Data!$M$15=Data!$L$15,INDEX((INT((ROW()-34)/9)+1),1,1)&gt;Data!$L$16),"-",CORREL(OFFSET(Data!$B$183,INDEX((Data!$M$15-2005)*12+INT((ROW()-34)/9)+1-INT((COLUMN()-5)/2+1)*12+1,1,1),IF(LEFT($C125,6)="CPI VS",1,IF(LEFT($C125,6)="CPI食品 ",2,3)),INDEX(((COLUMN()-5)/2+1)*12,1,1),1),OFFSET(Data!$B$183,INDEX((Data!$M$15-2005)*12+INT((ROW()-34)/9)+1-INT((COLUMN()-5)/2+1)*12+1,1,1),IF(RIGHT($C125,4)=" PPI",4,IF(RIGHT($C125,4)="生产资料",5,6)),INDEX(((COLUMN()-5)/2+1)*12,1,1),1)))</f>
        <v>0.86196137855249644</v>
      </c>
      <c r="F125" s="30"/>
      <c r="G125" s="15">
        <f ca="1">IF(AND(Data!$M$15=Data!$L$15,INDEX((INT((ROW()-34)/9)+1),1,1)&gt;Data!$L$16),"-",CORREL(OFFSET(Data!$B$183,INDEX((Data!$M$15-2005)*12+INT((ROW()-34)/9)+1-INT((COLUMN()-5)/2+1)*12+1,1,1),IF(LEFT($C125,6)="CPI VS",1,IF(LEFT($C125,6)="CPI食品 ",2,3)),INDEX(((COLUMN()-5)/2+1)*12,1,1),1),OFFSET(Data!$B$183,INDEX((Data!$M$15-2005)*12+INT((ROW()-34)/9)+1-INT((COLUMN()-5)/2+1)*12+1,1,1),IF(RIGHT($C125,4)=" PPI",4,IF(RIGHT($C125,4)="生产资料",5,6)),INDEX(((COLUMN()-5)/2+1)*12,1,1),1)))</f>
        <v>0.92797680554075956</v>
      </c>
      <c r="H125" s="30"/>
      <c r="I125" s="15">
        <f ca="1">IF(AND(Data!$M$15=Data!$L$15,INDEX((INT((ROW()-34)/9)+1),1,1)&gt;Data!$L$16),"-",CORREL(OFFSET(Data!$B$183,INDEX((Data!$M$15-2005)*12+INT((ROW()-34)/9)+1-INT((COLUMN()-5)/2+1)*12+1,1,1),IF(LEFT($C125,6)="CPI VS",1,IF(LEFT($C125,6)="CPI食品 ",2,3)),INDEX(((COLUMN()-5)/2+1)*12,1,1),1),OFFSET(Data!$B$183,INDEX((Data!$M$15-2005)*12+INT((ROW()-34)/9)+1-INT((COLUMN()-5)/2+1)*12+1,1,1),IF(RIGHT($C125,4)=" PPI",4,IF(RIGHT($C125,4)="生产资料",5,6)),INDEX(((COLUMN()-5)/2+1)*12,1,1),1)))</f>
        <v>0.88576154937613782</v>
      </c>
      <c r="J125" s="30"/>
      <c r="K125" s="15">
        <f ca="1">IF(AND(Data!$M$15=Data!$L$15,INDEX((INT((ROW()-34)/9)+1),1,1)&gt;Data!$L$16),"-",CORREL(OFFSET(Data!$B$183,INDEX((Data!$M$15-2005)*12+INT((ROW()-34)/9)+1-INT((COLUMN()-5)/2+1)*12+1,1,1),IF(LEFT($C125,6)="CPI VS",1,IF(LEFT($C125,6)="CPI食品 ",2,3)),INDEX(((COLUMN()-5)/2+1)*12,1,1),1),OFFSET(Data!$B$183,INDEX((Data!$M$15-2005)*12+INT((ROW()-34)/9)+1-INT((COLUMN()-5)/2+1)*12+1,1,1),IF(RIGHT($C125,4)=" PPI",4,IF(RIGHT($C125,4)="生产资料",5,6)),INDEX(((COLUMN()-5)/2+1)*12,1,1),1)))</f>
        <v>0.78150832625511746</v>
      </c>
      <c r="L125" s="30"/>
      <c r="M125" s="15">
        <f ca="1">IF(AND(Data!$M$15=Data!$L$15,INDEX((INT((ROW()-34)/9)+1),1,1)&gt;Data!$L$16),"-",MAX(E125,MAX(G125,MAX(I125,K125))))</f>
        <v>0.92797680554075956</v>
      </c>
      <c r="N125" s="30"/>
    </row>
    <row r="126" spans="2:14" x14ac:dyDescent="0.2">
      <c r="B126" s="34"/>
      <c r="C126" s="29" t="s">
        <v>39</v>
      </c>
      <c r="D126" s="29"/>
      <c r="E126" s="15">
        <f ca="1">IF(AND(Data!$M$15=Data!$L$15,INDEX((INT((ROW()-34)/9)+1),1,1)&gt;Data!$L$16),"-",CORREL(OFFSET(Data!$B$183,INDEX((Data!$M$15-2005)*12+INT((ROW()-34)/9)+1-INT((COLUMN()-5)/2+1)*12+1,1,1),IF(LEFT($C126,6)="CPI VS",1,IF(LEFT($C126,6)="CPI食品 ",2,3)),INDEX(((COLUMN()-5)/2+1)*12,1,1),1),OFFSET(Data!$B$183,INDEX((Data!$M$15-2005)*12+INT((ROW()-34)/9)+1-INT((COLUMN()-5)/2+1)*12+1,1,1),IF(RIGHT($C126,4)=" PPI",4,IF(RIGHT($C126,4)="生产资料",5,6)),INDEX(((COLUMN()-5)/2+1)*12,1,1),1)))</f>
        <v>0.8521872815167888</v>
      </c>
      <c r="F126" s="30"/>
      <c r="G126" s="15">
        <f ca="1">IF(AND(Data!$M$15=Data!$L$15,INDEX((INT((ROW()-34)/9)+1),1,1)&gt;Data!$L$16),"-",CORREL(OFFSET(Data!$B$183,INDEX((Data!$M$15-2005)*12+INT((ROW()-34)/9)+1-INT((COLUMN()-5)/2+1)*12+1,1,1),IF(LEFT($C126,6)="CPI VS",1,IF(LEFT($C126,6)="CPI食品 ",2,3)),INDEX(((COLUMN()-5)/2+1)*12,1,1),1),OFFSET(Data!$B$183,INDEX((Data!$M$15-2005)*12+INT((ROW()-34)/9)+1-INT((COLUMN()-5)/2+1)*12+1,1,1),IF(RIGHT($C126,4)=" PPI",4,IF(RIGHT($C126,4)="生产资料",5,6)),INDEX(((COLUMN()-5)/2+1)*12,1,1),1)))</f>
        <v>0.97997046793637732</v>
      </c>
      <c r="H126" s="30"/>
      <c r="I126" s="15">
        <f ca="1">IF(AND(Data!$M$15=Data!$L$15,INDEX((INT((ROW()-34)/9)+1),1,1)&gt;Data!$L$16),"-",CORREL(OFFSET(Data!$B$183,INDEX((Data!$M$15-2005)*12+INT((ROW()-34)/9)+1-INT((COLUMN()-5)/2+1)*12+1,1,1),IF(LEFT($C126,6)="CPI VS",1,IF(LEFT($C126,6)="CPI食品 ",2,3)),INDEX(((COLUMN()-5)/2+1)*12,1,1),1),OFFSET(Data!$B$183,INDEX((Data!$M$15-2005)*12+INT((ROW()-34)/9)+1-INT((COLUMN()-5)/2+1)*12+1,1,1),IF(RIGHT($C126,4)=" PPI",4,IF(RIGHT($C126,4)="生产资料",5,6)),INDEX(((COLUMN()-5)/2+1)*12,1,1),1)))</f>
        <v>0.97345856516679918</v>
      </c>
      <c r="J126" s="30"/>
      <c r="K126" s="15">
        <f ca="1">IF(AND(Data!$M$15=Data!$L$15,INDEX((INT((ROW()-34)/9)+1),1,1)&gt;Data!$L$16),"-",CORREL(OFFSET(Data!$B$183,INDEX((Data!$M$15-2005)*12+INT((ROW()-34)/9)+1-INT((COLUMN()-5)/2+1)*12+1,1,1),IF(LEFT($C126,6)="CPI VS",1,IF(LEFT($C126,6)="CPI食品 ",2,3)),INDEX(((COLUMN()-5)/2+1)*12,1,1),1),OFFSET(Data!$B$183,INDEX((Data!$M$15-2005)*12+INT((ROW()-34)/9)+1-INT((COLUMN()-5)/2+1)*12+1,1,1),IF(RIGHT($C126,4)=" PPI",4,IF(RIGHT($C126,4)="生产资料",5,6)),INDEX(((COLUMN()-5)/2+1)*12,1,1),1)))</f>
        <v>0.96799981407257096</v>
      </c>
      <c r="L126" s="30"/>
      <c r="M126" s="15">
        <f ca="1">IF(AND(Data!$M$15=Data!$L$15,INDEX((INT((ROW()-34)/9)+1),1,1)&gt;Data!$L$16),"-",MAX(E126,MAX(G126,MAX(I126,K126))))</f>
        <v>0.97997046793637732</v>
      </c>
      <c r="N126" s="30"/>
    </row>
    <row r="127" spans="2:14" x14ac:dyDescent="0.2">
      <c r="B127" s="34"/>
      <c r="C127" s="29" t="s">
        <v>40</v>
      </c>
      <c r="D127" s="29"/>
      <c r="E127" s="15">
        <f ca="1">IF(AND(Data!$M$15=Data!$L$15,INDEX((INT((ROW()-34)/9)+1),1,1)&gt;Data!$L$16),"-",CORREL(OFFSET(Data!$B$183,INDEX((Data!$M$15-2005)*12+INT((ROW()-34)/9)+1-INT((COLUMN()-5)/2+1)*12+1,1,1),IF(LEFT($C127,6)="CPI VS",1,IF(LEFT($C127,6)="CPI食品 ",2,3)),INDEX(((COLUMN()-5)/2+1)*12,1,1),1),OFFSET(Data!$B$183,INDEX((Data!$M$15-2005)*12+INT((ROW()-34)/9)+1-INT((COLUMN()-5)/2+1)*12+1,1,1),IF(RIGHT($C127,4)=" PPI",4,IF(RIGHT($C127,4)="生产资料",5,6)),INDEX(((COLUMN()-5)/2+1)*12,1,1),1)))</f>
        <v>0.73503375132419269</v>
      </c>
      <c r="F127" s="30"/>
      <c r="G127" s="15">
        <f ca="1">IF(AND(Data!$M$15=Data!$L$15,INDEX((INT((ROW()-34)/9)+1),1,1)&gt;Data!$L$16),"-",CORREL(OFFSET(Data!$B$183,INDEX((Data!$M$15-2005)*12+INT((ROW()-34)/9)+1-INT((COLUMN()-5)/2+1)*12+1,1,1),IF(LEFT($C127,6)="CPI VS",1,IF(LEFT($C127,6)="CPI食品 ",2,3)),INDEX(((COLUMN()-5)/2+1)*12,1,1),1),OFFSET(Data!$B$183,INDEX((Data!$M$15-2005)*12+INT((ROW()-34)/9)+1-INT((COLUMN()-5)/2+1)*12+1,1,1),IF(RIGHT($C127,4)=" PPI",4,IF(RIGHT($C127,4)="生产资料",5,6)),INDEX(((COLUMN()-5)/2+1)*12,1,1),1)))</f>
        <v>0.87754103279601947</v>
      </c>
      <c r="H127" s="30"/>
      <c r="I127" s="15">
        <f ca="1">IF(AND(Data!$M$15=Data!$L$15,INDEX((INT((ROW()-34)/9)+1),1,1)&gt;Data!$L$16),"-",CORREL(OFFSET(Data!$B$183,INDEX((Data!$M$15-2005)*12+INT((ROW()-34)/9)+1-INT((COLUMN()-5)/2+1)*12+1,1,1),IF(LEFT($C127,6)="CPI VS",1,IF(LEFT($C127,6)="CPI食品 ",2,3)),INDEX(((COLUMN()-5)/2+1)*12,1,1),1),OFFSET(Data!$B$183,INDEX((Data!$M$15-2005)*12+INT((ROW()-34)/9)+1-INT((COLUMN()-5)/2+1)*12+1,1,1),IF(RIGHT($C127,4)=" PPI",4,IF(RIGHT($C127,4)="生产资料",5,6)),INDEX(((COLUMN()-5)/2+1)*12,1,1),1)))</f>
        <v>0.81762477719914894</v>
      </c>
      <c r="J127" s="30"/>
      <c r="K127" s="15">
        <f ca="1">IF(AND(Data!$M$15=Data!$L$15,INDEX((INT((ROW()-34)/9)+1),1,1)&gt;Data!$L$16),"-",CORREL(OFFSET(Data!$B$183,INDEX((Data!$M$15-2005)*12+INT((ROW()-34)/9)+1-INT((COLUMN()-5)/2+1)*12+1,1,1),IF(LEFT($C127,6)="CPI VS",1,IF(LEFT($C127,6)="CPI食品 ",2,3)),INDEX(((COLUMN()-5)/2+1)*12,1,1),1),OFFSET(Data!$B$183,INDEX((Data!$M$15-2005)*12+INT((ROW()-34)/9)+1-INT((COLUMN()-5)/2+1)*12+1,1,1),IF(RIGHT($C127,4)=" PPI",4,IF(RIGHT($C127,4)="生产资料",5,6)),INDEX(((COLUMN()-5)/2+1)*12,1,1),1)))</f>
        <v>0.68086996670892597</v>
      </c>
      <c r="L127" s="30"/>
      <c r="M127" s="15">
        <f ca="1">IF(AND(Data!$M$15=Data!$L$15,INDEX((INT((ROW()-34)/9)+1),1,1)&gt;Data!$L$16),"-",MAX(E127,MAX(G127,MAX(I127,K127))))</f>
        <v>0.87754103279601947</v>
      </c>
      <c r="N127" s="30"/>
    </row>
    <row r="128" spans="2:14" x14ac:dyDescent="0.2">
      <c r="B128" s="34"/>
      <c r="C128" s="29" t="s">
        <v>41</v>
      </c>
      <c r="D128" s="29"/>
      <c r="E128" s="15">
        <f ca="1">IF(AND(Data!$M$15=Data!$L$15,INDEX((INT((ROW()-34)/9)+1),1,1)&gt;Data!$L$16),"-",CORREL(OFFSET(Data!$B$183,INDEX((Data!$M$15-2005)*12+INT((ROW()-34)/9)+1-INT((COLUMN()-5)/2+1)*12+1,1,1),IF(LEFT($C128,6)="CPI VS",1,IF(LEFT($C128,6)="CPI食品 ",2,3)),INDEX(((COLUMN()-5)/2+1)*12,1,1),1),OFFSET(Data!$B$183,INDEX((Data!$M$15-2005)*12+INT((ROW()-34)/9)+1-INT((COLUMN()-5)/2+1)*12+1,1,1),IF(RIGHT($C128,4)=" PPI",4,IF(RIGHT($C128,4)="生产资料",5,6)),INDEX(((COLUMN()-5)/2+1)*12,1,1),1)))</f>
        <v>0.73147179253115213</v>
      </c>
      <c r="F128" s="30"/>
      <c r="G128" s="15">
        <f ca="1">IF(AND(Data!$M$15=Data!$L$15,INDEX((INT((ROW()-34)/9)+1),1,1)&gt;Data!$L$16),"-",CORREL(OFFSET(Data!$B$183,INDEX((Data!$M$15-2005)*12+INT((ROW()-34)/9)+1-INT((COLUMN()-5)/2+1)*12+1,1,1),IF(LEFT($C128,6)="CPI VS",1,IF(LEFT($C128,6)="CPI食品 ",2,3)),INDEX(((COLUMN()-5)/2+1)*12,1,1),1),OFFSET(Data!$B$183,INDEX((Data!$M$15-2005)*12+INT((ROW()-34)/9)+1-INT((COLUMN()-5)/2+1)*12+1,1,1),IF(RIGHT($C128,4)=" PPI",4,IF(RIGHT($C128,4)="生产资料",5,6)),INDEX(((COLUMN()-5)/2+1)*12,1,1),1)))</f>
        <v>0.8673506274793219</v>
      </c>
      <c r="H128" s="30"/>
      <c r="I128" s="15">
        <f ca="1">IF(AND(Data!$M$15=Data!$L$15,INDEX((INT((ROW()-34)/9)+1),1,1)&gt;Data!$L$16),"-",CORREL(OFFSET(Data!$B$183,INDEX((Data!$M$15-2005)*12+INT((ROW()-34)/9)+1-INT((COLUMN()-5)/2+1)*12+1,1,1),IF(LEFT($C128,6)="CPI VS",1,IF(LEFT($C128,6)="CPI食品 ",2,3)),INDEX(((COLUMN()-5)/2+1)*12,1,1),1),OFFSET(Data!$B$183,INDEX((Data!$M$15-2005)*12+INT((ROW()-34)/9)+1-INT((COLUMN()-5)/2+1)*12+1,1,1),IF(RIGHT($C128,4)=" PPI",4,IF(RIGHT($C128,4)="生产资料",5,6)),INDEX(((COLUMN()-5)/2+1)*12,1,1),1)))</f>
        <v>0.80079509869131327</v>
      </c>
      <c r="J128" s="30"/>
      <c r="K128" s="15">
        <f ca="1">IF(AND(Data!$M$15=Data!$L$15,INDEX((INT((ROW()-34)/9)+1),1,1)&gt;Data!$L$16),"-",CORREL(OFFSET(Data!$B$183,INDEX((Data!$M$15-2005)*12+INT((ROW()-34)/9)+1-INT((COLUMN()-5)/2+1)*12+1,1,1),IF(LEFT($C128,6)="CPI VS",1,IF(LEFT($C128,6)="CPI食品 ",2,3)),INDEX(((COLUMN()-5)/2+1)*12,1,1),1),OFFSET(Data!$B$183,INDEX((Data!$M$15-2005)*12+INT((ROW()-34)/9)+1-INT((COLUMN()-5)/2+1)*12+1,1,1),IF(RIGHT($C128,4)=" PPI",4,IF(RIGHT($C128,4)="生产资料",5,6)),INDEX(((COLUMN()-5)/2+1)*12,1,1),1)))</f>
        <v>0.63161540573631569</v>
      </c>
      <c r="L128" s="30"/>
      <c r="M128" s="15">
        <f ca="1">IF(AND(Data!$M$15=Data!$L$15,INDEX((INT((ROW()-34)/9)+1),1,1)&gt;Data!$L$16),"-",MAX(E128,MAX(G128,MAX(I128,K128))))</f>
        <v>0.8673506274793219</v>
      </c>
      <c r="N128" s="30"/>
    </row>
    <row r="129" spans="2:14" x14ac:dyDescent="0.2">
      <c r="B129" s="34"/>
      <c r="C129" s="29" t="s">
        <v>42</v>
      </c>
      <c r="D129" s="29"/>
      <c r="E129" s="15">
        <f ca="1">IF(AND(Data!$M$15=Data!$L$15,INDEX((INT((ROW()-34)/9)+1),1,1)&gt;Data!$L$16),"-",CORREL(OFFSET(Data!$B$183,INDEX((Data!$M$15-2005)*12+INT((ROW()-34)/9)+1-INT((COLUMN()-5)/2+1)*12+1,1,1),IF(LEFT($C129,6)="CPI VS",1,IF(LEFT($C129,6)="CPI食品 ",2,3)),INDEX(((COLUMN()-5)/2+1)*12,1,1),1),OFFSET(Data!$B$183,INDEX((Data!$M$15-2005)*12+INT((ROW()-34)/9)+1-INT((COLUMN()-5)/2+1)*12+1,1,1),IF(RIGHT($C129,4)=" PPI",4,IF(RIGHT($C129,4)="生产资料",5,6)),INDEX(((COLUMN()-5)/2+1)*12,1,1),1)))</f>
        <v>0.72582164928701831</v>
      </c>
      <c r="F129" s="30"/>
      <c r="G129" s="15">
        <f ca="1">IF(AND(Data!$M$15=Data!$L$15,INDEX((INT((ROW()-34)/9)+1),1,1)&gt;Data!$L$16),"-",CORREL(OFFSET(Data!$B$183,INDEX((Data!$M$15-2005)*12+INT((ROW()-34)/9)+1-INT((COLUMN()-5)/2+1)*12+1,1,1),IF(LEFT($C129,6)="CPI VS",1,IF(LEFT($C129,6)="CPI食品 ",2,3)),INDEX(((COLUMN()-5)/2+1)*12,1,1),1),OFFSET(Data!$B$183,INDEX((Data!$M$15-2005)*12+INT((ROW()-34)/9)+1-INT((COLUMN()-5)/2+1)*12+1,1,1),IF(RIGHT($C129,4)=" PPI",4,IF(RIGHT($C129,4)="生产资料",5,6)),INDEX(((COLUMN()-5)/2+1)*12,1,1),1)))</f>
        <v>0.94657267603657402</v>
      </c>
      <c r="H129" s="30"/>
      <c r="I129" s="15">
        <f ca="1">IF(AND(Data!$M$15=Data!$L$15,INDEX((INT((ROW()-34)/9)+1),1,1)&gt;Data!$L$16),"-",CORREL(OFFSET(Data!$B$183,INDEX((Data!$M$15-2005)*12+INT((ROW()-34)/9)+1-INT((COLUMN()-5)/2+1)*12+1,1,1),IF(LEFT($C129,6)="CPI VS",1,IF(LEFT($C129,6)="CPI食品 ",2,3)),INDEX(((COLUMN()-5)/2+1)*12,1,1),1),OFFSET(Data!$B$183,INDEX((Data!$M$15-2005)*12+INT((ROW()-34)/9)+1-INT((COLUMN()-5)/2+1)*12+1,1,1),IF(RIGHT($C129,4)=" PPI",4,IF(RIGHT($C129,4)="生产资料",5,6)),INDEX(((COLUMN()-5)/2+1)*12,1,1),1)))</f>
        <v>0.92913112072795812</v>
      </c>
      <c r="J129" s="30"/>
      <c r="K129" s="15">
        <f ca="1">IF(AND(Data!$M$15=Data!$L$15,INDEX((INT((ROW()-34)/9)+1),1,1)&gt;Data!$L$16),"-",CORREL(OFFSET(Data!$B$183,INDEX((Data!$M$15-2005)*12+INT((ROW()-34)/9)+1-INT((COLUMN()-5)/2+1)*12+1,1,1),IF(LEFT($C129,6)="CPI VS",1,IF(LEFT($C129,6)="CPI食品 ",2,3)),INDEX(((COLUMN()-5)/2+1)*12,1,1),1),OFFSET(Data!$B$183,INDEX((Data!$M$15-2005)*12+INT((ROW()-34)/9)+1-INT((COLUMN()-5)/2+1)*12+1,1,1),IF(RIGHT($C129,4)=" PPI",4,IF(RIGHT($C129,4)="生产资料",5,6)),INDEX(((COLUMN()-5)/2+1)*12,1,1),1)))</f>
        <v>0.93360111704160098</v>
      </c>
      <c r="L129" s="30"/>
      <c r="M129" s="15">
        <f ca="1">IF(AND(Data!$M$15=Data!$L$15,INDEX((INT((ROW()-34)/9)+1),1,1)&gt;Data!$L$16),"-",MAX(E129,MAX(G129,MAX(I129,K129))))</f>
        <v>0.94657267603657402</v>
      </c>
      <c r="N129" s="30"/>
    </row>
    <row r="130" spans="2:14" x14ac:dyDescent="0.2">
      <c r="B130" s="34"/>
      <c r="C130" s="29" t="s">
        <v>43</v>
      </c>
      <c r="D130" s="29"/>
      <c r="E130" s="15">
        <f ca="1">IF(AND(Data!$M$15=Data!$L$15,INDEX((INT((ROW()-34)/9)+1),1,1)&gt;Data!$L$16),"-",CORREL(OFFSET(Data!$B$183,INDEX((Data!$M$15-2005)*12+INT((ROW()-34)/9)+1-INT((COLUMN()-5)/2+1)*12+1,1,1),IF(LEFT($C130,6)="CPI VS",1,IF(LEFT($C130,6)="CPI食品 ",2,3)),INDEX(((COLUMN()-5)/2+1)*12,1,1),1),OFFSET(Data!$B$183,INDEX((Data!$M$15-2005)*12+INT((ROW()-34)/9)+1-INT((COLUMN()-5)/2+1)*12+1,1,1),IF(RIGHT($C130,4)=" PPI",4,IF(RIGHT($C130,4)="生产资料",5,6)),INDEX(((COLUMN()-5)/2+1)*12,1,1),1)))</f>
        <v>0.97194755762172369</v>
      </c>
      <c r="F130" s="30"/>
      <c r="G130" s="15">
        <f ca="1">IF(AND(Data!$M$15=Data!$L$15,INDEX((INT((ROW()-34)/9)+1),1,1)&gt;Data!$L$16),"-",CORREL(OFFSET(Data!$B$183,INDEX((Data!$M$15-2005)*12+INT((ROW()-34)/9)+1-INT((COLUMN()-5)/2+1)*12+1,1,1),IF(LEFT($C130,6)="CPI VS",1,IF(LEFT($C130,6)="CPI食品 ",2,3)),INDEX(((COLUMN()-5)/2+1)*12,1,1),1),OFFSET(Data!$B$183,INDEX((Data!$M$15-2005)*12+INT((ROW()-34)/9)+1-INT((COLUMN()-5)/2+1)*12+1,1,1),IF(RIGHT($C130,4)=" PPI",4,IF(RIGHT($C130,4)="生产资料",5,6)),INDEX(((COLUMN()-5)/2+1)*12,1,1),1)))</f>
        <v>0.9963099539714233</v>
      </c>
      <c r="H130" s="30"/>
      <c r="I130" s="15">
        <f ca="1">IF(AND(Data!$M$15=Data!$L$15,INDEX((INT((ROW()-34)/9)+1),1,1)&gt;Data!$L$16),"-",CORREL(OFFSET(Data!$B$183,INDEX((Data!$M$15-2005)*12+INT((ROW()-34)/9)+1-INT((COLUMN()-5)/2+1)*12+1,1,1),IF(LEFT($C130,6)="CPI VS",1,IF(LEFT($C130,6)="CPI食品 ",2,3)),INDEX(((COLUMN()-5)/2+1)*12,1,1),1),OFFSET(Data!$B$183,INDEX((Data!$M$15-2005)*12+INT((ROW()-34)/9)+1-INT((COLUMN()-5)/2+1)*12+1,1,1),IF(RIGHT($C130,4)=" PPI",4,IF(RIGHT($C130,4)="生产资料",5,6)),INDEX(((COLUMN()-5)/2+1)*12,1,1),1)))</f>
        <v>0.98552457632785895</v>
      </c>
      <c r="J130" s="30"/>
      <c r="K130" s="15">
        <f ca="1">IF(AND(Data!$M$15=Data!$L$15,INDEX((INT((ROW()-34)/9)+1),1,1)&gt;Data!$L$16),"-",CORREL(OFFSET(Data!$B$183,INDEX((Data!$M$15-2005)*12+INT((ROW()-34)/9)+1-INT((COLUMN()-5)/2+1)*12+1,1,1),IF(LEFT($C130,6)="CPI VS",1,IF(LEFT($C130,6)="CPI食品 ",2,3)),INDEX(((COLUMN()-5)/2+1)*12,1,1),1),OFFSET(Data!$B$183,INDEX((Data!$M$15-2005)*12+INT((ROW()-34)/9)+1-INT((COLUMN()-5)/2+1)*12+1,1,1),IF(RIGHT($C130,4)=" PPI",4,IF(RIGHT($C130,4)="生产资料",5,6)),INDEX(((COLUMN()-5)/2+1)*12,1,1),1)))</f>
        <v>0.97993917394574359</v>
      </c>
      <c r="L130" s="30"/>
      <c r="M130" s="15">
        <f ca="1">IF(AND(Data!$M$15=Data!$L$15,INDEX((INT((ROW()-34)/9)+1),1,1)&gt;Data!$L$16),"-",MAX(E130,MAX(G130,MAX(I130,K130))))</f>
        <v>0.9963099539714233</v>
      </c>
      <c r="N130" s="30"/>
    </row>
    <row r="131" spans="2:14" x14ac:dyDescent="0.2">
      <c r="B131" s="34"/>
      <c r="C131" s="29" t="s">
        <v>44</v>
      </c>
      <c r="D131" s="29"/>
      <c r="E131" s="15">
        <f ca="1">IF(AND(Data!$M$15=Data!$L$15,INDEX((INT((ROW()-34)/9)+1),1,1)&gt;Data!$L$16),"-",CORREL(OFFSET(Data!$B$183,INDEX((Data!$M$15-2005)*12+INT((ROW()-34)/9)+1-INT((COLUMN()-5)/2+1)*12+1,1,1),IF(LEFT($C131,6)="CPI VS",1,IF(LEFT($C131,6)="CPI食品 ",2,3)),INDEX(((COLUMN()-5)/2+1)*12,1,1),1),OFFSET(Data!$B$183,INDEX((Data!$M$15-2005)*12+INT((ROW()-34)/9)+1-INT((COLUMN()-5)/2+1)*12+1,1,1),IF(RIGHT($C131,4)=" PPI",4,IF(RIGHT($C131,4)="生产资料",5,6)),INDEX(((COLUMN()-5)/2+1)*12,1,1),1)))</f>
        <v>0.97010383425763824</v>
      </c>
      <c r="F131" s="30"/>
      <c r="G131" s="15">
        <f ca="1">IF(AND(Data!$M$15=Data!$L$15,INDEX((INT((ROW()-34)/9)+1),1,1)&gt;Data!$L$16),"-",CORREL(OFFSET(Data!$B$183,INDEX((Data!$M$15-2005)*12+INT((ROW()-34)/9)+1-INT((COLUMN()-5)/2+1)*12+1,1,1),IF(LEFT($C131,6)="CPI VS",1,IF(LEFT($C131,6)="CPI食品 ",2,3)),INDEX(((COLUMN()-5)/2+1)*12,1,1),1),OFFSET(Data!$B$183,INDEX((Data!$M$15-2005)*12+INT((ROW()-34)/9)+1-INT((COLUMN()-5)/2+1)*12+1,1,1),IF(RIGHT($C131,4)=" PPI",4,IF(RIGHT($C131,4)="生产资料",5,6)),INDEX(((COLUMN()-5)/2+1)*12,1,1),1)))</f>
        <v>0.99537015088232128</v>
      </c>
      <c r="H131" s="30"/>
      <c r="I131" s="15">
        <f ca="1">IF(AND(Data!$M$15=Data!$L$15,INDEX((INT((ROW()-34)/9)+1),1,1)&gt;Data!$L$16),"-",CORREL(OFFSET(Data!$B$183,INDEX((Data!$M$15-2005)*12+INT((ROW()-34)/9)+1-INT((COLUMN()-5)/2+1)*12+1,1,1),IF(LEFT($C131,6)="CPI VS",1,IF(LEFT($C131,6)="CPI食品 ",2,3)),INDEX(((COLUMN()-5)/2+1)*12,1,1),1),OFFSET(Data!$B$183,INDEX((Data!$M$15-2005)*12+INT((ROW()-34)/9)+1-INT((COLUMN()-5)/2+1)*12+1,1,1),IF(RIGHT($C131,4)=" PPI",4,IF(RIGHT($C131,4)="生产资料",5,6)),INDEX(((COLUMN()-5)/2+1)*12,1,1),1)))</f>
        <v>0.98344675140610605</v>
      </c>
      <c r="J131" s="30"/>
      <c r="K131" s="15">
        <f ca="1">IF(AND(Data!$M$15=Data!$L$15,INDEX((INT((ROW()-34)/9)+1),1,1)&gt;Data!$L$16),"-",CORREL(OFFSET(Data!$B$183,INDEX((Data!$M$15-2005)*12+INT((ROW()-34)/9)+1-INT((COLUMN()-5)/2+1)*12+1,1,1),IF(LEFT($C131,6)="CPI VS",1,IF(LEFT($C131,6)="CPI食品 ",2,3)),INDEX(((COLUMN()-5)/2+1)*12,1,1),1),OFFSET(Data!$B$183,INDEX((Data!$M$15-2005)*12+INT((ROW()-34)/9)+1-INT((COLUMN()-5)/2+1)*12+1,1,1),IF(RIGHT($C131,4)=" PPI",4,IF(RIGHT($C131,4)="生产资料",5,6)),INDEX(((COLUMN()-5)/2+1)*12,1,1),1)))</f>
        <v>0.98197868142122058</v>
      </c>
      <c r="L131" s="30"/>
      <c r="M131" s="15">
        <f ca="1">IF(AND(Data!$M$15=Data!$L$15,INDEX((INT((ROW()-34)/9)+1),1,1)&gt;Data!$L$16),"-",MAX(E131,MAX(G131,MAX(I131,K131))))</f>
        <v>0.99537015088232128</v>
      </c>
      <c r="N131" s="30"/>
    </row>
    <row r="132" spans="2:14" x14ac:dyDescent="0.2">
      <c r="B132" s="34"/>
      <c r="C132" s="29" t="s">
        <v>45</v>
      </c>
      <c r="D132" s="29"/>
      <c r="E132" s="15">
        <f ca="1">IF(AND(Data!$M$15=Data!$L$15,INDEX((INT((ROW()-34)/9)+1),1,1)&gt;Data!$L$16),"-",CORREL(OFFSET(Data!$B$183,INDEX((Data!$M$15-2005)*12+INT((ROW()-34)/9)+1-INT((COLUMN()-5)/2+1)*12+1,1,1),IF(LEFT($C132,6)="CPI VS",1,IF(LEFT($C132,6)="CPI食品 ",2,3)),INDEX(((COLUMN()-5)/2+1)*12,1,1),1),OFFSET(Data!$B$183,INDEX((Data!$M$15-2005)*12+INT((ROW()-34)/9)+1-INT((COLUMN()-5)/2+1)*12+1,1,1),IF(RIGHT($C132,4)=" PPI",4,IF(RIGHT($C132,4)="生产资料",5,6)),INDEX(((COLUMN()-5)/2+1)*12,1,1),1)))</f>
        <v>0.96057486938329595</v>
      </c>
      <c r="F132" s="30"/>
      <c r="G132" s="15">
        <f ca="1">IF(AND(Data!$M$15=Data!$L$15,INDEX((INT((ROW()-34)/9)+1),1,1)&gt;Data!$L$16),"-",CORREL(OFFSET(Data!$B$183,INDEX((Data!$M$15-2005)*12+INT((ROW()-34)/9)+1-INT((COLUMN()-5)/2+1)*12+1,1,1),IF(LEFT($C132,6)="CPI VS",1,IF(LEFT($C132,6)="CPI食品 ",2,3)),INDEX(((COLUMN()-5)/2+1)*12,1,1),1),OFFSET(Data!$B$183,INDEX((Data!$M$15-2005)*12+INT((ROW()-34)/9)+1-INT((COLUMN()-5)/2+1)*12+1,1,1),IF(RIGHT($C132,4)=" PPI",4,IF(RIGHT($C132,4)="生产资料",5,6)),INDEX(((COLUMN()-5)/2+1)*12,1,1),1)))</f>
        <v>0.97931785911471814</v>
      </c>
      <c r="H132" s="30"/>
      <c r="I132" s="15">
        <f ca="1">IF(AND(Data!$M$15=Data!$L$15,INDEX((INT((ROW()-34)/9)+1),1,1)&gt;Data!$L$16),"-",CORREL(OFFSET(Data!$B$183,INDEX((Data!$M$15-2005)*12+INT((ROW()-34)/9)+1-INT((COLUMN()-5)/2+1)*12+1,1,1),IF(LEFT($C132,6)="CPI VS",1,IF(LEFT($C132,6)="CPI食品 ",2,3)),INDEX(((COLUMN()-5)/2+1)*12,1,1),1),OFFSET(Data!$B$183,INDEX((Data!$M$15-2005)*12+INT((ROW()-34)/9)+1-INT((COLUMN()-5)/2+1)*12+1,1,1),IF(RIGHT($C132,4)=" PPI",4,IF(RIGHT($C132,4)="生产资料",5,6)),INDEX(((COLUMN()-5)/2+1)*12,1,1),1)))</f>
        <v>0.96191883174038562</v>
      </c>
      <c r="J132" s="30"/>
      <c r="K132" s="15">
        <f ca="1">IF(AND(Data!$M$15=Data!$L$15,INDEX((INT((ROW()-34)/9)+1),1,1)&gt;Data!$L$16),"-",CORREL(OFFSET(Data!$B$183,INDEX((Data!$M$15-2005)*12+INT((ROW()-34)/9)+1-INT((COLUMN()-5)/2+1)*12+1,1,1),IF(LEFT($C132,6)="CPI VS",1,IF(LEFT($C132,6)="CPI食品 ",2,3)),INDEX(((COLUMN()-5)/2+1)*12,1,1),1),OFFSET(Data!$B$183,INDEX((Data!$M$15-2005)*12+INT((ROW()-34)/9)+1-INT((COLUMN()-5)/2+1)*12+1,1,1),IF(RIGHT($C132,4)=" PPI",4,IF(RIGHT($C132,4)="生产资料",5,6)),INDEX(((COLUMN()-5)/2+1)*12,1,1),1)))</f>
        <v>0.79302990663988415</v>
      </c>
      <c r="L132" s="30"/>
      <c r="M132" s="15">
        <f ca="1">IF(AND(Data!$M$15=Data!$L$15,INDEX((INT((ROW()-34)/9)+1),1,1)&gt;Data!$L$16),"-",MAX(E132,MAX(G132,MAX(I132,K132))))</f>
        <v>0.97931785911471814</v>
      </c>
      <c r="N132" s="30"/>
    </row>
    <row r="133" spans="2:14" x14ac:dyDescent="0.2">
      <c r="B133" s="34" t="s">
        <v>32</v>
      </c>
      <c r="C133" s="29" t="s">
        <v>0</v>
      </c>
      <c r="D133" s="29"/>
      <c r="E133" s="15">
        <f ca="1">IF(AND(Data!$M$15=Data!$L$15,INDEX((INT((ROW()-34)/9)+1),1,1)&gt;Data!$L$16),"-",CORREL(OFFSET(Data!$B$183,INDEX((Data!$M$15-2005)*12+INT((ROW()-34)/9)+1-INT((COLUMN()-5)/2+1)*12+1,1,1),IF(LEFT($C133,6)="CPI VS",1,IF(LEFT($C133,6)="CPI食品 ",2,3)),INDEX(((COLUMN()-5)/2+1)*12,1,1),1),OFFSET(Data!$B$183,INDEX((Data!$M$15-2005)*12+INT((ROW()-34)/9)+1-INT((COLUMN()-5)/2+1)*12+1,1,1),IF(RIGHT($C133,4)=" PPI",4,IF(RIGHT($C133,4)="生产资料",5,6)),INDEX(((COLUMN()-5)/2+1)*12,1,1),1)))</f>
        <v>0.89465914128891688</v>
      </c>
      <c r="F133" s="30">
        <f ca="1">IF(ISERROR(AVERAGE(E133,E141)),"-",AVERAGE(E133,E141))</f>
        <v>0.93011814159761308</v>
      </c>
      <c r="G133" s="15">
        <f ca="1">IF(AND(Data!$M$15=Data!$L$15,INDEX((INT((ROW()-34)/9)+1),1,1)&gt;Data!$L$16),"-",CORREL(OFFSET(Data!$B$183,INDEX((Data!$M$15-2005)*12+INT((ROW()-34)/9)+1-INT((COLUMN()-5)/2+1)*12+1,1,1),IF(LEFT($C133,6)="CPI VS",1,IF(LEFT($C133,6)="CPI食品 ",2,3)),INDEX(((COLUMN()-5)/2+1)*12,1,1),1),OFFSET(Data!$B$183,INDEX((Data!$M$15-2005)*12+INT((ROW()-34)/9)+1-INT((COLUMN()-5)/2+1)*12+1,1,1),IF(RIGHT($C133,4)=" PPI",4,IF(RIGHT($C133,4)="生产资料",5,6)),INDEX(((COLUMN()-5)/2+1)*12,1,1),1)))</f>
        <v>0.9334826495756775</v>
      </c>
      <c r="H133" s="30">
        <f ca="1">IF(ISERROR(AVERAGE(G133,G141)),"-",AVERAGE(G133,G141))</f>
        <v>0.95521914040804545</v>
      </c>
      <c r="I133" s="15">
        <f ca="1">IF(AND(Data!$M$15=Data!$L$15,INDEX((INT((ROW()-34)/9)+1),1,1)&gt;Data!$L$16),"-",CORREL(OFFSET(Data!$B$183,INDEX((Data!$M$15-2005)*12+INT((ROW()-34)/9)+1-INT((COLUMN()-5)/2+1)*12+1,1,1),IF(LEFT($C133,6)="CPI VS",1,IF(LEFT($C133,6)="CPI食品 ",2,3)),INDEX(((COLUMN()-5)/2+1)*12,1,1),1),OFFSET(Data!$B$183,INDEX((Data!$M$15-2005)*12+INT((ROW()-34)/9)+1-INT((COLUMN()-5)/2+1)*12+1,1,1),IF(RIGHT($C133,4)=" PPI",4,IF(RIGHT($C133,4)="生产资料",5,6)),INDEX(((COLUMN()-5)/2+1)*12,1,1),1)))</f>
        <v>0.89861746330940795</v>
      </c>
      <c r="J133" s="30">
        <f ca="1">IF(ISERROR(AVERAGE(I133,I141)),"-",AVERAGE(I133,I141))</f>
        <v>0.9328081715960308</v>
      </c>
      <c r="K133" s="15">
        <f ca="1">IF(AND(Data!$M$15=Data!$L$15,INDEX((INT((ROW()-34)/9)+1),1,1)&gt;Data!$L$16),"-",CORREL(OFFSET(Data!$B$183,INDEX((Data!$M$15-2005)*12+INT((ROW()-34)/9)+1-INT((COLUMN()-5)/2+1)*12+1,1,1),IF(LEFT($C133,6)="CPI VS",1,IF(LEFT($C133,6)="CPI食品 ",2,3)),INDEX(((COLUMN()-5)/2+1)*12,1,1),1),OFFSET(Data!$B$183,INDEX((Data!$M$15-2005)*12+INT((ROW()-34)/9)+1-INT((COLUMN()-5)/2+1)*12+1,1,1),IF(RIGHT($C133,4)=" PPI",4,IF(RIGHT($C133,4)="生产资料",5,6)),INDEX(((COLUMN()-5)/2+1)*12,1,1),1)))</f>
        <v>0.82377508583579961</v>
      </c>
      <c r="L133" s="30">
        <f ca="1">IF(ISERROR(AVERAGE(K133,K141)),"-",AVERAGE(K133,K141))</f>
        <v>0.81719103141784211</v>
      </c>
      <c r="M133" s="15">
        <f ca="1">IF(AND(Data!$M$15=Data!$L$15,INDEX((INT((ROW()-34)/9)+1),1,1)&gt;Data!$L$16),"-",MAX(E133,MAX(G133,MAX(I133,K133))))</f>
        <v>0.9334826495756775</v>
      </c>
      <c r="N133" s="30">
        <f ca="1">IF(AND(Data!$M$15=Data!$L$15,INDEX((INT((ROW()-34)/9)+1),1,1)&gt;Data!$L$16),"-",MAX(F133,MAX(H133,MAX(J133,L133))))</f>
        <v>0.95521914040804545</v>
      </c>
    </row>
    <row r="134" spans="2:14" x14ac:dyDescent="0.2">
      <c r="B134" s="34"/>
      <c r="C134" s="29" t="s">
        <v>38</v>
      </c>
      <c r="D134" s="29"/>
      <c r="E134" s="15">
        <f ca="1">IF(AND(Data!$M$15=Data!$L$15,INDEX((INT((ROW()-34)/9)+1),1,1)&gt;Data!$L$16),"-",CORREL(OFFSET(Data!$B$183,INDEX((Data!$M$15-2005)*12+INT((ROW()-34)/9)+1-INT((COLUMN()-5)/2+1)*12+1,1,1),IF(LEFT($C134,6)="CPI VS",1,IF(LEFT($C134,6)="CPI食品 ",2,3)),INDEX(((COLUMN()-5)/2+1)*12,1,1),1),OFFSET(Data!$B$183,INDEX((Data!$M$15-2005)*12+INT((ROW()-34)/9)+1-INT((COLUMN()-5)/2+1)*12+1,1,1),IF(RIGHT($C134,4)=" PPI",4,IF(RIGHT($C134,4)="生产资料",5,6)),INDEX(((COLUMN()-5)/2+1)*12,1,1),1)))</f>
        <v>0.89308393530691843</v>
      </c>
      <c r="F134" s="30"/>
      <c r="G134" s="15">
        <f ca="1">IF(AND(Data!$M$15=Data!$L$15,INDEX((INT((ROW()-34)/9)+1),1,1)&gt;Data!$L$16),"-",CORREL(OFFSET(Data!$B$183,INDEX((Data!$M$15-2005)*12+INT((ROW()-34)/9)+1-INT((COLUMN()-5)/2+1)*12+1,1,1),IF(LEFT($C134,6)="CPI VS",1,IF(LEFT($C134,6)="CPI食品 ",2,3)),INDEX(((COLUMN()-5)/2+1)*12,1,1),1),OFFSET(Data!$B$183,INDEX((Data!$M$15-2005)*12+INT((ROW()-34)/9)+1-INT((COLUMN()-5)/2+1)*12+1,1,1),IF(RIGHT($C134,4)=" PPI",4,IF(RIGHT($C134,4)="生产资料",5,6)),INDEX(((COLUMN()-5)/2+1)*12,1,1),1)))</f>
        <v>0.92513189094030845</v>
      </c>
      <c r="H134" s="30"/>
      <c r="I134" s="15">
        <f ca="1">IF(AND(Data!$M$15=Data!$L$15,INDEX((INT((ROW()-34)/9)+1),1,1)&gt;Data!$L$16),"-",CORREL(OFFSET(Data!$B$183,INDEX((Data!$M$15-2005)*12+INT((ROW()-34)/9)+1-INT((COLUMN()-5)/2+1)*12+1,1,1),IF(LEFT($C134,6)="CPI VS",1,IF(LEFT($C134,6)="CPI食品 ",2,3)),INDEX(((COLUMN()-5)/2+1)*12,1,1),1),OFFSET(Data!$B$183,INDEX((Data!$M$15-2005)*12+INT((ROW()-34)/9)+1-INT((COLUMN()-5)/2+1)*12+1,1,1),IF(RIGHT($C134,4)=" PPI",4,IF(RIGHT($C134,4)="生产资料",5,6)),INDEX(((COLUMN()-5)/2+1)*12,1,1),1)))</f>
        <v>0.88550470478970023</v>
      </c>
      <c r="J134" s="30"/>
      <c r="K134" s="15">
        <f ca="1">IF(AND(Data!$M$15=Data!$L$15,INDEX((INT((ROW()-34)/9)+1),1,1)&gt;Data!$L$16),"-",CORREL(OFFSET(Data!$B$183,INDEX((Data!$M$15-2005)*12+INT((ROW()-34)/9)+1-INT((COLUMN()-5)/2+1)*12+1,1,1),IF(LEFT($C134,6)="CPI VS",1,IF(LEFT($C134,6)="CPI食品 ",2,3)),INDEX(((COLUMN()-5)/2+1)*12,1,1),1),OFFSET(Data!$B$183,INDEX((Data!$M$15-2005)*12+INT((ROW()-34)/9)+1-INT((COLUMN()-5)/2+1)*12+1,1,1),IF(RIGHT($C134,4)=" PPI",4,IF(RIGHT($C134,4)="生产资料",5,6)),INDEX(((COLUMN()-5)/2+1)*12,1,1),1)))</f>
        <v>0.7872745936923663</v>
      </c>
      <c r="L134" s="30"/>
      <c r="M134" s="15">
        <f ca="1">IF(AND(Data!$M$15=Data!$L$15,INDEX((INT((ROW()-34)/9)+1),1,1)&gt;Data!$L$16),"-",MAX(E134,MAX(G134,MAX(I134,K134))))</f>
        <v>0.92513189094030845</v>
      </c>
      <c r="N134" s="30"/>
    </row>
    <row r="135" spans="2:14" x14ac:dyDescent="0.2">
      <c r="B135" s="34"/>
      <c r="C135" s="29" t="s">
        <v>39</v>
      </c>
      <c r="D135" s="29"/>
      <c r="E135" s="15">
        <f ca="1">IF(AND(Data!$M$15=Data!$L$15,INDEX((INT((ROW()-34)/9)+1),1,1)&gt;Data!$L$16),"-",CORREL(OFFSET(Data!$B$183,INDEX((Data!$M$15-2005)*12+INT((ROW()-34)/9)+1-INT((COLUMN()-5)/2+1)*12+1,1,1),IF(LEFT($C135,6)="CPI VS",1,IF(LEFT($C135,6)="CPI食品 ",2,3)),INDEX(((COLUMN()-5)/2+1)*12,1,1),1),OFFSET(Data!$B$183,INDEX((Data!$M$15-2005)*12+INT((ROW()-34)/9)+1-INT((COLUMN()-5)/2+1)*12+1,1,1),IF(RIGHT($C135,4)=" PPI",4,IF(RIGHT($C135,4)="生产资料",5,6)),INDEX(((COLUMN()-5)/2+1)*12,1,1),1)))</f>
        <v>0.86813588327722324</v>
      </c>
      <c r="F135" s="30"/>
      <c r="G135" s="15">
        <f ca="1">IF(AND(Data!$M$15=Data!$L$15,INDEX((INT((ROW()-34)/9)+1),1,1)&gt;Data!$L$16),"-",CORREL(OFFSET(Data!$B$183,INDEX((Data!$M$15-2005)*12+INT((ROW()-34)/9)+1-INT((COLUMN()-5)/2+1)*12+1,1,1),IF(LEFT($C135,6)="CPI VS",1,IF(LEFT($C135,6)="CPI食品 ",2,3)),INDEX(((COLUMN()-5)/2+1)*12,1,1),1),OFFSET(Data!$B$183,INDEX((Data!$M$15-2005)*12+INT((ROW()-34)/9)+1-INT((COLUMN()-5)/2+1)*12+1,1,1),IF(RIGHT($C135,4)=" PPI",4,IF(RIGHT($C135,4)="生产资料",5,6)),INDEX(((COLUMN()-5)/2+1)*12,1,1),1)))</f>
        <v>0.98043854185559554</v>
      </c>
      <c r="H135" s="30"/>
      <c r="I135" s="15">
        <f ca="1">IF(AND(Data!$M$15=Data!$L$15,INDEX((INT((ROW()-34)/9)+1),1,1)&gt;Data!$L$16),"-",CORREL(OFFSET(Data!$B$183,INDEX((Data!$M$15-2005)*12+INT((ROW()-34)/9)+1-INT((COLUMN()-5)/2+1)*12+1,1,1),IF(LEFT($C135,6)="CPI VS",1,IF(LEFT($C135,6)="CPI食品 ",2,3)),INDEX(((COLUMN()-5)/2+1)*12,1,1),1),OFFSET(Data!$B$183,INDEX((Data!$M$15-2005)*12+INT((ROW()-34)/9)+1-INT((COLUMN()-5)/2+1)*12+1,1,1),IF(RIGHT($C135,4)=" PPI",4,IF(RIGHT($C135,4)="生产资料",5,6)),INDEX(((COLUMN()-5)/2+1)*12,1,1),1)))</f>
        <v>0.97357579465607635</v>
      </c>
      <c r="J135" s="30"/>
      <c r="K135" s="15">
        <f ca="1">IF(AND(Data!$M$15=Data!$L$15,INDEX((INT((ROW()-34)/9)+1),1,1)&gt;Data!$L$16),"-",CORREL(OFFSET(Data!$B$183,INDEX((Data!$M$15-2005)*12+INT((ROW()-34)/9)+1-INT((COLUMN()-5)/2+1)*12+1,1,1),IF(LEFT($C135,6)="CPI VS",1,IF(LEFT($C135,6)="CPI食品 ",2,3)),INDEX(((COLUMN()-5)/2+1)*12,1,1),1),OFFSET(Data!$B$183,INDEX((Data!$M$15-2005)*12+INT((ROW()-34)/9)+1-INT((COLUMN()-5)/2+1)*12+1,1,1),IF(RIGHT($C135,4)=" PPI",4,IF(RIGHT($C135,4)="生产资料",5,6)),INDEX(((COLUMN()-5)/2+1)*12,1,1),1)))</f>
        <v>0.9697745941391831</v>
      </c>
      <c r="L135" s="30"/>
      <c r="M135" s="15">
        <f ca="1">IF(AND(Data!$M$15=Data!$L$15,INDEX((INT((ROW()-34)/9)+1),1,1)&gt;Data!$L$16),"-",MAX(E135,MAX(G135,MAX(I135,K135))))</f>
        <v>0.98043854185559554</v>
      </c>
      <c r="N135" s="30"/>
    </row>
    <row r="136" spans="2:14" x14ac:dyDescent="0.2">
      <c r="B136" s="34"/>
      <c r="C136" s="29" t="s">
        <v>40</v>
      </c>
      <c r="D136" s="29"/>
      <c r="E136" s="15">
        <f ca="1">IF(AND(Data!$M$15=Data!$L$15,INDEX((INT((ROW()-34)/9)+1),1,1)&gt;Data!$L$16),"-",CORREL(OFFSET(Data!$B$183,INDEX((Data!$M$15-2005)*12+INT((ROW()-34)/9)+1-INT((COLUMN()-5)/2+1)*12+1,1,1),IF(LEFT($C136,6)="CPI VS",1,IF(LEFT($C136,6)="CPI食品 ",2,3)),INDEX(((COLUMN()-5)/2+1)*12,1,1),1),OFFSET(Data!$B$183,INDEX((Data!$M$15-2005)*12+INT((ROW()-34)/9)+1-INT((COLUMN()-5)/2+1)*12+1,1,1),IF(RIGHT($C136,4)=" PPI",4,IF(RIGHT($C136,4)="生产资料",5,6)),INDEX(((COLUMN()-5)/2+1)*12,1,1),1)))</f>
        <v>0.78095876690404598</v>
      </c>
      <c r="F136" s="30"/>
      <c r="G136" s="15">
        <f ca="1">IF(AND(Data!$M$15=Data!$L$15,INDEX((INT((ROW()-34)/9)+1),1,1)&gt;Data!$L$16),"-",CORREL(OFFSET(Data!$B$183,INDEX((Data!$M$15-2005)*12+INT((ROW()-34)/9)+1-INT((COLUMN()-5)/2+1)*12+1,1,1),IF(LEFT($C136,6)="CPI VS",1,IF(LEFT($C136,6)="CPI食品 ",2,3)),INDEX(((COLUMN()-5)/2+1)*12,1,1),1),OFFSET(Data!$B$183,INDEX((Data!$M$15-2005)*12+INT((ROW()-34)/9)+1-INT((COLUMN()-5)/2+1)*12+1,1,1),IF(RIGHT($C136,4)=" PPI",4,IF(RIGHT($C136,4)="生产资料",5,6)),INDEX(((COLUMN()-5)/2+1)*12,1,1),1)))</f>
        <v>0.87258501068618866</v>
      </c>
      <c r="H136" s="30"/>
      <c r="I136" s="15">
        <f ca="1">IF(AND(Data!$M$15=Data!$L$15,INDEX((INT((ROW()-34)/9)+1),1,1)&gt;Data!$L$16),"-",CORREL(OFFSET(Data!$B$183,INDEX((Data!$M$15-2005)*12+INT((ROW()-34)/9)+1-INT((COLUMN()-5)/2+1)*12+1,1,1),IF(LEFT($C136,6)="CPI VS",1,IF(LEFT($C136,6)="CPI食品 ",2,3)),INDEX(((COLUMN()-5)/2+1)*12,1,1),1),OFFSET(Data!$B$183,INDEX((Data!$M$15-2005)*12+INT((ROW()-34)/9)+1-INT((COLUMN()-5)/2+1)*12+1,1,1),IF(RIGHT($C136,4)=" PPI",4,IF(RIGHT($C136,4)="生产资料",5,6)),INDEX(((COLUMN()-5)/2+1)*12,1,1),1)))</f>
        <v>0.81964815338597174</v>
      </c>
      <c r="J136" s="30"/>
      <c r="K136" s="15">
        <f ca="1">IF(AND(Data!$M$15=Data!$L$15,INDEX((INT((ROW()-34)/9)+1),1,1)&gt;Data!$L$16),"-",CORREL(OFFSET(Data!$B$183,INDEX((Data!$M$15-2005)*12+INT((ROW()-34)/9)+1-INT((COLUMN()-5)/2+1)*12+1,1,1),IF(LEFT($C136,6)="CPI VS",1,IF(LEFT($C136,6)="CPI食品 ",2,3)),INDEX(((COLUMN()-5)/2+1)*12,1,1),1),OFFSET(Data!$B$183,INDEX((Data!$M$15-2005)*12+INT((ROW()-34)/9)+1-INT((COLUMN()-5)/2+1)*12+1,1,1),IF(RIGHT($C136,4)=" PPI",4,IF(RIGHT($C136,4)="生产资料",5,6)),INDEX(((COLUMN()-5)/2+1)*12,1,1),1)))</f>
        <v>0.68841654603118263</v>
      </c>
      <c r="L136" s="30"/>
      <c r="M136" s="15">
        <f ca="1">IF(AND(Data!$M$15=Data!$L$15,INDEX((INT((ROW()-34)/9)+1),1,1)&gt;Data!$L$16),"-",MAX(E136,MAX(G136,MAX(I136,K136))))</f>
        <v>0.87258501068618866</v>
      </c>
      <c r="N136" s="30"/>
    </row>
    <row r="137" spans="2:14" x14ac:dyDescent="0.2">
      <c r="B137" s="34"/>
      <c r="C137" s="29" t="s">
        <v>41</v>
      </c>
      <c r="D137" s="29"/>
      <c r="E137" s="15">
        <f ca="1">IF(AND(Data!$M$15=Data!$L$15,INDEX((INT((ROW()-34)/9)+1),1,1)&gt;Data!$L$16),"-",CORREL(OFFSET(Data!$B$183,INDEX((Data!$M$15-2005)*12+INT((ROW()-34)/9)+1-INT((COLUMN()-5)/2+1)*12+1,1,1),IF(LEFT($C137,6)="CPI VS",1,IF(LEFT($C137,6)="CPI食品 ",2,3)),INDEX(((COLUMN()-5)/2+1)*12,1,1),1),OFFSET(Data!$B$183,INDEX((Data!$M$15-2005)*12+INT((ROW()-34)/9)+1-INT((COLUMN()-5)/2+1)*12+1,1,1),IF(RIGHT($C137,4)=" PPI",4,IF(RIGHT($C137,4)="生产资料",5,6)),INDEX(((COLUMN()-5)/2+1)*12,1,1),1)))</f>
        <v>0.77935685603607274</v>
      </c>
      <c r="F137" s="30"/>
      <c r="G137" s="15">
        <f ca="1">IF(AND(Data!$M$15=Data!$L$15,INDEX((INT((ROW()-34)/9)+1),1,1)&gt;Data!$L$16),"-",CORREL(OFFSET(Data!$B$183,INDEX((Data!$M$15-2005)*12+INT((ROW()-34)/9)+1-INT((COLUMN()-5)/2+1)*12+1,1,1),IF(LEFT($C137,6)="CPI VS",1,IF(LEFT($C137,6)="CPI食品 ",2,3)),INDEX(((COLUMN()-5)/2+1)*12,1,1),1),OFFSET(Data!$B$183,INDEX((Data!$M$15-2005)*12+INT((ROW()-34)/9)+1-INT((COLUMN()-5)/2+1)*12+1,1,1),IF(RIGHT($C137,4)=" PPI",4,IF(RIGHT($C137,4)="生产资料",5,6)),INDEX(((COLUMN()-5)/2+1)*12,1,1),1)))</f>
        <v>0.8614485332494618</v>
      </c>
      <c r="H137" s="30"/>
      <c r="I137" s="15">
        <f ca="1">IF(AND(Data!$M$15=Data!$L$15,INDEX((INT((ROW()-34)/9)+1),1,1)&gt;Data!$L$16),"-",CORREL(OFFSET(Data!$B$183,INDEX((Data!$M$15-2005)*12+INT((ROW()-34)/9)+1-INT((COLUMN()-5)/2+1)*12+1,1,1),IF(LEFT($C137,6)="CPI VS",1,IF(LEFT($C137,6)="CPI食品 ",2,3)),INDEX(((COLUMN()-5)/2+1)*12,1,1),1),OFFSET(Data!$B$183,INDEX((Data!$M$15-2005)*12+INT((ROW()-34)/9)+1-INT((COLUMN()-5)/2+1)*12+1,1,1),IF(RIGHT($C137,4)=" PPI",4,IF(RIGHT($C137,4)="生产资料",5,6)),INDEX(((COLUMN()-5)/2+1)*12,1,1),1)))</f>
        <v>0.80283282126661693</v>
      </c>
      <c r="J137" s="30"/>
      <c r="K137" s="15">
        <f ca="1">IF(AND(Data!$M$15=Data!$L$15,INDEX((INT((ROW()-34)/9)+1),1,1)&gt;Data!$L$16),"-",CORREL(OFFSET(Data!$B$183,INDEX((Data!$M$15-2005)*12+INT((ROW()-34)/9)+1-INT((COLUMN()-5)/2+1)*12+1,1,1),IF(LEFT($C137,6)="CPI VS",1,IF(LEFT($C137,6)="CPI食品 ",2,3)),INDEX(((COLUMN()-5)/2+1)*12,1,1),1),OFFSET(Data!$B$183,INDEX((Data!$M$15-2005)*12+INT((ROW()-34)/9)+1-INT((COLUMN()-5)/2+1)*12+1,1,1),IF(RIGHT($C137,4)=" PPI",4,IF(RIGHT($C137,4)="生产资料",5,6)),INDEX(((COLUMN()-5)/2+1)*12,1,1),1)))</f>
        <v>0.64196144243175091</v>
      </c>
      <c r="L137" s="30"/>
      <c r="M137" s="15">
        <f ca="1">IF(AND(Data!$M$15=Data!$L$15,INDEX((INT((ROW()-34)/9)+1),1,1)&gt;Data!$L$16),"-",MAX(E137,MAX(G137,MAX(I137,K137))))</f>
        <v>0.8614485332494618</v>
      </c>
      <c r="N137" s="30"/>
    </row>
    <row r="138" spans="2:14" x14ac:dyDescent="0.2">
      <c r="B138" s="34"/>
      <c r="C138" s="29" t="s">
        <v>42</v>
      </c>
      <c r="D138" s="29"/>
      <c r="E138" s="15">
        <f ca="1">IF(AND(Data!$M$15=Data!$L$15,INDEX((INT((ROW()-34)/9)+1),1,1)&gt;Data!$L$16),"-",CORREL(OFFSET(Data!$B$183,INDEX((Data!$M$15-2005)*12+INT((ROW()-34)/9)+1-INT((COLUMN()-5)/2+1)*12+1,1,1),IF(LEFT($C138,6)="CPI VS",1,IF(LEFT($C138,6)="CPI食品 ",2,3)),INDEX(((COLUMN()-5)/2+1)*12,1,1),1),OFFSET(Data!$B$183,INDEX((Data!$M$15-2005)*12+INT((ROW()-34)/9)+1-INT((COLUMN()-5)/2+1)*12+1,1,1),IF(RIGHT($C138,4)=" PPI",4,IF(RIGHT($C138,4)="生产资料",5,6)),INDEX(((COLUMN()-5)/2+1)*12,1,1),1)))</f>
        <v>0.75411764268751491</v>
      </c>
      <c r="F138" s="30"/>
      <c r="G138" s="15">
        <f ca="1">IF(AND(Data!$M$15=Data!$L$15,INDEX((INT((ROW()-34)/9)+1),1,1)&gt;Data!$L$16),"-",CORREL(OFFSET(Data!$B$183,INDEX((Data!$M$15-2005)*12+INT((ROW()-34)/9)+1-INT((COLUMN()-5)/2+1)*12+1,1,1),IF(LEFT($C138,6)="CPI VS",1,IF(LEFT($C138,6)="CPI食品 ",2,3)),INDEX(((COLUMN()-5)/2+1)*12,1,1),1),OFFSET(Data!$B$183,INDEX((Data!$M$15-2005)*12+INT((ROW()-34)/9)+1-INT((COLUMN()-5)/2+1)*12+1,1,1),IF(RIGHT($C138,4)=" PPI",4,IF(RIGHT($C138,4)="生产资料",5,6)),INDEX(((COLUMN()-5)/2+1)*12,1,1),1)))</f>
        <v>0.94631280048305899</v>
      </c>
      <c r="H138" s="30"/>
      <c r="I138" s="15">
        <f ca="1">IF(AND(Data!$M$15=Data!$L$15,INDEX((INT((ROW()-34)/9)+1),1,1)&gt;Data!$L$16),"-",CORREL(OFFSET(Data!$B$183,INDEX((Data!$M$15-2005)*12+INT((ROW()-34)/9)+1-INT((COLUMN()-5)/2+1)*12+1,1,1),IF(LEFT($C138,6)="CPI VS",1,IF(LEFT($C138,6)="CPI食品 ",2,3)),INDEX(((COLUMN()-5)/2+1)*12,1,1),1),OFFSET(Data!$B$183,INDEX((Data!$M$15-2005)*12+INT((ROW()-34)/9)+1-INT((COLUMN()-5)/2+1)*12+1,1,1),IF(RIGHT($C138,4)=" PPI",4,IF(RIGHT($C138,4)="生产资料",5,6)),INDEX(((COLUMN()-5)/2+1)*12,1,1),1)))</f>
        <v>0.92991925999821423</v>
      </c>
      <c r="J138" s="30"/>
      <c r="K138" s="15">
        <f ca="1">IF(AND(Data!$M$15=Data!$L$15,INDEX((INT((ROW()-34)/9)+1),1,1)&gt;Data!$L$16),"-",CORREL(OFFSET(Data!$B$183,INDEX((Data!$M$15-2005)*12+INT((ROW()-34)/9)+1-INT((COLUMN()-5)/2+1)*12+1,1,1),IF(LEFT($C138,6)="CPI VS",1,IF(LEFT($C138,6)="CPI食品 ",2,3)),INDEX(((COLUMN()-5)/2+1)*12,1,1),1),OFFSET(Data!$B$183,INDEX((Data!$M$15-2005)*12+INT((ROW()-34)/9)+1-INT((COLUMN()-5)/2+1)*12+1,1,1),IF(RIGHT($C138,4)=" PPI",4,IF(RIGHT($C138,4)="生产资料",5,6)),INDEX(((COLUMN()-5)/2+1)*12,1,1),1)))</f>
        <v>0.93306085038579156</v>
      </c>
      <c r="L138" s="30"/>
      <c r="M138" s="15">
        <f ca="1">IF(AND(Data!$M$15=Data!$L$15,INDEX((INT((ROW()-34)/9)+1),1,1)&gt;Data!$L$16),"-",MAX(E138,MAX(G138,MAX(I138,K138))))</f>
        <v>0.94631280048305899</v>
      </c>
      <c r="N138" s="30"/>
    </row>
    <row r="139" spans="2:14" x14ac:dyDescent="0.2">
      <c r="B139" s="34"/>
      <c r="C139" s="29" t="s">
        <v>43</v>
      </c>
      <c r="D139" s="29"/>
      <c r="E139" s="15">
        <f ca="1">IF(AND(Data!$M$15=Data!$L$15,INDEX((INT((ROW()-34)/9)+1),1,1)&gt;Data!$L$16),"-",CORREL(OFFSET(Data!$B$183,INDEX((Data!$M$15-2005)*12+INT((ROW()-34)/9)+1-INT((COLUMN()-5)/2+1)*12+1,1,1),IF(LEFT($C139,6)="CPI VS",1,IF(LEFT($C139,6)="CPI食品 ",2,3)),INDEX(((COLUMN()-5)/2+1)*12,1,1),1),OFFSET(Data!$B$183,INDEX((Data!$M$15-2005)*12+INT((ROW()-34)/9)+1-INT((COLUMN()-5)/2+1)*12+1,1,1),IF(RIGHT($C139,4)=" PPI",4,IF(RIGHT($C139,4)="生产资料",5,6)),INDEX(((COLUMN()-5)/2+1)*12,1,1),1)))</f>
        <v>0.97774829573644817</v>
      </c>
      <c r="F139" s="30"/>
      <c r="G139" s="15">
        <f ca="1">IF(AND(Data!$M$15=Data!$L$15,INDEX((INT((ROW()-34)/9)+1),1,1)&gt;Data!$L$16),"-",CORREL(OFFSET(Data!$B$183,INDEX((Data!$M$15-2005)*12+INT((ROW()-34)/9)+1-INT((COLUMN()-5)/2+1)*12+1,1,1),IF(LEFT($C139,6)="CPI VS",1,IF(LEFT($C139,6)="CPI食品 ",2,3)),INDEX(((COLUMN()-5)/2+1)*12,1,1),1),OFFSET(Data!$B$183,INDEX((Data!$M$15-2005)*12+INT((ROW()-34)/9)+1-INT((COLUMN()-5)/2+1)*12+1,1,1),IF(RIGHT($C139,4)=" PPI",4,IF(RIGHT($C139,4)="生产资料",5,6)),INDEX(((COLUMN()-5)/2+1)*12,1,1),1)))</f>
        <v>0.99647641665779951</v>
      </c>
      <c r="H139" s="30"/>
      <c r="I139" s="15">
        <f ca="1">IF(AND(Data!$M$15=Data!$L$15,INDEX((INT((ROW()-34)/9)+1),1,1)&gt;Data!$L$16),"-",CORREL(OFFSET(Data!$B$183,INDEX((Data!$M$15-2005)*12+INT((ROW()-34)/9)+1-INT((COLUMN()-5)/2+1)*12+1,1,1),IF(LEFT($C139,6)="CPI VS",1,IF(LEFT($C139,6)="CPI食品 ",2,3)),INDEX(((COLUMN()-5)/2+1)*12,1,1),1),OFFSET(Data!$B$183,INDEX((Data!$M$15-2005)*12+INT((ROW()-34)/9)+1-INT((COLUMN()-5)/2+1)*12+1,1,1),IF(RIGHT($C139,4)=" PPI",4,IF(RIGHT($C139,4)="生产资料",5,6)),INDEX(((COLUMN()-5)/2+1)*12,1,1),1)))</f>
        <v>0.98567952883639998</v>
      </c>
      <c r="J139" s="30"/>
      <c r="K139" s="15">
        <f ca="1">IF(AND(Data!$M$15=Data!$L$15,INDEX((INT((ROW()-34)/9)+1),1,1)&gt;Data!$L$16),"-",CORREL(OFFSET(Data!$B$183,INDEX((Data!$M$15-2005)*12+INT((ROW()-34)/9)+1-INT((COLUMN()-5)/2+1)*12+1,1,1),IF(LEFT($C139,6)="CPI VS",1,IF(LEFT($C139,6)="CPI食品 ",2,3)),INDEX(((COLUMN()-5)/2+1)*12,1,1),1),OFFSET(Data!$B$183,INDEX((Data!$M$15-2005)*12+INT((ROW()-34)/9)+1-INT((COLUMN()-5)/2+1)*12+1,1,1),IF(RIGHT($C139,4)=" PPI",4,IF(RIGHT($C139,4)="生产资料",5,6)),INDEX(((COLUMN()-5)/2+1)*12,1,1),1)))</f>
        <v>0.97982955505042746</v>
      </c>
      <c r="L139" s="30"/>
      <c r="M139" s="15">
        <f ca="1">IF(AND(Data!$M$15=Data!$L$15,INDEX((INT((ROW()-34)/9)+1),1,1)&gt;Data!$L$16),"-",MAX(E139,MAX(G139,MAX(I139,K139))))</f>
        <v>0.99647641665779951</v>
      </c>
      <c r="N139" s="30"/>
    </row>
    <row r="140" spans="2:14" x14ac:dyDescent="0.2">
      <c r="B140" s="34"/>
      <c r="C140" s="29" t="s">
        <v>44</v>
      </c>
      <c r="D140" s="29"/>
      <c r="E140" s="15">
        <f ca="1">IF(AND(Data!$M$15=Data!$L$15,INDEX((INT((ROW()-34)/9)+1),1,1)&gt;Data!$L$16),"-",CORREL(OFFSET(Data!$B$183,INDEX((Data!$M$15-2005)*12+INT((ROW()-34)/9)+1-INT((COLUMN()-5)/2+1)*12+1,1,1),IF(LEFT($C140,6)="CPI VS",1,IF(LEFT($C140,6)="CPI食品 ",2,3)),INDEX(((COLUMN()-5)/2+1)*12,1,1),1),OFFSET(Data!$B$183,INDEX((Data!$M$15-2005)*12+INT((ROW()-34)/9)+1-INT((COLUMN()-5)/2+1)*12+1,1,1),IF(RIGHT($C140,4)=" PPI",4,IF(RIGHT($C140,4)="生产资料",5,6)),INDEX(((COLUMN()-5)/2+1)*12,1,1),1)))</f>
        <v>0.97585809101977761</v>
      </c>
      <c r="F140" s="30"/>
      <c r="G140" s="15">
        <f ca="1">IF(AND(Data!$M$15=Data!$L$15,INDEX((INT((ROW()-34)/9)+1),1,1)&gt;Data!$L$16),"-",CORREL(OFFSET(Data!$B$183,INDEX((Data!$M$15-2005)*12+INT((ROW()-34)/9)+1-INT((COLUMN()-5)/2+1)*12+1,1,1),IF(LEFT($C140,6)="CPI VS",1,IF(LEFT($C140,6)="CPI食品 ",2,3)),INDEX(((COLUMN()-5)/2+1)*12,1,1),1),OFFSET(Data!$B$183,INDEX((Data!$M$15-2005)*12+INT((ROW()-34)/9)+1-INT((COLUMN()-5)/2+1)*12+1,1,1),IF(RIGHT($C140,4)=" PPI",4,IF(RIGHT($C140,4)="生产资料",5,6)),INDEX(((COLUMN()-5)/2+1)*12,1,1),1)))</f>
        <v>0.9953895154234359</v>
      </c>
      <c r="H140" s="30"/>
      <c r="I140" s="15">
        <f ca="1">IF(AND(Data!$M$15=Data!$L$15,INDEX((INT((ROW()-34)/9)+1),1,1)&gt;Data!$L$16),"-",CORREL(OFFSET(Data!$B$183,INDEX((Data!$M$15-2005)*12+INT((ROW()-34)/9)+1-INT((COLUMN()-5)/2+1)*12+1,1,1),IF(LEFT($C140,6)="CPI VS",1,IF(LEFT($C140,6)="CPI食品 ",2,3)),INDEX(((COLUMN()-5)/2+1)*12,1,1),1),OFFSET(Data!$B$183,INDEX((Data!$M$15-2005)*12+INT((ROW()-34)/9)+1-INT((COLUMN()-5)/2+1)*12+1,1,1),IF(RIGHT($C140,4)=" PPI",4,IF(RIGHT($C140,4)="生产资料",5,6)),INDEX(((COLUMN()-5)/2+1)*12,1,1),1)))</f>
        <v>0.98300272856426396</v>
      </c>
      <c r="J140" s="30"/>
      <c r="K140" s="15">
        <f ca="1">IF(AND(Data!$M$15=Data!$L$15,INDEX((INT((ROW()-34)/9)+1),1,1)&gt;Data!$L$16),"-",CORREL(OFFSET(Data!$B$183,INDEX((Data!$M$15-2005)*12+INT((ROW()-34)/9)+1-INT((COLUMN()-5)/2+1)*12+1,1,1),IF(LEFT($C140,6)="CPI VS",1,IF(LEFT($C140,6)="CPI食品 ",2,3)),INDEX(((COLUMN()-5)/2+1)*12,1,1),1),OFFSET(Data!$B$183,INDEX((Data!$M$15-2005)*12+INT((ROW()-34)/9)+1-INT((COLUMN()-5)/2+1)*12+1,1,1),IF(RIGHT($C140,4)=" PPI",4,IF(RIGHT($C140,4)="生产资料",5,6)),INDEX(((COLUMN()-5)/2+1)*12,1,1),1)))</f>
        <v>0.98112236466153979</v>
      </c>
      <c r="L140" s="30"/>
      <c r="M140" s="15">
        <f ca="1">IF(AND(Data!$M$15=Data!$L$15,INDEX((INT((ROW()-34)/9)+1),1,1)&gt;Data!$L$16),"-",MAX(E140,MAX(G140,MAX(I140,K140))))</f>
        <v>0.9953895154234359</v>
      </c>
      <c r="N140" s="30"/>
    </row>
    <row r="141" spans="2:14" x14ac:dyDescent="0.2">
      <c r="B141" s="34"/>
      <c r="C141" s="29" t="s">
        <v>45</v>
      </c>
      <c r="D141" s="29"/>
      <c r="E141" s="15">
        <f ca="1">IF(AND(Data!$M$15=Data!$L$15,INDEX((INT((ROW()-34)/9)+1),1,1)&gt;Data!$L$16),"-",CORREL(OFFSET(Data!$B$183,INDEX((Data!$M$15-2005)*12+INT((ROW()-34)/9)+1-INT((COLUMN()-5)/2+1)*12+1,1,1),IF(LEFT($C141,6)="CPI VS",1,IF(LEFT($C141,6)="CPI食品 ",2,3)),INDEX(((COLUMN()-5)/2+1)*12,1,1),1),OFFSET(Data!$B$183,INDEX((Data!$M$15-2005)*12+INT((ROW()-34)/9)+1-INT((COLUMN()-5)/2+1)*12+1,1,1),IF(RIGHT($C141,4)=" PPI",4,IF(RIGHT($C141,4)="生产资料",5,6)),INDEX(((COLUMN()-5)/2+1)*12,1,1),1)))</f>
        <v>0.96557714190630928</v>
      </c>
      <c r="F141" s="30"/>
      <c r="G141" s="15">
        <f ca="1">IF(AND(Data!$M$15=Data!$L$15,INDEX((INT((ROW()-34)/9)+1),1,1)&gt;Data!$L$16),"-",CORREL(OFFSET(Data!$B$183,INDEX((Data!$M$15-2005)*12+INT((ROW()-34)/9)+1-INT((COLUMN()-5)/2+1)*12+1,1,1),IF(LEFT($C141,6)="CPI VS",1,IF(LEFT($C141,6)="CPI食品 ",2,3)),INDEX(((COLUMN()-5)/2+1)*12,1,1),1),OFFSET(Data!$B$183,INDEX((Data!$M$15-2005)*12+INT((ROW()-34)/9)+1-INT((COLUMN()-5)/2+1)*12+1,1,1),IF(RIGHT($C141,4)=" PPI",4,IF(RIGHT($C141,4)="生产资料",5,6)),INDEX(((COLUMN()-5)/2+1)*12,1,1),1)))</f>
        <v>0.97695563124041329</v>
      </c>
      <c r="H141" s="30"/>
      <c r="I141" s="15">
        <f ca="1">IF(AND(Data!$M$15=Data!$L$15,INDEX((INT((ROW()-34)/9)+1),1,1)&gt;Data!$L$16),"-",CORREL(OFFSET(Data!$B$183,INDEX((Data!$M$15-2005)*12+INT((ROW()-34)/9)+1-INT((COLUMN()-5)/2+1)*12+1,1,1),IF(LEFT($C141,6)="CPI VS",1,IF(LEFT($C141,6)="CPI食品 ",2,3)),INDEX(((COLUMN()-5)/2+1)*12,1,1),1),OFFSET(Data!$B$183,INDEX((Data!$M$15-2005)*12+INT((ROW()-34)/9)+1-INT((COLUMN()-5)/2+1)*12+1,1,1),IF(RIGHT($C141,4)=" PPI",4,IF(RIGHT($C141,4)="生产资料",5,6)),INDEX(((COLUMN()-5)/2+1)*12,1,1),1)))</f>
        <v>0.96699887988265354</v>
      </c>
      <c r="J141" s="30"/>
      <c r="K141" s="15">
        <f ca="1">IF(AND(Data!$M$15=Data!$L$15,INDEX((INT((ROW()-34)/9)+1),1,1)&gt;Data!$L$16),"-",CORREL(OFFSET(Data!$B$183,INDEX((Data!$M$15-2005)*12+INT((ROW()-34)/9)+1-INT((COLUMN()-5)/2+1)*12+1,1,1),IF(LEFT($C141,6)="CPI VS",1,IF(LEFT($C141,6)="CPI食品 ",2,3)),INDEX(((COLUMN()-5)/2+1)*12,1,1),1),OFFSET(Data!$B$183,INDEX((Data!$M$15-2005)*12+INT((ROW()-34)/9)+1-INT((COLUMN()-5)/2+1)*12+1,1,1),IF(RIGHT($C141,4)=" PPI",4,IF(RIGHT($C141,4)="生产资料",5,6)),INDEX(((COLUMN()-5)/2+1)*12,1,1),1)))</f>
        <v>0.81060697699988449</v>
      </c>
      <c r="L141" s="30"/>
      <c r="M141" s="15">
        <f ca="1">IF(AND(Data!$M$15=Data!$L$15,INDEX((INT((ROW()-34)/9)+1),1,1)&gt;Data!$L$16),"-",MAX(E141,MAX(G141,MAX(I141,K141))))</f>
        <v>0.97695563124041329</v>
      </c>
      <c r="N141" s="30"/>
    </row>
    <row r="142" spans="2:14" x14ac:dyDescent="0.2">
      <c r="B142" s="10"/>
      <c r="C142" s="11"/>
      <c r="D142" s="11"/>
      <c r="E142" s="11"/>
      <c r="F142" s="11"/>
      <c r="G142" s="11"/>
      <c r="H142" s="11"/>
    </row>
    <row r="143" spans="2:14" x14ac:dyDescent="0.2">
      <c r="B143" s="10"/>
      <c r="C143" s="11"/>
      <c r="D143" s="11"/>
      <c r="E143" s="11"/>
      <c r="F143" s="11"/>
      <c r="G143" s="11"/>
      <c r="H143" s="11"/>
    </row>
    <row r="144" spans="2:14" x14ac:dyDescent="0.2">
      <c r="B144" s="10"/>
      <c r="C144" s="11"/>
      <c r="D144" s="11"/>
      <c r="E144" s="11"/>
      <c r="F144" s="11"/>
      <c r="G144" s="11"/>
      <c r="H144" s="11"/>
    </row>
    <row r="145" spans="2:8" x14ac:dyDescent="0.2">
      <c r="B145" s="10"/>
      <c r="C145" s="11"/>
      <c r="D145" s="11"/>
      <c r="E145" s="11"/>
      <c r="F145" s="11"/>
      <c r="G145" s="11"/>
      <c r="H145" s="11"/>
    </row>
    <row r="146" spans="2:8" x14ac:dyDescent="0.2">
      <c r="B146" s="10"/>
      <c r="C146" s="11"/>
      <c r="D146" s="11"/>
      <c r="E146" s="11"/>
      <c r="F146" s="11"/>
      <c r="G146" s="11"/>
      <c r="H146" s="11"/>
    </row>
    <row r="147" spans="2:8" x14ac:dyDescent="0.2">
      <c r="B147" s="10"/>
      <c r="C147" s="11"/>
      <c r="D147" s="11"/>
      <c r="E147" s="11"/>
      <c r="F147" s="11"/>
      <c r="G147" s="11"/>
      <c r="H147" s="11"/>
    </row>
    <row r="148" spans="2:8" x14ac:dyDescent="0.2">
      <c r="B148" s="10"/>
      <c r="C148" s="11"/>
      <c r="D148" s="11"/>
      <c r="E148" s="11"/>
      <c r="F148" s="11"/>
      <c r="G148" s="11"/>
      <c r="H148" s="11"/>
    </row>
    <row r="149" spans="2:8" x14ac:dyDescent="0.2">
      <c r="B149" s="10"/>
      <c r="C149" s="11"/>
      <c r="D149" s="11"/>
      <c r="E149" s="11"/>
      <c r="F149" s="11"/>
      <c r="G149" s="11"/>
      <c r="H149" s="11"/>
    </row>
    <row r="150" spans="2:8" x14ac:dyDescent="0.2">
      <c r="B150" s="10"/>
      <c r="C150" s="11"/>
      <c r="D150" s="11"/>
      <c r="E150" s="11"/>
      <c r="F150" s="11"/>
      <c r="G150" s="11"/>
      <c r="H150" s="11"/>
    </row>
    <row r="151" spans="2:8" x14ac:dyDescent="0.2">
      <c r="B151" s="10"/>
      <c r="C151" s="11"/>
      <c r="D151" s="11"/>
      <c r="E151" s="11"/>
      <c r="F151" s="11"/>
      <c r="G151" s="11"/>
      <c r="H151" s="11"/>
    </row>
    <row r="152" spans="2:8" x14ac:dyDescent="0.2">
      <c r="B152" s="10"/>
      <c r="C152" s="11"/>
      <c r="D152" s="11"/>
      <c r="E152" s="11"/>
      <c r="F152" s="11"/>
      <c r="G152" s="11"/>
      <c r="H152" s="11"/>
    </row>
    <row r="153" spans="2:8" x14ac:dyDescent="0.2">
      <c r="B153" s="10"/>
      <c r="C153" s="11"/>
      <c r="D153" s="11"/>
      <c r="E153" s="11"/>
      <c r="F153" s="11"/>
      <c r="G153" s="11"/>
      <c r="H153" s="11"/>
    </row>
    <row r="154" spans="2:8" x14ac:dyDescent="0.2">
      <c r="B154" s="10"/>
      <c r="C154" s="11"/>
      <c r="D154" s="11"/>
      <c r="E154" s="11"/>
      <c r="F154" s="11"/>
      <c r="G154" s="11"/>
      <c r="H154" s="11"/>
    </row>
    <row r="155" spans="2:8" x14ac:dyDescent="0.2">
      <c r="B155" s="10"/>
      <c r="C155" s="11"/>
      <c r="D155" s="11"/>
      <c r="E155" s="11"/>
      <c r="F155" s="11"/>
      <c r="G155" s="11"/>
      <c r="H155" s="11"/>
    </row>
    <row r="156" spans="2:8" x14ac:dyDescent="0.2">
      <c r="B156" s="10"/>
      <c r="C156" s="11"/>
      <c r="D156" s="11"/>
      <c r="E156" s="11"/>
      <c r="F156" s="11"/>
      <c r="G156" s="11"/>
      <c r="H156" s="11"/>
    </row>
    <row r="157" spans="2:8" x14ac:dyDescent="0.2">
      <c r="B157" s="10"/>
      <c r="C157" s="11"/>
      <c r="D157" s="11"/>
      <c r="E157" s="11"/>
      <c r="F157" s="11"/>
      <c r="G157" s="11"/>
      <c r="H157" s="11"/>
    </row>
    <row r="158" spans="2:8" x14ac:dyDescent="0.2">
      <c r="B158" s="10"/>
      <c r="C158" s="11"/>
      <c r="D158" s="11"/>
      <c r="E158" s="11"/>
      <c r="F158" s="11"/>
      <c r="G158" s="11"/>
      <c r="H158" s="11"/>
    </row>
    <row r="159" spans="2:8" x14ac:dyDescent="0.2">
      <c r="B159" s="10"/>
      <c r="C159" s="11"/>
      <c r="D159" s="11"/>
      <c r="E159" s="11"/>
      <c r="F159" s="11"/>
      <c r="G159" s="11"/>
      <c r="H159" s="11"/>
    </row>
    <row r="160" spans="2:8" x14ac:dyDescent="0.2">
      <c r="B160" s="10"/>
      <c r="C160" s="11"/>
      <c r="D160" s="11"/>
      <c r="E160" s="11"/>
      <c r="F160" s="11"/>
      <c r="G160" s="11"/>
      <c r="H160" s="11"/>
    </row>
    <row r="161" spans="2:8" x14ac:dyDescent="0.2">
      <c r="B161" s="10"/>
      <c r="C161" s="11"/>
      <c r="D161" s="11"/>
      <c r="E161" s="11"/>
      <c r="F161" s="11"/>
      <c r="G161" s="11"/>
      <c r="H161" s="11"/>
    </row>
    <row r="162" spans="2:8" x14ac:dyDescent="0.2">
      <c r="B162" s="10"/>
      <c r="C162" s="11"/>
      <c r="D162" s="11"/>
      <c r="E162" s="11"/>
      <c r="F162" s="11"/>
      <c r="G162" s="11"/>
      <c r="H162" s="11"/>
    </row>
    <row r="163" spans="2:8" x14ac:dyDescent="0.2">
      <c r="B163" s="10"/>
      <c r="C163" s="11"/>
      <c r="D163" s="11"/>
      <c r="E163" s="11"/>
      <c r="F163" s="11"/>
      <c r="G163" s="11"/>
      <c r="H163" s="11"/>
    </row>
  </sheetData>
  <sheetProtection formatColumns="0" formatRows="0"/>
  <mergeCells count="203">
    <mergeCell ref="L22:N25"/>
    <mergeCell ref="B28:N30"/>
    <mergeCell ref="L16:M17"/>
    <mergeCell ref="L18:M19"/>
    <mergeCell ref="L6:N6"/>
    <mergeCell ref="L7:N7"/>
    <mergeCell ref="L4:N5"/>
    <mergeCell ref="L8:M9"/>
    <mergeCell ref="N8:N9"/>
    <mergeCell ref="N12:N13"/>
    <mergeCell ref="L10:M11"/>
    <mergeCell ref="N16:N17"/>
    <mergeCell ref="L20:N21"/>
    <mergeCell ref="L12:M13"/>
    <mergeCell ref="L14:M15"/>
    <mergeCell ref="N106:N114"/>
    <mergeCell ref="N97:N105"/>
    <mergeCell ref="N88:N96"/>
    <mergeCell ref="C130:D130"/>
    <mergeCell ref="C138:D138"/>
    <mergeCell ref="C139:D139"/>
    <mergeCell ref="F124:F132"/>
    <mergeCell ref="F133:F141"/>
    <mergeCell ref="H133:H141"/>
    <mergeCell ref="J124:J132"/>
    <mergeCell ref="J133:J141"/>
    <mergeCell ref="L133:L141"/>
    <mergeCell ref="N133:N141"/>
    <mergeCell ref="L124:L132"/>
    <mergeCell ref="N124:N132"/>
    <mergeCell ref="N115:N123"/>
    <mergeCell ref="L115:L123"/>
    <mergeCell ref="H124:H132"/>
    <mergeCell ref="C132:D132"/>
    <mergeCell ref="C131:D131"/>
    <mergeCell ref="C127:D127"/>
    <mergeCell ref="C128:D128"/>
    <mergeCell ref="C140:D140"/>
    <mergeCell ref="H115:H123"/>
    <mergeCell ref="B133:B141"/>
    <mergeCell ref="C133:D133"/>
    <mergeCell ref="C134:D134"/>
    <mergeCell ref="C135:D135"/>
    <mergeCell ref="C136:D136"/>
    <mergeCell ref="C137:D137"/>
    <mergeCell ref="C141:D141"/>
    <mergeCell ref="B115:B123"/>
    <mergeCell ref="C115:D115"/>
    <mergeCell ref="C125:D125"/>
    <mergeCell ref="C126:D126"/>
    <mergeCell ref="B124:B132"/>
    <mergeCell ref="C124:D124"/>
    <mergeCell ref="C120:D120"/>
    <mergeCell ref="C121:D121"/>
    <mergeCell ref="C129:D129"/>
    <mergeCell ref="C116:D116"/>
    <mergeCell ref="C123:D123"/>
    <mergeCell ref="C122:D122"/>
    <mergeCell ref="J115:J123"/>
    <mergeCell ref="C117:D117"/>
    <mergeCell ref="C118:D118"/>
    <mergeCell ref="C119:D119"/>
    <mergeCell ref="F115:F123"/>
    <mergeCell ref="H106:H114"/>
    <mergeCell ref="C114:D114"/>
    <mergeCell ref="C113:D113"/>
    <mergeCell ref="B106:B114"/>
    <mergeCell ref="C106:D106"/>
    <mergeCell ref="J97:J105"/>
    <mergeCell ref="L97:L105"/>
    <mergeCell ref="C98:D98"/>
    <mergeCell ref="C99:D99"/>
    <mergeCell ref="C100:D100"/>
    <mergeCell ref="C101:D101"/>
    <mergeCell ref="C102:D102"/>
    <mergeCell ref="C103:D103"/>
    <mergeCell ref="L106:L114"/>
    <mergeCell ref="C107:D107"/>
    <mergeCell ref="C108:D108"/>
    <mergeCell ref="C109:D109"/>
    <mergeCell ref="C110:D110"/>
    <mergeCell ref="C111:D111"/>
    <mergeCell ref="F106:F114"/>
    <mergeCell ref="J106:J114"/>
    <mergeCell ref="C112:D112"/>
    <mergeCell ref="H97:H105"/>
    <mergeCell ref="C105:D105"/>
    <mergeCell ref="J88:J96"/>
    <mergeCell ref="L88:L96"/>
    <mergeCell ref="C89:D89"/>
    <mergeCell ref="C94:D94"/>
    <mergeCell ref="C104:D104"/>
    <mergeCell ref="B97:B105"/>
    <mergeCell ref="C97:D97"/>
    <mergeCell ref="F97:F105"/>
    <mergeCell ref="H88:H96"/>
    <mergeCell ref="C96:D96"/>
    <mergeCell ref="C90:D90"/>
    <mergeCell ref="C91:D91"/>
    <mergeCell ref="C92:D92"/>
    <mergeCell ref="C93:D93"/>
    <mergeCell ref="L79:L87"/>
    <mergeCell ref="C95:D95"/>
    <mergeCell ref="B79:B87"/>
    <mergeCell ref="C79:D79"/>
    <mergeCell ref="F79:F87"/>
    <mergeCell ref="H79:H87"/>
    <mergeCell ref="C87:D87"/>
    <mergeCell ref="B88:B96"/>
    <mergeCell ref="C88:D88"/>
    <mergeCell ref="F88:F96"/>
    <mergeCell ref="N79:N87"/>
    <mergeCell ref="C80:D80"/>
    <mergeCell ref="C81:D81"/>
    <mergeCell ref="C82:D82"/>
    <mergeCell ref="C83:D83"/>
    <mergeCell ref="C84:D84"/>
    <mergeCell ref="C85:D85"/>
    <mergeCell ref="C86:D86"/>
    <mergeCell ref="B70:B78"/>
    <mergeCell ref="C70:D70"/>
    <mergeCell ref="F70:F78"/>
    <mergeCell ref="H70:H78"/>
    <mergeCell ref="C78:D78"/>
    <mergeCell ref="J70:J78"/>
    <mergeCell ref="L70:L78"/>
    <mergeCell ref="N70:N78"/>
    <mergeCell ref="C71:D71"/>
    <mergeCell ref="C72:D72"/>
    <mergeCell ref="C73:D73"/>
    <mergeCell ref="C74:D74"/>
    <mergeCell ref="C75:D75"/>
    <mergeCell ref="C76:D76"/>
    <mergeCell ref="C77:D77"/>
    <mergeCell ref="J79:J87"/>
    <mergeCell ref="B61:B69"/>
    <mergeCell ref="C61:D61"/>
    <mergeCell ref="F61:F69"/>
    <mergeCell ref="H61:H69"/>
    <mergeCell ref="C69:D69"/>
    <mergeCell ref="J61:J69"/>
    <mergeCell ref="L61:L69"/>
    <mergeCell ref="N61:N69"/>
    <mergeCell ref="C62:D62"/>
    <mergeCell ref="C63:D63"/>
    <mergeCell ref="C64:D64"/>
    <mergeCell ref="C65:D65"/>
    <mergeCell ref="C66:D66"/>
    <mergeCell ref="C67:D67"/>
    <mergeCell ref="C68:D68"/>
    <mergeCell ref="B52:B60"/>
    <mergeCell ref="C52:D52"/>
    <mergeCell ref="F52:F60"/>
    <mergeCell ref="H52:H60"/>
    <mergeCell ref="C60:D60"/>
    <mergeCell ref="J52:J60"/>
    <mergeCell ref="L52:L60"/>
    <mergeCell ref="N52:N60"/>
    <mergeCell ref="C53:D53"/>
    <mergeCell ref="C54:D54"/>
    <mergeCell ref="C55:D55"/>
    <mergeCell ref="C56:D56"/>
    <mergeCell ref="C57:D57"/>
    <mergeCell ref="C58:D58"/>
    <mergeCell ref="C59:D59"/>
    <mergeCell ref="B43:B51"/>
    <mergeCell ref="C43:D43"/>
    <mergeCell ref="C49:D49"/>
    <mergeCell ref="C50:D50"/>
    <mergeCell ref="C51:D51"/>
    <mergeCell ref="C34:D34"/>
    <mergeCell ref="N43:N51"/>
    <mergeCell ref="C44:D44"/>
    <mergeCell ref="C45:D45"/>
    <mergeCell ref="C46:D46"/>
    <mergeCell ref="C47:D47"/>
    <mergeCell ref="C48:D48"/>
    <mergeCell ref="F43:F51"/>
    <mergeCell ref="H43:H51"/>
    <mergeCell ref="J43:J51"/>
    <mergeCell ref="L43:L51"/>
    <mergeCell ref="B32:B33"/>
    <mergeCell ref="D31:D32"/>
    <mergeCell ref="F34:F42"/>
    <mergeCell ref="H34:H42"/>
    <mergeCell ref="C38:D38"/>
    <mergeCell ref="C39:D39"/>
    <mergeCell ref="C40:D40"/>
    <mergeCell ref="C41:D41"/>
    <mergeCell ref="C42:D42"/>
    <mergeCell ref="B34:B42"/>
    <mergeCell ref="M31:N31"/>
    <mergeCell ref="C35:D35"/>
    <mergeCell ref="N34:N42"/>
    <mergeCell ref="C36:D36"/>
    <mergeCell ref="I31:J31"/>
    <mergeCell ref="J34:J42"/>
    <mergeCell ref="L34:L42"/>
    <mergeCell ref="C37:D37"/>
    <mergeCell ref="E31:F31"/>
    <mergeCell ref="G31:H31"/>
    <mergeCell ref="K31:L31"/>
    <mergeCell ref="C31:C33"/>
  </mergeCells>
  <phoneticPr fontId="1" type="noConversion"/>
  <conditionalFormatting sqref="F33:F141">
    <cfRule type="top10" dxfId="9" priority="19" stopIfTrue="1" rank="1"/>
  </conditionalFormatting>
  <conditionalFormatting sqref="G33:G141">
    <cfRule type="top10" dxfId="8" priority="23" stopIfTrue="1" rank="1"/>
  </conditionalFormatting>
  <conditionalFormatting sqref="I33:I141">
    <cfRule type="top10" dxfId="7" priority="22" stopIfTrue="1" rank="1"/>
  </conditionalFormatting>
  <conditionalFormatting sqref="K33:K141">
    <cfRule type="top10" dxfId="6" priority="21" stopIfTrue="1" rank="1"/>
  </conditionalFormatting>
  <conditionalFormatting sqref="M33:M141">
    <cfRule type="top10" dxfId="5" priority="20" stopIfTrue="1" rank="1"/>
  </conditionalFormatting>
  <conditionalFormatting sqref="H33:H141">
    <cfRule type="top10" dxfId="4" priority="18" stopIfTrue="1" rank="1"/>
  </conditionalFormatting>
  <conditionalFormatting sqref="J33:J141">
    <cfRule type="top10" dxfId="3" priority="17" stopIfTrue="1" rank="1"/>
  </conditionalFormatting>
  <conditionalFormatting sqref="L33:L141">
    <cfRule type="top10" dxfId="2" priority="16" stopIfTrue="1" rank="1"/>
  </conditionalFormatting>
  <conditionalFormatting sqref="N33:N141">
    <cfRule type="top10" dxfId="1" priority="9" stopIfTrue="1" rank="1"/>
  </conditionalFormatting>
  <conditionalFormatting sqref="E33:E141">
    <cfRule type="top10" dxfId="0" priority="37" stopIfTrue="1" rank="1"/>
  </conditionalFormatting>
  <dataValidations count="2">
    <dataValidation type="list" allowBlank="1" showErrorMessage="1" sqref="L7:N7">
      <formula1>"PPI:全部工业品:当月同比,PPI:生产资料:当月同比,PPI:生活资料:当月同比"</formula1>
    </dataValidation>
    <dataValidation type="list" allowBlank="1" showErrorMessage="1" sqref="L6:N6">
      <formula1>"CPI:当月同比,CPI:食品:当月同比,CPI:非食品:当月同比"</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687" r:id="rId4" name="SpinButton1">
          <controlPr defaultSize="0" autoLine="0" autoPict="0" r:id="rId5">
            <anchor moveWithCells="1">
              <from>
                <xdr:col>13</xdr:col>
                <xdr:colOff>0</xdr:colOff>
                <xdr:row>17</xdr:row>
                <xdr:rowOff>0</xdr:rowOff>
              </from>
              <to>
                <xdr:col>14</xdr:col>
                <xdr:colOff>9525</xdr:colOff>
                <xdr:row>18</xdr:row>
                <xdr:rowOff>171450</xdr:rowOff>
              </to>
            </anchor>
          </controlPr>
        </control>
      </mc:Choice>
      <mc:Fallback>
        <control shapeId="1687" r:id="rId4" name="SpinButton1"/>
      </mc:Fallback>
    </mc:AlternateContent>
    <mc:AlternateContent xmlns:mc="http://schemas.openxmlformats.org/markup-compatibility/2006">
      <mc:Choice Requires="x14">
        <control shapeId="1160" r:id="rId6" name="微调框 2">
          <controlPr defaultSize="0" autoPict="0" macro="[0]!微调框2">
            <anchor moveWithCells="1" sizeWithCells="1">
              <from>
                <xdr:col>14</xdr:col>
                <xdr:colOff>0</xdr:colOff>
                <xdr:row>18</xdr:row>
                <xdr:rowOff>9525</xdr:rowOff>
              </from>
              <to>
                <xdr:col>14</xdr:col>
                <xdr:colOff>0</xdr:colOff>
                <xdr:row>19</xdr:row>
                <xdr:rowOff>171450</xdr:rowOff>
              </to>
            </anchor>
          </controlPr>
        </control>
      </mc:Choice>
    </mc:AlternateContent>
    <mc:AlternateContent xmlns:mc="http://schemas.openxmlformats.org/markup-compatibility/2006">
      <mc:Choice Requires="x14">
        <control shapeId="1244" r:id="rId7" name="Spinner 220">
          <controlPr defaultSize="0" autoPict="0" macro="[0]!微调框4">
            <anchor moveWithCells="1" sizeWithCells="1">
              <from>
                <xdr:col>2</xdr:col>
                <xdr:colOff>19050</xdr:colOff>
                <xdr:row>30</xdr:row>
                <xdr:rowOff>19050</xdr:rowOff>
              </from>
              <to>
                <xdr:col>2</xdr:col>
                <xdr:colOff>676275</xdr:colOff>
                <xdr:row>32</xdr:row>
                <xdr:rowOff>180975</xdr:rowOff>
              </to>
            </anchor>
          </controlPr>
        </control>
      </mc:Choice>
    </mc:AlternateContent>
    <mc:AlternateContent xmlns:mc="http://schemas.openxmlformats.org/markup-compatibility/2006">
      <mc:Choice Requires="x14">
        <control shapeId="1292" r:id="rId8" name="微调框 5">
          <controlPr defaultSize="0" autoPict="0" macro="[0]!微调框2">
            <anchor moveWithCells="1" sizeWithCells="1">
              <from>
                <xdr:col>14</xdr:col>
                <xdr:colOff>0</xdr:colOff>
                <xdr:row>18</xdr:row>
                <xdr:rowOff>9525</xdr:rowOff>
              </from>
              <to>
                <xdr:col>14</xdr:col>
                <xdr:colOff>0</xdr:colOff>
                <xdr:row>19</xdr:row>
                <xdr:rowOff>171450</xdr:rowOff>
              </to>
            </anchor>
          </controlPr>
        </control>
      </mc:Choice>
    </mc:AlternateContent>
    <mc:AlternateContent xmlns:mc="http://schemas.openxmlformats.org/markup-compatibility/2006">
      <mc:Choice Requires="x14">
        <control shapeId="1611" r:id="rId9" name="Spinner 587">
          <controlPr defaultSize="0" autoPict="0" macro="[0]!微调框2">
            <anchor moveWithCells="1" sizeWithCells="1">
              <from>
                <xdr:col>14</xdr:col>
                <xdr:colOff>0</xdr:colOff>
                <xdr:row>13</xdr:row>
                <xdr:rowOff>9525</xdr:rowOff>
              </from>
              <to>
                <xdr:col>14</xdr:col>
                <xdr:colOff>0</xdr:colOff>
                <xdr:row>14</xdr:row>
                <xdr:rowOff>171450</xdr:rowOff>
              </to>
            </anchor>
          </controlPr>
        </control>
      </mc:Choice>
    </mc:AlternateContent>
    <mc:AlternateContent xmlns:mc="http://schemas.openxmlformats.org/markup-compatibility/2006">
      <mc:Choice Requires="x14">
        <control shapeId="1612" r:id="rId10" name="Spinner 588">
          <controlPr defaultSize="0" autoPict="0" macro="[0]!微调框2">
            <anchor moveWithCells="1" sizeWithCells="1">
              <from>
                <xdr:col>14</xdr:col>
                <xdr:colOff>0</xdr:colOff>
                <xdr:row>13</xdr:row>
                <xdr:rowOff>9525</xdr:rowOff>
              </from>
              <to>
                <xdr:col>14</xdr:col>
                <xdr:colOff>0</xdr:colOff>
                <xdr:row>14</xdr:row>
                <xdr:rowOff>171450</xdr:rowOff>
              </to>
            </anchor>
          </controlPr>
        </control>
      </mc:Choice>
    </mc:AlternateContent>
    <mc:AlternateContent xmlns:mc="http://schemas.openxmlformats.org/markup-compatibility/2006">
      <mc:Choice Requires="x14">
        <control shapeId="1613" r:id="rId11" name="微调框 3">
          <controlPr defaultSize="0" autoPict="0" macro="[0]!微调框3">
            <anchor moveWithCells="1" sizeWithCells="1">
              <from>
                <xdr:col>14</xdr:col>
                <xdr:colOff>0</xdr:colOff>
                <xdr:row>17</xdr:row>
                <xdr:rowOff>9525</xdr:rowOff>
              </from>
              <to>
                <xdr:col>14</xdr:col>
                <xdr:colOff>0</xdr:colOff>
                <xdr:row>18</xdr:row>
                <xdr:rowOff>171450</xdr:rowOff>
              </to>
            </anchor>
          </controlPr>
        </control>
      </mc:Choice>
    </mc:AlternateContent>
    <mc:AlternateContent xmlns:mc="http://schemas.openxmlformats.org/markup-compatibility/2006">
      <mc:Choice Requires="x14">
        <control shapeId="1628" r:id="rId12" name="微调框 4">
          <controlPr defaultSize="0" autoPict="0" macro="[0]!微调框1">
            <anchor moveWithCells="1">
              <from>
                <xdr:col>13</xdr:col>
                <xdr:colOff>342900</xdr:colOff>
                <xdr:row>9</xdr:row>
                <xdr:rowOff>9525</xdr:rowOff>
              </from>
              <to>
                <xdr:col>13</xdr:col>
                <xdr:colOff>666750</xdr:colOff>
                <xdr:row>10</xdr:row>
                <xdr:rowOff>171450</xdr:rowOff>
              </to>
            </anchor>
          </controlPr>
        </control>
      </mc:Choice>
    </mc:AlternateContent>
    <mc:AlternateContent xmlns:mc="http://schemas.openxmlformats.org/markup-compatibility/2006">
      <mc:Choice Requires="x14">
        <control shapeId="1629" r:id="rId13" name="微调框 1">
          <controlPr defaultSize="0" autoPict="0" macro="[0]!微调框1">
            <anchor moveWithCells="1">
              <from>
                <xdr:col>13</xdr:col>
                <xdr:colOff>9525</xdr:colOff>
                <xdr:row>9</xdr:row>
                <xdr:rowOff>9525</xdr:rowOff>
              </from>
              <to>
                <xdr:col>13</xdr:col>
                <xdr:colOff>333375</xdr:colOff>
                <xdr:row>10</xdr:row>
                <xdr:rowOff>171450</xdr:rowOff>
              </to>
            </anchor>
          </controlPr>
        </control>
      </mc:Choice>
    </mc:AlternateContent>
    <mc:AlternateContent xmlns:mc="http://schemas.openxmlformats.org/markup-compatibility/2006">
      <mc:Choice Requires="x14">
        <control shapeId="1631" r:id="rId14" name="Spinner 607">
          <controlPr defaultSize="0" autoPict="0" macro="[0]!微调框2">
            <anchor moveWithCells="1" sizeWithCells="1">
              <from>
                <xdr:col>13</xdr:col>
                <xdr:colOff>9525</xdr:colOff>
                <xdr:row>13</xdr:row>
                <xdr:rowOff>9525</xdr:rowOff>
              </from>
              <to>
                <xdr:col>13</xdr:col>
                <xdr:colOff>333375</xdr:colOff>
                <xdr:row>14</xdr:row>
                <xdr:rowOff>161925</xdr:rowOff>
              </to>
            </anchor>
          </controlPr>
        </control>
      </mc:Choice>
    </mc:AlternateContent>
    <mc:AlternateContent xmlns:mc="http://schemas.openxmlformats.org/markup-compatibility/2006">
      <mc:Choice Requires="x14">
        <control shapeId="1632" r:id="rId15" name="微调框 6">
          <controlPr defaultSize="0" autoPict="0" macro="[0]!微调框2">
            <anchor moveWithCells="1" sizeWithCells="1">
              <from>
                <xdr:col>13</xdr:col>
                <xdr:colOff>342900</xdr:colOff>
                <xdr:row>13</xdr:row>
                <xdr:rowOff>9525</xdr:rowOff>
              </from>
              <to>
                <xdr:col>13</xdr:col>
                <xdr:colOff>666750</xdr:colOff>
                <xdr:row>14</xdr:row>
                <xdr:rowOff>161925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5"/>
  <sheetViews>
    <sheetView showGridLines="0" workbookViewId="0">
      <selection activeCell="B15" sqref="B15"/>
    </sheetView>
  </sheetViews>
  <sheetFormatPr defaultRowHeight="14.25" x14ac:dyDescent="0.15"/>
  <cols>
    <col min="1" max="1" width="2" style="1" customWidth="1"/>
    <col min="2" max="13" width="9" style="1"/>
    <col min="14" max="14" width="10.375" style="1" customWidth="1"/>
    <col min="15" max="16384" width="9" style="1"/>
  </cols>
  <sheetData>
    <row r="1" spans="2:14" ht="13.5" customHeight="1" x14ac:dyDescent="0.15"/>
    <row r="2" spans="2:14" ht="7.5" customHeight="1" x14ac:dyDescent="0.15"/>
    <row r="3" spans="2:14" ht="9.75" customHeight="1" x14ac:dyDescent="0.15"/>
    <row r="4" spans="2:14" ht="13.5" customHeight="1" thickBot="1" x14ac:dyDescent="0.2"/>
    <row r="5" spans="2:14" ht="409.5" customHeight="1" thickBot="1" x14ac:dyDescent="0.2">
      <c r="B5" s="42" t="s">
        <v>47</v>
      </c>
      <c r="C5" s="43"/>
      <c r="D5" s="43"/>
      <c r="E5" s="43"/>
      <c r="F5" s="43"/>
      <c r="G5" s="43"/>
      <c r="H5" s="43"/>
      <c r="I5" s="43"/>
      <c r="J5" s="43"/>
      <c r="K5" s="43"/>
      <c r="L5" s="43"/>
      <c r="M5" s="43"/>
      <c r="N5" s="44"/>
    </row>
  </sheetData>
  <sheetProtection formatColumns="0" formatRows="0"/>
  <mergeCells count="1">
    <mergeCell ref="B5:N5"/>
  </mergeCells>
  <phoneticPr fontId="1" type="noConversion"/>
  <pageMargins left="0.75" right="0.75" top="1" bottom="1" header="0.5" footer="0.5"/>
  <pageSetup paperSize="11"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N450"/>
  <sheetViews>
    <sheetView workbookViewId="0"/>
  </sheetViews>
  <sheetFormatPr defaultRowHeight="15" x14ac:dyDescent="0.2"/>
  <cols>
    <col min="1" max="1" width="3.5" style="2" customWidth="1"/>
    <col min="2" max="2" width="15.625" style="19" customWidth="1"/>
    <col min="3" max="3" width="15.625" style="20" customWidth="1"/>
    <col min="4" max="8" width="15.625" style="21" customWidth="1"/>
    <col min="9" max="9" width="15.625" style="28" customWidth="1"/>
    <col min="10" max="11" width="15.625" style="2" customWidth="1"/>
    <col min="12" max="12" width="16" style="2" hidden="1" customWidth="1"/>
    <col min="13" max="13" width="11.75" style="2" hidden="1" customWidth="1"/>
    <col min="14" max="14" width="15.625" style="28" customWidth="1"/>
    <col min="15" max="16384" width="9" style="2"/>
  </cols>
  <sheetData>
    <row r="1" spans="2:14" ht="10.5" customHeight="1" x14ac:dyDescent="0.2"/>
    <row r="2" spans="2:14" ht="12.75" hidden="1" customHeight="1" x14ac:dyDescent="0.25">
      <c r="B2" s="18" t="str">
        <f>[1]!edb()</f>
        <v>Wind</v>
      </c>
      <c r="C2"/>
      <c r="I2" s="3"/>
      <c r="J2" s="41" t="s">
        <v>3</v>
      </c>
      <c r="K2" s="41"/>
      <c r="L2" s="41"/>
      <c r="M2" s="41"/>
      <c r="N2" s="3"/>
    </row>
    <row r="3" spans="2:14" x14ac:dyDescent="0.2">
      <c r="B3" s="22" t="s">
        <v>49</v>
      </c>
      <c r="C3" s="23" t="s">
        <v>50</v>
      </c>
      <c r="D3" s="24" t="s">
        <v>51</v>
      </c>
      <c r="E3" s="24" t="s">
        <v>52</v>
      </c>
      <c r="F3" s="24" t="s">
        <v>53</v>
      </c>
      <c r="G3" s="24" t="s">
        <v>54</v>
      </c>
      <c r="H3" s="24" t="s">
        <v>55</v>
      </c>
      <c r="J3" s="2" t="s">
        <v>14</v>
      </c>
      <c r="K3" s="2">
        <f>COUNTA(B:B)-134</f>
        <v>315</v>
      </c>
    </row>
    <row r="4" spans="2:14" x14ac:dyDescent="0.2">
      <c r="B4" s="27">
        <v>31808</v>
      </c>
      <c r="C4" s="25">
        <v>5.0999999999999996</v>
      </c>
      <c r="D4" s="26">
        <v>0</v>
      </c>
      <c r="E4" s="26">
        <v>0</v>
      </c>
      <c r="F4" s="26">
        <v>0</v>
      </c>
      <c r="G4" s="26">
        <v>0</v>
      </c>
      <c r="H4" s="26">
        <v>0</v>
      </c>
      <c r="J4" s="2" t="s">
        <v>4</v>
      </c>
      <c r="K4" s="2">
        <f>COUNTA(B:B)-83</f>
        <v>366</v>
      </c>
    </row>
    <row r="5" spans="2:14" x14ac:dyDescent="0.2">
      <c r="B5" s="27">
        <v>31836</v>
      </c>
      <c r="C5" s="25">
        <v>5.4</v>
      </c>
      <c r="D5" s="26">
        <v>0</v>
      </c>
      <c r="E5" s="26">
        <v>0</v>
      </c>
      <c r="F5" s="26">
        <v>0</v>
      </c>
      <c r="G5" s="26">
        <v>0</v>
      </c>
      <c r="H5" s="26">
        <v>0</v>
      </c>
      <c r="M5" s="2" t="s">
        <v>5</v>
      </c>
    </row>
    <row r="6" spans="2:14" x14ac:dyDescent="0.2">
      <c r="B6" s="27">
        <v>31867</v>
      </c>
      <c r="C6" s="25">
        <v>5.8</v>
      </c>
      <c r="D6" s="26">
        <v>0</v>
      </c>
      <c r="E6" s="26">
        <v>0</v>
      </c>
      <c r="F6" s="26">
        <v>0</v>
      </c>
      <c r="G6" s="26">
        <v>0</v>
      </c>
      <c r="H6" s="26">
        <v>0</v>
      </c>
      <c r="J6" s="2" t="s">
        <v>16</v>
      </c>
      <c r="K6" s="2">
        <v>312</v>
      </c>
      <c r="M6" s="2">
        <v>312</v>
      </c>
    </row>
    <row r="7" spans="2:14" x14ac:dyDescent="0.2">
      <c r="B7" s="27">
        <v>31897</v>
      </c>
      <c r="C7" s="25">
        <v>6.7</v>
      </c>
      <c r="D7" s="26">
        <v>0</v>
      </c>
      <c r="E7" s="26">
        <v>0</v>
      </c>
      <c r="F7" s="26">
        <v>0</v>
      </c>
      <c r="G7" s="26">
        <v>0</v>
      </c>
      <c r="H7" s="26">
        <v>0</v>
      </c>
      <c r="J7" s="2" t="s">
        <v>17</v>
      </c>
      <c r="K7" s="2">
        <f>$K$4-$K$3+$K$6+$M$19</f>
        <v>363</v>
      </c>
      <c r="M7" s="2">
        <v>363</v>
      </c>
    </row>
    <row r="8" spans="2:14" x14ac:dyDescent="0.2">
      <c r="B8" s="27">
        <v>31928</v>
      </c>
      <c r="C8" s="25">
        <v>7.6</v>
      </c>
      <c r="D8" s="26">
        <v>0</v>
      </c>
      <c r="E8" s="26">
        <v>0</v>
      </c>
      <c r="F8" s="26">
        <v>0</v>
      </c>
      <c r="G8" s="26">
        <v>0</v>
      </c>
      <c r="H8" s="26">
        <v>0</v>
      </c>
      <c r="L8" s="2" t="s">
        <v>6</v>
      </c>
      <c r="M8" s="2" t="s">
        <v>5</v>
      </c>
    </row>
    <row r="9" spans="2:14" x14ac:dyDescent="0.2">
      <c r="B9" s="27">
        <v>31958</v>
      </c>
      <c r="C9" s="25">
        <v>7.8</v>
      </c>
      <c r="D9" s="26">
        <v>0</v>
      </c>
      <c r="E9" s="26">
        <v>0</v>
      </c>
      <c r="F9" s="26">
        <v>0</v>
      </c>
      <c r="G9" s="26">
        <v>0</v>
      </c>
      <c r="H9" s="26">
        <v>0</v>
      </c>
      <c r="J9" s="2" t="s">
        <v>7</v>
      </c>
      <c r="K9" s="2">
        <v>36</v>
      </c>
      <c r="L9" s="2">
        <f>MIN(K3,K4)</f>
        <v>315</v>
      </c>
      <c r="M9" s="2">
        <v>36</v>
      </c>
    </row>
    <row r="10" spans="2:14" x14ac:dyDescent="0.2">
      <c r="B10" s="27">
        <v>31989</v>
      </c>
      <c r="C10" s="25">
        <v>7.8</v>
      </c>
      <c r="D10" s="26">
        <v>0</v>
      </c>
      <c r="E10" s="26">
        <v>0</v>
      </c>
      <c r="F10" s="26">
        <v>0</v>
      </c>
      <c r="G10" s="26">
        <v>0</v>
      </c>
      <c r="H10" s="26">
        <v>0</v>
      </c>
    </row>
    <row r="11" spans="2:14" x14ac:dyDescent="0.2">
      <c r="B11" s="27">
        <v>32020</v>
      </c>
      <c r="C11" s="25">
        <v>8.1999999999999993</v>
      </c>
      <c r="D11" s="26">
        <v>0</v>
      </c>
      <c r="E11" s="26">
        <v>0</v>
      </c>
      <c r="F11" s="26">
        <v>0</v>
      </c>
      <c r="G11" s="26">
        <v>0</v>
      </c>
      <c r="H11" s="26">
        <v>0</v>
      </c>
      <c r="J11" s="2" t="s">
        <v>10</v>
      </c>
      <c r="K11" s="2">
        <f>IF(Calculator!$L$6=C3,0,IF(Calculator!$L$6=D3,1,2))</f>
        <v>0</v>
      </c>
      <c r="L11" s="41" t="str">
        <f>IF(K11=0,C3,IF(K11=1,D3,E3))</f>
        <v>CPI:当月同比</v>
      </c>
      <c r="M11" s="41"/>
    </row>
    <row r="12" spans="2:14" x14ac:dyDescent="0.2">
      <c r="B12" s="27">
        <v>32050</v>
      </c>
      <c r="C12" s="25">
        <v>7.7</v>
      </c>
      <c r="D12" s="26">
        <v>0</v>
      </c>
      <c r="E12" s="26">
        <v>0</v>
      </c>
      <c r="F12" s="26">
        <v>0</v>
      </c>
      <c r="G12" s="26">
        <v>0</v>
      </c>
      <c r="H12" s="26">
        <v>0</v>
      </c>
      <c r="J12" s="2" t="s">
        <v>11</v>
      </c>
      <c r="K12" s="2">
        <f>IF(Calculator!$L$7=F3,0,IF(Calculator!$L$7=G3,1,2))</f>
        <v>0</v>
      </c>
      <c r="L12" s="41" t="str">
        <f>IF(K12=0,F3&amp;"(右轴)",IF(K12=1,G3&amp;"(右轴)",H3&amp;"(右轴)"))</f>
        <v>PPI:全部工业品:当月同比(右轴)</v>
      </c>
      <c r="M12" s="41"/>
    </row>
    <row r="13" spans="2:14" x14ac:dyDescent="0.2">
      <c r="B13" s="27">
        <v>32081</v>
      </c>
      <c r="C13" s="25">
        <v>7.5</v>
      </c>
      <c r="D13" s="26">
        <v>0</v>
      </c>
      <c r="E13" s="26">
        <v>0</v>
      </c>
      <c r="F13" s="26">
        <v>0</v>
      </c>
      <c r="G13" s="26">
        <v>0</v>
      </c>
      <c r="H13" s="26">
        <v>0</v>
      </c>
    </row>
    <row r="14" spans="2:14" x14ac:dyDescent="0.2">
      <c r="B14" s="27">
        <v>32111</v>
      </c>
      <c r="C14" s="25">
        <v>8.3000000000000007</v>
      </c>
      <c r="D14" s="26">
        <v>0</v>
      </c>
      <c r="E14" s="26">
        <v>0</v>
      </c>
      <c r="F14" s="26">
        <v>0</v>
      </c>
      <c r="G14" s="26">
        <v>0</v>
      </c>
      <c r="H14" s="26">
        <v>0</v>
      </c>
      <c r="L14" s="2" t="s">
        <v>6</v>
      </c>
      <c r="M14" s="2" t="s">
        <v>5</v>
      </c>
    </row>
    <row r="15" spans="2:14" x14ac:dyDescent="0.2">
      <c r="B15" s="27">
        <v>32142</v>
      </c>
      <c r="C15" s="25">
        <v>8.9</v>
      </c>
      <c r="D15" s="26">
        <v>0</v>
      </c>
      <c r="E15" s="26">
        <v>0</v>
      </c>
      <c r="F15" s="26">
        <v>0</v>
      </c>
      <c r="G15" s="26">
        <v>0</v>
      </c>
      <c r="H15" s="26">
        <v>0</v>
      </c>
      <c r="J15" s="2" t="s">
        <v>12</v>
      </c>
      <c r="K15" s="2">
        <v>2012</v>
      </c>
      <c r="L15" s="2">
        <v>2022</v>
      </c>
      <c r="M15" s="2">
        <v>2012</v>
      </c>
    </row>
    <row r="16" spans="2:14" x14ac:dyDescent="0.2">
      <c r="B16" s="27">
        <v>32173</v>
      </c>
      <c r="C16" s="25">
        <v>9.4</v>
      </c>
      <c r="D16" s="26">
        <v>0</v>
      </c>
      <c r="E16" s="26">
        <v>0</v>
      </c>
      <c r="F16" s="26">
        <v>0</v>
      </c>
      <c r="G16" s="26">
        <v>0</v>
      </c>
      <c r="H16" s="26">
        <v>0</v>
      </c>
      <c r="J16" s="2" t="s">
        <v>13</v>
      </c>
      <c r="L16" s="2">
        <f>MONTH(MAX(B:B))</f>
        <v>3</v>
      </c>
    </row>
    <row r="17" spans="2:13" x14ac:dyDescent="0.2">
      <c r="B17" s="27">
        <v>32202</v>
      </c>
      <c r="C17" s="25">
        <v>10.4</v>
      </c>
      <c r="D17" s="26">
        <v>0</v>
      </c>
      <c r="E17" s="26">
        <v>0</v>
      </c>
      <c r="F17" s="26">
        <v>0</v>
      </c>
      <c r="G17" s="26">
        <v>0</v>
      </c>
      <c r="H17" s="26">
        <v>0</v>
      </c>
    </row>
    <row r="18" spans="2:13" x14ac:dyDescent="0.2">
      <c r="B18" s="27">
        <v>32233</v>
      </c>
      <c r="C18" s="25">
        <v>11.3</v>
      </c>
      <c r="D18" s="26">
        <v>0</v>
      </c>
      <c r="E18" s="26">
        <v>0</v>
      </c>
      <c r="F18" s="26">
        <v>0</v>
      </c>
      <c r="G18" s="26">
        <v>0</v>
      </c>
      <c r="H18" s="26">
        <v>0</v>
      </c>
      <c r="L18" s="2" t="s">
        <v>6</v>
      </c>
      <c r="M18" s="2" t="s">
        <v>5</v>
      </c>
    </row>
    <row r="19" spans="2:13" ht="15" customHeight="1" x14ac:dyDescent="0.2">
      <c r="B19" s="27">
        <v>32263</v>
      </c>
      <c r="C19" s="25">
        <v>12.2</v>
      </c>
      <c r="D19" s="26">
        <v>0</v>
      </c>
      <c r="E19" s="26">
        <v>0</v>
      </c>
      <c r="F19" s="26">
        <v>0</v>
      </c>
      <c r="G19" s="26">
        <v>0</v>
      </c>
      <c r="H19" s="26">
        <v>0</v>
      </c>
      <c r="J19" s="2" t="s">
        <v>18</v>
      </c>
      <c r="K19" s="2">
        <v>0</v>
      </c>
      <c r="L19" s="2">
        <f>K3-K6</f>
        <v>3</v>
      </c>
      <c r="M19" s="2">
        <v>0</v>
      </c>
    </row>
    <row r="20" spans="2:13" ht="15" customHeight="1" x14ac:dyDescent="0.2">
      <c r="B20" s="27">
        <v>32294</v>
      </c>
      <c r="C20" s="25">
        <v>14.2</v>
      </c>
      <c r="D20" s="26">
        <v>0</v>
      </c>
      <c r="E20" s="26">
        <v>0</v>
      </c>
      <c r="F20" s="26">
        <v>0</v>
      </c>
      <c r="G20" s="26">
        <v>0</v>
      </c>
      <c r="H20" s="26">
        <v>0</v>
      </c>
    </row>
    <row r="21" spans="2:13" x14ac:dyDescent="0.2">
      <c r="B21" s="27">
        <v>32324</v>
      </c>
      <c r="C21" s="25">
        <v>16.3</v>
      </c>
      <c r="D21" s="26">
        <v>0</v>
      </c>
      <c r="E21" s="26">
        <v>0</v>
      </c>
      <c r="F21" s="26">
        <v>0</v>
      </c>
      <c r="G21" s="26">
        <v>0</v>
      </c>
      <c r="H21" s="26">
        <v>0</v>
      </c>
    </row>
    <row r="22" spans="2:13" x14ac:dyDescent="0.2">
      <c r="B22" s="27">
        <v>32355</v>
      </c>
      <c r="C22" s="25">
        <v>19.2</v>
      </c>
      <c r="D22" s="26">
        <v>0</v>
      </c>
      <c r="E22" s="26">
        <v>0</v>
      </c>
      <c r="F22" s="26">
        <v>0</v>
      </c>
      <c r="G22" s="26">
        <v>0</v>
      </c>
      <c r="H22" s="26">
        <v>0</v>
      </c>
    </row>
    <row r="23" spans="2:13" ht="15" customHeight="1" x14ac:dyDescent="0.2">
      <c r="B23" s="27">
        <v>32386</v>
      </c>
      <c r="C23" s="25">
        <v>23.6</v>
      </c>
      <c r="D23" s="26">
        <v>0</v>
      </c>
      <c r="E23" s="26">
        <v>0</v>
      </c>
      <c r="F23" s="26">
        <v>0</v>
      </c>
      <c r="G23" s="26">
        <v>0</v>
      </c>
      <c r="H23" s="26">
        <v>0</v>
      </c>
    </row>
    <row r="24" spans="2:13" ht="15" customHeight="1" x14ac:dyDescent="0.2">
      <c r="B24" s="27">
        <v>32416</v>
      </c>
      <c r="C24" s="25">
        <v>26.4</v>
      </c>
      <c r="D24" s="26">
        <v>0</v>
      </c>
      <c r="E24" s="26">
        <v>0</v>
      </c>
      <c r="F24" s="26">
        <v>0</v>
      </c>
      <c r="G24" s="26">
        <v>0</v>
      </c>
      <c r="H24" s="26">
        <v>0</v>
      </c>
    </row>
    <row r="25" spans="2:13" ht="15" customHeight="1" x14ac:dyDescent="0.2">
      <c r="B25" s="27">
        <v>32447</v>
      </c>
      <c r="C25" s="25">
        <v>27.1</v>
      </c>
      <c r="D25" s="26">
        <v>0</v>
      </c>
      <c r="E25" s="26">
        <v>0</v>
      </c>
      <c r="F25" s="26">
        <v>0</v>
      </c>
      <c r="G25" s="26">
        <v>0</v>
      </c>
      <c r="H25" s="26">
        <v>0</v>
      </c>
    </row>
    <row r="26" spans="2:13" ht="15" customHeight="1" x14ac:dyDescent="0.2">
      <c r="B26" s="27">
        <v>32477</v>
      </c>
      <c r="C26" s="25">
        <v>26.8</v>
      </c>
      <c r="D26" s="26">
        <v>0</v>
      </c>
      <c r="E26" s="26">
        <v>0</v>
      </c>
      <c r="F26" s="26">
        <v>0</v>
      </c>
      <c r="G26" s="26">
        <v>0</v>
      </c>
      <c r="H26" s="26">
        <v>0</v>
      </c>
    </row>
    <row r="27" spans="2:13" ht="15" customHeight="1" x14ac:dyDescent="0.2">
      <c r="B27" s="27">
        <v>32508</v>
      </c>
      <c r="C27" s="25">
        <v>27.9</v>
      </c>
      <c r="D27" s="26">
        <v>0</v>
      </c>
      <c r="E27" s="26">
        <v>0</v>
      </c>
      <c r="F27" s="26">
        <v>0</v>
      </c>
      <c r="G27" s="26">
        <v>0</v>
      </c>
      <c r="H27" s="26">
        <v>0</v>
      </c>
    </row>
    <row r="28" spans="2:13" ht="15" customHeight="1" x14ac:dyDescent="0.2">
      <c r="B28" s="27">
        <v>32539</v>
      </c>
      <c r="C28" s="25">
        <v>27.4</v>
      </c>
      <c r="D28" s="26">
        <v>0</v>
      </c>
      <c r="E28" s="26">
        <v>0</v>
      </c>
      <c r="F28" s="26">
        <v>0</v>
      </c>
      <c r="G28" s="26">
        <v>0</v>
      </c>
      <c r="H28" s="26">
        <v>0</v>
      </c>
    </row>
    <row r="29" spans="2:13" ht="14.25" customHeight="1" x14ac:dyDescent="0.2">
      <c r="B29" s="27">
        <v>32567</v>
      </c>
      <c r="C29" s="25">
        <v>28.4</v>
      </c>
      <c r="D29" s="26">
        <v>0</v>
      </c>
      <c r="E29" s="26">
        <v>0</v>
      </c>
      <c r="F29" s="26">
        <v>0</v>
      </c>
      <c r="G29" s="26">
        <v>0</v>
      </c>
      <c r="H29" s="26">
        <v>0</v>
      </c>
    </row>
    <row r="30" spans="2:13" ht="14.25" customHeight="1" x14ac:dyDescent="0.2">
      <c r="B30" s="27">
        <v>32598</v>
      </c>
      <c r="C30" s="25">
        <v>27.1</v>
      </c>
      <c r="D30" s="26">
        <v>0</v>
      </c>
      <c r="E30" s="26">
        <v>0</v>
      </c>
      <c r="F30" s="26">
        <v>0</v>
      </c>
      <c r="G30" s="26">
        <v>0</v>
      </c>
      <c r="H30" s="26">
        <v>0</v>
      </c>
    </row>
    <row r="31" spans="2:13" ht="14.25" customHeight="1" x14ac:dyDescent="0.2">
      <c r="B31" s="27">
        <v>32628</v>
      </c>
      <c r="C31" s="25">
        <v>26.6</v>
      </c>
      <c r="D31" s="26">
        <v>0</v>
      </c>
      <c r="E31" s="26">
        <v>0</v>
      </c>
      <c r="F31" s="26">
        <v>0</v>
      </c>
      <c r="G31" s="26">
        <v>0</v>
      </c>
      <c r="H31" s="26">
        <v>0</v>
      </c>
    </row>
    <row r="32" spans="2:13" ht="14.25" customHeight="1" x14ac:dyDescent="0.2">
      <c r="B32" s="27">
        <v>32659</v>
      </c>
      <c r="C32" s="25">
        <v>24.8</v>
      </c>
      <c r="D32" s="26">
        <v>0</v>
      </c>
      <c r="E32" s="26">
        <v>0</v>
      </c>
      <c r="F32" s="26">
        <v>0</v>
      </c>
      <c r="G32" s="26">
        <v>0</v>
      </c>
      <c r="H32" s="26">
        <v>0</v>
      </c>
    </row>
    <row r="33" spans="2:8" ht="14.25" customHeight="1" x14ac:dyDescent="0.2">
      <c r="B33" s="27">
        <v>32689</v>
      </c>
      <c r="C33" s="25">
        <v>22.8</v>
      </c>
      <c r="D33" s="26">
        <v>0</v>
      </c>
      <c r="E33" s="26">
        <v>0</v>
      </c>
      <c r="F33" s="26">
        <v>0</v>
      </c>
      <c r="G33" s="26">
        <v>0</v>
      </c>
      <c r="H33" s="26">
        <v>0</v>
      </c>
    </row>
    <row r="34" spans="2:8" ht="15" customHeight="1" x14ac:dyDescent="0.2">
      <c r="B34" s="27">
        <v>32720</v>
      </c>
      <c r="C34" s="25">
        <v>19.399999999999999</v>
      </c>
      <c r="D34" s="26">
        <v>0</v>
      </c>
      <c r="E34" s="26">
        <v>0</v>
      </c>
      <c r="F34" s="26">
        <v>0</v>
      </c>
      <c r="G34" s="26">
        <v>0</v>
      </c>
      <c r="H34" s="26">
        <v>0</v>
      </c>
    </row>
    <row r="35" spans="2:8" ht="15" customHeight="1" x14ac:dyDescent="0.2">
      <c r="B35" s="27">
        <v>32751</v>
      </c>
      <c r="C35" s="25">
        <v>15.3</v>
      </c>
      <c r="D35" s="26">
        <v>0</v>
      </c>
      <c r="E35" s="26">
        <v>0</v>
      </c>
      <c r="F35" s="26">
        <v>0</v>
      </c>
      <c r="G35" s="26">
        <v>0</v>
      </c>
      <c r="H35" s="26">
        <v>0</v>
      </c>
    </row>
    <row r="36" spans="2:8" ht="15" customHeight="1" x14ac:dyDescent="0.2">
      <c r="B36" s="27">
        <v>32781</v>
      </c>
      <c r="C36" s="25">
        <v>11.5</v>
      </c>
      <c r="D36" s="26">
        <v>0</v>
      </c>
      <c r="E36" s="26">
        <v>0</v>
      </c>
      <c r="F36" s="26">
        <v>0</v>
      </c>
      <c r="G36" s="26">
        <v>0</v>
      </c>
      <c r="H36" s="26">
        <v>0</v>
      </c>
    </row>
    <row r="37" spans="2:8" ht="15" customHeight="1" x14ac:dyDescent="0.2">
      <c r="B37" s="27">
        <v>32812</v>
      </c>
      <c r="C37" s="25">
        <v>8.6</v>
      </c>
      <c r="D37" s="26">
        <v>0</v>
      </c>
      <c r="E37" s="26">
        <v>0</v>
      </c>
      <c r="F37" s="26">
        <v>0</v>
      </c>
      <c r="G37" s="26">
        <v>0</v>
      </c>
      <c r="H37" s="26">
        <v>0</v>
      </c>
    </row>
    <row r="38" spans="2:8" ht="15" customHeight="1" x14ac:dyDescent="0.2">
      <c r="B38" s="27">
        <v>32842</v>
      </c>
      <c r="C38" s="25">
        <v>7.4</v>
      </c>
      <c r="D38" s="26">
        <v>0</v>
      </c>
      <c r="E38" s="26">
        <v>0</v>
      </c>
      <c r="F38" s="26">
        <v>0</v>
      </c>
      <c r="G38" s="26">
        <v>0</v>
      </c>
      <c r="H38" s="26">
        <v>0</v>
      </c>
    </row>
    <row r="39" spans="2:8" ht="15" customHeight="1" x14ac:dyDescent="0.2">
      <c r="B39" s="27">
        <v>32873</v>
      </c>
      <c r="C39" s="25">
        <v>6.6</v>
      </c>
      <c r="D39" s="26">
        <v>0</v>
      </c>
      <c r="E39" s="26">
        <v>0</v>
      </c>
      <c r="F39" s="26">
        <v>0</v>
      </c>
      <c r="G39" s="26">
        <v>0</v>
      </c>
      <c r="H39" s="26">
        <v>0</v>
      </c>
    </row>
    <row r="40" spans="2:8" ht="15" customHeight="1" x14ac:dyDescent="0.2">
      <c r="B40" s="27">
        <v>32904</v>
      </c>
      <c r="C40" s="25">
        <v>4.3</v>
      </c>
      <c r="D40" s="26">
        <v>0</v>
      </c>
      <c r="E40" s="26">
        <v>0</v>
      </c>
      <c r="F40" s="26">
        <v>0</v>
      </c>
      <c r="G40" s="26">
        <v>0</v>
      </c>
      <c r="H40" s="26">
        <v>0</v>
      </c>
    </row>
    <row r="41" spans="2:8" x14ac:dyDescent="0.2">
      <c r="B41" s="27">
        <v>32932</v>
      </c>
      <c r="C41" s="25">
        <v>4.4000000000000004</v>
      </c>
      <c r="D41" s="26">
        <v>0</v>
      </c>
      <c r="E41" s="26">
        <v>0</v>
      </c>
      <c r="F41" s="26">
        <v>0</v>
      </c>
      <c r="G41" s="26">
        <v>0</v>
      </c>
      <c r="H41" s="26">
        <v>0</v>
      </c>
    </row>
    <row r="42" spans="2:8" x14ac:dyDescent="0.2">
      <c r="B42" s="27">
        <v>32963</v>
      </c>
      <c r="C42" s="25">
        <v>3.4</v>
      </c>
      <c r="D42" s="26">
        <v>0</v>
      </c>
      <c r="E42" s="26">
        <v>0</v>
      </c>
      <c r="F42" s="26">
        <v>0</v>
      </c>
      <c r="G42" s="26">
        <v>0</v>
      </c>
      <c r="H42" s="26">
        <v>0</v>
      </c>
    </row>
    <row r="43" spans="2:8" x14ac:dyDescent="0.2">
      <c r="B43" s="27">
        <v>32993</v>
      </c>
      <c r="C43" s="25">
        <v>3.2</v>
      </c>
      <c r="D43" s="26">
        <v>0</v>
      </c>
      <c r="E43" s="26">
        <v>0</v>
      </c>
      <c r="F43" s="26">
        <v>0</v>
      </c>
      <c r="G43" s="26">
        <v>0</v>
      </c>
      <c r="H43" s="26">
        <v>0</v>
      </c>
    </row>
    <row r="44" spans="2:8" x14ac:dyDescent="0.2">
      <c r="B44" s="27">
        <v>33024</v>
      </c>
      <c r="C44" s="25">
        <v>2.7</v>
      </c>
      <c r="D44" s="26">
        <v>0</v>
      </c>
      <c r="E44" s="26">
        <v>0</v>
      </c>
      <c r="F44" s="26">
        <v>0</v>
      </c>
      <c r="G44" s="26">
        <v>0</v>
      </c>
      <c r="H44" s="26">
        <v>0</v>
      </c>
    </row>
    <row r="45" spans="2:8" x14ac:dyDescent="0.2">
      <c r="B45" s="27">
        <v>33054</v>
      </c>
      <c r="C45" s="25">
        <v>1.1000000000000001</v>
      </c>
      <c r="D45" s="26">
        <v>0</v>
      </c>
      <c r="E45" s="26">
        <v>0</v>
      </c>
      <c r="F45" s="26">
        <v>0</v>
      </c>
      <c r="G45" s="26">
        <v>0</v>
      </c>
      <c r="H45" s="26">
        <v>0</v>
      </c>
    </row>
    <row r="46" spans="2:8" x14ac:dyDescent="0.2">
      <c r="B46" s="27">
        <v>33085</v>
      </c>
      <c r="C46" s="25">
        <v>1.1000000000000001</v>
      </c>
      <c r="D46" s="26">
        <v>0</v>
      </c>
      <c r="E46" s="26">
        <v>0</v>
      </c>
      <c r="F46" s="26">
        <v>0</v>
      </c>
      <c r="G46" s="26">
        <v>0</v>
      </c>
      <c r="H46" s="26">
        <v>0</v>
      </c>
    </row>
    <row r="47" spans="2:8" x14ac:dyDescent="0.2">
      <c r="B47" s="27">
        <v>33116</v>
      </c>
      <c r="C47" s="25">
        <v>2.5</v>
      </c>
      <c r="D47" s="26">
        <v>0</v>
      </c>
      <c r="E47" s="26">
        <v>0</v>
      </c>
      <c r="F47" s="26">
        <v>0</v>
      </c>
      <c r="G47" s="26">
        <v>0</v>
      </c>
      <c r="H47" s="26">
        <v>0</v>
      </c>
    </row>
    <row r="48" spans="2:8" x14ac:dyDescent="0.2">
      <c r="B48" s="27">
        <v>33146</v>
      </c>
      <c r="C48" s="25">
        <v>2.9</v>
      </c>
      <c r="D48" s="26">
        <v>0</v>
      </c>
      <c r="E48" s="26">
        <v>0</v>
      </c>
      <c r="F48" s="26">
        <v>0</v>
      </c>
      <c r="G48" s="26">
        <v>0</v>
      </c>
      <c r="H48" s="26">
        <v>0</v>
      </c>
    </row>
    <row r="49" spans="2:8" x14ac:dyDescent="0.2">
      <c r="B49" s="27">
        <v>33177</v>
      </c>
      <c r="C49" s="25">
        <v>3.1</v>
      </c>
      <c r="D49" s="26">
        <v>0</v>
      </c>
      <c r="E49" s="26">
        <v>0</v>
      </c>
      <c r="F49" s="26">
        <v>0</v>
      </c>
      <c r="G49" s="26">
        <v>0</v>
      </c>
      <c r="H49" s="26">
        <v>0</v>
      </c>
    </row>
    <row r="50" spans="2:8" x14ac:dyDescent="0.2">
      <c r="B50" s="27">
        <v>33207</v>
      </c>
      <c r="C50" s="25">
        <v>3.7</v>
      </c>
      <c r="D50" s="26">
        <v>0</v>
      </c>
      <c r="E50" s="26">
        <v>0</v>
      </c>
      <c r="F50" s="26">
        <v>0</v>
      </c>
      <c r="G50" s="26">
        <v>0</v>
      </c>
      <c r="H50" s="26">
        <v>0</v>
      </c>
    </row>
    <row r="51" spans="2:8" x14ac:dyDescent="0.2">
      <c r="B51" s="27">
        <v>33238</v>
      </c>
      <c r="C51" s="25">
        <v>4.3</v>
      </c>
      <c r="D51" s="26">
        <v>0</v>
      </c>
      <c r="E51" s="26">
        <v>0</v>
      </c>
      <c r="F51" s="26">
        <v>0</v>
      </c>
      <c r="G51" s="26">
        <v>0</v>
      </c>
      <c r="H51" s="26">
        <v>0</v>
      </c>
    </row>
    <row r="52" spans="2:8" x14ac:dyDescent="0.2">
      <c r="B52" s="27">
        <v>33269</v>
      </c>
      <c r="C52" s="25">
        <v>2.2000000000000002</v>
      </c>
      <c r="D52" s="26">
        <v>0</v>
      </c>
      <c r="E52" s="26">
        <v>0</v>
      </c>
      <c r="F52" s="26">
        <v>0</v>
      </c>
      <c r="G52" s="26">
        <v>0</v>
      </c>
      <c r="H52" s="26">
        <v>0</v>
      </c>
    </row>
    <row r="53" spans="2:8" x14ac:dyDescent="0.2">
      <c r="B53" s="27">
        <v>33297</v>
      </c>
      <c r="C53" s="25">
        <v>1</v>
      </c>
      <c r="D53" s="26">
        <v>0</v>
      </c>
      <c r="E53" s="26">
        <v>0</v>
      </c>
      <c r="F53" s="26">
        <v>0</v>
      </c>
      <c r="G53" s="26">
        <v>0</v>
      </c>
      <c r="H53" s="26">
        <v>0</v>
      </c>
    </row>
    <row r="54" spans="2:8" x14ac:dyDescent="0.2">
      <c r="B54" s="27">
        <v>33328</v>
      </c>
      <c r="C54" s="25">
        <v>1.6</v>
      </c>
      <c r="D54" s="26">
        <v>0</v>
      </c>
      <c r="E54" s="26">
        <v>0</v>
      </c>
      <c r="F54" s="26">
        <v>0</v>
      </c>
      <c r="G54" s="26">
        <v>0</v>
      </c>
      <c r="H54" s="26">
        <v>0</v>
      </c>
    </row>
    <row r="55" spans="2:8" x14ac:dyDescent="0.2">
      <c r="B55" s="27">
        <v>33358</v>
      </c>
      <c r="C55" s="25">
        <v>1.3</v>
      </c>
      <c r="D55" s="26">
        <v>0</v>
      </c>
      <c r="E55" s="26">
        <v>0</v>
      </c>
      <c r="F55" s="26">
        <v>0</v>
      </c>
      <c r="G55" s="26">
        <v>0</v>
      </c>
      <c r="H55" s="26">
        <v>0</v>
      </c>
    </row>
    <row r="56" spans="2:8" x14ac:dyDescent="0.2">
      <c r="B56" s="27">
        <v>33389</v>
      </c>
      <c r="C56" s="25">
        <v>3.6</v>
      </c>
      <c r="D56" s="26">
        <v>0</v>
      </c>
      <c r="E56" s="26">
        <v>0</v>
      </c>
      <c r="F56" s="26">
        <v>0</v>
      </c>
      <c r="G56" s="26">
        <v>0</v>
      </c>
      <c r="H56" s="26">
        <v>0</v>
      </c>
    </row>
    <row r="57" spans="2:8" x14ac:dyDescent="0.2">
      <c r="B57" s="27">
        <v>33419</v>
      </c>
      <c r="C57" s="25">
        <v>4.4000000000000004</v>
      </c>
      <c r="D57" s="26">
        <v>0</v>
      </c>
      <c r="E57" s="26">
        <v>0</v>
      </c>
      <c r="F57" s="26">
        <v>0</v>
      </c>
      <c r="G57" s="26">
        <v>0</v>
      </c>
      <c r="H57" s="26">
        <v>0</v>
      </c>
    </row>
    <row r="58" spans="2:8" x14ac:dyDescent="0.2">
      <c r="B58" s="27">
        <v>33450</v>
      </c>
      <c r="C58" s="25">
        <v>4.7</v>
      </c>
      <c r="D58" s="26">
        <v>0</v>
      </c>
      <c r="E58" s="26">
        <v>0</v>
      </c>
      <c r="F58" s="26">
        <v>0</v>
      </c>
      <c r="G58" s="26">
        <v>0</v>
      </c>
      <c r="H58" s="26">
        <v>0</v>
      </c>
    </row>
    <row r="59" spans="2:8" x14ac:dyDescent="0.2">
      <c r="B59" s="27">
        <v>33481</v>
      </c>
      <c r="C59" s="25">
        <v>4.9000000000000004</v>
      </c>
      <c r="D59" s="26">
        <v>0</v>
      </c>
      <c r="E59" s="26">
        <v>0</v>
      </c>
      <c r="F59" s="26">
        <v>0</v>
      </c>
      <c r="G59" s="26">
        <v>0</v>
      </c>
      <c r="H59" s="26">
        <v>0</v>
      </c>
    </row>
    <row r="60" spans="2:8" x14ac:dyDescent="0.2">
      <c r="B60" s="27">
        <v>33511</v>
      </c>
      <c r="C60" s="25">
        <v>4.5</v>
      </c>
      <c r="D60" s="26">
        <v>0</v>
      </c>
      <c r="E60" s="26">
        <v>0</v>
      </c>
      <c r="F60" s="26">
        <v>0</v>
      </c>
      <c r="G60" s="26">
        <v>0</v>
      </c>
      <c r="H60" s="26">
        <v>0</v>
      </c>
    </row>
    <row r="61" spans="2:8" x14ac:dyDescent="0.2">
      <c r="B61" s="27">
        <v>33542</v>
      </c>
      <c r="C61" s="25">
        <v>4.8</v>
      </c>
      <c r="D61" s="26">
        <v>0</v>
      </c>
      <c r="E61" s="26">
        <v>0</v>
      </c>
      <c r="F61" s="26">
        <v>0</v>
      </c>
      <c r="G61" s="26">
        <v>0</v>
      </c>
      <c r="H61" s="26">
        <v>0</v>
      </c>
    </row>
    <row r="62" spans="2:8" x14ac:dyDescent="0.2">
      <c r="B62" s="27">
        <v>33572</v>
      </c>
      <c r="C62" s="25">
        <v>4.4000000000000004</v>
      </c>
      <c r="D62" s="26">
        <v>0</v>
      </c>
      <c r="E62" s="26">
        <v>0</v>
      </c>
      <c r="F62" s="26">
        <v>0</v>
      </c>
      <c r="G62" s="26">
        <v>0</v>
      </c>
      <c r="H62" s="26">
        <v>0</v>
      </c>
    </row>
    <row r="63" spans="2:8" x14ac:dyDescent="0.2">
      <c r="B63" s="27">
        <v>33603</v>
      </c>
      <c r="C63" s="25">
        <v>4.5</v>
      </c>
      <c r="D63" s="26">
        <v>0</v>
      </c>
      <c r="E63" s="26">
        <v>0</v>
      </c>
      <c r="F63" s="26">
        <v>0</v>
      </c>
      <c r="G63" s="26">
        <v>0</v>
      </c>
      <c r="H63" s="26">
        <v>0</v>
      </c>
    </row>
    <row r="64" spans="2:8" x14ac:dyDescent="0.2">
      <c r="B64" s="27">
        <v>33634</v>
      </c>
      <c r="C64" s="25">
        <v>5.5</v>
      </c>
      <c r="D64" s="26">
        <v>0</v>
      </c>
      <c r="E64" s="26">
        <v>0</v>
      </c>
      <c r="F64" s="26">
        <v>0</v>
      </c>
      <c r="G64" s="26">
        <v>0</v>
      </c>
      <c r="H64" s="26">
        <v>0</v>
      </c>
    </row>
    <row r="65" spans="2:8" x14ac:dyDescent="0.2">
      <c r="B65" s="27">
        <v>33663</v>
      </c>
      <c r="C65" s="25">
        <v>5.3</v>
      </c>
      <c r="D65" s="26">
        <v>0</v>
      </c>
      <c r="E65" s="26">
        <v>0</v>
      </c>
      <c r="F65" s="26">
        <v>0</v>
      </c>
      <c r="G65" s="26">
        <v>0</v>
      </c>
      <c r="H65" s="26">
        <v>0</v>
      </c>
    </row>
    <row r="66" spans="2:8" x14ac:dyDescent="0.2">
      <c r="B66" s="27">
        <v>33694</v>
      </c>
      <c r="C66" s="25">
        <v>5.3</v>
      </c>
      <c r="D66" s="26">
        <v>0</v>
      </c>
      <c r="E66" s="26">
        <v>0</v>
      </c>
      <c r="F66" s="26">
        <v>0</v>
      </c>
      <c r="G66" s="26">
        <v>0</v>
      </c>
      <c r="H66" s="26">
        <v>0</v>
      </c>
    </row>
    <row r="67" spans="2:8" x14ac:dyDescent="0.2">
      <c r="B67" s="27">
        <v>33724</v>
      </c>
      <c r="C67" s="25">
        <v>7.1</v>
      </c>
      <c r="D67" s="26">
        <v>0</v>
      </c>
      <c r="E67" s="26">
        <v>0</v>
      </c>
      <c r="F67" s="26">
        <v>0</v>
      </c>
      <c r="G67" s="26">
        <v>0</v>
      </c>
      <c r="H67" s="26">
        <v>0</v>
      </c>
    </row>
    <row r="68" spans="2:8" x14ac:dyDescent="0.2">
      <c r="B68" s="27">
        <v>33755</v>
      </c>
      <c r="C68" s="25">
        <v>4.7</v>
      </c>
      <c r="D68" s="26">
        <v>0</v>
      </c>
      <c r="E68" s="26">
        <v>0</v>
      </c>
      <c r="F68" s="26">
        <v>0</v>
      </c>
      <c r="G68" s="26">
        <v>0</v>
      </c>
      <c r="H68" s="26">
        <v>0</v>
      </c>
    </row>
    <row r="69" spans="2:8" x14ac:dyDescent="0.2">
      <c r="B69" s="27">
        <v>33785</v>
      </c>
      <c r="C69" s="25">
        <v>4.8</v>
      </c>
      <c r="D69" s="26">
        <v>0</v>
      </c>
      <c r="E69" s="26">
        <v>0</v>
      </c>
      <c r="F69" s="26">
        <v>0</v>
      </c>
      <c r="G69" s="26">
        <v>0</v>
      </c>
      <c r="H69" s="26">
        <v>0</v>
      </c>
    </row>
    <row r="70" spans="2:8" x14ac:dyDescent="0.2">
      <c r="B70" s="27">
        <v>33816</v>
      </c>
      <c r="C70" s="25">
        <v>5.2</v>
      </c>
      <c r="D70" s="26">
        <v>0</v>
      </c>
      <c r="E70" s="26">
        <v>0</v>
      </c>
      <c r="F70" s="26">
        <v>0</v>
      </c>
      <c r="G70" s="26">
        <v>0</v>
      </c>
      <c r="H70" s="26">
        <v>0</v>
      </c>
    </row>
    <row r="71" spans="2:8" x14ac:dyDescent="0.2">
      <c r="B71" s="27">
        <v>33847</v>
      </c>
      <c r="C71" s="25">
        <v>5.8</v>
      </c>
      <c r="D71" s="26">
        <v>0</v>
      </c>
      <c r="E71" s="26">
        <v>0</v>
      </c>
      <c r="F71" s="26">
        <v>0</v>
      </c>
      <c r="G71" s="26">
        <v>0</v>
      </c>
      <c r="H71" s="26">
        <v>0</v>
      </c>
    </row>
    <row r="72" spans="2:8" x14ac:dyDescent="0.2">
      <c r="B72" s="27">
        <v>33877</v>
      </c>
      <c r="C72" s="25">
        <v>7.5</v>
      </c>
      <c r="D72" s="26">
        <v>0</v>
      </c>
      <c r="E72" s="26">
        <v>0</v>
      </c>
      <c r="F72" s="26">
        <v>0</v>
      </c>
      <c r="G72" s="26">
        <v>0</v>
      </c>
      <c r="H72" s="26">
        <v>0</v>
      </c>
    </row>
    <row r="73" spans="2:8" x14ac:dyDescent="0.2">
      <c r="B73" s="27">
        <v>33908</v>
      </c>
      <c r="C73" s="25">
        <v>7.9</v>
      </c>
      <c r="D73" s="26">
        <v>0</v>
      </c>
      <c r="E73" s="26">
        <v>0</v>
      </c>
      <c r="F73" s="26">
        <v>0</v>
      </c>
      <c r="G73" s="26">
        <v>0</v>
      </c>
      <c r="H73" s="26">
        <v>0</v>
      </c>
    </row>
    <row r="74" spans="2:8" x14ac:dyDescent="0.2">
      <c r="B74" s="27">
        <v>33938</v>
      </c>
      <c r="C74" s="25">
        <v>8.1999999999999993</v>
      </c>
      <c r="D74" s="26">
        <v>0</v>
      </c>
      <c r="E74" s="26">
        <v>0</v>
      </c>
      <c r="F74" s="26">
        <v>0</v>
      </c>
      <c r="G74" s="26">
        <v>0</v>
      </c>
      <c r="H74" s="26">
        <v>0</v>
      </c>
    </row>
    <row r="75" spans="2:8" x14ac:dyDescent="0.2">
      <c r="B75" s="27">
        <v>33969</v>
      </c>
      <c r="C75" s="25">
        <v>8.8000000000000007</v>
      </c>
      <c r="D75" s="26">
        <v>0</v>
      </c>
      <c r="E75" s="26">
        <v>0</v>
      </c>
      <c r="F75" s="26">
        <v>0</v>
      </c>
      <c r="G75" s="26">
        <v>0</v>
      </c>
      <c r="H75" s="26">
        <v>0</v>
      </c>
    </row>
    <row r="76" spans="2:8" x14ac:dyDescent="0.2">
      <c r="B76" s="27">
        <v>34000</v>
      </c>
      <c r="C76" s="25">
        <v>10.3</v>
      </c>
      <c r="D76" s="26">
        <v>0</v>
      </c>
      <c r="E76" s="26">
        <v>0</v>
      </c>
      <c r="F76" s="26">
        <v>0</v>
      </c>
      <c r="G76" s="26">
        <v>0</v>
      </c>
      <c r="H76" s="26">
        <v>0</v>
      </c>
    </row>
    <row r="77" spans="2:8" x14ac:dyDescent="0.2">
      <c r="B77" s="27">
        <v>34028</v>
      </c>
      <c r="C77" s="25">
        <v>10.5</v>
      </c>
      <c r="D77" s="26">
        <v>0</v>
      </c>
      <c r="E77" s="26">
        <v>0</v>
      </c>
      <c r="F77" s="26">
        <v>0</v>
      </c>
      <c r="G77" s="26">
        <v>0</v>
      </c>
      <c r="H77" s="26">
        <v>0</v>
      </c>
    </row>
    <row r="78" spans="2:8" x14ac:dyDescent="0.2">
      <c r="B78" s="27">
        <v>34059</v>
      </c>
      <c r="C78" s="25">
        <v>12.2</v>
      </c>
      <c r="D78" s="26">
        <v>0</v>
      </c>
      <c r="E78" s="26">
        <v>0</v>
      </c>
      <c r="F78" s="26">
        <v>0</v>
      </c>
      <c r="G78" s="26">
        <v>0</v>
      </c>
      <c r="H78" s="26">
        <v>0</v>
      </c>
    </row>
    <row r="79" spans="2:8" x14ac:dyDescent="0.2">
      <c r="B79" s="27">
        <v>34089</v>
      </c>
      <c r="C79" s="25">
        <v>12.6</v>
      </c>
      <c r="D79" s="26">
        <v>0</v>
      </c>
      <c r="E79" s="26">
        <v>0</v>
      </c>
      <c r="F79" s="26">
        <v>0</v>
      </c>
      <c r="G79" s="26">
        <v>0</v>
      </c>
      <c r="H79" s="26">
        <v>0</v>
      </c>
    </row>
    <row r="80" spans="2:8" x14ac:dyDescent="0.2">
      <c r="B80" s="27">
        <v>34120</v>
      </c>
      <c r="C80" s="25">
        <v>14</v>
      </c>
      <c r="D80" s="26">
        <v>0</v>
      </c>
      <c r="E80" s="26">
        <v>0</v>
      </c>
      <c r="F80" s="26">
        <v>0</v>
      </c>
      <c r="G80" s="26">
        <v>0</v>
      </c>
      <c r="H80" s="26">
        <v>0</v>
      </c>
    </row>
    <row r="81" spans="2:8" x14ac:dyDescent="0.2">
      <c r="B81" s="27">
        <v>34150</v>
      </c>
      <c r="C81" s="25">
        <v>15.1</v>
      </c>
      <c r="D81" s="26">
        <v>0</v>
      </c>
      <c r="E81" s="26">
        <v>0</v>
      </c>
      <c r="F81" s="26">
        <v>0</v>
      </c>
      <c r="G81" s="26">
        <v>0</v>
      </c>
      <c r="H81" s="26">
        <v>0</v>
      </c>
    </row>
    <row r="82" spans="2:8" x14ac:dyDescent="0.2">
      <c r="B82" s="27">
        <v>34181</v>
      </c>
      <c r="C82" s="25">
        <v>16.2</v>
      </c>
      <c r="D82" s="26">
        <v>0</v>
      </c>
      <c r="E82" s="26">
        <v>0</v>
      </c>
      <c r="F82" s="26">
        <v>0</v>
      </c>
      <c r="G82" s="26">
        <v>0</v>
      </c>
      <c r="H82" s="26">
        <v>0</v>
      </c>
    </row>
    <row r="83" spans="2:8" x14ac:dyDescent="0.2">
      <c r="B83" s="27">
        <v>34212</v>
      </c>
      <c r="C83" s="25">
        <v>16</v>
      </c>
      <c r="D83" s="26">
        <v>0</v>
      </c>
      <c r="E83" s="26">
        <v>0</v>
      </c>
      <c r="F83" s="26">
        <v>0</v>
      </c>
      <c r="G83" s="26">
        <v>0</v>
      </c>
      <c r="H83" s="26">
        <v>0</v>
      </c>
    </row>
    <row r="84" spans="2:8" x14ac:dyDescent="0.2">
      <c r="B84" s="27">
        <v>34242</v>
      </c>
      <c r="C84" s="25">
        <v>15.7</v>
      </c>
      <c r="D84" s="26">
        <v>0</v>
      </c>
      <c r="E84" s="26">
        <v>0</v>
      </c>
      <c r="F84" s="26">
        <v>0</v>
      </c>
      <c r="G84" s="26">
        <v>0</v>
      </c>
      <c r="H84" s="26">
        <v>0</v>
      </c>
    </row>
    <row r="85" spans="2:8" x14ac:dyDescent="0.2">
      <c r="B85" s="27">
        <v>34273</v>
      </c>
      <c r="C85" s="25">
        <v>15.9</v>
      </c>
      <c r="D85" s="26">
        <v>0</v>
      </c>
      <c r="E85" s="26">
        <v>0</v>
      </c>
      <c r="F85" s="26">
        <v>0</v>
      </c>
      <c r="G85" s="26">
        <v>0</v>
      </c>
      <c r="H85" s="26">
        <v>0</v>
      </c>
    </row>
    <row r="86" spans="2:8" x14ac:dyDescent="0.2">
      <c r="B86" s="27">
        <v>34303</v>
      </c>
      <c r="C86" s="25">
        <v>16.7</v>
      </c>
      <c r="D86" s="26">
        <v>0</v>
      </c>
      <c r="E86" s="26">
        <v>0</v>
      </c>
      <c r="F86" s="26">
        <v>0</v>
      </c>
      <c r="G86" s="26">
        <v>0</v>
      </c>
      <c r="H86" s="26">
        <v>0</v>
      </c>
    </row>
    <row r="87" spans="2:8" x14ac:dyDescent="0.2">
      <c r="B87" s="27">
        <v>34334</v>
      </c>
      <c r="C87" s="25">
        <v>18.8</v>
      </c>
      <c r="D87" s="26">
        <v>0</v>
      </c>
      <c r="E87" s="26">
        <v>0</v>
      </c>
      <c r="F87" s="26">
        <v>0</v>
      </c>
      <c r="G87" s="26">
        <v>0</v>
      </c>
      <c r="H87" s="26">
        <v>0</v>
      </c>
    </row>
    <row r="88" spans="2:8" x14ac:dyDescent="0.2">
      <c r="B88" s="27">
        <v>34365</v>
      </c>
      <c r="C88" s="25">
        <v>21.1</v>
      </c>
      <c r="D88" s="26">
        <v>23.8</v>
      </c>
      <c r="E88" s="26">
        <v>0</v>
      </c>
      <c r="F88" s="26">
        <v>0</v>
      </c>
      <c r="G88" s="26">
        <v>0</v>
      </c>
      <c r="H88" s="26">
        <v>0</v>
      </c>
    </row>
    <row r="89" spans="2:8" x14ac:dyDescent="0.2">
      <c r="B89" s="27">
        <v>34393</v>
      </c>
      <c r="C89" s="25">
        <v>23.2</v>
      </c>
      <c r="D89" s="26">
        <v>28.4</v>
      </c>
      <c r="E89" s="26">
        <v>0</v>
      </c>
      <c r="F89" s="26">
        <v>0</v>
      </c>
      <c r="G89" s="26">
        <v>0</v>
      </c>
      <c r="H89" s="26">
        <v>0</v>
      </c>
    </row>
    <row r="90" spans="2:8" x14ac:dyDescent="0.2">
      <c r="B90" s="27">
        <v>34424</v>
      </c>
      <c r="C90" s="25">
        <v>22.4</v>
      </c>
      <c r="D90" s="26">
        <v>27</v>
      </c>
      <c r="E90" s="26">
        <v>0</v>
      </c>
      <c r="F90" s="26">
        <v>0</v>
      </c>
      <c r="G90" s="26">
        <v>0</v>
      </c>
      <c r="H90" s="26">
        <v>0</v>
      </c>
    </row>
    <row r="91" spans="2:8" x14ac:dyDescent="0.2">
      <c r="B91" s="27">
        <v>34454</v>
      </c>
      <c r="C91" s="25">
        <v>21.7</v>
      </c>
      <c r="D91" s="26">
        <v>25.6</v>
      </c>
      <c r="E91" s="26">
        <v>0</v>
      </c>
      <c r="F91" s="26">
        <v>0</v>
      </c>
      <c r="G91" s="26">
        <v>0</v>
      </c>
      <c r="H91" s="26">
        <v>0</v>
      </c>
    </row>
    <row r="92" spans="2:8" x14ac:dyDescent="0.2">
      <c r="B92" s="27">
        <v>34485</v>
      </c>
      <c r="C92" s="25">
        <v>21.3</v>
      </c>
      <c r="D92" s="26">
        <v>25.3</v>
      </c>
      <c r="E92" s="26">
        <v>0</v>
      </c>
      <c r="F92" s="26">
        <v>0</v>
      </c>
      <c r="G92" s="26">
        <v>0</v>
      </c>
      <c r="H92" s="26">
        <v>0</v>
      </c>
    </row>
    <row r="93" spans="2:8" x14ac:dyDescent="0.2">
      <c r="B93" s="27">
        <v>34515</v>
      </c>
      <c r="C93" s="25">
        <v>22.6</v>
      </c>
      <c r="D93" s="26">
        <v>28.5</v>
      </c>
      <c r="E93" s="26">
        <v>0</v>
      </c>
      <c r="F93" s="26">
        <v>0</v>
      </c>
      <c r="G93" s="26">
        <v>0</v>
      </c>
      <c r="H93" s="26">
        <v>0</v>
      </c>
    </row>
    <row r="94" spans="2:8" x14ac:dyDescent="0.2">
      <c r="B94" s="27">
        <v>34546</v>
      </c>
      <c r="C94" s="25">
        <v>24</v>
      </c>
      <c r="D94" s="26">
        <v>32.1</v>
      </c>
      <c r="E94" s="26">
        <v>0</v>
      </c>
      <c r="F94" s="26">
        <v>0</v>
      </c>
      <c r="G94" s="26">
        <v>0</v>
      </c>
      <c r="H94" s="26">
        <v>0</v>
      </c>
    </row>
    <row r="95" spans="2:8" x14ac:dyDescent="0.2">
      <c r="B95" s="27">
        <v>34577</v>
      </c>
      <c r="C95" s="25">
        <v>25.8</v>
      </c>
      <c r="D95" s="26">
        <v>36.5</v>
      </c>
      <c r="E95" s="26">
        <v>0</v>
      </c>
      <c r="F95" s="26">
        <v>0</v>
      </c>
      <c r="G95" s="26">
        <v>0</v>
      </c>
      <c r="H95" s="26">
        <v>0</v>
      </c>
    </row>
    <row r="96" spans="2:8" x14ac:dyDescent="0.2">
      <c r="B96" s="27">
        <v>34607</v>
      </c>
      <c r="C96" s="25">
        <v>27.3</v>
      </c>
      <c r="D96" s="26">
        <v>39.200000000000003</v>
      </c>
      <c r="E96" s="26">
        <v>0</v>
      </c>
      <c r="F96" s="26">
        <v>0</v>
      </c>
      <c r="G96" s="26">
        <v>0</v>
      </c>
      <c r="H96" s="26">
        <v>0</v>
      </c>
    </row>
    <row r="97" spans="2:8" x14ac:dyDescent="0.2">
      <c r="B97" s="27">
        <v>34638</v>
      </c>
      <c r="C97" s="25">
        <v>27.7</v>
      </c>
      <c r="D97" s="26">
        <v>40.200000000000003</v>
      </c>
      <c r="E97" s="26">
        <v>0</v>
      </c>
      <c r="F97" s="26">
        <v>0</v>
      </c>
      <c r="G97" s="26">
        <v>0</v>
      </c>
      <c r="H97" s="26">
        <v>0</v>
      </c>
    </row>
    <row r="98" spans="2:8" x14ac:dyDescent="0.2">
      <c r="B98" s="27">
        <v>34668</v>
      </c>
      <c r="C98" s="25">
        <v>27.5</v>
      </c>
      <c r="D98" s="26">
        <v>39.700000000000003</v>
      </c>
      <c r="E98" s="26">
        <v>0</v>
      </c>
      <c r="F98" s="26">
        <v>0</v>
      </c>
      <c r="G98" s="26">
        <v>0</v>
      </c>
      <c r="H98" s="26">
        <v>0</v>
      </c>
    </row>
    <row r="99" spans="2:8" x14ac:dyDescent="0.2">
      <c r="B99" s="27">
        <v>34699</v>
      </c>
      <c r="C99" s="25">
        <v>25.5</v>
      </c>
      <c r="D99" s="26">
        <v>35.5</v>
      </c>
      <c r="E99" s="26">
        <v>0</v>
      </c>
      <c r="F99" s="26">
        <v>0</v>
      </c>
      <c r="G99" s="26">
        <v>0</v>
      </c>
      <c r="H99" s="26">
        <v>0</v>
      </c>
    </row>
    <row r="100" spans="2:8" x14ac:dyDescent="0.2">
      <c r="B100" s="27">
        <v>34730</v>
      </c>
      <c r="C100" s="25">
        <v>24.1</v>
      </c>
      <c r="D100" s="26">
        <v>35.700000000000003</v>
      </c>
      <c r="E100" s="26">
        <v>0</v>
      </c>
      <c r="F100" s="26">
        <v>0</v>
      </c>
      <c r="G100" s="26">
        <v>0</v>
      </c>
      <c r="H100" s="26">
        <v>0</v>
      </c>
    </row>
    <row r="101" spans="2:8" x14ac:dyDescent="0.2">
      <c r="B101" s="27">
        <v>34758</v>
      </c>
      <c r="C101" s="25">
        <v>22.4</v>
      </c>
      <c r="D101" s="26">
        <v>32.1</v>
      </c>
      <c r="E101" s="26">
        <v>0</v>
      </c>
      <c r="F101" s="26">
        <v>0</v>
      </c>
      <c r="G101" s="26">
        <v>0</v>
      </c>
      <c r="H101" s="26">
        <v>0</v>
      </c>
    </row>
    <row r="102" spans="2:8" x14ac:dyDescent="0.2">
      <c r="B102" s="27">
        <v>34789</v>
      </c>
      <c r="C102" s="25">
        <v>21.3</v>
      </c>
      <c r="D102" s="26">
        <v>30.6</v>
      </c>
      <c r="E102" s="26">
        <v>0</v>
      </c>
      <c r="F102" s="26">
        <v>0</v>
      </c>
      <c r="G102" s="26">
        <v>0</v>
      </c>
      <c r="H102" s="26">
        <v>0</v>
      </c>
    </row>
    <row r="103" spans="2:8" x14ac:dyDescent="0.2">
      <c r="B103" s="27">
        <v>34819</v>
      </c>
      <c r="C103" s="25">
        <v>20.7</v>
      </c>
      <c r="D103" s="26">
        <v>30</v>
      </c>
      <c r="E103" s="26">
        <v>0</v>
      </c>
      <c r="F103" s="26">
        <v>0</v>
      </c>
      <c r="G103" s="26">
        <v>0</v>
      </c>
      <c r="H103" s="26">
        <v>0</v>
      </c>
    </row>
    <row r="104" spans="2:8" x14ac:dyDescent="0.2">
      <c r="B104" s="27">
        <v>34850</v>
      </c>
      <c r="C104" s="25">
        <v>20.3</v>
      </c>
      <c r="D104" s="26">
        <v>29.2</v>
      </c>
      <c r="E104" s="26">
        <v>0</v>
      </c>
      <c r="F104" s="26">
        <v>0</v>
      </c>
      <c r="G104" s="26">
        <v>0</v>
      </c>
      <c r="H104" s="26">
        <v>0</v>
      </c>
    </row>
    <row r="105" spans="2:8" x14ac:dyDescent="0.2">
      <c r="B105" s="27">
        <v>34880</v>
      </c>
      <c r="C105" s="25">
        <v>18.2</v>
      </c>
      <c r="D105" s="26">
        <v>25.3</v>
      </c>
      <c r="E105" s="26">
        <v>0</v>
      </c>
      <c r="F105" s="26">
        <v>0</v>
      </c>
      <c r="G105" s="26">
        <v>0</v>
      </c>
      <c r="H105" s="26">
        <v>0</v>
      </c>
    </row>
    <row r="106" spans="2:8" x14ac:dyDescent="0.2">
      <c r="B106" s="27">
        <v>34911</v>
      </c>
      <c r="C106" s="25">
        <v>16.7</v>
      </c>
      <c r="D106" s="26">
        <v>22.2</v>
      </c>
      <c r="E106" s="26">
        <v>0</v>
      </c>
      <c r="F106" s="26">
        <v>0</v>
      </c>
      <c r="G106" s="26">
        <v>0</v>
      </c>
      <c r="H106" s="26">
        <v>0</v>
      </c>
    </row>
    <row r="107" spans="2:8" x14ac:dyDescent="0.2">
      <c r="B107" s="27">
        <v>34942</v>
      </c>
      <c r="C107" s="25">
        <v>14.5</v>
      </c>
      <c r="D107" s="26">
        <v>17.899999999999999</v>
      </c>
      <c r="E107" s="26">
        <v>0</v>
      </c>
      <c r="F107" s="26">
        <v>0</v>
      </c>
      <c r="G107" s="26">
        <v>0</v>
      </c>
      <c r="H107" s="26">
        <v>0</v>
      </c>
    </row>
    <row r="108" spans="2:8" x14ac:dyDescent="0.2">
      <c r="B108" s="27">
        <v>34972</v>
      </c>
      <c r="C108" s="25">
        <v>13.2</v>
      </c>
      <c r="D108" s="26">
        <v>16.100000000000001</v>
      </c>
      <c r="E108" s="26">
        <v>0</v>
      </c>
      <c r="F108" s="26">
        <v>0</v>
      </c>
      <c r="G108" s="26">
        <v>0</v>
      </c>
      <c r="H108" s="26">
        <v>0</v>
      </c>
    </row>
    <row r="109" spans="2:8" x14ac:dyDescent="0.2">
      <c r="B109" s="27">
        <v>35003</v>
      </c>
      <c r="C109" s="25">
        <v>12.1</v>
      </c>
      <c r="D109" s="26">
        <v>13.9</v>
      </c>
      <c r="E109" s="26">
        <v>0</v>
      </c>
      <c r="F109" s="26">
        <v>0</v>
      </c>
      <c r="G109" s="26">
        <v>0</v>
      </c>
      <c r="H109" s="26">
        <v>0</v>
      </c>
    </row>
    <row r="110" spans="2:8" x14ac:dyDescent="0.2">
      <c r="B110" s="27">
        <v>35033</v>
      </c>
      <c r="C110" s="25">
        <v>11.2</v>
      </c>
      <c r="D110" s="26">
        <v>12</v>
      </c>
      <c r="E110" s="26">
        <v>0</v>
      </c>
      <c r="F110" s="26">
        <v>0</v>
      </c>
      <c r="G110" s="26">
        <v>0</v>
      </c>
      <c r="H110" s="26">
        <v>0</v>
      </c>
    </row>
    <row r="111" spans="2:8" x14ac:dyDescent="0.2">
      <c r="B111" s="27">
        <v>35064</v>
      </c>
      <c r="C111" s="25">
        <v>10.1</v>
      </c>
      <c r="D111" s="26">
        <v>12</v>
      </c>
      <c r="E111" s="26">
        <v>0</v>
      </c>
      <c r="F111" s="26">
        <v>0</v>
      </c>
      <c r="G111" s="26">
        <v>0</v>
      </c>
      <c r="H111" s="26">
        <v>0</v>
      </c>
    </row>
    <row r="112" spans="2:8" x14ac:dyDescent="0.2">
      <c r="B112" s="27">
        <v>35095</v>
      </c>
      <c r="C112" s="25">
        <v>9</v>
      </c>
      <c r="D112" s="26">
        <v>8.1999999999999993</v>
      </c>
      <c r="E112" s="26">
        <v>0</v>
      </c>
      <c r="F112" s="26">
        <v>0</v>
      </c>
      <c r="G112" s="26">
        <v>0</v>
      </c>
      <c r="H112" s="26">
        <v>0</v>
      </c>
    </row>
    <row r="113" spans="2:8" x14ac:dyDescent="0.2">
      <c r="B113" s="27">
        <v>35124</v>
      </c>
      <c r="C113" s="25">
        <v>9.3000000000000007</v>
      </c>
      <c r="D113" s="26">
        <v>9.3000000000000007</v>
      </c>
      <c r="E113" s="26">
        <v>0</v>
      </c>
      <c r="F113" s="26">
        <v>0</v>
      </c>
      <c r="G113" s="26">
        <v>0</v>
      </c>
      <c r="H113" s="26">
        <v>0</v>
      </c>
    </row>
    <row r="114" spans="2:8" x14ac:dyDescent="0.2">
      <c r="B114" s="27">
        <v>35155</v>
      </c>
      <c r="C114" s="25">
        <v>9.8000000000000007</v>
      </c>
      <c r="D114" s="26">
        <v>10</v>
      </c>
      <c r="E114" s="26">
        <v>0</v>
      </c>
      <c r="F114" s="26">
        <v>0</v>
      </c>
      <c r="G114" s="26">
        <v>0</v>
      </c>
      <c r="H114" s="26">
        <v>0</v>
      </c>
    </row>
    <row r="115" spans="2:8" x14ac:dyDescent="0.2">
      <c r="B115" s="27">
        <v>35185</v>
      </c>
      <c r="C115" s="25">
        <v>9.6999999999999993</v>
      </c>
      <c r="D115" s="26">
        <v>10</v>
      </c>
      <c r="E115" s="26">
        <v>0</v>
      </c>
      <c r="F115" s="26">
        <v>0</v>
      </c>
      <c r="G115" s="26">
        <v>0</v>
      </c>
      <c r="H115" s="26">
        <v>0</v>
      </c>
    </row>
    <row r="116" spans="2:8" x14ac:dyDescent="0.2">
      <c r="B116" s="27">
        <v>35216</v>
      </c>
      <c r="C116" s="25">
        <v>8.9</v>
      </c>
      <c r="D116" s="26">
        <v>8.5</v>
      </c>
      <c r="E116" s="26">
        <v>0</v>
      </c>
      <c r="F116" s="26">
        <v>0</v>
      </c>
      <c r="G116" s="26">
        <v>0</v>
      </c>
      <c r="H116" s="26">
        <v>0</v>
      </c>
    </row>
    <row r="117" spans="2:8" x14ac:dyDescent="0.2">
      <c r="B117" s="27">
        <v>35246</v>
      </c>
      <c r="C117" s="25">
        <v>8.6</v>
      </c>
      <c r="D117" s="26">
        <v>7.9</v>
      </c>
      <c r="E117" s="26">
        <v>0</v>
      </c>
      <c r="F117" s="26">
        <v>0</v>
      </c>
      <c r="G117" s="26">
        <v>0</v>
      </c>
      <c r="H117" s="26">
        <v>0</v>
      </c>
    </row>
    <row r="118" spans="2:8" x14ac:dyDescent="0.2">
      <c r="B118" s="27">
        <v>35277</v>
      </c>
      <c r="C118" s="25">
        <v>8.3000000000000007</v>
      </c>
      <c r="D118" s="26">
        <v>7.8</v>
      </c>
      <c r="E118" s="26">
        <v>0</v>
      </c>
      <c r="F118" s="26">
        <v>0</v>
      </c>
      <c r="G118" s="26">
        <v>0</v>
      </c>
      <c r="H118" s="26">
        <v>0</v>
      </c>
    </row>
    <row r="119" spans="2:8" x14ac:dyDescent="0.2">
      <c r="B119" s="27">
        <v>35308</v>
      </c>
      <c r="C119" s="25">
        <v>8.1</v>
      </c>
      <c r="D119" s="26">
        <v>7.6</v>
      </c>
      <c r="E119" s="26">
        <v>0</v>
      </c>
      <c r="F119" s="26">
        <v>0</v>
      </c>
      <c r="G119" s="26">
        <v>0</v>
      </c>
      <c r="H119" s="26">
        <v>0</v>
      </c>
    </row>
    <row r="120" spans="2:8" x14ac:dyDescent="0.2">
      <c r="B120" s="27">
        <v>35338</v>
      </c>
      <c r="C120" s="25">
        <v>7.4</v>
      </c>
      <c r="D120" s="26">
        <v>5.9</v>
      </c>
      <c r="E120" s="26">
        <v>0</v>
      </c>
      <c r="F120" s="26">
        <v>0</v>
      </c>
      <c r="G120" s="26">
        <v>0</v>
      </c>
      <c r="H120" s="26">
        <v>0</v>
      </c>
    </row>
    <row r="121" spans="2:8" x14ac:dyDescent="0.2">
      <c r="B121" s="27">
        <v>35369</v>
      </c>
      <c r="C121" s="25">
        <v>7</v>
      </c>
      <c r="D121" s="26">
        <v>5.7</v>
      </c>
      <c r="E121" s="26">
        <v>0</v>
      </c>
      <c r="F121" s="26">
        <v>0.34</v>
      </c>
      <c r="G121" s="26">
        <v>0.82</v>
      </c>
      <c r="H121" s="26">
        <v>-0.37</v>
      </c>
    </row>
    <row r="122" spans="2:8" x14ac:dyDescent="0.2">
      <c r="B122" s="27">
        <v>35399</v>
      </c>
      <c r="C122" s="25">
        <v>6.9</v>
      </c>
      <c r="D122" s="26">
        <v>5.4</v>
      </c>
      <c r="E122" s="26">
        <v>0</v>
      </c>
      <c r="F122" s="26">
        <v>0.04</v>
      </c>
      <c r="G122" s="26">
        <v>0.67</v>
      </c>
      <c r="H122" s="26">
        <v>-0.86</v>
      </c>
    </row>
    <row r="123" spans="2:8" x14ac:dyDescent="0.2">
      <c r="B123" s="27">
        <v>35430</v>
      </c>
      <c r="C123" s="25">
        <v>7</v>
      </c>
      <c r="D123" s="26">
        <v>5</v>
      </c>
      <c r="E123" s="26">
        <v>0</v>
      </c>
      <c r="F123" s="26">
        <v>0.43</v>
      </c>
      <c r="G123" s="26">
        <v>1.05</v>
      </c>
      <c r="H123" s="26">
        <v>-0.47</v>
      </c>
    </row>
    <row r="124" spans="2:8" x14ac:dyDescent="0.2">
      <c r="B124" s="27">
        <v>35461</v>
      </c>
      <c r="C124" s="25">
        <v>5.9</v>
      </c>
      <c r="D124" s="26">
        <v>3.7</v>
      </c>
      <c r="E124" s="26">
        <v>0</v>
      </c>
      <c r="F124" s="26">
        <v>0.12</v>
      </c>
      <c r="G124" s="26">
        <v>0.61</v>
      </c>
      <c r="H124" s="26">
        <v>-0.59</v>
      </c>
    </row>
    <row r="125" spans="2:8" x14ac:dyDescent="0.2">
      <c r="B125" s="27">
        <v>35489</v>
      </c>
      <c r="C125" s="25">
        <v>5.6</v>
      </c>
      <c r="D125" s="26">
        <v>3.5</v>
      </c>
      <c r="E125" s="26">
        <v>0</v>
      </c>
      <c r="F125" s="26">
        <v>0.44</v>
      </c>
      <c r="G125" s="26">
        <v>0.94</v>
      </c>
      <c r="H125" s="26">
        <v>-0.3</v>
      </c>
    </row>
    <row r="126" spans="2:8" x14ac:dyDescent="0.2">
      <c r="B126" s="27">
        <v>35520</v>
      </c>
      <c r="C126" s="25">
        <v>4</v>
      </c>
      <c r="D126" s="26">
        <v>1.2</v>
      </c>
      <c r="E126" s="26">
        <v>0</v>
      </c>
      <c r="F126" s="26">
        <v>0.47</v>
      </c>
      <c r="G126" s="26">
        <v>0.74</v>
      </c>
      <c r="H126" s="26">
        <v>7.0000000000000007E-2</v>
      </c>
    </row>
    <row r="127" spans="2:8" x14ac:dyDescent="0.2">
      <c r="B127" s="27">
        <v>35550</v>
      </c>
      <c r="C127" s="25">
        <v>3.2</v>
      </c>
      <c r="D127" s="26">
        <v>0.1</v>
      </c>
      <c r="E127" s="26">
        <v>0</v>
      </c>
      <c r="F127" s="26">
        <v>0.06</v>
      </c>
      <c r="G127" s="26">
        <v>0.32</v>
      </c>
      <c r="H127" s="26">
        <v>-0.38</v>
      </c>
    </row>
    <row r="128" spans="2:8" x14ac:dyDescent="0.2">
      <c r="B128" s="27">
        <v>35581</v>
      </c>
      <c r="C128" s="25">
        <v>2.8</v>
      </c>
      <c r="D128" s="26">
        <v>-0.3</v>
      </c>
      <c r="E128" s="26">
        <v>0</v>
      </c>
      <c r="F128" s="26">
        <v>7.0000000000000007E-2</v>
      </c>
      <c r="G128" s="26">
        <v>0.2</v>
      </c>
      <c r="H128" s="26">
        <v>-0.15</v>
      </c>
    </row>
    <row r="129" spans="2:8" x14ac:dyDescent="0.2">
      <c r="B129" s="27">
        <v>35611</v>
      </c>
      <c r="C129" s="25">
        <v>2.8</v>
      </c>
      <c r="D129" s="26">
        <v>0</v>
      </c>
      <c r="E129" s="26">
        <v>0</v>
      </c>
      <c r="F129" s="26">
        <v>-0.37</v>
      </c>
      <c r="G129" s="26">
        <v>-0.37</v>
      </c>
      <c r="H129" s="26">
        <v>-0.39</v>
      </c>
    </row>
    <row r="130" spans="2:8" x14ac:dyDescent="0.2">
      <c r="B130" s="27">
        <v>35642</v>
      </c>
      <c r="C130" s="25">
        <v>2.7</v>
      </c>
      <c r="D130" s="26">
        <v>0</v>
      </c>
      <c r="E130" s="26">
        <v>0</v>
      </c>
      <c r="F130" s="26">
        <v>-0.65</v>
      </c>
      <c r="G130" s="26">
        <v>-0.16</v>
      </c>
      <c r="H130" s="26">
        <v>-1.6</v>
      </c>
    </row>
    <row r="131" spans="2:8" x14ac:dyDescent="0.2">
      <c r="B131" s="27">
        <v>35673</v>
      </c>
      <c r="C131" s="25">
        <v>1.9</v>
      </c>
      <c r="D131" s="26">
        <v>-1.4</v>
      </c>
      <c r="E131" s="26">
        <v>0</v>
      </c>
      <c r="F131" s="26">
        <v>-0.89</v>
      </c>
      <c r="G131" s="26">
        <v>-0.77</v>
      </c>
      <c r="H131" s="26">
        <v>-1.1100000000000001</v>
      </c>
    </row>
    <row r="132" spans="2:8" x14ac:dyDescent="0.2">
      <c r="B132" s="27">
        <v>35703</v>
      </c>
      <c r="C132" s="25">
        <v>1.8</v>
      </c>
      <c r="D132" s="26">
        <v>-1.2</v>
      </c>
      <c r="E132" s="26">
        <v>0</v>
      </c>
      <c r="F132" s="26">
        <v>-0.95</v>
      </c>
      <c r="G132" s="26">
        <v>-0.73</v>
      </c>
      <c r="H132" s="26">
        <v>-1.31</v>
      </c>
    </row>
    <row r="133" spans="2:8" x14ac:dyDescent="0.2">
      <c r="B133" s="27">
        <v>35734</v>
      </c>
      <c r="C133" s="25">
        <v>1.5</v>
      </c>
      <c r="D133" s="26">
        <v>-1.8</v>
      </c>
      <c r="E133" s="26">
        <v>0</v>
      </c>
      <c r="F133" s="26">
        <v>-0.92</v>
      </c>
      <c r="G133" s="26">
        <v>-0.75</v>
      </c>
      <c r="H133" s="26">
        <v>-1.23</v>
      </c>
    </row>
    <row r="134" spans="2:8" x14ac:dyDescent="0.2">
      <c r="B134" s="27">
        <v>35764</v>
      </c>
      <c r="C134" s="25">
        <v>1.1000000000000001</v>
      </c>
      <c r="D134" s="26">
        <v>-2.2000000000000002</v>
      </c>
      <c r="E134" s="26">
        <v>0</v>
      </c>
      <c r="F134" s="26">
        <v>-0.61</v>
      </c>
      <c r="G134" s="26">
        <v>-0.35</v>
      </c>
      <c r="H134" s="26">
        <v>-1.0900000000000001</v>
      </c>
    </row>
    <row r="135" spans="2:8" x14ac:dyDescent="0.2">
      <c r="B135" s="27">
        <v>35795</v>
      </c>
      <c r="C135" s="25">
        <v>0.4</v>
      </c>
      <c r="D135" s="26">
        <v>-2.9</v>
      </c>
      <c r="E135" s="26">
        <v>0</v>
      </c>
      <c r="F135" s="26">
        <v>-0.92</v>
      </c>
      <c r="G135" s="26">
        <v>-0.57999999999999996</v>
      </c>
      <c r="H135" s="26">
        <v>-1.54</v>
      </c>
    </row>
    <row r="136" spans="2:8" x14ac:dyDescent="0.2">
      <c r="B136" s="27">
        <v>35826</v>
      </c>
      <c r="C136" s="25">
        <v>0.3</v>
      </c>
      <c r="D136" s="26">
        <v>-2.2999999999999998</v>
      </c>
      <c r="E136" s="26">
        <v>0</v>
      </c>
      <c r="F136" s="26">
        <v>-1.32</v>
      </c>
      <c r="G136" s="26">
        <v>-1.57</v>
      </c>
      <c r="H136" s="26">
        <v>-0.89</v>
      </c>
    </row>
    <row r="137" spans="2:8" x14ac:dyDescent="0.2">
      <c r="B137" s="27">
        <v>35854</v>
      </c>
      <c r="C137" s="25">
        <v>-0.1</v>
      </c>
      <c r="D137" s="26">
        <v>-2.9</v>
      </c>
      <c r="E137" s="26">
        <v>0</v>
      </c>
      <c r="F137" s="26">
        <v>-2.65</v>
      </c>
      <c r="G137" s="26">
        <v>-2.71</v>
      </c>
      <c r="H137" s="26">
        <v>-2.54</v>
      </c>
    </row>
    <row r="138" spans="2:8" x14ac:dyDescent="0.2">
      <c r="B138" s="27">
        <v>35885</v>
      </c>
      <c r="C138" s="25">
        <v>0.7</v>
      </c>
      <c r="D138" s="26">
        <v>-0.8</v>
      </c>
      <c r="E138" s="26">
        <v>0</v>
      </c>
      <c r="F138" s="26">
        <v>-3.2</v>
      </c>
      <c r="G138" s="26">
        <v>-3.55</v>
      </c>
      <c r="H138" s="26">
        <v>-2.57</v>
      </c>
    </row>
    <row r="139" spans="2:8" x14ac:dyDescent="0.2">
      <c r="B139" s="27">
        <v>35915</v>
      </c>
      <c r="C139" s="25">
        <v>-0.3</v>
      </c>
      <c r="D139" s="26">
        <v>-2.8</v>
      </c>
      <c r="E139" s="26">
        <v>0</v>
      </c>
      <c r="F139" s="26">
        <v>-3.69</v>
      </c>
      <c r="G139" s="26">
        <v>-3.81</v>
      </c>
      <c r="H139" s="26">
        <v>-3.46</v>
      </c>
    </row>
    <row r="140" spans="2:8" x14ac:dyDescent="0.2">
      <c r="B140" s="27">
        <v>35946</v>
      </c>
      <c r="C140" s="25">
        <v>-1</v>
      </c>
      <c r="D140" s="26">
        <v>-3.9</v>
      </c>
      <c r="E140" s="26">
        <v>0</v>
      </c>
      <c r="F140" s="26">
        <v>-4.47</v>
      </c>
      <c r="G140" s="26">
        <v>-5.42</v>
      </c>
      <c r="H140" s="26">
        <v>-2.82</v>
      </c>
    </row>
    <row r="141" spans="2:8" x14ac:dyDescent="0.2">
      <c r="B141" s="27">
        <v>35976</v>
      </c>
      <c r="C141" s="25">
        <v>-1.3</v>
      </c>
      <c r="D141" s="26">
        <v>-4.2</v>
      </c>
      <c r="E141" s="26">
        <v>0</v>
      </c>
      <c r="F141" s="26">
        <v>-4.88</v>
      </c>
      <c r="G141" s="26">
        <v>-5.36</v>
      </c>
      <c r="H141" s="26">
        <v>-4.03</v>
      </c>
    </row>
    <row r="142" spans="2:8" x14ac:dyDescent="0.2">
      <c r="B142" s="27">
        <v>36007</v>
      </c>
      <c r="C142" s="25">
        <v>-1.4</v>
      </c>
      <c r="D142" s="26">
        <v>-4.2</v>
      </c>
      <c r="E142" s="26">
        <v>0</v>
      </c>
      <c r="F142" s="26">
        <v>-4.96</v>
      </c>
      <c r="G142" s="26">
        <v>-5.51</v>
      </c>
      <c r="H142" s="26">
        <v>-3.98</v>
      </c>
    </row>
    <row r="143" spans="2:8" x14ac:dyDescent="0.2">
      <c r="B143" s="27">
        <v>36038</v>
      </c>
      <c r="C143" s="25">
        <v>-1.4</v>
      </c>
      <c r="D143" s="26">
        <v>-4.0999999999999996</v>
      </c>
      <c r="E143" s="26">
        <v>0</v>
      </c>
      <c r="F143" s="26">
        <v>-5.54</v>
      </c>
      <c r="G143" s="26">
        <v>-6</v>
      </c>
      <c r="H143" s="26">
        <v>-4.7</v>
      </c>
    </row>
    <row r="144" spans="2:8" x14ac:dyDescent="0.2">
      <c r="B144" s="27">
        <v>36068</v>
      </c>
      <c r="C144" s="25">
        <v>-1.5</v>
      </c>
      <c r="D144" s="26">
        <v>-3.9</v>
      </c>
      <c r="E144" s="26">
        <v>0</v>
      </c>
      <c r="F144" s="26">
        <v>-4.1900000000000004</v>
      </c>
      <c r="G144" s="26">
        <v>-6.06</v>
      </c>
      <c r="H144" s="26">
        <v>-0.88</v>
      </c>
    </row>
    <row r="145" spans="2:8" x14ac:dyDescent="0.2">
      <c r="B145" s="27">
        <v>36099</v>
      </c>
      <c r="C145" s="25">
        <v>-1.1000000000000001</v>
      </c>
      <c r="D145" s="26">
        <v>-3.2</v>
      </c>
      <c r="E145" s="26">
        <v>0</v>
      </c>
      <c r="F145" s="26">
        <v>-5.38</v>
      </c>
      <c r="G145" s="26">
        <v>-6.22</v>
      </c>
      <c r="H145" s="26">
        <v>-3.89</v>
      </c>
    </row>
    <row r="146" spans="2:8" x14ac:dyDescent="0.2">
      <c r="B146" s="27">
        <v>36129</v>
      </c>
      <c r="C146" s="25">
        <v>-1.2</v>
      </c>
      <c r="D146" s="26">
        <v>-3.3</v>
      </c>
      <c r="E146" s="26">
        <v>0</v>
      </c>
      <c r="F146" s="26">
        <v>-5.68</v>
      </c>
      <c r="G146" s="26">
        <v>-6.17</v>
      </c>
      <c r="H146" s="26">
        <v>-4.79</v>
      </c>
    </row>
    <row r="147" spans="2:8" x14ac:dyDescent="0.2">
      <c r="B147" s="27">
        <v>36160</v>
      </c>
      <c r="C147" s="25">
        <v>-1</v>
      </c>
      <c r="D147" s="26">
        <v>-2.8</v>
      </c>
      <c r="E147" s="26">
        <v>0</v>
      </c>
      <c r="F147" s="26">
        <v>-5.38</v>
      </c>
      <c r="G147" s="26">
        <v>-6.16</v>
      </c>
      <c r="H147" s="26">
        <v>-3.98</v>
      </c>
    </row>
    <row r="148" spans="2:8" x14ac:dyDescent="0.2">
      <c r="B148" s="27">
        <v>36191</v>
      </c>
      <c r="C148" s="25">
        <v>-1.2</v>
      </c>
      <c r="D148" s="26">
        <v>-3.6</v>
      </c>
      <c r="E148" s="26">
        <v>0</v>
      </c>
      <c r="F148" s="26">
        <v>-4.92</v>
      </c>
      <c r="G148" s="26">
        <v>-5.23</v>
      </c>
      <c r="H148" s="26">
        <v>-4.3600000000000003</v>
      </c>
    </row>
    <row r="149" spans="2:8" x14ac:dyDescent="0.2">
      <c r="B149" s="27">
        <v>36219</v>
      </c>
      <c r="C149" s="25">
        <v>-1.3</v>
      </c>
      <c r="D149" s="26">
        <v>-3.7</v>
      </c>
      <c r="E149" s="26">
        <v>0</v>
      </c>
      <c r="F149" s="26">
        <v>-4.8899999999999997</v>
      </c>
      <c r="G149" s="26">
        <v>-5.31</v>
      </c>
      <c r="H149" s="26">
        <v>-4.1500000000000004</v>
      </c>
    </row>
    <row r="150" spans="2:8" x14ac:dyDescent="0.2">
      <c r="B150" s="27">
        <v>36250</v>
      </c>
      <c r="C150" s="25">
        <v>-1.8</v>
      </c>
      <c r="D150" s="26">
        <v>-4.9000000000000004</v>
      </c>
      <c r="E150" s="26">
        <v>0</v>
      </c>
      <c r="F150" s="26">
        <v>-4.62</v>
      </c>
      <c r="G150" s="26">
        <v>-4.68</v>
      </c>
      <c r="H150" s="26">
        <v>-4.5</v>
      </c>
    </row>
    <row r="151" spans="2:8" x14ac:dyDescent="0.2">
      <c r="B151" s="27">
        <v>36280</v>
      </c>
      <c r="C151" s="25">
        <v>-2.2000000000000002</v>
      </c>
      <c r="D151" s="26">
        <v>-5.5</v>
      </c>
      <c r="E151" s="26">
        <v>0</v>
      </c>
      <c r="F151" s="26">
        <v>-3.86</v>
      </c>
      <c r="G151" s="26">
        <v>-3.73</v>
      </c>
      <c r="H151" s="26">
        <v>-4.09</v>
      </c>
    </row>
    <row r="152" spans="2:8" x14ac:dyDescent="0.2">
      <c r="B152" s="27">
        <v>36311</v>
      </c>
      <c r="C152" s="25">
        <v>-2.2000000000000002</v>
      </c>
      <c r="D152" s="26">
        <v>-5.4</v>
      </c>
      <c r="E152" s="26">
        <v>0</v>
      </c>
      <c r="F152" s="26">
        <v>-3.42</v>
      </c>
      <c r="G152" s="26">
        <v>-3.27</v>
      </c>
      <c r="H152" s="26">
        <v>-3.7</v>
      </c>
    </row>
    <row r="153" spans="2:8" x14ac:dyDescent="0.2">
      <c r="B153" s="27">
        <v>36341</v>
      </c>
      <c r="C153" s="25">
        <v>-2.1</v>
      </c>
      <c r="D153" s="26">
        <v>-5.0999999999999996</v>
      </c>
      <c r="E153" s="26">
        <v>0</v>
      </c>
      <c r="F153" s="26">
        <v>-3.6</v>
      </c>
      <c r="G153" s="26">
        <v>-3.01</v>
      </c>
      <c r="H153" s="26">
        <v>-4.67</v>
      </c>
    </row>
    <row r="154" spans="2:8" x14ac:dyDescent="0.2">
      <c r="B154" s="27">
        <v>36372</v>
      </c>
      <c r="C154" s="25">
        <v>-1.4</v>
      </c>
      <c r="D154" s="26">
        <v>-3.5</v>
      </c>
      <c r="E154" s="26">
        <v>0</v>
      </c>
      <c r="F154" s="26">
        <v>-2.5099999999999998</v>
      </c>
      <c r="G154" s="26">
        <v>-1.98</v>
      </c>
      <c r="H154" s="26">
        <v>-3.45</v>
      </c>
    </row>
    <row r="155" spans="2:8" x14ac:dyDescent="0.2">
      <c r="B155" s="27">
        <v>36403</v>
      </c>
      <c r="C155" s="25">
        <v>-1.3</v>
      </c>
      <c r="D155" s="26">
        <v>-3.4</v>
      </c>
      <c r="E155" s="26">
        <v>0</v>
      </c>
      <c r="F155" s="26">
        <v>-2.2999999999999998</v>
      </c>
      <c r="G155" s="26">
        <v>-1.42</v>
      </c>
      <c r="H155" s="26">
        <v>-3.91</v>
      </c>
    </row>
    <row r="156" spans="2:8" x14ac:dyDescent="0.2">
      <c r="B156" s="27">
        <v>36433</v>
      </c>
      <c r="C156" s="25">
        <v>-0.8</v>
      </c>
      <c r="D156" s="26">
        <v>-3.7</v>
      </c>
      <c r="E156" s="26">
        <v>0</v>
      </c>
      <c r="F156" s="26">
        <v>-2.1</v>
      </c>
      <c r="G156" s="26">
        <v>-0.99</v>
      </c>
      <c r="H156" s="26">
        <v>-4.1100000000000003</v>
      </c>
    </row>
    <row r="157" spans="2:8" x14ac:dyDescent="0.2">
      <c r="B157" s="27">
        <v>36464</v>
      </c>
      <c r="C157" s="25">
        <v>-0.6</v>
      </c>
      <c r="D157" s="26">
        <v>-3.3</v>
      </c>
      <c r="E157" s="26">
        <v>0</v>
      </c>
      <c r="F157" s="26">
        <v>-0.74</v>
      </c>
      <c r="G157" s="26">
        <v>0.54</v>
      </c>
      <c r="H157" s="26">
        <v>-3.07</v>
      </c>
    </row>
    <row r="158" spans="2:8" x14ac:dyDescent="0.2">
      <c r="B158" s="27">
        <v>36494</v>
      </c>
      <c r="C158" s="25">
        <v>-0.9</v>
      </c>
      <c r="D158" s="26">
        <v>-3.9</v>
      </c>
      <c r="E158" s="26">
        <v>0</v>
      </c>
      <c r="F158" s="26">
        <v>-1.04</v>
      </c>
      <c r="G158" s="26">
        <v>0.66</v>
      </c>
      <c r="H158" s="26">
        <v>-4.0999999999999996</v>
      </c>
    </row>
    <row r="159" spans="2:8" x14ac:dyDescent="0.2">
      <c r="B159" s="27">
        <v>36525</v>
      </c>
      <c r="C159" s="25">
        <v>-1</v>
      </c>
      <c r="D159" s="26">
        <v>-4.4000000000000004</v>
      </c>
      <c r="E159" s="26">
        <v>0</v>
      </c>
      <c r="F159" s="26">
        <v>-0.83</v>
      </c>
      <c r="G159" s="26">
        <v>0.98</v>
      </c>
      <c r="H159" s="26">
        <v>-4.12</v>
      </c>
    </row>
    <row r="160" spans="2:8" x14ac:dyDescent="0.2">
      <c r="B160" s="27">
        <v>36556</v>
      </c>
      <c r="C160" s="25">
        <v>-0.2</v>
      </c>
      <c r="D160" s="26">
        <v>-3.1</v>
      </c>
      <c r="E160" s="26">
        <v>0</v>
      </c>
      <c r="F160" s="26">
        <v>0.03</v>
      </c>
      <c r="G160" s="26">
        <v>1.96</v>
      </c>
      <c r="H160" s="26">
        <v>-3.46</v>
      </c>
    </row>
    <row r="161" spans="2:8" x14ac:dyDescent="0.2">
      <c r="B161" s="27">
        <v>36585</v>
      </c>
      <c r="C161" s="25">
        <v>0.7</v>
      </c>
      <c r="D161" s="26">
        <v>-1.4</v>
      </c>
      <c r="E161" s="26">
        <v>0</v>
      </c>
      <c r="F161" s="26">
        <v>1.2</v>
      </c>
      <c r="G161" s="26">
        <v>3.06</v>
      </c>
      <c r="H161" s="26">
        <v>-2.65</v>
      </c>
    </row>
    <row r="162" spans="2:8" x14ac:dyDescent="0.2">
      <c r="B162" s="27">
        <v>36616</v>
      </c>
      <c r="C162" s="25">
        <v>-0.2</v>
      </c>
      <c r="D162" s="26">
        <v>-3.3</v>
      </c>
      <c r="E162" s="26">
        <v>0</v>
      </c>
      <c r="F162" s="26">
        <v>1.87</v>
      </c>
      <c r="G162" s="26">
        <v>4.42</v>
      </c>
      <c r="H162" s="26">
        <v>-2.76</v>
      </c>
    </row>
    <row r="163" spans="2:8" x14ac:dyDescent="0.2">
      <c r="B163" s="27">
        <v>36646</v>
      </c>
      <c r="C163" s="25">
        <v>-0.3</v>
      </c>
      <c r="D163" s="26">
        <v>-3.9</v>
      </c>
      <c r="E163" s="26">
        <v>0</v>
      </c>
      <c r="F163" s="26">
        <v>2.59</v>
      </c>
      <c r="G163" s="26">
        <v>5.32</v>
      </c>
      <c r="H163" s="26">
        <v>-2.38</v>
      </c>
    </row>
    <row r="164" spans="2:8" x14ac:dyDescent="0.2">
      <c r="B164" s="27">
        <v>36677</v>
      </c>
      <c r="C164" s="25">
        <v>0.1</v>
      </c>
      <c r="D164" s="26">
        <v>-3.1</v>
      </c>
      <c r="E164" s="26">
        <v>0</v>
      </c>
      <c r="F164" s="26">
        <v>0.67</v>
      </c>
      <c r="G164" s="26">
        <v>0.9</v>
      </c>
      <c r="H164" s="26">
        <v>0.25</v>
      </c>
    </row>
    <row r="165" spans="2:8" x14ac:dyDescent="0.2">
      <c r="B165" s="27">
        <v>36707</v>
      </c>
      <c r="C165" s="25">
        <v>0.5</v>
      </c>
      <c r="D165" s="26">
        <v>-2.4</v>
      </c>
      <c r="E165" s="26">
        <v>0</v>
      </c>
      <c r="F165" s="26">
        <v>2.95</v>
      </c>
      <c r="G165" s="26">
        <v>5.47</v>
      </c>
      <c r="H165" s="26">
        <v>-1.59</v>
      </c>
    </row>
    <row r="166" spans="2:8" x14ac:dyDescent="0.2">
      <c r="B166" s="27">
        <v>36738</v>
      </c>
      <c r="C166" s="25">
        <v>0.5</v>
      </c>
      <c r="D166" s="26">
        <v>-2.4</v>
      </c>
      <c r="E166" s="26">
        <v>0</v>
      </c>
      <c r="F166" s="26">
        <v>4.5</v>
      </c>
      <c r="G166" s="26">
        <v>7.15</v>
      </c>
      <c r="H166" s="26">
        <v>-0.27</v>
      </c>
    </row>
    <row r="167" spans="2:8" x14ac:dyDescent="0.2">
      <c r="B167" s="27">
        <v>36769</v>
      </c>
      <c r="C167" s="25">
        <v>0.3</v>
      </c>
      <c r="D167" s="26">
        <v>-2.6</v>
      </c>
      <c r="E167" s="26">
        <v>0</v>
      </c>
      <c r="F167" s="26">
        <v>3.92</v>
      </c>
      <c r="G167" s="26">
        <v>6.3</v>
      </c>
      <c r="H167" s="26">
        <v>-2.0499999999999998</v>
      </c>
    </row>
    <row r="168" spans="2:8" x14ac:dyDescent="0.2">
      <c r="B168" s="27">
        <v>36799</v>
      </c>
      <c r="C168" s="25">
        <v>0</v>
      </c>
      <c r="D168" s="26">
        <v>-3.7</v>
      </c>
      <c r="E168" s="26">
        <v>0</v>
      </c>
      <c r="F168" s="26">
        <v>3.7</v>
      </c>
      <c r="G168" s="26">
        <v>6.36</v>
      </c>
      <c r="H168" s="26">
        <v>-2.75</v>
      </c>
    </row>
    <row r="169" spans="2:8" x14ac:dyDescent="0.2">
      <c r="B169" s="27">
        <v>36830</v>
      </c>
      <c r="C169" s="25">
        <v>0</v>
      </c>
      <c r="D169" s="26">
        <v>-3.7</v>
      </c>
      <c r="E169" s="26">
        <v>0</v>
      </c>
      <c r="F169" s="26">
        <v>3.6</v>
      </c>
      <c r="G169" s="26">
        <v>6.12</v>
      </c>
      <c r="H169" s="26">
        <v>-2.46</v>
      </c>
    </row>
    <row r="170" spans="2:8" x14ac:dyDescent="0.2">
      <c r="B170" s="27">
        <v>36860</v>
      </c>
      <c r="C170" s="25">
        <v>1.3</v>
      </c>
      <c r="D170" s="26">
        <v>-1</v>
      </c>
      <c r="E170" s="26">
        <v>0</v>
      </c>
      <c r="F170" s="26">
        <v>3.5</v>
      </c>
      <c r="G170" s="26">
        <v>5.8</v>
      </c>
      <c r="H170" s="26">
        <v>-2.1</v>
      </c>
    </row>
    <row r="171" spans="2:8" x14ac:dyDescent="0.2">
      <c r="B171" s="27">
        <v>36891</v>
      </c>
      <c r="C171" s="25">
        <v>1.5</v>
      </c>
      <c r="D171" s="26">
        <v>-0.1</v>
      </c>
      <c r="E171" s="26">
        <v>0</v>
      </c>
      <c r="F171" s="26">
        <v>2.8</v>
      </c>
      <c r="G171" s="26">
        <v>4.5999999999999996</v>
      </c>
      <c r="H171" s="26">
        <v>-1.6</v>
      </c>
    </row>
    <row r="172" spans="2:8" x14ac:dyDescent="0.2">
      <c r="B172" s="27">
        <v>36922</v>
      </c>
      <c r="C172" s="25">
        <v>1.2</v>
      </c>
      <c r="D172" s="26">
        <v>-0.4</v>
      </c>
      <c r="E172" s="26">
        <v>2</v>
      </c>
      <c r="F172" s="26">
        <v>1.43</v>
      </c>
      <c r="G172" s="26">
        <v>2.71</v>
      </c>
      <c r="H172" s="26">
        <v>-1.64</v>
      </c>
    </row>
    <row r="173" spans="2:8" x14ac:dyDescent="0.2">
      <c r="B173" s="27">
        <v>36950</v>
      </c>
      <c r="C173" s="25">
        <v>0</v>
      </c>
      <c r="D173" s="26">
        <v>-3.3</v>
      </c>
      <c r="E173" s="26">
        <v>1.7</v>
      </c>
      <c r="F173" s="26">
        <v>0.9</v>
      </c>
      <c r="G173" s="26">
        <v>1.8</v>
      </c>
      <c r="H173" s="26">
        <v>-1.4</v>
      </c>
    </row>
    <row r="174" spans="2:8" x14ac:dyDescent="0.2">
      <c r="B174" s="27">
        <v>36981</v>
      </c>
      <c r="C174" s="25">
        <v>0.8</v>
      </c>
      <c r="D174" s="26">
        <v>-1</v>
      </c>
      <c r="E174" s="26">
        <v>1.7</v>
      </c>
      <c r="F174" s="26">
        <v>0.2</v>
      </c>
      <c r="G174" s="26">
        <v>1</v>
      </c>
      <c r="H174" s="26">
        <v>-1.7</v>
      </c>
    </row>
    <row r="175" spans="2:8" x14ac:dyDescent="0.2">
      <c r="B175" s="27">
        <v>37011</v>
      </c>
      <c r="C175" s="25">
        <v>1.6</v>
      </c>
      <c r="D175" s="26">
        <v>1.3</v>
      </c>
      <c r="E175" s="26">
        <v>1.8</v>
      </c>
      <c r="F175" s="26">
        <v>-0.1</v>
      </c>
      <c r="G175" s="26">
        <v>0.4</v>
      </c>
      <c r="H175" s="26">
        <v>-1.2</v>
      </c>
    </row>
    <row r="176" spans="2:8" x14ac:dyDescent="0.2">
      <c r="B176" s="27">
        <v>37042</v>
      </c>
      <c r="C176" s="25">
        <v>1.7</v>
      </c>
      <c r="D176" s="26">
        <v>1.7</v>
      </c>
      <c r="E176" s="26">
        <v>1.7</v>
      </c>
      <c r="F176" s="26">
        <v>-0.2</v>
      </c>
      <c r="G176" s="26">
        <v>0.1</v>
      </c>
      <c r="H176" s="26">
        <v>-1.1000000000000001</v>
      </c>
    </row>
    <row r="177" spans="2:8" x14ac:dyDescent="0.2">
      <c r="B177" s="27">
        <v>37072</v>
      </c>
      <c r="C177" s="25">
        <v>1.4</v>
      </c>
      <c r="D177" s="26">
        <v>1</v>
      </c>
      <c r="E177" s="26">
        <v>1.6</v>
      </c>
      <c r="F177" s="26">
        <v>-0.6</v>
      </c>
      <c r="G177" s="26">
        <v>-0.2</v>
      </c>
      <c r="H177" s="26">
        <v>-1.3</v>
      </c>
    </row>
    <row r="178" spans="2:8" x14ac:dyDescent="0.2">
      <c r="B178" s="27">
        <v>37103</v>
      </c>
      <c r="C178" s="25">
        <v>1.5</v>
      </c>
      <c r="D178" s="26">
        <v>1.5</v>
      </c>
      <c r="E178" s="26">
        <v>1.5</v>
      </c>
      <c r="F178" s="26">
        <v>-1.3</v>
      </c>
      <c r="G178" s="26">
        <v>-1.3</v>
      </c>
      <c r="H178" s="26">
        <v>-1.2</v>
      </c>
    </row>
    <row r="179" spans="2:8" x14ac:dyDescent="0.2">
      <c r="B179" s="27">
        <v>37134</v>
      </c>
      <c r="C179" s="25">
        <v>1</v>
      </c>
      <c r="D179" s="26">
        <v>0.2</v>
      </c>
      <c r="E179" s="26">
        <v>1.4</v>
      </c>
      <c r="F179" s="26">
        <v>-2</v>
      </c>
      <c r="G179" s="26">
        <v>-2.2000000000000002</v>
      </c>
      <c r="H179" s="26">
        <v>-1.6</v>
      </c>
    </row>
    <row r="180" spans="2:8" x14ac:dyDescent="0.2">
      <c r="B180" s="27">
        <v>37164</v>
      </c>
      <c r="C180" s="25">
        <v>-0.1</v>
      </c>
      <c r="D180" s="26">
        <v>0.3</v>
      </c>
      <c r="E180" s="26">
        <v>-0.3</v>
      </c>
      <c r="F180" s="26">
        <v>-2.9</v>
      </c>
      <c r="G180" s="26">
        <v>-3.5</v>
      </c>
      <c r="H180" s="26">
        <v>-1.5</v>
      </c>
    </row>
    <row r="181" spans="2:8" x14ac:dyDescent="0.2">
      <c r="B181" s="27">
        <v>37195</v>
      </c>
      <c r="C181" s="25">
        <v>0.2</v>
      </c>
      <c r="D181" s="26">
        <v>0.8</v>
      </c>
      <c r="E181" s="26">
        <v>-0.1</v>
      </c>
      <c r="F181" s="26">
        <v>-3.1</v>
      </c>
      <c r="G181" s="26">
        <v>-3.7</v>
      </c>
      <c r="H181" s="26">
        <v>-1.4</v>
      </c>
    </row>
    <row r="182" spans="2:8" x14ac:dyDescent="0.2">
      <c r="B182" s="27">
        <v>37225</v>
      </c>
      <c r="C182" s="25">
        <v>-0.3</v>
      </c>
      <c r="D182" s="26">
        <v>-0.8</v>
      </c>
      <c r="E182" s="26">
        <v>0</v>
      </c>
      <c r="F182" s="26">
        <v>-3.7</v>
      </c>
      <c r="G182" s="26">
        <v>-4.5</v>
      </c>
      <c r="H182" s="26">
        <v>-1.8</v>
      </c>
    </row>
    <row r="183" spans="2:8" x14ac:dyDescent="0.2">
      <c r="B183" s="27">
        <v>37256</v>
      </c>
      <c r="C183" s="25">
        <v>-0.3</v>
      </c>
      <c r="D183" s="26">
        <v>-0.7</v>
      </c>
      <c r="E183" s="26">
        <v>-0.1</v>
      </c>
      <c r="F183" s="26">
        <v>-4</v>
      </c>
      <c r="G183" s="26">
        <v>-4.8</v>
      </c>
      <c r="H183" s="26">
        <v>-2</v>
      </c>
    </row>
    <row r="184" spans="2:8" x14ac:dyDescent="0.2">
      <c r="B184" s="27">
        <v>37287</v>
      </c>
      <c r="C184" s="25">
        <v>-1</v>
      </c>
      <c r="D184" s="26">
        <v>-1.9</v>
      </c>
      <c r="E184" s="26">
        <v>-0.5</v>
      </c>
      <c r="F184" s="26">
        <v>-4.2</v>
      </c>
      <c r="G184" s="26">
        <v>-5</v>
      </c>
      <c r="H184" s="26">
        <v>-2.2999999999999998</v>
      </c>
    </row>
    <row r="185" spans="2:8" x14ac:dyDescent="0.2">
      <c r="B185" s="27">
        <v>37315</v>
      </c>
      <c r="C185" s="25">
        <v>0</v>
      </c>
      <c r="D185" s="26">
        <v>0.6</v>
      </c>
      <c r="E185" s="26">
        <v>-0.3</v>
      </c>
      <c r="F185" s="26">
        <v>-4.2</v>
      </c>
      <c r="G185" s="26">
        <v>-4.7</v>
      </c>
      <c r="H185" s="26">
        <v>-2.9</v>
      </c>
    </row>
    <row r="186" spans="2:8" x14ac:dyDescent="0.2">
      <c r="B186" s="27">
        <v>37346</v>
      </c>
      <c r="C186" s="25">
        <v>-0.8</v>
      </c>
      <c r="D186" s="26">
        <v>-0.6</v>
      </c>
      <c r="E186" s="26">
        <v>-0.8</v>
      </c>
      <c r="F186" s="26">
        <v>-4</v>
      </c>
      <c r="G186" s="26">
        <v>-4.5</v>
      </c>
      <c r="H186" s="26">
        <v>-2.7</v>
      </c>
    </row>
    <row r="187" spans="2:8" x14ac:dyDescent="0.2">
      <c r="B187" s="27">
        <v>37376</v>
      </c>
      <c r="C187" s="25">
        <v>-1.3</v>
      </c>
      <c r="D187" s="26">
        <v>-2</v>
      </c>
      <c r="E187" s="26">
        <v>-0.9</v>
      </c>
      <c r="F187" s="26">
        <v>-3.06</v>
      </c>
      <c r="G187" s="26">
        <v>-3.38</v>
      </c>
      <c r="H187" s="26">
        <v>-2.29</v>
      </c>
    </row>
    <row r="188" spans="2:8" x14ac:dyDescent="0.2">
      <c r="B188" s="27">
        <v>37407</v>
      </c>
      <c r="C188" s="25">
        <v>-1.1000000000000001</v>
      </c>
      <c r="D188" s="26">
        <v>-1.5</v>
      </c>
      <c r="E188" s="26">
        <v>-0.9</v>
      </c>
      <c r="F188" s="26">
        <v>-2.63</v>
      </c>
      <c r="G188" s="26">
        <v>-2.74</v>
      </c>
      <c r="H188" s="26">
        <v>-2.35</v>
      </c>
    </row>
    <row r="189" spans="2:8" x14ac:dyDescent="0.2">
      <c r="B189" s="27">
        <v>37437</v>
      </c>
      <c r="C189" s="25">
        <v>-0.8</v>
      </c>
      <c r="D189" s="26">
        <v>-0.2</v>
      </c>
      <c r="E189" s="26">
        <v>-1</v>
      </c>
      <c r="F189" s="26">
        <v>-2.5</v>
      </c>
      <c r="G189" s="26">
        <v>-2.6</v>
      </c>
      <c r="H189" s="26">
        <v>-2.2000000000000002</v>
      </c>
    </row>
    <row r="190" spans="2:8" x14ac:dyDescent="0.2">
      <c r="B190" s="27">
        <v>37468</v>
      </c>
      <c r="C190" s="25">
        <v>-0.9</v>
      </c>
      <c r="D190" s="26">
        <v>-0.9</v>
      </c>
      <c r="E190" s="26">
        <v>-1</v>
      </c>
      <c r="F190" s="26">
        <v>-2.2999999999999998</v>
      </c>
      <c r="G190" s="26">
        <v>-2.6</v>
      </c>
      <c r="H190" s="26">
        <v>-1.8</v>
      </c>
    </row>
    <row r="191" spans="2:8" x14ac:dyDescent="0.2">
      <c r="B191" s="27">
        <v>37499</v>
      </c>
      <c r="C191" s="25">
        <v>-0.7</v>
      </c>
      <c r="D191" s="26">
        <v>-0.4</v>
      </c>
      <c r="E191" s="26">
        <v>-0.9</v>
      </c>
      <c r="F191" s="26">
        <v>-1.7</v>
      </c>
      <c r="G191" s="26">
        <v>-1.7</v>
      </c>
      <c r="H191" s="26">
        <v>-1.8</v>
      </c>
    </row>
    <row r="192" spans="2:8" x14ac:dyDescent="0.2">
      <c r="B192" s="27">
        <v>37529</v>
      </c>
      <c r="C192" s="25">
        <v>-0.7</v>
      </c>
      <c r="D192" s="26">
        <v>-0.2</v>
      </c>
      <c r="E192" s="26">
        <v>-0.9</v>
      </c>
      <c r="F192" s="26">
        <v>-1.4</v>
      </c>
      <c r="G192" s="26">
        <v>-1.2</v>
      </c>
      <c r="H192" s="26">
        <v>-1.8</v>
      </c>
    </row>
    <row r="193" spans="2:8" x14ac:dyDescent="0.2">
      <c r="B193" s="27">
        <v>37560</v>
      </c>
      <c r="C193" s="25">
        <v>-0.8</v>
      </c>
      <c r="D193" s="26">
        <v>-0.5</v>
      </c>
      <c r="E193" s="26">
        <v>-0.9</v>
      </c>
      <c r="F193" s="26">
        <v>-1</v>
      </c>
      <c r="G193" s="26">
        <v>-0.6</v>
      </c>
      <c r="H193" s="26">
        <v>-1.9</v>
      </c>
    </row>
    <row r="194" spans="2:8" x14ac:dyDescent="0.2">
      <c r="B194" s="27">
        <v>37590</v>
      </c>
      <c r="C194" s="25">
        <v>-0.7</v>
      </c>
      <c r="D194" s="26">
        <v>-0.1</v>
      </c>
      <c r="E194" s="26">
        <v>-1</v>
      </c>
      <c r="F194" s="26">
        <v>-0.4</v>
      </c>
      <c r="G194" s="26">
        <v>0.2</v>
      </c>
      <c r="H194" s="26">
        <v>-2</v>
      </c>
    </row>
    <row r="195" spans="2:8" x14ac:dyDescent="0.2">
      <c r="B195" s="27">
        <v>37621</v>
      </c>
      <c r="C195" s="25">
        <v>-0.4</v>
      </c>
      <c r="D195" s="26">
        <v>0.5</v>
      </c>
      <c r="E195" s="26">
        <v>-0.9</v>
      </c>
      <c r="F195" s="26">
        <v>0.4</v>
      </c>
      <c r="G195" s="26">
        <v>1.3</v>
      </c>
      <c r="H195" s="26">
        <v>-1.7</v>
      </c>
    </row>
    <row r="196" spans="2:8" x14ac:dyDescent="0.2">
      <c r="B196" s="27">
        <v>37652</v>
      </c>
      <c r="C196" s="25">
        <v>0.4</v>
      </c>
      <c r="D196" s="26">
        <v>2.4</v>
      </c>
      <c r="E196" s="26">
        <v>-0.6</v>
      </c>
      <c r="F196" s="26">
        <v>2.4</v>
      </c>
      <c r="G196" s="26">
        <v>3.8</v>
      </c>
      <c r="H196" s="26">
        <v>-1.6</v>
      </c>
    </row>
    <row r="197" spans="2:8" x14ac:dyDescent="0.2">
      <c r="B197" s="27">
        <v>37680</v>
      </c>
      <c r="C197" s="25">
        <v>0.2</v>
      </c>
      <c r="D197" s="26">
        <v>1.8</v>
      </c>
      <c r="E197" s="26">
        <v>-0.6</v>
      </c>
      <c r="F197" s="26">
        <v>4</v>
      </c>
      <c r="G197" s="26">
        <v>5.9</v>
      </c>
      <c r="H197" s="26">
        <v>-1.3</v>
      </c>
    </row>
    <row r="198" spans="2:8" x14ac:dyDescent="0.2">
      <c r="B198" s="27">
        <v>37711</v>
      </c>
      <c r="C198" s="25">
        <v>0.9</v>
      </c>
      <c r="D198" s="26">
        <v>3.2</v>
      </c>
      <c r="E198" s="26">
        <v>-0.3</v>
      </c>
      <c r="F198" s="26">
        <v>4.5999999999999996</v>
      </c>
      <c r="G198" s="26">
        <v>6.7</v>
      </c>
      <c r="H198" s="26">
        <v>-1.2</v>
      </c>
    </row>
    <row r="199" spans="2:8" x14ac:dyDescent="0.2">
      <c r="B199" s="27">
        <v>37741</v>
      </c>
      <c r="C199" s="25">
        <v>1</v>
      </c>
      <c r="D199" s="26">
        <v>3.2</v>
      </c>
      <c r="E199" s="26">
        <v>0</v>
      </c>
      <c r="F199" s="26">
        <v>3.6</v>
      </c>
      <c r="G199" s="26">
        <v>5.3</v>
      </c>
      <c r="H199" s="26">
        <v>-1.2</v>
      </c>
    </row>
    <row r="200" spans="2:8" x14ac:dyDescent="0.2">
      <c r="B200" s="27">
        <v>37772</v>
      </c>
      <c r="C200" s="25">
        <v>0.7</v>
      </c>
      <c r="D200" s="26">
        <v>1.9</v>
      </c>
      <c r="E200" s="26">
        <v>0.1</v>
      </c>
      <c r="F200" s="26">
        <v>2</v>
      </c>
      <c r="G200" s="26">
        <v>3.2</v>
      </c>
      <c r="H200" s="26">
        <v>-1.3</v>
      </c>
    </row>
    <row r="201" spans="2:8" x14ac:dyDescent="0.2">
      <c r="B201" s="27">
        <v>37802</v>
      </c>
      <c r="C201" s="25">
        <v>0.3</v>
      </c>
      <c r="D201" s="26">
        <v>0.4</v>
      </c>
      <c r="E201" s="26">
        <v>0.3</v>
      </c>
      <c r="F201" s="26">
        <v>1.3</v>
      </c>
      <c r="G201" s="26">
        <v>2.2999999999999998</v>
      </c>
      <c r="H201" s="26">
        <v>-1.2</v>
      </c>
    </row>
    <row r="202" spans="2:8" x14ac:dyDescent="0.2">
      <c r="B202" s="27">
        <v>37833</v>
      </c>
      <c r="C202" s="25">
        <v>0.5</v>
      </c>
      <c r="D202" s="26">
        <v>1</v>
      </c>
      <c r="E202" s="26">
        <v>0.3</v>
      </c>
      <c r="F202" s="26">
        <v>1.4</v>
      </c>
      <c r="G202" s="26">
        <v>2.4</v>
      </c>
      <c r="H202" s="26">
        <v>-1.3</v>
      </c>
    </row>
    <row r="203" spans="2:8" x14ac:dyDescent="0.2">
      <c r="B203" s="27">
        <v>37864</v>
      </c>
      <c r="C203" s="25">
        <v>0.9</v>
      </c>
      <c r="D203" s="26">
        <v>2.2000000000000002</v>
      </c>
      <c r="E203" s="26">
        <v>0.3</v>
      </c>
      <c r="F203" s="26">
        <v>1.4</v>
      </c>
      <c r="G203" s="26">
        <v>2.4</v>
      </c>
      <c r="H203" s="26">
        <v>-1.4</v>
      </c>
    </row>
    <row r="204" spans="2:8" x14ac:dyDescent="0.2">
      <c r="B204" s="27">
        <v>37894</v>
      </c>
      <c r="C204" s="25">
        <v>1.1000000000000001</v>
      </c>
      <c r="D204" s="26">
        <v>3.2</v>
      </c>
      <c r="E204" s="26">
        <v>0.1</v>
      </c>
      <c r="F204" s="26">
        <v>1.4</v>
      </c>
      <c r="G204" s="26">
        <v>2.4</v>
      </c>
      <c r="H204" s="26">
        <v>-1.3</v>
      </c>
    </row>
    <row r="205" spans="2:8" x14ac:dyDescent="0.2">
      <c r="B205" s="27">
        <v>37925</v>
      </c>
      <c r="C205" s="25">
        <v>1.8</v>
      </c>
      <c r="D205" s="26">
        <v>5.0999999999999996</v>
      </c>
      <c r="E205" s="26">
        <v>0.2</v>
      </c>
      <c r="F205" s="26">
        <v>1.2</v>
      </c>
      <c r="G205" s="26">
        <v>2.1</v>
      </c>
      <c r="H205" s="26">
        <v>-1.1000000000000001</v>
      </c>
    </row>
    <row r="206" spans="2:8" x14ac:dyDescent="0.2">
      <c r="B206" s="27">
        <v>37955</v>
      </c>
      <c r="C206" s="25">
        <v>3</v>
      </c>
      <c r="D206" s="26">
        <v>8.1</v>
      </c>
      <c r="E206" s="26">
        <v>0.4</v>
      </c>
      <c r="F206" s="26">
        <v>1.9</v>
      </c>
      <c r="G206" s="26">
        <v>2.7</v>
      </c>
      <c r="H206" s="26">
        <v>-0.3</v>
      </c>
    </row>
    <row r="207" spans="2:8" x14ac:dyDescent="0.2">
      <c r="B207" s="27">
        <v>37986</v>
      </c>
      <c r="C207" s="25">
        <v>3.2</v>
      </c>
      <c r="D207" s="26">
        <v>8.6</v>
      </c>
      <c r="E207" s="26">
        <v>0.5</v>
      </c>
      <c r="F207" s="26">
        <v>3</v>
      </c>
      <c r="G207" s="26">
        <v>4.0999999999999996</v>
      </c>
      <c r="H207" s="26">
        <v>-0.1</v>
      </c>
    </row>
    <row r="208" spans="2:8" x14ac:dyDescent="0.2">
      <c r="B208" s="27">
        <v>38017</v>
      </c>
      <c r="C208" s="25">
        <v>3.2</v>
      </c>
      <c r="D208" s="26">
        <v>8</v>
      </c>
      <c r="E208" s="26">
        <v>0.7</v>
      </c>
      <c r="F208" s="26">
        <v>3.5</v>
      </c>
      <c r="G208" s="26">
        <v>4.5999999999999996</v>
      </c>
      <c r="H208" s="26">
        <v>0.3</v>
      </c>
    </row>
    <row r="209" spans="2:8" x14ac:dyDescent="0.2">
      <c r="B209" s="27">
        <v>38046</v>
      </c>
      <c r="C209" s="25">
        <v>2.1</v>
      </c>
      <c r="D209" s="26">
        <v>5.6</v>
      </c>
      <c r="E209" s="26">
        <v>0.3</v>
      </c>
      <c r="F209" s="26">
        <v>3.5</v>
      </c>
      <c r="G209" s="26">
        <v>4.5999999999999996</v>
      </c>
      <c r="H209" s="26">
        <v>0.5</v>
      </c>
    </row>
    <row r="210" spans="2:8" x14ac:dyDescent="0.2">
      <c r="B210" s="27">
        <v>38077</v>
      </c>
      <c r="C210" s="25">
        <v>3</v>
      </c>
      <c r="D210" s="26">
        <v>7.9</v>
      </c>
      <c r="E210" s="26">
        <v>0.5</v>
      </c>
      <c r="F210" s="26">
        <v>4</v>
      </c>
      <c r="G210" s="26">
        <v>5.0999999999999996</v>
      </c>
      <c r="H210" s="26">
        <v>1</v>
      </c>
    </row>
    <row r="211" spans="2:8" x14ac:dyDescent="0.2">
      <c r="B211" s="27">
        <v>38107</v>
      </c>
      <c r="C211" s="25">
        <v>3.8</v>
      </c>
      <c r="D211" s="26">
        <v>10.199999999999999</v>
      </c>
      <c r="E211" s="26">
        <v>0.5</v>
      </c>
      <c r="F211" s="26">
        <v>5</v>
      </c>
      <c r="G211" s="26">
        <v>6.2</v>
      </c>
      <c r="H211" s="26">
        <v>1.8</v>
      </c>
    </row>
    <row r="212" spans="2:8" x14ac:dyDescent="0.2">
      <c r="B212" s="27">
        <v>38138</v>
      </c>
      <c r="C212" s="25">
        <v>4.4000000000000004</v>
      </c>
      <c r="D212" s="26">
        <v>11.8</v>
      </c>
      <c r="E212" s="26">
        <v>0.6</v>
      </c>
      <c r="F212" s="26">
        <v>5.7</v>
      </c>
      <c r="G212" s="26">
        <v>7.1</v>
      </c>
      <c r="H212" s="26">
        <v>1.7</v>
      </c>
    </row>
    <row r="213" spans="2:8" x14ac:dyDescent="0.2">
      <c r="B213" s="27">
        <v>38168</v>
      </c>
      <c r="C213" s="25">
        <v>5</v>
      </c>
      <c r="D213" s="26">
        <v>14</v>
      </c>
      <c r="E213" s="26">
        <v>0.6</v>
      </c>
      <c r="F213" s="26">
        <v>6.4</v>
      </c>
      <c r="G213" s="26">
        <v>8.1</v>
      </c>
      <c r="H213" s="26">
        <v>1.8</v>
      </c>
    </row>
    <row r="214" spans="2:8" x14ac:dyDescent="0.2">
      <c r="B214" s="27">
        <v>38199</v>
      </c>
      <c r="C214" s="25">
        <v>5.3</v>
      </c>
      <c r="D214" s="26">
        <v>14.6</v>
      </c>
      <c r="E214" s="26">
        <v>0.8</v>
      </c>
      <c r="F214" s="26">
        <v>6.4</v>
      </c>
      <c r="G214" s="26">
        <v>8.1999999999999993</v>
      </c>
      <c r="H214" s="26">
        <v>1.4</v>
      </c>
    </row>
    <row r="215" spans="2:8" x14ac:dyDescent="0.2">
      <c r="B215" s="27">
        <v>38230</v>
      </c>
      <c r="C215" s="25">
        <v>5.3</v>
      </c>
      <c r="D215" s="26">
        <v>13.9</v>
      </c>
      <c r="E215" s="26">
        <v>1</v>
      </c>
      <c r="F215" s="26">
        <v>6.8</v>
      </c>
      <c r="G215" s="26">
        <v>8.6999999999999993</v>
      </c>
      <c r="H215" s="26">
        <v>1.6</v>
      </c>
    </row>
    <row r="216" spans="2:8" x14ac:dyDescent="0.2">
      <c r="B216" s="27">
        <v>38260</v>
      </c>
      <c r="C216" s="25">
        <v>5.2</v>
      </c>
      <c r="D216" s="26">
        <v>13</v>
      </c>
      <c r="E216" s="26">
        <v>1.3</v>
      </c>
      <c r="F216" s="26">
        <v>7.9</v>
      </c>
      <c r="G216" s="26">
        <v>10.199999999999999</v>
      </c>
      <c r="H216" s="26">
        <v>1.7</v>
      </c>
    </row>
    <row r="217" spans="2:8" x14ac:dyDescent="0.2">
      <c r="B217" s="27">
        <v>38291</v>
      </c>
      <c r="C217" s="25">
        <v>4.3</v>
      </c>
      <c r="D217" s="26">
        <v>10</v>
      </c>
      <c r="E217" s="26">
        <v>1.3</v>
      </c>
      <c r="F217" s="26">
        <v>8.4</v>
      </c>
      <c r="G217" s="26">
        <v>10.9</v>
      </c>
      <c r="H217" s="26">
        <v>1.7</v>
      </c>
    </row>
    <row r="218" spans="2:8" x14ac:dyDescent="0.2">
      <c r="B218" s="27">
        <v>38321</v>
      </c>
      <c r="C218" s="25">
        <v>2.8</v>
      </c>
      <c r="D218" s="26">
        <v>5.9</v>
      </c>
      <c r="E218" s="26">
        <v>1.2</v>
      </c>
      <c r="F218" s="26">
        <v>8.1</v>
      </c>
      <c r="G218" s="26">
        <v>10.7</v>
      </c>
      <c r="H218" s="26">
        <v>0.9</v>
      </c>
    </row>
    <row r="219" spans="2:8" x14ac:dyDescent="0.2">
      <c r="B219" s="27">
        <v>38352</v>
      </c>
      <c r="C219" s="25">
        <v>2.4</v>
      </c>
      <c r="D219" s="26">
        <v>4.9000000000000004</v>
      </c>
      <c r="E219" s="26">
        <v>1.1000000000000001</v>
      </c>
      <c r="F219" s="26">
        <v>7.1</v>
      </c>
      <c r="G219" s="26">
        <v>9.4</v>
      </c>
      <c r="H219" s="26">
        <v>0.5</v>
      </c>
    </row>
    <row r="220" spans="2:8" x14ac:dyDescent="0.2">
      <c r="B220" s="27">
        <v>38383</v>
      </c>
      <c r="C220" s="25">
        <v>1.9</v>
      </c>
      <c r="D220" s="26">
        <v>4</v>
      </c>
      <c r="E220" s="26">
        <v>0.8</v>
      </c>
      <c r="F220" s="26">
        <v>5.8</v>
      </c>
      <c r="G220" s="26">
        <v>7.8</v>
      </c>
      <c r="H220" s="26">
        <v>0.3</v>
      </c>
    </row>
    <row r="221" spans="2:8" x14ac:dyDescent="0.2">
      <c r="B221" s="27">
        <v>38411</v>
      </c>
      <c r="C221" s="25">
        <v>3.9</v>
      </c>
      <c r="D221" s="26">
        <v>8.8000000000000007</v>
      </c>
      <c r="E221" s="26">
        <v>1.4</v>
      </c>
      <c r="F221" s="26">
        <v>5.38</v>
      </c>
      <c r="G221" s="26">
        <v>7.1</v>
      </c>
      <c r="H221" s="26">
        <v>0.4</v>
      </c>
    </row>
    <row r="222" spans="2:8" x14ac:dyDescent="0.2">
      <c r="B222" s="27">
        <v>38442</v>
      </c>
      <c r="C222" s="25">
        <v>2.7</v>
      </c>
      <c r="D222" s="26">
        <v>5.6</v>
      </c>
      <c r="E222" s="26">
        <v>1.2</v>
      </c>
      <c r="F222" s="26">
        <v>5.6</v>
      </c>
      <c r="G222" s="26">
        <v>7.6</v>
      </c>
      <c r="H222" s="26">
        <v>0.2</v>
      </c>
    </row>
    <row r="223" spans="2:8" x14ac:dyDescent="0.2">
      <c r="B223" s="27">
        <v>38472</v>
      </c>
      <c r="C223" s="25">
        <v>1.8</v>
      </c>
      <c r="D223" s="26">
        <v>3.1</v>
      </c>
      <c r="E223" s="26">
        <v>1.2</v>
      </c>
      <c r="F223" s="26">
        <v>5.78</v>
      </c>
      <c r="G223" s="26">
        <v>7.9</v>
      </c>
      <c r="H223" s="26">
        <v>-0.2</v>
      </c>
    </row>
    <row r="224" spans="2:8" x14ac:dyDescent="0.2">
      <c r="B224" s="27">
        <v>38503</v>
      </c>
      <c r="C224" s="25">
        <v>1.8</v>
      </c>
      <c r="D224" s="26">
        <v>2.8</v>
      </c>
      <c r="E224" s="26">
        <v>1.2</v>
      </c>
      <c r="F224" s="26">
        <v>5.9</v>
      </c>
      <c r="G224" s="26">
        <v>8.1999999999999993</v>
      </c>
      <c r="H224" s="26">
        <v>-0.3</v>
      </c>
    </row>
    <row r="225" spans="2:8" x14ac:dyDescent="0.2">
      <c r="B225" s="27">
        <v>38533</v>
      </c>
      <c r="C225" s="25">
        <v>1.6</v>
      </c>
      <c r="D225" s="26">
        <v>2.1</v>
      </c>
      <c r="E225" s="26">
        <v>1.3</v>
      </c>
      <c r="F225" s="26">
        <v>5.2</v>
      </c>
      <c r="G225" s="26">
        <v>7.2</v>
      </c>
      <c r="H225" s="26">
        <v>-0.3</v>
      </c>
    </row>
    <row r="226" spans="2:8" x14ac:dyDescent="0.2">
      <c r="B226" s="27">
        <v>38564</v>
      </c>
      <c r="C226" s="25">
        <v>1.8</v>
      </c>
      <c r="D226" s="26">
        <v>2.2999999999999998</v>
      </c>
      <c r="E226" s="26">
        <v>1.5</v>
      </c>
      <c r="F226" s="26">
        <v>5.2</v>
      </c>
      <c r="G226" s="26">
        <v>7.1</v>
      </c>
      <c r="H226" s="26">
        <v>-0.2</v>
      </c>
    </row>
    <row r="227" spans="2:8" x14ac:dyDescent="0.2">
      <c r="B227" s="27">
        <v>38595</v>
      </c>
      <c r="C227" s="25">
        <v>1.3</v>
      </c>
      <c r="D227" s="26">
        <v>0.9</v>
      </c>
      <c r="E227" s="26">
        <v>1.5</v>
      </c>
      <c r="F227" s="26">
        <v>5.3</v>
      </c>
      <c r="G227" s="26">
        <v>7.3</v>
      </c>
      <c r="H227" s="26">
        <v>-0.3</v>
      </c>
    </row>
    <row r="228" spans="2:8" x14ac:dyDescent="0.2">
      <c r="B228" s="27">
        <v>38625</v>
      </c>
      <c r="C228" s="25">
        <v>0.9</v>
      </c>
      <c r="D228" s="26">
        <v>0.3</v>
      </c>
      <c r="E228" s="26">
        <v>1.2</v>
      </c>
      <c r="F228" s="26">
        <v>4.5</v>
      </c>
      <c r="G228" s="26">
        <v>6.2</v>
      </c>
      <c r="H228" s="26">
        <v>-0.4</v>
      </c>
    </row>
    <row r="229" spans="2:8" x14ac:dyDescent="0.2">
      <c r="B229" s="27">
        <v>38656</v>
      </c>
      <c r="C229" s="25">
        <v>1.2</v>
      </c>
      <c r="D229" s="26">
        <v>1.3</v>
      </c>
      <c r="E229" s="26">
        <v>1.2</v>
      </c>
      <c r="F229" s="26">
        <v>4</v>
      </c>
      <c r="G229" s="26">
        <v>5.6</v>
      </c>
      <c r="H229" s="26">
        <v>-0.5</v>
      </c>
    </row>
    <row r="230" spans="2:8" x14ac:dyDescent="0.2">
      <c r="B230" s="27">
        <v>38686</v>
      </c>
      <c r="C230" s="25">
        <v>1.3</v>
      </c>
      <c r="D230" s="26">
        <v>1.6</v>
      </c>
      <c r="E230" s="26">
        <v>1.2</v>
      </c>
      <c r="F230" s="26">
        <v>3.2</v>
      </c>
      <c r="G230" s="26">
        <v>4.5</v>
      </c>
      <c r="H230" s="26">
        <v>-0.5</v>
      </c>
    </row>
    <row r="231" spans="2:8" x14ac:dyDescent="0.2">
      <c r="B231" s="27">
        <v>38717</v>
      </c>
      <c r="C231" s="25">
        <v>1.6</v>
      </c>
      <c r="D231" s="26">
        <v>2.2000000000000002</v>
      </c>
      <c r="E231" s="26">
        <v>1.2</v>
      </c>
      <c r="F231" s="26">
        <v>3.2</v>
      </c>
      <c r="G231" s="26">
        <v>4.5999999999999996</v>
      </c>
      <c r="H231" s="26">
        <v>-0.5</v>
      </c>
    </row>
    <row r="232" spans="2:8" x14ac:dyDescent="0.2">
      <c r="B232" s="27">
        <v>38748</v>
      </c>
      <c r="C232" s="25">
        <v>1.9</v>
      </c>
      <c r="D232" s="26">
        <v>3.6</v>
      </c>
      <c r="E232" s="26">
        <v>1</v>
      </c>
      <c r="F232" s="26">
        <v>3.05</v>
      </c>
      <c r="G232" s="26">
        <v>4.17</v>
      </c>
      <c r="H232" s="26">
        <v>-0.26</v>
      </c>
    </row>
    <row r="233" spans="2:8" x14ac:dyDescent="0.2">
      <c r="B233" s="27">
        <v>38776</v>
      </c>
      <c r="C233" s="25">
        <v>0.9</v>
      </c>
      <c r="D233" s="26">
        <v>1.2</v>
      </c>
      <c r="E233" s="26">
        <v>0.7</v>
      </c>
      <c r="F233" s="26">
        <v>3.01</v>
      </c>
      <c r="G233" s="26">
        <v>4.16</v>
      </c>
      <c r="H233" s="26">
        <v>-0.39</v>
      </c>
    </row>
    <row r="234" spans="2:8" x14ac:dyDescent="0.2">
      <c r="B234" s="27">
        <v>38807</v>
      </c>
      <c r="C234" s="25">
        <v>0.8</v>
      </c>
      <c r="D234" s="26">
        <v>0.8</v>
      </c>
      <c r="E234" s="26">
        <v>0.8</v>
      </c>
      <c r="F234" s="26">
        <v>2.4900000000000002</v>
      </c>
      <c r="G234" s="26">
        <v>3.45</v>
      </c>
      <c r="H234" s="26">
        <v>-0.33</v>
      </c>
    </row>
    <row r="235" spans="2:8" x14ac:dyDescent="0.2">
      <c r="B235" s="27">
        <v>38837</v>
      </c>
      <c r="C235" s="25">
        <v>1.2</v>
      </c>
      <c r="D235" s="26">
        <v>1.8</v>
      </c>
      <c r="E235" s="26">
        <v>0.9</v>
      </c>
      <c r="F235" s="26">
        <v>1.87</v>
      </c>
      <c r="G235" s="26">
        <v>2.64</v>
      </c>
      <c r="H235" s="26">
        <v>-0.39</v>
      </c>
    </row>
    <row r="236" spans="2:8" x14ac:dyDescent="0.2">
      <c r="B236" s="27">
        <v>38868</v>
      </c>
      <c r="C236" s="25">
        <v>1.4</v>
      </c>
      <c r="D236" s="26">
        <v>1.9</v>
      </c>
      <c r="E236" s="26">
        <v>1.1000000000000001</v>
      </c>
      <c r="F236" s="26">
        <v>2.4300000000000002</v>
      </c>
      <c r="G236" s="26">
        <v>3.39</v>
      </c>
      <c r="H236" s="26">
        <v>-0.39</v>
      </c>
    </row>
    <row r="237" spans="2:8" x14ac:dyDescent="0.2">
      <c r="B237" s="27">
        <v>38898</v>
      </c>
      <c r="C237" s="25">
        <v>1.5</v>
      </c>
      <c r="D237" s="26">
        <v>2.1</v>
      </c>
      <c r="E237" s="26">
        <v>1.2</v>
      </c>
      <c r="F237" s="26">
        <v>3.52</v>
      </c>
      <c r="G237" s="26">
        <v>4.8</v>
      </c>
      <c r="H237" s="26">
        <v>-0.24</v>
      </c>
    </row>
    <row r="238" spans="2:8" x14ac:dyDescent="0.2">
      <c r="B238" s="27">
        <v>38929</v>
      </c>
      <c r="C238" s="25">
        <v>1</v>
      </c>
      <c r="D238" s="26">
        <v>0.6</v>
      </c>
      <c r="E238" s="26">
        <v>1.2</v>
      </c>
      <c r="F238" s="26">
        <v>3.58</v>
      </c>
      <c r="G238" s="26">
        <v>4.8</v>
      </c>
      <c r="H238" s="26">
        <v>0</v>
      </c>
    </row>
    <row r="239" spans="2:8" x14ac:dyDescent="0.2">
      <c r="B239" s="27">
        <v>38960</v>
      </c>
      <c r="C239" s="25">
        <v>1.3</v>
      </c>
      <c r="D239" s="26">
        <v>1.4</v>
      </c>
      <c r="E239" s="26">
        <v>1.3</v>
      </c>
      <c r="F239" s="26">
        <v>3.4</v>
      </c>
      <c r="G239" s="26">
        <v>4.5</v>
      </c>
      <c r="H239" s="26">
        <v>0.3</v>
      </c>
    </row>
    <row r="240" spans="2:8" x14ac:dyDescent="0.2">
      <c r="B240" s="27">
        <v>38990</v>
      </c>
      <c r="C240" s="25">
        <v>1.5</v>
      </c>
      <c r="D240" s="26">
        <v>2.4</v>
      </c>
      <c r="E240" s="26">
        <v>1.1000000000000001</v>
      </c>
      <c r="F240" s="26">
        <v>3.5</v>
      </c>
      <c r="G240" s="26">
        <v>4.41</v>
      </c>
      <c r="H240" s="26">
        <v>0.62</v>
      </c>
    </row>
    <row r="241" spans="2:8" x14ac:dyDescent="0.2">
      <c r="B241" s="27">
        <v>39021</v>
      </c>
      <c r="C241" s="25">
        <v>1.4</v>
      </c>
      <c r="D241" s="26">
        <v>2.2000000000000002</v>
      </c>
      <c r="E241" s="26">
        <v>1</v>
      </c>
      <c r="F241" s="26">
        <v>2.9</v>
      </c>
      <c r="G241" s="26">
        <v>3.8</v>
      </c>
      <c r="H241" s="26">
        <v>0.6</v>
      </c>
    </row>
    <row r="242" spans="2:8" x14ac:dyDescent="0.2">
      <c r="B242" s="27">
        <v>39051</v>
      </c>
      <c r="C242" s="25">
        <v>1.9</v>
      </c>
      <c r="D242" s="26">
        <v>3.7</v>
      </c>
      <c r="E242" s="26">
        <v>1</v>
      </c>
      <c r="F242" s="26">
        <v>2.78</v>
      </c>
      <c r="G242" s="26">
        <v>3.38</v>
      </c>
      <c r="H242" s="26">
        <v>1</v>
      </c>
    </row>
    <row r="243" spans="2:8" x14ac:dyDescent="0.2">
      <c r="B243" s="27">
        <v>39082</v>
      </c>
      <c r="C243" s="25">
        <v>2.8</v>
      </c>
      <c r="D243" s="26">
        <v>6.3</v>
      </c>
      <c r="E243" s="26">
        <v>1.1000000000000001</v>
      </c>
      <c r="F243" s="26">
        <v>3.1</v>
      </c>
      <c r="G243" s="26">
        <v>3.6</v>
      </c>
      <c r="H243" s="26">
        <v>1.46</v>
      </c>
    </row>
    <row r="244" spans="2:8" x14ac:dyDescent="0.2">
      <c r="B244" s="27">
        <v>39113</v>
      </c>
      <c r="C244" s="25">
        <v>2.2000000000000002</v>
      </c>
      <c r="D244" s="26">
        <v>5</v>
      </c>
      <c r="E244" s="26">
        <v>0.7</v>
      </c>
      <c r="F244" s="26">
        <v>3.3</v>
      </c>
      <c r="G244" s="26">
        <v>3.82</v>
      </c>
      <c r="H244" s="26">
        <v>1.81</v>
      </c>
    </row>
    <row r="245" spans="2:8" x14ac:dyDescent="0.2">
      <c r="B245" s="27">
        <v>39141</v>
      </c>
      <c r="C245" s="25">
        <v>2.7</v>
      </c>
      <c r="D245" s="26">
        <v>6</v>
      </c>
      <c r="E245" s="26">
        <v>1</v>
      </c>
      <c r="F245" s="26">
        <v>2.6</v>
      </c>
      <c r="G245" s="26">
        <v>2.83</v>
      </c>
      <c r="H245" s="26">
        <v>1.91</v>
      </c>
    </row>
    <row r="246" spans="2:8" x14ac:dyDescent="0.2">
      <c r="B246" s="27">
        <v>39172</v>
      </c>
      <c r="C246" s="25">
        <v>3.3</v>
      </c>
      <c r="D246" s="26">
        <v>7.7</v>
      </c>
      <c r="E246" s="26">
        <v>1.1000000000000001</v>
      </c>
      <c r="F246" s="26">
        <v>2.7</v>
      </c>
      <c r="G246" s="26">
        <v>2.93</v>
      </c>
      <c r="H246" s="26">
        <v>1.85</v>
      </c>
    </row>
    <row r="247" spans="2:8" x14ac:dyDescent="0.2">
      <c r="B247" s="27">
        <v>39202</v>
      </c>
      <c r="C247" s="25">
        <v>3</v>
      </c>
      <c r="D247" s="26">
        <v>7.1</v>
      </c>
      <c r="E247" s="26">
        <v>1</v>
      </c>
      <c r="F247" s="26">
        <v>2.9</v>
      </c>
      <c r="G247" s="26">
        <v>3.13</v>
      </c>
      <c r="H247" s="26">
        <v>2.13</v>
      </c>
    </row>
    <row r="248" spans="2:8" x14ac:dyDescent="0.2">
      <c r="B248" s="27">
        <v>39233</v>
      </c>
      <c r="C248" s="25">
        <v>3.4</v>
      </c>
      <c r="D248" s="26">
        <v>8.3000000000000007</v>
      </c>
      <c r="E248" s="26">
        <v>1</v>
      </c>
      <c r="F248" s="26">
        <v>2.8</v>
      </c>
      <c r="G248" s="26">
        <v>2.87</v>
      </c>
      <c r="H248" s="26">
        <v>2.44</v>
      </c>
    </row>
    <row r="249" spans="2:8" x14ac:dyDescent="0.2">
      <c r="B249" s="27">
        <v>39263</v>
      </c>
      <c r="C249" s="25">
        <v>4.4000000000000004</v>
      </c>
      <c r="D249" s="26">
        <v>11.3</v>
      </c>
      <c r="E249" s="26">
        <v>1</v>
      </c>
      <c r="F249" s="26">
        <v>2.4900000000000002</v>
      </c>
      <c r="G249" s="26">
        <v>2.48</v>
      </c>
      <c r="H249" s="26">
        <v>2.54</v>
      </c>
    </row>
    <row r="250" spans="2:8" x14ac:dyDescent="0.2">
      <c r="B250" s="27">
        <v>39294</v>
      </c>
      <c r="C250" s="25">
        <v>5.6</v>
      </c>
      <c r="D250" s="26">
        <v>15.4</v>
      </c>
      <c r="E250" s="26">
        <v>0.9</v>
      </c>
      <c r="F250" s="26">
        <v>2.4</v>
      </c>
      <c r="G250" s="26">
        <v>2.2000000000000002</v>
      </c>
      <c r="H250" s="26">
        <v>3.07</v>
      </c>
    </row>
    <row r="251" spans="2:8" x14ac:dyDescent="0.2">
      <c r="B251" s="27">
        <v>39325</v>
      </c>
      <c r="C251" s="25">
        <v>6.5</v>
      </c>
      <c r="D251" s="26">
        <v>18.2</v>
      </c>
      <c r="E251" s="26">
        <v>0.9</v>
      </c>
      <c r="F251" s="26">
        <v>2.6</v>
      </c>
      <c r="G251" s="26">
        <v>2.23</v>
      </c>
      <c r="H251" s="26">
        <v>3.53</v>
      </c>
    </row>
    <row r="252" spans="2:8" x14ac:dyDescent="0.2">
      <c r="B252" s="27">
        <v>39355</v>
      </c>
      <c r="C252" s="25">
        <v>6.2</v>
      </c>
      <c r="D252" s="26">
        <v>16.899999999999999</v>
      </c>
      <c r="E252" s="26">
        <v>1.1000000000000001</v>
      </c>
      <c r="F252" s="26">
        <v>2.7</v>
      </c>
      <c r="G252" s="26">
        <v>2.5</v>
      </c>
      <c r="H252" s="26">
        <v>3.32</v>
      </c>
    </row>
    <row r="253" spans="2:8" x14ac:dyDescent="0.2">
      <c r="B253" s="27">
        <v>39386</v>
      </c>
      <c r="C253" s="25">
        <v>6.5</v>
      </c>
      <c r="D253" s="26">
        <v>17.600000000000001</v>
      </c>
      <c r="E253" s="26">
        <v>1.1000000000000001</v>
      </c>
      <c r="F253" s="26">
        <v>3.2</v>
      </c>
      <c r="G253" s="26">
        <v>3.11</v>
      </c>
      <c r="H253" s="26">
        <v>3.5</v>
      </c>
    </row>
    <row r="254" spans="2:8" x14ac:dyDescent="0.2">
      <c r="B254" s="27">
        <v>39416</v>
      </c>
      <c r="C254" s="25">
        <v>6.9</v>
      </c>
      <c r="D254" s="26">
        <v>18.2</v>
      </c>
      <c r="E254" s="26">
        <v>1.4</v>
      </c>
      <c r="F254" s="26">
        <v>4.55</v>
      </c>
      <c r="G254" s="26">
        <v>4.83</v>
      </c>
      <c r="H254" s="26">
        <v>3.72</v>
      </c>
    </row>
    <row r="255" spans="2:8" x14ac:dyDescent="0.2">
      <c r="B255" s="27">
        <v>39447</v>
      </c>
      <c r="C255" s="25">
        <v>6.5</v>
      </c>
      <c r="D255" s="26">
        <v>16.7</v>
      </c>
      <c r="E255" s="26">
        <v>1.4</v>
      </c>
      <c r="F255" s="26">
        <v>5.43</v>
      </c>
      <c r="G255" s="26">
        <v>6.01</v>
      </c>
      <c r="H255" s="26">
        <v>3.71</v>
      </c>
    </row>
    <row r="256" spans="2:8" x14ac:dyDescent="0.2">
      <c r="B256" s="27">
        <v>39478</v>
      </c>
      <c r="C256" s="25">
        <v>7.1</v>
      </c>
      <c r="D256" s="26">
        <v>18.2</v>
      </c>
      <c r="E256" s="26">
        <v>1.5</v>
      </c>
      <c r="F256" s="26">
        <v>6.1</v>
      </c>
      <c r="G256" s="26">
        <v>6.53</v>
      </c>
      <c r="H256" s="26">
        <v>4.63</v>
      </c>
    </row>
    <row r="257" spans="2:8" x14ac:dyDescent="0.2">
      <c r="B257" s="27">
        <v>39507</v>
      </c>
      <c r="C257" s="25">
        <v>8.6999999999999993</v>
      </c>
      <c r="D257" s="26">
        <v>23.3</v>
      </c>
      <c r="E257" s="26">
        <v>1.6</v>
      </c>
      <c r="F257" s="26">
        <v>6.62</v>
      </c>
      <c r="G257" s="26">
        <v>7.16</v>
      </c>
      <c r="H257" s="26">
        <v>4.9000000000000004</v>
      </c>
    </row>
    <row r="258" spans="2:8" x14ac:dyDescent="0.2">
      <c r="B258" s="27">
        <v>39538</v>
      </c>
      <c r="C258" s="25">
        <v>8.3000000000000007</v>
      </c>
      <c r="D258" s="26">
        <v>21.4</v>
      </c>
      <c r="E258" s="26">
        <v>1.8</v>
      </c>
      <c r="F258" s="26">
        <v>7.95</v>
      </c>
      <c r="G258" s="26">
        <v>8.7200000000000006</v>
      </c>
      <c r="H258" s="26">
        <v>5.48</v>
      </c>
    </row>
    <row r="259" spans="2:8" x14ac:dyDescent="0.2">
      <c r="B259" s="27">
        <v>39568</v>
      </c>
      <c r="C259" s="25">
        <v>8.5</v>
      </c>
      <c r="D259" s="26">
        <v>22.1</v>
      </c>
      <c r="E259" s="26">
        <v>1.8</v>
      </c>
      <c r="F259" s="26">
        <v>8.1199999999999992</v>
      </c>
      <c r="G259" s="26">
        <v>8.9600000000000009</v>
      </c>
      <c r="H259" s="26">
        <v>5.41</v>
      </c>
    </row>
    <row r="260" spans="2:8" x14ac:dyDescent="0.2">
      <c r="B260" s="27">
        <v>39599</v>
      </c>
      <c r="C260" s="25">
        <v>7.7</v>
      </c>
      <c r="D260" s="26">
        <v>19.899999999999999</v>
      </c>
      <c r="E260" s="26">
        <v>1.7</v>
      </c>
      <c r="F260" s="26">
        <v>8.2200000000000006</v>
      </c>
      <c r="G260" s="26">
        <v>9.19</v>
      </c>
      <c r="H260" s="26">
        <v>5.1100000000000003</v>
      </c>
    </row>
    <row r="261" spans="2:8" x14ac:dyDescent="0.2">
      <c r="B261" s="27">
        <v>39629</v>
      </c>
      <c r="C261" s="25">
        <v>7.1</v>
      </c>
      <c r="D261" s="26">
        <v>17.3</v>
      </c>
      <c r="E261" s="26">
        <v>1.9</v>
      </c>
      <c r="F261" s="26">
        <v>8.84</v>
      </c>
      <c r="G261" s="26">
        <v>10.1</v>
      </c>
      <c r="H261" s="26">
        <v>4.78</v>
      </c>
    </row>
    <row r="262" spans="2:8" x14ac:dyDescent="0.2">
      <c r="B262" s="27">
        <v>39660</v>
      </c>
      <c r="C262" s="25">
        <v>6.3</v>
      </c>
      <c r="D262" s="26">
        <v>14.4</v>
      </c>
      <c r="E262" s="26">
        <v>2.1</v>
      </c>
      <c r="F262" s="26">
        <v>10.029999999999999</v>
      </c>
      <c r="G262" s="26">
        <v>11.71</v>
      </c>
      <c r="H262" s="26">
        <v>4.5999999999999996</v>
      </c>
    </row>
    <row r="263" spans="2:8" x14ac:dyDescent="0.2">
      <c r="B263" s="27">
        <v>39691</v>
      </c>
      <c r="C263" s="25">
        <v>4.9000000000000004</v>
      </c>
      <c r="D263" s="26">
        <v>10.3</v>
      </c>
      <c r="E263" s="26">
        <v>2.1</v>
      </c>
      <c r="F263" s="26">
        <v>10.06</v>
      </c>
      <c r="G263" s="26">
        <v>11.95</v>
      </c>
      <c r="H263" s="26">
        <v>3.97</v>
      </c>
    </row>
    <row r="264" spans="2:8" x14ac:dyDescent="0.2">
      <c r="B264" s="27">
        <v>39721</v>
      </c>
      <c r="C264" s="25">
        <v>4.5999999999999996</v>
      </c>
      <c r="D264" s="26">
        <v>9.6999999999999993</v>
      </c>
      <c r="E264" s="26">
        <v>2</v>
      </c>
      <c r="F264" s="26">
        <v>9.1300000000000008</v>
      </c>
      <c r="G264" s="26">
        <v>10.83</v>
      </c>
      <c r="H264" s="26">
        <v>3.65</v>
      </c>
    </row>
    <row r="265" spans="2:8" x14ac:dyDescent="0.2">
      <c r="B265" s="27">
        <v>39752</v>
      </c>
      <c r="C265" s="25">
        <v>4</v>
      </c>
      <c r="D265" s="26">
        <v>8.5</v>
      </c>
      <c r="E265" s="26">
        <v>1.6</v>
      </c>
      <c r="F265" s="26">
        <v>6.59</v>
      </c>
      <c r="G265" s="26">
        <v>7.67</v>
      </c>
      <c r="H265" s="26">
        <v>3.13</v>
      </c>
    </row>
    <row r="266" spans="2:8" x14ac:dyDescent="0.2">
      <c r="B266" s="27">
        <v>39782</v>
      </c>
      <c r="C266" s="25">
        <v>2.4</v>
      </c>
      <c r="D266" s="26">
        <v>5.9</v>
      </c>
      <c r="E266" s="26">
        <v>0.6</v>
      </c>
      <c r="F266" s="26">
        <v>1.99</v>
      </c>
      <c r="G266" s="26">
        <v>1.95</v>
      </c>
      <c r="H266" s="26">
        <v>2.12</v>
      </c>
    </row>
    <row r="267" spans="2:8" x14ac:dyDescent="0.2">
      <c r="B267" s="27">
        <v>39813</v>
      </c>
      <c r="C267" s="25">
        <v>1.2</v>
      </c>
      <c r="D267" s="26">
        <v>4.2</v>
      </c>
      <c r="E267" s="26">
        <v>-0.3</v>
      </c>
      <c r="F267" s="26">
        <v>-1.1399999999999999</v>
      </c>
      <c r="G267" s="26">
        <v>-1.87</v>
      </c>
      <c r="H267" s="26">
        <v>1.19</v>
      </c>
    </row>
    <row r="268" spans="2:8" x14ac:dyDescent="0.2">
      <c r="B268" s="27">
        <v>39844</v>
      </c>
      <c r="C268" s="25">
        <v>1</v>
      </c>
      <c r="D268" s="26">
        <v>4.2</v>
      </c>
      <c r="E268" s="26">
        <v>-0.6</v>
      </c>
      <c r="F268" s="26">
        <v>-3.35</v>
      </c>
      <c r="G268" s="26">
        <v>-4.43</v>
      </c>
      <c r="H268" s="26">
        <v>0.12</v>
      </c>
    </row>
    <row r="269" spans="2:8" x14ac:dyDescent="0.2">
      <c r="B269" s="27">
        <v>39872</v>
      </c>
      <c r="C269" s="25">
        <v>-1.6</v>
      </c>
      <c r="D269" s="26">
        <v>-1.9</v>
      </c>
      <c r="E269" s="26">
        <v>-1.2</v>
      </c>
      <c r="F269" s="26">
        <v>-4.47</v>
      </c>
      <c r="G269" s="26">
        <v>-5.72</v>
      </c>
      <c r="H269" s="26">
        <v>-0.45</v>
      </c>
    </row>
    <row r="270" spans="2:8" x14ac:dyDescent="0.2">
      <c r="B270" s="27">
        <v>39903</v>
      </c>
      <c r="C270" s="25">
        <v>-1.2</v>
      </c>
      <c r="D270" s="26">
        <v>-0.7</v>
      </c>
      <c r="E270" s="26">
        <v>-1.3</v>
      </c>
      <c r="F270" s="26">
        <v>-6</v>
      </c>
      <c r="G270" s="26">
        <v>-7.4</v>
      </c>
      <c r="H270" s="26">
        <v>-1.4</v>
      </c>
    </row>
    <row r="271" spans="2:8" x14ac:dyDescent="0.2">
      <c r="B271" s="27">
        <v>39933</v>
      </c>
      <c r="C271" s="25">
        <v>-1.5</v>
      </c>
      <c r="D271" s="26">
        <v>-1.3</v>
      </c>
      <c r="E271" s="26">
        <v>-1.5</v>
      </c>
      <c r="F271" s="26">
        <v>-6.6</v>
      </c>
      <c r="G271" s="26">
        <v>-8.11</v>
      </c>
      <c r="H271" s="26">
        <v>-1.72</v>
      </c>
    </row>
    <row r="272" spans="2:8" x14ac:dyDescent="0.2">
      <c r="B272" s="27">
        <v>39964</v>
      </c>
      <c r="C272" s="25">
        <v>-1.4</v>
      </c>
      <c r="D272" s="26">
        <v>-0.6</v>
      </c>
      <c r="E272" s="26">
        <v>-1.7</v>
      </c>
      <c r="F272" s="26">
        <v>-7.2</v>
      </c>
      <c r="G272" s="26">
        <v>-8.84</v>
      </c>
      <c r="H272" s="26">
        <v>-1.93</v>
      </c>
    </row>
    <row r="273" spans="2:8" x14ac:dyDescent="0.2">
      <c r="B273" s="27">
        <v>39994</v>
      </c>
      <c r="C273" s="25">
        <v>-1.7</v>
      </c>
      <c r="D273" s="26">
        <v>-1.1000000000000001</v>
      </c>
      <c r="E273" s="26">
        <v>-1.9</v>
      </c>
      <c r="F273" s="26">
        <v>-7.8</v>
      </c>
      <c r="G273" s="26">
        <v>-9.6</v>
      </c>
      <c r="H273" s="26">
        <v>-2.1</v>
      </c>
    </row>
    <row r="274" spans="2:8" x14ac:dyDescent="0.2">
      <c r="B274" s="27">
        <v>40025</v>
      </c>
      <c r="C274" s="25">
        <v>-1.8</v>
      </c>
      <c r="D274" s="26">
        <v>-1.2</v>
      </c>
      <c r="E274" s="26">
        <v>-2.1</v>
      </c>
      <c r="F274" s="26">
        <v>-8.1999999999999993</v>
      </c>
      <c r="G274" s="26">
        <v>-10.1</v>
      </c>
      <c r="H274" s="26">
        <v>-2.2999999999999998</v>
      </c>
    </row>
    <row r="275" spans="2:8" x14ac:dyDescent="0.2">
      <c r="B275" s="27">
        <v>40056</v>
      </c>
      <c r="C275" s="25">
        <v>-1.2</v>
      </c>
      <c r="D275" s="26">
        <v>0.5</v>
      </c>
      <c r="E275" s="26">
        <v>-2</v>
      </c>
      <c r="F275" s="26">
        <v>-7.86</v>
      </c>
      <c r="G275" s="26">
        <v>-9.75</v>
      </c>
      <c r="H275" s="26">
        <v>-1.86</v>
      </c>
    </row>
    <row r="276" spans="2:8" x14ac:dyDescent="0.2">
      <c r="B276" s="27">
        <v>40086</v>
      </c>
      <c r="C276" s="25">
        <v>-0.8</v>
      </c>
      <c r="D276" s="26">
        <v>1.5</v>
      </c>
      <c r="E276" s="26">
        <v>-1.9</v>
      </c>
      <c r="F276" s="26">
        <v>-6.99</v>
      </c>
      <c r="G276" s="26">
        <v>-8.6199999999999992</v>
      </c>
      <c r="H276" s="26">
        <v>-1.8</v>
      </c>
    </row>
    <row r="277" spans="2:8" x14ac:dyDescent="0.2">
      <c r="B277" s="27">
        <v>40117</v>
      </c>
      <c r="C277" s="25">
        <v>-0.5</v>
      </c>
      <c r="D277" s="26">
        <v>1.6</v>
      </c>
      <c r="E277" s="26">
        <v>-1.6</v>
      </c>
      <c r="F277" s="26">
        <v>-5.85</v>
      </c>
      <c r="G277" s="26">
        <v>-7.23</v>
      </c>
      <c r="H277" s="26">
        <v>-1.44</v>
      </c>
    </row>
    <row r="278" spans="2:8" x14ac:dyDescent="0.2">
      <c r="B278" s="27">
        <v>40147</v>
      </c>
      <c r="C278" s="25">
        <v>0.6</v>
      </c>
      <c r="D278" s="26">
        <v>3.2</v>
      </c>
      <c r="E278" s="26">
        <v>-0.7</v>
      </c>
      <c r="F278" s="26">
        <v>-2.08</v>
      </c>
      <c r="G278" s="26">
        <v>-2.67</v>
      </c>
      <c r="H278" s="26">
        <v>-0.22</v>
      </c>
    </row>
    <row r="279" spans="2:8" x14ac:dyDescent="0.2">
      <c r="B279" s="27">
        <v>40178</v>
      </c>
      <c r="C279" s="25">
        <v>1.9</v>
      </c>
      <c r="D279" s="26">
        <v>5.3</v>
      </c>
      <c r="E279" s="26">
        <v>0.2</v>
      </c>
      <c r="F279" s="26">
        <v>1.7</v>
      </c>
      <c r="G279" s="26">
        <v>1.98</v>
      </c>
      <c r="H279" s="26">
        <v>0.8</v>
      </c>
    </row>
    <row r="280" spans="2:8" x14ac:dyDescent="0.2">
      <c r="B280" s="27">
        <v>40209</v>
      </c>
      <c r="C280" s="25">
        <v>1.5</v>
      </c>
      <c r="D280" s="26">
        <v>3.7</v>
      </c>
      <c r="E280" s="26">
        <v>0.5</v>
      </c>
      <c r="F280" s="26">
        <v>4.32</v>
      </c>
      <c r="G280" s="26">
        <v>5.49</v>
      </c>
      <c r="H280" s="26">
        <v>0.55000000000000004</v>
      </c>
    </row>
    <row r="281" spans="2:8" x14ac:dyDescent="0.2">
      <c r="B281" s="27">
        <v>40237</v>
      </c>
      <c r="C281" s="25">
        <v>2.7</v>
      </c>
      <c r="D281" s="26">
        <v>6.2</v>
      </c>
      <c r="E281" s="26">
        <v>1</v>
      </c>
      <c r="F281" s="26">
        <v>5.39</v>
      </c>
      <c r="G281" s="26">
        <v>6.76</v>
      </c>
      <c r="H281" s="26">
        <v>0.97</v>
      </c>
    </row>
    <row r="282" spans="2:8" x14ac:dyDescent="0.2">
      <c r="B282" s="27">
        <v>40268</v>
      </c>
      <c r="C282" s="25">
        <v>2.4</v>
      </c>
      <c r="D282" s="26">
        <v>5.2</v>
      </c>
      <c r="E282" s="26">
        <v>1</v>
      </c>
      <c r="F282" s="26">
        <v>5.91</v>
      </c>
      <c r="G282" s="26">
        <v>7.38</v>
      </c>
      <c r="H282" s="26">
        <v>1.17</v>
      </c>
    </row>
    <row r="283" spans="2:8" x14ac:dyDescent="0.2">
      <c r="B283" s="27">
        <v>40298</v>
      </c>
      <c r="C283" s="25">
        <v>2.8</v>
      </c>
      <c r="D283" s="26">
        <v>5.9</v>
      </c>
      <c r="E283" s="26">
        <v>1.3</v>
      </c>
      <c r="F283" s="26">
        <v>6.81</v>
      </c>
      <c r="G283" s="26">
        <v>8.5</v>
      </c>
      <c r="H283" s="26">
        <v>1.4</v>
      </c>
    </row>
    <row r="284" spans="2:8" x14ac:dyDescent="0.2">
      <c r="B284" s="27">
        <v>40329</v>
      </c>
      <c r="C284" s="25">
        <v>3.1</v>
      </c>
      <c r="D284" s="26">
        <v>6.1</v>
      </c>
      <c r="E284" s="26">
        <v>1.6</v>
      </c>
      <c r="F284" s="26">
        <v>7.13</v>
      </c>
      <c r="G284" s="26">
        <v>8.7899999999999991</v>
      </c>
      <c r="H284" s="26">
        <v>1.8</v>
      </c>
    </row>
    <row r="285" spans="2:8" x14ac:dyDescent="0.2">
      <c r="B285" s="27">
        <v>40359</v>
      </c>
      <c r="C285" s="25">
        <v>2.9</v>
      </c>
      <c r="D285" s="26">
        <v>5.7</v>
      </c>
      <c r="E285" s="26">
        <v>1.6</v>
      </c>
      <c r="F285" s="26">
        <v>6.41</v>
      </c>
      <c r="G285" s="26">
        <v>7.79</v>
      </c>
      <c r="H285" s="26">
        <v>1.96</v>
      </c>
    </row>
    <row r="286" spans="2:8" x14ac:dyDescent="0.2">
      <c r="B286" s="27">
        <v>40390</v>
      </c>
      <c r="C286" s="25">
        <v>3.3</v>
      </c>
      <c r="D286" s="26">
        <v>6.8</v>
      </c>
      <c r="E286" s="26">
        <v>1.6</v>
      </c>
      <c r="F286" s="26">
        <v>4.84</v>
      </c>
      <c r="G286" s="26">
        <v>5.69</v>
      </c>
      <c r="H286" s="26">
        <v>2.09</v>
      </c>
    </row>
    <row r="287" spans="2:8" x14ac:dyDescent="0.2">
      <c r="B287" s="27">
        <v>40421</v>
      </c>
      <c r="C287" s="25">
        <v>3.5</v>
      </c>
      <c r="D287" s="26">
        <v>7.5</v>
      </c>
      <c r="E287" s="26">
        <v>1.5</v>
      </c>
      <c r="F287" s="26">
        <v>4.32</v>
      </c>
      <c r="G287" s="26">
        <v>4.99</v>
      </c>
      <c r="H287" s="26">
        <v>2.17</v>
      </c>
    </row>
    <row r="288" spans="2:8" x14ac:dyDescent="0.2">
      <c r="B288" s="27">
        <v>40451</v>
      </c>
      <c r="C288" s="25">
        <v>3.6</v>
      </c>
      <c r="D288" s="26">
        <v>8</v>
      </c>
      <c r="E288" s="26">
        <v>1.4</v>
      </c>
      <c r="F288" s="26">
        <v>4.33</v>
      </c>
      <c r="G288" s="26">
        <v>4.9000000000000004</v>
      </c>
      <c r="H288" s="26">
        <v>2.46</v>
      </c>
    </row>
    <row r="289" spans="2:8" x14ac:dyDescent="0.2">
      <c r="B289" s="27">
        <v>40482</v>
      </c>
      <c r="C289" s="25">
        <v>4.4000000000000004</v>
      </c>
      <c r="D289" s="26">
        <v>10.1</v>
      </c>
      <c r="E289" s="26">
        <v>1.6</v>
      </c>
      <c r="F289" s="26">
        <v>5.04</v>
      </c>
      <c r="G289" s="26">
        <v>5.8</v>
      </c>
      <c r="H289" s="26">
        <v>2.58</v>
      </c>
    </row>
    <row r="290" spans="2:8" x14ac:dyDescent="0.2">
      <c r="B290" s="27">
        <v>40512</v>
      </c>
      <c r="C290" s="25">
        <v>5.0999999999999996</v>
      </c>
      <c r="D290" s="26">
        <v>11.7</v>
      </c>
      <c r="E290" s="26">
        <v>1.9</v>
      </c>
      <c r="F290" s="26">
        <v>6.06</v>
      </c>
      <c r="G290" s="26">
        <v>6.94</v>
      </c>
      <c r="H290" s="26">
        <v>3.25</v>
      </c>
    </row>
    <row r="291" spans="2:8" x14ac:dyDescent="0.2">
      <c r="B291" s="27">
        <v>40543</v>
      </c>
      <c r="C291" s="25">
        <v>4.5999999999999996</v>
      </c>
      <c r="D291" s="26">
        <v>9.6</v>
      </c>
      <c r="E291" s="26">
        <v>2.1</v>
      </c>
      <c r="F291" s="26">
        <v>5.93</v>
      </c>
      <c r="G291" s="26">
        <v>6.67</v>
      </c>
      <c r="H291" s="26">
        <v>3.53</v>
      </c>
    </row>
    <row r="292" spans="2:8" x14ac:dyDescent="0.2">
      <c r="B292" s="27">
        <v>40574</v>
      </c>
      <c r="C292" s="25">
        <v>4.9000000000000004</v>
      </c>
      <c r="D292" s="26">
        <v>10.3</v>
      </c>
      <c r="E292" s="26">
        <v>2.6</v>
      </c>
      <c r="F292" s="26">
        <v>6.6</v>
      </c>
      <c r="G292" s="26">
        <v>7.5</v>
      </c>
      <c r="H292" s="26">
        <v>3.8</v>
      </c>
    </row>
    <row r="293" spans="2:8" x14ac:dyDescent="0.2">
      <c r="B293" s="27">
        <v>40602</v>
      </c>
      <c r="C293" s="25">
        <v>4.944</v>
      </c>
      <c r="D293" s="26">
        <v>11</v>
      </c>
      <c r="E293" s="26">
        <v>2.2999999999999998</v>
      </c>
      <c r="F293" s="26">
        <v>7.23</v>
      </c>
      <c r="G293" s="26">
        <v>8.2100000000000009</v>
      </c>
      <c r="H293" s="26">
        <v>4.09</v>
      </c>
    </row>
    <row r="294" spans="2:8" x14ac:dyDescent="0.2">
      <c r="B294" s="27">
        <v>40633</v>
      </c>
      <c r="C294" s="25">
        <v>5.383</v>
      </c>
      <c r="D294" s="26">
        <v>11.7</v>
      </c>
      <c r="E294" s="26">
        <v>2.7</v>
      </c>
      <c r="F294" s="26">
        <v>7.31</v>
      </c>
      <c r="G294" s="26">
        <v>8.2200000000000006</v>
      </c>
      <c r="H294" s="26">
        <v>4.3600000000000003</v>
      </c>
    </row>
    <row r="295" spans="2:8" x14ac:dyDescent="0.2">
      <c r="B295" s="27">
        <v>40663</v>
      </c>
      <c r="C295" s="25">
        <v>5.3440000000000003</v>
      </c>
      <c r="D295" s="26">
        <v>11.5</v>
      </c>
      <c r="E295" s="26">
        <v>2.7</v>
      </c>
      <c r="F295" s="26">
        <v>6.82</v>
      </c>
      <c r="G295" s="26">
        <v>7.49</v>
      </c>
      <c r="H295" s="26">
        <v>4.6399999999999997</v>
      </c>
    </row>
    <row r="296" spans="2:8" x14ac:dyDescent="0.2">
      <c r="B296" s="27">
        <v>40694</v>
      </c>
      <c r="C296" s="25">
        <v>5.5149999999999997</v>
      </c>
      <c r="D296" s="26">
        <v>11.7</v>
      </c>
      <c r="E296" s="26">
        <v>2.9</v>
      </c>
      <c r="F296" s="26">
        <v>6.79</v>
      </c>
      <c r="G296" s="26">
        <v>7.45</v>
      </c>
      <c r="H296" s="26">
        <v>4.5999999999999996</v>
      </c>
    </row>
    <row r="297" spans="2:8" x14ac:dyDescent="0.2">
      <c r="B297" s="27">
        <v>40724</v>
      </c>
      <c r="C297" s="25">
        <v>6.3550000000000004</v>
      </c>
      <c r="D297" s="26">
        <v>14.4</v>
      </c>
      <c r="E297" s="26">
        <v>3</v>
      </c>
      <c r="F297" s="26">
        <v>7.12</v>
      </c>
      <c r="G297" s="26">
        <v>7.88</v>
      </c>
      <c r="H297" s="26">
        <v>4.6500000000000004</v>
      </c>
    </row>
    <row r="298" spans="2:8" x14ac:dyDescent="0.2">
      <c r="B298" s="27">
        <v>40755</v>
      </c>
      <c r="C298" s="25">
        <v>6.4509999999999996</v>
      </c>
      <c r="D298" s="26">
        <v>14.8</v>
      </c>
      <c r="E298" s="26">
        <v>2.9</v>
      </c>
      <c r="F298" s="26">
        <v>7.54</v>
      </c>
      <c r="G298" s="26">
        <v>8.4</v>
      </c>
      <c r="H298" s="26">
        <v>4.75</v>
      </c>
    </row>
    <row r="299" spans="2:8" x14ac:dyDescent="0.2">
      <c r="B299" s="27">
        <v>40786</v>
      </c>
      <c r="C299" s="25">
        <v>6.1509999999999998</v>
      </c>
      <c r="D299" s="26">
        <v>13.4</v>
      </c>
      <c r="E299" s="26">
        <v>3</v>
      </c>
      <c r="F299" s="26">
        <v>7.25</v>
      </c>
      <c r="G299" s="26">
        <v>8.01</v>
      </c>
      <c r="H299" s="26">
        <v>4.79</v>
      </c>
    </row>
    <row r="300" spans="2:8" x14ac:dyDescent="0.2">
      <c r="B300" s="27">
        <v>40816</v>
      </c>
      <c r="C300" s="25">
        <v>6.0670000000000002</v>
      </c>
      <c r="D300" s="26">
        <v>13.4</v>
      </c>
      <c r="E300" s="26">
        <v>2.9</v>
      </c>
      <c r="F300" s="26">
        <v>6.52</v>
      </c>
      <c r="G300" s="26">
        <v>7.11</v>
      </c>
      <c r="H300" s="26">
        <v>4.62</v>
      </c>
    </row>
    <row r="301" spans="2:8" x14ac:dyDescent="0.2">
      <c r="B301" s="27">
        <v>40847</v>
      </c>
      <c r="C301" s="25">
        <v>5.4950000000000001</v>
      </c>
      <c r="D301" s="26">
        <v>11.9</v>
      </c>
      <c r="E301" s="26">
        <v>2.7</v>
      </c>
      <c r="F301" s="26">
        <v>5</v>
      </c>
      <c r="G301" s="26">
        <v>5.24</v>
      </c>
      <c r="H301" s="26">
        <v>4.22</v>
      </c>
    </row>
    <row r="302" spans="2:8" x14ac:dyDescent="0.2">
      <c r="B302" s="27">
        <v>40877</v>
      </c>
      <c r="C302" s="25">
        <v>4.2249999999999996</v>
      </c>
      <c r="D302" s="26">
        <v>8.8000000000000007</v>
      </c>
      <c r="E302" s="26">
        <v>2.2000000000000002</v>
      </c>
      <c r="F302" s="26">
        <v>2.72</v>
      </c>
      <c r="G302" s="26">
        <v>2.61</v>
      </c>
      <c r="H302" s="26">
        <v>3.09</v>
      </c>
    </row>
    <row r="303" spans="2:8" x14ac:dyDescent="0.2">
      <c r="B303" s="27">
        <v>40908</v>
      </c>
      <c r="C303" s="25">
        <v>4.07</v>
      </c>
      <c r="D303" s="26">
        <v>9.1</v>
      </c>
      <c r="E303" s="26">
        <v>1.9</v>
      </c>
      <c r="F303" s="26">
        <v>1.69</v>
      </c>
      <c r="G303" s="26">
        <v>1.43</v>
      </c>
      <c r="H303" s="26">
        <v>2.52</v>
      </c>
    </row>
    <row r="304" spans="2:8" x14ac:dyDescent="0.2">
      <c r="B304" s="27">
        <v>40939</v>
      </c>
      <c r="C304" s="25">
        <v>4.5</v>
      </c>
      <c r="D304" s="26">
        <v>10.5</v>
      </c>
      <c r="E304" s="26">
        <v>1.8</v>
      </c>
      <c r="F304" s="26">
        <v>0.73</v>
      </c>
      <c r="G304" s="26">
        <v>0.32</v>
      </c>
      <c r="H304" s="26">
        <v>2.11</v>
      </c>
    </row>
    <row r="305" spans="2:8" x14ac:dyDescent="0.2">
      <c r="B305" s="27">
        <v>40968</v>
      </c>
      <c r="C305" s="25">
        <v>3.2</v>
      </c>
      <c r="D305" s="26">
        <v>6.2</v>
      </c>
      <c r="E305" s="26">
        <v>1.7</v>
      </c>
      <c r="F305" s="26">
        <v>0.03</v>
      </c>
      <c r="G305" s="26">
        <v>-0.47</v>
      </c>
      <c r="H305" s="26">
        <v>1.69</v>
      </c>
    </row>
    <row r="306" spans="2:8" x14ac:dyDescent="0.2">
      <c r="B306" s="27">
        <v>40999</v>
      </c>
      <c r="C306" s="25">
        <v>3.6</v>
      </c>
      <c r="D306" s="26">
        <v>7.5</v>
      </c>
      <c r="E306" s="26">
        <v>1.8</v>
      </c>
      <c r="F306" s="26">
        <v>-0.32</v>
      </c>
      <c r="G306" s="26">
        <v>-0.83</v>
      </c>
      <c r="H306" s="26">
        <v>1.4</v>
      </c>
    </row>
    <row r="307" spans="2:8" x14ac:dyDescent="0.2">
      <c r="B307" s="27">
        <v>41029</v>
      </c>
      <c r="C307" s="25">
        <v>3.4</v>
      </c>
      <c r="D307" s="26">
        <v>7</v>
      </c>
      <c r="E307" s="26">
        <v>1.7</v>
      </c>
      <c r="F307" s="26">
        <v>-0.7</v>
      </c>
      <c r="G307" s="26">
        <v>-1.24</v>
      </c>
      <c r="H307" s="26">
        <v>1.1399999999999999</v>
      </c>
    </row>
    <row r="308" spans="2:8" x14ac:dyDescent="0.2">
      <c r="B308" s="27">
        <v>41060</v>
      </c>
      <c r="C308" s="25">
        <v>3</v>
      </c>
      <c r="D308" s="26">
        <v>6.4</v>
      </c>
      <c r="E308" s="26">
        <v>1.4</v>
      </c>
      <c r="F308" s="26">
        <v>-1.4</v>
      </c>
      <c r="G308" s="26">
        <v>-2.09</v>
      </c>
      <c r="H308" s="26">
        <v>0.91</v>
      </c>
    </row>
    <row r="309" spans="2:8" x14ac:dyDescent="0.2">
      <c r="B309" s="27">
        <v>41090</v>
      </c>
      <c r="C309" s="25">
        <v>2.2000000000000002</v>
      </c>
      <c r="D309" s="26">
        <v>3.8</v>
      </c>
      <c r="E309" s="26">
        <v>1.4</v>
      </c>
      <c r="F309" s="26">
        <v>-2.08</v>
      </c>
      <c r="G309" s="26">
        <v>-2.93</v>
      </c>
      <c r="H309" s="26">
        <v>0.73</v>
      </c>
    </row>
    <row r="310" spans="2:8" x14ac:dyDescent="0.2">
      <c r="B310" s="27">
        <v>41121</v>
      </c>
      <c r="C310" s="25">
        <v>1.8</v>
      </c>
      <c r="D310" s="26">
        <v>2.4</v>
      </c>
      <c r="E310" s="26">
        <v>1.5</v>
      </c>
      <c r="F310" s="26">
        <v>-2.87</v>
      </c>
      <c r="G310" s="26">
        <v>-3.87</v>
      </c>
      <c r="H310" s="26">
        <v>0.44</v>
      </c>
    </row>
    <row r="311" spans="2:8" x14ac:dyDescent="0.2">
      <c r="B311" s="27">
        <v>41152</v>
      </c>
      <c r="C311" s="25">
        <v>2</v>
      </c>
      <c r="D311" s="26">
        <v>3.4</v>
      </c>
      <c r="E311" s="26">
        <v>1.4</v>
      </c>
      <c r="F311" s="26">
        <v>-3.48</v>
      </c>
      <c r="G311" s="26">
        <v>-4.59</v>
      </c>
      <c r="H311" s="26">
        <v>0.2</v>
      </c>
    </row>
    <row r="312" spans="2:8" x14ac:dyDescent="0.2">
      <c r="B312" s="27">
        <v>41182</v>
      </c>
      <c r="C312" s="25">
        <v>1.9</v>
      </c>
      <c r="D312" s="26">
        <v>2.5</v>
      </c>
      <c r="E312" s="26">
        <v>1.7</v>
      </c>
      <c r="F312" s="26">
        <v>-3.55</v>
      </c>
      <c r="G312" s="26">
        <v>-4.68</v>
      </c>
      <c r="H312" s="26">
        <v>0.14000000000000001</v>
      </c>
    </row>
    <row r="313" spans="2:8" x14ac:dyDescent="0.2">
      <c r="B313" s="27">
        <v>41213</v>
      </c>
      <c r="C313" s="25">
        <v>1.7</v>
      </c>
      <c r="D313" s="26">
        <v>1.8</v>
      </c>
      <c r="E313" s="26">
        <v>1.7</v>
      </c>
      <c r="F313" s="26">
        <v>-2.76</v>
      </c>
      <c r="G313" s="26">
        <v>-3.68</v>
      </c>
      <c r="H313" s="26">
        <v>0.23</v>
      </c>
    </row>
    <row r="314" spans="2:8" x14ac:dyDescent="0.2">
      <c r="B314" s="27">
        <v>41243</v>
      </c>
      <c r="C314" s="25">
        <v>2</v>
      </c>
      <c r="D314" s="26">
        <v>3</v>
      </c>
      <c r="E314" s="26">
        <v>1.6</v>
      </c>
      <c r="F314" s="26">
        <v>-2.2000000000000002</v>
      </c>
      <c r="G314" s="26">
        <v>-2.99</v>
      </c>
      <c r="H314" s="26">
        <v>0.34</v>
      </c>
    </row>
    <row r="315" spans="2:8" x14ac:dyDescent="0.2">
      <c r="B315" s="27">
        <v>41274</v>
      </c>
      <c r="C315" s="25">
        <v>2.5</v>
      </c>
      <c r="D315" s="26">
        <v>4.2</v>
      </c>
      <c r="E315" s="26">
        <v>1.7</v>
      </c>
      <c r="F315" s="26">
        <v>-1.94</v>
      </c>
      <c r="G315" s="26">
        <v>-2.71</v>
      </c>
      <c r="H315" s="26">
        <v>0.53</v>
      </c>
    </row>
    <row r="316" spans="2:8" x14ac:dyDescent="0.2">
      <c r="B316" s="27">
        <v>41305</v>
      </c>
      <c r="C316" s="25">
        <v>2.0305</v>
      </c>
      <c r="D316" s="26">
        <v>2.8839000000000001</v>
      </c>
      <c r="E316" s="26">
        <v>1.6082000000000001</v>
      </c>
      <c r="F316" s="26">
        <v>-1.64</v>
      </c>
      <c r="G316" s="26">
        <v>-2.37</v>
      </c>
      <c r="H316" s="26">
        <v>0.68</v>
      </c>
    </row>
    <row r="317" spans="2:8" x14ac:dyDescent="0.2">
      <c r="B317" s="27">
        <v>41333</v>
      </c>
      <c r="C317" s="25">
        <v>3.2198000000000002</v>
      </c>
      <c r="D317" s="26">
        <v>5.9871999999999996</v>
      </c>
      <c r="E317" s="26">
        <v>1.8549</v>
      </c>
      <c r="F317" s="26">
        <v>-1.63</v>
      </c>
      <c r="G317" s="26">
        <v>-2.37</v>
      </c>
      <c r="H317" s="26">
        <v>0.74</v>
      </c>
    </row>
    <row r="318" spans="2:8" x14ac:dyDescent="0.2">
      <c r="B318" s="27">
        <v>41364</v>
      </c>
      <c r="C318" s="25">
        <v>2.0695999999999999</v>
      </c>
      <c r="D318" s="26">
        <v>2.6775000000000002</v>
      </c>
      <c r="E318" s="26">
        <v>1.7697000000000001</v>
      </c>
      <c r="F318" s="26">
        <v>-1.92</v>
      </c>
      <c r="G318" s="26">
        <v>-2.68</v>
      </c>
      <c r="H318" s="26">
        <v>0.51</v>
      </c>
    </row>
    <row r="319" spans="2:8" x14ac:dyDescent="0.2">
      <c r="B319" s="27">
        <v>41394</v>
      </c>
      <c r="C319" s="25">
        <v>2.3860999999999999</v>
      </c>
      <c r="D319" s="26">
        <v>4.0473999999999997</v>
      </c>
      <c r="E319" s="26">
        <v>1.5769</v>
      </c>
      <c r="F319" s="26">
        <v>-2.62</v>
      </c>
      <c r="G319" s="26">
        <v>-3.52</v>
      </c>
      <c r="H319" s="26">
        <v>0.28999999999999998</v>
      </c>
    </row>
    <row r="320" spans="2:8" x14ac:dyDescent="0.2">
      <c r="B320" s="27">
        <v>41425</v>
      </c>
      <c r="C320" s="25">
        <v>2.0981000000000001</v>
      </c>
      <c r="D320" s="26">
        <v>3.2250000000000001</v>
      </c>
      <c r="E320" s="26">
        <v>1.5533999999999999</v>
      </c>
      <c r="F320" s="26">
        <v>-2.87</v>
      </c>
      <c r="G320" s="26">
        <v>-3.79</v>
      </c>
      <c r="H320" s="26">
        <v>0.09</v>
      </c>
    </row>
    <row r="321" spans="2:8" x14ac:dyDescent="0.2">
      <c r="B321" s="27">
        <v>41455</v>
      </c>
      <c r="C321" s="25">
        <v>2.6684000000000001</v>
      </c>
      <c r="D321" s="26">
        <v>4.9260999999999999</v>
      </c>
      <c r="E321" s="26">
        <v>1.5942000000000001</v>
      </c>
      <c r="F321" s="26">
        <v>-2.7</v>
      </c>
      <c r="G321" s="26">
        <v>-3.53</v>
      </c>
      <c r="H321" s="26">
        <v>-0.03</v>
      </c>
    </row>
    <row r="322" spans="2:8" x14ac:dyDescent="0.2">
      <c r="B322" s="27">
        <v>41486</v>
      </c>
      <c r="C322" s="25">
        <v>2.6741000000000001</v>
      </c>
      <c r="D322" s="26">
        <v>5.0157999999999996</v>
      </c>
      <c r="E322" s="26">
        <v>1.5636000000000001</v>
      </c>
      <c r="F322" s="26">
        <v>-2.27</v>
      </c>
      <c r="G322" s="26">
        <v>-2.98</v>
      </c>
      <c r="H322" s="26">
        <v>-0.02</v>
      </c>
    </row>
    <row r="323" spans="2:8" x14ac:dyDescent="0.2">
      <c r="B323" s="27">
        <v>41517</v>
      </c>
      <c r="C323" s="25">
        <v>2.5666000000000002</v>
      </c>
      <c r="D323" s="26">
        <v>4.7285000000000004</v>
      </c>
      <c r="E323" s="26">
        <v>1.5271999999999999</v>
      </c>
      <c r="F323" s="26">
        <v>-1.62</v>
      </c>
      <c r="G323" s="26">
        <v>-2.14</v>
      </c>
      <c r="H323" s="26">
        <v>0</v>
      </c>
    </row>
    <row r="324" spans="2:8" x14ac:dyDescent="0.2">
      <c r="B324" s="27">
        <v>41547</v>
      </c>
      <c r="C324" s="25">
        <v>3.0518999999999998</v>
      </c>
      <c r="D324" s="26">
        <v>6.0987999999999998</v>
      </c>
      <c r="E324" s="26">
        <v>1.5891</v>
      </c>
      <c r="F324" s="26">
        <v>-1.34</v>
      </c>
      <c r="G324" s="26">
        <v>-1.75</v>
      </c>
      <c r="H324" s="26">
        <v>-0.06</v>
      </c>
    </row>
    <row r="325" spans="2:8" x14ac:dyDescent="0.2">
      <c r="B325" s="27">
        <v>41578</v>
      </c>
      <c r="C325" s="25">
        <v>3.2058</v>
      </c>
      <c r="D325" s="26">
        <v>6.5486000000000004</v>
      </c>
      <c r="E325" s="26">
        <v>1.6185</v>
      </c>
      <c r="F325" s="26">
        <v>-1.51</v>
      </c>
      <c r="G325" s="26">
        <v>-1.97</v>
      </c>
      <c r="H325" s="26">
        <v>-0.03</v>
      </c>
    </row>
    <row r="326" spans="2:8" x14ac:dyDescent="0.2">
      <c r="B326" s="27">
        <v>41608</v>
      </c>
      <c r="C326" s="25">
        <v>3.0179999999999998</v>
      </c>
      <c r="D326" s="26">
        <v>5.9413999999999998</v>
      </c>
      <c r="E326" s="26">
        <v>1.6251</v>
      </c>
      <c r="F326" s="26">
        <v>-1.42</v>
      </c>
      <c r="G326" s="26">
        <v>-1.91</v>
      </c>
      <c r="H326" s="26">
        <v>0.11</v>
      </c>
    </row>
    <row r="327" spans="2:8" x14ac:dyDescent="0.2">
      <c r="B327" s="27">
        <v>41639</v>
      </c>
      <c r="C327" s="25">
        <v>2.4986999999999999</v>
      </c>
      <c r="D327" s="26">
        <v>4.0532000000000004</v>
      </c>
      <c r="E327" s="26">
        <v>1.74</v>
      </c>
      <c r="F327" s="26">
        <v>-1.36</v>
      </c>
      <c r="G327" s="26">
        <v>-1.78</v>
      </c>
      <c r="H327" s="26">
        <v>0.01</v>
      </c>
    </row>
    <row r="328" spans="2:8" x14ac:dyDescent="0.2">
      <c r="B328" s="27">
        <v>41670</v>
      </c>
      <c r="C328" s="25">
        <v>2.4861</v>
      </c>
      <c r="D328" s="26">
        <v>3.6718000000000002</v>
      </c>
      <c r="E328" s="26">
        <v>1.8918999999999999</v>
      </c>
      <c r="F328" s="26">
        <v>-1.64</v>
      </c>
      <c r="G328" s="26">
        <v>-2.0499999999999998</v>
      </c>
      <c r="H328" s="26">
        <v>-0.35</v>
      </c>
    </row>
    <row r="329" spans="2:8" x14ac:dyDescent="0.2">
      <c r="B329" s="27">
        <v>41698</v>
      </c>
      <c r="C329" s="25">
        <v>1.9511000000000001</v>
      </c>
      <c r="D329" s="26">
        <v>2.6507999999999998</v>
      </c>
      <c r="E329" s="26">
        <v>1.5920000000000001</v>
      </c>
      <c r="F329" s="26">
        <v>-2</v>
      </c>
      <c r="G329" s="26">
        <v>-2.5449000000000002</v>
      </c>
      <c r="H329" s="26">
        <v>-0.32990000000000003</v>
      </c>
    </row>
    <row r="330" spans="2:8" x14ac:dyDescent="0.2">
      <c r="B330" s="27">
        <v>41729</v>
      </c>
      <c r="C330" s="25">
        <v>2.3847999999999998</v>
      </c>
      <c r="D330" s="26">
        <v>4.0724</v>
      </c>
      <c r="E330" s="26">
        <v>1.5449999999999999</v>
      </c>
      <c r="F330" s="26">
        <v>-2.3018999999999998</v>
      </c>
      <c r="G330" s="26">
        <v>-2.9517000000000002</v>
      </c>
      <c r="H330" s="26">
        <v>-0.2092</v>
      </c>
    </row>
    <row r="331" spans="2:8" x14ac:dyDescent="0.2">
      <c r="B331" s="27">
        <v>41759</v>
      </c>
      <c r="C331" s="25">
        <v>1.8013999999999999</v>
      </c>
      <c r="D331" s="26">
        <v>2.2862</v>
      </c>
      <c r="E331" s="26">
        <v>1.5595000000000001</v>
      </c>
      <c r="F331" s="26">
        <v>-2.0042</v>
      </c>
      <c r="G331" s="26">
        <v>-2.6092</v>
      </c>
      <c r="H331" s="26">
        <v>-5.7500000000000002E-2</v>
      </c>
    </row>
    <row r="332" spans="2:8" x14ac:dyDescent="0.2">
      <c r="B332" s="27">
        <v>41790</v>
      </c>
      <c r="C332" s="25">
        <v>2.4773000000000001</v>
      </c>
      <c r="D332" s="26">
        <v>4.1020000000000003</v>
      </c>
      <c r="E332" s="26">
        <v>1.6789000000000001</v>
      </c>
      <c r="F332" s="26">
        <v>-1.4463999999999999</v>
      </c>
      <c r="G332" s="26">
        <v>-1.9494</v>
      </c>
      <c r="H332" s="26">
        <v>0.16900000000000001</v>
      </c>
    </row>
    <row r="333" spans="2:8" x14ac:dyDescent="0.2">
      <c r="B333" s="27">
        <v>41820</v>
      </c>
      <c r="C333" s="25">
        <v>2.3361000000000001</v>
      </c>
      <c r="D333" s="26">
        <v>3.6831</v>
      </c>
      <c r="E333" s="26">
        <v>1.6741999999999999</v>
      </c>
      <c r="F333" s="26">
        <v>-1.1092</v>
      </c>
      <c r="G333" s="26">
        <v>-1.526</v>
      </c>
      <c r="H333" s="26">
        <v>0.23</v>
      </c>
    </row>
    <row r="334" spans="2:8" x14ac:dyDescent="0.2">
      <c r="B334" s="27">
        <v>41851</v>
      </c>
      <c r="C334" s="25">
        <v>2.2852000000000001</v>
      </c>
      <c r="D334" s="26">
        <v>3.5979999999999999</v>
      </c>
      <c r="E334" s="26">
        <v>1.6414</v>
      </c>
      <c r="F334" s="26">
        <v>-0.86880000000000002</v>
      </c>
      <c r="G334" s="26">
        <v>-1.2181</v>
      </c>
      <c r="H334" s="26">
        <v>0.25669999999999998</v>
      </c>
    </row>
    <row r="335" spans="2:8" x14ac:dyDescent="0.2">
      <c r="B335" s="27">
        <v>41882</v>
      </c>
      <c r="C335" s="25">
        <v>1.9908999999999999</v>
      </c>
      <c r="D335" s="26">
        <v>3.0457000000000001</v>
      </c>
      <c r="E335" s="26">
        <v>1.4677</v>
      </c>
      <c r="F335" s="26">
        <v>-1.2038</v>
      </c>
      <c r="G335" s="26">
        <v>-1.6532</v>
      </c>
      <c r="H335" s="26">
        <v>0.2432</v>
      </c>
    </row>
    <row r="336" spans="2:8" x14ac:dyDescent="0.2">
      <c r="B336" s="27">
        <v>41912</v>
      </c>
      <c r="C336" s="25">
        <v>1.6274999999999999</v>
      </c>
      <c r="D336" s="26">
        <v>2.3228</v>
      </c>
      <c r="E336" s="26">
        <v>1.2788999999999999</v>
      </c>
      <c r="F336" s="26">
        <v>-1.7996000000000001</v>
      </c>
      <c r="G336" s="26">
        <v>-2.3923999999999999</v>
      </c>
      <c r="H336" s="26">
        <v>0.10979999999999999</v>
      </c>
    </row>
    <row r="337" spans="2:8" x14ac:dyDescent="0.2">
      <c r="B337" s="27">
        <v>41943</v>
      </c>
      <c r="C337" s="25">
        <v>1.6011</v>
      </c>
      <c r="D337" s="26">
        <v>2.4954999999999998</v>
      </c>
      <c r="E337" s="26">
        <v>1.1557999999999999</v>
      </c>
      <c r="F337" s="26">
        <v>-2.2427999999999999</v>
      </c>
      <c r="G337" s="26">
        <v>-2.9510000000000001</v>
      </c>
      <c r="H337" s="26">
        <v>3.9600000000000003E-2</v>
      </c>
    </row>
    <row r="338" spans="2:8" x14ac:dyDescent="0.2">
      <c r="B338" s="27">
        <v>41973</v>
      </c>
      <c r="C338" s="25">
        <v>1.4393</v>
      </c>
      <c r="D338" s="26">
        <v>2.3086000000000002</v>
      </c>
      <c r="E338" s="26">
        <v>1.0075000000000001</v>
      </c>
      <c r="F338" s="26">
        <v>-2.6928000000000001</v>
      </c>
      <c r="G338" s="26">
        <v>-3.4887000000000001</v>
      </c>
      <c r="H338" s="26">
        <v>-0.12809999999999999</v>
      </c>
    </row>
    <row r="339" spans="2:8" x14ac:dyDescent="0.2">
      <c r="B339" s="27">
        <v>42004</v>
      </c>
      <c r="C339" s="25">
        <v>1.5056</v>
      </c>
      <c r="D339" s="26">
        <v>2.8563999999999998</v>
      </c>
      <c r="E339" s="26">
        <v>0.83130000000000004</v>
      </c>
      <c r="F339" s="26">
        <v>-3.3151999999999999</v>
      </c>
      <c r="G339" s="26">
        <v>-4.2949000000000002</v>
      </c>
      <c r="H339" s="26">
        <v>-0.1583</v>
      </c>
    </row>
    <row r="340" spans="2:8" x14ac:dyDescent="0.2">
      <c r="B340" s="27">
        <v>42035</v>
      </c>
      <c r="C340" s="25">
        <v>0.76380000000000003</v>
      </c>
      <c r="D340" s="26">
        <v>1.1092</v>
      </c>
      <c r="E340" s="26">
        <v>0.5877</v>
      </c>
      <c r="F340" s="26">
        <v>-4.3201999999999998</v>
      </c>
      <c r="G340" s="26">
        <v>-5.6048999999999998</v>
      </c>
      <c r="H340" s="26">
        <v>-0.15459999999999999</v>
      </c>
    </row>
    <row r="341" spans="2:8" x14ac:dyDescent="0.2">
      <c r="B341" s="27">
        <v>42063</v>
      </c>
      <c r="C341" s="25">
        <v>1.4311</v>
      </c>
      <c r="D341" s="26">
        <v>2.3656999999999999</v>
      </c>
      <c r="E341" s="26">
        <v>0.94650000000000001</v>
      </c>
      <c r="F341" s="26">
        <v>-4.7976000000000001</v>
      </c>
      <c r="G341" s="26">
        <v>-6.2355999999999998</v>
      </c>
      <c r="H341" s="26">
        <v>-0.13420000000000001</v>
      </c>
    </row>
    <row r="342" spans="2:8" x14ac:dyDescent="0.2">
      <c r="B342" s="27">
        <v>42094</v>
      </c>
      <c r="C342" s="25">
        <v>1.3757999999999999</v>
      </c>
      <c r="D342" s="26">
        <v>2.3330000000000002</v>
      </c>
      <c r="E342" s="26">
        <v>0.88759999999999994</v>
      </c>
      <c r="F342" s="26">
        <v>-4.5602999999999998</v>
      </c>
      <c r="G342" s="26">
        <v>-5.9265999999999996</v>
      </c>
      <c r="H342" s="26">
        <v>-0.14430000000000001</v>
      </c>
    </row>
    <row r="343" spans="2:8" x14ac:dyDescent="0.2">
      <c r="B343" s="27">
        <v>42124</v>
      </c>
      <c r="C343" s="25">
        <v>1.5091000000000001</v>
      </c>
      <c r="D343" s="26">
        <v>2.7315</v>
      </c>
      <c r="E343" s="26">
        <v>0.89480000000000004</v>
      </c>
      <c r="F343" s="26">
        <v>-4.5724999999999998</v>
      </c>
      <c r="G343" s="26">
        <v>-5.9179000000000004</v>
      </c>
      <c r="H343" s="26">
        <v>-0.2344</v>
      </c>
    </row>
    <row r="344" spans="2:8" x14ac:dyDescent="0.2">
      <c r="B344" s="27">
        <v>42155</v>
      </c>
      <c r="C344" s="25">
        <v>1.2307999999999999</v>
      </c>
      <c r="D344" s="26">
        <v>1.5985</v>
      </c>
      <c r="E344" s="26">
        <v>1.0457000000000001</v>
      </c>
      <c r="F344" s="26">
        <v>-4.6070000000000002</v>
      </c>
      <c r="G344" s="26">
        <v>-5.9466999999999999</v>
      </c>
      <c r="H344" s="26">
        <v>-0.28939999999999999</v>
      </c>
    </row>
    <row r="345" spans="2:8" x14ac:dyDescent="0.2">
      <c r="B345" s="27">
        <v>42185</v>
      </c>
      <c r="C345" s="25">
        <v>1.3909</v>
      </c>
      <c r="D345" s="26">
        <v>1.8544</v>
      </c>
      <c r="E345" s="26">
        <v>1.1586000000000001</v>
      </c>
      <c r="F345" s="26">
        <v>-4.8135000000000003</v>
      </c>
      <c r="G345" s="26">
        <v>-6.2352999999999996</v>
      </c>
      <c r="H345" s="26">
        <v>-0.2324</v>
      </c>
    </row>
    <row r="346" spans="2:8" x14ac:dyDescent="0.2">
      <c r="B346" s="27">
        <v>42216</v>
      </c>
      <c r="C346" s="25">
        <v>1.6473</v>
      </c>
      <c r="D346" s="26">
        <v>2.7273000000000001</v>
      </c>
      <c r="E346" s="26">
        <v>1.1075999999999999</v>
      </c>
      <c r="F346" s="26">
        <v>-5.3692000000000002</v>
      </c>
      <c r="G346" s="26">
        <v>-6.9492000000000003</v>
      </c>
      <c r="H346" s="26">
        <v>-0.2762</v>
      </c>
    </row>
    <row r="347" spans="2:8" x14ac:dyDescent="0.2">
      <c r="B347" s="27">
        <v>42247</v>
      </c>
      <c r="C347" s="25">
        <v>1.9554</v>
      </c>
      <c r="D347" s="26">
        <v>3.6772</v>
      </c>
      <c r="E347" s="26">
        <v>1.0881000000000001</v>
      </c>
      <c r="F347" s="26">
        <v>-5.9226999999999999</v>
      </c>
      <c r="G347" s="26">
        <v>-7.6608000000000001</v>
      </c>
      <c r="H347" s="26">
        <v>-0.32600000000000001</v>
      </c>
    </row>
    <row r="348" spans="2:8" x14ac:dyDescent="0.2">
      <c r="B348" s="27">
        <v>42277</v>
      </c>
      <c r="C348" s="25">
        <v>1.5955999999999999</v>
      </c>
      <c r="D348" s="26">
        <v>2.7235999999999998</v>
      </c>
      <c r="E348" s="26">
        <v>1.0242</v>
      </c>
      <c r="F348" s="26">
        <v>-5.9450000000000003</v>
      </c>
      <c r="G348" s="26">
        <v>-7.7191000000000001</v>
      </c>
      <c r="H348" s="26">
        <v>-0.25090000000000001</v>
      </c>
    </row>
    <row r="349" spans="2:8" x14ac:dyDescent="0.2">
      <c r="B349" s="27">
        <v>42308</v>
      </c>
      <c r="C349" s="25">
        <v>1.2674000000000001</v>
      </c>
      <c r="D349" s="26">
        <v>1.9415</v>
      </c>
      <c r="E349" s="26">
        <v>0.9274</v>
      </c>
      <c r="F349" s="26">
        <v>-5.9</v>
      </c>
      <c r="G349" s="26">
        <v>-7.6</v>
      </c>
      <c r="H349" s="26">
        <v>-0.4</v>
      </c>
    </row>
    <row r="350" spans="2:8" x14ac:dyDescent="0.2">
      <c r="B350" s="27">
        <v>42338</v>
      </c>
      <c r="C350" s="25">
        <v>1.4856</v>
      </c>
      <c r="D350" s="26">
        <v>2.3222</v>
      </c>
      <c r="E350" s="26">
        <v>1.0647</v>
      </c>
      <c r="F350" s="26">
        <v>-5.9</v>
      </c>
      <c r="G350" s="26">
        <v>-7.6</v>
      </c>
      <c r="H350" s="26">
        <v>-0.4</v>
      </c>
    </row>
    <row r="351" spans="2:8" x14ac:dyDescent="0.2">
      <c r="B351" s="27">
        <v>42369</v>
      </c>
      <c r="C351" s="25">
        <v>1.6</v>
      </c>
      <c r="D351" s="26">
        <v>2.7</v>
      </c>
      <c r="E351" s="26">
        <v>1.1000000000000001</v>
      </c>
      <c r="F351" s="26">
        <v>-5.9</v>
      </c>
      <c r="G351" s="26">
        <v>-7.6</v>
      </c>
      <c r="H351" s="26">
        <v>-0.4</v>
      </c>
    </row>
    <row r="352" spans="2:8" x14ac:dyDescent="0.2">
      <c r="B352" s="27">
        <v>42400</v>
      </c>
      <c r="C352" s="25">
        <v>1.8</v>
      </c>
      <c r="D352" s="26">
        <v>4.0999999999999996</v>
      </c>
      <c r="E352" s="26">
        <v>1.2</v>
      </c>
      <c r="F352" s="26">
        <v>-5.3</v>
      </c>
      <c r="G352" s="26">
        <v>-6.9</v>
      </c>
      <c r="H352" s="26">
        <v>-0.5</v>
      </c>
    </row>
    <row r="353" spans="2:8" x14ac:dyDescent="0.2">
      <c r="B353" s="27">
        <v>42429</v>
      </c>
      <c r="C353" s="25">
        <v>2.2999999999999998</v>
      </c>
      <c r="D353" s="26">
        <v>7.3</v>
      </c>
      <c r="E353" s="26">
        <v>1</v>
      </c>
      <c r="F353" s="26">
        <v>-4.9000000000000004</v>
      </c>
      <c r="G353" s="26">
        <v>-6.5</v>
      </c>
      <c r="H353" s="26">
        <v>-0.4</v>
      </c>
    </row>
    <row r="354" spans="2:8" x14ac:dyDescent="0.2">
      <c r="B354" s="27">
        <v>42460</v>
      </c>
      <c r="C354" s="25">
        <v>2.3013910000000002</v>
      </c>
      <c r="D354" s="26">
        <v>7.6</v>
      </c>
      <c r="E354" s="26">
        <v>1</v>
      </c>
      <c r="F354" s="26">
        <v>-4.3</v>
      </c>
      <c r="G354" s="26">
        <v>-5.7450000000000001</v>
      </c>
      <c r="H354" s="26">
        <v>-0.2389</v>
      </c>
    </row>
    <row r="355" spans="2:8" x14ac:dyDescent="0.2">
      <c r="B355" s="27">
        <v>42490</v>
      </c>
      <c r="C355" s="25">
        <v>2.3278650000000001</v>
      </c>
      <c r="D355" s="26">
        <v>7.4</v>
      </c>
      <c r="E355" s="26">
        <v>1.1000000000000001</v>
      </c>
      <c r="F355" s="26">
        <v>-3.4</v>
      </c>
      <c r="G355" s="26">
        <v>-4.4904999999999999</v>
      </c>
      <c r="H355" s="26">
        <v>-0.2097</v>
      </c>
    </row>
    <row r="356" spans="2:8" x14ac:dyDescent="0.2">
      <c r="B356" s="27">
        <v>42521</v>
      </c>
      <c r="C356" s="25">
        <v>2.038999</v>
      </c>
      <c r="D356" s="26">
        <v>5.9</v>
      </c>
      <c r="E356" s="26">
        <v>1.1000000000000001</v>
      </c>
      <c r="F356" s="26">
        <v>-2.8</v>
      </c>
      <c r="G356" s="26">
        <v>-3.7</v>
      </c>
      <c r="H356" s="26">
        <v>-0.2</v>
      </c>
    </row>
    <row r="357" spans="2:8" x14ac:dyDescent="0.2">
      <c r="B357" s="27">
        <v>42551</v>
      </c>
      <c r="C357" s="25">
        <v>1.8795029999999999</v>
      </c>
      <c r="D357" s="26">
        <v>4.5999999999999996</v>
      </c>
      <c r="E357" s="26">
        <v>1.2</v>
      </c>
      <c r="F357" s="26">
        <v>-2.6</v>
      </c>
      <c r="G357" s="26">
        <v>-3.5</v>
      </c>
      <c r="H357" s="26">
        <v>-0.1</v>
      </c>
    </row>
    <row r="358" spans="2:8" x14ac:dyDescent="0.2">
      <c r="B358" s="27">
        <v>42582</v>
      </c>
      <c r="C358" s="25">
        <v>1.7651129999999999</v>
      </c>
      <c r="D358" s="26">
        <v>3.3</v>
      </c>
      <c r="E358" s="26">
        <v>1.4</v>
      </c>
      <c r="F358" s="26">
        <v>-1.7</v>
      </c>
      <c r="G358" s="26">
        <v>-2.2999999999999998</v>
      </c>
      <c r="H358" s="26">
        <v>0</v>
      </c>
    </row>
    <row r="359" spans="2:8" x14ac:dyDescent="0.2">
      <c r="B359" s="27">
        <v>42613</v>
      </c>
      <c r="C359" s="25">
        <v>1.3397730000000001</v>
      </c>
      <c r="D359" s="26">
        <v>1.3</v>
      </c>
      <c r="E359" s="26">
        <v>1.4</v>
      </c>
      <c r="F359" s="26">
        <v>-0.8</v>
      </c>
      <c r="G359" s="26">
        <v>-1</v>
      </c>
      <c r="H359" s="26">
        <v>0</v>
      </c>
    </row>
    <row r="360" spans="2:8" x14ac:dyDescent="0.2">
      <c r="B360" s="27">
        <v>42643</v>
      </c>
      <c r="C360" s="25">
        <v>1.920226</v>
      </c>
      <c r="D360" s="26">
        <v>3.2</v>
      </c>
      <c r="E360" s="26">
        <v>1.6</v>
      </c>
      <c r="F360" s="26">
        <v>0.1</v>
      </c>
      <c r="G360" s="26">
        <v>0.1</v>
      </c>
      <c r="H360" s="26">
        <v>0</v>
      </c>
    </row>
    <row r="361" spans="2:8" x14ac:dyDescent="0.2">
      <c r="B361" s="27">
        <v>42674</v>
      </c>
      <c r="C361" s="25">
        <v>2.0959469999999998</v>
      </c>
      <c r="D361" s="26">
        <v>3.7</v>
      </c>
      <c r="E361" s="26">
        <v>1.7</v>
      </c>
      <c r="F361" s="26">
        <v>1.2</v>
      </c>
      <c r="G361" s="26">
        <v>1.6</v>
      </c>
      <c r="H361" s="26">
        <v>0.1</v>
      </c>
    </row>
    <row r="362" spans="2:8" x14ac:dyDescent="0.2">
      <c r="B362" s="27">
        <v>42704</v>
      </c>
      <c r="C362" s="25">
        <v>2.2522579999999999</v>
      </c>
      <c r="D362" s="26">
        <v>4</v>
      </c>
      <c r="E362" s="26">
        <v>1.8</v>
      </c>
      <c r="F362" s="26">
        <v>3.3</v>
      </c>
      <c r="G362" s="26">
        <v>4.3</v>
      </c>
      <c r="H362" s="26">
        <v>0.4</v>
      </c>
    </row>
    <row r="363" spans="2:8" x14ac:dyDescent="0.2">
      <c r="B363" s="27">
        <v>42735</v>
      </c>
      <c r="C363" s="25">
        <v>2.0765449999999999</v>
      </c>
      <c r="D363" s="26">
        <v>2.4</v>
      </c>
      <c r="E363" s="26">
        <v>2</v>
      </c>
      <c r="F363" s="26">
        <v>5.5</v>
      </c>
      <c r="G363" s="26">
        <v>7.2</v>
      </c>
      <c r="H363" s="26">
        <v>0.8</v>
      </c>
    </row>
    <row r="364" spans="2:8" x14ac:dyDescent="0.2">
      <c r="B364" s="27">
        <v>42766</v>
      </c>
      <c r="C364" s="25">
        <v>2.5490550000000001</v>
      </c>
      <c r="D364" s="26">
        <v>2.7</v>
      </c>
      <c r="E364" s="26">
        <v>2.5</v>
      </c>
      <c r="F364" s="26">
        <v>6.9</v>
      </c>
      <c r="G364" s="26">
        <v>9.1</v>
      </c>
      <c r="H364" s="26">
        <v>0.8</v>
      </c>
    </row>
    <row r="365" spans="2:8" x14ac:dyDescent="0.2">
      <c r="B365" s="27">
        <v>42794</v>
      </c>
      <c r="C365" s="25">
        <v>0.8</v>
      </c>
      <c r="D365" s="26">
        <v>-4.3</v>
      </c>
      <c r="E365" s="26">
        <v>2.2000000000000002</v>
      </c>
      <c r="F365" s="26">
        <v>7.8</v>
      </c>
      <c r="G365" s="26">
        <v>10.4</v>
      </c>
      <c r="H365" s="26">
        <v>0.8</v>
      </c>
    </row>
    <row r="366" spans="2:8" x14ac:dyDescent="0.2">
      <c r="B366" s="27">
        <v>42825</v>
      </c>
      <c r="C366" s="25">
        <v>0.9</v>
      </c>
      <c r="D366" s="26">
        <v>-4.4000000000000004</v>
      </c>
      <c r="E366" s="26">
        <v>2.2999999999999998</v>
      </c>
      <c r="F366" s="26">
        <v>7.6</v>
      </c>
      <c r="G366" s="26">
        <v>10.1</v>
      </c>
      <c r="H366" s="26">
        <v>0.7</v>
      </c>
    </row>
    <row r="367" spans="2:8" x14ac:dyDescent="0.2">
      <c r="B367" s="27">
        <v>42855</v>
      </c>
      <c r="C367" s="25">
        <v>1.2</v>
      </c>
      <c r="D367" s="26">
        <v>-3.5</v>
      </c>
      <c r="E367" s="26">
        <v>2.4</v>
      </c>
      <c r="F367" s="26">
        <v>6.4</v>
      </c>
      <c r="G367" s="26">
        <v>8.4</v>
      </c>
      <c r="H367" s="26">
        <v>0.7</v>
      </c>
    </row>
    <row r="368" spans="2:8" x14ac:dyDescent="0.2">
      <c r="B368" s="27">
        <v>42886</v>
      </c>
      <c r="C368" s="25">
        <v>1.5</v>
      </c>
      <c r="D368" s="26">
        <v>-1.6</v>
      </c>
      <c r="E368" s="26">
        <v>2.2999999999999998</v>
      </c>
      <c r="F368" s="26">
        <v>5.5</v>
      </c>
      <c r="G368" s="26">
        <v>7.3</v>
      </c>
      <c r="H368" s="26">
        <v>0.6</v>
      </c>
    </row>
    <row r="369" spans="2:8" x14ac:dyDescent="0.2">
      <c r="B369" s="27">
        <v>42916</v>
      </c>
      <c r="C369" s="25">
        <v>1.5</v>
      </c>
      <c r="D369" s="26">
        <v>-1.2</v>
      </c>
      <c r="E369" s="26">
        <v>2.2000000000000002</v>
      </c>
      <c r="F369" s="26">
        <v>5.5</v>
      </c>
      <c r="G369" s="26">
        <v>7.3</v>
      </c>
      <c r="H369" s="26">
        <v>0.5</v>
      </c>
    </row>
    <row r="370" spans="2:8" x14ac:dyDescent="0.2">
      <c r="B370" s="27">
        <v>42947</v>
      </c>
      <c r="C370" s="25">
        <v>1.4</v>
      </c>
      <c r="D370" s="26">
        <v>-1.1000000000000001</v>
      </c>
      <c r="E370" s="26">
        <v>2</v>
      </c>
      <c r="F370" s="26">
        <v>5.5</v>
      </c>
      <c r="G370" s="26">
        <v>7.3</v>
      </c>
      <c r="H370" s="26">
        <v>0.5</v>
      </c>
    </row>
    <row r="371" spans="2:8" x14ac:dyDescent="0.2">
      <c r="B371" s="27">
        <v>42978</v>
      </c>
      <c r="C371" s="25">
        <v>1.8</v>
      </c>
      <c r="D371" s="26">
        <v>-0.2</v>
      </c>
      <c r="E371" s="26">
        <v>2.2999999999999998</v>
      </c>
      <c r="F371" s="26">
        <v>6.3</v>
      </c>
      <c r="G371" s="26">
        <v>8.3000000000000007</v>
      </c>
      <c r="H371" s="26">
        <v>0.6</v>
      </c>
    </row>
    <row r="372" spans="2:8" x14ac:dyDescent="0.2">
      <c r="B372" s="27">
        <v>43008</v>
      </c>
      <c r="C372" s="25">
        <v>1.6</v>
      </c>
      <c r="D372" s="26">
        <v>-1.4</v>
      </c>
      <c r="E372" s="26">
        <v>2.4</v>
      </c>
      <c r="F372" s="26">
        <v>6.9</v>
      </c>
      <c r="G372" s="26">
        <v>9.1</v>
      </c>
      <c r="H372" s="26">
        <v>0.7</v>
      </c>
    </row>
    <row r="373" spans="2:8" x14ac:dyDescent="0.2">
      <c r="B373" s="27">
        <v>43039</v>
      </c>
      <c r="C373" s="25">
        <v>1.9</v>
      </c>
      <c r="D373" s="26">
        <v>-0.4</v>
      </c>
      <c r="E373" s="26">
        <v>2.4</v>
      </c>
      <c r="F373" s="26">
        <v>6.9</v>
      </c>
      <c r="G373" s="26">
        <v>9</v>
      </c>
      <c r="H373" s="26">
        <v>0.8</v>
      </c>
    </row>
    <row r="374" spans="2:8" x14ac:dyDescent="0.2">
      <c r="B374" s="27">
        <v>43069</v>
      </c>
      <c r="C374" s="25">
        <v>1.7</v>
      </c>
      <c r="D374" s="26">
        <v>-1.1000000000000001</v>
      </c>
      <c r="E374" s="26">
        <v>2.5</v>
      </c>
      <c r="F374" s="26">
        <v>5.8</v>
      </c>
      <c r="G374" s="26">
        <v>7.5</v>
      </c>
      <c r="H374" s="26">
        <v>0.6</v>
      </c>
    </row>
    <row r="375" spans="2:8" x14ac:dyDescent="0.2">
      <c r="B375" s="27">
        <v>43100</v>
      </c>
      <c r="C375" s="25">
        <v>1.8</v>
      </c>
      <c r="D375" s="26">
        <v>-0.4</v>
      </c>
      <c r="E375" s="26">
        <v>2.4</v>
      </c>
      <c r="F375" s="26">
        <v>4.9000000000000004</v>
      </c>
      <c r="G375" s="26">
        <v>6.4</v>
      </c>
      <c r="H375" s="26">
        <v>0.5</v>
      </c>
    </row>
    <row r="376" spans="2:8" x14ac:dyDescent="0.2">
      <c r="B376" s="27">
        <v>43131</v>
      </c>
      <c r="C376" s="25">
        <v>1.5</v>
      </c>
      <c r="D376" s="26">
        <v>-0.5</v>
      </c>
      <c r="E376" s="26">
        <v>2</v>
      </c>
      <c r="F376" s="26">
        <v>4.3</v>
      </c>
      <c r="G376" s="26">
        <v>5.7</v>
      </c>
      <c r="H376" s="26">
        <v>0.3</v>
      </c>
    </row>
    <row r="377" spans="2:8" x14ac:dyDescent="0.2">
      <c r="B377" s="27">
        <v>43159</v>
      </c>
      <c r="C377" s="25">
        <v>2.9</v>
      </c>
      <c r="D377" s="26">
        <v>4.4000000000000004</v>
      </c>
      <c r="E377" s="26">
        <v>2.5</v>
      </c>
      <c r="F377" s="26">
        <v>3.7</v>
      </c>
      <c r="G377" s="26">
        <v>4.8</v>
      </c>
      <c r="H377" s="26">
        <v>0.3</v>
      </c>
    </row>
    <row r="378" spans="2:8" x14ac:dyDescent="0.2">
      <c r="B378" s="27">
        <v>43190</v>
      </c>
      <c r="C378" s="25">
        <v>2.1</v>
      </c>
      <c r="D378" s="26">
        <v>2.1</v>
      </c>
      <c r="E378" s="26">
        <v>2.1</v>
      </c>
      <c r="F378" s="26">
        <v>3.1</v>
      </c>
      <c r="G378" s="26">
        <v>4.0999999999999996</v>
      </c>
      <c r="H378" s="26">
        <v>0.2</v>
      </c>
    </row>
    <row r="379" spans="2:8" x14ac:dyDescent="0.2">
      <c r="B379" s="27">
        <v>43220</v>
      </c>
      <c r="C379" s="25">
        <v>1.8</v>
      </c>
      <c r="D379" s="26">
        <v>0.7</v>
      </c>
      <c r="E379" s="26">
        <v>2.1</v>
      </c>
      <c r="F379" s="26">
        <v>3.4</v>
      </c>
      <c r="G379" s="26">
        <v>4.5</v>
      </c>
      <c r="H379" s="26">
        <v>0.1</v>
      </c>
    </row>
    <row r="380" spans="2:8" x14ac:dyDescent="0.2">
      <c r="B380" s="27">
        <v>43251</v>
      </c>
      <c r="C380" s="25">
        <v>1.8</v>
      </c>
      <c r="D380" s="26">
        <v>0.1</v>
      </c>
      <c r="E380" s="26">
        <v>2.2000000000000002</v>
      </c>
      <c r="F380" s="26">
        <v>4.0999999999999996</v>
      </c>
      <c r="G380" s="26">
        <v>5.4</v>
      </c>
      <c r="H380" s="26">
        <v>0.3</v>
      </c>
    </row>
    <row r="381" spans="2:8" x14ac:dyDescent="0.2">
      <c r="B381" s="27">
        <v>43281</v>
      </c>
      <c r="C381" s="25">
        <v>1.9</v>
      </c>
      <c r="D381" s="26">
        <v>0.3</v>
      </c>
      <c r="E381" s="26">
        <v>2.2000000000000002</v>
      </c>
      <c r="F381" s="26">
        <v>4.7</v>
      </c>
      <c r="G381" s="26">
        <v>6.1</v>
      </c>
      <c r="H381" s="26">
        <v>0.4</v>
      </c>
    </row>
    <row r="382" spans="2:8" x14ac:dyDescent="0.2">
      <c r="B382" s="27">
        <v>43312</v>
      </c>
      <c r="C382" s="25">
        <v>2.1</v>
      </c>
      <c r="D382" s="26">
        <v>0.5</v>
      </c>
      <c r="E382" s="26">
        <v>2.4</v>
      </c>
      <c r="F382" s="26">
        <v>4.5999999999999996</v>
      </c>
      <c r="G382" s="26">
        <v>6</v>
      </c>
      <c r="H382" s="26">
        <v>0.6</v>
      </c>
    </row>
    <row r="383" spans="2:8" x14ac:dyDescent="0.2">
      <c r="B383" s="27">
        <v>43343</v>
      </c>
      <c r="C383" s="25">
        <v>2.2999999999999998</v>
      </c>
      <c r="D383" s="26">
        <v>1.7</v>
      </c>
      <c r="E383" s="26">
        <v>2.5</v>
      </c>
      <c r="F383" s="26">
        <v>4.0999999999999996</v>
      </c>
      <c r="G383" s="26">
        <v>5.2</v>
      </c>
      <c r="H383" s="26">
        <v>0.7</v>
      </c>
    </row>
    <row r="384" spans="2:8" x14ac:dyDescent="0.2">
      <c r="B384" s="27">
        <v>43373</v>
      </c>
      <c r="C384" s="25">
        <v>2.5</v>
      </c>
      <c r="D384" s="26">
        <v>3.6</v>
      </c>
      <c r="E384" s="26">
        <v>2.2000000000000002</v>
      </c>
      <c r="F384" s="26">
        <v>3.6</v>
      </c>
      <c r="G384" s="26">
        <v>4.5999999999999996</v>
      </c>
      <c r="H384" s="26">
        <v>0.8</v>
      </c>
    </row>
    <row r="385" spans="2:8" x14ac:dyDescent="0.2">
      <c r="B385" s="27">
        <v>43404</v>
      </c>
      <c r="C385" s="25">
        <v>2.5</v>
      </c>
      <c r="D385" s="26">
        <v>3.3</v>
      </c>
      <c r="E385" s="26">
        <v>2.4</v>
      </c>
      <c r="F385" s="26">
        <v>3.3</v>
      </c>
      <c r="G385" s="26">
        <v>4.2</v>
      </c>
      <c r="H385" s="26">
        <v>0.7</v>
      </c>
    </row>
    <row r="386" spans="2:8" x14ac:dyDescent="0.2">
      <c r="B386" s="27">
        <v>43434</v>
      </c>
      <c r="C386" s="25">
        <v>2.2000000000000002</v>
      </c>
      <c r="D386" s="26">
        <v>2.5</v>
      </c>
      <c r="E386" s="26">
        <v>2.1</v>
      </c>
      <c r="F386" s="26">
        <v>2.7</v>
      </c>
      <c r="G386" s="26">
        <v>3.3</v>
      </c>
      <c r="H386" s="26">
        <v>0.8</v>
      </c>
    </row>
    <row r="387" spans="2:8" x14ac:dyDescent="0.2">
      <c r="B387" s="27">
        <v>43465</v>
      </c>
      <c r="C387" s="25">
        <v>1.9</v>
      </c>
      <c r="D387" s="26">
        <v>2.5</v>
      </c>
      <c r="E387" s="26">
        <v>1.7</v>
      </c>
      <c r="F387" s="26">
        <v>0.9</v>
      </c>
      <c r="G387" s="26">
        <v>1</v>
      </c>
      <c r="H387" s="26">
        <v>0.7</v>
      </c>
    </row>
    <row r="388" spans="2:8" x14ac:dyDescent="0.2">
      <c r="B388" s="27">
        <v>43496</v>
      </c>
      <c r="C388" s="25">
        <v>1.7</v>
      </c>
      <c r="D388" s="26">
        <v>1.9</v>
      </c>
      <c r="E388" s="26">
        <v>1.7</v>
      </c>
      <c r="F388" s="26">
        <v>0.1</v>
      </c>
      <c r="G388" s="26">
        <v>-0.1</v>
      </c>
      <c r="H388" s="26">
        <v>0.6</v>
      </c>
    </row>
    <row r="389" spans="2:8" x14ac:dyDescent="0.2">
      <c r="B389" s="27">
        <v>43524</v>
      </c>
      <c r="C389" s="25">
        <v>1.5</v>
      </c>
      <c r="D389" s="26">
        <v>0.7</v>
      </c>
      <c r="E389" s="26">
        <v>1.7</v>
      </c>
      <c r="F389" s="26">
        <v>0.1</v>
      </c>
      <c r="G389" s="26">
        <v>-0.1</v>
      </c>
      <c r="H389" s="26">
        <v>0.4</v>
      </c>
    </row>
    <row r="390" spans="2:8" x14ac:dyDescent="0.2">
      <c r="B390" s="27">
        <v>43555</v>
      </c>
      <c r="C390" s="25">
        <v>2.2999999999999998</v>
      </c>
      <c r="D390" s="26">
        <v>4.0999999999999996</v>
      </c>
      <c r="E390" s="26">
        <v>1.8</v>
      </c>
      <c r="F390" s="26">
        <v>0.4</v>
      </c>
      <c r="G390" s="26">
        <v>0.3</v>
      </c>
      <c r="H390" s="26">
        <v>0.5</v>
      </c>
    </row>
    <row r="391" spans="2:8" x14ac:dyDescent="0.2">
      <c r="B391" s="27">
        <v>43585</v>
      </c>
      <c r="C391" s="25">
        <v>2.5</v>
      </c>
      <c r="D391" s="26">
        <v>6.1</v>
      </c>
      <c r="E391" s="26">
        <v>1.7</v>
      </c>
      <c r="F391" s="26">
        <v>0.9</v>
      </c>
      <c r="G391" s="26">
        <v>0.9</v>
      </c>
      <c r="H391" s="26">
        <v>0.9</v>
      </c>
    </row>
    <row r="392" spans="2:8" x14ac:dyDescent="0.2">
      <c r="B392" s="27">
        <v>43616</v>
      </c>
      <c r="C392" s="25">
        <v>2.7</v>
      </c>
      <c r="D392" s="26">
        <v>7.7</v>
      </c>
      <c r="E392" s="26">
        <v>1.6</v>
      </c>
      <c r="F392" s="26">
        <v>0.6</v>
      </c>
      <c r="G392" s="26">
        <v>0.6</v>
      </c>
      <c r="H392" s="26">
        <v>0.9</v>
      </c>
    </row>
    <row r="393" spans="2:8" x14ac:dyDescent="0.2">
      <c r="B393" s="27">
        <v>43646</v>
      </c>
      <c r="C393" s="25">
        <v>2.7</v>
      </c>
      <c r="D393" s="26">
        <v>8.3000000000000007</v>
      </c>
      <c r="E393" s="26">
        <v>1.4</v>
      </c>
      <c r="F393" s="26">
        <v>0</v>
      </c>
      <c r="G393" s="26">
        <v>-0.3</v>
      </c>
      <c r="H393" s="26">
        <v>0.9</v>
      </c>
    </row>
    <row r="394" spans="2:8" x14ac:dyDescent="0.2">
      <c r="B394" s="27">
        <v>43677</v>
      </c>
      <c r="C394" s="25">
        <v>2.8</v>
      </c>
      <c r="D394" s="26">
        <v>9.1</v>
      </c>
      <c r="E394" s="26">
        <v>1.3</v>
      </c>
      <c r="F394" s="26">
        <v>-0.3</v>
      </c>
      <c r="G394" s="26">
        <v>-0.7</v>
      </c>
      <c r="H394" s="26">
        <v>0.8</v>
      </c>
    </row>
    <row r="395" spans="2:8" x14ac:dyDescent="0.2">
      <c r="B395" s="27">
        <v>43708</v>
      </c>
      <c r="C395" s="25">
        <v>2.8</v>
      </c>
      <c r="D395" s="26">
        <v>10</v>
      </c>
      <c r="E395" s="26">
        <v>1.1000000000000001</v>
      </c>
      <c r="F395" s="26">
        <v>-0.8</v>
      </c>
      <c r="G395" s="26">
        <v>-1.3</v>
      </c>
      <c r="H395" s="26">
        <v>0.7</v>
      </c>
    </row>
    <row r="396" spans="2:8" x14ac:dyDescent="0.2">
      <c r="B396" s="27">
        <v>43738</v>
      </c>
      <c r="C396" s="25">
        <v>3</v>
      </c>
      <c r="D396" s="26">
        <v>11.2</v>
      </c>
      <c r="E396" s="26">
        <v>1</v>
      </c>
      <c r="F396" s="26">
        <v>-1.2</v>
      </c>
      <c r="G396" s="26">
        <v>-2</v>
      </c>
      <c r="H396" s="26">
        <v>1.1000000000000001</v>
      </c>
    </row>
    <row r="397" spans="2:8" x14ac:dyDescent="0.2">
      <c r="B397" s="27">
        <v>43769</v>
      </c>
      <c r="C397" s="25">
        <v>3.8</v>
      </c>
      <c r="D397" s="26">
        <v>15.5</v>
      </c>
      <c r="E397" s="26">
        <v>0.9</v>
      </c>
      <c r="F397" s="26">
        <v>-1.6</v>
      </c>
      <c r="G397" s="26">
        <v>-2.6</v>
      </c>
      <c r="H397" s="26">
        <v>1.4</v>
      </c>
    </row>
    <row r="398" spans="2:8" x14ac:dyDescent="0.2">
      <c r="B398" s="27">
        <v>43799</v>
      </c>
      <c r="C398" s="25">
        <v>4.5</v>
      </c>
      <c r="D398" s="26">
        <v>19.100000000000001</v>
      </c>
      <c r="E398" s="26">
        <v>1</v>
      </c>
      <c r="F398" s="26">
        <v>-1.4</v>
      </c>
      <c r="G398" s="26">
        <v>-2.5</v>
      </c>
      <c r="H398" s="26">
        <v>1.6</v>
      </c>
    </row>
    <row r="399" spans="2:8" x14ac:dyDescent="0.2">
      <c r="B399" s="27">
        <v>43830</v>
      </c>
      <c r="C399" s="25">
        <v>4.5</v>
      </c>
      <c r="D399" s="26">
        <v>17.399999999999999</v>
      </c>
      <c r="E399" s="26">
        <v>1.3</v>
      </c>
      <c r="F399" s="26">
        <v>-0.5</v>
      </c>
      <c r="G399" s="26">
        <v>-1.2</v>
      </c>
      <c r="H399" s="26">
        <v>1.3</v>
      </c>
    </row>
    <row r="400" spans="2:8" x14ac:dyDescent="0.2">
      <c r="B400" s="27">
        <v>43861</v>
      </c>
      <c r="C400" s="25">
        <v>5.4</v>
      </c>
      <c r="D400" s="26">
        <v>20.6</v>
      </c>
      <c r="E400" s="26">
        <v>1.6</v>
      </c>
      <c r="F400" s="26">
        <v>0.1</v>
      </c>
      <c r="G400" s="26">
        <v>-0.4</v>
      </c>
      <c r="H400" s="26">
        <v>1.3</v>
      </c>
    </row>
    <row r="401" spans="2:8" x14ac:dyDescent="0.2">
      <c r="B401" s="27">
        <v>43890</v>
      </c>
      <c r="C401" s="25">
        <v>5.2</v>
      </c>
      <c r="D401" s="26">
        <v>21.9</v>
      </c>
      <c r="E401" s="26">
        <v>0.9</v>
      </c>
      <c r="F401" s="26">
        <v>-0.4</v>
      </c>
      <c r="G401" s="26">
        <v>-1</v>
      </c>
      <c r="H401" s="26">
        <v>1.4</v>
      </c>
    </row>
    <row r="402" spans="2:8" x14ac:dyDescent="0.2">
      <c r="B402" s="27">
        <v>43921</v>
      </c>
      <c r="C402" s="25">
        <v>4.3</v>
      </c>
      <c r="D402" s="26">
        <v>18.3</v>
      </c>
      <c r="E402" s="26">
        <v>0.7</v>
      </c>
      <c r="F402" s="26">
        <v>-1.5</v>
      </c>
      <c r="G402" s="26">
        <v>-2.4</v>
      </c>
      <c r="H402" s="26">
        <v>1.2</v>
      </c>
    </row>
    <row r="403" spans="2:8" x14ac:dyDescent="0.2">
      <c r="B403" s="27">
        <v>43951</v>
      </c>
      <c r="C403" s="25">
        <v>3.3</v>
      </c>
      <c r="D403" s="26">
        <v>14.8</v>
      </c>
      <c r="E403" s="26">
        <v>0.4</v>
      </c>
      <c r="F403" s="26">
        <v>-3.1</v>
      </c>
      <c r="G403" s="26">
        <v>-4.5</v>
      </c>
      <c r="H403" s="26">
        <v>0.9</v>
      </c>
    </row>
    <row r="404" spans="2:8" x14ac:dyDescent="0.2">
      <c r="B404" s="27">
        <v>43982</v>
      </c>
      <c r="C404" s="25">
        <v>2.4</v>
      </c>
      <c r="D404" s="26">
        <v>10.6</v>
      </c>
      <c r="E404" s="26">
        <v>0.4</v>
      </c>
      <c r="F404" s="26">
        <v>-3.7</v>
      </c>
      <c r="G404" s="26">
        <v>-5.0999999999999996</v>
      </c>
      <c r="H404" s="26">
        <v>0.5</v>
      </c>
    </row>
    <row r="405" spans="2:8" x14ac:dyDescent="0.2">
      <c r="B405" s="27">
        <v>44012</v>
      </c>
      <c r="C405" s="25">
        <v>2.5</v>
      </c>
      <c r="D405" s="26">
        <v>11.1</v>
      </c>
      <c r="E405" s="26">
        <v>0.3</v>
      </c>
      <c r="F405" s="26">
        <v>-3</v>
      </c>
      <c r="G405" s="26">
        <v>-4.2</v>
      </c>
      <c r="H405" s="26">
        <v>0.6</v>
      </c>
    </row>
    <row r="406" spans="2:8" x14ac:dyDescent="0.2">
      <c r="B406" s="27">
        <v>44043</v>
      </c>
      <c r="C406" s="25">
        <v>2.7</v>
      </c>
      <c r="D406" s="26">
        <v>13.2</v>
      </c>
      <c r="E406" s="26">
        <v>0</v>
      </c>
      <c r="F406" s="26">
        <v>-2.4</v>
      </c>
      <c r="G406" s="26">
        <v>-3.5</v>
      </c>
      <c r="H406" s="26">
        <v>0.7</v>
      </c>
    </row>
    <row r="407" spans="2:8" x14ac:dyDescent="0.2">
      <c r="B407" s="27">
        <v>44074</v>
      </c>
      <c r="C407" s="25">
        <v>2.4</v>
      </c>
      <c r="D407" s="26">
        <v>11.2</v>
      </c>
      <c r="E407" s="26">
        <v>0.1</v>
      </c>
      <c r="F407" s="26">
        <v>-2</v>
      </c>
      <c r="G407" s="26">
        <v>-3</v>
      </c>
      <c r="H407" s="26">
        <v>0.6</v>
      </c>
    </row>
    <row r="408" spans="2:8" x14ac:dyDescent="0.2">
      <c r="B408" s="27">
        <v>44104</v>
      </c>
      <c r="C408" s="25">
        <v>1.7</v>
      </c>
      <c r="D408" s="26">
        <v>7.9</v>
      </c>
      <c r="E408" s="26">
        <v>0</v>
      </c>
      <c r="F408" s="26">
        <v>-2.1</v>
      </c>
      <c r="G408" s="26">
        <v>-2.8</v>
      </c>
      <c r="H408" s="26">
        <v>-0.1</v>
      </c>
    </row>
    <row r="409" spans="2:8" x14ac:dyDescent="0.2">
      <c r="B409" s="27">
        <v>44135</v>
      </c>
      <c r="C409" s="25">
        <v>0.5</v>
      </c>
      <c r="D409" s="26">
        <v>2.2000000000000002</v>
      </c>
      <c r="E409" s="26">
        <v>0</v>
      </c>
      <c r="F409" s="26">
        <v>-2.1</v>
      </c>
      <c r="G409" s="26">
        <v>-2.7</v>
      </c>
      <c r="H409" s="26">
        <v>-0.5</v>
      </c>
    </row>
    <row r="410" spans="2:8" x14ac:dyDescent="0.2">
      <c r="B410" s="27">
        <v>44165</v>
      </c>
      <c r="C410" s="25">
        <v>-0.5</v>
      </c>
      <c r="D410" s="26">
        <v>-2</v>
      </c>
      <c r="E410" s="26">
        <v>-0.1</v>
      </c>
      <c r="F410" s="26">
        <v>-1.5</v>
      </c>
      <c r="G410" s="26">
        <v>-1.8</v>
      </c>
      <c r="H410" s="26">
        <v>-0.8</v>
      </c>
    </row>
    <row r="411" spans="2:8" x14ac:dyDescent="0.2">
      <c r="B411" s="27">
        <v>44196</v>
      </c>
      <c r="C411" s="25">
        <v>0.2</v>
      </c>
      <c r="D411" s="26">
        <v>1.2</v>
      </c>
      <c r="E411" s="26">
        <v>0</v>
      </c>
      <c r="F411" s="26">
        <v>-0.4</v>
      </c>
      <c r="G411" s="26">
        <v>-0.5</v>
      </c>
      <c r="H411" s="26">
        <v>-0.4</v>
      </c>
    </row>
    <row r="412" spans="2:8" x14ac:dyDescent="0.2">
      <c r="B412" s="27">
        <v>44227</v>
      </c>
      <c r="C412" s="25">
        <v>-0.3</v>
      </c>
      <c r="D412" s="26">
        <v>1.6</v>
      </c>
      <c r="E412" s="26">
        <v>-0.8</v>
      </c>
      <c r="F412" s="26">
        <v>0.3</v>
      </c>
      <c r="G412" s="26">
        <v>0.5</v>
      </c>
      <c r="H412" s="26">
        <v>-0.2</v>
      </c>
    </row>
    <row r="413" spans="2:8" x14ac:dyDescent="0.2">
      <c r="B413" s="27">
        <v>44255</v>
      </c>
      <c r="C413" s="25">
        <v>-0.2</v>
      </c>
      <c r="D413" s="26">
        <v>-0.2</v>
      </c>
      <c r="E413" s="26">
        <v>-0.2</v>
      </c>
      <c r="F413" s="26">
        <v>1.7</v>
      </c>
      <c r="G413" s="26">
        <v>2.2999999999999998</v>
      </c>
      <c r="H413" s="26">
        <v>-0.2</v>
      </c>
    </row>
    <row r="414" spans="2:8" x14ac:dyDescent="0.2">
      <c r="B414" s="27">
        <v>44286</v>
      </c>
      <c r="C414" s="25">
        <v>0.4</v>
      </c>
      <c r="D414" s="26">
        <v>-0.7</v>
      </c>
      <c r="E414" s="26">
        <v>0.7</v>
      </c>
      <c r="F414" s="26">
        <v>4.4000000000000004</v>
      </c>
      <c r="G414" s="26">
        <v>5.8</v>
      </c>
      <c r="H414" s="26">
        <v>0.1</v>
      </c>
    </row>
    <row r="415" spans="2:8" x14ac:dyDescent="0.2">
      <c r="B415" s="27">
        <v>44316</v>
      </c>
      <c r="C415" s="25">
        <v>0.9</v>
      </c>
      <c r="D415" s="26">
        <v>-0.7</v>
      </c>
      <c r="E415" s="26">
        <v>1.3</v>
      </c>
      <c r="F415" s="26">
        <v>6.8</v>
      </c>
      <c r="G415" s="26">
        <v>9.1</v>
      </c>
      <c r="H415" s="26">
        <v>0.3</v>
      </c>
    </row>
    <row r="416" spans="2:8" x14ac:dyDescent="0.2">
      <c r="B416" s="27">
        <v>44347</v>
      </c>
      <c r="C416" s="25">
        <v>1.3</v>
      </c>
      <c r="D416" s="26">
        <v>0.3</v>
      </c>
      <c r="E416" s="26">
        <v>1.6</v>
      </c>
      <c r="F416" s="26">
        <v>9</v>
      </c>
      <c r="G416" s="26">
        <v>12</v>
      </c>
      <c r="H416" s="26">
        <v>0.5</v>
      </c>
    </row>
    <row r="417" spans="2:8" x14ac:dyDescent="0.2">
      <c r="B417" s="27">
        <v>44377</v>
      </c>
      <c r="C417" s="25">
        <v>1.1000000000000001</v>
      </c>
      <c r="D417" s="26">
        <v>-1.7</v>
      </c>
      <c r="E417" s="26">
        <v>1.7</v>
      </c>
      <c r="F417" s="26">
        <v>8.8000000000000007</v>
      </c>
      <c r="G417" s="26">
        <v>11.8</v>
      </c>
      <c r="H417" s="26">
        <v>0.3</v>
      </c>
    </row>
    <row r="418" spans="2:8" x14ac:dyDescent="0.2">
      <c r="B418" s="27">
        <v>44408</v>
      </c>
      <c r="C418" s="25">
        <v>1</v>
      </c>
      <c r="D418" s="26">
        <v>-3.7</v>
      </c>
      <c r="E418" s="26">
        <v>2.1</v>
      </c>
      <c r="F418" s="26">
        <v>9</v>
      </c>
      <c r="G418" s="26">
        <v>12</v>
      </c>
      <c r="H418" s="26">
        <v>0.3</v>
      </c>
    </row>
    <row r="419" spans="2:8" x14ac:dyDescent="0.2">
      <c r="B419" s="27">
        <v>44439</v>
      </c>
      <c r="C419" s="25">
        <v>0.8</v>
      </c>
      <c r="D419" s="26">
        <v>-4.0999999999999996</v>
      </c>
      <c r="E419" s="26">
        <v>1.9</v>
      </c>
      <c r="F419" s="26">
        <v>9.5</v>
      </c>
      <c r="G419" s="26">
        <v>12.7</v>
      </c>
      <c r="H419" s="26">
        <v>0.3</v>
      </c>
    </row>
    <row r="420" spans="2:8" x14ac:dyDescent="0.2">
      <c r="B420" s="27">
        <v>44469</v>
      </c>
      <c r="C420" s="25">
        <v>0.7</v>
      </c>
      <c r="D420" s="26">
        <v>-5.2</v>
      </c>
      <c r="E420" s="26">
        <v>2</v>
      </c>
      <c r="F420" s="26">
        <v>10.7</v>
      </c>
      <c r="G420" s="26">
        <v>14.2</v>
      </c>
      <c r="H420" s="26">
        <v>0.4</v>
      </c>
    </row>
    <row r="421" spans="2:8" x14ac:dyDescent="0.2">
      <c r="B421" s="27">
        <v>44500</v>
      </c>
      <c r="C421" s="25">
        <v>1.5</v>
      </c>
      <c r="D421" s="26">
        <v>-2.4</v>
      </c>
      <c r="E421" s="26">
        <v>2.4</v>
      </c>
      <c r="F421" s="26">
        <v>13.5</v>
      </c>
      <c r="G421" s="26">
        <v>17.899999999999999</v>
      </c>
      <c r="H421" s="26">
        <v>0.6</v>
      </c>
    </row>
    <row r="422" spans="2:8" x14ac:dyDescent="0.2">
      <c r="B422" s="27">
        <v>44530</v>
      </c>
      <c r="C422" s="25">
        <v>2.2999999999999998</v>
      </c>
      <c r="D422" s="26">
        <v>1.6</v>
      </c>
      <c r="E422" s="26">
        <v>2.5</v>
      </c>
      <c r="F422" s="26">
        <v>12.9</v>
      </c>
      <c r="G422" s="26">
        <v>17</v>
      </c>
      <c r="H422" s="26">
        <v>1</v>
      </c>
    </row>
    <row r="423" spans="2:8" x14ac:dyDescent="0.2">
      <c r="B423" s="27">
        <v>44561</v>
      </c>
      <c r="C423" s="25">
        <v>1.5</v>
      </c>
      <c r="D423" s="26">
        <v>-1.2</v>
      </c>
      <c r="E423" s="26">
        <v>2.1</v>
      </c>
      <c r="F423" s="26">
        <v>10.3</v>
      </c>
      <c r="G423" s="26">
        <v>13.4</v>
      </c>
      <c r="H423" s="26">
        <v>1</v>
      </c>
    </row>
    <row r="424" spans="2:8" x14ac:dyDescent="0.2">
      <c r="B424" s="27">
        <v>44592</v>
      </c>
      <c r="C424" s="25">
        <v>0.9</v>
      </c>
      <c r="D424" s="26">
        <v>-3.8</v>
      </c>
      <c r="E424" s="26">
        <v>2</v>
      </c>
      <c r="F424" s="26">
        <v>9.1</v>
      </c>
      <c r="G424" s="26">
        <v>11.8</v>
      </c>
      <c r="H424" s="26">
        <v>0.8</v>
      </c>
    </row>
    <row r="425" spans="2:8" x14ac:dyDescent="0.2">
      <c r="B425" s="27">
        <v>44620</v>
      </c>
      <c r="C425" s="25">
        <v>0.9</v>
      </c>
      <c r="D425" s="26">
        <v>-3.9</v>
      </c>
      <c r="E425" s="26">
        <v>2.1</v>
      </c>
      <c r="F425" s="26">
        <v>8.8000000000000007</v>
      </c>
      <c r="G425" s="26">
        <v>11.4</v>
      </c>
      <c r="H425" s="26">
        <v>0.9</v>
      </c>
    </row>
    <row r="426" spans="2:8" x14ac:dyDescent="0.2">
      <c r="B426" s="27">
        <v>44651</v>
      </c>
      <c r="C426" s="25">
        <v>1.5</v>
      </c>
      <c r="D426" s="26">
        <v>-1.5</v>
      </c>
      <c r="E426" s="26">
        <v>2.2000000000000002</v>
      </c>
      <c r="F426" s="26">
        <v>8.3000000000000007</v>
      </c>
      <c r="G426" s="26">
        <v>10.7</v>
      </c>
      <c r="H426" s="26">
        <v>0.9</v>
      </c>
    </row>
    <row r="427" spans="2:8" x14ac:dyDescent="0.2">
      <c r="B427" s="27">
        <v>44681</v>
      </c>
      <c r="C427" s="25">
        <v>2.1</v>
      </c>
      <c r="D427" s="26">
        <v>1.9</v>
      </c>
      <c r="E427" s="26">
        <v>2.2000000000000002</v>
      </c>
      <c r="F427" s="26">
        <v>8</v>
      </c>
      <c r="G427" s="26">
        <v>10.3</v>
      </c>
      <c r="H427" s="26">
        <v>1</v>
      </c>
    </row>
    <row r="428" spans="2:8" x14ac:dyDescent="0.2">
      <c r="B428" s="27">
        <v>44712</v>
      </c>
      <c r="C428" s="25">
        <v>2.1</v>
      </c>
      <c r="D428" s="26">
        <v>2.2999999999999998</v>
      </c>
      <c r="E428" s="26">
        <v>2.1</v>
      </c>
      <c r="F428" s="26">
        <v>6.4</v>
      </c>
      <c r="G428" s="26">
        <v>8.1</v>
      </c>
      <c r="H428" s="26">
        <v>1.2</v>
      </c>
    </row>
    <row r="429" spans="2:8" x14ac:dyDescent="0.2">
      <c r="B429" s="27">
        <v>44742</v>
      </c>
      <c r="C429" s="25">
        <v>2.5</v>
      </c>
      <c r="D429" s="26">
        <v>2.9</v>
      </c>
      <c r="E429" s="26">
        <v>2.5</v>
      </c>
      <c r="F429" s="26">
        <v>6.1</v>
      </c>
      <c r="G429" s="26">
        <v>7.5</v>
      </c>
      <c r="H429" s="26">
        <v>1.7</v>
      </c>
    </row>
    <row r="430" spans="2:8" x14ac:dyDescent="0.2">
      <c r="B430" s="27">
        <v>44773</v>
      </c>
      <c r="C430" s="25">
        <v>2.7</v>
      </c>
      <c r="D430" s="26">
        <v>6.3</v>
      </c>
      <c r="E430" s="26">
        <v>1.9</v>
      </c>
      <c r="F430" s="26">
        <v>4.2</v>
      </c>
      <c r="G430" s="26">
        <v>5</v>
      </c>
      <c r="H430" s="26">
        <v>1.7</v>
      </c>
    </row>
    <row r="431" spans="2:8" x14ac:dyDescent="0.2">
      <c r="B431" s="27">
        <v>44804</v>
      </c>
      <c r="C431" s="25">
        <v>2.5</v>
      </c>
      <c r="D431" s="26">
        <v>6.1</v>
      </c>
      <c r="E431" s="26">
        <v>1.7</v>
      </c>
      <c r="F431" s="26">
        <v>2.2999999999999998</v>
      </c>
      <c r="G431" s="26">
        <v>2.4</v>
      </c>
      <c r="H431" s="26">
        <v>1.6</v>
      </c>
    </row>
    <row r="432" spans="2:8" x14ac:dyDescent="0.2">
      <c r="B432" s="27">
        <v>44834</v>
      </c>
      <c r="C432" s="25">
        <v>2.8</v>
      </c>
      <c r="D432" s="26">
        <v>8.8000000000000007</v>
      </c>
      <c r="E432" s="26">
        <v>1.5</v>
      </c>
      <c r="F432" s="26">
        <v>0.9</v>
      </c>
      <c r="G432" s="26">
        <v>0.6</v>
      </c>
      <c r="H432" s="26">
        <v>1.8</v>
      </c>
    </row>
    <row r="433" spans="2:8" x14ac:dyDescent="0.2">
      <c r="B433" s="27">
        <v>44865</v>
      </c>
      <c r="C433" s="25">
        <v>2.1</v>
      </c>
      <c r="D433" s="26">
        <v>7</v>
      </c>
      <c r="E433" s="26">
        <v>1.1000000000000001</v>
      </c>
      <c r="F433" s="26">
        <v>-1.3</v>
      </c>
      <c r="G433" s="26">
        <v>-2.5</v>
      </c>
      <c r="H433" s="26">
        <v>2.2000000000000002</v>
      </c>
    </row>
    <row r="434" spans="2:8" x14ac:dyDescent="0.2">
      <c r="B434" s="27">
        <v>44895</v>
      </c>
      <c r="C434" s="25">
        <v>1.6</v>
      </c>
      <c r="D434" s="26">
        <v>3.7</v>
      </c>
      <c r="E434" s="26">
        <v>1.1000000000000001</v>
      </c>
      <c r="F434" s="26">
        <v>-1.3</v>
      </c>
      <c r="G434" s="26">
        <v>-2.2999999999999998</v>
      </c>
      <c r="H434" s="26">
        <v>2</v>
      </c>
    </row>
    <row r="435" spans="2:8" x14ac:dyDescent="0.2">
      <c r="B435" s="27">
        <v>44926</v>
      </c>
      <c r="C435" s="25">
        <v>1.8</v>
      </c>
      <c r="D435" s="26">
        <v>4.8</v>
      </c>
      <c r="E435" s="26">
        <v>1.1000000000000001</v>
      </c>
      <c r="F435" s="26">
        <v>-0.7</v>
      </c>
      <c r="G435" s="26">
        <v>-1.4</v>
      </c>
      <c r="H435" s="26">
        <v>1.8</v>
      </c>
    </row>
    <row r="436" spans="2:8" x14ac:dyDescent="0.2">
      <c r="B436" s="27">
        <v>44957</v>
      </c>
      <c r="C436" s="25">
        <v>2.1</v>
      </c>
      <c r="D436" s="26">
        <v>6.2</v>
      </c>
      <c r="E436" s="26">
        <v>1.2</v>
      </c>
      <c r="F436" s="26">
        <v>-0.8</v>
      </c>
      <c r="G436" s="26">
        <v>-1.4</v>
      </c>
      <c r="H436" s="26">
        <v>1.5</v>
      </c>
    </row>
    <row r="437" spans="2:8" x14ac:dyDescent="0.2">
      <c r="B437" s="27">
        <v>44985</v>
      </c>
      <c r="C437" s="25">
        <v>1</v>
      </c>
      <c r="D437" s="26">
        <v>2.6</v>
      </c>
      <c r="E437" s="26">
        <v>0.6</v>
      </c>
      <c r="F437" s="26">
        <v>-1.4</v>
      </c>
      <c r="G437" s="26">
        <v>-2</v>
      </c>
      <c r="H437" s="26">
        <v>1.1000000000000001</v>
      </c>
    </row>
    <row r="438" spans="2:8" x14ac:dyDescent="0.2">
      <c r="B438" s="27">
        <v>45016</v>
      </c>
      <c r="C438" s="25">
        <v>0.7</v>
      </c>
      <c r="D438" s="26">
        <v>2.4</v>
      </c>
      <c r="E438" s="26">
        <v>0.3</v>
      </c>
      <c r="F438" s="26">
        <v>-2.5</v>
      </c>
      <c r="G438" s="26">
        <v>-3.4</v>
      </c>
      <c r="H438" s="26">
        <v>0.9</v>
      </c>
    </row>
    <row r="439" spans="2:8" x14ac:dyDescent="0.2">
      <c r="B439" s="27">
        <v>45046</v>
      </c>
      <c r="C439" s="25">
        <v>0.1</v>
      </c>
      <c r="D439" s="26">
        <v>0.4</v>
      </c>
      <c r="E439" s="26">
        <v>0.1</v>
      </c>
      <c r="F439" s="26">
        <v>-3.6</v>
      </c>
      <c r="G439" s="26">
        <v>-4.7</v>
      </c>
      <c r="H439" s="26">
        <v>0.4</v>
      </c>
    </row>
    <row r="440" spans="2:8" x14ac:dyDescent="0.2">
      <c r="B440" s="27">
        <v>45077</v>
      </c>
      <c r="C440" s="25">
        <v>0.2</v>
      </c>
      <c r="D440" s="26">
        <v>1</v>
      </c>
      <c r="E440" s="26">
        <v>0</v>
      </c>
      <c r="F440" s="26">
        <v>-4.5999999999999996</v>
      </c>
      <c r="G440" s="26">
        <v>-5.9</v>
      </c>
      <c r="H440" s="26">
        <v>-0.1</v>
      </c>
    </row>
    <row r="441" spans="2:8" x14ac:dyDescent="0.2">
      <c r="B441" s="27">
        <v>45107</v>
      </c>
      <c r="C441" s="25">
        <v>0</v>
      </c>
      <c r="D441" s="26">
        <v>2.2999999999999998</v>
      </c>
      <c r="E441" s="26">
        <v>-0.6</v>
      </c>
      <c r="F441" s="26">
        <v>-5.4</v>
      </c>
      <c r="G441" s="26">
        <v>-6.8</v>
      </c>
      <c r="H441" s="26">
        <v>-0.5</v>
      </c>
    </row>
    <row r="442" spans="2:8" x14ac:dyDescent="0.2">
      <c r="B442" s="27">
        <v>45138</v>
      </c>
      <c r="C442" s="25">
        <v>-0.3</v>
      </c>
      <c r="D442" s="26">
        <v>-1.7</v>
      </c>
      <c r="E442" s="26">
        <v>0</v>
      </c>
      <c r="F442" s="26">
        <v>-4.4000000000000004</v>
      </c>
      <c r="G442" s="26">
        <v>-5.5</v>
      </c>
      <c r="H442" s="26">
        <v>-0.4</v>
      </c>
    </row>
    <row r="443" spans="2:8" x14ac:dyDescent="0.2">
      <c r="B443" s="27">
        <v>45169</v>
      </c>
      <c r="C443" s="25">
        <v>0.1</v>
      </c>
      <c r="D443" s="26">
        <v>-1.7</v>
      </c>
      <c r="E443" s="26">
        <v>0.5</v>
      </c>
      <c r="F443" s="26">
        <v>-3</v>
      </c>
      <c r="G443" s="26">
        <v>-3.7</v>
      </c>
      <c r="H443" s="26">
        <v>-0.2</v>
      </c>
    </row>
    <row r="444" spans="2:8" x14ac:dyDescent="0.2">
      <c r="B444" s="27">
        <v>45199</v>
      </c>
      <c r="C444" s="25">
        <v>0</v>
      </c>
      <c r="D444" s="26">
        <v>-3.2</v>
      </c>
      <c r="E444" s="26">
        <v>0.7</v>
      </c>
      <c r="F444" s="26">
        <v>-2.5</v>
      </c>
      <c r="G444" s="26">
        <v>-3</v>
      </c>
      <c r="H444" s="26">
        <v>-0.3</v>
      </c>
    </row>
    <row r="445" spans="2:8" x14ac:dyDescent="0.2">
      <c r="B445" s="27">
        <v>45230</v>
      </c>
      <c r="C445" s="25">
        <v>-0.2</v>
      </c>
      <c r="D445" s="26">
        <v>-4</v>
      </c>
      <c r="E445" s="26">
        <v>0.7</v>
      </c>
      <c r="F445" s="26">
        <v>-2.6</v>
      </c>
      <c r="G445" s="26">
        <v>-3</v>
      </c>
      <c r="H445" s="26">
        <v>-0.9</v>
      </c>
    </row>
    <row r="446" spans="2:8" x14ac:dyDescent="0.2">
      <c r="B446" s="27">
        <v>45260</v>
      </c>
      <c r="C446" s="25">
        <v>-0.5</v>
      </c>
      <c r="D446" s="26">
        <v>-4.2</v>
      </c>
      <c r="E446" s="26">
        <v>0.4</v>
      </c>
      <c r="F446" s="26">
        <v>-3</v>
      </c>
      <c r="G446" s="26">
        <v>-3.4</v>
      </c>
      <c r="H446" s="26">
        <v>-1.2</v>
      </c>
    </row>
    <row r="447" spans="2:8" x14ac:dyDescent="0.2">
      <c r="B447" s="27">
        <v>45291</v>
      </c>
      <c r="C447" s="25">
        <v>-0.3</v>
      </c>
      <c r="D447" s="26">
        <v>-3.7</v>
      </c>
      <c r="E447" s="26">
        <v>0.5</v>
      </c>
      <c r="F447" s="26">
        <v>-2.7</v>
      </c>
      <c r="G447" s="26">
        <v>-3.3</v>
      </c>
      <c r="H447" s="26">
        <v>-1.2</v>
      </c>
    </row>
    <row r="448" spans="2:8" x14ac:dyDescent="0.2">
      <c r="B448" s="27">
        <v>45322</v>
      </c>
      <c r="C448" s="25">
        <v>-0.8</v>
      </c>
      <c r="D448" s="26">
        <v>-5.9</v>
      </c>
      <c r="E448" s="26">
        <v>0.4</v>
      </c>
      <c r="F448" s="26">
        <v>-2.5</v>
      </c>
      <c r="G448" s="26">
        <v>-3</v>
      </c>
      <c r="H448" s="26">
        <v>-1.1000000000000001</v>
      </c>
    </row>
    <row r="449" spans="2:8" x14ac:dyDescent="0.2">
      <c r="B449" s="27">
        <v>45351</v>
      </c>
      <c r="C449" s="25">
        <v>0.7</v>
      </c>
      <c r="D449" s="26">
        <v>-0.9</v>
      </c>
      <c r="E449" s="26">
        <v>1.1000000000000001</v>
      </c>
      <c r="F449" s="26">
        <v>-2.7</v>
      </c>
      <c r="G449" s="26">
        <v>-3.4</v>
      </c>
      <c r="H449" s="26">
        <v>-0.9</v>
      </c>
    </row>
    <row r="450" spans="2:8" x14ac:dyDescent="0.2">
      <c r="B450" s="27">
        <v>45382</v>
      </c>
      <c r="C450" s="25">
        <v>0.1</v>
      </c>
      <c r="D450" s="26">
        <v>-2.7</v>
      </c>
      <c r="E450" s="26">
        <v>0.7</v>
      </c>
      <c r="F450" s="26">
        <v>-2.8</v>
      </c>
      <c r="G450" s="26">
        <v>-3.5</v>
      </c>
      <c r="H450" s="26">
        <v>-1</v>
      </c>
    </row>
  </sheetData>
  <mergeCells count="3">
    <mergeCell ref="J2:M2"/>
    <mergeCell ref="L11:M11"/>
    <mergeCell ref="L12:M12"/>
  </mergeCells>
  <phoneticPr fontId="1" type="noConversion"/>
  <pageMargins left="0.75" right="0.75" top="1" bottom="1" header="0.5" footer="0.5"/>
  <pageSetup paperSize="11"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25" x14ac:dyDescent="0.15"/>
  <sheetData>
    <row r="1" spans="1:1" x14ac:dyDescent="0.15">
      <c r="A1" t="s">
        <v>48</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Calculator</vt:lpstr>
      <vt:lpstr>Help</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Feng Lei</dc:creator>
  <cp:lastModifiedBy>Cui YongQiang</cp:lastModifiedBy>
  <dcterms:created xsi:type="dcterms:W3CDTF">1996-12-17T01:32:42Z</dcterms:created>
  <dcterms:modified xsi:type="dcterms:W3CDTF">2024-04-17T07:40:08Z</dcterms:modified>
</cp:coreProperties>
</file>