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filterPrivacy="1" codeName="ThisWorkbook"/>
  <xr:revisionPtr revIDLastSave="0" documentId="13_ncr:1_{F7B4E60E-FD43-42E5-AFE7-D2B8168C71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月度收益" sheetId="1" r:id="rId1"/>
    <sheet name="Sheet3" sheetId="6" r:id="rId2"/>
    <sheet name="Wind模板" sheetId="3" state="veryHidden" r:id="rId3"/>
    <sheet name="data" sheetId="2" state="hidden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6" l="1"/>
  <c r="L9" i="6"/>
  <c r="C2" i="2"/>
  <c r="C5" i="2"/>
  <c r="F4" i="1"/>
  <c r="F5" i="1"/>
  <c r="C1" i="2"/>
  <c r="A6" i="2" l="1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O1" i="1" l="1"/>
  <c r="C43" i="1" l="1"/>
  <c r="C15" i="1"/>
  <c r="C27" i="1"/>
  <c r="C16" i="1"/>
  <c r="C28" i="1"/>
  <c r="C40" i="1"/>
  <c r="C29" i="1"/>
  <c r="C41" i="1"/>
  <c r="C17" i="1"/>
  <c r="C18" i="1"/>
  <c r="C30" i="1"/>
  <c r="C42" i="1"/>
  <c r="C19" i="1"/>
  <c r="C31" i="1"/>
  <c r="C20" i="1"/>
  <c r="C32" i="1"/>
  <c r="C21" i="1"/>
  <c r="C33" i="1"/>
  <c r="C37" i="1"/>
  <c r="C22" i="1"/>
  <c r="C34" i="1"/>
  <c r="C23" i="1"/>
  <c r="C35" i="1"/>
  <c r="C36" i="1"/>
  <c r="C25" i="1"/>
  <c r="C24" i="1"/>
  <c r="C26" i="1"/>
  <c r="C38" i="1"/>
  <c r="C39" i="1"/>
  <c r="C11" i="1"/>
  <c r="C12" i="1"/>
  <c r="C13" i="1"/>
  <c r="C14" i="1"/>
  <c r="C10" i="1"/>
  <c r="C9" i="1"/>
  <c r="C8" i="1"/>
  <c r="A5" i="2" l="1"/>
  <c r="D43" i="1" l="1"/>
  <c r="G43" i="1"/>
  <c r="N43" i="1"/>
  <c r="E43" i="1"/>
  <c r="F43" i="1"/>
  <c r="H43" i="1"/>
  <c r="I43" i="1"/>
  <c r="M43" i="1"/>
  <c r="J43" i="1"/>
  <c r="L43" i="1"/>
  <c r="K43" i="1"/>
  <c r="O43" i="1"/>
  <c r="D12" i="1"/>
  <c r="D11" i="1"/>
  <c r="D10" i="1"/>
  <c r="D9" i="1"/>
  <c r="D8" i="1"/>
  <c r="O8" i="1"/>
  <c r="L20" i="1"/>
  <c r="H15" i="1"/>
  <c r="J14" i="1"/>
  <c r="J12" i="1"/>
  <c r="O12" i="1"/>
  <c r="K12" i="1"/>
  <c r="D16" i="1" s="1"/>
  <c r="L12" i="1"/>
  <c r="M12" i="1"/>
  <c r="N12" i="1"/>
  <c r="H12" i="1"/>
  <c r="E12" i="1"/>
  <c r="I12" i="1"/>
  <c r="F12" i="1"/>
  <c r="G12" i="1"/>
  <c r="I11" i="1"/>
  <c r="H11" i="1"/>
  <c r="J11" i="1"/>
  <c r="K11" i="1"/>
  <c r="I15" i="1" s="1"/>
  <c r="N11" i="1"/>
  <c r="L11" i="1"/>
  <c r="M11" i="1"/>
  <c r="O11" i="1"/>
  <c r="G11" i="1"/>
  <c r="E11" i="1"/>
  <c r="F11" i="1"/>
  <c r="N16" i="1"/>
  <c r="G16" i="1"/>
  <c r="E16" i="1"/>
  <c r="F16" i="1"/>
  <c r="M16" i="1"/>
  <c r="H16" i="1"/>
  <c r="I16" i="1"/>
  <c r="J16" i="1"/>
  <c r="K16" i="1"/>
  <c r="M20" i="1" s="1"/>
  <c r="L16" i="1"/>
  <c r="H10" i="1"/>
  <c r="I10" i="1"/>
  <c r="M10" i="1"/>
  <c r="J10" i="1"/>
  <c r="K10" i="1"/>
  <c r="D14" i="1" s="1"/>
  <c r="L10" i="1"/>
  <c r="N10" i="1"/>
  <c r="G10" i="1"/>
  <c r="O10" i="1"/>
  <c r="F10" i="1"/>
  <c r="E10" i="1"/>
  <c r="G9" i="1"/>
  <c r="H9" i="1"/>
  <c r="I9" i="1"/>
  <c r="J9" i="1"/>
  <c r="L9" i="1"/>
  <c r="K9" i="1"/>
  <c r="D13" i="1" s="1"/>
  <c r="M9" i="1"/>
  <c r="N9" i="1"/>
  <c r="O9" i="1"/>
  <c r="F9" i="1"/>
  <c r="E9" i="1"/>
  <c r="K13" i="1" l="1"/>
  <c r="L13" i="1"/>
  <c r="H13" i="1"/>
  <c r="G13" i="1"/>
  <c r="I13" i="1"/>
  <c r="F13" i="1"/>
  <c r="E13" i="1"/>
  <c r="O13" i="1"/>
  <c r="J13" i="1"/>
  <c r="N13" i="1"/>
  <c r="M13" i="1"/>
  <c r="H14" i="1"/>
  <c r="K15" i="1"/>
  <c r="J20" i="1"/>
  <c r="D20" i="1"/>
  <c r="G14" i="1"/>
  <c r="G15" i="1"/>
  <c r="I20" i="1"/>
  <c r="O16" i="1"/>
  <c r="F14" i="1"/>
  <c r="E15" i="1"/>
  <c r="H20" i="1"/>
  <c r="E14" i="1"/>
  <c r="O15" i="1"/>
  <c r="E20" i="1"/>
  <c r="O14" i="1"/>
  <c r="L15" i="1"/>
  <c r="G20" i="1"/>
  <c r="K14" i="1"/>
  <c r="N15" i="1"/>
  <c r="K20" i="1"/>
  <c r="N14" i="1"/>
  <c r="F15" i="1"/>
  <c r="F20" i="1"/>
  <c r="M14" i="1"/>
  <c r="M15" i="1"/>
  <c r="L14" i="1"/>
  <c r="O20" i="1"/>
  <c r="J15" i="1"/>
  <c r="N20" i="1"/>
  <c r="D15" i="1"/>
  <c r="I14" i="1"/>
  <c r="F8" i="1"/>
  <c r="H8" i="1"/>
  <c r="M8" i="1"/>
  <c r="K8" i="1"/>
  <c r="E8" i="1"/>
  <c r="N8" i="1"/>
  <c r="G8" i="1"/>
  <c r="J8" i="1"/>
  <c r="L8" i="1"/>
  <c r="I8" i="1"/>
  <c r="D17" i="1" l="1"/>
  <c r="K17" i="1"/>
  <c r="N17" i="1"/>
  <c r="L17" i="1"/>
  <c r="O17" i="1"/>
  <c r="H17" i="1"/>
  <c r="E17" i="1"/>
  <c r="F17" i="1"/>
  <c r="G17" i="1"/>
  <c r="I17" i="1"/>
  <c r="M17" i="1"/>
  <c r="J17" i="1"/>
  <c r="E24" i="1"/>
  <c r="G24" i="1"/>
  <c r="N24" i="1"/>
  <c r="K24" i="1"/>
  <c r="H24" i="1"/>
  <c r="M24" i="1"/>
  <c r="D24" i="1"/>
  <c r="L24" i="1"/>
  <c r="O24" i="1"/>
  <c r="J24" i="1"/>
  <c r="F24" i="1"/>
  <c r="I24" i="1"/>
  <c r="E19" i="1"/>
  <c r="F19" i="1"/>
  <c r="G19" i="1"/>
  <c r="H19" i="1"/>
  <c r="J19" i="1"/>
  <c r="I19" i="1"/>
  <c r="K19" i="1"/>
  <c r="N19" i="1"/>
  <c r="L19" i="1"/>
  <c r="M19" i="1"/>
  <c r="D19" i="1"/>
  <c r="O19" i="1"/>
  <c r="J18" i="1"/>
  <c r="N18" i="1"/>
  <c r="K18" i="1"/>
  <c r="I18" i="1"/>
  <c r="L18" i="1"/>
  <c r="M18" i="1"/>
  <c r="O18" i="1"/>
  <c r="E18" i="1"/>
  <c r="D18" i="1"/>
  <c r="F18" i="1"/>
  <c r="G18" i="1"/>
  <c r="H18" i="1"/>
  <c r="H21" i="1" l="1"/>
  <c r="M21" i="1"/>
  <c r="G21" i="1"/>
  <c r="I21" i="1"/>
  <c r="N21" i="1"/>
  <c r="K21" i="1"/>
  <c r="E21" i="1"/>
  <c r="F21" i="1"/>
  <c r="J21" i="1"/>
  <c r="O21" i="1"/>
  <c r="D21" i="1"/>
  <c r="L21" i="1"/>
  <c r="D28" i="1"/>
  <c r="H28" i="1"/>
  <c r="M28" i="1"/>
  <c r="J28" i="1"/>
  <c r="F28" i="1"/>
  <c r="O28" i="1"/>
  <c r="L28" i="1"/>
  <c r="G28" i="1"/>
  <c r="E28" i="1"/>
  <c r="I28" i="1"/>
  <c r="N28" i="1"/>
  <c r="K28" i="1"/>
  <c r="K22" i="1"/>
  <c r="G22" i="1"/>
  <c r="L22" i="1"/>
  <c r="N22" i="1"/>
  <c r="F22" i="1"/>
  <c r="O22" i="1"/>
  <c r="E22" i="1"/>
  <c r="D22" i="1"/>
  <c r="J22" i="1"/>
  <c r="H22" i="1"/>
  <c r="I22" i="1"/>
  <c r="M22" i="1"/>
  <c r="N23" i="1"/>
  <c r="K23" i="1"/>
  <c r="E23" i="1"/>
  <c r="M23" i="1"/>
  <c r="J23" i="1"/>
  <c r="D23" i="1"/>
  <c r="H23" i="1"/>
  <c r="O23" i="1"/>
  <c r="L23" i="1"/>
  <c r="G23" i="1"/>
  <c r="I23" i="1"/>
  <c r="F23" i="1"/>
  <c r="I25" i="1" l="1"/>
  <c r="E25" i="1"/>
  <c r="D25" i="1"/>
  <c r="H25" i="1"/>
  <c r="G25" i="1"/>
  <c r="O25" i="1"/>
  <c r="F25" i="1"/>
  <c r="M25" i="1"/>
  <c r="L25" i="1"/>
  <c r="N25" i="1"/>
  <c r="J25" i="1"/>
  <c r="K25" i="1"/>
  <c r="N32" i="1"/>
  <c r="J32" i="1"/>
  <c r="I32" i="1"/>
  <c r="G32" i="1"/>
  <c r="M32" i="1"/>
  <c r="K32" i="1"/>
  <c r="F32" i="1"/>
  <c r="L32" i="1"/>
  <c r="E32" i="1"/>
  <c r="O32" i="1"/>
  <c r="D32" i="1"/>
  <c r="H32" i="1"/>
  <c r="G27" i="1"/>
  <c r="N27" i="1"/>
  <c r="I27" i="1"/>
  <c r="F27" i="1"/>
  <c r="D27" i="1"/>
  <c r="M27" i="1"/>
  <c r="H27" i="1"/>
  <c r="J27" i="1"/>
  <c r="E27" i="1"/>
  <c r="O27" i="1"/>
  <c r="L27" i="1"/>
  <c r="K27" i="1"/>
  <c r="E26" i="1"/>
  <c r="H26" i="1"/>
  <c r="F26" i="1"/>
  <c r="N26" i="1"/>
  <c r="G26" i="1"/>
  <c r="L26" i="1"/>
  <c r="I26" i="1"/>
  <c r="J26" i="1"/>
  <c r="M26" i="1"/>
  <c r="D26" i="1"/>
  <c r="K26" i="1"/>
  <c r="O26" i="1"/>
  <c r="F29" i="1" l="1"/>
  <c r="J29" i="1"/>
  <c r="M29" i="1"/>
  <c r="H29" i="1"/>
  <c r="I29" i="1"/>
  <c r="D29" i="1"/>
  <c r="L29" i="1"/>
  <c r="G29" i="1"/>
  <c r="E29" i="1"/>
  <c r="N29" i="1"/>
  <c r="O29" i="1"/>
  <c r="K29" i="1"/>
  <c r="G31" i="1"/>
  <c r="H31" i="1"/>
  <c r="E31" i="1"/>
  <c r="O31" i="1"/>
  <c r="D31" i="1"/>
  <c r="N31" i="1"/>
  <c r="F31" i="1"/>
  <c r="K31" i="1"/>
  <c r="L31" i="1"/>
  <c r="M31" i="1"/>
  <c r="I31" i="1"/>
  <c r="J31" i="1"/>
  <c r="L30" i="1"/>
  <c r="H30" i="1"/>
  <c r="I30" i="1"/>
  <c r="D30" i="1"/>
  <c r="E30" i="1"/>
  <c r="O30" i="1"/>
  <c r="M30" i="1"/>
  <c r="G30" i="1"/>
  <c r="F30" i="1"/>
  <c r="K30" i="1"/>
  <c r="N30" i="1"/>
  <c r="J30" i="1"/>
  <c r="M36" i="1"/>
  <c r="K36" i="1"/>
  <c r="E36" i="1"/>
  <c r="O36" i="1"/>
  <c r="H36" i="1"/>
  <c r="J36" i="1"/>
  <c r="D36" i="1"/>
  <c r="G36" i="1"/>
  <c r="I36" i="1"/>
  <c r="F36" i="1"/>
  <c r="N36" i="1"/>
  <c r="L36" i="1"/>
  <c r="H33" i="1" l="1"/>
  <c r="E33" i="1"/>
  <c r="G33" i="1"/>
  <c r="N33" i="1"/>
  <c r="L33" i="1"/>
  <c r="J33" i="1"/>
  <c r="M33" i="1"/>
  <c r="I33" i="1"/>
  <c r="D33" i="1"/>
  <c r="F33" i="1"/>
  <c r="K33" i="1"/>
  <c r="O33" i="1"/>
  <c r="M34" i="1"/>
  <c r="I34" i="1"/>
  <c r="F34" i="1"/>
  <c r="L34" i="1"/>
  <c r="K34" i="1"/>
  <c r="H34" i="1"/>
  <c r="G34" i="1"/>
  <c r="O34" i="1"/>
  <c r="D34" i="1"/>
  <c r="E34" i="1"/>
  <c r="J34" i="1"/>
  <c r="N34" i="1"/>
  <c r="F35" i="1"/>
  <c r="M35" i="1"/>
  <c r="J35" i="1"/>
  <c r="L35" i="1"/>
  <c r="E35" i="1"/>
  <c r="K35" i="1"/>
  <c r="H35" i="1"/>
  <c r="I35" i="1"/>
  <c r="G35" i="1"/>
  <c r="D35" i="1"/>
  <c r="N35" i="1"/>
  <c r="O35" i="1"/>
  <c r="G40" i="1"/>
  <c r="L40" i="1"/>
  <c r="D40" i="1"/>
  <c r="E40" i="1"/>
  <c r="J40" i="1"/>
  <c r="H40" i="1"/>
  <c r="O40" i="1"/>
  <c r="M40" i="1"/>
  <c r="K40" i="1"/>
  <c r="F40" i="1"/>
  <c r="I40" i="1"/>
  <c r="N40" i="1"/>
  <c r="L37" i="1" l="1"/>
  <c r="I37" i="1"/>
  <c r="F37" i="1"/>
  <c r="D37" i="1"/>
  <c r="J37" i="1"/>
  <c r="N37" i="1"/>
  <c r="H37" i="1"/>
  <c r="K37" i="1"/>
  <c r="O37" i="1"/>
  <c r="G37" i="1"/>
  <c r="E37" i="1"/>
  <c r="M37" i="1"/>
  <c r="N39" i="1"/>
  <c r="D39" i="1"/>
  <c r="G39" i="1"/>
  <c r="J39" i="1"/>
  <c r="F39" i="1"/>
  <c r="E39" i="1"/>
  <c r="L39" i="1"/>
  <c r="I39" i="1"/>
  <c r="K39" i="1"/>
  <c r="O39" i="1"/>
  <c r="M39" i="1"/>
  <c r="H39" i="1"/>
  <c r="H38" i="1"/>
  <c r="K38" i="1"/>
  <c r="G38" i="1"/>
  <c r="L38" i="1"/>
  <c r="I38" i="1"/>
  <c r="O38" i="1"/>
  <c r="F38" i="1"/>
  <c r="M38" i="1"/>
  <c r="D38" i="1"/>
  <c r="J38" i="1"/>
  <c r="E38" i="1"/>
  <c r="N38" i="1"/>
  <c r="L41" i="1" l="1"/>
  <c r="N41" i="1"/>
  <c r="G41" i="1"/>
  <c r="O41" i="1"/>
  <c r="H41" i="1"/>
  <c r="F41" i="1"/>
  <c r="D41" i="1"/>
  <c r="M41" i="1"/>
  <c r="K41" i="1"/>
  <c r="I41" i="1"/>
  <c r="J41" i="1"/>
  <c r="E41" i="1"/>
  <c r="F42" i="1"/>
  <c r="O42" i="1"/>
  <c r="M42" i="1"/>
  <c r="L42" i="1"/>
  <c r="G42" i="1"/>
  <c r="D42" i="1"/>
  <c r="J42" i="1"/>
  <c r="I42" i="1"/>
  <c r="E42" i="1"/>
  <c r="N42" i="1"/>
  <c r="K42" i="1"/>
  <c r="H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5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<sst xmlns="http://schemas.openxmlformats.org/spreadsheetml/2006/main" count="30" uniqueCount="30">
  <si>
    <t>日期</t>
    <phoneticPr fontId="2" type="noConversion"/>
  </si>
  <si>
    <t>Date</t>
    <phoneticPr fontId="2" type="noConversion"/>
  </si>
  <si>
    <t>涨跌幅</t>
    <phoneticPr fontId="2" type="noConversion"/>
  </si>
  <si>
    <t>pct_chg</t>
    <phoneticPr fontId="2" type="noConversion"/>
  </si>
  <si>
    <t>06月</t>
    <phoneticPr fontId="2" type="noConversion"/>
  </si>
  <si>
    <t>Wind代码：</t>
    <phoneticPr fontId="2" type="noConversion"/>
  </si>
  <si>
    <t>最新更新：</t>
    <phoneticPr fontId="2" type="noConversion"/>
  </si>
  <si>
    <t>01月</t>
    <phoneticPr fontId="2" type="noConversion"/>
  </si>
  <si>
    <t>02月</t>
    <phoneticPr fontId="2" type="noConversion"/>
  </si>
  <si>
    <t>03月</t>
    <phoneticPr fontId="2" type="noConversion"/>
  </si>
  <si>
    <t>04月</t>
    <phoneticPr fontId="2" type="noConversion"/>
  </si>
  <si>
    <t>05月</t>
    <phoneticPr fontId="2" type="noConversion"/>
  </si>
  <si>
    <t>07月</t>
    <phoneticPr fontId="2" type="noConversion"/>
  </si>
  <si>
    <t>08月</t>
    <phoneticPr fontId="2" type="noConversion"/>
  </si>
  <si>
    <t>09月</t>
    <phoneticPr fontId="2" type="noConversion"/>
  </si>
  <si>
    <t>10月</t>
    <phoneticPr fontId="2" type="noConversion"/>
  </si>
  <si>
    <t>11月</t>
    <phoneticPr fontId="2" type="noConversion"/>
  </si>
  <si>
    <t>12月</t>
    <phoneticPr fontId="2" type="noConversion"/>
  </si>
  <si>
    <t>年份</t>
    <phoneticPr fontId="9" type="noConversion"/>
  </si>
  <si>
    <t>月度收益</t>
    <phoneticPr fontId="2" type="noConversion"/>
  </si>
  <si>
    <t>观测周期：</t>
    <phoneticPr fontId="2" type="noConversion"/>
  </si>
  <si>
    <t>M(月)</t>
  </si>
  <si>
    <t>前推周期：</t>
    <phoneticPr fontId="2" type="noConversion"/>
  </si>
  <si>
    <t>自定义代码：</t>
    <phoneticPr fontId="2" type="noConversion"/>
  </si>
  <si>
    <t>月度收益 V1.2</t>
    <phoneticPr fontId="9" type="noConversion"/>
  </si>
  <si>
    <t>证券简称：</t>
    <phoneticPr fontId="2" type="noConversion"/>
  </si>
  <si>
    <t>前收盘价</t>
    <phoneticPr fontId="2" type="noConversion"/>
  </si>
  <si>
    <t>交易日</t>
    <phoneticPr fontId="2" type="noConversion"/>
  </si>
  <si>
    <t>今收盘价</t>
    <phoneticPr fontId="2" type="noConversion"/>
  </si>
  <si>
    <t>SPX.GI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</si>
</sst>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1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0"/>
      <color theme="1"/>
      <name val="微软雅黑"/>
      <family val="2"/>
      <charset val="134"/>
    </font>
    <font>
      <sz val="12"/>
      <color rgb="FF333333"/>
      <name val="Arial"/>
      <family val="2"/>
    </font>
    <font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sz val="20"/>
      <color theme="0"/>
      <name val="微软雅黑"/>
      <family val="2"/>
      <charset val="134"/>
    </font>
    <font>
      <sz val="9"/>
      <name val="宋体"/>
      <family val="3"/>
      <charset val="134"/>
    </font>
    <font>
      <sz val="12"/>
      <color theme="0"/>
      <name val="微软雅黑"/>
      <family val="2"/>
      <charset val="134"/>
    </font>
    <font>
      <sz val="12"/>
      <color theme="0"/>
      <name val="Arial"/>
      <family val="2"/>
    </font>
    <font>
      <b/>
      <sz val="11"/>
      <color rgb="FF212121"/>
      <name val="微软雅黑"/>
      <family val="2"/>
      <charset val="134"/>
    </font>
    <font>
      <sz val="20"/>
      <color theme="1"/>
      <name val="等线"/>
      <family val="2"/>
      <scheme val="minor"/>
    </font>
    <font>
      <sz val="20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4" fillId="2" borderId="0" xfId="0" applyFont="1" applyFill="1" applyAlignment="1">
      <alignment horizontal="left"/>
    </xf>
    <xf numFmtId="10" fontId="6" fillId="0" borderId="0" xfId="1" applyNumberFormat="1" applyFont="1" applyAlignment="1"/>
    <xf numFmtId="0" fontId="5" fillId="3" borderId="0" xfId="0" applyFont="1" applyFill="1"/>
    <xf numFmtId="0" fontId="7" fillId="4" borderId="0" xfId="0" applyFont="1" applyFill="1"/>
    <xf numFmtId="0" fontId="8" fillId="4" borderId="0" xfId="0" applyFont="1" applyFill="1" applyAlignment="1">
      <alignment vertical="center" wrapText="1"/>
    </xf>
    <xf numFmtId="0" fontId="7" fillId="5" borderId="0" xfId="0" applyFont="1" applyFill="1"/>
    <xf numFmtId="14" fontId="11" fillId="4" borderId="0" xfId="0" applyNumberFormat="1" applyFont="1" applyFill="1" applyAlignment="1">
      <alignment horizontal="center" vertical="center"/>
    </xf>
    <xf numFmtId="0" fontId="10" fillId="4" borderId="1" xfId="0" applyFont="1" applyFill="1" applyBorder="1" applyAlignment="1">
      <alignment vertical="center"/>
    </xf>
    <xf numFmtId="10" fontId="6" fillId="6" borderId="0" xfId="1" applyNumberFormat="1" applyFont="1" applyFill="1" applyAlignment="1"/>
    <xf numFmtId="0" fontId="6" fillId="6" borderId="0" xfId="0" applyFont="1" applyFill="1"/>
    <xf numFmtId="0" fontId="6" fillId="0" borderId="0" xfId="0" applyFont="1"/>
    <xf numFmtId="0" fontId="12" fillId="2" borderId="0" xfId="0" applyFont="1" applyFill="1" applyAlignment="1">
      <alignment horizontal="right"/>
    </xf>
    <xf numFmtId="0" fontId="12" fillId="2" borderId="0" xfId="0" applyFont="1" applyFill="1" applyAlignment="1">
      <alignment horizontal="left"/>
    </xf>
    <xf numFmtId="0" fontId="7" fillId="5" borderId="2" xfId="0" applyFont="1" applyFill="1" applyBorder="1"/>
    <xf numFmtId="0" fontId="4" fillId="2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3636D"/>
      <color rgb="FF107F3A"/>
      <color rgb="FFE4C658"/>
      <color rgb="FF2C2C2E"/>
      <color rgb="FF095D29"/>
      <color rgb="FF0909FF"/>
      <color rgb="FF094320"/>
      <color rgb="FF5E0D11"/>
      <color rgb="FF7E1014"/>
      <color rgb="FFAC11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76200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76200"/>
          <a:ext cx="607152" cy="2190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609600</xdr:colOff>
      <xdr:row>0</xdr:row>
      <xdr:rowOff>76200</xdr:rowOff>
    </xdr:from>
    <xdr:to>
      <xdr:col>19</xdr:col>
      <xdr:colOff>28133</xdr:colOff>
      <xdr:row>28</xdr:row>
      <xdr:rowOff>180257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4385DAA-DBA3-9B8D-CDF4-FF92F39F4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25300" y="76200"/>
          <a:ext cx="3533333" cy="57428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7:O43" totalsRowShown="0" dataDxfId="12" dataCellStyle="百分比">
  <tableColumns count="13">
    <tableColumn id="1" xr3:uid="{00000000-0010-0000-0000-000001000000}" name="年份"/>
    <tableColumn id="2" xr3:uid="{00000000-0010-0000-0000-000002000000}" name="01月" dataDxfId="11" dataCellStyle="百分比"/>
    <tableColumn id="3" xr3:uid="{00000000-0010-0000-0000-000003000000}" name="02月" dataDxfId="10" dataCellStyle="百分比"/>
    <tableColumn id="4" xr3:uid="{00000000-0010-0000-0000-000004000000}" name="03月" dataDxfId="9" dataCellStyle="百分比"/>
    <tableColumn id="5" xr3:uid="{00000000-0010-0000-0000-000005000000}" name="04月" dataDxfId="8" dataCellStyle="百分比"/>
    <tableColumn id="6" xr3:uid="{00000000-0010-0000-0000-000006000000}" name="05月" dataDxfId="7" dataCellStyle="百分比"/>
    <tableColumn id="7" xr3:uid="{00000000-0010-0000-0000-000007000000}" name="06月" dataDxfId="6" dataCellStyle="百分比"/>
    <tableColumn id="8" xr3:uid="{00000000-0010-0000-0000-000008000000}" name="07月" dataDxfId="5" dataCellStyle="百分比"/>
    <tableColumn id="9" xr3:uid="{00000000-0010-0000-0000-000009000000}" name="08月" dataDxfId="4" dataCellStyle="百分比"/>
    <tableColumn id="10" xr3:uid="{00000000-0010-0000-0000-00000A000000}" name="09月" dataDxfId="3" dataCellStyle="百分比"/>
    <tableColumn id="11" xr3:uid="{00000000-0010-0000-0000-00000B000000}" name="10月" dataDxfId="2" dataCellStyle="百分比"/>
    <tableColumn id="12" xr3:uid="{00000000-0010-0000-0000-00000C000000}" name="11月" dataDxfId="1" dataCellStyle="百分比"/>
    <tableColumn id="13" xr3:uid="{00000000-0010-0000-0000-00000D000000}" name="12月" dataDxfId="0" dataCellStyle="百分比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63636D"/>
  </sheetPr>
  <dimension ref="A1:Q44"/>
  <sheetViews>
    <sheetView showGridLines="0" tabSelected="1" topLeftCell="A13" zoomScale="115" zoomScaleNormal="115" workbookViewId="0">
      <selection activeCell="F47" sqref="F47"/>
    </sheetView>
  </sheetViews>
  <sheetFormatPr defaultRowHeight="14.25" x14ac:dyDescent="0.2"/>
  <cols>
    <col min="1" max="1" width="2.625" customWidth="1"/>
    <col min="2" max="2" width="1.625" customWidth="1"/>
    <col min="3" max="3" width="10.625" customWidth="1"/>
    <col min="4" max="4" width="11.875" bestFit="1" customWidth="1"/>
    <col min="5" max="5" width="11" bestFit="1" customWidth="1"/>
    <col min="6" max="6" width="11.25" bestFit="1" customWidth="1"/>
    <col min="7" max="9" width="11" bestFit="1" customWidth="1"/>
    <col min="10" max="11" width="12.125" bestFit="1" customWidth="1"/>
    <col min="12" max="15" width="11" bestFit="1" customWidth="1"/>
    <col min="16" max="16" width="1.625" customWidth="1"/>
    <col min="17" max="17" width="2.625" customWidth="1"/>
  </cols>
  <sheetData>
    <row r="1" spans="1:17" ht="27.75" customHeight="1" x14ac:dyDescent="0.3">
      <c r="A1" s="7"/>
      <c r="B1" s="7"/>
      <c r="C1" s="7"/>
      <c r="D1" s="7"/>
      <c r="E1" s="22" t="s">
        <v>24</v>
      </c>
      <c r="F1" s="22"/>
      <c r="G1" s="22"/>
      <c r="H1" s="22"/>
      <c r="I1" s="22"/>
      <c r="J1" s="22"/>
      <c r="K1" s="22"/>
      <c r="L1" s="22"/>
      <c r="M1" s="22"/>
      <c r="N1" s="11" t="s">
        <v>6</v>
      </c>
      <c r="O1" s="10">
        <f>data!B5</f>
        <v>46105</v>
      </c>
      <c r="P1" s="8"/>
      <c r="Q1" s="7"/>
    </row>
    <row r="2" spans="1:17" ht="12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ht="9.9499999999999993" customHeight="1" x14ac:dyDescent="0.3">
      <c r="A3" s="9"/>
      <c r="Q3" s="9"/>
    </row>
    <row r="4" spans="1:17" ht="18" customHeight="1" x14ac:dyDescent="0.35">
      <c r="A4" s="9"/>
      <c r="C4" s="4" t="s">
        <v>5</v>
      </c>
      <c r="D4" s="6" t="s">
        <v>29</v>
      </c>
      <c r="E4" s="4" t="s">
        <v>25</v>
      </c>
      <c r="F4" s="18" t="str">
        <f>[1]!s_info_name(D4)</f>
        <v>标普500</v>
      </c>
      <c r="H4" s="4" t="s">
        <v>22</v>
      </c>
      <c r="I4" s="6">
        <v>1000</v>
      </c>
      <c r="K4" s="4" t="s">
        <v>20</v>
      </c>
      <c r="L4" s="19" t="s">
        <v>21</v>
      </c>
      <c r="Q4" s="9"/>
    </row>
    <row r="5" spans="1:17" ht="18" customHeight="1" x14ac:dyDescent="0.35">
      <c r="A5" s="9"/>
      <c r="C5" s="4" t="s">
        <v>23</v>
      </c>
      <c r="D5" s="6"/>
      <c r="F5" t="str">
        <f>IF(D5="","",[1]!s_info_name(D5))</f>
        <v/>
      </c>
      <c r="Q5" s="9"/>
    </row>
    <row r="6" spans="1:17" ht="9.9499999999999993" customHeight="1" x14ac:dyDescent="0.3">
      <c r="A6" s="9"/>
      <c r="Q6" s="9"/>
    </row>
    <row r="7" spans="1:17" ht="16.5" x14ac:dyDescent="0.3">
      <c r="A7" s="9"/>
      <c r="C7" s="16" t="s">
        <v>18</v>
      </c>
      <c r="D7" s="15" t="s">
        <v>7</v>
      </c>
      <c r="E7" s="15" t="s">
        <v>8</v>
      </c>
      <c r="F7" s="15" t="s">
        <v>9</v>
      </c>
      <c r="G7" s="15" t="s">
        <v>10</v>
      </c>
      <c r="H7" s="15" t="s">
        <v>11</v>
      </c>
      <c r="I7" s="15" t="s">
        <v>4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Q7" s="9"/>
    </row>
    <row r="8" spans="1:17" ht="16.5" x14ac:dyDescent="0.3">
      <c r="A8" s="9"/>
      <c r="C8" s="13" t="str">
        <f>YEAR($O$1)&amp;"年"</f>
        <v>2026年</v>
      </c>
      <c r="D8" s="12">
        <f>_xlfn.IFNA(VLOOKUP(LEFT($C8,4)&amp;"/"&amp;LEFT(D$7,2),data!$A:$C,3,0)/100,"")</f>
        <v>1.3662990285588927E-2</v>
      </c>
      <c r="E8" s="12">
        <f>_xlfn.IFNA(VLOOKUP(LEFT($C8,4)&amp;"/"&amp;LEFT(E$7,2),data!$A:$C,3,0)/100,"")</f>
        <v>-8.6683585457909551E-3</v>
      </c>
      <c r="F8" s="12">
        <f>_xlfn.IFNA(VLOOKUP(LEFT($C8,4)&amp;"/"&amp;LEFT(F$7,2),data!$A:$C,3,0)/100,"")</f>
        <v>-4.3303561044821241E-2</v>
      </c>
      <c r="G8" s="12" t="str">
        <f>_xlfn.IFNA(VLOOKUP(LEFT($C8,4)&amp;"/"&amp;LEFT(G$7,2),data!$A:$C,3,0)/100,"")</f>
        <v/>
      </c>
      <c r="H8" s="12" t="str">
        <f>_xlfn.IFNA(VLOOKUP(LEFT($C8,4)&amp;"/"&amp;LEFT(H$7,2),data!$A:$C,3,0)/100,"")</f>
        <v/>
      </c>
      <c r="I8" s="12" t="str">
        <f>_xlfn.IFNA(VLOOKUP(LEFT($C8,4)&amp;"/"&amp;LEFT(I$7,2),data!$A:$C,3,0)/100,"")</f>
        <v/>
      </c>
      <c r="J8" s="12" t="str">
        <f>_xlfn.IFNA(VLOOKUP(LEFT($C8,4)&amp;"/"&amp;LEFT(J$7,2),data!$A:$C,3,0)/100,"")</f>
        <v/>
      </c>
      <c r="K8" s="12" t="str">
        <f>_xlfn.IFNA(VLOOKUP(LEFT($C8,4)&amp;"/"&amp;LEFT(K$7,2),data!$A:$C,3,0)/100,"")</f>
        <v/>
      </c>
      <c r="L8" s="12" t="str">
        <f>_xlfn.IFNA(VLOOKUP(LEFT($C8,4)&amp;"/"&amp;LEFT(L$7,2),data!$A:$C,3,0)/100,"")</f>
        <v/>
      </c>
      <c r="M8" s="12" t="str">
        <f>_xlfn.IFNA(VLOOKUP(LEFT($C8,4)&amp;"/"&amp;LEFT(M$7,2),data!$A:$C,3,0)/100,"")</f>
        <v/>
      </c>
      <c r="N8" s="12" t="str">
        <f>_xlfn.IFNA(VLOOKUP(LEFT($C8,4)&amp;"/"&amp;LEFT(N$7,2),data!$A:$C,3,0)/100,"")</f>
        <v/>
      </c>
      <c r="O8" s="12" t="str">
        <f>_xlfn.IFNA(VLOOKUP(LEFT($C8,4)&amp;"/"&amp;LEFT(O$7,2),data!$A:$C,3,0)/100,"")</f>
        <v/>
      </c>
      <c r="Q8" s="9"/>
    </row>
    <row r="9" spans="1:17" ht="16.5" x14ac:dyDescent="0.3">
      <c r="A9" s="9"/>
      <c r="C9" s="14" t="str">
        <f t="shared" ref="C9:C43" si="0">IF(LEFT($L$4,1)="M",IF(ROW(C9)-ROW(C$8)&lt;=TRUNC(I$4/12,0),(YEAR($O$1)-(ROW(C9)-ROW(C$8)))&amp;"年",""),IF(ROW(C9)-ROW(C$8)&lt;I$4,(YEAR($O$1)-(ROW(C9)-ROW(C$8)))&amp;"年",""))</f>
        <v>2025年</v>
      </c>
      <c r="D9" s="5">
        <f>_xlfn.IFNA(VLOOKUP(LEFT($C9,4)&amp;"/"&amp;LEFT(D$7,2),data!$A:$C,3,0)/100,"")</f>
        <v>2.7016320305765618E-2</v>
      </c>
      <c r="E9" s="5">
        <f>_xlfn.IFNA(VLOOKUP(LEFT($C9,4)&amp;"/"&amp;LEFT(E$7,2),data!$A:$C,3,0)/100,"")</f>
        <v>-1.4242127760312417E-2</v>
      </c>
      <c r="F9" s="5">
        <f>_xlfn.IFNA(VLOOKUP(LEFT($C9,4)&amp;"/"&amp;LEFT(F$7,2),data!$A:$C,3,0)/100,"")</f>
        <v>-5.7544714081786852E-2</v>
      </c>
      <c r="G9" s="5">
        <f>_xlfn.IFNA(VLOOKUP(LEFT($C9,4)&amp;"/"&amp;LEFT(G$7,2),data!$A:$C,3,0)/100,"")</f>
        <v>-7.6249365182604611E-3</v>
      </c>
      <c r="H9" s="5">
        <f>_xlfn.IFNA(VLOOKUP(LEFT($C9,4)&amp;"/"&amp;LEFT(H$7,2),data!$A:$C,3,0)/100,"")</f>
        <v>6.1523847830692979E-2</v>
      </c>
      <c r="I9" s="5">
        <f>_xlfn.IFNA(VLOOKUP(LEFT($C9,4)&amp;"/"&amp;LEFT(I$7,2),data!$A:$C,3,0)/100,"")</f>
        <v>4.960679602617879E-2</v>
      </c>
      <c r="J9" s="5">
        <f>_xlfn.IFNA(VLOOKUP(LEFT($C9,4)&amp;"/"&amp;LEFT(J$7,2),data!$A:$C,3,0)/100,"")</f>
        <v>2.1666572655702376E-2</v>
      </c>
      <c r="K9" s="5">
        <f>_xlfn.IFNA(VLOOKUP(LEFT($C9,4)&amp;"/"&amp;LEFT(K$7,2),data!$A:$C,3,0)/100,"")</f>
        <v>1.9066503244002941E-2</v>
      </c>
      <c r="L9" s="5">
        <f>_xlfn.IFNA(VLOOKUP(LEFT($C9,4)&amp;"/"&amp;LEFT(L$7,2),data!$A:$C,3,0)/100,"")</f>
        <v>3.5323655704259549E-2</v>
      </c>
      <c r="M9" s="5">
        <f>_xlfn.IFNA(VLOOKUP(LEFT($C9,4)&amp;"/"&amp;LEFT(M$7,2),data!$A:$C,3,0)/100,"")</f>
        <v>2.2686836730727133E-2</v>
      </c>
      <c r="N9" s="5">
        <f>_xlfn.IFNA(VLOOKUP(LEFT($C9,4)&amp;"/"&amp;LEFT(N$7,2),data!$A:$C,3,0)/100,"")</f>
        <v>1.299669600304032E-3</v>
      </c>
      <c r="O9" s="5">
        <f>_xlfn.IFNA(VLOOKUP(LEFT($C9,4)&amp;"/"&amp;LEFT(O$7,2),data!$A:$C,3,0)/100,"")</f>
        <v>-5.2415722380638741E-4</v>
      </c>
      <c r="Q9" s="9"/>
    </row>
    <row r="10" spans="1:17" ht="16.5" x14ac:dyDescent="0.3">
      <c r="A10" s="9"/>
      <c r="C10" s="14" t="str">
        <f t="shared" si="0"/>
        <v>2024年</v>
      </c>
      <c r="D10" s="12">
        <f>_xlfn.IFNA(VLOOKUP(LEFT($C10,4)&amp;"/"&amp;LEFT(D$7,2),data!$A:$C,3,0)/100,"")</f>
        <v>1.5895744712075555E-2</v>
      </c>
      <c r="E10" s="12">
        <f>_xlfn.IFNA(VLOOKUP(LEFT($C10,4)&amp;"/"&amp;LEFT(E$7,2),data!$A:$C,3,0)/100,"")</f>
        <v>5.1720615397315317E-2</v>
      </c>
      <c r="F10" s="12">
        <f>_xlfn.IFNA(VLOOKUP(LEFT($C10,4)&amp;"/"&amp;LEFT(F$7,2),data!$A:$C,3,0)/100,"")</f>
        <v>3.1018764704381807E-2</v>
      </c>
      <c r="G10" s="12">
        <f>_xlfn.IFNA(VLOOKUP(LEFT($C10,4)&amp;"/"&amp;LEFT(G$7,2),data!$A:$C,3,0)/100,"")</f>
        <v>-4.1615042774082574E-2</v>
      </c>
      <c r="H10" s="12">
        <f>_xlfn.IFNA(VLOOKUP(LEFT($C10,4)&amp;"/"&amp;LEFT(H$7,2),data!$A:$C,3,0)/100,"")</f>
        <v>4.8021224499522619E-2</v>
      </c>
      <c r="I10" s="12">
        <f>_xlfn.IFNA(VLOOKUP(LEFT($C10,4)&amp;"/"&amp;LEFT(I$7,2),data!$A:$C,3,0)/100,"")</f>
        <v>3.4669759034089864E-2</v>
      </c>
      <c r="J10" s="12">
        <f>_xlfn.IFNA(VLOOKUP(LEFT($C10,4)&amp;"/"&amp;LEFT(J$7,2),data!$A:$C,3,0)/100,"")</f>
        <v>1.1321349038912354E-2</v>
      </c>
      <c r="K10" s="12">
        <f>_xlfn.IFNA(VLOOKUP(LEFT($C10,4)&amp;"/"&amp;LEFT(K$7,2),data!$A:$C,3,0)/100,"")</f>
        <v>2.2834688445031892E-2</v>
      </c>
      <c r="L10" s="12">
        <f>_xlfn.IFNA(VLOOKUP(LEFT($C10,4)&amp;"/"&amp;LEFT(L$7,2),data!$A:$C,3,0)/100,"")</f>
        <v>2.0196869910062976E-2</v>
      </c>
      <c r="M10" s="12">
        <f>_xlfn.IFNA(VLOOKUP(LEFT($C10,4)&amp;"/"&amp;LEFT(M$7,2),data!$A:$C,3,0)/100,"")</f>
        <v>-9.8967805528175079E-3</v>
      </c>
      <c r="N10" s="12">
        <f>_xlfn.IFNA(VLOOKUP(LEFT($C10,4)&amp;"/"&amp;LEFT(N$7,2),data!$A:$C,3,0)/100,"")</f>
        <v>5.7301352215863854E-2</v>
      </c>
      <c r="O10" s="12">
        <f>_xlfn.IFNA(VLOOKUP(LEFT($C10,4)&amp;"/"&amp;LEFT(O$7,2),data!$A:$C,3,0)/100,"")</f>
        <v>-2.4990136563014964E-2</v>
      </c>
      <c r="Q10" s="9"/>
    </row>
    <row r="11" spans="1:17" ht="16.5" x14ac:dyDescent="0.3">
      <c r="A11" s="9"/>
      <c r="C11" s="14" t="str">
        <f t="shared" si="0"/>
        <v>2023年</v>
      </c>
      <c r="D11" s="5">
        <f>_xlfn.IFNA(VLOOKUP(LEFT($C11,4)&amp;"/"&amp;LEFT(D$7,2),data!$A:$C,3,0)/100,"")</f>
        <v>6.1752832400052027E-2</v>
      </c>
      <c r="E11" s="5">
        <f>_xlfn.IFNA(VLOOKUP(LEFT($C11,4)&amp;"/"&amp;LEFT(E$7,2),data!$A:$C,3,0)/100,"")</f>
        <v>-2.6112446646715304E-2</v>
      </c>
      <c r="F11" s="5">
        <f>_xlfn.IFNA(VLOOKUP(LEFT($C11,4)&amp;"/"&amp;LEFT(F$7,2),data!$A:$C,3,0)/100,"")</f>
        <v>3.5051572358727023E-2</v>
      </c>
      <c r="G11" s="5">
        <f>_xlfn.IFNA(VLOOKUP(LEFT($C11,4)&amp;"/"&amp;LEFT(G$7,2),data!$A:$C,3,0)/100,"")</f>
        <v>1.464236088297044E-2</v>
      </c>
      <c r="H11" s="5">
        <f>_xlfn.IFNA(VLOOKUP(LEFT($C11,4)&amp;"/"&amp;LEFT(H$7,2),data!$A:$C,3,0)/100,"")</f>
        <v>2.4823239348792381E-3</v>
      </c>
      <c r="I11" s="5">
        <f>_xlfn.IFNA(VLOOKUP(LEFT($C11,4)&amp;"/"&amp;LEFT(I$7,2),data!$A:$C,3,0)/100,"")</f>
        <v>6.4727512841431301E-2</v>
      </c>
      <c r="J11" s="5">
        <f>_xlfn.IFNA(VLOOKUP(LEFT($C11,4)&amp;"/"&amp;LEFT(J$7,2),data!$A:$C,3,0)/100,"")</f>
        <v>3.1138913980379268E-2</v>
      </c>
      <c r="K11" s="5">
        <f>_xlfn.IFNA(VLOOKUP(LEFT($C11,4)&amp;"/"&amp;LEFT(K$7,2),data!$A:$C,3,0)/100,"")</f>
        <v>-1.771643248143373E-2</v>
      </c>
      <c r="L11" s="5">
        <f>_xlfn.IFNA(VLOOKUP(LEFT($C11,4)&amp;"/"&amp;LEFT(L$7,2),data!$A:$C,3,0)/100,"")</f>
        <v>-4.871929116215501E-2</v>
      </c>
      <c r="M11" s="5">
        <f>_xlfn.IFNA(VLOOKUP(LEFT($C11,4)&amp;"/"&amp;LEFT(M$7,2),data!$A:$C,3,0)/100,"")</f>
        <v>-2.1979687736850106E-2</v>
      </c>
      <c r="N11" s="5">
        <f>_xlfn.IFNA(VLOOKUP(LEFT($C11,4)&amp;"/"&amp;LEFT(N$7,2),data!$A:$C,3,0)/100,"")</f>
        <v>8.9179264628737709E-2</v>
      </c>
      <c r="O11" s="5">
        <f>_xlfn.IFNA(VLOOKUP(LEFT($C11,4)&amp;"/"&amp;LEFT(O$7,2),data!$A:$C,3,0)/100,"")</f>
        <v>4.4229169403213753E-2</v>
      </c>
      <c r="Q11" s="9"/>
    </row>
    <row r="12" spans="1:17" ht="16.5" x14ac:dyDescent="0.3">
      <c r="A12" s="9"/>
      <c r="C12" s="14" t="str">
        <f t="shared" si="0"/>
        <v>2022年</v>
      </c>
      <c r="D12" s="5">
        <f>_xlfn.IFNA(VLOOKUP(LEFT($C12,4)&amp;"/"&amp;LEFT(D$7,2),data!$A:$C,3,0)/100,"")</f>
        <v>-5.2585089106999765E-2</v>
      </c>
      <c r="E12" s="5">
        <f>_xlfn.IFNA(VLOOKUP(LEFT($C12,4)&amp;"/"&amp;LEFT(E$7,2),data!$A:$C,3,0)/100,"")</f>
        <v>-3.1360520866782648E-2</v>
      </c>
      <c r="F12" s="5">
        <f>_xlfn.IFNA(VLOOKUP(LEFT($C12,4)&amp;"/"&amp;LEFT(F$7,2),data!$A:$C,3,0)/100,"")</f>
        <v>3.5773238773280092E-2</v>
      </c>
      <c r="G12" s="5">
        <f>_xlfn.IFNA(VLOOKUP(LEFT($C12,4)&amp;"/"&amp;LEFT(G$7,2),data!$A:$C,3,0)/100,"")</f>
        <v>-8.7956719149039339E-2</v>
      </c>
      <c r="H12" s="5">
        <f>_xlfn.IFNA(VLOOKUP(LEFT($C12,4)&amp;"/"&amp;LEFT(H$7,2),data!$A:$C,3,0)/100,"")</f>
        <v>5.3243883608722342E-5</v>
      </c>
      <c r="I12" s="5">
        <f>_xlfn.IFNA(VLOOKUP(LEFT($C12,4)&amp;"/"&amp;LEFT(I$7,2),data!$A:$C,3,0)/100,"")</f>
        <v>-8.3919993223866451E-2</v>
      </c>
      <c r="J12" s="5">
        <f>_xlfn.IFNA(VLOOKUP(LEFT($C12,4)&amp;"/"&amp;LEFT(J$7,2),data!$A:$C,3,0)/100,"")</f>
        <v>9.1116347632205899E-2</v>
      </c>
      <c r="K12" s="5">
        <f>_xlfn.IFNA(VLOOKUP(LEFT($C12,4)&amp;"/"&amp;LEFT(K$7,2),data!$A:$C,3,0)/100,"")</f>
        <v>-4.2440119216810457E-2</v>
      </c>
      <c r="L12" s="5">
        <f>_xlfn.IFNA(VLOOKUP(LEFT($C12,4)&amp;"/"&amp;LEFT(L$7,2),data!$A:$C,3,0)/100,"")</f>
        <v>-9.3395701643489315E-2</v>
      </c>
      <c r="M12" s="5">
        <f>_xlfn.IFNA(VLOOKUP(LEFT($C12,4)&amp;"/"&amp;LEFT(M$7,2),data!$A:$C,3,0)/100,"")</f>
        <v>7.9863454576893256E-2</v>
      </c>
      <c r="N12" s="5">
        <f>_xlfn.IFNA(VLOOKUP(LEFT($C12,4)&amp;"/"&amp;LEFT(N$7,2),data!$A:$C,3,0)/100,"")</f>
        <v>5.3752860293699856E-2</v>
      </c>
      <c r="O12" s="5">
        <f>_xlfn.IFNA(VLOOKUP(LEFT($C12,4)&amp;"/"&amp;LEFT(O$7,2),data!$A:$C,3,0)/100,"")</f>
        <v>-5.8971449299161094E-2</v>
      </c>
      <c r="Q12" s="9"/>
    </row>
    <row r="13" spans="1:17" ht="16.5" x14ac:dyDescent="0.3">
      <c r="A13" s="9"/>
      <c r="C13" s="14" t="str">
        <f t="shared" si="0"/>
        <v>2021年</v>
      </c>
      <c r="D13" s="5">
        <f>_xlfn.IFNA(VLOOKUP(LEFT($C13,4)&amp;"/"&amp;LEFT(D$7,2),data!$A:$C,3,0)/100,"")</f>
        <v>-1.1136640158463607E-2</v>
      </c>
      <c r="E13" s="5">
        <f>_xlfn.IFNA(VLOOKUP(LEFT($C13,4)&amp;"/"&amp;LEFT(E$7,2),data!$A:$C,3,0)/100,"")</f>
        <v>2.6091474971999817E-2</v>
      </c>
      <c r="F13" s="5">
        <f>_xlfn.IFNA(VLOOKUP(LEFT($C13,4)&amp;"/"&amp;LEFT(F$7,2),data!$A:$C,3,0)/100,"")</f>
        <v>4.2438634008107767E-2</v>
      </c>
      <c r="G13" s="5">
        <f>_xlfn.IFNA(VLOOKUP(LEFT($C13,4)&amp;"/"&amp;LEFT(G$7,2),data!$A:$C,3,0)/100,"")</f>
        <v>5.242531255584737E-2</v>
      </c>
      <c r="H13" s="5">
        <f>_xlfn.IFNA(VLOOKUP(LEFT($C13,4)&amp;"/"&amp;LEFT(H$7,2),data!$A:$C,3,0)/100,"")</f>
        <v>5.4865025818131574E-3</v>
      </c>
      <c r="I13" s="5">
        <f>_xlfn.IFNA(VLOOKUP(LEFT($C13,4)&amp;"/"&amp;LEFT(I$7,2),data!$A:$C,3,0)/100,"")</f>
        <v>2.221397632316946E-2</v>
      </c>
      <c r="J13" s="5">
        <f>_xlfn.IFNA(VLOOKUP(LEFT($C13,4)&amp;"/"&amp;LEFT(J$7,2),data!$A:$C,3,0)/100,"")</f>
        <v>2.274810936591054E-2</v>
      </c>
      <c r="K13" s="5">
        <f>_xlfn.IFNA(VLOOKUP(LEFT($C13,4)&amp;"/"&amp;LEFT(K$7,2),data!$A:$C,3,0)/100,"")</f>
        <v>2.8990321391681118E-2</v>
      </c>
      <c r="L13" s="5">
        <f>_xlfn.IFNA(VLOOKUP(LEFT($C13,4)&amp;"/"&amp;LEFT(L$7,2),data!$A:$C,3,0)/100,"")</f>
        <v>-4.7569140421166341E-2</v>
      </c>
      <c r="M13" s="5">
        <f>_xlfn.IFNA(VLOOKUP(LEFT($C13,4)&amp;"/"&amp;LEFT(M$7,2),data!$A:$C,3,0)/100,"")</f>
        <v>6.9143873301234615E-2</v>
      </c>
      <c r="N13" s="5">
        <f>_xlfn.IFNA(VLOOKUP(LEFT($C13,4)&amp;"/"&amp;LEFT(N$7,2),data!$A:$C,3,0)/100,"")</f>
        <v>-8.3337314184714906E-3</v>
      </c>
      <c r="O13" s="5">
        <f>_xlfn.IFNA(VLOOKUP(LEFT($C13,4)&amp;"/"&amp;LEFT(O$7,2),data!$A:$C,3,0)/100,"")</f>
        <v>4.3612874972629889E-2</v>
      </c>
      <c r="Q13" s="9"/>
    </row>
    <row r="14" spans="1:17" ht="16.5" x14ac:dyDescent="0.3">
      <c r="A14" s="9"/>
      <c r="C14" s="14" t="str">
        <f t="shared" si="0"/>
        <v>2020年</v>
      </c>
      <c r="D14" s="5">
        <f>_xlfn.IFNA(VLOOKUP(LEFT($C14,4)&amp;"/"&amp;LEFT(D$7,2),data!$A:$C,3,0)/100,"")</f>
        <v>-1.6280898111292741E-3</v>
      </c>
      <c r="E14" s="5">
        <f>_xlfn.IFNA(VLOOKUP(LEFT($C14,4)&amp;"/"&amp;LEFT(E$7,2),data!$A:$C,3,0)/100,"")</f>
        <v>-8.4110469009648123E-2</v>
      </c>
      <c r="F14" s="5">
        <f>_xlfn.IFNA(VLOOKUP(LEFT($C14,4)&amp;"/"&amp;LEFT(F$7,2),data!$A:$C,3,0)/100,"")</f>
        <v>-0.12511932083595656</v>
      </c>
      <c r="G14" s="5">
        <f>_xlfn.IFNA(VLOOKUP(LEFT($C14,4)&amp;"/"&amp;LEFT(G$7,2),data!$A:$C,3,0)/100,"")</f>
        <v>0.12684410293315374</v>
      </c>
      <c r="H14" s="5">
        <f>_xlfn.IFNA(VLOOKUP(LEFT($C14,4)&amp;"/"&amp;LEFT(H$7,2),data!$A:$C,3,0)/100,"")</f>
        <v>4.528177501261843E-2</v>
      </c>
      <c r="I14" s="5">
        <f>_xlfn.IFNA(VLOOKUP(LEFT($C14,4)&amp;"/"&amp;LEFT(I$7,2),data!$A:$C,3,0)/100,"")</f>
        <v>1.8388403283502663E-2</v>
      </c>
      <c r="J14" s="5">
        <f>_xlfn.IFNA(VLOOKUP(LEFT($C14,4)&amp;"/"&amp;LEFT(J$7,2),data!$A:$C,3,0)/100,"")</f>
        <v>5.5101296975444303E-2</v>
      </c>
      <c r="K14" s="5">
        <f>_xlfn.IFNA(VLOOKUP(LEFT($C14,4)&amp;"/"&amp;LEFT(K$7,2),data!$A:$C,3,0)/100,"")</f>
        <v>7.0064687324219221E-2</v>
      </c>
      <c r="L14" s="5">
        <f>_xlfn.IFNA(VLOOKUP(LEFT($C14,4)&amp;"/"&amp;LEFT(L$7,2),data!$A:$C,3,0)/100,"")</f>
        <v>-3.9227954095494399E-2</v>
      </c>
      <c r="M14" s="5">
        <f>_xlfn.IFNA(VLOOKUP(LEFT($C14,4)&amp;"/"&amp;LEFT(M$7,2),data!$A:$C,3,0)/100,"")</f>
        <v>-2.7665774606006499E-2</v>
      </c>
      <c r="N14" s="5">
        <f>_xlfn.IFNA(VLOOKUP(LEFT($C14,4)&amp;"/"&amp;LEFT(N$7,2),data!$A:$C,3,0)/100,"")</f>
        <v>0.10754565805086314</v>
      </c>
      <c r="O14" s="5">
        <f>_xlfn.IFNA(VLOOKUP(LEFT($C14,4)&amp;"/"&amp;LEFT(O$7,2),data!$A:$C,3,0)/100,"")</f>
        <v>3.712140665943231E-2</v>
      </c>
      <c r="Q14" s="9"/>
    </row>
    <row r="15" spans="1:17" ht="16.5" x14ac:dyDescent="0.3">
      <c r="A15" s="9"/>
      <c r="C15" s="14" t="str">
        <f t="shared" si="0"/>
        <v>2019年</v>
      </c>
      <c r="D15" s="5">
        <f>_xlfn.IFNA(VLOOKUP(LEFT($C15,4)&amp;"/"&amp;LEFT(D$7,2),data!$A:$C,3,0)/100,"")</f>
        <v>7.8684404731036883E-2</v>
      </c>
      <c r="E15" s="5">
        <f>_xlfn.IFNA(VLOOKUP(LEFT($C15,4)&amp;"/"&amp;LEFT(E$7,2),data!$A:$C,3,0)/100,"")</f>
        <v>2.9728930143116061E-2</v>
      </c>
      <c r="F15" s="5">
        <f>_xlfn.IFNA(VLOOKUP(LEFT($C15,4)&amp;"/"&amp;LEFT(F$7,2),data!$A:$C,3,0)/100,"")</f>
        <v>1.7924287751078349E-2</v>
      </c>
      <c r="G15" s="5">
        <f>_xlfn.IFNA(VLOOKUP(LEFT($C15,4)&amp;"/"&amp;LEFT(G$7,2),data!$A:$C,3,0)/100,"")</f>
        <v>3.9313434942139347E-2</v>
      </c>
      <c r="H15" s="5">
        <f>_xlfn.IFNA(VLOOKUP(LEFT($C15,4)&amp;"/"&amp;LEFT(H$7,2),data!$A:$C,3,0)/100,"")</f>
        <v>-6.5777726481161536E-2</v>
      </c>
      <c r="I15" s="5">
        <f>_xlfn.IFNA(VLOOKUP(LEFT($C15,4)&amp;"/"&amp;LEFT(I$7,2),data!$A:$C,3,0)/100,"")</f>
        <v>6.8930183208214979E-2</v>
      </c>
      <c r="J15" s="5">
        <f>_xlfn.IFNA(VLOOKUP(LEFT($C15,4)&amp;"/"&amp;LEFT(J$7,2),data!$A:$C,3,0)/100,"")</f>
        <v>1.3128195366039375E-2</v>
      </c>
      <c r="K15" s="5">
        <f>_xlfn.IFNA(VLOOKUP(LEFT($C15,4)&amp;"/"&amp;LEFT(K$7,2),data!$A:$C,3,0)/100,"")</f>
        <v>-1.8091652742267761E-2</v>
      </c>
      <c r="L15" s="5">
        <f>_xlfn.IFNA(VLOOKUP(LEFT($C15,4)&amp;"/"&amp;LEFT(L$7,2),data!$A:$C,3,0)/100,"")</f>
        <v>1.7181167690656807E-2</v>
      </c>
      <c r="M15" s="5">
        <f>_xlfn.IFNA(VLOOKUP(LEFT($C15,4)&amp;"/"&amp;LEFT(M$7,2),data!$A:$C,3,0)/100,"")</f>
        <v>2.0431747482144935E-2</v>
      </c>
      <c r="N15" s="5">
        <f>_xlfn.IFNA(VLOOKUP(LEFT($C15,4)&amp;"/"&amp;LEFT(N$7,2),data!$A:$C,3,0)/100,"")</f>
        <v>3.404706409091518E-2</v>
      </c>
      <c r="O15" s="5">
        <f>_xlfn.IFNA(VLOOKUP(LEFT($C15,4)&amp;"/"&amp;LEFT(O$7,2),data!$A:$C,3,0)/100,"")</f>
        <v>2.8589803182446305E-2</v>
      </c>
      <c r="Q15" s="9"/>
    </row>
    <row r="16" spans="1:17" ht="16.5" x14ac:dyDescent="0.3">
      <c r="A16" s="9"/>
      <c r="C16" s="14" t="str">
        <f t="shared" si="0"/>
        <v>2018年</v>
      </c>
      <c r="D16" s="5">
        <f>_xlfn.IFNA(VLOOKUP(LEFT($C16,4)&amp;"/"&amp;LEFT(D$7,2),data!$A:$C,3,0)/100,"")</f>
        <v>5.6178724645703726E-2</v>
      </c>
      <c r="E16" s="5">
        <f>_xlfn.IFNA(VLOOKUP(LEFT($C16,4)&amp;"/"&amp;LEFT(E$7,2),data!$A:$C,3,0)/100,"")</f>
        <v>-3.8947379604151844E-2</v>
      </c>
      <c r="F16" s="5">
        <f>_xlfn.IFNA(VLOOKUP(LEFT($C16,4)&amp;"/"&amp;LEFT(F$7,2),data!$A:$C,3,0)/100,"")</f>
        <v>-2.6884513768364315E-2</v>
      </c>
      <c r="G16" s="5">
        <f>_xlfn.IFNA(VLOOKUP(LEFT($C16,4)&amp;"/"&amp;LEFT(G$7,2),data!$A:$C,3,0)/100,"")</f>
        <v>2.718801001185378E-3</v>
      </c>
      <c r="H16" s="5">
        <f>_xlfn.IFNA(VLOOKUP(LEFT($C16,4)&amp;"/"&amp;LEFT(H$7,2),data!$A:$C,3,0)/100,"")</f>
        <v>2.1608353316591389E-2</v>
      </c>
      <c r="I16" s="5">
        <f>_xlfn.IFNA(VLOOKUP(LEFT($C16,4)&amp;"/"&amp;LEFT(I$7,2),data!$A:$C,3,0)/100,"")</f>
        <v>4.8424002040461378E-3</v>
      </c>
      <c r="J16" s="5">
        <f>_xlfn.IFNA(VLOOKUP(LEFT($C16,4)&amp;"/"&amp;LEFT(J$7,2),data!$A:$C,3,0)/100,"")</f>
        <v>3.6021586465418753E-2</v>
      </c>
      <c r="K16" s="5">
        <f>_xlfn.IFNA(VLOOKUP(LEFT($C16,4)&amp;"/"&amp;LEFT(K$7,2),data!$A:$C,3,0)/100,"")</f>
        <v>3.0263218631604083E-2</v>
      </c>
      <c r="L16" s="5">
        <f>_xlfn.IFNA(VLOOKUP(LEFT($C16,4)&amp;"/"&amp;LEFT(L$7,2),data!$A:$C,3,0)/100,"")</f>
        <v>4.2943009181395375E-3</v>
      </c>
      <c r="M16" s="5">
        <f>_xlfn.IFNA(VLOOKUP(LEFT($C16,4)&amp;"/"&amp;LEFT(M$7,2),data!$A:$C,3,0)/100,"")</f>
        <v>-6.9403358979814644E-2</v>
      </c>
      <c r="N16" s="5">
        <f>_xlfn.IFNA(VLOOKUP(LEFT($C16,4)&amp;"/"&amp;LEFT(N$7,2),data!$A:$C,3,0)/100,"")</f>
        <v>1.785938179914015E-2</v>
      </c>
      <c r="O16" s="5">
        <f>_xlfn.IFNA(VLOOKUP(LEFT($C16,4)&amp;"/"&amp;LEFT(O$7,2),data!$A:$C,3,0)/100,"")</f>
        <v>-9.1776955767217339E-2</v>
      </c>
      <c r="Q16" s="9"/>
    </row>
    <row r="17" spans="1:17" ht="16.5" x14ac:dyDescent="0.3">
      <c r="A17" s="9"/>
      <c r="C17" s="14" t="str">
        <f t="shared" si="0"/>
        <v>2017年</v>
      </c>
      <c r="D17" s="5">
        <f>_xlfn.IFNA(VLOOKUP(LEFT($C17,4)&amp;"/"&amp;LEFT(D$7,2),data!$A:$C,3,0)/100,"")</f>
        <v>1.7884341374735824E-2</v>
      </c>
      <c r="E17" s="5">
        <f>_xlfn.IFNA(VLOOKUP(LEFT($C17,4)&amp;"/"&amp;LEFT(E$7,2),data!$A:$C,3,0)/100,"")</f>
        <v>3.7198260541408734E-2</v>
      </c>
      <c r="F17" s="5">
        <f>_xlfn.IFNA(VLOOKUP(LEFT($C17,4)&amp;"/"&amp;LEFT(F$7,2),data!$A:$C,3,0)/100,"")</f>
        <v>-3.8923017041514463E-4</v>
      </c>
      <c r="G17" s="5">
        <f>_xlfn.IFNA(VLOOKUP(LEFT($C17,4)&amp;"/"&amp;LEFT(G$7,2),data!$A:$C,3,0)/100,"")</f>
        <v>9.0912169025529899E-3</v>
      </c>
      <c r="H17" s="5">
        <f>_xlfn.IFNA(VLOOKUP(LEFT($C17,4)&amp;"/"&amp;LEFT(H$7,2),data!$A:$C,3,0)/100,"")</f>
        <v>1.1576210049492719E-2</v>
      </c>
      <c r="I17" s="5">
        <f>_xlfn.IFNA(VLOOKUP(LEFT($C17,4)&amp;"/"&amp;LEFT(I$7,2),data!$A:$C,3,0)/100,"")</f>
        <v>4.8138319927024664E-3</v>
      </c>
      <c r="J17" s="5">
        <f>_xlfn.IFNA(VLOOKUP(LEFT($C17,4)&amp;"/"&amp;LEFT(J$7,2),data!$A:$C,3,0)/100,"")</f>
        <v>1.9348768883515444E-2</v>
      </c>
      <c r="K17" s="5">
        <f>_xlfn.IFNA(VLOOKUP(LEFT($C17,4)&amp;"/"&amp;LEFT(K$7,2),data!$A:$C,3,0)/100,"")</f>
        <v>5.4649232886694321E-4</v>
      </c>
      <c r="L17" s="5">
        <f>_xlfn.IFNA(VLOOKUP(LEFT($C17,4)&amp;"/"&amp;LEFT(L$7,2),data!$A:$C,3,0)/100,"")</f>
        <v>1.9302894827342154E-2</v>
      </c>
      <c r="M17" s="5">
        <f>_xlfn.IFNA(VLOOKUP(LEFT($C17,4)&amp;"/"&amp;LEFT(M$7,2),data!$A:$C,3,0)/100,"")</f>
        <v>2.2188174774546043E-2</v>
      </c>
      <c r="N17" s="5">
        <f>_xlfn.IFNA(VLOOKUP(LEFT($C17,4)&amp;"/"&amp;LEFT(N$7,2),data!$A:$C,3,0)/100,"")</f>
        <v>2.8082601368405458E-2</v>
      </c>
      <c r="O17" s="5">
        <f>_xlfn.IFNA(VLOOKUP(LEFT($C17,4)&amp;"/"&amp;LEFT(O$7,2),data!$A:$C,3,0)/100,"")</f>
        <v>9.8316198188534987E-3</v>
      </c>
      <c r="Q17" s="9"/>
    </row>
    <row r="18" spans="1:17" ht="16.5" x14ac:dyDescent="0.3">
      <c r="A18" s="9"/>
      <c r="C18" s="14" t="str">
        <f t="shared" si="0"/>
        <v>2016年</v>
      </c>
      <c r="D18" s="5">
        <f>_xlfn.IFNA(VLOOKUP(LEFT($C18,4)&amp;"/"&amp;LEFT(D$7,2),data!$A:$C,3,0)/100,"")</f>
        <v>-5.0735344481736222E-2</v>
      </c>
      <c r="E18" s="5">
        <f>_xlfn.IFNA(VLOOKUP(LEFT($C18,4)&amp;"/"&amp;LEFT(E$7,2),data!$A:$C,3,0)/100,"")</f>
        <v>-4.1283552550199776E-3</v>
      </c>
      <c r="F18" s="5">
        <f>_xlfn.IFNA(VLOOKUP(LEFT($C18,4)&amp;"/"&amp;LEFT(F$7,2),data!$A:$C,3,0)/100,"")</f>
        <v>6.5991108718941094E-2</v>
      </c>
      <c r="G18" s="5">
        <f>_xlfn.IFNA(VLOOKUP(LEFT($C18,4)&amp;"/"&amp;LEFT(G$7,2),data!$A:$C,3,0)/100,"")</f>
        <v>2.69936982337593E-3</v>
      </c>
      <c r="H18" s="5">
        <f>_xlfn.IFNA(VLOOKUP(LEFT($C18,4)&amp;"/"&amp;LEFT(H$7,2),data!$A:$C,3,0)/100,"")</f>
        <v>1.5329492083474561E-2</v>
      </c>
      <c r="I18" s="5">
        <f>_xlfn.IFNA(VLOOKUP(LEFT($C18,4)&amp;"/"&amp;LEFT(I$7,2),data!$A:$C,3,0)/100,"")</f>
        <v>9.0607355409733081E-4</v>
      </c>
      <c r="J18" s="5">
        <f>_xlfn.IFNA(VLOOKUP(LEFT($C18,4)&amp;"/"&amp;LEFT(J$7,2),data!$A:$C,3,0)/100,"")</f>
        <v>3.5609807228685897E-2</v>
      </c>
      <c r="K18" s="5">
        <f>_xlfn.IFNA(VLOOKUP(LEFT($C18,4)&amp;"/"&amp;LEFT(K$7,2),data!$A:$C,3,0)/100,"")</f>
        <v>-1.2191755612808164E-3</v>
      </c>
      <c r="L18" s="5">
        <f>_xlfn.IFNA(VLOOKUP(LEFT($C18,4)&amp;"/"&amp;LEFT(L$7,2),data!$A:$C,3,0)/100,"")</f>
        <v>-1.2344825997834263E-3</v>
      </c>
      <c r="M18" s="5">
        <f>_xlfn.IFNA(VLOOKUP(LEFT($C18,4)&amp;"/"&amp;LEFT(M$7,2),data!$A:$C,3,0)/100,"")</f>
        <v>-1.9425625037472249E-2</v>
      </c>
      <c r="N18" s="5">
        <f>_xlfn.IFNA(VLOOKUP(LEFT($C18,4)&amp;"/"&amp;LEFT(N$7,2),data!$A:$C,3,0)/100,"")</f>
        <v>3.4174446769983158E-2</v>
      </c>
      <c r="O18" s="5">
        <f>_xlfn.IFNA(VLOOKUP(LEFT($C18,4)&amp;"/"&amp;LEFT(O$7,2),data!$A:$C,3,0)/100,"")</f>
        <v>1.8200754044233047E-2</v>
      </c>
      <c r="Q18" s="9"/>
    </row>
    <row r="19" spans="1:17" ht="16.5" x14ac:dyDescent="0.3">
      <c r="A19" s="9"/>
      <c r="C19" s="14" t="str">
        <f t="shared" si="0"/>
        <v>2015年</v>
      </c>
      <c r="D19" s="5">
        <f>_xlfn.IFNA(VLOOKUP(LEFT($C19,4)&amp;"/"&amp;LEFT(D$7,2),data!$A:$C,3,0)/100,"")</f>
        <v>-3.1040847054252363E-2</v>
      </c>
      <c r="E19" s="5">
        <f>_xlfn.IFNA(VLOOKUP(LEFT($C19,4)&amp;"/"&amp;LEFT(E$7,2),data!$A:$C,3,0)/100,"")</f>
        <v>5.4892505726845675E-2</v>
      </c>
      <c r="F19" s="5">
        <f>_xlfn.IFNA(VLOOKUP(LEFT($C19,4)&amp;"/"&amp;LEFT(F$7,2),data!$A:$C,3,0)/100,"")</f>
        <v>-1.7396056070325572E-2</v>
      </c>
      <c r="G19" s="5">
        <f>_xlfn.IFNA(VLOOKUP(LEFT($C19,4)&amp;"/"&amp;LEFT(G$7,2),data!$A:$C,3,0)/100,"")</f>
        <v>8.5207627098153882E-3</v>
      </c>
      <c r="H19" s="5">
        <f>_xlfn.IFNA(VLOOKUP(LEFT($C19,4)&amp;"/"&amp;LEFT(H$7,2),data!$A:$C,3,0)/100,"")</f>
        <v>1.0491438545008114E-2</v>
      </c>
      <c r="I19" s="5">
        <f>_xlfn.IFNA(VLOOKUP(LEFT($C19,4)&amp;"/"&amp;LEFT(I$7,2),data!$A:$C,3,0)/100,"")</f>
        <v>-2.10117728564716E-2</v>
      </c>
      <c r="J19" s="5">
        <f>_xlfn.IFNA(VLOOKUP(LEFT($C19,4)&amp;"/"&amp;LEFT(J$7,2),data!$A:$C,3,0)/100,"")</f>
        <v>1.9742039930008559E-2</v>
      </c>
      <c r="K19" s="5">
        <f>_xlfn.IFNA(VLOOKUP(LEFT($C19,4)&amp;"/"&amp;LEFT(K$7,2),data!$A:$C,3,0)/100,"")</f>
        <v>-6.258080462392579E-2</v>
      </c>
      <c r="L19" s="5">
        <f>_xlfn.IFNA(VLOOKUP(LEFT($C19,4)&amp;"/"&amp;LEFT(L$7,2),data!$A:$C,3,0)/100,"")</f>
        <v>-2.6442819620927094E-2</v>
      </c>
      <c r="M19" s="5">
        <f>_xlfn.IFNA(VLOOKUP(LEFT($C19,4)&amp;"/"&amp;LEFT(M$7,2),data!$A:$C,3,0)/100,"")</f>
        <v>8.2983078389400333E-2</v>
      </c>
      <c r="N19" s="5">
        <f>_xlfn.IFNA(VLOOKUP(LEFT($C19,4)&amp;"/"&amp;LEFT(N$7,2),data!$A:$C,3,0)/100,"")</f>
        <v>5.0496306555847248E-4</v>
      </c>
      <c r="O19" s="5">
        <f>_xlfn.IFNA(VLOOKUP(LEFT($C19,4)&amp;"/"&amp;LEFT(O$7,2),data!$A:$C,3,0)/100,"")</f>
        <v>-1.7530198374358763E-2</v>
      </c>
      <c r="Q19" s="9"/>
    </row>
    <row r="20" spans="1:17" ht="16.5" x14ac:dyDescent="0.3">
      <c r="A20" s="9"/>
      <c r="C20" s="14" t="str">
        <f t="shared" si="0"/>
        <v>2014年</v>
      </c>
      <c r="D20" s="5">
        <f>_xlfn.IFNA(VLOOKUP(LEFT($C20,4)&amp;"/"&amp;LEFT(D$7,2),data!$A:$C,3,0)/100,"")</f>
        <v>-3.5582895107013734E-2</v>
      </c>
      <c r="E20" s="5">
        <f>_xlfn.IFNA(VLOOKUP(LEFT($C20,4)&amp;"/"&amp;LEFT(E$7,2),data!$A:$C,3,0)/100,"")</f>
        <v>4.3117037568930705E-2</v>
      </c>
      <c r="F20" s="5">
        <f>_xlfn.IFNA(VLOOKUP(LEFT($C20,4)&amp;"/"&amp;LEFT(F$7,2),data!$A:$C,3,0)/100,"")</f>
        <v>6.9321573583585039E-3</v>
      </c>
      <c r="G20" s="5">
        <f>_xlfn.IFNA(VLOOKUP(LEFT($C20,4)&amp;"/"&amp;LEFT(G$7,2),data!$A:$C,3,0)/100,"")</f>
        <v>6.2007968638175814E-3</v>
      </c>
      <c r="H20" s="5">
        <f>_xlfn.IFNA(VLOOKUP(LEFT($C20,4)&amp;"/"&amp;LEFT(H$7,2),data!$A:$C,3,0)/100,"")</f>
        <v>2.1030282120013677E-2</v>
      </c>
      <c r="I20" s="5">
        <f>_xlfn.IFNA(VLOOKUP(LEFT($C20,4)&amp;"/"&amp;LEFT(I$7,2),data!$A:$C,3,0)/100,"")</f>
        <v>1.9058313448431896E-2</v>
      </c>
      <c r="J20" s="5">
        <f>_xlfn.IFNA(VLOOKUP(LEFT($C20,4)&amp;"/"&amp;LEFT(J$7,2),data!$A:$C,3,0)/100,"")</f>
        <v>-1.5079863077291922E-2</v>
      </c>
      <c r="K20" s="5">
        <f>_xlfn.IFNA(VLOOKUP(LEFT($C20,4)&amp;"/"&amp;LEFT(K$7,2),data!$A:$C,3,0)/100,"")</f>
        <v>3.7655321727690261E-2</v>
      </c>
      <c r="L20" s="5">
        <f>_xlfn.IFNA(VLOOKUP(LEFT($C20,4)&amp;"/"&amp;LEFT(L$7,2),data!$A:$C,3,0)/100,"")</f>
        <v>-1.5513859147336717E-2</v>
      </c>
      <c r="M20" s="5">
        <f>_xlfn.IFNA(VLOOKUP(LEFT($C20,4)&amp;"/"&amp;LEFT(M$7,2),data!$A:$C,3,0)/100,"")</f>
        <v>2.3201456175308888E-2</v>
      </c>
      <c r="N20" s="5">
        <f>_xlfn.IFNA(VLOOKUP(LEFT($C20,4)&amp;"/"&amp;LEFT(N$7,2),data!$A:$C,3,0)/100,"")</f>
        <v>2.4533584400783015E-2</v>
      </c>
      <c r="O20" s="5">
        <f>_xlfn.IFNA(VLOOKUP(LEFT($C20,4)&amp;"/"&amp;LEFT(O$7,2),data!$A:$C,3,0)/100,"")</f>
        <v>-4.1885120625277938E-3</v>
      </c>
      <c r="Q20" s="9"/>
    </row>
    <row r="21" spans="1:17" ht="16.5" x14ac:dyDescent="0.3">
      <c r="A21" s="9"/>
      <c r="C21" s="14" t="str">
        <f t="shared" si="0"/>
        <v>2013年</v>
      </c>
      <c r="D21" s="5">
        <f>_xlfn.IFNA(VLOOKUP(LEFT($C21,4)&amp;"/"&amp;LEFT(D$7,2),data!$A:$C,3,0)/100,"")</f>
        <v>5.0428063581991145E-2</v>
      </c>
      <c r="E21" s="5">
        <f>_xlfn.IFNA(VLOOKUP(LEFT($C21,4)&amp;"/"&amp;LEFT(E$7,2),data!$A:$C,3,0)/100,"")</f>
        <v>1.1060603026480154E-2</v>
      </c>
      <c r="F21" s="5">
        <f>_xlfn.IFNA(VLOOKUP(LEFT($C21,4)&amp;"/"&amp;LEFT(F$7,2),data!$A:$C,3,0)/100,"")</f>
        <v>3.5987799403174314E-2</v>
      </c>
      <c r="G21" s="5">
        <f>_xlfn.IFNA(VLOOKUP(LEFT($C21,4)&amp;"/"&amp;LEFT(G$7,2),data!$A:$C,3,0)/100,"")</f>
        <v>1.8085763992887971E-2</v>
      </c>
      <c r="H21" s="5">
        <f>_xlfn.IFNA(VLOOKUP(LEFT($C21,4)&amp;"/"&amp;LEFT(H$7,2),data!$A:$C,3,0)/100,"")</f>
        <v>2.0762783477406455E-2</v>
      </c>
      <c r="I21" s="5">
        <f>_xlfn.IFNA(VLOOKUP(LEFT($C21,4)&amp;"/"&amp;LEFT(I$7,2),data!$A:$C,3,0)/100,"")</f>
        <v>-1.499932545960736E-2</v>
      </c>
      <c r="J21" s="5">
        <f>_xlfn.IFNA(VLOOKUP(LEFT($C21,4)&amp;"/"&amp;LEFT(J$7,2),data!$A:$C,3,0)/100,"")</f>
        <v>4.9462111213487203E-2</v>
      </c>
      <c r="K21" s="5">
        <f>_xlfn.IFNA(VLOOKUP(LEFT($C21,4)&amp;"/"&amp;LEFT(K$7,2),data!$A:$C,3,0)/100,"")</f>
        <v>-3.1298013323604601E-2</v>
      </c>
      <c r="L21" s="5">
        <f>_xlfn.IFNA(VLOOKUP(LEFT($C21,4)&amp;"/"&amp;LEFT(L$7,2),data!$A:$C,3,0)/100,"")</f>
        <v>2.9749474883188354E-2</v>
      </c>
      <c r="M21" s="5">
        <f>_xlfn.IFNA(VLOOKUP(LEFT($C21,4)&amp;"/"&amp;LEFT(M$7,2),data!$A:$C,3,0)/100,"")</f>
        <v>4.4595759864410889E-2</v>
      </c>
      <c r="N21" s="5">
        <f>_xlfn.IFNA(VLOOKUP(LEFT($C21,4)&amp;"/"&amp;LEFT(N$7,2),data!$A:$C,3,0)/100,"")</f>
        <v>2.804946087194149E-2</v>
      </c>
      <c r="O21" s="5">
        <f>_xlfn.IFNA(VLOOKUP(LEFT($C21,4)&amp;"/"&amp;LEFT(O$7,2),data!$A:$C,3,0)/100,"")</f>
        <v>2.3562833299184183E-2</v>
      </c>
      <c r="Q21" s="9"/>
    </row>
    <row r="22" spans="1:17" ht="16.5" x14ac:dyDescent="0.3">
      <c r="A22" s="9"/>
      <c r="C22" s="14" t="str">
        <f t="shared" si="0"/>
        <v>2012年</v>
      </c>
      <c r="D22" s="5">
        <f>_xlfn.IFNA(VLOOKUP(LEFT($C22,4)&amp;"/"&amp;LEFT(D$7,2),data!$A:$C,3,0)/100,"")</f>
        <v>4.3583015267175673E-2</v>
      </c>
      <c r="E22" s="5">
        <f>_xlfn.IFNA(VLOOKUP(LEFT($C22,4)&amp;"/"&amp;LEFT(E$7,2),data!$A:$C,3,0)/100,"")</f>
        <v>4.0589449943234213E-2</v>
      </c>
      <c r="F22" s="5">
        <f>_xlfn.IFNA(VLOOKUP(LEFT($C22,4)&amp;"/"&amp;LEFT(F$7,2),data!$A:$C,3,0)/100,"")</f>
        <v>3.1332376545017748E-2</v>
      </c>
      <c r="G22" s="5">
        <f>_xlfn.IFNA(VLOOKUP(LEFT($C22,4)&amp;"/"&amp;LEFT(G$7,2),data!$A:$C,3,0)/100,"")</f>
        <v>-7.497497284287169E-3</v>
      </c>
      <c r="H22" s="5">
        <f>_xlfn.IFNA(VLOOKUP(LEFT($C22,4)&amp;"/"&amp;LEFT(H$7,2),data!$A:$C,3,0)/100,"")</f>
        <v>-6.2650671359386623E-2</v>
      </c>
      <c r="I22" s="5">
        <f>_xlfn.IFNA(VLOOKUP(LEFT($C22,4)&amp;"/"&amp;LEFT(I$7,2),data!$A:$C,3,0)/100,"")</f>
        <v>3.9554921279372435E-2</v>
      </c>
      <c r="J22" s="5">
        <f>_xlfn.IFNA(VLOOKUP(LEFT($C22,4)&amp;"/"&amp;LEFT(J$7,2),data!$A:$C,3,0)/100,"")</f>
        <v>1.2597639043871345E-2</v>
      </c>
      <c r="K22" s="5">
        <f>_xlfn.IFNA(VLOOKUP(LEFT($C22,4)&amp;"/"&amp;LEFT(K$7,2),data!$A:$C,3,0)/100,"")</f>
        <v>1.9763361656468303E-2</v>
      </c>
      <c r="L22" s="5">
        <f>_xlfn.IFNA(VLOOKUP(LEFT($C22,4)&amp;"/"&amp;LEFT(L$7,2),data!$A:$C,3,0)/100,"")</f>
        <v>2.4236090375236552E-2</v>
      </c>
      <c r="M22" s="5">
        <f>_xlfn.IFNA(VLOOKUP(LEFT($C22,4)&amp;"/"&amp;LEFT(M$7,2),data!$A:$C,3,0)/100,"")</f>
        <v>-1.9789403541407791E-2</v>
      </c>
      <c r="N22" s="5">
        <f>_xlfn.IFNA(VLOOKUP(LEFT($C22,4)&amp;"/"&amp;LEFT(N$7,2),data!$A:$C,3,0)/100,"")</f>
        <v>2.8467029231815655E-3</v>
      </c>
      <c r="O22" s="5">
        <f>_xlfn.IFNA(VLOOKUP(LEFT($C22,4)&amp;"/"&amp;LEFT(O$7,2),data!$A:$C,3,0)/100,"")</f>
        <v>7.0683105254980561E-3</v>
      </c>
      <c r="Q22" s="9"/>
    </row>
    <row r="23" spans="1:17" ht="16.5" x14ac:dyDescent="0.3">
      <c r="A23" s="9"/>
      <c r="C23" s="14" t="str">
        <f t="shared" si="0"/>
        <v>2011年</v>
      </c>
      <c r="D23" s="5">
        <f>_xlfn.IFNA(VLOOKUP(LEFT($C23,4)&amp;"/"&amp;LEFT(D$7,2),data!$A:$C,3,0)/100,"")</f>
        <v>2.2645590152984729E-2</v>
      </c>
      <c r="E23" s="5">
        <f>_xlfn.IFNA(VLOOKUP(LEFT($C23,4)&amp;"/"&amp;LEFT(E$7,2),data!$A:$C,3,0)/100,"")</f>
        <v>3.1956582589494076E-2</v>
      </c>
      <c r="F23" s="5">
        <f>_xlfn.IFNA(VLOOKUP(LEFT($C23,4)&amp;"/"&amp;LEFT(F$7,2),data!$A:$C,3,0)/100,"")</f>
        <v>-1.0473018791158362E-3</v>
      </c>
      <c r="G23" s="5">
        <f>_xlfn.IFNA(VLOOKUP(LEFT($C23,4)&amp;"/"&amp;LEFT(G$7,2),data!$A:$C,3,0)/100,"")</f>
        <v>2.8495357625034856E-2</v>
      </c>
      <c r="H23" s="5">
        <f>_xlfn.IFNA(VLOOKUP(LEFT($C23,4)&amp;"/"&amp;LEFT(H$7,2),data!$A:$C,3,0)/100,"")</f>
        <v>-1.350092768460176E-2</v>
      </c>
      <c r="I23" s="5">
        <f>_xlfn.IFNA(VLOOKUP(LEFT($C23,4)&amp;"/"&amp;LEFT(I$7,2),data!$A:$C,3,0)/100,"")</f>
        <v>-1.8257508177222714E-2</v>
      </c>
      <c r="J23" s="5">
        <f>_xlfn.IFNA(VLOOKUP(LEFT($C23,4)&amp;"/"&amp;LEFT(J$7,2),data!$A:$C,3,0)/100,"")</f>
        <v>-2.1474436636782279E-2</v>
      </c>
      <c r="K23" s="5">
        <f>_xlfn.IFNA(VLOOKUP(LEFT($C23,4)&amp;"/"&amp;LEFT(K$7,2),data!$A:$C,3,0)/100,"")</f>
        <v>-5.6791097904478782E-2</v>
      </c>
      <c r="L23" s="5">
        <f>_xlfn.IFNA(VLOOKUP(LEFT($C23,4)&amp;"/"&amp;LEFT(L$7,2),data!$A:$C,3,0)/100,"")</f>
        <v>-7.1762012979021961E-2</v>
      </c>
      <c r="M23" s="5">
        <f>_xlfn.IFNA(VLOOKUP(LEFT($C23,4)&amp;"/"&amp;LEFT(M$7,2),data!$A:$C,3,0)/100,"")</f>
        <v>0.10772303830584562</v>
      </c>
      <c r="N23" s="5">
        <f>_xlfn.IFNA(VLOOKUP(LEFT($C23,4)&amp;"/"&amp;LEFT(N$7,2),data!$A:$C,3,0)/100,"")</f>
        <v>-5.0586451767333784E-3</v>
      </c>
      <c r="O23" s="5">
        <f>_xlfn.IFNA(VLOOKUP(LEFT($C23,4)&amp;"/"&amp;LEFT(O$7,2),data!$A:$C,3,0)/100,"")</f>
        <v>8.5327516520175006E-3</v>
      </c>
      <c r="Q23" s="9"/>
    </row>
    <row r="24" spans="1:17" ht="16.5" x14ac:dyDescent="0.3">
      <c r="A24" s="9"/>
      <c r="C24" s="14" t="str">
        <f t="shared" si="0"/>
        <v>2010年</v>
      </c>
      <c r="D24" s="5">
        <f>_xlfn.IFNA(VLOOKUP(LEFT($C24,4)&amp;"/"&amp;LEFT(D$7,2),data!$A:$C,3,0)/100,"")</f>
        <v>-3.6974262397991176E-2</v>
      </c>
      <c r="E24" s="5">
        <f>_xlfn.IFNA(VLOOKUP(LEFT($C24,4)&amp;"/"&amp;LEFT(E$7,2),data!$A:$C,3,0)/100,"")</f>
        <v>2.8513693463827261E-2</v>
      </c>
      <c r="F24" s="5">
        <f>_xlfn.IFNA(VLOOKUP(LEFT($C24,4)&amp;"/"&amp;LEFT(F$7,2),data!$A:$C,3,0)/100,"")</f>
        <v>5.8796367554255768E-2</v>
      </c>
      <c r="G24" s="5">
        <f>_xlfn.IFNA(VLOOKUP(LEFT($C24,4)&amp;"/"&amp;LEFT(G$7,2),data!$A:$C,3,0)/100,"")</f>
        <v>1.4759327193589966E-2</v>
      </c>
      <c r="H24" s="5">
        <f>_xlfn.IFNA(VLOOKUP(LEFT($C24,4)&amp;"/"&amp;LEFT(H$7,2),data!$A:$C,3,0)/100,"")</f>
        <v>-8.1975916203894883E-2</v>
      </c>
      <c r="I24" s="5">
        <f>_xlfn.IFNA(VLOOKUP(LEFT($C24,4)&amp;"/"&amp;LEFT(I$7,2),data!$A:$C,3,0)/100,"")</f>
        <v>-5.3882376699314394E-2</v>
      </c>
      <c r="J24" s="5">
        <f>_xlfn.IFNA(VLOOKUP(LEFT($C24,4)&amp;"/"&amp;LEFT(J$7,2),data!$A:$C,3,0)/100,"")</f>
        <v>6.8777832756061308E-2</v>
      </c>
      <c r="K24" s="5">
        <f>_xlfn.IFNA(VLOOKUP(LEFT($C24,4)&amp;"/"&amp;LEFT(K$7,2),data!$A:$C,3,0)/100,"")</f>
        <v>-4.7449164851125596E-2</v>
      </c>
      <c r="L24" s="5">
        <f>_xlfn.IFNA(VLOOKUP(LEFT($C24,4)&amp;"/"&amp;LEFT(L$7,2),data!$A:$C,3,0)/100,"")</f>
        <v>8.7551104037814742E-2</v>
      </c>
      <c r="M24" s="5">
        <f>_xlfn.IFNA(VLOOKUP(LEFT($C24,4)&amp;"/"&amp;LEFT(M$7,2),data!$A:$C,3,0)/100,"")</f>
        <v>3.6855941114616098E-2</v>
      </c>
      <c r="N24" s="5">
        <f>_xlfn.IFNA(VLOOKUP(LEFT($C24,4)&amp;"/"&amp;LEFT(N$7,2),data!$A:$C,3,0)/100,"")</f>
        <v>-2.2902827780877377E-3</v>
      </c>
      <c r="O24" s="5">
        <f>_xlfn.IFNA(VLOOKUP(LEFT($C24,4)&amp;"/"&amp;LEFT(O$7,2),data!$A:$C,3,0)/100,"")</f>
        <v>6.5300072000338938E-2</v>
      </c>
      <c r="Q24" s="9"/>
    </row>
    <row r="25" spans="1:17" ht="16.5" x14ac:dyDescent="0.3">
      <c r="A25" s="9"/>
      <c r="C25" s="14" t="str">
        <f t="shared" si="0"/>
        <v>2009年</v>
      </c>
      <c r="D25" s="5">
        <f>_xlfn.IFNA(VLOOKUP(LEFT($C25,4)&amp;"/"&amp;LEFT(D$7,2),data!$A:$C,3,0)/100,"")</f>
        <v>-8.5657348463880401E-2</v>
      </c>
      <c r="E25" s="5">
        <f>_xlfn.IFNA(VLOOKUP(LEFT($C25,4)&amp;"/"&amp;LEFT(E$7,2),data!$A:$C,3,0)/100,"")</f>
        <v>-0.10993122487528451</v>
      </c>
      <c r="F25" s="5">
        <f>_xlfn.IFNA(VLOOKUP(LEFT($C25,4)&amp;"/"&amp;LEFT(F$7,2),data!$A:$C,3,0)/100,"")</f>
        <v>8.5404508291501605E-2</v>
      </c>
      <c r="G25" s="5">
        <f>_xlfn.IFNA(VLOOKUP(LEFT($C25,4)&amp;"/"&amp;LEFT(G$7,2),data!$A:$C,3,0)/100,"")</f>
        <v>9.3925075513554793E-2</v>
      </c>
      <c r="H25" s="5">
        <f>_xlfn.IFNA(VLOOKUP(LEFT($C25,4)&amp;"/"&amp;LEFT(H$7,2),data!$A:$C,3,0)/100,"")</f>
        <v>5.3081426656431674E-2</v>
      </c>
      <c r="I25" s="5">
        <f>_xlfn.IFNA(VLOOKUP(LEFT($C25,4)&amp;"/"&amp;LEFT(I$7,2),data!$A:$C,3,0)/100,"")</f>
        <v>1.9583523728705643E-4</v>
      </c>
      <c r="J25" s="5">
        <f>_xlfn.IFNA(VLOOKUP(LEFT($C25,4)&amp;"/"&amp;LEFT(J$7,2),data!$A:$C,3,0)/100,"")</f>
        <v>7.4141756950789617E-2</v>
      </c>
      <c r="K25" s="5">
        <f>_xlfn.IFNA(VLOOKUP(LEFT($C25,4)&amp;"/"&amp;LEFT(K$7,2),data!$A:$C,3,0)/100,"")</f>
        <v>3.3560173370599911E-2</v>
      </c>
      <c r="L25" s="5">
        <f>_xlfn.IFNA(VLOOKUP(LEFT($C25,4)&amp;"/"&amp;LEFT(L$7,2),data!$A:$C,3,0)/100,"")</f>
        <v>3.5723383825517763E-2</v>
      </c>
      <c r="M25" s="5">
        <f>_xlfn.IFNA(VLOOKUP(LEFT($C25,4)&amp;"/"&amp;LEFT(M$7,2),data!$A:$C,3,0)/100,"")</f>
        <v>-1.9761985847807084E-2</v>
      </c>
      <c r="N25" s="5">
        <f>_xlfn.IFNA(VLOOKUP(LEFT($C25,4)&amp;"/"&amp;LEFT(N$7,2),data!$A:$C,3,0)/100,"")</f>
        <v>5.7363996950366314E-2</v>
      </c>
      <c r="O25" s="5">
        <f>_xlfn.IFNA(VLOOKUP(LEFT($C25,4)&amp;"/"&amp;LEFT(O$7,2),data!$A:$C,3,0)/100,"")</f>
        <v>1.7770597738287375E-2</v>
      </c>
      <c r="Q25" s="9"/>
    </row>
    <row r="26" spans="1:17" ht="16.5" x14ac:dyDescent="0.3">
      <c r="A26" s="9"/>
      <c r="C26" s="14" t="str">
        <f t="shared" si="0"/>
        <v>2008年</v>
      </c>
      <c r="D26" s="5">
        <f>_xlfn.IFNA(VLOOKUP(LEFT($C26,4)&amp;"/"&amp;LEFT(D$7,2),data!$A:$C,3,0)/100,"")</f>
        <v>-6.1163474897164116E-2</v>
      </c>
      <c r="E26" s="5">
        <f>_xlfn.IFNA(VLOOKUP(LEFT($C26,4)&amp;"/"&amp;LEFT(E$7,2),data!$A:$C,3,0)/100,"")</f>
        <v>-3.4761162090602316E-2</v>
      </c>
      <c r="F26" s="5">
        <f>_xlfn.IFNA(VLOOKUP(LEFT($C26,4)&amp;"/"&amp;LEFT(F$7,2),data!$A:$C,3,0)/100,"")</f>
        <v>-5.9595830546433914E-3</v>
      </c>
      <c r="G26" s="5">
        <f>_xlfn.IFNA(VLOOKUP(LEFT($C26,4)&amp;"/"&amp;LEFT(G$7,2),data!$A:$C,3,0)/100,"")</f>
        <v>4.7546684811370588E-2</v>
      </c>
      <c r="H26" s="5">
        <f>_xlfn.IFNA(VLOOKUP(LEFT($C26,4)&amp;"/"&amp;LEFT(H$7,2),data!$A:$C,3,0)/100,"")</f>
        <v>1.0674153248796614E-2</v>
      </c>
      <c r="I26" s="5">
        <f>_xlfn.IFNA(VLOOKUP(LEFT($C26,4)&amp;"/"&amp;LEFT(I$7,2),data!$A:$C,3,0)/100,"")</f>
        <v>-8.5962381639269392E-2</v>
      </c>
      <c r="J26" s="5">
        <f>_xlfn.IFNA(VLOOKUP(LEFT($C26,4)&amp;"/"&amp;LEFT(J$7,2),data!$A:$C,3,0)/100,"")</f>
        <v>-9.8593749999998925E-3</v>
      </c>
      <c r="K26" s="5">
        <f>_xlfn.IFNA(VLOOKUP(LEFT($C26,4)&amp;"/"&amp;LEFT(K$7,2),data!$A:$C,3,0)/100,"")</f>
        <v>1.2190503242910378E-2</v>
      </c>
      <c r="L26" s="5">
        <f>_xlfn.IFNA(VLOOKUP(LEFT($C26,4)&amp;"/"&amp;LEFT(L$7,2),data!$A:$C,3,0)/100,"")</f>
        <v>-9.0791453271283018E-2</v>
      </c>
      <c r="M26" s="5">
        <f>_xlfn.IFNA(VLOOKUP(LEFT($C26,4)&amp;"/"&amp;LEFT(M$7,2),data!$A:$C,3,0)/100,"")</f>
        <v>-0.16942453444905514</v>
      </c>
      <c r="N26" s="5">
        <f>_xlfn.IFNA(VLOOKUP(LEFT($C26,4)&amp;"/"&amp;LEFT(N$7,2),data!$A:$C,3,0)/100,"")</f>
        <v>-7.4849032258064496E-2</v>
      </c>
      <c r="O26" s="5">
        <f>_xlfn.IFNA(VLOOKUP(LEFT($C26,4)&amp;"/"&amp;LEFT(O$7,2),data!$A:$C,3,0)/100,"")</f>
        <v>7.8215656520574939E-3</v>
      </c>
      <c r="Q26" s="9"/>
    </row>
    <row r="27" spans="1:17" ht="16.5" x14ac:dyDescent="0.3">
      <c r="A27" s="9"/>
      <c r="C27" s="14" t="str">
        <f t="shared" si="0"/>
        <v>2007年</v>
      </c>
      <c r="D27" s="5">
        <f>_xlfn.IFNA(VLOOKUP(LEFT($C27,4)&amp;"/"&amp;LEFT(D$7,2),data!$A:$C,3,0)/100,"")</f>
        <v>1.4059084819854739E-2</v>
      </c>
      <c r="E27" s="5">
        <f>_xlfn.IFNA(VLOOKUP(LEFT($C27,4)&amp;"/"&amp;LEFT(E$7,2),data!$A:$C,3,0)/100,"")</f>
        <v>-2.1846145288686225E-2</v>
      </c>
      <c r="F27" s="5">
        <f>_xlfn.IFNA(VLOOKUP(LEFT($C27,4)&amp;"/"&amp;LEFT(F$7,2),data!$A:$C,3,0)/100,"")</f>
        <v>9.9799547916576969E-3</v>
      </c>
      <c r="G27" s="5">
        <f>_xlfn.IFNA(VLOOKUP(LEFT($C27,4)&amp;"/"&amp;LEFT(G$7,2),data!$A:$C,3,0)/100,"")</f>
        <v>4.3290683107413797E-2</v>
      </c>
      <c r="H27" s="5">
        <f>_xlfn.IFNA(VLOOKUP(LEFT($C27,4)&amp;"/"&amp;LEFT(H$7,2),data!$A:$C,3,0)/100,"")</f>
        <v>3.2549228600146973E-2</v>
      </c>
      <c r="I27" s="5">
        <f>_xlfn.IFNA(VLOOKUP(LEFT($C27,4)&amp;"/"&amp;LEFT(I$7,2),data!$A:$C,3,0)/100,"")</f>
        <v>-1.7816309730697366E-2</v>
      </c>
      <c r="J27" s="5">
        <f>_xlfn.IFNA(VLOOKUP(LEFT($C27,4)&amp;"/"&amp;LEFT(J$7,2),data!$A:$C,3,0)/100,"")</f>
        <v>-3.1981907074200899E-2</v>
      </c>
      <c r="K27" s="5">
        <f>_xlfn.IFNA(VLOOKUP(LEFT($C27,4)&amp;"/"&amp;LEFT(K$7,2),data!$A:$C,3,0)/100,"")</f>
        <v>1.2863592323073991E-2</v>
      </c>
      <c r="L27" s="5">
        <f>_xlfn.IFNA(VLOOKUP(LEFT($C27,4)&amp;"/"&amp;LEFT(L$7,2),data!$A:$C,3,0)/100,"")</f>
        <v>3.579400131615551E-2</v>
      </c>
      <c r="M27" s="5">
        <f>_xlfn.IFNA(VLOOKUP(LEFT($C27,4)&amp;"/"&amp;LEFT(M$7,2),data!$A:$C,3,0)/100,"")</f>
        <v>1.4822335025380884E-2</v>
      </c>
      <c r="N27" s="5">
        <f>_xlfn.IFNA(VLOOKUP(LEFT($C27,4)&amp;"/"&amp;LEFT(N$7,2),data!$A:$C,3,0)/100,"")</f>
        <v>-4.4043423821141348E-2</v>
      </c>
      <c r="O27" s="5">
        <f>_xlfn.IFNA(VLOOKUP(LEFT($C27,4)&amp;"/"&amp;LEFT(O$7,2),data!$A:$C,3,0)/100,"")</f>
        <v>-8.628488866683881E-3</v>
      </c>
      <c r="Q27" s="9"/>
    </row>
    <row r="28" spans="1:17" ht="16.5" x14ac:dyDescent="0.3">
      <c r="A28" s="9"/>
      <c r="C28" s="14" t="str">
        <f t="shared" si="0"/>
        <v>2006年</v>
      </c>
      <c r="D28" s="5">
        <f>_xlfn.IFNA(VLOOKUP(LEFT($C28,4)&amp;"/"&amp;LEFT(D$7,2),data!$A:$C,3,0)/100,"")</f>
        <v>2.5466838635253009E-2</v>
      </c>
      <c r="E28" s="5">
        <f>_xlfn.IFNA(VLOOKUP(LEFT($C28,4)&amp;"/"&amp;LEFT(E$7,2),data!$A:$C,3,0)/100,"")</f>
        <v>4.5309668145754323E-4</v>
      </c>
      <c r="F28" s="5">
        <f>_xlfn.IFNA(VLOOKUP(LEFT($C28,4)&amp;"/"&amp;LEFT(F$7,2),data!$A:$C,3,0)/100,"")</f>
        <v>1.1064607311854768E-2</v>
      </c>
      <c r="G28" s="5">
        <f>_xlfn.IFNA(VLOOKUP(LEFT($C28,4)&amp;"/"&amp;LEFT(G$7,2),data!$A:$C,3,0)/100,"")</f>
        <v>1.2186928013716125E-2</v>
      </c>
      <c r="H28" s="5">
        <f>_xlfn.IFNA(VLOOKUP(LEFT($C28,4)&amp;"/"&amp;LEFT(H$7,2),data!$A:$C,3,0)/100,"")</f>
        <v>-3.091690129023883E-2</v>
      </c>
      <c r="I28" s="5">
        <f>_xlfn.IFNA(VLOOKUP(LEFT($C28,4)&amp;"/"&amp;LEFT(I$7,2),data!$A:$C,3,0)/100,"")</f>
        <v>8.6608035651192239E-5</v>
      </c>
      <c r="J28" s="5">
        <f>_xlfn.IFNA(VLOOKUP(LEFT($C28,4)&amp;"/"&amp;LEFT(J$7,2),data!$A:$C,3,0)/100,"")</f>
        <v>5.0858132577547011E-3</v>
      </c>
      <c r="K28" s="5">
        <f>_xlfn.IFNA(VLOOKUP(LEFT($C28,4)&amp;"/"&amp;LEFT(K$7,2),data!$A:$C,3,0)/100,"")</f>
        <v>2.1274262528785837E-2</v>
      </c>
      <c r="L28" s="5">
        <f>_xlfn.IFNA(VLOOKUP(LEFT($C28,4)&amp;"/"&amp;LEFT(L$7,2),data!$A:$C,3,0)/100,"")</f>
        <v>2.4566274485741779E-2</v>
      </c>
      <c r="M28" s="5">
        <f>_xlfn.IFNA(VLOOKUP(LEFT($C28,4)&amp;"/"&amp;LEFT(M$7,2),data!$A:$C,3,0)/100,"")</f>
        <v>3.1508028596025195E-2</v>
      </c>
      <c r="N28" s="5">
        <f>_xlfn.IFNA(VLOOKUP(LEFT($C28,4)&amp;"/"&amp;LEFT(N$7,2),data!$A:$C,3,0)/100,"")</f>
        <v>1.6466609576614388E-2</v>
      </c>
      <c r="O28" s="5">
        <f>_xlfn.IFNA(VLOOKUP(LEFT($C28,4)&amp;"/"&amp;LEFT(O$7,2),data!$A:$C,3,0)/100,"")</f>
        <v>1.2615751483260995E-2</v>
      </c>
      <c r="Q28" s="9"/>
    </row>
    <row r="29" spans="1:17" ht="16.5" x14ac:dyDescent="0.3">
      <c r="A29" s="9"/>
      <c r="C29" s="14" t="str">
        <f t="shared" si="0"/>
        <v>2005年</v>
      </c>
      <c r="D29" s="5">
        <f>_xlfn.IFNA(VLOOKUP(LEFT($C29,4)&amp;"/"&amp;LEFT(D$7,2),data!$A:$C,3,0)/100,"")</f>
        <v>-2.5290448214403627E-2</v>
      </c>
      <c r="E29" s="5">
        <f>_xlfn.IFNA(VLOOKUP(LEFT($C29,4)&amp;"/"&amp;LEFT(E$7,2),data!$A:$C,3,0)/100,"")</f>
        <v>1.8903383646414307E-2</v>
      </c>
      <c r="F29" s="5">
        <f>_xlfn.IFNA(VLOOKUP(LEFT($C29,4)&amp;"/"&amp;LEFT(F$7,2),data!$A:$C,3,0)/100,"")</f>
        <v>-1.9117647058823573E-2</v>
      </c>
      <c r="G29" s="5">
        <f>_xlfn.IFNA(VLOOKUP(LEFT($C29,4)&amp;"/"&amp;LEFT(G$7,2),data!$A:$C,3,0)/100,"")</f>
        <v>-2.010858977291019E-2</v>
      </c>
      <c r="H29" s="5">
        <f>_xlfn.IFNA(VLOOKUP(LEFT($C29,4)&amp;"/"&amp;LEFT(H$7,2),data!$A:$C,3,0)/100,"")</f>
        <v>2.9952024895189666E-2</v>
      </c>
      <c r="I29" s="5">
        <f>_xlfn.IFNA(VLOOKUP(LEFT($C29,4)&amp;"/"&amp;LEFT(I$7,2),data!$A:$C,3,0)/100,"")</f>
        <v>-1.4267729752415192E-4</v>
      </c>
      <c r="J29" s="5">
        <f>_xlfn.IFNA(VLOOKUP(LEFT($C29,4)&amp;"/"&amp;LEFT(J$7,2),data!$A:$C,3,0)/100,"")</f>
        <v>3.5968203604375137E-2</v>
      </c>
      <c r="K29" s="5">
        <f>_xlfn.IFNA(VLOOKUP(LEFT($C29,4)&amp;"/"&amp;LEFT(K$7,2),data!$A:$C,3,0)/100,"")</f>
        <v>-1.1222025960556881E-2</v>
      </c>
      <c r="L29" s="5">
        <f>_xlfn.IFNA(VLOOKUP(LEFT($C29,4)&amp;"/"&amp;LEFT(L$7,2),data!$A:$C,3,0)/100,"")</f>
        <v>6.9489400408087043E-3</v>
      </c>
      <c r="M29" s="5">
        <f>_xlfn.IFNA(VLOOKUP(LEFT($C29,4)&amp;"/"&amp;LEFT(M$7,2),data!$A:$C,3,0)/100,"")</f>
        <v>-1.7740741042146402E-2</v>
      </c>
      <c r="N29" s="5">
        <f>_xlfn.IFNA(VLOOKUP(LEFT($C29,4)&amp;"/"&amp;LEFT(N$7,2),data!$A:$C,3,0)/100,"")</f>
        <v>3.518612107604735E-2</v>
      </c>
      <c r="O29" s="5">
        <f>_xlfn.IFNA(VLOOKUP(LEFT($C29,4)&amp;"/"&amp;LEFT(O$7,2),data!$A:$C,3,0)/100,"")</f>
        <v>-9.5239619681797283E-4</v>
      </c>
      <c r="Q29" s="9"/>
    </row>
    <row r="30" spans="1:17" ht="16.5" x14ac:dyDescent="0.3">
      <c r="A30" s="9"/>
      <c r="C30" s="14" t="str">
        <f t="shared" si="0"/>
        <v>2004年</v>
      </c>
      <c r="D30" s="5">
        <f>_xlfn.IFNA(VLOOKUP(LEFT($C30,4)&amp;"/"&amp;LEFT(D$7,2),data!$A:$C,3,0)/100,"")</f>
        <v>1.7276422764227695E-2</v>
      </c>
      <c r="E30" s="5">
        <f>_xlfn.IFNA(VLOOKUP(LEFT($C30,4)&amp;"/"&amp;LEFT(E$7,2),data!$A:$C,3,0)/100,"")</f>
        <v>1.2209029908144986E-2</v>
      </c>
      <c r="F30" s="5">
        <f>_xlfn.IFNA(VLOOKUP(LEFT($C30,4)&amp;"/"&amp;LEFT(F$7,2),data!$A:$C,3,0)/100,"")</f>
        <v>-1.6358935839432598E-2</v>
      </c>
      <c r="G30" s="5">
        <f>_xlfn.IFNA(VLOOKUP(LEFT($C30,4)&amp;"/"&amp;LEFT(G$7,2),data!$A:$C,3,0)/100,"")</f>
        <v>-1.6790829419024988E-2</v>
      </c>
      <c r="H30" s="5">
        <f>_xlfn.IFNA(VLOOKUP(LEFT($C30,4)&amp;"/"&amp;LEFT(H$7,2),data!$A:$C,3,0)/100,"")</f>
        <v>1.2083446220536587E-2</v>
      </c>
      <c r="I30" s="5">
        <f>_xlfn.IFNA(VLOOKUP(LEFT($C30,4)&amp;"/"&amp;LEFT(I$7,2),data!$A:$C,3,0)/100,"")</f>
        <v>1.7989078059749364E-2</v>
      </c>
      <c r="J30" s="5">
        <f>_xlfn.IFNA(VLOOKUP(LEFT($C30,4)&amp;"/"&amp;LEFT(J$7,2),data!$A:$C,3,0)/100,"")</f>
        <v>-3.4290522772693732E-2</v>
      </c>
      <c r="K30" s="5">
        <f>_xlfn.IFNA(VLOOKUP(LEFT($C30,4)&amp;"/"&amp;LEFT(K$7,2),data!$A:$C,3,0)/100,"")</f>
        <v>2.2873325345822426E-3</v>
      </c>
      <c r="L30" s="5">
        <f>_xlfn.IFNA(VLOOKUP(LEFT($C30,4)&amp;"/"&amp;LEFT(L$7,2),data!$A:$C,3,0)/100,"")</f>
        <v>9.3639063971600045E-3</v>
      </c>
      <c r="M30" s="5">
        <f>_xlfn.IFNA(VLOOKUP(LEFT($C30,4)&amp;"/"&amp;LEFT(M$7,2),data!$A:$C,3,0)/100,"")</f>
        <v>1.4014247519245071E-2</v>
      </c>
      <c r="N30" s="5">
        <f>_xlfn.IFNA(VLOOKUP(LEFT($C30,4)&amp;"/"&amp;LEFT(N$7,2),data!$A:$C,3,0)/100,"")</f>
        <v>3.8594938948858459E-2</v>
      </c>
      <c r="O30" s="5">
        <f>_xlfn.IFNA(VLOOKUP(LEFT($C30,4)&amp;"/"&amp;LEFT(O$7,2),data!$A:$C,3,0)/100,"")</f>
        <v>3.2458128162750732E-2</v>
      </c>
      <c r="Q30" s="9"/>
    </row>
    <row r="31" spans="1:17" ht="16.5" x14ac:dyDescent="0.3">
      <c r="A31" s="9"/>
      <c r="C31" s="14" t="str">
        <f t="shared" si="0"/>
        <v>2003年</v>
      </c>
      <c r="D31" s="5">
        <f>_xlfn.IFNA(VLOOKUP(LEFT($C31,4)&amp;"/"&amp;LEFT(D$7,2),data!$A:$C,3,0)/100,"")</f>
        <v>-2.7414698461048825E-2</v>
      </c>
      <c r="E31" s="5">
        <f>_xlfn.IFNA(VLOOKUP(LEFT($C31,4)&amp;"/"&amp;LEFT(E$7,2),data!$A:$C,3,0)/100,"")</f>
        <v>-1.7003622764987791E-2</v>
      </c>
      <c r="F31" s="5">
        <f>_xlfn.IFNA(VLOOKUP(LEFT($C31,4)&amp;"/"&amp;LEFT(F$7,2),data!$A:$C,3,0)/100,"")</f>
        <v>8.3576056589194092E-3</v>
      </c>
      <c r="G31" s="5">
        <f>_xlfn.IFNA(VLOOKUP(LEFT($C31,4)&amp;"/"&amp;LEFT(G$7,2),data!$A:$C,3,0)/100,"")</f>
        <v>8.1044117993822162E-2</v>
      </c>
      <c r="H31" s="5">
        <f>_xlfn.IFNA(VLOOKUP(LEFT($C31,4)&amp;"/"&amp;LEFT(H$7,2),data!$A:$C,3,0)/100,"")</f>
        <v>5.0898660733760925E-2</v>
      </c>
      <c r="I31" s="5">
        <f>_xlfn.IFNA(VLOOKUP(LEFT($C31,4)&amp;"/"&amp;LEFT(I$7,2),data!$A:$C,3,0)/100,"")</f>
        <v>1.1322242862628284E-2</v>
      </c>
      <c r="J31" s="5">
        <f>_xlfn.IFNA(VLOOKUP(LEFT($C31,4)&amp;"/"&amp;LEFT(J$7,2),data!$A:$C,3,0)/100,"")</f>
        <v>1.6223704463827593E-2</v>
      </c>
      <c r="K31" s="5">
        <f>_xlfn.IFNA(VLOOKUP(LEFT($C31,4)&amp;"/"&amp;LEFT(K$7,2),data!$A:$C,3,0)/100,"")</f>
        <v>1.7873191222950391E-2</v>
      </c>
      <c r="L31" s="5">
        <f>_xlfn.IFNA(VLOOKUP(LEFT($C31,4)&amp;"/"&amp;LEFT(L$7,2),data!$A:$C,3,0)/100,"")</f>
        <v>-1.1944325949147294E-2</v>
      </c>
      <c r="M31" s="5">
        <f>_xlfn.IFNA(VLOOKUP(LEFT($C31,4)&amp;"/"&amp;LEFT(M$7,2),data!$A:$C,3,0)/100,"")</f>
        <v>5.4961494824141255E-2</v>
      </c>
      <c r="N31" s="5">
        <f>_xlfn.IFNA(VLOOKUP(LEFT($C31,4)&amp;"/"&amp;LEFT(N$7,2),data!$A:$C,3,0)/100,"")</f>
        <v>7.1285131006653124E-3</v>
      </c>
      <c r="O31" s="5">
        <f>_xlfn.IFNA(VLOOKUP(LEFT($C31,4)&amp;"/"&amp;LEFT(O$7,2),data!$A:$C,3,0)/100,"")</f>
        <v>5.0765450765450693E-2</v>
      </c>
      <c r="Q31" s="9"/>
    </row>
    <row r="32" spans="1:17" ht="16.5" x14ac:dyDescent="0.3">
      <c r="A32" s="9"/>
      <c r="C32" s="14" t="str">
        <f t="shared" si="0"/>
        <v>2002年</v>
      </c>
      <c r="D32" s="5">
        <f>_xlfn.IFNA(VLOOKUP(LEFT($C32,4)&amp;"/"&amp;LEFT(D$7,2),data!$A:$C,3,0)/100,"")</f>
        <v>-1.5573827607832103E-2</v>
      </c>
      <c r="E32" s="5">
        <f>_xlfn.IFNA(VLOOKUP(LEFT($C32,4)&amp;"/"&amp;LEFT(E$7,2),data!$A:$C,3,0)/100,"")</f>
        <v>-2.0766236064413413E-2</v>
      </c>
      <c r="F32" s="5">
        <f>_xlfn.IFNA(VLOOKUP(LEFT($C32,4)&amp;"/"&amp;LEFT(F$7,2),data!$A:$C,3,0)/100,"")</f>
        <v>3.6738861330225081E-2</v>
      </c>
      <c r="G32" s="5">
        <f>_xlfn.IFNA(VLOOKUP(LEFT($C32,4)&amp;"/"&amp;LEFT(G$7,2),data!$A:$C,3,0)/100,"")</f>
        <v>-6.1417652236815723E-2</v>
      </c>
      <c r="H32" s="5">
        <f>_xlfn.IFNA(VLOOKUP(LEFT($C32,4)&amp;"/"&amp;LEFT(H$7,2),data!$A:$C,3,0)/100,"")</f>
        <v>-9.0814545184414452E-3</v>
      </c>
      <c r="I32" s="5">
        <f>_xlfn.IFNA(VLOOKUP(LEFT($C32,4)&amp;"/"&amp;LEFT(I$7,2),data!$A:$C,3,0)/100,"")</f>
        <v>-7.2464718781041104E-2</v>
      </c>
      <c r="J32" s="5">
        <f>_xlfn.IFNA(VLOOKUP(LEFT($C32,4)&amp;"/"&amp;LEFT(J$7,2),data!$A:$C,3,0)/100,"")</f>
        <v>-7.8994958628423539E-2</v>
      </c>
      <c r="K32" s="5">
        <f>_xlfn.IFNA(VLOOKUP(LEFT($C32,4)&amp;"/"&amp;LEFT(K$7,2),data!$A:$C,3,0)/100,"")</f>
        <v>4.8814198898663452E-3</v>
      </c>
      <c r="L32" s="5">
        <f>_xlfn.IFNA(VLOOKUP(LEFT($C32,4)&amp;"/"&amp;LEFT(L$7,2),data!$A:$C,3,0)/100,"")</f>
        <v>-0.11002434311788412</v>
      </c>
      <c r="M32" s="5">
        <f>_xlfn.IFNA(VLOOKUP(LEFT($C32,4)&amp;"/"&amp;LEFT(M$7,2),data!$A:$C,3,0)/100,"")</f>
        <v>8.644882739672255E-2</v>
      </c>
      <c r="N32" s="5">
        <f>_xlfn.IFNA(VLOOKUP(LEFT($C32,4)&amp;"/"&amp;LEFT(N$7,2),data!$A:$C,3,0)/100,"")</f>
        <v>5.7069635115606809E-2</v>
      </c>
      <c r="O32" s="5">
        <f>_xlfn.IFNA(VLOOKUP(LEFT($C32,4)&amp;"/"&amp;LEFT(O$7,2),data!$A:$C,3,0)/100,"")</f>
        <v>-6.0332582157618608E-2</v>
      </c>
      <c r="Q32" s="9"/>
    </row>
    <row r="33" spans="1:17" ht="16.5" x14ac:dyDescent="0.3">
      <c r="A33" s="9"/>
      <c r="C33" s="14" t="str">
        <f t="shared" si="0"/>
        <v>2001年</v>
      </c>
      <c r="D33" s="5">
        <f>_xlfn.IFNA(VLOOKUP(LEFT($C33,4)&amp;"/"&amp;LEFT(D$7,2),data!$A:$C,3,0)/100,"")</f>
        <v>3.4636592238010078E-2</v>
      </c>
      <c r="E33" s="5">
        <f>_xlfn.IFNA(VLOOKUP(LEFT($C33,4)&amp;"/"&amp;LEFT(E$7,2),data!$A:$C,3,0)/100,"")</f>
        <v>-9.2290686012547418E-2</v>
      </c>
      <c r="F33" s="5">
        <f>_xlfn.IFNA(VLOOKUP(LEFT($C33,4)&amp;"/"&amp;LEFT(F$7,2),data!$A:$C,3,0)/100,"")</f>
        <v>-6.4204719583205727E-2</v>
      </c>
      <c r="G33" s="5">
        <f>_xlfn.IFNA(VLOOKUP(LEFT($C33,4)&amp;"/"&amp;LEFT(G$7,2),data!$A:$C,3,0)/100,"")</f>
        <v>7.6814354537071416E-2</v>
      </c>
      <c r="H33" s="5">
        <f>_xlfn.IFNA(VLOOKUP(LEFT($C33,4)&amp;"/"&amp;LEFT(H$7,2),data!$A:$C,3,0)/100,"")</f>
        <v>5.0901989659533076E-3</v>
      </c>
      <c r="I33" s="5">
        <f>_xlfn.IFNA(VLOOKUP(LEFT($C33,4)&amp;"/"&amp;LEFT(I$7,2),data!$A:$C,3,0)/100,"")</f>
        <v>-2.5003583316080213E-2</v>
      </c>
      <c r="J33" s="5">
        <f>_xlfn.IFNA(VLOOKUP(LEFT($C33,4)&amp;"/"&amp;LEFT(J$7,2),data!$A:$C,3,0)/100,"")</f>
        <v>-1.0772447362833004E-2</v>
      </c>
      <c r="K33" s="5">
        <f>_xlfn.IFNA(VLOOKUP(LEFT($C33,4)&amp;"/"&amp;LEFT(K$7,2),data!$A:$C,3,0)/100,"")</f>
        <v>-6.4108385690579084E-2</v>
      </c>
      <c r="L33" s="5">
        <f>_xlfn.IFNA(VLOOKUP(LEFT($C33,4)&amp;"/"&amp;LEFT(L$7,2),data!$A:$C,3,0)/100,"")</f>
        <v>-8.1723389615201314E-2</v>
      </c>
      <c r="M33" s="5">
        <f>_xlfn.IFNA(VLOOKUP(LEFT($C33,4)&amp;"/"&amp;LEFT(M$7,2),data!$A:$C,3,0)/100,"")</f>
        <v>1.8099025880454089E-2</v>
      </c>
      <c r="N33" s="5">
        <f>_xlfn.IFNA(VLOOKUP(LEFT($C33,4)&amp;"/"&amp;LEFT(N$7,2),data!$A:$C,3,0)/100,"")</f>
        <v>7.5175979920360847E-2</v>
      </c>
      <c r="O33" s="5">
        <f>_xlfn.IFNA(VLOOKUP(LEFT($C33,4)&amp;"/"&amp;LEFT(O$7,2),data!$A:$C,3,0)/100,"")</f>
        <v>7.5738294791345417E-3</v>
      </c>
      <c r="Q33" s="9"/>
    </row>
    <row r="34" spans="1:17" ht="16.5" x14ac:dyDescent="0.3">
      <c r="A34" s="9"/>
      <c r="C34" s="14" t="str">
        <f t="shared" si="0"/>
        <v>2000年</v>
      </c>
      <c r="D34" s="5">
        <f>_xlfn.IFNA(VLOOKUP(LEFT($C34,4)&amp;"/"&amp;LEFT(D$7,2),data!$A:$C,3,0)/100,"")</f>
        <v>-5.0903522205206657E-2</v>
      </c>
      <c r="E34" s="5">
        <f>_xlfn.IFNA(VLOOKUP(LEFT($C34,4)&amp;"/"&amp;LEFT(E$7,2),data!$A:$C,3,0)/100,"")</f>
        <v>-2.0108142219927405E-2</v>
      </c>
      <c r="F34" s="5">
        <f>_xlfn.IFNA(VLOOKUP(LEFT($C34,4)&amp;"/"&amp;LEFT(F$7,2),data!$A:$C,3,0)/100,"")</f>
        <v>9.6719895786068655E-2</v>
      </c>
      <c r="G34" s="5">
        <f>_xlfn.IFNA(VLOOKUP(LEFT($C34,4)&amp;"/"&amp;LEFT(G$7,2),data!$A:$C,3,0)/100,"")</f>
        <v>-3.0795820042973876E-2</v>
      </c>
      <c r="H34" s="5">
        <f>_xlfn.IFNA(VLOOKUP(LEFT($C34,4)&amp;"/"&amp;LEFT(H$7,2),data!$A:$C,3,0)/100,"")</f>
        <v>-2.1914997624670529E-2</v>
      </c>
      <c r="I34" s="5">
        <f>_xlfn.IFNA(VLOOKUP(LEFT($C34,4)&amp;"/"&amp;LEFT(I$7,2),data!$A:$C,3,0)/100,"")</f>
        <v>2.3933549204561366E-2</v>
      </c>
      <c r="J34" s="5">
        <f>_xlfn.IFNA(VLOOKUP(LEFT($C34,4)&amp;"/"&amp;LEFT(J$7,2),data!$A:$C,3,0)/100,"")</f>
        <v>-1.6341262202667406E-2</v>
      </c>
      <c r="K34" s="5">
        <f>_xlfn.IFNA(VLOOKUP(LEFT($C34,4)&amp;"/"&amp;LEFT(K$7,2),data!$A:$C,3,0)/100,"")</f>
        <v>6.069903482594019E-2</v>
      </c>
      <c r="L34" s="5">
        <f>_xlfn.IFNA(VLOOKUP(LEFT($C34,4)&amp;"/"&amp;LEFT(L$7,2),data!$A:$C,3,0)/100,"")</f>
        <v>-5.3482947656950157E-2</v>
      </c>
      <c r="M34" s="5">
        <f>_xlfn.IFNA(VLOOKUP(LEFT($C34,4)&amp;"/"&amp;LEFT(M$7,2),data!$A:$C,3,0)/100,"")</f>
        <v>-4.9494956526581202E-3</v>
      </c>
      <c r="N34" s="5">
        <f>_xlfn.IFNA(VLOOKUP(LEFT($C34,4)&amp;"/"&amp;LEFT(N$7,2),data!$A:$C,3,0)/100,"")</f>
        <v>-8.0068560235063688E-2</v>
      </c>
      <c r="O34" s="5">
        <f>_xlfn.IFNA(VLOOKUP(LEFT($C34,4)&amp;"/"&amp;LEFT(O$7,2),data!$A:$C,3,0)/100,"")</f>
        <v>4.0533860603064742E-3</v>
      </c>
      <c r="Q34" s="9"/>
    </row>
    <row r="35" spans="1:17" ht="16.5" x14ac:dyDescent="0.3">
      <c r="A35" s="9"/>
      <c r="C35" s="14" t="str">
        <f t="shared" si="0"/>
        <v>1999年</v>
      </c>
      <c r="D35" s="5">
        <f>_xlfn.IFNA(VLOOKUP(LEFT($C35,4)&amp;"/"&amp;LEFT(D$7,2),data!$A:$C,3,0)/100,"")</f>
        <v>4.1009412396378231E-2</v>
      </c>
      <c r="E35" s="5">
        <f>_xlfn.IFNA(VLOOKUP(LEFT($C35,4)&amp;"/"&amp;LEFT(E$7,2),data!$A:$C,3,0)/100,"")</f>
        <v>-3.2282516957894525E-2</v>
      </c>
      <c r="F35" s="5">
        <f>_xlfn.IFNA(VLOOKUP(LEFT($C35,4)&amp;"/"&amp;LEFT(F$7,2),data!$A:$C,3,0)/100,"")</f>
        <v>3.8794182487705164E-2</v>
      </c>
      <c r="G35" s="5">
        <f>_xlfn.IFNA(VLOOKUP(LEFT($C35,4)&amp;"/"&amp;LEFT(G$7,2),data!$A:$C,3,0)/100,"")</f>
        <v>3.7943981902563095E-2</v>
      </c>
      <c r="H35" s="5">
        <f>_xlfn.IFNA(VLOOKUP(LEFT($C35,4)&amp;"/"&amp;LEFT(H$7,2),data!$A:$C,3,0)/100,"")</f>
        <v>-2.4970415973876281E-2</v>
      </c>
      <c r="I35" s="5">
        <f>_xlfn.IFNA(VLOOKUP(LEFT($C35,4)&amp;"/"&amp;LEFT(I$7,2),data!$A:$C,3,0)/100,"")</f>
        <v>5.4438333435752551E-2</v>
      </c>
      <c r="J35" s="5">
        <f>_xlfn.IFNA(VLOOKUP(LEFT($C35,4)&amp;"/"&amp;LEFT(J$7,2),data!$A:$C,3,0)/100,"")</f>
        <v>-3.2046098593293548E-2</v>
      </c>
      <c r="K35" s="5">
        <f>_xlfn.IFNA(VLOOKUP(LEFT($C35,4)&amp;"/"&amp;LEFT(K$7,2),data!$A:$C,3,0)/100,"")</f>
        <v>-6.2541393220543195E-3</v>
      </c>
      <c r="L35" s="5">
        <f>_xlfn.IFNA(VLOOKUP(LEFT($C35,4)&amp;"/"&amp;LEFT(L$7,2),data!$A:$C,3,0)/100,"")</f>
        <v>-2.855173771783015E-2</v>
      </c>
      <c r="M35" s="5">
        <f>_xlfn.IFNA(VLOOKUP(LEFT($C35,4)&amp;"/"&amp;LEFT(M$7,2),data!$A:$C,3,0)/100,"")</f>
        <v>6.2539467221741418E-2</v>
      </c>
      <c r="N35" s="5">
        <f>_xlfn.IFNA(VLOOKUP(LEFT($C35,4)&amp;"/"&amp;LEFT(N$7,2),data!$A:$C,3,0)/100,"")</f>
        <v>1.906187405075821E-2</v>
      </c>
      <c r="O35" s="5">
        <f>_xlfn.IFNA(VLOOKUP(LEFT($C35,4)&amp;"/"&amp;LEFT(O$7,2),data!$A:$C,3,0)/100,"")</f>
        <v>5.7843920772404189E-2</v>
      </c>
      <c r="Q35" s="9"/>
    </row>
    <row r="36" spans="1:17" ht="16.5" x14ac:dyDescent="0.3">
      <c r="A36" s="9"/>
      <c r="C36" s="14" t="str">
        <f t="shared" si="0"/>
        <v>1998年</v>
      </c>
      <c r="D36" s="5">
        <f>_xlfn.IFNA(VLOOKUP(LEFT($C36,4)&amp;"/"&amp;LEFT(D$7,2),data!$A:$C,3,0)/100,"")</f>
        <v>1.0150139628824384E-2</v>
      </c>
      <c r="E36" s="5">
        <f>_xlfn.IFNA(VLOOKUP(LEFT($C36,4)&amp;"/"&amp;LEFT(E$7,2),data!$A:$C,3,0)/100,"")</f>
        <v>7.0449259395274799E-2</v>
      </c>
      <c r="F36" s="5">
        <f>_xlfn.IFNA(VLOOKUP(LEFT($C36,4)&amp;"/"&amp;LEFT(F$7,2),data!$A:$C,3,0)/100,"")</f>
        <v>4.994568014180345E-2</v>
      </c>
      <c r="G36" s="5">
        <f>_xlfn.IFNA(VLOOKUP(LEFT($C36,4)&amp;"/"&amp;LEFT(G$7,2),data!$A:$C,3,0)/100,"")</f>
        <v>9.0764692534603952E-3</v>
      </c>
      <c r="H36" s="5">
        <f>_xlfn.IFNA(VLOOKUP(LEFT($C36,4)&amp;"/"&amp;LEFT(H$7,2),data!$A:$C,3,0)/100,"")</f>
        <v>-1.8826174949404195E-2</v>
      </c>
      <c r="I36" s="5">
        <f>_xlfn.IFNA(VLOOKUP(LEFT($C36,4)&amp;"/"&amp;LEFT(I$7,2),data!$A:$C,3,0)/100,"")</f>
        <v>3.9438220788031053E-2</v>
      </c>
      <c r="J36" s="5">
        <f>_xlfn.IFNA(VLOOKUP(LEFT($C36,4)&amp;"/"&amp;LEFT(J$7,2),data!$A:$C,3,0)/100,"")</f>
        <v>-1.1615395470260248E-2</v>
      </c>
      <c r="K36" s="5">
        <f>_xlfn.IFNA(VLOOKUP(LEFT($C36,4)&amp;"/"&amp;LEFT(K$7,2),data!$A:$C,3,0)/100,"")</f>
        <v>-0.14579671089616042</v>
      </c>
      <c r="L36" s="5">
        <f>_xlfn.IFNA(VLOOKUP(LEFT($C36,4)&amp;"/"&amp;LEFT(L$7,2),data!$A:$C,3,0)/100,"")</f>
        <v>6.2395537355841579E-2</v>
      </c>
      <c r="M36" s="5">
        <f>_xlfn.IFNA(VLOOKUP(LEFT($C36,4)&amp;"/"&amp;LEFT(M$7,2),data!$A:$C,3,0)/100,"")</f>
        <v>8.0294195730622242E-2</v>
      </c>
      <c r="N36" s="5">
        <f>_xlfn.IFNA(VLOOKUP(LEFT($C36,4)&amp;"/"&amp;LEFT(N$7,2),data!$A:$C,3,0)/100,"")</f>
        <v>5.9126034204993294E-2</v>
      </c>
      <c r="O36" s="5">
        <f>_xlfn.IFNA(VLOOKUP(LEFT($C36,4)&amp;"/"&amp;LEFT(O$7,2),data!$A:$C,3,0)/100,"")</f>
        <v>5.6375308302467175E-2</v>
      </c>
      <c r="Q36" s="9"/>
    </row>
    <row r="37" spans="1:17" ht="16.5" x14ac:dyDescent="0.3">
      <c r="A37" s="9"/>
      <c r="C37" s="14" t="str">
        <f t="shared" si="0"/>
        <v>1997年</v>
      </c>
      <c r="D37" s="5">
        <f>_xlfn.IFNA(VLOOKUP(LEFT($C37,4)&amp;"/"&amp;LEFT(D$7,2),data!$A:$C,3,0)/100,"")</f>
        <v>6.1317061317061272E-2</v>
      </c>
      <c r="E37" s="5">
        <f>_xlfn.IFNA(VLOOKUP(LEFT($C37,4)&amp;"/"&amp;LEFT(E$7,2),data!$A:$C,3,0)/100,"")</f>
        <v>5.9275465554087248E-3</v>
      </c>
      <c r="F37" s="5">
        <f>_xlfn.IFNA(VLOOKUP(LEFT($C37,4)&amp;"/"&amp;LEFT(F$7,2),data!$A:$C,3,0)/100,"")</f>
        <v>-4.2613995599504406E-2</v>
      </c>
      <c r="G37" s="5">
        <f>_xlfn.IFNA(VLOOKUP(LEFT($C37,4)&amp;"/"&amp;LEFT(G$7,2),data!$A:$C,3,0)/100,"")</f>
        <v>5.8405536770921529E-2</v>
      </c>
      <c r="H37" s="5">
        <f>_xlfn.IFNA(VLOOKUP(LEFT($C37,4)&amp;"/"&amp;LEFT(H$7,2),data!$A:$C,3,0)/100,"")</f>
        <v>5.8576883719769324E-2</v>
      </c>
      <c r="I37" s="5">
        <f>_xlfn.IFNA(VLOOKUP(LEFT($C37,4)&amp;"/"&amp;LEFT(I$7,2),data!$A:$C,3,0)/100,"")</f>
        <v>4.345263356438922E-2</v>
      </c>
      <c r="J37" s="5">
        <f>_xlfn.IFNA(VLOOKUP(LEFT($C37,4)&amp;"/"&amp;LEFT(J$7,2),data!$A:$C,3,0)/100,"")</f>
        <v>7.8123234742526471E-2</v>
      </c>
      <c r="K37" s="5">
        <f>_xlfn.IFNA(VLOOKUP(LEFT($C37,4)&amp;"/"&amp;LEFT(K$7,2),data!$A:$C,3,0)/100,"")</f>
        <v>-5.7445849794087733E-2</v>
      </c>
      <c r="L37" s="5">
        <f>_xlfn.IFNA(VLOOKUP(LEFT($C37,4)&amp;"/"&amp;LEFT(L$7,2),data!$A:$C,3,0)/100,"")</f>
        <v>5.3153523741759079E-2</v>
      </c>
      <c r="M37" s="5">
        <f>_xlfn.IFNA(VLOOKUP(LEFT($C37,4)&amp;"/"&amp;LEFT(M$7,2),data!$A:$C,3,0)/100,"")</f>
        <v>-3.4477662359597927E-2</v>
      </c>
      <c r="N37" s="5">
        <f>_xlfn.IFNA(VLOOKUP(LEFT($C37,4)&amp;"/"&amp;LEFT(N$7,2),data!$A:$C,3,0)/100,"")</f>
        <v>4.4586822942861426E-2</v>
      </c>
      <c r="O37" s="5">
        <f>_xlfn.IFNA(VLOOKUP(LEFT($C37,4)&amp;"/"&amp;LEFT(O$7,2),data!$A:$C,3,0)/100,"")</f>
        <v>1.5731630730583923E-2</v>
      </c>
      <c r="Q37" s="9"/>
    </row>
    <row r="38" spans="1:17" ht="16.5" x14ac:dyDescent="0.3">
      <c r="A38" s="9"/>
      <c r="C38" s="14" t="str">
        <f t="shared" si="0"/>
        <v>1996年</v>
      </c>
      <c r="D38" s="5">
        <f>_xlfn.IFNA(VLOOKUP(LEFT($C38,4)&amp;"/"&amp;LEFT(D$7,2),data!$A:$C,3,0)/100,"")</f>
        <v>3.2617342879872835E-2</v>
      </c>
      <c r="E38" s="5">
        <f>_xlfn.IFNA(VLOOKUP(LEFT($C38,4)&amp;"/"&amp;LEFT(E$7,2),data!$A:$C,3,0)/100,"")</f>
        <v>6.9337442218797563E-3</v>
      </c>
      <c r="F38" s="5">
        <f>_xlfn.IFNA(VLOOKUP(LEFT($C38,4)&amp;"/"&amp;LEFT(F$7,2),data!$A:$C,3,0)/100,"")</f>
        <v>7.9165560638947419E-3</v>
      </c>
      <c r="G38" s="5">
        <f>_xlfn.IFNA(VLOOKUP(LEFT($C38,4)&amp;"/"&amp;LEFT(G$7,2),data!$A:$C,3,0)/100,"")</f>
        <v>1.343144848954303E-2</v>
      </c>
      <c r="H38" s="5">
        <f>_xlfn.IFNA(VLOOKUP(LEFT($C38,4)&amp;"/"&amp;LEFT(H$7,2),data!$A:$C,3,0)/100,"")</f>
        <v>2.2853386734335235E-2</v>
      </c>
      <c r="I38" s="5">
        <f>_xlfn.IFNA(VLOOKUP(LEFT($C38,4)&amp;"/"&amp;LEFT(I$7,2),data!$A:$C,3,0)/100,"")</f>
        <v>2.2566953610712037E-3</v>
      </c>
      <c r="J38" s="5">
        <f>_xlfn.IFNA(VLOOKUP(LEFT($C38,4)&amp;"/"&amp;LEFT(J$7,2),data!$A:$C,3,0)/100,"")</f>
        <v>-4.5748027973696266E-2</v>
      </c>
      <c r="K38" s="5">
        <f>_xlfn.IFNA(VLOOKUP(LEFT($C38,4)&amp;"/"&amp;LEFT(K$7,2),data!$A:$C,3,0)/100,"")</f>
        <v>1.8813969841393829E-2</v>
      </c>
      <c r="L38" s="5">
        <f>_xlfn.IFNA(VLOOKUP(LEFT($C38,4)&amp;"/"&amp;LEFT(L$7,2),data!$A:$C,3,0)/100,"")</f>
        <v>5.4172610009355804E-2</v>
      </c>
      <c r="M38" s="5">
        <f>_xlfn.IFNA(VLOOKUP(LEFT($C38,4)&amp;"/"&amp;LEFT(M$7,2),data!$A:$C,3,0)/100,"")</f>
        <v>2.6130857982569866E-2</v>
      </c>
      <c r="N38" s="5">
        <f>_xlfn.IFNA(VLOOKUP(LEFT($C38,4)&amp;"/"&amp;LEFT(N$7,2),data!$A:$C,3,0)/100,"")</f>
        <v>7.3376153813433209E-2</v>
      </c>
      <c r="O38" s="5">
        <f>_xlfn.IFNA(VLOOKUP(LEFT($C38,4)&amp;"/"&amp;LEFT(O$7,2),data!$A:$C,3,0)/100,"")</f>
        <v>-2.1505376344086002E-2</v>
      </c>
      <c r="Q38" s="9"/>
    </row>
    <row r="39" spans="1:17" ht="16.5" x14ac:dyDescent="0.3">
      <c r="A39" s="9"/>
      <c r="C39" s="14" t="str">
        <f t="shared" si="0"/>
        <v>1995年</v>
      </c>
      <c r="D39" s="5">
        <f>_xlfn.IFNA(VLOOKUP(LEFT($C39,4)&amp;"/"&amp;LEFT(D$7,2),data!$A:$C,3,0)/100,"")</f>
        <v>2.4277658022514137E-2</v>
      </c>
      <c r="E39" s="5">
        <f>_xlfn.IFNA(VLOOKUP(LEFT($C39,4)&amp;"/"&amp;LEFT(E$7,2),data!$A:$C,3,0)/100,"")</f>
        <v>3.6074146507376392E-2</v>
      </c>
      <c r="F39" s="5">
        <f>_xlfn.IFNA(VLOOKUP(LEFT($C39,4)&amp;"/"&amp;LEFT(F$7,2),data!$A:$C,3,0)/100,"")</f>
        <v>2.7329243521615032E-2</v>
      </c>
      <c r="G39" s="5">
        <f>_xlfn.IFNA(VLOOKUP(LEFT($C39,4)&amp;"/"&amp;LEFT(G$7,2),data!$A:$C,3,0)/100,"")</f>
        <v>2.7960296379141658E-2</v>
      </c>
      <c r="H39" s="5">
        <f>_xlfn.IFNA(VLOOKUP(LEFT($C39,4)&amp;"/"&amp;LEFT(H$7,2),data!$A:$C,3,0)/100,"")</f>
        <v>3.6311709506323897E-2</v>
      </c>
      <c r="I39" s="5">
        <f>_xlfn.IFNA(VLOOKUP(LEFT($C39,4)&amp;"/"&amp;LEFT(I$7,2),data!$A:$C,3,0)/100,"")</f>
        <v>2.1278590176228018E-2</v>
      </c>
      <c r="J39" s="5">
        <f>_xlfn.IFNA(VLOOKUP(LEFT($C39,4)&amp;"/"&amp;LEFT(J$7,2),data!$A:$C,3,0)/100,"")</f>
        <v>3.1776044056906816E-2</v>
      </c>
      <c r="K39" s="5">
        <f>_xlfn.IFNA(VLOOKUP(LEFT($C39,4)&amp;"/"&amp;LEFT(K$7,2),data!$A:$C,3,0)/100,"")</f>
        <v>-3.2025050706319114E-4</v>
      </c>
      <c r="L39" s="5">
        <f>_xlfn.IFNA(VLOOKUP(LEFT($C39,4)&amp;"/"&amp;LEFT(L$7,2),data!$A:$C,3,0)/100,"")</f>
        <v>4.0097529721648595E-2</v>
      </c>
      <c r="M39" s="5">
        <f>_xlfn.IFNA(VLOOKUP(LEFT($C39,4)&amp;"/"&amp;LEFT(M$7,2),data!$A:$C,3,0)/100,"")</f>
        <v>-4.9793809140842304E-3</v>
      </c>
      <c r="N39" s="5">
        <f>_xlfn.IFNA(VLOOKUP(LEFT($C39,4)&amp;"/"&amp;LEFT(N$7,2),data!$A:$C,3,0)/100,"")</f>
        <v>4.1049011177987982E-2</v>
      </c>
      <c r="O39" s="5">
        <f>_xlfn.IFNA(VLOOKUP(LEFT($C39,4)&amp;"/"&amp;LEFT(O$7,2),data!$A:$C,3,0)/100,"")</f>
        <v>1.7443877298181087E-2</v>
      </c>
      <c r="Q39" s="9"/>
    </row>
    <row r="40" spans="1:17" ht="16.5" x14ac:dyDescent="0.3">
      <c r="A40" s="9"/>
      <c r="C40" s="14" t="str">
        <f t="shared" si="0"/>
        <v>1994年</v>
      </c>
      <c r="D40" s="5">
        <f>_xlfn.IFNA(VLOOKUP(LEFT($C40,4)&amp;"/"&amp;LEFT(D$7,2),data!$A:$C,3,0)/100,"")</f>
        <v>3.2500803944688572E-2</v>
      </c>
      <c r="E40" s="5">
        <f>_xlfn.IFNA(VLOOKUP(LEFT($C40,4)&amp;"/"&amp;LEFT(E$7,2),data!$A:$C,3,0)/100,"")</f>
        <v>-3.0045057203961778E-2</v>
      </c>
      <c r="F40" s="5">
        <f>_xlfn.IFNA(VLOOKUP(LEFT($C40,4)&amp;"/"&amp;LEFT(F$7,2),data!$A:$C,3,0)/100,"")</f>
        <v>-4.574645716487568E-2</v>
      </c>
      <c r="G40" s="5">
        <f>_xlfn.IFNA(VLOOKUP(LEFT($C40,4)&amp;"/"&amp;LEFT(G$7,2),data!$A:$C,3,0)/100,"")</f>
        <v>1.1530609955807014E-2</v>
      </c>
      <c r="H40" s="5">
        <f>_xlfn.IFNA(VLOOKUP(LEFT($C40,4)&amp;"/"&amp;LEFT(H$7,2),data!$A:$C,3,0)/100,"")</f>
        <v>1.239715242509587E-2</v>
      </c>
      <c r="I40" s="5">
        <f>_xlfn.IFNA(VLOOKUP(LEFT($C40,4)&amp;"/"&amp;LEFT(I$7,2),data!$A:$C,3,0)/100,"")</f>
        <v>-2.6790799561883905E-2</v>
      </c>
      <c r="J40" s="5">
        <f>_xlfn.IFNA(VLOOKUP(LEFT($C40,4)&amp;"/"&amp;LEFT(J$7,2),data!$A:$C,3,0)/100,"")</f>
        <v>3.1489859769959772E-2</v>
      </c>
      <c r="K40" s="5">
        <f>_xlfn.IFNA(VLOOKUP(LEFT($C40,4)&amp;"/"&amp;LEFT(K$7,2),data!$A:$C,3,0)/100,"")</f>
        <v>3.7598743071618701E-2</v>
      </c>
      <c r="L40" s="5">
        <f>_xlfn.IFNA(VLOOKUP(LEFT($C40,4)&amp;"/"&amp;LEFT(L$7,2),data!$A:$C,3,0)/100,"")</f>
        <v>-2.6919598729731486E-2</v>
      </c>
      <c r="M40" s="5">
        <f>_xlfn.IFNA(VLOOKUP(LEFT($C40,4)&amp;"/"&amp;LEFT(M$7,2),data!$A:$C,3,0)/100,"")</f>
        <v>2.0877909615509394E-2</v>
      </c>
      <c r="N40" s="5">
        <f>_xlfn.IFNA(VLOOKUP(LEFT($C40,4)&amp;"/"&amp;LEFT(N$7,2),data!$A:$C,3,0)/100,"")</f>
        <v>-3.9504604636392604E-2</v>
      </c>
      <c r="O40" s="5">
        <f>_xlfn.IFNA(VLOOKUP(LEFT($C40,4)&amp;"/"&amp;LEFT(O$7,2),data!$A:$C,3,0)/100,"")</f>
        <v>1.229914699464385E-2</v>
      </c>
      <c r="Q40" s="9"/>
    </row>
    <row r="41" spans="1:17" ht="16.5" x14ac:dyDescent="0.3">
      <c r="A41" s="9"/>
      <c r="C41" s="14" t="str">
        <f t="shared" si="0"/>
        <v>1993年</v>
      </c>
      <c r="D41" s="5" t="str">
        <f>_xlfn.IFNA(VLOOKUP(LEFT($C41,4)&amp;"/"&amp;LEFT(D$7,2),data!$A:$C,3,0)/100,"")</f>
        <v/>
      </c>
      <c r="E41" s="5" t="str">
        <f>_xlfn.IFNA(VLOOKUP(LEFT($C41,4)&amp;"/"&amp;LEFT(E$7,2),data!$A:$C,3,0)/100,"")</f>
        <v/>
      </c>
      <c r="F41" s="5">
        <f>_xlfn.IFNA(VLOOKUP(LEFT($C41,4)&amp;"/"&amp;LEFT(F$7,2),data!$A:$C,3,0)/100,"")</f>
        <v>1.8697279985565585E-2</v>
      </c>
      <c r="G41" s="5">
        <f>_xlfn.IFNA(VLOOKUP(LEFT($C41,4)&amp;"/"&amp;LEFT(G$7,2),data!$A:$C,3,0)/100,"")</f>
        <v>-2.5416786591980878E-2</v>
      </c>
      <c r="H41" s="5">
        <f>_xlfn.IFNA(VLOOKUP(LEFT($C41,4)&amp;"/"&amp;LEFT(H$7,2),data!$A:$C,3,0)/100,"")</f>
        <v>2.2717462913741882E-2</v>
      </c>
      <c r="I41" s="5">
        <f>_xlfn.IFNA(VLOOKUP(LEFT($C41,4)&amp;"/"&amp;LEFT(I$7,2),data!$A:$C,3,0)/100,"")</f>
        <v>7.5523667784715975E-4</v>
      </c>
      <c r="J41" s="5">
        <f>_xlfn.IFNA(VLOOKUP(LEFT($C41,4)&amp;"/"&amp;LEFT(J$7,2),data!$A:$C,3,0)/100,"")</f>
        <v>-5.327059241337917E-3</v>
      </c>
      <c r="K41" s="5">
        <f>_xlfn.IFNA(VLOOKUP(LEFT($C41,4)&amp;"/"&amp;LEFT(K$7,2),data!$A:$C,3,0)/100,"")</f>
        <v>3.4431972865016869E-2</v>
      </c>
      <c r="L41" s="5">
        <f>_xlfn.IFNA(VLOOKUP(LEFT($C41,4)&amp;"/"&amp;LEFT(L$7,2),data!$A:$C,3,0)/100,"")</f>
        <v>-9.9879195789109865E-3</v>
      </c>
      <c r="M41" s="5">
        <f>_xlfn.IFNA(VLOOKUP(LEFT($C41,4)&amp;"/"&amp;LEFT(M$7,2),data!$A:$C,3,0)/100,"")</f>
        <v>1.9392935741834316E-2</v>
      </c>
      <c r="N41" s="5">
        <f>_xlfn.IFNA(VLOOKUP(LEFT($C41,4)&amp;"/"&amp;LEFT(N$7,2),data!$A:$C,3,0)/100,"")</f>
        <v>-1.2910672680247037E-2</v>
      </c>
      <c r="O41" s="5">
        <f>_xlfn.IFNA(VLOOKUP(LEFT($C41,4)&amp;"/"&amp;LEFT(O$7,2),data!$A:$C,3,0)/100,"")</f>
        <v>1.0091166980662036E-2</v>
      </c>
      <c r="Q41" s="9"/>
    </row>
    <row r="42" spans="1:17" ht="16.5" x14ac:dyDescent="0.3">
      <c r="A42" s="9"/>
      <c r="C42" s="14" t="str">
        <f t="shared" si="0"/>
        <v>1992年</v>
      </c>
      <c r="D42" s="5" t="str">
        <f>_xlfn.IFNA(VLOOKUP(LEFT($C42,4)&amp;"/"&amp;LEFT(D$7,2),data!$A:$C,3,0)/100,"")</f>
        <v/>
      </c>
      <c r="E42" s="5" t="str">
        <f>_xlfn.IFNA(VLOOKUP(LEFT($C42,4)&amp;"/"&amp;LEFT(E$7,2),data!$A:$C,3,0)/100,"")</f>
        <v/>
      </c>
      <c r="F42" s="5" t="str">
        <f>_xlfn.IFNA(VLOOKUP(LEFT($C42,4)&amp;"/"&amp;LEFT(F$7,2),data!$A:$C,3,0)/100,"")</f>
        <v/>
      </c>
      <c r="G42" s="5" t="str">
        <f>_xlfn.IFNA(VLOOKUP(LEFT($C42,4)&amp;"/"&amp;LEFT(G$7,2),data!$A:$C,3,0)/100,"")</f>
        <v/>
      </c>
      <c r="H42" s="5" t="str">
        <f>_xlfn.IFNA(VLOOKUP(LEFT($C42,4)&amp;"/"&amp;LEFT(H$7,2),data!$A:$C,3,0)/100,"")</f>
        <v/>
      </c>
      <c r="I42" s="5" t="str">
        <f>_xlfn.IFNA(VLOOKUP(LEFT($C42,4)&amp;"/"&amp;LEFT(I$7,2),data!$A:$C,3,0)/100,"")</f>
        <v/>
      </c>
      <c r="J42" s="5" t="str">
        <f>_xlfn.IFNA(VLOOKUP(LEFT($C42,4)&amp;"/"&amp;LEFT(J$7,2),data!$A:$C,3,0)/100,"")</f>
        <v/>
      </c>
      <c r="K42" s="5" t="str">
        <f>_xlfn.IFNA(VLOOKUP(LEFT($C42,4)&amp;"/"&amp;LEFT(K$7,2),data!$A:$C,3,0)/100,"")</f>
        <v/>
      </c>
      <c r="L42" s="5" t="str">
        <f>_xlfn.IFNA(VLOOKUP(LEFT($C42,4)&amp;"/"&amp;LEFT(L$7,2),data!$A:$C,3,0)/100,"")</f>
        <v/>
      </c>
      <c r="M42" s="5" t="str">
        <f>_xlfn.IFNA(VLOOKUP(LEFT($C42,4)&amp;"/"&amp;LEFT(M$7,2),data!$A:$C,3,0)/100,"")</f>
        <v/>
      </c>
      <c r="N42" s="5" t="str">
        <f>_xlfn.IFNA(VLOOKUP(LEFT($C42,4)&amp;"/"&amp;LEFT(N$7,2),data!$A:$C,3,0)/100,"")</f>
        <v/>
      </c>
      <c r="O42" s="5" t="str">
        <f>_xlfn.IFNA(VLOOKUP(LEFT($C42,4)&amp;"/"&amp;LEFT(O$7,2),data!$A:$C,3,0)/100,"")</f>
        <v/>
      </c>
      <c r="Q42" s="9"/>
    </row>
    <row r="43" spans="1:17" ht="16.5" x14ac:dyDescent="0.3">
      <c r="A43" s="9"/>
      <c r="C43" s="14" t="str">
        <f t="shared" si="0"/>
        <v>1991年</v>
      </c>
      <c r="D43" s="5" t="str">
        <f>_xlfn.IFNA(VLOOKUP(LEFT($C43,4)&amp;"/"&amp;LEFT(D$7,2),data!$A:$C,3,0)/100,"")</f>
        <v/>
      </c>
      <c r="E43" s="5" t="str">
        <f>_xlfn.IFNA(VLOOKUP(LEFT($C43,4)&amp;"/"&amp;LEFT(E$7,2),data!$A:$C,3,0)/100,"")</f>
        <v/>
      </c>
      <c r="F43" s="5" t="str">
        <f>_xlfn.IFNA(VLOOKUP(LEFT($C43,4)&amp;"/"&amp;LEFT(F$7,2),data!$A:$C,3,0)/100,"")</f>
        <v/>
      </c>
      <c r="G43" s="5" t="str">
        <f>_xlfn.IFNA(VLOOKUP(LEFT($C43,4)&amp;"/"&amp;LEFT(G$7,2),data!$A:$C,3,0)/100,"")</f>
        <v/>
      </c>
      <c r="H43" s="5" t="str">
        <f>_xlfn.IFNA(VLOOKUP(LEFT($C43,4)&amp;"/"&amp;LEFT(H$7,2),data!$A:$C,3,0)/100,"")</f>
        <v/>
      </c>
      <c r="I43" s="5" t="str">
        <f>_xlfn.IFNA(VLOOKUP(LEFT($C43,4)&amp;"/"&amp;LEFT(I$7,2),data!$A:$C,3,0)/100,"")</f>
        <v/>
      </c>
      <c r="J43" s="5" t="str">
        <f>_xlfn.IFNA(VLOOKUP(LEFT($C43,4)&amp;"/"&amp;LEFT(J$7,2),data!$A:$C,3,0)/100,"")</f>
        <v/>
      </c>
      <c r="K43" s="5" t="str">
        <f>_xlfn.IFNA(VLOOKUP(LEFT($C43,4)&amp;"/"&amp;LEFT(K$7,2),data!$A:$C,3,0)/100,"")</f>
        <v/>
      </c>
      <c r="L43" s="5" t="str">
        <f>_xlfn.IFNA(VLOOKUP(LEFT($C43,4)&amp;"/"&amp;LEFT(L$7,2),data!$A:$C,3,0)/100,"")</f>
        <v/>
      </c>
      <c r="M43" s="5" t="str">
        <f>_xlfn.IFNA(VLOOKUP(LEFT($C43,4)&amp;"/"&amp;LEFT(M$7,2),data!$A:$C,3,0)/100,"")</f>
        <v/>
      </c>
      <c r="N43" s="5" t="str">
        <f>_xlfn.IFNA(VLOOKUP(LEFT($C43,4)&amp;"/"&amp;LEFT(N$7,2),data!$A:$C,3,0)/100,"")</f>
        <v/>
      </c>
      <c r="O43" s="5" t="str">
        <f>_xlfn.IFNA(VLOOKUP(LEFT($C43,4)&amp;"/"&amp;LEFT(O$7,2),data!$A:$C,3,0)/100,"")</f>
        <v/>
      </c>
      <c r="Q43" s="9"/>
    </row>
    <row r="44" spans="1:17" ht="16.5" x14ac:dyDescent="0.3">
      <c r="A44" s="9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9"/>
    </row>
  </sheetData>
  <mergeCells count="1">
    <mergeCell ref="E1:M1"/>
  </mergeCells>
  <phoneticPr fontId="2" type="noConversion"/>
  <conditionalFormatting sqref="D8:P41 D42:O43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{747D3D89-F9FA-487A-88CD-40E0D9EC924B}</x14:id>
        </ext>
      </extLst>
    </cfRule>
  </conditionalFormatting>
  <dataValidations count="2">
    <dataValidation type="list" allowBlank="1" showInputMessage="1" showErrorMessage="1" sqref="D4" xr:uid="{00000000-0002-0000-0000-000000000000}">
      <formula1>"000001.SH,399001.SZ,399006.SZ,IXIC.GI,000300.SH,HSI.HI,DJI.GI,SPX.GI,000688.SH,000905.SH"</formula1>
    </dataValidation>
    <dataValidation type="list" allowBlank="1" showInputMessage="1" showErrorMessage="1" sqref="L4" xr:uid="{00000000-0002-0000-0000-000001000000}">
      <formula1>"M(月),Y(年)"</formula1>
    </dataValidation>
  </dataValidations>
  <pageMargins left="0.7" right="0.7" top="0.75" bottom="0.75" header="0.3" footer="0.3"/>
  <pageSetup paperSize="9" orientation="portrait" verticalDpi="0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7D3D89-F9FA-487A-88CD-40E0D9EC92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107F3A"/>
              <x14:negativeBorderColor rgb="FF107F3A"/>
              <x14:axisColor rgb="FF000000"/>
            </x14:dataBar>
          </x14:cfRule>
          <xm:sqref>D8:P41 D42:O43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3DC67-CA12-43AB-8DF5-A7CB9D832859}">
  <dimension ref="I8:M11"/>
  <sheetViews>
    <sheetView workbookViewId="0">
      <selection activeCell="M22" sqref="M22"/>
    </sheetView>
  </sheetViews>
  <sheetFormatPr defaultRowHeight="14.25" x14ac:dyDescent="0.2"/>
  <cols>
    <col min="9" max="9" width="16" bestFit="1" customWidth="1"/>
    <col min="10" max="10" width="12.25" bestFit="1" customWidth="1"/>
    <col min="11" max="11" width="16" bestFit="1" customWidth="1"/>
    <col min="12" max="12" width="17.875" customWidth="1"/>
    <col min="13" max="13" width="14.375" customWidth="1"/>
  </cols>
  <sheetData>
    <row r="8" spans="9:13" ht="25.5" x14ac:dyDescent="0.2">
      <c r="I8" s="20" t="s">
        <v>26</v>
      </c>
      <c r="J8" s="21" t="s">
        <v>27</v>
      </c>
      <c r="K8" s="21" t="s">
        <v>28</v>
      </c>
    </row>
    <row r="9" spans="9:13" ht="25.5" x14ac:dyDescent="0.2">
      <c r="I9" s="21">
        <v>4162.88</v>
      </c>
      <c r="J9" s="21"/>
      <c r="K9" s="21">
        <v>3813.28</v>
      </c>
      <c r="L9">
        <f>(K9-I9)/I9</f>
        <v>-8.3980321316011963E-2</v>
      </c>
      <c r="M9">
        <v>-9.5500000000000002E-2</v>
      </c>
    </row>
    <row r="10" spans="9:13" ht="25.5" x14ac:dyDescent="0.2">
      <c r="I10" s="21"/>
      <c r="J10" s="21"/>
      <c r="K10" s="21"/>
    </row>
    <row r="11" spans="9:13" ht="25.5" x14ac:dyDescent="0.2">
      <c r="I11" s="21"/>
      <c r="J11" s="21"/>
      <c r="K11" s="21"/>
      <c r="M11">
        <f>I9*(1+M9)</f>
        <v>3765.3249599999999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"/>
  <sheetViews>
    <sheetView workbookViewId="0">
      <selection activeCell="B3" sqref="B3"/>
    </sheetView>
  </sheetViews>
  <sheetFormatPr defaultRowHeight="14.25" x14ac:dyDescent="0.2"/>
  <sheetData>
    <row r="1" spans="1:1" x14ac:dyDescent="0.2">
      <c r="A1" t="s">
        <v>19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C428"/>
  <sheetViews>
    <sheetView workbookViewId="0">
      <selection activeCell="C2" sqref="C2"/>
    </sheetView>
  </sheetViews>
  <sheetFormatPr defaultRowHeight="14.25" x14ac:dyDescent="0.2"/>
  <cols>
    <col min="2" max="2" width="11.625" bestFit="1" customWidth="1"/>
    <col min="3" max="3" width="16.75" customWidth="1"/>
  </cols>
  <sheetData>
    <row r="1" spans="1:3" x14ac:dyDescent="0.2">
      <c r="C1" s="1" t="str">
        <f>[1]!s_info_name(C2)</f>
        <v>标普500</v>
      </c>
    </row>
    <row r="2" spans="1:3" x14ac:dyDescent="0.2">
      <c r="C2" s="1" t="str">
        <f>IF(月度收益!D5="",月度收益!D4,月度收益!D5)</f>
        <v>SPX.GI</v>
      </c>
    </row>
    <row r="3" spans="1:3" x14ac:dyDescent="0.2">
      <c r="B3" s="1" t="s">
        <v>0</v>
      </c>
      <c r="C3" s="1" t="s">
        <v>2</v>
      </c>
    </row>
    <row r="4" spans="1:3" x14ac:dyDescent="0.2">
      <c r="B4" s="1" t="s">
        <v>1</v>
      </c>
      <c r="C4" s="1" t="s">
        <v>3</v>
      </c>
    </row>
    <row r="5" spans="1:3" x14ac:dyDescent="0.2">
      <c r="A5" t="str">
        <f>IF(C5="","",TEXT(B5,"YYYY/MM"))</f>
        <v>2026/03</v>
      </c>
      <c r="B5" s="2">
        <v>46105</v>
      </c>
      <c r="C5" s="3">
        <f>[1]!WSD(C2,C4:C4,"-"&amp;月度收益!I4&amp;LEFT(月度收益!L4,1),"","Per="&amp;LEFT(月度收益!L4,1),"TradingCalendar=SSE","Sort=D","rptType=1","ShowParams=Y","cols=1;rows=424")</f>
        <v>-4.3303561044821244</v>
      </c>
    </row>
    <row r="6" spans="1:3" x14ac:dyDescent="0.2">
      <c r="A6" t="str">
        <f t="shared" ref="A6:A69" si="0">IF(C6="","",TEXT(B6,"YYYY/MM"))</f>
        <v>2026/02</v>
      </c>
      <c r="B6" s="2">
        <v>46080</v>
      </c>
      <c r="C6" s="3">
        <v>-0.86683585457909551</v>
      </c>
    </row>
    <row r="7" spans="1:3" x14ac:dyDescent="0.2">
      <c r="A7" t="str">
        <f t="shared" si="0"/>
        <v>2026/01</v>
      </c>
      <c r="B7" s="2">
        <v>46052</v>
      </c>
      <c r="C7" s="3">
        <v>1.3662990285588927</v>
      </c>
    </row>
    <row r="8" spans="1:3" x14ac:dyDescent="0.2">
      <c r="A8" t="str">
        <f t="shared" si="0"/>
        <v>2025/12</v>
      </c>
      <c r="B8" s="2">
        <v>46022</v>
      </c>
      <c r="C8" s="3">
        <v>-5.2415722380638741E-2</v>
      </c>
    </row>
    <row r="9" spans="1:3" x14ac:dyDescent="0.2">
      <c r="A9" t="str">
        <f t="shared" si="0"/>
        <v>2025/11</v>
      </c>
      <c r="B9" s="2">
        <v>45989</v>
      </c>
      <c r="C9" s="3">
        <v>0.1299669600304032</v>
      </c>
    </row>
    <row r="10" spans="1:3" x14ac:dyDescent="0.2">
      <c r="A10" t="str">
        <f t="shared" si="0"/>
        <v>2025/10</v>
      </c>
      <c r="B10" s="2">
        <v>45961</v>
      </c>
      <c r="C10" s="3">
        <v>2.2686836730727133</v>
      </c>
    </row>
    <row r="11" spans="1:3" x14ac:dyDescent="0.2">
      <c r="A11" t="str">
        <f t="shared" si="0"/>
        <v>2025/09</v>
      </c>
      <c r="B11" s="2">
        <v>45930</v>
      </c>
      <c r="C11" s="3">
        <v>3.5323655704259549</v>
      </c>
    </row>
    <row r="12" spans="1:3" x14ac:dyDescent="0.2">
      <c r="A12" t="str">
        <f t="shared" si="0"/>
        <v>2025/08</v>
      </c>
      <c r="B12" s="2">
        <v>45898</v>
      </c>
      <c r="C12" s="3">
        <v>1.9066503244002941</v>
      </c>
    </row>
    <row r="13" spans="1:3" x14ac:dyDescent="0.2">
      <c r="A13" t="str">
        <f t="shared" si="0"/>
        <v>2025/07</v>
      </c>
      <c r="B13" s="2">
        <v>45869</v>
      </c>
      <c r="C13" s="3">
        <v>2.1666572655702376</v>
      </c>
    </row>
    <row r="14" spans="1:3" x14ac:dyDescent="0.2">
      <c r="A14" t="str">
        <f t="shared" si="0"/>
        <v>2025/06</v>
      </c>
      <c r="B14" s="2">
        <v>45838</v>
      </c>
      <c r="C14" s="3">
        <v>4.960679602617879</v>
      </c>
    </row>
    <row r="15" spans="1:3" x14ac:dyDescent="0.2">
      <c r="A15" t="str">
        <f t="shared" si="0"/>
        <v>2025/05</v>
      </c>
      <c r="B15" s="2">
        <v>45807</v>
      </c>
      <c r="C15" s="3">
        <v>6.1523847830692979</v>
      </c>
    </row>
    <row r="16" spans="1:3" x14ac:dyDescent="0.2">
      <c r="A16" t="str">
        <f t="shared" si="0"/>
        <v>2025/04</v>
      </c>
      <c r="B16" s="2">
        <v>45777</v>
      </c>
      <c r="C16" s="3">
        <v>-0.76249365182604611</v>
      </c>
    </row>
    <row r="17" spans="1:3" x14ac:dyDescent="0.2">
      <c r="A17" t="str">
        <f t="shared" si="0"/>
        <v>2025/03</v>
      </c>
      <c r="B17" s="2">
        <v>45747</v>
      </c>
      <c r="C17" s="3">
        <v>-5.7544714081786852</v>
      </c>
    </row>
    <row r="18" spans="1:3" x14ac:dyDescent="0.2">
      <c r="A18" t="str">
        <f t="shared" si="0"/>
        <v>2025/02</v>
      </c>
      <c r="B18" s="2">
        <v>45716</v>
      </c>
      <c r="C18" s="3">
        <v>-1.4242127760312417</v>
      </c>
    </row>
    <row r="19" spans="1:3" x14ac:dyDescent="0.2">
      <c r="A19" t="str">
        <f t="shared" si="0"/>
        <v>2025/01</v>
      </c>
      <c r="B19" s="2">
        <v>45684</v>
      </c>
      <c r="C19" s="3">
        <v>2.7016320305765618</v>
      </c>
    </row>
    <row r="20" spans="1:3" x14ac:dyDescent="0.2">
      <c r="A20" t="str">
        <f t="shared" si="0"/>
        <v>2024/12</v>
      </c>
      <c r="B20" s="2">
        <v>45657</v>
      </c>
      <c r="C20" s="3">
        <v>-2.4990136563014964</v>
      </c>
    </row>
    <row r="21" spans="1:3" x14ac:dyDescent="0.2">
      <c r="A21" t="str">
        <f t="shared" si="0"/>
        <v>2024/11</v>
      </c>
      <c r="B21" s="2">
        <v>45625</v>
      </c>
      <c r="C21" s="3">
        <v>5.7301352215863854</v>
      </c>
    </row>
    <row r="22" spans="1:3" x14ac:dyDescent="0.2">
      <c r="A22" t="str">
        <f t="shared" si="0"/>
        <v>2024/10</v>
      </c>
      <c r="B22" s="2">
        <v>45596</v>
      </c>
      <c r="C22" s="3">
        <v>-0.98967805528175079</v>
      </c>
    </row>
    <row r="23" spans="1:3" x14ac:dyDescent="0.2">
      <c r="A23" t="str">
        <f t="shared" si="0"/>
        <v>2024/09</v>
      </c>
      <c r="B23" s="2">
        <v>45565</v>
      </c>
      <c r="C23" s="3">
        <v>2.0196869910062976</v>
      </c>
    </row>
    <row r="24" spans="1:3" x14ac:dyDescent="0.2">
      <c r="A24" t="str">
        <f t="shared" si="0"/>
        <v>2024/08</v>
      </c>
      <c r="B24" s="2">
        <v>45534</v>
      </c>
      <c r="C24" s="3">
        <v>2.2834688445031892</v>
      </c>
    </row>
    <row r="25" spans="1:3" x14ac:dyDescent="0.2">
      <c r="A25" t="str">
        <f t="shared" si="0"/>
        <v>2024/07</v>
      </c>
      <c r="B25" s="2">
        <v>45504</v>
      </c>
      <c r="C25" s="3">
        <v>1.1321349038912354</v>
      </c>
    </row>
    <row r="26" spans="1:3" x14ac:dyDescent="0.2">
      <c r="A26" t="str">
        <f t="shared" si="0"/>
        <v>2024/06</v>
      </c>
      <c r="B26" s="2">
        <v>45471</v>
      </c>
      <c r="C26" s="3">
        <v>3.4669759034089864</v>
      </c>
    </row>
    <row r="27" spans="1:3" x14ac:dyDescent="0.2">
      <c r="A27" t="str">
        <f t="shared" si="0"/>
        <v>2024/05</v>
      </c>
      <c r="B27" s="2">
        <v>45443</v>
      </c>
      <c r="C27" s="3">
        <v>4.8021224499522619</v>
      </c>
    </row>
    <row r="28" spans="1:3" x14ac:dyDescent="0.2">
      <c r="A28" t="str">
        <f t="shared" si="0"/>
        <v>2024/04</v>
      </c>
      <c r="B28" s="2">
        <v>45412</v>
      </c>
      <c r="C28" s="3">
        <v>-4.1615042774082571</v>
      </c>
    </row>
    <row r="29" spans="1:3" x14ac:dyDescent="0.2">
      <c r="A29" t="str">
        <f t="shared" si="0"/>
        <v>2024/03</v>
      </c>
      <c r="B29" s="2">
        <v>45380</v>
      </c>
      <c r="C29" s="3">
        <v>3.1018764704381807</v>
      </c>
    </row>
    <row r="30" spans="1:3" x14ac:dyDescent="0.2">
      <c r="A30" t="str">
        <f t="shared" si="0"/>
        <v>2024/02</v>
      </c>
      <c r="B30" s="2">
        <v>45351</v>
      </c>
      <c r="C30" s="3">
        <v>5.1720615397315317</v>
      </c>
    </row>
    <row r="31" spans="1:3" x14ac:dyDescent="0.2">
      <c r="A31" t="str">
        <f t="shared" si="0"/>
        <v>2024/01</v>
      </c>
      <c r="B31" s="2">
        <v>45322</v>
      </c>
      <c r="C31" s="3">
        <v>1.5895744712075555</v>
      </c>
    </row>
    <row r="32" spans="1:3" x14ac:dyDescent="0.2">
      <c r="A32" t="str">
        <f t="shared" si="0"/>
        <v>2023/12</v>
      </c>
      <c r="B32" s="2">
        <v>45289</v>
      </c>
      <c r="C32" s="3">
        <v>4.4229169403213753</v>
      </c>
    </row>
    <row r="33" spans="1:3" x14ac:dyDescent="0.2">
      <c r="A33" t="str">
        <f t="shared" si="0"/>
        <v>2023/11</v>
      </c>
      <c r="B33" s="2">
        <v>45260</v>
      </c>
      <c r="C33" s="3">
        <v>8.9179264628737709</v>
      </c>
    </row>
    <row r="34" spans="1:3" x14ac:dyDescent="0.2">
      <c r="A34" t="str">
        <f t="shared" si="0"/>
        <v>2023/10</v>
      </c>
      <c r="B34" s="2">
        <v>45230</v>
      </c>
      <c r="C34" s="3">
        <v>-2.1979687736850106</v>
      </c>
    </row>
    <row r="35" spans="1:3" x14ac:dyDescent="0.2">
      <c r="A35" t="str">
        <f t="shared" si="0"/>
        <v>2023/09</v>
      </c>
      <c r="B35" s="2">
        <v>45197</v>
      </c>
      <c r="C35" s="3">
        <v>-4.871929116215501</v>
      </c>
    </row>
    <row r="36" spans="1:3" x14ac:dyDescent="0.2">
      <c r="A36" t="str">
        <f t="shared" si="0"/>
        <v>2023/08</v>
      </c>
      <c r="B36" s="2">
        <v>45169</v>
      </c>
      <c r="C36" s="3">
        <v>-1.771643248143373</v>
      </c>
    </row>
    <row r="37" spans="1:3" x14ac:dyDescent="0.2">
      <c r="A37" t="str">
        <f t="shared" si="0"/>
        <v>2023/07</v>
      </c>
      <c r="B37" s="2">
        <v>45138</v>
      </c>
      <c r="C37" s="3">
        <v>3.1138913980379268</v>
      </c>
    </row>
    <row r="38" spans="1:3" x14ac:dyDescent="0.2">
      <c r="A38" t="str">
        <f t="shared" si="0"/>
        <v>2023/06</v>
      </c>
      <c r="B38" s="2">
        <v>45107</v>
      </c>
      <c r="C38" s="3">
        <v>6.4727512841431301</v>
      </c>
    </row>
    <row r="39" spans="1:3" x14ac:dyDescent="0.2">
      <c r="A39" t="str">
        <f t="shared" si="0"/>
        <v>2023/05</v>
      </c>
      <c r="B39" s="2">
        <v>45077</v>
      </c>
      <c r="C39" s="3">
        <v>0.24823239348792381</v>
      </c>
    </row>
    <row r="40" spans="1:3" x14ac:dyDescent="0.2">
      <c r="A40" t="str">
        <f t="shared" si="0"/>
        <v>2023/04</v>
      </c>
      <c r="B40" s="2">
        <v>45044</v>
      </c>
      <c r="C40" s="3">
        <v>1.464236088297044</v>
      </c>
    </row>
    <row r="41" spans="1:3" x14ac:dyDescent="0.2">
      <c r="A41" t="str">
        <f t="shared" si="0"/>
        <v>2023/03</v>
      </c>
      <c r="B41" s="2">
        <v>45016</v>
      </c>
      <c r="C41" s="3">
        <v>3.5051572358727023</v>
      </c>
    </row>
    <row r="42" spans="1:3" x14ac:dyDescent="0.2">
      <c r="A42" t="str">
        <f t="shared" si="0"/>
        <v>2023/02</v>
      </c>
      <c r="B42" s="2">
        <v>44985</v>
      </c>
      <c r="C42" s="3">
        <v>-2.6112446646715304</v>
      </c>
    </row>
    <row r="43" spans="1:3" x14ac:dyDescent="0.2">
      <c r="A43" t="str">
        <f t="shared" si="0"/>
        <v>2023/01</v>
      </c>
      <c r="B43" s="2">
        <v>44957</v>
      </c>
      <c r="C43" s="3">
        <v>6.1752832400052027</v>
      </c>
    </row>
    <row r="44" spans="1:3" x14ac:dyDescent="0.2">
      <c r="A44" t="str">
        <f t="shared" si="0"/>
        <v>2022/12</v>
      </c>
      <c r="B44" s="2">
        <v>44925</v>
      </c>
      <c r="C44" s="3">
        <v>-5.8971449299161094</v>
      </c>
    </row>
    <row r="45" spans="1:3" x14ac:dyDescent="0.2">
      <c r="A45" t="str">
        <f t="shared" si="0"/>
        <v>2022/11</v>
      </c>
      <c r="B45" s="2">
        <v>44895</v>
      </c>
      <c r="C45" s="3">
        <v>5.3752860293699856</v>
      </c>
    </row>
    <row r="46" spans="1:3" x14ac:dyDescent="0.2">
      <c r="A46" t="str">
        <f t="shared" si="0"/>
        <v>2022/10</v>
      </c>
      <c r="B46" s="2">
        <v>44865</v>
      </c>
      <c r="C46" s="3">
        <v>7.9863454576893256</v>
      </c>
    </row>
    <row r="47" spans="1:3" x14ac:dyDescent="0.2">
      <c r="A47" t="str">
        <f t="shared" si="0"/>
        <v>2022/09</v>
      </c>
      <c r="B47" s="2">
        <v>44834</v>
      </c>
      <c r="C47" s="3">
        <v>-9.3395701643489311</v>
      </c>
    </row>
    <row r="48" spans="1:3" x14ac:dyDescent="0.2">
      <c r="A48" t="str">
        <f t="shared" si="0"/>
        <v>2022/08</v>
      </c>
      <c r="B48" s="2">
        <v>44804</v>
      </c>
      <c r="C48" s="3">
        <v>-4.2440119216810457</v>
      </c>
    </row>
    <row r="49" spans="1:3" x14ac:dyDescent="0.2">
      <c r="A49" t="str">
        <f t="shared" si="0"/>
        <v>2022/07</v>
      </c>
      <c r="B49" s="2">
        <v>44771</v>
      </c>
      <c r="C49" s="3">
        <v>9.1116347632205894</v>
      </c>
    </row>
    <row r="50" spans="1:3" x14ac:dyDescent="0.2">
      <c r="A50" t="str">
        <f t="shared" si="0"/>
        <v>2022/06</v>
      </c>
      <c r="B50" s="2">
        <v>44742</v>
      </c>
      <c r="C50" s="3">
        <v>-8.3919993223866456</v>
      </c>
    </row>
    <row r="51" spans="1:3" x14ac:dyDescent="0.2">
      <c r="A51" t="str">
        <f t="shared" si="0"/>
        <v>2022/05</v>
      </c>
      <c r="B51" s="2">
        <v>44712</v>
      </c>
      <c r="C51" s="3">
        <v>5.3243883608722342E-3</v>
      </c>
    </row>
    <row r="52" spans="1:3" x14ac:dyDescent="0.2">
      <c r="A52" t="str">
        <f t="shared" si="0"/>
        <v>2022/04</v>
      </c>
      <c r="B52" s="2">
        <v>44680</v>
      </c>
      <c r="C52" s="3">
        <v>-8.7956719149039344</v>
      </c>
    </row>
    <row r="53" spans="1:3" x14ac:dyDescent="0.2">
      <c r="A53" t="str">
        <f t="shared" si="0"/>
        <v>2022/03</v>
      </c>
      <c r="B53" s="2">
        <v>44651</v>
      </c>
      <c r="C53" s="3">
        <v>3.5773238773280092</v>
      </c>
    </row>
    <row r="54" spans="1:3" x14ac:dyDescent="0.2">
      <c r="A54" t="str">
        <f t="shared" si="0"/>
        <v>2022/02</v>
      </c>
      <c r="B54" s="2">
        <v>44620</v>
      </c>
      <c r="C54" s="3">
        <v>-3.1360520866782648</v>
      </c>
    </row>
    <row r="55" spans="1:3" x14ac:dyDescent="0.2">
      <c r="A55" t="str">
        <f t="shared" si="0"/>
        <v>2022/01</v>
      </c>
      <c r="B55" s="2">
        <v>44589</v>
      </c>
      <c r="C55" s="3">
        <v>-5.2585089106999767</v>
      </c>
    </row>
    <row r="56" spans="1:3" x14ac:dyDescent="0.2">
      <c r="A56" t="str">
        <f t="shared" si="0"/>
        <v>2021/12</v>
      </c>
      <c r="B56" s="2">
        <v>44561</v>
      </c>
      <c r="C56" s="3">
        <v>4.3612874972629889</v>
      </c>
    </row>
    <row r="57" spans="1:3" x14ac:dyDescent="0.2">
      <c r="A57" t="str">
        <f t="shared" si="0"/>
        <v>2021/11</v>
      </c>
      <c r="B57" s="2">
        <v>44530</v>
      </c>
      <c r="C57" s="3">
        <v>-0.83337314184714906</v>
      </c>
    </row>
    <row r="58" spans="1:3" x14ac:dyDescent="0.2">
      <c r="A58" t="str">
        <f t="shared" si="0"/>
        <v>2021/10</v>
      </c>
      <c r="B58" s="2">
        <v>44498</v>
      </c>
      <c r="C58" s="3">
        <v>6.9143873301234615</v>
      </c>
    </row>
    <row r="59" spans="1:3" x14ac:dyDescent="0.2">
      <c r="A59" t="str">
        <f t="shared" si="0"/>
        <v>2021/09</v>
      </c>
      <c r="B59" s="2">
        <v>44469</v>
      </c>
      <c r="C59" s="3">
        <v>-4.7569140421166338</v>
      </c>
    </row>
    <row r="60" spans="1:3" x14ac:dyDescent="0.2">
      <c r="A60" t="str">
        <f t="shared" si="0"/>
        <v>2021/08</v>
      </c>
      <c r="B60" s="2">
        <v>44439</v>
      </c>
      <c r="C60" s="3">
        <v>2.8990321391681118</v>
      </c>
    </row>
    <row r="61" spans="1:3" x14ac:dyDescent="0.2">
      <c r="A61" t="str">
        <f t="shared" si="0"/>
        <v>2021/07</v>
      </c>
      <c r="B61" s="2">
        <v>44407</v>
      </c>
      <c r="C61" s="3">
        <v>2.274810936591054</v>
      </c>
    </row>
    <row r="62" spans="1:3" x14ac:dyDescent="0.2">
      <c r="A62" t="str">
        <f t="shared" si="0"/>
        <v>2021/06</v>
      </c>
      <c r="B62" s="2">
        <v>44377</v>
      </c>
      <c r="C62" s="3">
        <v>2.221397632316946</v>
      </c>
    </row>
    <row r="63" spans="1:3" x14ac:dyDescent="0.2">
      <c r="A63" t="str">
        <f t="shared" si="0"/>
        <v>2021/05</v>
      </c>
      <c r="B63" s="2">
        <v>44347</v>
      </c>
      <c r="C63" s="3">
        <v>0.54865025818131574</v>
      </c>
    </row>
    <row r="64" spans="1:3" x14ac:dyDescent="0.2">
      <c r="A64" t="str">
        <f t="shared" si="0"/>
        <v>2021/04</v>
      </c>
      <c r="B64" s="2">
        <v>44316</v>
      </c>
      <c r="C64" s="3">
        <v>5.242531255584737</v>
      </c>
    </row>
    <row r="65" spans="1:3" x14ac:dyDescent="0.2">
      <c r="A65" t="str">
        <f t="shared" si="0"/>
        <v>2021/03</v>
      </c>
      <c r="B65" s="2">
        <v>44286</v>
      </c>
      <c r="C65" s="3">
        <v>4.2438634008107767</v>
      </c>
    </row>
    <row r="66" spans="1:3" x14ac:dyDescent="0.2">
      <c r="A66" t="str">
        <f t="shared" si="0"/>
        <v>2021/02</v>
      </c>
      <c r="B66" s="2">
        <v>44253</v>
      </c>
      <c r="C66" s="3">
        <v>2.6091474971999817</v>
      </c>
    </row>
    <row r="67" spans="1:3" x14ac:dyDescent="0.2">
      <c r="A67" t="str">
        <f t="shared" si="0"/>
        <v>2021/01</v>
      </c>
      <c r="B67" s="2">
        <v>44225</v>
      </c>
      <c r="C67" s="3">
        <v>-1.1136640158463607</v>
      </c>
    </row>
    <row r="68" spans="1:3" x14ac:dyDescent="0.2">
      <c r="A68" t="str">
        <f t="shared" si="0"/>
        <v>2020/12</v>
      </c>
      <c r="B68" s="2">
        <v>44196</v>
      </c>
      <c r="C68" s="3">
        <v>3.712140665943231</v>
      </c>
    </row>
    <row r="69" spans="1:3" x14ac:dyDescent="0.2">
      <c r="A69" t="str">
        <f t="shared" si="0"/>
        <v>2020/11</v>
      </c>
      <c r="B69" s="2">
        <v>44165</v>
      </c>
      <c r="C69" s="3">
        <v>10.754565805086314</v>
      </c>
    </row>
    <row r="70" spans="1:3" x14ac:dyDescent="0.2">
      <c r="A70" t="str">
        <f t="shared" ref="A70:A133" si="1">IF(C70="","",TEXT(B70,"YYYY/MM"))</f>
        <v>2020/10</v>
      </c>
      <c r="B70" s="2">
        <v>44134</v>
      </c>
      <c r="C70" s="3">
        <v>-2.7665774606006499</v>
      </c>
    </row>
    <row r="71" spans="1:3" x14ac:dyDescent="0.2">
      <c r="A71" t="str">
        <f t="shared" si="1"/>
        <v>2020/09</v>
      </c>
      <c r="B71" s="2">
        <v>44104</v>
      </c>
      <c r="C71" s="3">
        <v>-3.9227954095494399</v>
      </c>
    </row>
    <row r="72" spans="1:3" x14ac:dyDescent="0.2">
      <c r="A72" t="str">
        <f t="shared" si="1"/>
        <v>2020/08</v>
      </c>
      <c r="B72" s="2">
        <v>44074</v>
      </c>
      <c r="C72" s="3">
        <v>7.0064687324219221</v>
      </c>
    </row>
    <row r="73" spans="1:3" x14ac:dyDescent="0.2">
      <c r="A73" t="str">
        <f t="shared" si="1"/>
        <v>2020/07</v>
      </c>
      <c r="B73" s="2">
        <v>44043</v>
      </c>
      <c r="C73" s="3">
        <v>5.5101296975444303</v>
      </c>
    </row>
    <row r="74" spans="1:3" x14ac:dyDescent="0.2">
      <c r="A74" t="str">
        <f t="shared" si="1"/>
        <v>2020/06</v>
      </c>
      <c r="B74" s="2">
        <v>44012</v>
      </c>
      <c r="C74" s="3">
        <v>1.8388403283502663</v>
      </c>
    </row>
    <row r="75" spans="1:3" x14ac:dyDescent="0.2">
      <c r="A75" t="str">
        <f t="shared" si="1"/>
        <v>2020/05</v>
      </c>
      <c r="B75" s="2">
        <v>43980</v>
      </c>
      <c r="C75" s="3">
        <v>4.528177501261843</v>
      </c>
    </row>
    <row r="76" spans="1:3" x14ac:dyDescent="0.2">
      <c r="A76" t="str">
        <f t="shared" si="1"/>
        <v>2020/04</v>
      </c>
      <c r="B76" s="2">
        <v>43951</v>
      </c>
      <c r="C76" s="3">
        <v>12.684410293315374</v>
      </c>
    </row>
    <row r="77" spans="1:3" x14ac:dyDescent="0.2">
      <c r="A77" t="str">
        <f t="shared" si="1"/>
        <v>2020/03</v>
      </c>
      <c r="B77" s="2">
        <v>43921</v>
      </c>
      <c r="C77" s="3">
        <v>-12.511932083595656</v>
      </c>
    </row>
    <row r="78" spans="1:3" x14ac:dyDescent="0.2">
      <c r="A78" t="str">
        <f t="shared" si="1"/>
        <v>2020/02</v>
      </c>
      <c r="B78" s="2">
        <v>43889</v>
      </c>
      <c r="C78" s="3">
        <v>-8.4110469009648128</v>
      </c>
    </row>
    <row r="79" spans="1:3" x14ac:dyDescent="0.2">
      <c r="A79" t="str">
        <f t="shared" si="1"/>
        <v>2020/01</v>
      </c>
      <c r="B79" s="2">
        <v>43853</v>
      </c>
      <c r="C79" s="3">
        <v>-0.16280898111292741</v>
      </c>
    </row>
    <row r="80" spans="1:3" x14ac:dyDescent="0.2">
      <c r="A80" t="str">
        <f t="shared" si="1"/>
        <v>2019/12</v>
      </c>
      <c r="B80" s="2">
        <v>43830</v>
      </c>
      <c r="C80" s="3">
        <v>2.8589803182446305</v>
      </c>
    </row>
    <row r="81" spans="1:3" x14ac:dyDescent="0.2">
      <c r="A81" t="str">
        <f t="shared" si="1"/>
        <v>2019/11</v>
      </c>
      <c r="B81" s="2">
        <v>43798</v>
      </c>
      <c r="C81" s="3">
        <v>3.404706409091518</v>
      </c>
    </row>
    <row r="82" spans="1:3" x14ac:dyDescent="0.2">
      <c r="A82" t="str">
        <f t="shared" si="1"/>
        <v>2019/10</v>
      </c>
      <c r="B82" s="2">
        <v>43769</v>
      </c>
      <c r="C82" s="3">
        <v>2.0431747482144935</v>
      </c>
    </row>
    <row r="83" spans="1:3" x14ac:dyDescent="0.2">
      <c r="A83" t="str">
        <f t="shared" si="1"/>
        <v>2019/09</v>
      </c>
      <c r="B83" s="2">
        <v>43738</v>
      </c>
      <c r="C83" s="3">
        <v>1.7181167690656807</v>
      </c>
    </row>
    <row r="84" spans="1:3" x14ac:dyDescent="0.2">
      <c r="A84" t="str">
        <f t="shared" si="1"/>
        <v>2019/08</v>
      </c>
      <c r="B84" s="2">
        <v>43707</v>
      </c>
      <c r="C84" s="3">
        <v>-1.8091652742267761</v>
      </c>
    </row>
    <row r="85" spans="1:3" x14ac:dyDescent="0.2">
      <c r="A85" t="str">
        <f t="shared" si="1"/>
        <v>2019/07</v>
      </c>
      <c r="B85" s="2">
        <v>43677</v>
      </c>
      <c r="C85" s="3">
        <v>1.3128195366039375</v>
      </c>
    </row>
    <row r="86" spans="1:3" x14ac:dyDescent="0.2">
      <c r="A86" t="str">
        <f t="shared" si="1"/>
        <v>2019/06</v>
      </c>
      <c r="B86" s="2">
        <v>43644</v>
      </c>
      <c r="C86" s="3">
        <v>6.8930183208214979</v>
      </c>
    </row>
    <row r="87" spans="1:3" x14ac:dyDescent="0.2">
      <c r="A87" t="str">
        <f t="shared" si="1"/>
        <v>2019/05</v>
      </c>
      <c r="B87" s="2">
        <v>43616</v>
      </c>
      <c r="C87" s="3">
        <v>-6.577772648116154</v>
      </c>
    </row>
    <row r="88" spans="1:3" x14ac:dyDescent="0.2">
      <c r="A88" t="str">
        <f t="shared" si="1"/>
        <v>2019/04</v>
      </c>
      <c r="B88" s="2">
        <v>43585</v>
      </c>
      <c r="C88" s="3">
        <v>3.9313434942139347</v>
      </c>
    </row>
    <row r="89" spans="1:3" x14ac:dyDescent="0.2">
      <c r="A89" t="str">
        <f t="shared" si="1"/>
        <v>2019/03</v>
      </c>
      <c r="B89" s="2">
        <v>43553</v>
      </c>
      <c r="C89" s="3">
        <v>1.7924287751078349</v>
      </c>
    </row>
    <row r="90" spans="1:3" x14ac:dyDescent="0.2">
      <c r="A90" t="str">
        <f t="shared" si="1"/>
        <v>2019/02</v>
      </c>
      <c r="B90" s="2">
        <v>43524</v>
      </c>
      <c r="C90" s="3">
        <v>2.9728930143116061</v>
      </c>
    </row>
    <row r="91" spans="1:3" x14ac:dyDescent="0.2">
      <c r="A91" t="str">
        <f t="shared" si="1"/>
        <v>2019/01</v>
      </c>
      <c r="B91" s="2">
        <v>43496</v>
      </c>
      <c r="C91" s="3">
        <v>7.8684404731036883</v>
      </c>
    </row>
    <row r="92" spans="1:3" x14ac:dyDescent="0.2">
      <c r="A92" t="str">
        <f t="shared" si="1"/>
        <v>2018/12</v>
      </c>
      <c r="B92" s="2">
        <v>43462</v>
      </c>
      <c r="C92" s="3">
        <v>-9.1776955767217334</v>
      </c>
    </row>
    <row r="93" spans="1:3" x14ac:dyDescent="0.2">
      <c r="A93" t="str">
        <f t="shared" si="1"/>
        <v>2018/11</v>
      </c>
      <c r="B93" s="2">
        <v>43434</v>
      </c>
      <c r="C93" s="3">
        <v>1.785938179914015</v>
      </c>
    </row>
    <row r="94" spans="1:3" x14ac:dyDescent="0.2">
      <c r="A94" t="str">
        <f t="shared" si="1"/>
        <v>2018/10</v>
      </c>
      <c r="B94" s="2">
        <v>43404</v>
      </c>
      <c r="C94" s="3">
        <v>-6.9403358979814644</v>
      </c>
    </row>
    <row r="95" spans="1:3" x14ac:dyDescent="0.2">
      <c r="A95" t="str">
        <f t="shared" si="1"/>
        <v>2018/09</v>
      </c>
      <c r="B95" s="2">
        <v>43371</v>
      </c>
      <c r="C95" s="3">
        <v>0.42943009181395375</v>
      </c>
    </row>
    <row r="96" spans="1:3" x14ac:dyDescent="0.2">
      <c r="A96" t="str">
        <f t="shared" si="1"/>
        <v>2018/08</v>
      </c>
      <c r="B96" s="2">
        <v>43343</v>
      </c>
      <c r="C96" s="3">
        <v>3.0263218631604083</v>
      </c>
    </row>
    <row r="97" spans="1:3" x14ac:dyDescent="0.2">
      <c r="A97" t="str">
        <f t="shared" si="1"/>
        <v>2018/07</v>
      </c>
      <c r="B97" s="2">
        <v>43312</v>
      </c>
      <c r="C97" s="3">
        <v>3.6021586465418753</v>
      </c>
    </row>
    <row r="98" spans="1:3" x14ac:dyDescent="0.2">
      <c r="A98" t="str">
        <f t="shared" si="1"/>
        <v>2018/06</v>
      </c>
      <c r="B98" s="2">
        <v>43280</v>
      </c>
      <c r="C98" s="3">
        <v>0.48424002040461378</v>
      </c>
    </row>
    <row r="99" spans="1:3" x14ac:dyDescent="0.2">
      <c r="A99" t="str">
        <f t="shared" si="1"/>
        <v>2018/05</v>
      </c>
      <c r="B99" s="2">
        <v>43251</v>
      </c>
      <c r="C99" s="3">
        <v>2.1608353316591389</v>
      </c>
    </row>
    <row r="100" spans="1:3" x14ac:dyDescent="0.2">
      <c r="A100" t="str">
        <f t="shared" si="1"/>
        <v>2018/04</v>
      </c>
      <c r="B100" s="2">
        <v>43217</v>
      </c>
      <c r="C100" s="3">
        <v>0.2718801001185378</v>
      </c>
    </row>
    <row r="101" spans="1:3" x14ac:dyDescent="0.2">
      <c r="A101" t="str">
        <f t="shared" si="1"/>
        <v>2018/03</v>
      </c>
      <c r="B101" s="2">
        <v>43189</v>
      </c>
      <c r="C101" s="3">
        <v>-2.6884513768364315</v>
      </c>
    </row>
    <row r="102" spans="1:3" x14ac:dyDescent="0.2">
      <c r="A102" t="str">
        <f t="shared" si="1"/>
        <v>2018/02</v>
      </c>
      <c r="B102" s="2">
        <v>43159</v>
      </c>
      <c r="C102" s="3">
        <v>-3.8947379604151844</v>
      </c>
    </row>
    <row r="103" spans="1:3" x14ac:dyDescent="0.2">
      <c r="A103" t="str">
        <f t="shared" si="1"/>
        <v>2018/01</v>
      </c>
      <c r="B103" s="2">
        <v>43131</v>
      </c>
      <c r="C103" s="3">
        <v>5.6178724645703726</v>
      </c>
    </row>
    <row r="104" spans="1:3" x14ac:dyDescent="0.2">
      <c r="A104" t="str">
        <f t="shared" si="1"/>
        <v>2017/12</v>
      </c>
      <c r="B104" s="2">
        <v>43098</v>
      </c>
      <c r="C104" s="3">
        <v>0.98316198188534987</v>
      </c>
    </row>
    <row r="105" spans="1:3" x14ac:dyDescent="0.2">
      <c r="A105" t="str">
        <f t="shared" si="1"/>
        <v>2017/11</v>
      </c>
      <c r="B105" s="2">
        <v>43069</v>
      </c>
      <c r="C105" s="3">
        <v>2.8082601368405458</v>
      </c>
    </row>
    <row r="106" spans="1:3" x14ac:dyDescent="0.2">
      <c r="A106" t="str">
        <f t="shared" si="1"/>
        <v>2017/10</v>
      </c>
      <c r="B106" s="2">
        <v>43039</v>
      </c>
      <c r="C106" s="3">
        <v>2.2188174774546043</v>
      </c>
    </row>
    <row r="107" spans="1:3" x14ac:dyDescent="0.2">
      <c r="A107" t="str">
        <f t="shared" si="1"/>
        <v>2017/09</v>
      </c>
      <c r="B107" s="2">
        <v>43007</v>
      </c>
      <c r="C107" s="3">
        <v>1.9302894827342154</v>
      </c>
    </row>
    <row r="108" spans="1:3" x14ac:dyDescent="0.2">
      <c r="A108" t="str">
        <f t="shared" si="1"/>
        <v>2017/08</v>
      </c>
      <c r="B108" s="2">
        <v>42978</v>
      </c>
      <c r="C108" s="3">
        <v>5.4649232886694321E-2</v>
      </c>
    </row>
    <row r="109" spans="1:3" x14ac:dyDescent="0.2">
      <c r="A109" t="str">
        <f t="shared" si="1"/>
        <v>2017/07</v>
      </c>
      <c r="B109" s="2">
        <v>42947</v>
      </c>
      <c r="C109" s="3">
        <v>1.9348768883515444</v>
      </c>
    </row>
    <row r="110" spans="1:3" x14ac:dyDescent="0.2">
      <c r="A110" t="str">
        <f t="shared" si="1"/>
        <v>2017/06</v>
      </c>
      <c r="B110" s="2">
        <v>42916</v>
      </c>
      <c r="C110" s="3">
        <v>0.48138319927024664</v>
      </c>
    </row>
    <row r="111" spans="1:3" x14ac:dyDescent="0.2">
      <c r="A111" t="str">
        <f t="shared" si="1"/>
        <v>2017/05</v>
      </c>
      <c r="B111" s="2">
        <v>42886</v>
      </c>
      <c r="C111" s="3">
        <v>1.1576210049492719</v>
      </c>
    </row>
    <row r="112" spans="1:3" x14ac:dyDescent="0.2">
      <c r="A112" t="str">
        <f t="shared" si="1"/>
        <v>2017/04</v>
      </c>
      <c r="B112" s="2">
        <v>42853</v>
      </c>
      <c r="C112" s="3">
        <v>0.90912169025529899</v>
      </c>
    </row>
    <row r="113" spans="1:3" x14ac:dyDescent="0.2">
      <c r="A113" t="str">
        <f t="shared" si="1"/>
        <v>2017/03</v>
      </c>
      <c r="B113" s="2">
        <v>42825</v>
      </c>
      <c r="C113" s="3">
        <v>-3.8923017041514463E-2</v>
      </c>
    </row>
    <row r="114" spans="1:3" x14ac:dyDescent="0.2">
      <c r="A114" t="str">
        <f t="shared" si="1"/>
        <v>2017/02</v>
      </c>
      <c r="B114" s="2">
        <v>42794</v>
      </c>
      <c r="C114" s="3">
        <v>3.7198260541408734</v>
      </c>
    </row>
    <row r="115" spans="1:3" x14ac:dyDescent="0.2">
      <c r="A115" t="str">
        <f t="shared" si="1"/>
        <v>2017/01</v>
      </c>
      <c r="B115" s="2">
        <v>42761</v>
      </c>
      <c r="C115" s="3">
        <v>1.7884341374735824</v>
      </c>
    </row>
    <row r="116" spans="1:3" x14ac:dyDescent="0.2">
      <c r="A116" t="str">
        <f t="shared" si="1"/>
        <v>2016/12</v>
      </c>
      <c r="B116" s="2">
        <v>42734</v>
      </c>
      <c r="C116" s="3">
        <v>1.8200754044233047</v>
      </c>
    </row>
    <row r="117" spans="1:3" x14ac:dyDescent="0.2">
      <c r="A117" t="str">
        <f t="shared" si="1"/>
        <v>2016/11</v>
      </c>
      <c r="B117" s="2">
        <v>42704</v>
      </c>
      <c r="C117" s="3">
        <v>3.4174446769983158</v>
      </c>
    </row>
    <row r="118" spans="1:3" x14ac:dyDescent="0.2">
      <c r="A118" t="str">
        <f t="shared" si="1"/>
        <v>2016/10</v>
      </c>
      <c r="B118" s="2">
        <v>42674</v>
      </c>
      <c r="C118" s="3">
        <v>-1.9425625037472249</v>
      </c>
    </row>
    <row r="119" spans="1:3" x14ac:dyDescent="0.2">
      <c r="A119" t="str">
        <f t="shared" si="1"/>
        <v>2016/09</v>
      </c>
      <c r="B119" s="2">
        <v>42643</v>
      </c>
      <c r="C119" s="3">
        <v>-0.12344825997834263</v>
      </c>
    </row>
    <row r="120" spans="1:3" x14ac:dyDescent="0.2">
      <c r="A120" t="str">
        <f t="shared" si="1"/>
        <v>2016/08</v>
      </c>
      <c r="B120" s="2">
        <v>42613</v>
      </c>
      <c r="C120" s="3">
        <v>-0.12191755612808164</v>
      </c>
    </row>
    <row r="121" spans="1:3" x14ac:dyDescent="0.2">
      <c r="A121" t="str">
        <f t="shared" si="1"/>
        <v>2016/07</v>
      </c>
      <c r="B121" s="2">
        <v>42580</v>
      </c>
      <c r="C121" s="3">
        <v>3.5609807228685897</v>
      </c>
    </row>
    <row r="122" spans="1:3" x14ac:dyDescent="0.2">
      <c r="A122" t="str">
        <f t="shared" si="1"/>
        <v>2016/06</v>
      </c>
      <c r="B122" s="2">
        <v>42551</v>
      </c>
      <c r="C122" s="3">
        <v>9.0607355409733081E-2</v>
      </c>
    </row>
    <row r="123" spans="1:3" x14ac:dyDescent="0.2">
      <c r="A123" t="str">
        <f t="shared" si="1"/>
        <v>2016/05</v>
      </c>
      <c r="B123" s="2">
        <v>42521</v>
      </c>
      <c r="C123" s="3">
        <v>1.5329492083474561</v>
      </c>
    </row>
    <row r="124" spans="1:3" x14ac:dyDescent="0.2">
      <c r="A124" t="str">
        <f t="shared" si="1"/>
        <v>2016/04</v>
      </c>
      <c r="B124" s="2">
        <v>42489</v>
      </c>
      <c r="C124" s="3">
        <v>0.269936982337593</v>
      </c>
    </row>
    <row r="125" spans="1:3" x14ac:dyDescent="0.2">
      <c r="A125" t="str">
        <f t="shared" si="1"/>
        <v>2016/03</v>
      </c>
      <c r="B125" s="2">
        <v>42460</v>
      </c>
      <c r="C125" s="3">
        <v>6.5991108718941094</v>
      </c>
    </row>
    <row r="126" spans="1:3" x14ac:dyDescent="0.2">
      <c r="A126" t="str">
        <f t="shared" si="1"/>
        <v>2016/02</v>
      </c>
      <c r="B126" s="2">
        <v>42429</v>
      </c>
      <c r="C126" s="3">
        <v>-0.41283552550199776</v>
      </c>
    </row>
    <row r="127" spans="1:3" x14ac:dyDescent="0.2">
      <c r="A127" t="str">
        <f t="shared" si="1"/>
        <v>2016/01</v>
      </c>
      <c r="B127" s="2">
        <v>42398</v>
      </c>
      <c r="C127" s="3">
        <v>-5.0735344481736222</v>
      </c>
    </row>
    <row r="128" spans="1:3" x14ac:dyDescent="0.2">
      <c r="A128" t="str">
        <f t="shared" si="1"/>
        <v>2015/12</v>
      </c>
      <c r="B128" s="2">
        <v>42369</v>
      </c>
      <c r="C128" s="3">
        <v>-1.7530198374358763</v>
      </c>
    </row>
    <row r="129" spans="1:3" x14ac:dyDescent="0.2">
      <c r="A129" t="str">
        <f t="shared" si="1"/>
        <v>2015/11</v>
      </c>
      <c r="B129" s="2">
        <v>42338</v>
      </c>
      <c r="C129" s="3">
        <v>5.0496306555847248E-2</v>
      </c>
    </row>
    <row r="130" spans="1:3" x14ac:dyDescent="0.2">
      <c r="A130" t="str">
        <f t="shared" si="1"/>
        <v>2015/10</v>
      </c>
      <c r="B130" s="2">
        <v>42307</v>
      </c>
      <c r="C130" s="3">
        <v>8.2983078389400333</v>
      </c>
    </row>
    <row r="131" spans="1:3" x14ac:dyDescent="0.2">
      <c r="A131" t="str">
        <f t="shared" si="1"/>
        <v>2015/09</v>
      </c>
      <c r="B131" s="2">
        <v>42277</v>
      </c>
      <c r="C131" s="3">
        <v>-2.6442819620927094</v>
      </c>
    </row>
    <row r="132" spans="1:3" x14ac:dyDescent="0.2">
      <c r="A132" t="str">
        <f t="shared" si="1"/>
        <v>2015/08</v>
      </c>
      <c r="B132" s="2">
        <v>42247</v>
      </c>
      <c r="C132" s="3">
        <v>-6.258080462392579</v>
      </c>
    </row>
    <row r="133" spans="1:3" x14ac:dyDescent="0.2">
      <c r="A133" t="str">
        <f t="shared" si="1"/>
        <v>2015/07</v>
      </c>
      <c r="B133" s="2">
        <v>42216</v>
      </c>
      <c r="C133" s="3">
        <v>1.9742039930008559</v>
      </c>
    </row>
    <row r="134" spans="1:3" x14ac:dyDescent="0.2">
      <c r="A134" t="str">
        <f t="shared" ref="A134:A197" si="2">IF(C134="","",TEXT(B134,"YYYY/MM"))</f>
        <v>2015/06</v>
      </c>
      <c r="B134" s="2">
        <v>42185</v>
      </c>
      <c r="C134" s="3">
        <v>-2.10117728564716</v>
      </c>
    </row>
    <row r="135" spans="1:3" x14ac:dyDescent="0.2">
      <c r="A135" t="str">
        <f t="shared" si="2"/>
        <v>2015/05</v>
      </c>
      <c r="B135" s="2">
        <v>42153</v>
      </c>
      <c r="C135" s="3">
        <v>1.0491438545008114</v>
      </c>
    </row>
    <row r="136" spans="1:3" x14ac:dyDescent="0.2">
      <c r="A136" t="str">
        <f t="shared" si="2"/>
        <v>2015/04</v>
      </c>
      <c r="B136" s="2">
        <v>42124</v>
      </c>
      <c r="C136" s="3">
        <v>0.85207627098153882</v>
      </c>
    </row>
    <row r="137" spans="1:3" x14ac:dyDescent="0.2">
      <c r="A137" t="str">
        <f t="shared" si="2"/>
        <v>2015/03</v>
      </c>
      <c r="B137" s="2">
        <v>42094</v>
      </c>
      <c r="C137" s="3">
        <v>-1.7396056070325572</v>
      </c>
    </row>
    <row r="138" spans="1:3" x14ac:dyDescent="0.2">
      <c r="A138" t="str">
        <f t="shared" si="2"/>
        <v>2015/02</v>
      </c>
      <c r="B138" s="2">
        <v>42062</v>
      </c>
      <c r="C138" s="3">
        <v>5.4892505726845675</v>
      </c>
    </row>
    <row r="139" spans="1:3" x14ac:dyDescent="0.2">
      <c r="A139" t="str">
        <f t="shared" si="2"/>
        <v>2015/01</v>
      </c>
      <c r="B139" s="2">
        <v>42034</v>
      </c>
      <c r="C139" s="3">
        <v>-3.1040847054252363</v>
      </c>
    </row>
    <row r="140" spans="1:3" x14ac:dyDescent="0.2">
      <c r="A140" t="str">
        <f t="shared" si="2"/>
        <v>2014/12</v>
      </c>
      <c r="B140" s="2">
        <v>42004</v>
      </c>
      <c r="C140" s="3">
        <v>-0.41885120625277938</v>
      </c>
    </row>
    <row r="141" spans="1:3" x14ac:dyDescent="0.2">
      <c r="A141" t="str">
        <f t="shared" si="2"/>
        <v>2014/11</v>
      </c>
      <c r="B141" s="2">
        <v>41971</v>
      </c>
      <c r="C141" s="3">
        <v>2.4533584400783015</v>
      </c>
    </row>
    <row r="142" spans="1:3" x14ac:dyDescent="0.2">
      <c r="A142" t="str">
        <f t="shared" si="2"/>
        <v>2014/10</v>
      </c>
      <c r="B142" s="2">
        <v>41943</v>
      </c>
      <c r="C142" s="3">
        <v>2.3201456175308888</v>
      </c>
    </row>
    <row r="143" spans="1:3" x14ac:dyDescent="0.2">
      <c r="A143" t="str">
        <f t="shared" si="2"/>
        <v>2014/09</v>
      </c>
      <c r="B143" s="2">
        <v>41912</v>
      </c>
      <c r="C143" s="3">
        <v>-1.5513859147336717</v>
      </c>
    </row>
    <row r="144" spans="1:3" x14ac:dyDescent="0.2">
      <c r="A144" t="str">
        <f t="shared" si="2"/>
        <v>2014/08</v>
      </c>
      <c r="B144" s="2">
        <v>41880</v>
      </c>
      <c r="C144" s="3">
        <v>3.7655321727690261</v>
      </c>
    </row>
    <row r="145" spans="1:3" x14ac:dyDescent="0.2">
      <c r="A145" t="str">
        <f t="shared" si="2"/>
        <v>2014/07</v>
      </c>
      <c r="B145" s="2">
        <v>41851</v>
      </c>
      <c r="C145" s="3">
        <v>-1.5079863077291922</v>
      </c>
    </row>
    <row r="146" spans="1:3" x14ac:dyDescent="0.2">
      <c r="A146" t="str">
        <f t="shared" si="2"/>
        <v>2014/06</v>
      </c>
      <c r="B146" s="2">
        <v>41820</v>
      </c>
      <c r="C146" s="3">
        <v>1.9058313448431896</v>
      </c>
    </row>
    <row r="147" spans="1:3" x14ac:dyDescent="0.2">
      <c r="A147" t="str">
        <f t="shared" si="2"/>
        <v>2014/05</v>
      </c>
      <c r="B147" s="2">
        <v>41789</v>
      </c>
      <c r="C147" s="3">
        <v>2.1030282120013677</v>
      </c>
    </row>
    <row r="148" spans="1:3" x14ac:dyDescent="0.2">
      <c r="A148" t="str">
        <f t="shared" si="2"/>
        <v>2014/04</v>
      </c>
      <c r="B148" s="2">
        <v>41759</v>
      </c>
      <c r="C148" s="3">
        <v>0.62007968638175814</v>
      </c>
    </row>
    <row r="149" spans="1:3" x14ac:dyDescent="0.2">
      <c r="A149" t="str">
        <f t="shared" si="2"/>
        <v>2014/03</v>
      </c>
      <c r="B149" s="2">
        <v>41729</v>
      </c>
      <c r="C149" s="3">
        <v>0.69321573583585039</v>
      </c>
    </row>
    <row r="150" spans="1:3" x14ac:dyDescent="0.2">
      <c r="A150" t="str">
        <f t="shared" si="2"/>
        <v>2014/02</v>
      </c>
      <c r="B150" s="2">
        <v>41698</v>
      </c>
      <c r="C150" s="3">
        <v>4.3117037568930705</v>
      </c>
    </row>
    <row r="151" spans="1:3" x14ac:dyDescent="0.2">
      <c r="A151" t="str">
        <f t="shared" si="2"/>
        <v>2014/01</v>
      </c>
      <c r="B151" s="2">
        <v>41669</v>
      </c>
      <c r="C151" s="3">
        <v>-3.5582895107013734</v>
      </c>
    </row>
    <row r="152" spans="1:3" x14ac:dyDescent="0.2">
      <c r="A152" t="str">
        <f t="shared" si="2"/>
        <v>2013/12</v>
      </c>
      <c r="B152" s="2">
        <v>41639</v>
      </c>
      <c r="C152" s="3">
        <v>2.3562833299184183</v>
      </c>
    </row>
    <row r="153" spans="1:3" x14ac:dyDescent="0.2">
      <c r="A153" t="str">
        <f t="shared" si="2"/>
        <v>2013/11</v>
      </c>
      <c r="B153" s="2">
        <v>41607</v>
      </c>
      <c r="C153" s="3">
        <v>2.804946087194149</v>
      </c>
    </row>
    <row r="154" spans="1:3" x14ac:dyDescent="0.2">
      <c r="A154" t="str">
        <f t="shared" si="2"/>
        <v>2013/10</v>
      </c>
      <c r="B154" s="2">
        <v>41578</v>
      </c>
      <c r="C154" s="3">
        <v>4.4595759864410889</v>
      </c>
    </row>
    <row r="155" spans="1:3" x14ac:dyDescent="0.2">
      <c r="A155" t="str">
        <f t="shared" si="2"/>
        <v>2013/09</v>
      </c>
      <c r="B155" s="2">
        <v>41547</v>
      </c>
      <c r="C155" s="3">
        <v>2.9749474883188354</v>
      </c>
    </row>
    <row r="156" spans="1:3" x14ac:dyDescent="0.2">
      <c r="A156" t="str">
        <f t="shared" si="2"/>
        <v>2013/08</v>
      </c>
      <c r="B156" s="2">
        <v>41516</v>
      </c>
      <c r="C156" s="3">
        <v>-3.1298013323604601</v>
      </c>
    </row>
    <row r="157" spans="1:3" x14ac:dyDescent="0.2">
      <c r="A157" t="str">
        <f t="shared" si="2"/>
        <v>2013/07</v>
      </c>
      <c r="B157" s="2">
        <v>41486</v>
      </c>
      <c r="C157" s="3">
        <v>4.9462111213487203</v>
      </c>
    </row>
    <row r="158" spans="1:3" x14ac:dyDescent="0.2">
      <c r="A158" t="str">
        <f t="shared" si="2"/>
        <v>2013/06</v>
      </c>
      <c r="B158" s="2">
        <v>41453</v>
      </c>
      <c r="C158" s="3">
        <v>-1.499932545960736</v>
      </c>
    </row>
    <row r="159" spans="1:3" x14ac:dyDescent="0.2">
      <c r="A159" t="str">
        <f t="shared" si="2"/>
        <v>2013/05</v>
      </c>
      <c r="B159" s="2">
        <v>41425</v>
      </c>
      <c r="C159" s="3">
        <v>2.0762783477406455</v>
      </c>
    </row>
    <row r="160" spans="1:3" x14ac:dyDescent="0.2">
      <c r="A160" t="str">
        <f t="shared" si="2"/>
        <v>2013/04</v>
      </c>
      <c r="B160" s="2">
        <v>41390</v>
      </c>
      <c r="C160" s="3">
        <v>1.8085763992887971</v>
      </c>
    </row>
    <row r="161" spans="1:3" x14ac:dyDescent="0.2">
      <c r="A161" t="str">
        <f t="shared" si="2"/>
        <v>2013/03</v>
      </c>
      <c r="B161" s="2">
        <v>41362</v>
      </c>
      <c r="C161" s="3">
        <v>3.5987799403174314</v>
      </c>
    </row>
    <row r="162" spans="1:3" x14ac:dyDescent="0.2">
      <c r="A162" t="str">
        <f t="shared" si="2"/>
        <v>2013/02</v>
      </c>
      <c r="B162" s="2">
        <v>41333</v>
      </c>
      <c r="C162" s="3">
        <v>1.1060603026480154</v>
      </c>
    </row>
    <row r="163" spans="1:3" x14ac:dyDescent="0.2">
      <c r="A163" t="str">
        <f t="shared" si="2"/>
        <v>2013/01</v>
      </c>
      <c r="B163" s="2">
        <v>41305</v>
      </c>
      <c r="C163" s="3">
        <v>5.0428063581991145</v>
      </c>
    </row>
    <row r="164" spans="1:3" x14ac:dyDescent="0.2">
      <c r="A164" t="str">
        <f t="shared" si="2"/>
        <v>2012/12</v>
      </c>
      <c r="B164" s="2">
        <v>41274</v>
      </c>
      <c r="C164" s="3">
        <v>0.70683105254980561</v>
      </c>
    </row>
    <row r="165" spans="1:3" x14ac:dyDescent="0.2">
      <c r="A165" t="str">
        <f t="shared" si="2"/>
        <v>2012/11</v>
      </c>
      <c r="B165" s="2">
        <v>41243</v>
      </c>
      <c r="C165" s="3">
        <v>0.28467029231815655</v>
      </c>
    </row>
    <row r="166" spans="1:3" x14ac:dyDescent="0.2">
      <c r="A166" t="str">
        <f t="shared" si="2"/>
        <v>2012/10</v>
      </c>
      <c r="B166" s="2">
        <v>41213</v>
      </c>
      <c r="C166" s="3">
        <v>-1.9789403541407791</v>
      </c>
    </row>
    <row r="167" spans="1:3" x14ac:dyDescent="0.2">
      <c r="A167" t="str">
        <f t="shared" si="2"/>
        <v>2012/09</v>
      </c>
      <c r="B167" s="2">
        <v>41180</v>
      </c>
      <c r="C167" s="3">
        <v>2.4236090375236552</v>
      </c>
    </row>
    <row r="168" spans="1:3" x14ac:dyDescent="0.2">
      <c r="A168" t="str">
        <f t="shared" si="2"/>
        <v>2012/08</v>
      </c>
      <c r="B168" s="2">
        <v>41152</v>
      </c>
      <c r="C168" s="3">
        <v>1.9763361656468303</v>
      </c>
    </row>
    <row r="169" spans="1:3" x14ac:dyDescent="0.2">
      <c r="A169" t="str">
        <f t="shared" si="2"/>
        <v>2012/07</v>
      </c>
      <c r="B169" s="2">
        <v>41121</v>
      </c>
      <c r="C169" s="3">
        <v>1.2597639043871345</v>
      </c>
    </row>
    <row r="170" spans="1:3" x14ac:dyDescent="0.2">
      <c r="A170" t="str">
        <f t="shared" si="2"/>
        <v>2012/06</v>
      </c>
      <c r="B170" s="2">
        <v>41089</v>
      </c>
      <c r="C170" s="3">
        <v>3.9554921279372435</v>
      </c>
    </row>
    <row r="171" spans="1:3" x14ac:dyDescent="0.2">
      <c r="A171" t="str">
        <f t="shared" si="2"/>
        <v>2012/05</v>
      </c>
      <c r="B171" s="2">
        <v>41060</v>
      </c>
      <c r="C171" s="3">
        <v>-6.2650671359386623</v>
      </c>
    </row>
    <row r="172" spans="1:3" x14ac:dyDescent="0.2">
      <c r="A172" t="str">
        <f t="shared" si="2"/>
        <v>2012/04</v>
      </c>
      <c r="B172" s="2">
        <v>41026</v>
      </c>
      <c r="C172" s="3">
        <v>-0.7497497284287169</v>
      </c>
    </row>
    <row r="173" spans="1:3" x14ac:dyDescent="0.2">
      <c r="A173" t="str">
        <f t="shared" si="2"/>
        <v>2012/03</v>
      </c>
      <c r="B173" s="2">
        <v>40998</v>
      </c>
      <c r="C173" s="3">
        <v>3.1332376545017748</v>
      </c>
    </row>
    <row r="174" spans="1:3" x14ac:dyDescent="0.2">
      <c r="A174" t="str">
        <f t="shared" si="2"/>
        <v>2012/02</v>
      </c>
      <c r="B174" s="2">
        <v>40968</v>
      </c>
      <c r="C174" s="3">
        <v>4.0589449943234213</v>
      </c>
    </row>
    <row r="175" spans="1:3" x14ac:dyDescent="0.2">
      <c r="A175" t="str">
        <f t="shared" si="2"/>
        <v>2012/01</v>
      </c>
      <c r="B175" s="2">
        <v>40939</v>
      </c>
      <c r="C175" s="3">
        <v>4.3583015267175673</v>
      </c>
    </row>
    <row r="176" spans="1:3" x14ac:dyDescent="0.2">
      <c r="A176" t="str">
        <f t="shared" si="2"/>
        <v>2011/12</v>
      </c>
      <c r="B176" s="2">
        <v>40907</v>
      </c>
      <c r="C176" s="3">
        <v>0.85327516520175006</v>
      </c>
    </row>
    <row r="177" spans="1:3" x14ac:dyDescent="0.2">
      <c r="A177" t="str">
        <f t="shared" si="2"/>
        <v>2011/11</v>
      </c>
      <c r="B177" s="2">
        <v>40877</v>
      </c>
      <c r="C177" s="3">
        <v>-0.50586451767333784</v>
      </c>
    </row>
    <row r="178" spans="1:3" x14ac:dyDescent="0.2">
      <c r="A178" t="str">
        <f t="shared" si="2"/>
        <v>2011/10</v>
      </c>
      <c r="B178" s="2">
        <v>40847</v>
      </c>
      <c r="C178" s="3">
        <v>10.772303830584562</v>
      </c>
    </row>
    <row r="179" spans="1:3" x14ac:dyDescent="0.2">
      <c r="A179" t="str">
        <f t="shared" si="2"/>
        <v>2011/09</v>
      </c>
      <c r="B179" s="2">
        <v>40816</v>
      </c>
      <c r="C179" s="3">
        <v>-7.1762012979021961</v>
      </c>
    </row>
    <row r="180" spans="1:3" x14ac:dyDescent="0.2">
      <c r="A180" t="str">
        <f t="shared" si="2"/>
        <v>2011/08</v>
      </c>
      <c r="B180" s="2">
        <v>40786</v>
      </c>
      <c r="C180" s="3">
        <v>-5.6791097904478782</v>
      </c>
    </row>
    <row r="181" spans="1:3" x14ac:dyDescent="0.2">
      <c r="A181" t="str">
        <f t="shared" si="2"/>
        <v>2011/07</v>
      </c>
      <c r="B181" s="2">
        <v>40753</v>
      </c>
      <c r="C181" s="3">
        <v>-2.1474436636782279</v>
      </c>
    </row>
    <row r="182" spans="1:3" x14ac:dyDescent="0.2">
      <c r="A182" t="str">
        <f t="shared" si="2"/>
        <v>2011/06</v>
      </c>
      <c r="B182" s="2">
        <v>40724</v>
      </c>
      <c r="C182" s="3">
        <v>-1.8257508177222714</v>
      </c>
    </row>
    <row r="183" spans="1:3" x14ac:dyDescent="0.2">
      <c r="A183" t="str">
        <f t="shared" si="2"/>
        <v>2011/05</v>
      </c>
      <c r="B183" s="2">
        <v>40694</v>
      </c>
      <c r="C183" s="3">
        <v>-1.350092768460176</v>
      </c>
    </row>
    <row r="184" spans="1:3" x14ac:dyDescent="0.2">
      <c r="A184" t="str">
        <f t="shared" si="2"/>
        <v>2011/04</v>
      </c>
      <c r="B184" s="2">
        <v>40662</v>
      </c>
      <c r="C184" s="3">
        <v>2.8495357625034856</v>
      </c>
    </row>
    <row r="185" spans="1:3" x14ac:dyDescent="0.2">
      <c r="A185" t="str">
        <f t="shared" si="2"/>
        <v>2011/03</v>
      </c>
      <c r="B185" s="2">
        <v>40633</v>
      </c>
      <c r="C185" s="3">
        <v>-0.10473018791158362</v>
      </c>
    </row>
    <row r="186" spans="1:3" x14ac:dyDescent="0.2">
      <c r="A186" t="str">
        <f t="shared" si="2"/>
        <v>2011/02</v>
      </c>
      <c r="B186" s="2">
        <v>40602</v>
      </c>
      <c r="C186" s="3">
        <v>3.1956582589494076</v>
      </c>
    </row>
    <row r="187" spans="1:3" x14ac:dyDescent="0.2">
      <c r="A187" t="str">
        <f t="shared" si="2"/>
        <v>2011/01</v>
      </c>
      <c r="B187" s="2">
        <v>40574</v>
      </c>
      <c r="C187" s="3">
        <v>2.2645590152984729</v>
      </c>
    </row>
    <row r="188" spans="1:3" x14ac:dyDescent="0.2">
      <c r="A188" t="str">
        <f t="shared" si="2"/>
        <v>2010/12</v>
      </c>
      <c r="B188" s="2">
        <v>40543</v>
      </c>
      <c r="C188" s="3">
        <v>6.5300072000338938</v>
      </c>
    </row>
    <row r="189" spans="1:3" x14ac:dyDescent="0.2">
      <c r="A189" t="str">
        <f t="shared" si="2"/>
        <v>2010/11</v>
      </c>
      <c r="B189" s="2">
        <v>40512</v>
      </c>
      <c r="C189" s="3">
        <v>-0.22902827780877377</v>
      </c>
    </row>
    <row r="190" spans="1:3" x14ac:dyDescent="0.2">
      <c r="A190" t="str">
        <f t="shared" si="2"/>
        <v>2010/10</v>
      </c>
      <c r="B190" s="2">
        <v>40480</v>
      </c>
      <c r="C190" s="3">
        <v>3.6855941114616098</v>
      </c>
    </row>
    <row r="191" spans="1:3" x14ac:dyDescent="0.2">
      <c r="A191" t="str">
        <f t="shared" si="2"/>
        <v>2010/09</v>
      </c>
      <c r="B191" s="2">
        <v>40451</v>
      </c>
      <c r="C191" s="3">
        <v>8.7551104037814742</v>
      </c>
    </row>
    <row r="192" spans="1:3" x14ac:dyDescent="0.2">
      <c r="A192" t="str">
        <f t="shared" si="2"/>
        <v>2010/08</v>
      </c>
      <c r="B192" s="2">
        <v>40421</v>
      </c>
      <c r="C192" s="3">
        <v>-4.7449164851125598</v>
      </c>
    </row>
    <row r="193" spans="1:3" x14ac:dyDescent="0.2">
      <c r="A193" t="str">
        <f t="shared" si="2"/>
        <v>2010/07</v>
      </c>
      <c r="B193" s="2">
        <v>40389</v>
      </c>
      <c r="C193" s="3">
        <v>6.8777832756061308</v>
      </c>
    </row>
    <row r="194" spans="1:3" x14ac:dyDescent="0.2">
      <c r="A194" t="str">
        <f t="shared" si="2"/>
        <v>2010/06</v>
      </c>
      <c r="B194" s="2">
        <v>40359</v>
      </c>
      <c r="C194" s="3">
        <v>-5.3882376699314394</v>
      </c>
    </row>
    <row r="195" spans="1:3" x14ac:dyDescent="0.2">
      <c r="A195" t="str">
        <f t="shared" si="2"/>
        <v>2010/05</v>
      </c>
      <c r="B195" s="2">
        <v>40329</v>
      </c>
      <c r="C195" s="3">
        <v>-8.1975916203894883</v>
      </c>
    </row>
    <row r="196" spans="1:3" x14ac:dyDescent="0.2">
      <c r="A196" t="str">
        <f t="shared" si="2"/>
        <v>2010/04</v>
      </c>
      <c r="B196" s="2">
        <v>40298</v>
      </c>
      <c r="C196" s="3">
        <v>1.4759327193589966</v>
      </c>
    </row>
    <row r="197" spans="1:3" x14ac:dyDescent="0.2">
      <c r="A197" t="str">
        <f t="shared" si="2"/>
        <v>2010/03</v>
      </c>
      <c r="B197" s="2">
        <v>40268</v>
      </c>
      <c r="C197" s="3">
        <v>5.8796367554255768</v>
      </c>
    </row>
    <row r="198" spans="1:3" x14ac:dyDescent="0.2">
      <c r="A198" t="str">
        <f t="shared" ref="A198:A261" si="3">IF(C198="","",TEXT(B198,"YYYY/MM"))</f>
        <v>2010/02</v>
      </c>
      <c r="B198" s="2">
        <v>40235</v>
      </c>
      <c r="C198" s="3">
        <v>2.8513693463827261</v>
      </c>
    </row>
    <row r="199" spans="1:3" x14ac:dyDescent="0.2">
      <c r="A199" t="str">
        <f t="shared" si="3"/>
        <v>2010/01</v>
      </c>
      <c r="B199" s="2">
        <v>40207</v>
      </c>
      <c r="C199" s="3">
        <v>-3.6974262397991176</v>
      </c>
    </row>
    <row r="200" spans="1:3" x14ac:dyDescent="0.2">
      <c r="A200" t="str">
        <f t="shared" si="3"/>
        <v>2009/12</v>
      </c>
      <c r="B200" s="2">
        <v>40178</v>
      </c>
      <c r="C200" s="3">
        <v>1.7770597738287375</v>
      </c>
    </row>
    <row r="201" spans="1:3" x14ac:dyDescent="0.2">
      <c r="A201" t="str">
        <f t="shared" si="3"/>
        <v>2009/11</v>
      </c>
      <c r="B201" s="2">
        <v>40147</v>
      </c>
      <c r="C201" s="3">
        <v>5.7363996950366314</v>
      </c>
    </row>
    <row r="202" spans="1:3" x14ac:dyDescent="0.2">
      <c r="A202" t="str">
        <f t="shared" si="3"/>
        <v>2009/10</v>
      </c>
      <c r="B202" s="2">
        <v>40116</v>
      </c>
      <c r="C202" s="3">
        <v>-1.9761985847807084</v>
      </c>
    </row>
    <row r="203" spans="1:3" x14ac:dyDescent="0.2">
      <c r="A203" t="str">
        <f t="shared" si="3"/>
        <v>2009/09</v>
      </c>
      <c r="B203" s="2">
        <v>40086</v>
      </c>
      <c r="C203" s="3">
        <v>3.5723383825517763</v>
      </c>
    </row>
    <row r="204" spans="1:3" x14ac:dyDescent="0.2">
      <c r="A204" t="str">
        <f t="shared" si="3"/>
        <v>2009/08</v>
      </c>
      <c r="B204" s="2">
        <v>40056</v>
      </c>
      <c r="C204" s="3">
        <v>3.3560173370599911</v>
      </c>
    </row>
    <row r="205" spans="1:3" x14ac:dyDescent="0.2">
      <c r="A205" t="str">
        <f t="shared" si="3"/>
        <v>2009/07</v>
      </c>
      <c r="B205" s="2">
        <v>40025</v>
      </c>
      <c r="C205" s="3">
        <v>7.4141756950789617</v>
      </c>
    </row>
    <row r="206" spans="1:3" x14ac:dyDescent="0.2">
      <c r="A206" t="str">
        <f t="shared" si="3"/>
        <v>2009/06</v>
      </c>
      <c r="B206" s="2">
        <v>39994</v>
      </c>
      <c r="C206" s="3">
        <v>1.9583523728705643E-2</v>
      </c>
    </row>
    <row r="207" spans="1:3" x14ac:dyDescent="0.2">
      <c r="A207" t="str">
        <f t="shared" si="3"/>
        <v>2009/05</v>
      </c>
      <c r="B207" s="2">
        <v>39960</v>
      </c>
      <c r="C207" s="3">
        <v>5.3081426656431674</v>
      </c>
    </row>
    <row r="208" spans="1:3" x14ac:dyDescent="0.2">
      <c r="A208" t="str">
        <f t="shared" si="3"/>
        <v>2009/04</v>
      </c>
      <c r="B208" s="2">
        <v>39933</v>
      </c>
      <c r="C208" s="3">
        <v>9.3925075513554788</v>
      </c>
    </row>
    <row r="209" spans="1:3" x14ac:dyDescent="0.2">
      <c r="A209" t="str">
        <f t="shared" si="3"/>
        <v>2009/03</v>
      </c>
      <c r="B209" s="2">
        <v>39903</v>
      </c>
      <c r="C209" s="3">
        <v>8.54045082915016</v>
      </c>
    </row>
    <row r="210" spans="1:3" x14ac:dyDescent="0.2">
      <c r="A210" t="str">
        <f t="shared" si="3"/>
        <v>2009/02</v>
      </c>
      <c r="B210" s="2">
        <v>39871</v>
      </c>
      <c r="C210" s="3">
        <v>-10.993122487528451</v>
      </c>
    </row>
    <row r="211" spans="1:3" x14ac:dyDescent="0.2">
      <c r="A211" t="str">
        <f t="shared" si="3"/>
        <v>2009/01</v>
      </c>
      <c r="B211" s="2">
        <v>39836</v>
      </c>
      <c r="C211" s="3">
        <v>-8.5657348463880396</v>
      </c>
    </row>
    <row r="212" spans="1:3" x14ac:dyDescent="0.2">
      <c r="A212" t="str">
        <f t="shared" si="3"/>
        <v>2008/12</v>
      </c>
      <c r="B212" s="2">
        <v>39813</v>
      </c>
      <c r="C212" s="3">
        <v>0.78215656520574939</v>
      </c>
    </row>
    <row r="213" spans="1:3" x14ac:dyDescent="0.2">
      <c r="A213" t="str">
        <f t="shared" si="3"/>
        <v>2008/11</v>
      </c>
      <c r="B213" s="2">
        <v>39780</v>
      </c>
      <c r="C213" s="3">
        <v>-7.4849032258064501</v>
      </c>
    </row>
    <row r="214" spans="1:3" x14ac:dyDescent="0.2">
      <c r="A214" t="str">
        <f t="shared" si="3"/>
        <v>2008/10</v>
      </c>
      <c r="B214" s="2">
        <v>39752</v>
      </c>
      <c r="C214" s="3">
        <v>-16.942453444905514</v>
      </c>
    </row>
    <row r="215" spans="1:3" x14ac:dyDescent="0.2">
      <c r="A215" t="str">
        <f t="shared" si="3"/>
        <v>2008/09</v>
      </c>
      <c r="B215" s="2">
        <v>39717</v>
      </c>
      <c r="C215" s="3">
        <v>-9.0791453271283018</v>
      </c>
    </row>
    <row r="216" spans="1:3" x14ac:dyDescent="0.2">
      <c r="A216" t="str">
        <f t="shared" si="3"/>
        <v>2008/08</v>
      </c>
      <c r="B216" s="2">
        <v>39689</v>
      </c>
      <c r="C216" s="3">
        <v>1.2190503242910378</v>
      </c>
    </row>
    <row r="217" spans="1:3" x14ac:dyDescent="0.2">
      <c r="A217" t="str">
        <f t="shared" si="3"/>
        <v>2008/07</v>
      </c>
      <c r="B217" s="2">
        <v>39660</v>
      </c>
      <c r="C217" s="3">
        <v>-0.98593749999998925</v>
      </c>
    </row>
    <row r="218" spans="1:3" x14ac:dyDescent="0.2">
      <c r="A218" t="str">
        <f t="shared" si="3"/>
        <v>2008/06</v>
      </c>
      <c r="B218" s="2">
        <v>39629</v>
      </c>
      <c r="C218" s="3">
        <v>-8.5962381639269392</v>
      </c>
    </row>
    <row r="219" spans="1:3" x14ac:dyDescent="0.2">
      <c r="A219" t="str">
        <f t="shared" si="3"/>
        <v>2008/05</v>
      </c>
      <c r="B219" s="2">
        <v>39598</v>
      </c>
      <c r="C219" s="3">
        <v>1.0674153248796614</v>
      </c>
    </row>
    <row r="220" spans="1:3" x14ac:dyDescent="0.2">
      <c r="A220" t="str">
        <f t="shared" si="3"/>
        <v>2008/04</v>
      </c>
      <c r="B220" s="2">
        <v>39568</v>
      </c>
      <c r="C220" s="3">
        <v>4.7546684811370588</v>
      </c>
    </row>
    <row r="221" spans="1:3" x14ac:dyDescent="0.2">
      <c r="A221" t="str">
        <f t="shared" si="3"/>
        <v>2008/03</v>
      </c>
      <c r="B221" s="2">
        <v>39538</v>
      </c>
      <c r="C221" s="3">
        <v>-0.59595830546433914</v>
      </c>
    </row>
    <row r="222" spans="1:3" x14ac:dyDescent="0.2">
      <c r="A222" t="str">
        <f t="shared" si="3"/>
        <v>2008/02</v>
      </c>
      <c r="B222" s="2">
        <v>39507</v>
      </c>
      <c r="C222" s="3">
        <v>-3.4761162090602316</v>
      </c>
    </row>
    <row r="223" spans="1:3" x14ac:dyDescent="0.2">
      <c r="A223" t="str">
        <f t="shared" si="3"/>
        <v>2008/01</v>
      </c>
      <c r="B223" s="2">
        <v>39478</v>
      </c>
      <c r="C223" s="3">
        <v>-6.1163474897164116</v>
      </c>
    </row>
    <row r="224" spans="1:3" x14ac:dyDescent="0.2">
      <c r="A224" t="str">
        <f t="shared" si="3"/>
        <v>2007/12</v>
      </c>
      <c r="B224" s="2">
        <v>39444</v>
      </c>
      <c r="C224" s="3">
        <v>-0.8628488866683881</v>
      </c>
    </row>
    <row r="225" spans="1:3" x14ac:dyDescent="0.2">
      <c r="A225" t="str">
        <f t="shared" si="3"/>
        <v>2007/11</v>
      </c>
      <c r="B225" s="2">
        <v>39416</v>
      </c>
      <c r="C225" s="3">
        <v>-4.4043423821141348</v>
      </c>
    </row>
    <row r="226" spans="1:3" x14ac:dyDescent="0.2">
      <c r="A226" t="str">
        <f t="shared" si="3"/>
        <v>2007/10</v>
      </c>
      <c r="B226" s="2">
        <v>39386</v>
      </c>
      <c r="C226" s="3">
        <v>1.4822335025380884</v>
      </c>
    </row>
    <row r="227" spans="1:3" x14ac:dyDescent="0.2">
      <c r="A227" t="str">
        <f t="shared" si="3"/>
        <v>2007/09</v>
      </c>
      <c r="B227" s="2">
        <v>39353</v>
      </c>
      <c r="C227" s="3">
        <v>3.579400131615551</v>
      </c>
    </row>
    <row r="228" spans="1:3" x14ac:dyDescent="0.2">
      <c r="A228" t="str">
        <f t="shared" si="3"/>
        <v>2007/08</v>
      </c>
      <c r="B228" s="2">
        <v>39325</v>
      </c>
      <c r="C228" s="3">
        <v>1.2863592323073991</v>
      </c>
    </row>
    <row r="229" spans="1:3" x14ac:dyDescent="0.2">
      <c r="A229" t="str">
        <f t="shared" si="3"/>
        <v>2007/07</v>
      </c>
      <c r="B229" s="2">
        <v>39294</v>
      </c>
      <c r="C229" s="3">
        <v>-3.1981907074200899</v>
      </c>
    </row>
    <row r="230" spans="1:3" x14ac:dyDescent="0.2">
      <c r="A230" t="str">
        <f t="shared" si="3"/>
        <v>2007/06</v>
      </c>
      <c r="B230" s="2">
        <v>39262</v>
      </c>
      <c r="C230" s="3">
        <v>-1.7816309730697366</v>
      </c>
    </row>
    <row r="231" spans="1:3" x14ac:dyDescent="0.2">
      <c r="A231" t="str">
        <f t="shared" si="3"/>
        <v>2007/05</v>
      </c>
      <c r="B231" s="2">
        <v>39233</v>
      </c>
      <c r="C231" s="3">
        <v>3.2549228600146973</v>
      </c>
    </row>
    <row r="232" spans="1:3" x14ac:dyDescent="0.2">
      <c r="A232" t="str">
        <f t="shared" si="3"/>
        <v>2007/04</v>
      </c>
      <c r="B232" s="2">
        <v>39202</v>
      </c>
      <c r="C232" s="3">
        <v>4.3290683107413797</v>
      </c>
    </row>
    <row r="233" spans="1:3" x14ac:dyDescent="0.2">
      <c r="A233" t="str">
        <f t="shared" si="3"/>
        <v>2007/03</v>
      </c>
      <c r="B233" s="2">
        <v>39171</v>
      </c>
      <c r="C233" s="3">
        <v>0.99799547916576969</v>
      </c>
    </row>
    <row r="234" spans="1:3" x14ac:dyDescent="0.2">
      <c r="A234" t="str">
        <f t="shared" si="3"/>
        <v>2007/02</v>
      </c>
      <c r="B234" s="2">
        <v>39141</v>
      </c>
      <c r="C234" s="3">
        <v>-2.1846145288686225</v>
      </c>
    </row>
    <row r="235" spans="1:3" x14ac:dyDescent="0.2">
      <c r="A235" t="str">
        <f t="shared" si="3"/>
        <v>2007/01</v>
      </c>
      <c r="B235" s="2">
        <v>39113</v>
      </c>
      <c r="C235" s="3">
        <v>1.4059084819854739</v>
      </c>
    </row>
    <row r="236" spans="1:3" x14ac:dyDescent="0.2">
      <c r="A236" t="str">
        <f t="shared" si="3"/>
        <v>2006/12</v>
      </c>
      <c r="B236" s="2">
        <v>39080</v>
      </c>
      <c r="C236" s="3">
        <v>1.2615751483260995</v>
      </c>
    </row>
    <row r="237" spans="1:3" x14ac:dyDescent="0.2">
      <c r="A237" t="str">
        <f t="shared" si="3"/>
        <v>2006/11</v>
      </c>
      <c r="B237" s="2">
        <v>39051</v>
      </c>
      <c r="C237" s="3">
        <v>1.6466609576614388</v>
      </c>
    </row>
    <row r="238" spans="1:3" x14ac:dyDescent="0.2">
      <c r="A238" t="str">
        <f t="shared" si="3"/>
        <v>2006/10</v>
      </c>
      <c r="B238" s="2">
        <v>39021</v>
      </c>
      <c r="C238" s="3">
        <v>3.1508028596025195</v>
      </c>
    </row>
    <row r="239" spans="1:3" x14ac:dyDescent="0.2">
      <c r="A239" t="str">
        <f t="shared" si="3"/>
        <v>2006/09</v>
      </c>
      <c r="B239" s="2">
        <v>38989</v>
      </c>
      <c r="C239" s="3">
        <v>2.4566274485741779</v>
      </c>
    </row>
    <row r="240" spans="1:3" x14ac:dyDescent="0.2">
      <c r="A240" t="str">
        <f t="shared" si="3"/>
        <v>2006/08</v>
      </c>
      <c r="B240" s="2">
        <v>38960</v>
      </c>
      <c r="C240" s="3">
        <v>2.1274262528785837</v>
      </c>
    </row>
    <row r="241" spans="1:3" x14ac:dyDescent="0.2">
      <c r="A241" t="str">
        <f t="shared" si="3"/>
        <v>2006/07</v>
      </c>
      <c r="B241" s="2">
        <v>38929</v>
      </c>
      <c r="C241" s="3">
        <v>0.50858132577547011</v>
      </c>
    </row>
    <row r="242" spans="1:3" x14ac:dyDescent="0.2">
      <c r="A242" t="str">
        <f t="shared" si="3"/>
        <v>2006/06</v>
      </c>
      <c r="B242" s="2">
        <v>38898</v>
      </c>
      <c r="C242" s="3">
        <v>8.6608035651192239E-3</v>
      </c>
    </row>
    <row r="243" spans="1:3" x14ac:dyDescent="0.2">
      <c r="A243" t="str">
        <f t="shared" si="3"/>
        <v>2006/05</v>
      </c>
      <c r="B243" s="2">
        <v>38868</v>
      </c>
      <c r="C243" s="3">
        <v>-3.091690129023883</v>
      </c>
    </row>
    <row r="244" spans="1:3" x14ac:dyDescent="0.2">
      <c r="A244" t="str">
        <f t="shared" si="3"/>
        <v>2006/04</v>
      </c>
      <c r="B244" s="2">
        <v>38835</v>
      </c>
      <c r="C244" s="3">
        <v>1.2186928013716125</v>
      </c>
    </row>
    <row r="245" spans="1:3" x14ac:dyDescent="0.2">
      <c r="A245" t="str">
        <f t="shared" si="3"/>
        <v>2006/03</v>
      </c>
      <c r="B245" s="2">
        <v>38807</v>
      </c>
      <c r="C245" s="3">
        <v>1.1064607311854768</v>
      </c>
    </row>
    <row r="246" spans="1:3" x14ac:dyDescent="0.2">
      <c r="A246" t="str">
        <f t="shared" si="3"/>
        <v>2006/02</v>
      </c>
      <c r="B246" s="2">
        <v>38776</v>
      </c>
      <c r="C246" s="3">
        <v>4.5309668145754323E-2</v>
      </c>
    </row>
    <row r="247" spans="1:3" x14ac:dyDescent="0.2">
      <c r="A247" t="str">
        <f t="shared" si="3"/>
        <v>2006/01</v>
      </c>
      <c r="B247" s="2">
        <v>38742</v>
      </c>
      <c r="C247" s="3">
        <v>2.5466838635253009</v>
      </c>
    </row>
    <row r="248" spans="1:3" x14ac:dyDescent="0.2">
      <c r="A248" t="str">
        <f t="shared" si="3"/>
        <v>2005/12</v>
      </c>
      <c r="B248" s="2">
        <v>38716</v>
      </c>
      <c r="C248" s="3">
        <v>-9.5239619681797283E-2</v>
      </c>
    </row>
    <row r="249" spans="1:3" x14ac:dyDescent="0.2">
      <c r="A249" t="str">
        <f t="shared" si="3"/>
        <v>2005/11</v>
      </c>
      <c r="B249" s="2">
        <v>38686</v>
      </c>
      <c r="C249" s="3">
        <v>3.518612107604735</v>
      </c>
    </row>
    <row r="250" spans="1:3" x14ac:dyDescent="0.2">
      <c r="A250" t="str">
        <f t="shared" si="3"/>
        <v>2005/10</v>
      </c>
      <c r="B250" s="2">
        <v>38656</v>
      </c>
      <c r="C250" s="3">
        <v>-1.7740741042146402</v>
      </c>
    </row>
    <row r="251" spans="1:3" x14ac:dyDescent="0.2">
      <c r="A251" t="str">
        <f t="shared" si="3"/>
        <v>2005/09</v>
      </c>
      <c r="B251" s="2">
        <v>38625</v>
      </c>
      <c r="C251" s="3">
        <v>0.69489400408087043</v>
      </c>
    </row>
    <row r="252" spans="1:3" x14ac:dyDescent="0.2">
      <c r="A252" t="str">
        <f t="shared" si="3"/>
        <v>2005/08</v>
      </c>
      <c r="B252" s="2">
        <v>38595</v>
      </c>
      <c r="C252" s="3">
        <v>-1.1222025960556881</v>
      </c>
    </row>
    <row r="253" spans="1:3" x14ac:dyDescent="0.2">
      <c r="A253" t="str">
        <f t="shared" si="3"/>
        <v>2005/07</v>
      </c>
      <c r="B253" s="2">
        <v>38562</v>
      </c>
      <c r="C253" s="3">
        <v>3.5968203604375137</v>
      </c>
    </row>
    <row r="254" spans="1:3" x14ac:dyDescent="0.2">
      <c r="A254" t="str">
        <f t="shared" si="3"/>
        <v>2005/06</v>
      </c>
      <c r="B254" s="2">
        <v>38533</v>
      </c>
      <c r="C254" s="3">
        <v>-1.4267729752415192E-2</v>
      </c>
    </row>
    <row r="255" spans="1:3" x14ac:dyDescent="0.2">
      <c r="A255" t="str">
        <f t="shared" si="3"/>
        <v>2005/05</v>
      </c>
      <c r="B255" s="2">
        <v>38503</v>
      </c>
      <c r="C255" s="3">
        <v>2.9952024895189666</v>
      </c>
    </row>
    <row r="256" spans="1:3" x14ac:dyDescent="0.2">
      <c r="A256" t="str">
        <f t="shared" si="3"/>
        <v>2005/04</v>
      </c>
      <c r="B256" s="2">
        <v>38471</v>
      </c>
      <c r="C256" s="3">
        <v>-2.010858977291019</v>
      </c>
    </row>
    <row r="257" spans="1:3" x14ac:dyDescent="0.2">
      <c r="A257" t="str">
        <f t="shared" si="3"/>
        <v>2005/03</v>
      </c>
      <c r="B257" s="2">
        <v>38442</v>
      </c>
      <c r="C257" s="3">
        <v>-1.9117647058823573</v>
      </c>
    </row>
    <row r="258" spans="1:3" x14ac:dyDescent="0.2">
      <c r="A258" t="str">
        <f t="shared" si="3"/>
        <v>2005/02</v>
      </c>
      <c r="B258" s="2">
        <v>38411</v>
      </c>
      <c r="C258" s="3">
        <v>1.8903383646414307</v>
      </c>
    </row>
    <row r="259" spans="1:3" x14ac:dyDescent="0.2">
      <c r="A259" t="str">
        <f t="shared" si="3"/>
        <v>2005/01</v>
      </c>
      <c r="B259" s="2">
        <v>38383</v>
      </c>
      <c r="C259" s="3">
        <v>-2.5290448214403627</v>
      </c>
    </row>
    <row r="260" spans="1:3" x14ac:dyDescent="0.2">
      <c r="A260" t="str">
        <f t="shared" si="3"/>
        <v>2004/12</v>
      </c>
      <c r="B260" s="2">
        <v>38352</v>
      </c>
      <c r="C260" s="3">
        <v>3.2458128162750732</v>
      </c>
    </row>
    <row r="261" spans="1:3" x14ac:dyDescent="0.2">
      <c r="A261" t="str">
        <f t="shared" si="3"/>
        <v>2004/11</v>
      </c>
      <c r="B261" s="2">
        <v>38321</v>
      </c>
      <c r="C261" s="3">
        <v>3.8594938948858459</v>
      </c>
    </row>
    <row r="262" spans="1:3" x14ac:dyDescent="0.2">
      <c r="A262" t="str">
        <f t="shared" ref="A262:A325" si="4">IF(C262="","",TEXT(B262,"YYYY/MM"))</f>
        <v>2004/10</v>
      </c>
      <c r="B262" s="2">
        <v>38289</v>
      </c>
      <c r="C262" s="3">
        <v>1.4014247519245071</v>
      </c>
    </row>
    <row r="263" spans="1:3" x14ac:dyDescent="0.2">
      <c r="A263" t="str">
        <f t="shared" si="4"/>
        <v>2004/09</v>
      </c>
      <c r="B263" s="2">
        <v>38260</v>
      </c>
      <c r="C263" s="3">
        <v>0.93639063971600045</v>
      </c>
    </row>
    <row r="264" spans="1:3" x14ac:dyDescent="0.2">
      <c r="A264" t="str">
        <f t="shared" si="4"/>
        <v>2004/08</v>
      </c>
      <c r="B264" s="2">
        <v>38230</v>
      </c>
      <c r="C264" s="3">
        <v>0.22873325345822426</v>
      </c>
    </row>
    <row r="265" spans="1:3" x14ac:dyDescent="0.2">
      <c r="A265" t="str">
        <f t="shared" si="4"/>
        <v>2004/07</v>
      </c>
      <c r="B265" s="2">
        <v>38198</v>
      </c>
      <c r="C265" s="3">
        <v>-3.4290522772693732</v>
      </c>
    </row>
    <row r="266" spans="1:3" x14ac:dyDescent="0.2">
      <c r="A266" t="str">
        <f t="shared" si="4"/>
        <v>2004/06</v>
      </c>
      <c r="B266" s="2">
        <v>38168</v>
      </c>
      <c r="C266" s="3">
        <v>1.7989078059749364</v>
      </c>
    </row>
    <row r="267" spans="1:3" x14ac:dyDescent="0.2">
      <c r="A267" t="str">
        <f t="shared" si="4"/>
        <v>2004/05</v>
      </c>
      <c r="B267" s="2">
        <v>38138</v>
      </c>
      <c r="C267" s="3">
        <v>1.2083446220536587</v>
      </c>
    </row>
    <row r="268" spans="1:3" x14ac:dyDescent="0.2">
      <c r="A268" t="str">
        <f t="shared" si="4"/>
        <v>2004/04</v>
      </c>
      <c r="B268" s="2">
        <v>38107</v>
      </c>
      <c r="C268" s="3">
        <v>-1.6790829419024988</v>
      </c>
    </row>
    <row r="269" spans="1:3" x14ac:dyDescent="0.2">
      <c r="A269" t="str">
        <f t="shared" si="4"/>
        <v>2004/03</v>
      </c>
      <c r="B269" s="2">
        <v>38077</v>
      </c>
      <c r="C269" s="3">
        <v>-1.6358935839432598</v>
      </c>
    </row>
    <row r="270" spans="1:3" x14ac:dyDescent="0.2">
      <c r="A270" t="str">
        <f t="shared" si="4"/>
        <v>2004/02</v>
      </c>
      <c r="B270" s="2">
        <v>38044</v>
      </c>
      <c r="C270" s="3">
        <v>1.2209029908144986</v>
      </c>
    </row>
    <row r="271" spans="1:3" x14ac:dyDescent="0.2">
      <c r="A271" t="str">
        <f t="shared" si="4"/>
        <v>2004/01</v>
      </c>
      <c r="B271" s="2">
        <v>38016</v>
      </c>
      <c r="C271" s="3">
        <v>1.7276422764227695</v>
      </c>
    </row>
    <row r="272" spans="1:3" x14ac:dyDescent="0.2">
      <c r="A272" t="str">
        <f t="shared" si="4"/>
        <v>2003/12</v>
      </c>
      <c r="B272" s="2">
        <v>37986</v>
      </c>
      <c r="C272" s="3">
        <v>5.0765450765450693</v>
      </c>
    </row>
    <row r="273" spans="1:3" x14ac:dyDescent="0.2">
      <c r="A273" t="str">
        <f t="shared" si="4"/>
        <v>2003/11</v>
      </c>
      <c r="B273" s="2">
        <v>37953</v>
      </c>
      <c r="C273" s="3">
        <v>0.71285131006653124</v>
      </c>
    </row>
    <row r="274" spans="1:3" x14ac:dyDescent="0.2">
      <c r="A274" t="str">
        <f t="shared" si="4"/>
        <v>2003/10</v>
      </c>
      <c r="B274" s="2">
        <v>37925</v>
      </c>
      <c r="C274" s="3">
        <v>5.4961494824141255</v>
      </c>
    </row>
    <row r="275" spans="1:3" x14ac:dyDescent="0.2">
      <c r="A275" t="str">
        <f t="shared" si="4"/>
        <v>2003/09</v>
      </c>
      <c r="B275" s="2">
        <v>37894</v>
      </c>
      <c r="C275" s="3">
        <v>-1.1944325949147294</v>
      </c>
    </row>
    <row r="276" spans="1:3" x14ac:dyDescent="0.2">
      <c r="A276" t="str">
        <f t="shared" si="4"/>
        <v>2003/08</v>
      </c>
      <c r="B276" s="2">
        <v>37862</v>
      </c>
      <c r="C276" s="3">
        <v>1.7873191222950391</v>
      </c>
    </row>
    <row r="277" spans="1:3" x14ac:dyDescent="0.2">
      <c r="A277" t="str">
        <f t="shared" si="4"/>
        <v>2003/07</v>
      </c>
      <c r="B277" s="2">
        <v>37833</v>
      </c>
      <c r="C277" s="3">
        <v>1.6223704463827593</v>
      </c>
    </row>
    <row r="278" spans="1:3" x14ac:dyDescent="0.2">
      <c r="A278" t="str">
        <f t="shared" si="4"/>
        <v>2003/06</v>
      </c>
      <c r="B278" s="2">
        <v>37802</v>
      </c>
      <c r="C278" s="3">
        <v>1.1322242862628284</v>
      </c>
    </row>
    <row r="279" spans="1:3" x14ac:dyDescent="0.2">
      <c r="A279" t="str">
        <f t="shared" si="4"/>
        <v>2003/05</v>
      </c>
      <c r="B279" s="2">
        <v>37771</v>
      </c>
      <c r="C279" s="3">
        <v>5.0898660733760925</v>
      </c>
    </row>
    <row r="280" spans="1:3" x14ac:dyDescent="0.2">
      <c r="A280" t="str">
        <f t="shared" si="4"/>
        <v>2003/04</v>
      </c>
      <c r="B280" s="2">
        <v>37741</v>
      </c>
      <c r="C280" s="3">
        <v>8.1044117993822162</v>
      </c>
    </row>
    <row r="281" spans="1:3" x14ac:dyDescent="0.2">
      <c r="A281" t="str">
        <f t="shared" si="4"/>
        <v>2003/03</v>
      </c>
      <c r="B281" s="2">
        <v>37711</v>
      </c>
      <c r="C281" s="3">
        <v>0.83576056589194092</v>
      </c>
    </row>
    <row r="282" spans="1:3" x14ac:dyDescent="0.2">
      <c r="A282" t="str">
        <f t="shared" si="4"/>
        <v>2003/02</v>
      </c>
      <c r="B282" s="2">
        <v>37680</v>
      </c>
      <c r="C282" s="3">
        <v>-1.7003622764987791</v>
      </c>
    </row>
    <row r="283" spans="1:3" x14ac:dyDescent="0.2">
      <c r="A283" t="str">
        <f t="shared" si="4"/>
        <v>2003/01</v>
      </c>
      <c r="B283" s="2">
        <v>37650</v>
      </c>
      <c r="C283" s="3">
        <v>-2.7414698461048825</v>
      </c>
    </row>
    <row r="284" spans="1:3" x14ac:dyDescent="0.2">
      <c r="A284" t="str">
        <f t="shared" si="4"/>
        <v>2002/12</v>
      </c>
      <c r="B284" s="2">
        <v>37621</v>
      </c>
      <c r="C284" s="3">
        <v>-6.0332582157618608</v>
      </c>
    </row>
    <row r="285" spans="1:3" x14ac:dyDescent="0.2">
      <c r="A285" t="str">
        <f t="shared" si="4"/>
        <v>2002/11</v>
      </c>
      <c r="B285" s="2">
        <v>37589</v>
      </c>
      <c r="C285" s="3">
        <v>5.7069635115606809</v>
      </c>
    </row>
    <row r="286" spans="1:3" x14ac:dyDescent="0.2">
      <c r="A286" t="str">
        <f t="shared" si="4"/>
        <v>2002/10</v>
      </c>
      <c r="B286" s="2">
        <v>37560</v>
      </c>
      <c r="C286" s="3">
        <v>8.644882739672255</v>
      </c>
    </row>
    <row r="287" spans="1:3" x14ac:dyDescent="0.2">
      <c r="A287" t="str">
        <f t="shared" si="4"/>
        <v>2002/09</v>
      </c>
      <c r="B287" s="2">
        <v>37526</v>
      </c>
      <c r="C287" s="3">
        <v>-11.002434311788411</v>
      </c>
    </row>
    <row r="288" spans="1:3" x14ac:dyDescent="0.2">
      <c r="A288" t="str">
        <f t="shared" si="4"/>
        <v>2002/08</v>
      </c>
      <c r="B288" s="2">
        <v>37498</v>
      </c>
      <c r="C288" s="3">
        <v>0.48814198898663452</v>
      </c>
    </row>
    <row r="289" spans="1:3" x14ac:dyDescent="0.2">
      <c r="A289" t="str">
        <f t="shared" si="4"/>
        <v>2002/07</v>
      </c>
      <c r="B289" s="2">
        <v>37468</v>
      </c>
      <c r="C289" s="3">
        <v>-7.8994958628423539</v>
      </c>
    </row>
    <row r="290" spans="1:3" x14ac:dyDescent="0.2">
      <c r="A290" t="str">
        <f t="shared" si="4"/>
        <v>2002/06</v>
      </c>
      <c r="B290" s="2">
        <v>37435</v>
      </c>
      <c r="C290" s="3">
        <v>-7.24647187810411</v>
      </c>
    </row>
    <row r="291" spans="1:3" x14ac:dyDescent="0.2">
      <c r="A291" t="str">
        <f t="shared" si="4"/>
        <v>2002/05</v>
      </c>
      <c r="B291" s="2">
        <v>37407</v>
      </c>
      <c r="C291" s="3">
        <v>-0.90814545184414452</v>
      </c>
    </row>
    <row r="292" spans="1:3" x14ac:dyDescent="0.2">
      <c r="A292" t="str">
        <f t="shared" si="4"/>
        <v>2002/04</v>
      </c>
      <c r="B292" s="2">
        <v>37376</v>
      </c>
      <c r="C292" s="3">
        <v>-6.1417652236815723</v>
      </c>
    </row>
    <row r="293" spans="1:3" x14ac:dyDescent="0.2">
      <c r="A293" t="str">
        <f t="shared" si="4"/>
        <v>2002/03</v>
      </c>
      <c r="B293" s="2">
        <v>37344</v>
      </c>
      <c r="C293" s="3">
        <v>3.6738861330225081</v>
      </c>
    </row>
    <row r="294" spans="1:3" x14ac:dyDescent="0.2">
      <c r="A294" t="str">
        <f t="shared" si="4"/>
        <v>2002/02</v>
      </c>
      <c r="B294" s="2">
        <v>37315</v>
      </c>
      <c r="C294" s="3">
        <v>-2.0766236064413413</v>
      </c>
    </row>
    <row r="295" spans="1:3" x14ac:dyDescent="0.2">
      <c r="A295" t="str">
        <f t="shared" si="4"/>
        <v>2002/01</v>
      </c>
      <c r="B295" s="2">
        <v>37287</v>
      </c>
      <c r="C295" s="3">
        <v>-1.5573827607832103</v>
      </c>
    </row>
    <row r="296" spans="1:3" x14ac:dyDescent="0.2">
      <c r="A296" t="str">
        <f t="shared" si="4"/>
        <v>2001/12</v>
      </c>
      <c r="B296" s="2">
        <v>37256</v>
      </c>
      <c r="C296" s="3">
        <v>0.75738294791345417</v>
      </c>
    </row>
    <row r="297" spans="1:3" x14ac:dyDescent="0.2">
      <c r="A297" t="str">
        <f t="shared" si="4"/>
        <v>2001/11</v>
      </c>
      <c r="B297" s="2">
        <v>37225</v>
      </c>
      <c r="C297" s="3">
        <v>7.5175979920360847</v>
      </c>
    </row>
    <row r="298" spans="1:3" x14ac:dyDescent="0.2">
      <c r="A298" t="str">
        <f t="shared" si="4"/>
        <v>2001/10</v>
      </c>
      <c r="B298" s="2">
        <v>37195</v>
      </c>
      <c r="C298" s="3">
        <v>1.8099025880454089</v>
      </c>
    </row>
    <row r="299" spans="1:3" x14ac:dyDescent="0.2">
      <c r="A299" t="str">
        <f t="shared" si="4"/>
        <v>2001/09</v>
      </c>
      <c r="B299" s="2">
        <v>37162</v>
      </c>
      <c r="C299" s="3">
        <v>-8.172338961520131</v>
      </c>
    </row>
    <row r="300" spans="1:3" x14ac:dyDescent="0.2">
      <c r="A300" t="str">
        <f t="shared" si="4"/>
        <v>2001/08</v>
      </c>
      <c r="B300" s="2">
        <v>37134</v>
      </c>
      <c r="C300" s="3">
        <v>-6.4108385690579084</v>
      </c>
    </row>
    <row r="301" spans="1:3" x14ac:dyDescent="0.2">
      <c r="A301" t="str">
        <f t="shared" si="4"/>
        <v>2001/07</v>
      </c>
      <c r="B301" s="2">
        <v>37103</v>
      </c>
      <c r="C301" s="3">
        <v>-1.0772447362833004</v>
      </c>
    </row>
    <row r="302" spans="1:3" x14ac:dyDescent="0.2">
      <c r="A302" t="str">
        <f t="shared" si="4"/>
        <v>2001/06</v>
      </c>
      <c r="B302" s="2">
        <v>37071</v>
      </c>
      <c r="C302" s="3">
        <v>-2.5003583316080213</v>
      </c>
    </row>
    <row r="303" spans="1:3" x14ac:dyDescent="0.2">
      <c r="A303" t="str">
        <f t="shared" si="4"/>
        <v>2001/05</v>
      </c>
      <c r="B303" s="2">
        <v>37042</v>
      </c>
      <c r="C303" s="3">
        <v>0.50901989659533076</v>
      </c>
    </row>
    <row r="304" spans="1:3" x14ac:dyDescent="0.2">
      <c r="A304" t="str">
        <f t="shared" si="4"/>
        <v>2001/04</v>
      </c>
      <c r="B304" s="2">
        <v>37011</v>
      </c>
      <c r="C304" s="3">
        <v>7.6814354537071416</v>
      </c>
    </row>
    <row r="305" spans="1:3" x14ac:dyDescent="0.2">
      <c r="A305" t="str">
        <f t="shared" si="4"/>
        <v>2001/03</v>
      </c>
      <c r="B305" s="2">
        <v>36980</v>
      </c>
      <c r="C305" s="3">
        <v>-6.4204719583205723</v>
      </c>
    </row>
    <row r="306" spans="1:3" x14ac:dyDescent="0.2">
      <c r="A306" t="str">
        <f t="shared" si="4"/>
        <v>2001/02</v>
      </c>
      <c r="B306" s="2">
        <v>36950</v>
      </c>
      <c r="C306" s="3">
        <v>-9.2290686012547418</v>
      </c>
    </row>
    <row r="307" spans="1:3" x14ac:dyDescent="0.2">
      <c r="A307" t="str">
        <f t="shared" si="4"/>
        <v>2001/01</v>
      </c>
      <c r="B307" s="2">
        <v>36910</v>
      </c>
      <c r="C307" s="3">
        <v>3.4636592238010078</v>
      </c>
    </row>
    <row r="308" spans="1:3" x14ac:dyDescent="0.2">
      <c r="A308" t="str">
        <f t="shared" si="4"/>
        <v>2000/12</v>
      </c>
      <c r="B308" s="2">
        <v>36889</v>
      </c>
      <c r="C308" s="3">
        <v>0.40533860603064742</v>
      </c>
    </row>
    <row r="309" spans="1:3" x14ac:dyDescent="0.2">
      <c r="A309" t="str">
        <f t="shared" si="4"/>
        <v>2000/11</v>
      </c>
      <c r="B309" s="2">
        <v>36860</v>
      </c>
      <c r="C309" s="3">
        <v>-8.0068560235063693</v>
      </c>
    </row>
    <row r="310" spans="1:3" x14ac:dyDescent="0.2">
      <c r="A310" t="str">
        <f t="shared" si="4"/>
        <v>2000/10</v>
      </c>
      <c r="B310" s="2">
        <v>36830</v>
      </c>
      <c r="C310" s="3">
        <v>-0.49494956526581202</v>
      </c>
    </row>
    <row r="311" spans="1:3" x14ac:dyDescent="0.2">
      <c r="A311" t="str">
        <f t="shared" si="4"/>
        <v>2000/09</v>
      </c>
      <c r="B311" s="2">
        <v>36798</v>
      </c>
      <c r="C311" s="3">
        <v>-5.3482947656950159</v>
      </c>
    </row>
    <row r="312" spans="1:3" x14ac:dyDescent="0.2">
      <c r="A312" t="str">
        <f t="shared" si="4"/>
        <v>2000/08</v>
      </c>
      <c r="B312" s="2">
        <v>36769</v>
      </c>
      <c r="C312" s="3">
        <v>6.069903482594019</v>
      </c>
    </row>
    <row r="313" spans="1:3" x14ac:dyDescent="0.2">
      <c r="A313" t="str">
        <f t="shared" si="4"/>
        <v>2000/07</v>
      </c>
      <c r="B313" s="2">
        <v>36738</v>
      </c>
      <c r="C313" s="3">
        <v>-1.6341262202667406</v>
      </c>
    </row>
    <row r="314" spans="1:3" x14ac:dyDescent="0.2">
      <c r="A314" t="str">
        <f t="shared" si="4"/>
        <v>2000/06</v>
      </c>
      <c r="B314" s="2">
        <v>36707</v>
      </c>
      <c r="C314" s="3">
        <v>2.3933549204561366</v>
      </c>
    </row>
    <row r="315" spans="1:3" x14ac:dyDescent="0.2">
      <c r="A315" t="str">
        <f t="shared" si="4"/>
        <v>2000/05</v>
      </c>
      <c r="B315" s="2">
        <v>36677</v>
      </c>
      <c r="C315" s="3">
        <v>-2.1914997624670529</v>
      </c>
    </row>
    <row r="316" spans="1:3" x14ac:dyDescent="0.2">
      <c r="A316" t="str">
        <f t="shared" si="4"/>
        <v>2000/04</v>
      </c>
      <c r="B316" s="2">
        <v>36644</v>
      </c>
      <c r="C316" s="3">
        <v>-3.0795820042973876</v>
      </c>
    </row>
    <row r="317" spans="1:3" x14ac:dyDescent="0.2">
      <c r="A317" t="str">
        <f t="shared" si="4"/>
        <v>2000/03</v>
      </c>
      <c r="B317" s="2">
        <v>36616</v>
      </c>
      <c r="C317" s="3">
        <v>9.6719895786068655</v>
      </c>
    </row>
    <row r="318" spans="1:3" x14ac:dyDescent="0.2">
      <c r="A318" t="str">
        <f t="shared" si="4"/>
        <v>2000/02</v>
      </c>
      <c r="B318" s="2">
        <v>36585</v>
      </c>
      <c r="C318" s="3">
        <v>-2.0108142219927405</v>
      </c>
    </row>
    <row r="319" spans="1:3" x14ac:dyDescent="0.2">
      <c r="A319" t="str">
        <f t="shared" si="4"/>
        <v>2000/01</v>
      </c>
      <c r="B319" s="2">
        <v>36553</v>
      </c>
      <c r="C319" s="3">
        <v>-5.0903522205206659</v>
      </c>
    </row>
    <row r="320" spans="1:3" x14ac:dyDescent="0.2">
      <c r="A320" t="str">
        <f t="shared" si="4"/>
        <v>1999/12</v>
      </c>
      <c r="B320" s="2">
        <v>36524</v>
      </c>
      <c r="C320" s="3">
        <v>5.7843920772404189</v>
      </c>
    </row>
    <row r="321" spans="1:3" x14ac:dyDescent="0.2">
      <c r="A321" t="str">
        <f t="shared" si="4"/>
        <v>1999/11</v>
      </c>
      <c r="B321" s="2">
        <v>36494</v>
      </c>
      <c r="C321" s="3">
        <v>1.906187405075821</v>
      </c>
    </row>
    <row r="322" spans="1:3" x14ac:dyDescent="0.2">
      <c r="A322" t="str">
        <f t="shared" si="4"/>
        <v>1999/10</v>
      </c>
      <c r="B322" s="2">
        <v>36462</v>
      </c>
      <c r="C322" s="3">
        <v>6.2539467221741418</v>
      </c>
    </row>
    <row r="323" spans="1:3" x14ac:dyDescent="0.2">
      <c r="A323" t="str">
        <f t="shared" si="4"/>
        <v>1999/09</v>
      </c>
      <c r="B323" s="2">
        <v>36433</v>
      </c>
      <c r="C323" s="3">
        <v>-2.855173771783015</v>
      </c>
    </row>
    <row r="324" spans="1:3" x14ac:dyDescent="0.2">
      <c r="A324" t="str">
        <f t="shared" si="4"/>
        <v>1999/08</v>
      </c>
      <c r="B324" s="2">
        <v>36403</v>
      </c>
      <c r="C324" s="3">
        <v>-0.62541393220543195</v>
      </c>
    </row>
    <row r="325" spans="1:3" x14ac:dyDescent="0.2">
      <c r="A325" t="str">
        <f t="shared" si="4"/>
        <v>1999/07</v>
      </c>
      <c r="B325" s="2">
        <v>36371</v>
      </c>
      <c r="C325" s="3">
        <v>-3.2046098593293548</v>
      </c>
    </row>
    <row r="326" spans="1:3" x14ac:dyDescent="0.2">
      <c r="A326" t="str">
        <f t="shared" ref="A326:A389" si="5">IF(C326="","",TEXT(B326,"YYYY/MM"))</f>
        <v>1999/06</v>
      </c>
      <c r="B326" s="2">
        <v>36341</v>
      </c>
      <c r="C326" s="3">
        <v>5.4438333435752551</v>
      </c>
    </row>
    <row r="327" spans="1:3" x14ac:dyDescent="0.2">
      <c r="A327" t="str">
        <f t="shared" si="5"/>
        <v>1999/05</v>
      </c>
      <c r="B327" s="2">
        <v>36311</v>
      </c>
      <c r="C327" s="3">
        <v>-2.4970415973876281</v>
      </c>
    </row>
    <row r="328" spans="1:3" x14ac:dyDescent="0.2">
      <c r="A328" t="str">
        <f t="shared" si="5"/>
        <v>1999/04</v>
      </c>
      <c r="B328" s="2">
        <v>36280</v>
      </c>
      <c r="C328" s="3">
        <v>3.7943981902563095</v>
      </c>
    </row>
    <row r="329" spans="1:3" x14ac:dyDescent="0.2">
      <c r="A329" t="str">
        <f t="shared" si="5"/>
        <v>1999/03</v>
      </c>
      <c r="B329" s="2">
        <v>36250</v>
      </c>
      <c r="C329" s="3">
        <v>3.8794182487705164</v>
      </c>
    </row>
    <row r="330" spans="1:3" x14ac:dyDescent="0.2">
      <c r="A330" t="str">
        <f t="shared" si="5"/>
        <v>1999/02</v>
      </c>
      <c r="B330" s="2">
        <v>36200</v>
      </c>
      <c r="C330" s="3">
        <v>-3.2282516957894525</v>
      </c>
    </row>
    <row r="331" spans="1:3" x14ac:dyDescent="0.2">
      <c r="A331" t="str">
        <f t="shared" si="5"/>
        <v>1999/01</v>
      </c>
      <c r="B331" s="2">
        <v>36189</v>
      </c>
      <c r="C331" s="3">
        <v>4.1009412396378231</v>
      </c>
    </row>
    <row r="332" spans="1:3" x14ac:dyDescent="0.2">
      <c r="A332" t="str">
        <f t="shared" si="5"/>
        <v>1998/12</v>
      </c>
      <c r="B332" s="2">
        <v>36160</v>
      </c>
      <c r="C332" s="3">
        <v>5.6375308302467175</v>
      </c>
    </row>
    <row r="333" spans="1:3" x14ac:dyDescent="0.2">
      <c r="A333" t="str">
        <f t="shared" si="5"/>
        <v>1998/11</v>
      </c>
      <c r="B333" s="2">
        <v>36129</v>
      </c>
      <c r="C333" s="3">
        <v>5.9126034204993294</v>
      </c>
    </row>
    <row r="334" spans="1:3" x14ac:dyDescent="0.2">
      <c r="A334" t="str">
        <f t="shared" si="5"/>
        <v>1998/10</v>
      </c>
      <c r="B334" s="2">
        <v>36098</v>
      </c>
      <c r="C334" s="3">
        <v>8.0294195730622242</v>
      </c>
    </row>
    <row r="335" spans="1:3" x14ac:dyDescent="0.2">
      <c r="A335" t="str">
        <f t="shared" si="5"/>
        <v>1998/09</v>
      </c>
      <c r="B335" s="2">
        <v>36068</v>
      </c>
      <c r="C335" s="3">
        <v>6.2395537355841579</v>
      </c>
    </row>
    <row r="336" spans="1:3" x14ac:dyDescent="0.2">
      <c r="A336" t="str">
        <f t="shared" si="5"/>
        <v>1998/08</v>
      </c>
      <c r="B336" s="2">
        <v>36038</v>
      </c>
      <c r="C336" s="3">
        <v>-14.579671089616042</v>
      </c>
    </row>
    <row r="337" spans="1:3" x14ac:dyDescent="0.2">
      <c r="A337" t="str">
        <f t="shared" si="5"/>
        <v>1998/07</v>
      </c>
      <c r="B337" s="2">
        <v>36007</v>
      </c>
      <c r="C337" s="3">
        <v>-1.1615395470260248</v>
      </c>
    </row>
    <row r="338" spans="1:3" x14ac:dyDescent="0.2">
      <c r="A338" t="str">
        <f t="shared" si="5"/>
        <v>1998/06</v>
      </c>
      <c r="B338" s="2">
        <v>35976</v>
      </c>
      <c r="C338" s="3">
        <v>3.9438220788031053</v>
      </c>
    </row>
    <row r="339" spans="1:3" x14ac:dyDescent="0.2">
      <c r="A339" t="str">
        <f t="shared" si="5"/>
        <v>1998/05</v>
      </c>
      <c r="B339" s="2">
        <v>35944</v>
      </c>
      <c r="C339" s="3">
        <v>-1.8826174949404195</v>
      </c>
    </row>
    <row r="340" spans="1:3" x14ac:dyDescent="0.2">
      <c r="A340" t="str">
        <f t="shared" si="5"/>
        <v>1998/04</v>
      </c>
      <c r="B340" s="2">
        <v>35915</v>
      </c>
      <c r="C340" s="3">
        <v>0.90764692534603952</v>
      </c>
    </row>
    <row r="341" spans="1:3" x14ac:dyDescent="0.2">
      <c r="A341" t="str">
        <f t="shared" si="5"/>
        <v>1998/03</v>
      </c>
      <c r="B341" s="2">
        <v>35885</v>
      </c>
      <c r="C341" s="3">
        <v>4.994568014180345</v>
      </c>
    </row>
    <row r="342" spans="1:3" x14ac:dyDescent="0.2">
      <c r="A342" t="str">
        <f t="shared" si="5"/>
        <v>1998/02</v>
      </c>
      <c r="B342" s="2">
        <v>35853</v>
      </c>
      <c r="C342" s="3">
        <v>7.0449259395274799</v>
      </c>
    </row>
    <row r="343" spans="1:3" x14ac:dyDescent="0.2">
      <c r="A343" t="str">
        <f t="shared" si="5"/>
        <v>1998/01</v>
      </c>
      <c r="B343" s="2">
        <v>35818</v>
      </c>
      <c r="C343" s="3">
        <v>1.0150139628824384</v>
      </c>
    </row>
    <row r="344" spans="1:3" x14ac:dyDescent="0.2">
      <c r="A344" t="str">
        <f t="shared" si="5"/>
        <v>1997/12</v>
      </c>
      <c r="B344" s="2">
        <v>35795</v>
      </c>
      <c r="C344" s="3">
        <v>1.5731630730583923</v>
      </c>
    </row>
    <row r="345" spans="1:3" x14ac:dyDescent="0.2">
      <c r="A345" t="str">
        <f t="shared" si="5"/>
        <v>1997/11</v>
      </c>
      <c r="B345" s="2">
        <v>35762</v>
      </c>
      <c r="C345" s="3">
        <v>4.4586822942861426</v>
      </c>
    </row>
    <row r="346" spans="1:3" x14ac:dyDescent="0.2">
      <c r="A346" t="str">
        <f t="shared" si="5"/>
        <v>1997/10</v>
      </c>
      <c r="B346" s="2">
        <v>35734</v>
      </c>
      <c r="C346" s="3">
        <v>-3.4477662359597927</v>
      </c>
    </row>
    <row r="347" spans="1:3" x14ac:dyDescent="0.2">
      <c r="A347" t="str">
        <f t="shared" si="5"/>
        <v>1997/09</v>
      </c>
      <c r="B347" s="2">
        <v>35703</v>
      </c>
      <c r="C347" s="3">
        <v>5.3153523741759079</v>
      </c>
    </row>
    <row r="348" spans="1:3" x14ac:dyDescent="0.2">
      <c r="A348" t="str">
        <f t="shared" si="5"/>
        <v>1997/08</v>
      </c>
      <c r="B348" s="2">
        <v>35671</v>
      </c>
      <c r="C348" s="3">
        <v>-5.7445849794087733</v>
      </c>
    </row>
    <row r="349" spans="1:3" x14ac:dyDescent="0.2">
      <c r="A349" t="str">
        <f t="shared" si="5"/>
        <v>1997/07</v>
      </c>
      <c r="B349" s="2">
        <v>35642</v>
      </c>
      <c r="C349" s="3">
        <v>7.8123234742526471</v>
      </c>
    </row>
    <row r="350" spans="1:3" x14ac:dyDescent="0.2">
      <c r="A350" t="str">
        <f t="shared" si="5"/>
        <v>1997/06</v>
      </c>
      <c r="B350" s="2">
        <v>35608</v>
      </c>
      <c r="C350" s="3">
        <v>4.345263356438922</v>
      </c>
    </row>
    <row r="351" spans="1:3" x14ac:dyDescent="0.2">
      <c r="A351" t="str">
        <f t="shared" si="5"/>
        <v>1997/05</v>
      </c>
      <c r="B351" s="2">
        <v>35580</v>
      </c>
      <c r="C351" s="3">
        <v>5.8576883719769324</v>
      </c>
    </row>
    <row r="352" spans="1:3" x14ac:dyDescent="0.2">
      <c r="A352" t="str">
        <f t="shared" si="5"/>
        <v>1997/04</v>
      </c>
      <c r="B352" s="2">
        <v>35550</v>
      </c>
      <c r="C352" s="3">
        <v>5.8405536770921529</v>
      </c>
    </row>
    <row r="353" spans="1:3" x14ac:dyDescent="0.2">
      <c r="A353" t="str">
        <f t="shared" si="5"/>
        <v>1997/03</v>
      </c>
      <c r="B353" s="2">
        <v>35520</v>
      </c>
      <c r="C353" s="3">
        <v>-4.2613995599504406</v>
      </c>
    </row>
    <row r="354" spans="1:3" x14ac:dyDescent="0.2">
      <c r="A354" t="str">
        <f t="shared" si="5"/>
        <v>1997/02</v>
      </c>
      <c r="B354" s="2">
        <v>35489</v>
      </c>
      <c r="C354" s="3">
        <v>0.59275465554087248</v>
      </c>
    </row>
    <row r="355" spans="1:3" x14ac:dyDescent="0.2">
      <c r="A355" t="str">
        <f t="shared" si="5"/>
        <v>1997/01</v>
      </c>
      <c r="B355" s="2">
        <v>35461</v>
      </c>
      <c r="C355" s="3">
        <v>6.1317061317061272</v>
      </c>
    </row>
    <row r="356" spans="1:3" x14ac:dyDescent="0.2">
      <c r="A356" t="str">
        <f t="shared" si="5"/>
        <v>1996/12</v>
      </c>
      <c r="B356" s="2">
        <v>35430</v>
      </c>
      <c r="C356" s="3">
        <v>-2.1505376344086002</v>
      </c>
    </row>
    <row r="357" spans="1:3" x14ac:dyDescent="0.2">
      <c r="A357" t="str">
        <f t="shared" si="5"/>
        <v>1996/11</v>
      </c>
      <c r="B357" s="2">
        <v>35398</v>
      </c>
      <c r="C357" s="3">
        <v>7.3376153813433209</v>
      </c>
    </row>
    <row r="358" spans="1:3" x14ac:dyDescent="0.2">
      <c r="A358" t="str">
        <f t="shared" si="5"/>
        <v>1996/10</v>
      </c>
      <c r="B358" s="2">
        <v>35369</v>
      </c>
      <c r="C358" s="3">
        <v>2.6130857982569866</v>
      </c>
    </row>
    <row r="359" spans="1:3" x14ac:dyDescent="0.2">
      <c r="A359" t="str">
        <f t="shared" si="5"/>
        <v>1996/09</v>
      </c>
      <c r="B359" s="2">
        <v>35335</v>
      </c>
      <c r="C359" s="3">
        <v>5.4172610009355804</v>
      </c>
    </row>
    <row r="360" spans="1:3" x14ac:dyDescent="0.2">
      <c r="A360" t="str">
        <f t="shared" si="5"/>
        <v>1996/08</v>
      </c>
      <c r="B360" s="2">
        <v>35307</v>
      </c>
      <c r="C360" s="3">
        <v>1.8813969841393829</v>
      </c>
    </row>
    <row r="361" spans="1:3" x14ac:dyDescent="0.2">
      <c r="A361" t="str">
        <f t="shared" si="5"/>
        <v>1996/07</v>
      </c>
      <c r="B361" s="2">
        <v>35277</v>
      </c>
      <c r="C361" s="3">
        <v>-4.5748027973696264</v>
      </c>
    </row>
    <row r="362" spans="1:3" x14ac:dyDescent="0.2">
      <c r="A362" t="str">
        <f t="shared" si="5"/>
        <v>1996/06</v>
      </c>
      <c r="B362" s="2">
        <v>35244</v>
      </c>
      <c r="C362" s="3">
        <v>0.22566953610712037</v>
      </c>
    </row>
    <row r="363" spans="1:3" x14ac:dyDescent="0.2">
      <c r="A363" t="str">
        <f t="shared" si="5"/>
        <v>1996/05</v>
      </c>
      <c r="B363" s="2">
        <v>35216</v>
      </c>
      <c r="C363" s="3">
        <v>2.2853386734335235</v>
      </c>
    </row>
    <row r="364" spans="1:3" x14ac:dyDescent="0.2">
      <c r="A364" t="str">
        <f t="shared" si="5"/>
        <v>1996/04</v>
      </c>
      <c r="B364" s="2">
        <v>35185</v>
      </c>
      <c r="C364" s="3">
        <v>1.343144848954303</v>
      </c>
    </row>
    <row r="365" spans="1:3" x14ac:dyDescent="0.2">
      <c r="A365" t="str">
        <f t="shared" si="5"/>
        <v>1996/03</v>
      </c>
      <c r="B365" s="2">
        <v>35153</v>
      </c>
      <c r="C365" s="3">
        <v>0.79165560638947419</v>
      </c>
    </row>
    <row r="366" spans="1:3" x14ac:dyDescent="0.2">
      <c r="A366" t="str">
        <f t="shared" si="5"/>
        <v>1996/02</v>
      </c>
      <c r="B366" s="2">
        <v>35111</v>
      </c>
      <c r="C366" s="3">
        <v>0.69337442218797563</v>
      </c>
    </row>
    <row r="367" spans="1:3" x14ac:dyDescent="0.2">
      <c r="A367" t="str">
        <f t="shared" si="5"/>
        <v>1996/01</v>
      </c>
      <c r="B367" s="2">
        <v>35095</v>
      </c>
      <c r="C367" s="3">
        <v>3.2617342879872835</v>
      </c>
    </row>
    <row r="368" spans="1:3" x14ac:dyDescent="0.2">
      <c r="A368" t="str">
        <f t="shared" si="5"/>
        <v>1995/12</v>
      </c>
      <c r="B368" s="2">
        <v>35062</v>
      </c>
      <c r="C368" s="3">
        <v>1.7443877298181087</v>
      </c>
    </row>
    <row r="369" spans="1:3" x14ac:dyDescent="0.2">
      <c r="A369" t="str">
        <f t="shared" si="5"/>
        <v>1995/11</v>
      </c>
      <c r="B369" s="2">
        <v>35033</v>
      </c>
      <c r="C369" s="3">
        <v>4.1049011177987982</v>
      </c>
    </row>
    <row r="370" spans="1:3" x14ac:dyDescent="0.2">
      <c r="A370" t="str">
        <f t="shared" si="5"/>
        <v>1995/10</v>
      </c>
      <c r="B370" s="2">
        <v>35003</v>
      </c>
      <c r="C370" s="3">
        <v>-0.49793809140842304</v>
      </c>
    </row>
    <row r="371" spans="1:3" x14ac:dyDescent="0.2">
      <c r="A371" t="str">
        <f t="shared" si="5"/>
        <v>1995/09</v>
      </c>
      <c r="B371" s="2">
        <v>34971</v>
      </c>
      <c r="C371" s="3">
        <v>4.0097529721648595</v>
      </c>
    </row>
    <row r="372" spans="1:3" x14ac:dyDescent="0.2">
      <c r="A372" t="str">
        <f t="shared" si="5"/>
        <v>1995/08</v>
      </c>
      <c r="B372" s="2">
        <v>34942</v>
      </c>
      <c r="C372" s="3">
        <v>-3.2025050706319114E-2</v>
      </c>
    </row>
    <row r="373" spans="1:3" x14ac:dyDescent="0.2">
      <c r="A373" t="str">
        <f t="shared" si="5"/>
        <v>1995/07</v>
      </c>
      <c r="B373" s="2">
        <v>34911</v>
      </c>
      <c r="C373" s="3">
        <v>3.1776044056906816</v>
      </c>
    </row>
    <row r="374" spans="1:3" x14ac:dyDescent="0.2">
      <c r="A374" t="str">
        <f t="shared" si="5"/>
        <v>1995/06</v>
      </c>
      <c r="B374" s="2">
        <v>34880</v>
      </c>
      <c r="C374" s="3">
        <v>2.1278590176228018</v>
      </c>
    </row>
    <row r="375" spans="1:3" x14ac:dyDescent="0.2">
      <c r="A375" t="str">
        <f t="shared" si="5"/>
        <v>1995/05</v>
      </c>
      <c r="B375" s="2">
        <v>34850</v>
      </c>
      <c r="C375" s="3">
        <v>3.6311709506323897</v>
      </c>
    </row>
    <row r="376" spans="1:3" x14ac:dyDescent="0.2">
      <c r="A376" t="str">
        <f t="shared" si="5"/>
        <v>1995/04</v>
      </c>
      <c r="B376" s="2">
        <v>34817</v>
      </c>
      <c r="C376" s="3">
        <v>2.7960296379141658</v>
      </c>
    </row>
    <row r="377" spans="1:3" x14ac:dyDescent="0.2">
      <c r="A377" t="str">
        <f t="shared" si="5"/>
        <v>1995/03</v>
      </c>
      <c r="B377" s="2">
        <v>34789</v>
      </c>
      <c r="C377" s="3">
        <v>2.7329243521615032</v>
      </c>
    </row>
    <row r="378" spans="1:3" x14ac:dyDescent="0.2">
      <c r="A378" t="str">
        <f t="shared" si="5"/>
        <v>1995/02</v>
      </c>
      <c r="B378" s="2">
        <v>34758</v>
      </c>
      <c r="C378" s="3">
        <v>3.6074146507376392</v>
      </c>
    </row>
    <row r="379" spans="1:3" x14ac:dyDescent="0.2">
      <c r="A379" t="str">
        <f t="shared" si="5"/>
        <v>1995/01</v>
      </c>
      <c r="B379" s="2">
        <v>34726</v>
      </c>
      <c r="C379" s="3">
        <v>2.4277658022514137</v>
      </c>
    </row>
    <row r="380" spans="1:3" x14ac:dyDescent="0.2">
      <c r="A380" t="str">
        <f t="shared" si="5"/>
        <v>1994/12</v>
      </c>
      <c r="B380" s="2">
        <v>34698</v>
      </c>
      <c r="C380" s="3">
        <v>1.229914699464385</v>
      </c>
    </row>
    <row r="381" spans="1:3" x14ac:dyDescent="0.2">
      <c r="A381" t="str">
        <f t="shared" si="5"/>
        <v>1994/11</v>
      </c>
      <c r="B381" s="2">
        <v>34668</v>
      </c>
      <c r="C381" s="3">
        <v>-3.9504604636392604</v>
      </c>
    </row>
    <row r="382" spans="1:3" x14ac:dyDescent="0.2">
      <c r="A382" t="str">
        <f t="shared" si="5"/>
        <v>1994/10</v>
      </c>
      <c r="B382" s="2">
        <v>34638</v>
      </c>
      <c r="C382" s="3">
        <v>2.0877909615509394</v>
      </c>
    </row>
    <row r="383" spans="1:3" x14ac:dyDescent="0.2">
      <c r="A383" t="str">
        <f t="shared" si="5"/>
        <v>1994/09</v>
      </c>
      <c r="B383" s="2">
        <v>34607</v>
      </c>
      <c r="C383" s="3">
        <v>-2.6919598729731486</v>
      </c>
    </row>
    <row r="384" spans="1:3" x14ac:dyDescent="0.2">
      <c r="A384" t="str">
        <f t="shared" si="5"/>
        <v>1994/08</v>
      </c>
      <c r="B384" s="2">
        <v>34577</v>
      </c>
      <c r="C384" s="3">
        <v>3.7598743071618701</v>
      </c>
    </row>
    <row r="385" spans="1:3" x14ac:dyDescent="0.2">
      <c r="A385" t="str">
        <f t="shared" si="5"/>
        <v>1994/07</v>
      </c>
      <c r="B385" s="2">
        <v>34544</v>
      </c>
      <c r="C385" s="3">
        <v>3.1489859769959772</v>
      </c>
    </row>
    <row r="386" spans="1:3" x14ac:dyDescent="0.2">
      <c r="A386" t="str">
        <f t="shared" si="5"/>
        <v>1994/06</v>
      </c>
      <c r="B386" s="2">
        <v>34515</v>
      </c>
      <c r="C386" s="3">
        <v>-2.6790799561883905</v>
      </c>
    </row>
    <row r="387" spans="1:3" x14ac:dyDescent="0.2">
      <c r="A387" t="str">
        <f t="shared" si="5"/>
        <v>1994/05</v>
      </c>
      <c r="B387" s="2">
        <v>34485</v>
      </c>
      <c r="C387" s="3">
        <v>1.239715242509587</v>
      </c>
    </row>
    <row r="388" spans="1:3" x14ac:dyDescent="0.2">
      <c r="A388" t="str">
        <f t="shared" si="5"/>
        <v>1994/04</v>
      </c>
      <c r="B388" s="2">
        <v>34453</v>
      </c>
      <c r="C388" s="3">
        <v>1.1530609955807014</v>
      </c>
    </row>
    <row r="389" spans="1:3" x14ac:dyDescent="0.2">
      <c r="A389" t="str">
        <f t="shared" si="5"/>
        <v>1994/03</v>
      </c>
      <c r="B389" s="2">
        <v>34424</v>
      </c>
      <c r="C389" s="3">
        <v>-4.5746457164875682</v>
      </c>
    </row>
    <row r="390" spans="1:3" x14ac:dyDescent="0.2">
      <c r="A390" t="str">
        <f t="shared" ref="A390:A401" si="6">IF(C390="","",TEXT(B390,"YYYY/MM"))</f>
        <v>1994/02</v>
      </c>
      <c r="B390" s="2">
        <v>34393</v>
      </c>
      <c r="C390" s="3">
        <v>-3.0045057203961778</v>
      </c>
    </row>
    <row r="391" spans="1:3" x14ac:dyDescent="0.2">
      <c r="A391" t="str">
        <f t="shared" si="6"/>
        <v>1994/01</v>
      </c>
      <c r="B391" s="2">
        <v>34365</v>
      </c>
      <c r="C391" s="3">
        <v>3.2500803944688572</v>
      </c>
    </row>
    <row r="392" spans="1:3" x14ac:dyDescent="0.2">
      <c r="A392" t="str">
        <f t="shared" si="6"/>
        <v>1993/12</v>
      </c>
      <c r="B392" s="2">
        <v>34334</v>
      </c>
      <c r="C392" s="3">
        <v>1.0091166980662036</v>
      </c>
    </row>
    <row r="393" spans="1:3" x14ac:dyDescent="0.2">
      <c r="A393" t="str">
        <f t="shared" si="6"/>
        <v>1993/11</v>
      </c>
      <c r="B393" s="2">
        <v>34303</v>
      </c>
      <c r="C393" s="3">
        <v>-1.2910672680247037</v>
      </c>
    </row>
    <row r="394" spans="1:3" x14ac:dyDescent="0.2">
      <c r="A394" t="str">
        <f t="shared" si="6"/>
        <v>1993/10</v>
      </c>
      <c r="B394" s="2">
        <v>34271</v>
      </c>
      <c r="C394" s="3">
        <v>1.9392935741834316</v>
      </c>
    </row>
    <row r="395" spans="1:3" x14ac:dyDescent="0.2">
      <c r="A395" t="str">
        <f t="shared" si="6"/>
        <v>1993/09</v>
      </c>
      <c r="B395" s="2">
        <v>34242</v>
      </c>
      <c r="C395" s="3">
        <v>-0.99879195789109865</v>
      </c>
    </row>
    <row r="396" spans="1:3" x14ac:dyDescent="0.2">
      <c r="A396" t="str">
        <f t="shared" si="6"/>
        <v>1993/08</v>
      </c>
      <c r="B396" s="2">
        <v>34212</v>
      </c>
      <c r="C396" s="3">
        <v>3.4431972865016869</v>
      </c>
    </row>
    <row r="397" spans="1:3" x14ac:dyDescent="0.2">
      <c r="A397" t="str">
        <f t="shared" si="6"/>
        <v>1993/07</v>
      </c>
      <c r="B397" s="2">
        <v>34180</v>
      </c>
      <c r="C397" s="3">
        <v>-0.5327059241337917</v>
      </c>
    </row>
    <row r="398" spans="1:3" x14ac:dyDescent="0.2">
      <c r="A398" t="str">
        <f t="shared" si="6"/>
        <v>1993/06</v>
      </c>
      <c r="B398" s="2">
        <v>34150</v>
      </c>
      <c r="C398" s="3">
        <v>7.5523667784715975E-2</v>
      </c>
    </row>
    <row r="399" spans="1:3" x14ac:dyDescent="0.2">
      <c r="A399" t="str">
        <f t="shared" si="6"/>
        <v>1993/05</v>
      </c>
      <c r="B399" s="2">
        <v>34120</v>
      </c>
      <c r="C399" s="3">
        <v>2.2717462913741882</v>
      </c>
    </row>
    <row r="400" spans="1:3" x14ac:dyDescent="0.2">
      <c r="A400" t="str">
        <f t="shared" si="6"/>
        <v>1993/04</v>
      </c>
      <c r="B400" s="2">
        <v>34089</v>
      </c>
      <c r="C400" s="3">
        <v>-2.5416786591980878</v>
      </c>
    </row>
    <row r="401" spans="1:3" x14ac:dyDescent="0.2">
      <c r="A401" t="str">
        <f t="shared" si="6"/>
        <v>1993/03</v>
      </c>
      <c r="B401" s="2">
        <v>34059</v>
      </c>
      <c r="C401" s="3">
        <v>1.8697279985565585</v>
      </c>
    </row>
    <row r="402" spans="1:3" x14ac:dyDescent="0.2">
      <c r="B402" s="2">
        <v>34026</v>
      </c>
      <c r="C402" s="3">
        <v>1.0483613656046442</v>
      </c>
    </row>
    <row r="403" spans="1:3" x14ac:dyDescent="0.2">
      <c r="B403" s="2">
        <v>33998</v>
      </c>
      <c r="C403" s="3">
        <v>0.70459709439765206</v>
      </c>
    </row>
    <row r="404" spans="1:3" x14ac:dyDescent="0.2">
      <c r="B404" s="2">
        <v>33969</v>
      </c>
      <c r="C404" s="3">
        <v>1.0107801089602297</v>
      </c>
    </row>
    <row r="405" spans="1:3" x14ac:dyDescent="0.2">
      <c r="B405" s="2">
        <v>33938</v>
      </c>
      <c r="C405" s="3">
        <v>3.026177510270367</v>
      </c>
    </row>
    <row r="406" spans="1:3" x14ac:dyDescent="0.2">
      <c r="B406" s="2">
        <v>33907</v>
      </c>
      <c r="C406" s="3">
        <v>0.21062709430348381</v>
      </c>
    </row>
    <row r="407" spans="1:3" x14ac:dyDescent="0.2">
      <c r="B407" s="2">
        <v>33877</v>
      </c>
      <c r="C407" s="3">
        <v>0.91056203656740831</v>
      </c>
    </row>
    <row r="408" spans="1:3" x14ac:dyDescent="0.2">
      <c r="B408" s="2">
        <v>33847</v>
      </c>
      <c r="C408" s="3">
        <v>-2.3997548384055101</v>
      </c>
    </row>
    <row r="409" spans="1:3" x14ac:dyDescent="0.2">
      <c r="B409" s="2">
        <v>33816</v>
      </c>
      <c r="C409" s="3">
        <v>3.9373744303425218</v>
      </c>
    </row>
    <row r="410" spans="1:3" x14ac:dyDescent="0.2">
      <c r="B410" s="2">
        <v>33785</v>
      </c>
      <c r="C410" s="3">
        <v>-1.7358853978572397</v>
      </c>
    </row>
    <row r="411" spans="1:3" x14ac:dyDescent="0.2">
      <c r="B411" s="2">
        <v>33753</v>
      </c>
      <c r="C411" s="3">
        <v>9.6397156283889451E-2</v>
      </c>
    </row>
    <row r="412" spans="1:3" x14ac:dyDescent="0.2">
      <c r="B412" s="2">
        <v>33724</v>
      </c>
      <c r="C412" s="3">
        <v>2.7892689935346437</v>
      </c>
    </row>
    <row r="413" spans="1:3" x14ac:dyDescent="0.2">
      <c r="B413" s="2">
        <v>33694</v>
      </c>
      <c r="C413" s="3">
        <v>-2.1831839108311102</v>
      </c>
    </row>
    <row r="414" spans="1:3" x14ac:dyDescent="0.2">
      <c r="B414" s="2">
        <v>33662</v>
      </c>
      <c r="C414" s="3">
        <v>0.9564813229286262</v>
      </c>
    </row>
    <row r="415" spans="1:3" x14ac:dyDescent="0.2">
      <c r="B415" s="2">
        <v>33634</v>
      </c>
      <c r="C415" s="3">
        <v>-1.9899781821669071</v>
      </c>
    </row>
    <row r="416" spans="1:3" x14ac:dyDescent="0.2">
      <c r="B416" s="2">
        <v>33603</v>
      </c>
      <c r="C416" s="3">
        <v>11.158786845050894</v>
      </c>
    </row>
    <row r="417" spans="2:3" x14ac:dyDescent="0.2">
      <c r="B417" s="2">
        <v>33571</v>
      </c>
      <c r="C417" s="3">
        <v>-4.3928043622279862</v>
      </c>
    </row>
    <row r="418" spans="2:3" x14ac:dyDescent="0.2">
      <c r="B418" s="2">
        <v>33542</v>
      </c>
      <c r="C418" s="3">
        <v>1.1859949466302089</v>
      </c>
    </row>
    <row r="419" spans="2:3" x14ac:dyDescent="0.2">
      <c r="B419" s="2">
        <v>33511</v>
      </c>
      <c r="C419" s="3">
        <v>-1.9143716966340429</v>
      </c>
    </row>
    <row r="420" spans="2:3" x14ac:dyDescent="0.2">
      <c r="B420" s="2">
        <v>33480</v>
      </c>
      <c r="C420" s="3">
        <v>1.9648797091359249</v>
      </c>
    </row>
    <row r="421" spans="2:3" x14ac:dyDescent="0.2">
      <c r="B421" s="2">
        <v>33450</v>
      </c>
      <c r="C421" s="3">
        <v>4.485935984481082</v>
      </c>
    </row>
    <row r="422" spans="2:3" x14ac:dyDescent="0.2">
      <c r="B422" s="2">
        <v>33417</v>
      </c>
      <c r="C422" s="3">
        <v>-4.789267116435358</v>
      </c>
    </row>
    <row r="423" spans="2:3" x14ac:dyDescent="0.2">
      <c r="B423" s="2">
        <v>33389</v>
      </c>
      <c r="C423" s="3">
        <v>3.8577327827361119</v>
      </c>
    </row>
    <row r="424" spans="2:3" x14ac:dyDescent="0.2">
      <c r="B424" s="2">
        <v>33358</v>
      </c>
      <c r="C424" s="3">
        <v>3.4646340813382359E-2</v>
      </c>
    </row>
    <row r="425" spans="2:3" x14ac:dyDescent="0.2">
      <c r="B425" s="2">
        <v>33326</v>
      </c>
      <c r="C425" s="3">
        <v>2.2202849592720897</v>
      </c>
    </row>
    <row r="426" spans="2:3" x14ac:dyDescent="0.2">
      <c r="B426" s="2">
        <v>33297</v>
      </c>
      <c r="C426" s="3">
        <v>6.728113278864889</v>
      </c>
    </row>
    <row r="427" spans="2:3" x14ac:dyDescent="0.2">
      <c r="B427" s="2">
        <v>33269</v>
      </c>
      <c r="C427" s="3">
        <v>4.1517776028102471</v>
      </c>
    </row>
    <row r="428" spans="2:3" x14ac:dyDescent="0.2">
      <c r="B428" s="2">
        <v>33238</v>
      </c>
      <c r="C428" s="3">
        <v>2.482775743280996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月度收益</vt:lpstr>
      <vt:lpstr>Sheet3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2026-03-24T08:18:56Z</dcterms:modified>
</cp:coreProperties>
</file>