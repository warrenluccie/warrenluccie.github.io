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/>
  <xr:revisionPtr revIDLastSave="0" documentId="13_ncr:1_{32DDA1FE-3B5C-4AD0-A537-1B51B390555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区间涨跌幅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G6" i="1"/>
  <c r="E16" i="1" s="1"/>
  <c r="G5" i="1"/>
  <c r="E15" i="1" s="1"/>
  <c r="J6" i="1"/>
  <c r="J5" i="1"/>
  <c r="J14" i="1"/>
  <c r="J42" i="1"/>
  <c r="J35" i="1"/>
  <c r="J28" i="1"/>
  <c r="J40" i="1"/>
  <c r="I15" i="1"/>
  <c r="J43" i="1"/>
  <c r="I14" i="1"/>
  <c r="I38" i="1"/>
  <c r="J31" i="1"/>
  <c r="J30" i="1"/>
  <c r="I39" i="1"/>
  <c r="J20" i="1"/>
  <c r="J21" i="1"/>
  <c r="I18" i="1"/>
  <c r="I42" i="1"/>
  <c r="I29" i="1"/>
  <c r="J27" i="1"/>
  <c r="I19" i="1"/>
  <c r="J37" i="1"/>
  <c r="I40" i="1"/>
  <c r="I16" i="1"/>
  <c r="J13" i="1"/>
  <c r="J45" i="1"/>
  <c r="J38" i="1"/>
  <c r="J11" i="1"/>
  <c r="J29" i="1"/>
  <c r="I27" i="1"/>
  <c r="I36" i="1"/>
  <c r="I41" i="1"/>
  <c r="J39" i="1"/>
  <c r="J32" i="1"/>
  <c r="J12" i="1"/>
  <c r="I12" i="1"/>
  <c r="J25" i="1"/>
  <c r="I43" i="1"/>
  <c r="I25" i="1"/>
  <c r="J24" i="1"/>
  <c r="I30" i="1"/>
  <c r="J36" i="1"/>
  <c r="J44" i="1"/>
  <c r="J16" i="1"/>
  <c r="I45" i="1"/>
  <c r="I13" i="1"/>
  <c r="J41" i="1"/>
  <c r="I44" i="1"/>
  <c r="I28" i="1"/>
  <c r="J19" i="1"/>
  <c r="J18" i="1"/>
  <c r="I24" i="1"/>
  <c r="I37" i="1"/>
  <c r="I20" i="1"/>
  <c r="I32" i="1"/>
  <c r="I31" i="1"/>
  <c r="I17" i="1"/>
  <c r="I35" i="1"/>
  <c r="J26" i="1"/>
  <c r="I11" i="1"/>
  <c r="J15" i="1"/>
  <c r="I26" i="1"/>
  <c r="I21" i="1"/>
  <c r="J17" i="1"/>
  <c r="D14" i="1"/>
  <c r="K18" i="1"/>
  <c r="K21" i="1"/>
  <c r="K26" i="1"/>
  <c r="E30" i="1"/>
  <c r="L20" i="1"/>
  <c r="D19" i="1"/>
  <c r="F25" i="1"/>
  <c r="F35" i="1"/>
  <c r="D39" i="1"/>
  <c r="L32" i="1"/>
  <c r="K41" i="1"/>
  <c r="L21" i="1"/>
  <c r="D18" i="1"/>
  <c r="E21" i="1"/>
  <c r="D32" i="1"/>
  <c r="D31" i="1"/>
  <c r="K15" i="1"/>
  <c r="E28" i="1"/>
  <c r="D13" i="1"/>
  <c r="L15" i="1"/>
  <c r="L16" i="1"/>
  <c r="L41" i="1"/>
  <c r="E11" i="1"/>
  <c r="F16" i="1"/>
  <c r="F41" i="1"/>
  <c r="L24" i="1"/>
  <c r="E44" i="1"/>
  <c r="D30" i="1"/>
  <c r="K35" i="1"/>
  <c r="L45" i="1"/>
  <c r="K40" i="1"/>
  <c r="F14" i="1"/>
  <c r="E32" i="1"/>
  <c r="E43" i="1"/>
  <c r="F19" i="1"/>
  <c r="F15" i="1"/>
  <c r="L35" i="1"/>
  <c r="D28" i="1"/>
  <c r="K42" i="1"/>
  <c r="F29" i="1"/>
  <c r="D29" i="1"/>
  <c r="D40" i="1"/>
  <c r="K20" i="1"/>
  <c r="K28" i="1"/>
  <c r="K31" i="1"/>
  <c r="K27" i="1"/>
  <c r="L26" i="1"/>
  <c r="K37" i="1"/>
  <c r="K38" i="1"/>
  <c r="K16" i="1"/>
  <c r="F11" i="1"/>
  <c r="E14" i="1"/>
  <c r="F43" i="1"/>
  <c r="K11" i="1"/>
  <c r="K17" i="1"/>
  <c r="K30" i="1"/>
  <c r="F18" i="1"/>
  <c r="F32" i="1"/>
  <c r="D41" i="1"/>
  <c r="E38" i="1"/>
  <c r="F44" i="1"/>
  <c r="L30" i="1"/>
  <c r="K29" i="1"/>
  <c r="F42" i="1"/>
  <c r="F31" i="1"/>
  <c r="F37" i="1"/>
  <c r="E20" i="1"/>
  <c r="D16" i="1"/>
  <c r="L36" i="1"/>
  <c r="K44" i="1"/>
  <c r="L25" i="1"/>
  <c r="D15" i="1"/>
  <c r="L43" i="1"/>
  <c r="D12" i="1"/>
  <c r="F45" i="1"/>
  <c r="F28" i="1"/>
  <c r="E36" i="1"/>
  <c r="E26" i="1"/>
  <c r="F17" i="1"/>
  <c r="E31" i="1"/>
  <c r="K19" i="1"/>
  <c r="E25" i="1"/>
  <c r="D42" i="1"/>
  <c r="F26" i="1"/>
  <c r="D21" i="1"/>
  <c r="F30" i="1"/>
  <c r="E13" i="1"/>
  <c r="E17" i="1"/>
  <c r="E40" i="1"/>
  <c r="F27" i="1"/>
  <c r="L40" i="1"/>
  <c r="E12" i="1"/>
  <c r="K12" i="1"/>
  <c r="L14" i="1"/>
  <c r="K45" i="1"/>
  <c r="L17" i="1"/>
  <c r="F12" i="1"/>
  <c r="F39" i="1"/>
  <c r="L29" i="1"/>
  <c r="F40" i="1"/>
  <c r="E35" i="1"/>
  <c r="E37" i="1"/>
  <c r="E18" i="1"/>
  <c r="D44" i="1"/>
  <c r="E19" i="1"/>
  <c r="F38" i="1"/>
  <c r="D26" i="1"/>
  <c r="D35" i="1"/>
  <c r="D36" i="1"/>
  <c r="K24" i="1"/>
  <c r="F20" i="1"/>
  <c r="D27" i="1"/>
  <c r="D45" i="1"/>
  <c r="F36" i="1"/>
  <c r="L11" i="1"/>
  <c r="L42" i="1"/>
  <c r="L18" i="1"/>
  <c r="E24" i="1"/>
  <c r="F13" i="1"/>
  <c r="K13" i="1"/>
  <c r="L44" i="1"/>
  <c r="D37" i="1"/>
  <c r="E41" i="1"/>
  <c r="L19" i="1"/>
  <c r="K36" i="1"/>
  <c r="E27" i="1"/>
  <c r="L38" i="1"/>
  <c r="E29" i="1"/>
  <c r="E45" i="1"/>
  <c r="E42" i="1"/>
  <c r="D24" i="1"/>
  <c r="L28" i="1"/>
  <c r="D25" i="1"/>
  <c r="L31" i="1"/>
  <c r="D20" i="1"/>
  <c r="L39" i="1"/>
  <c r="K43" i="1"/>
  <c r="K32" i="1"/>
  <c r="E39" i="1"/>
  <c r="D38" i="1"/>
  <c r="F21" i="1"/>
  <c r="L12" i="1"/>
  <c r="K25" i="1"/>
  <c r="D43" i="1"/>
  <c r="K39" i="1"/>
  <c r="F24" i="1"/>
  <c r="L13" i="1"/>
  <c r="D11" i="1"/>
  <c r="L37" i="1"/>
  <c r="D17" i="1"/>
  <c r="L27" i="1"/>
  <c r="K14" i="1"/>
  <c r="G11" i="1" l="1"/>
  <c r="G27" i="1"/>
  <c r="H27" i="1"/>
  <c r="G25" i="1"/>
  <c r="H25" i="1"/>
  <c r="G28" i="1"/>
  <c r="H28" i="1"/>
  <c r="G30" i="1"/>
  <c r="H30" i="1"/>
  <c r="G32" i="1"/>
  <c r="H32" i="1"/>
  <c r="G26" i="1"/>
  <c r="H26" i="1"/>
  <c r="G29" i="1"/>
  <c r="H29" i="1"/>
  <c r="H31" i="1"/>
  <c r="G31" i="1"/>
  <c r="H24" i="1"/>
  <c r="G24" i="1"/>
  <c r="H21" i="1"/>
  <c r="G21" i="1"/>
  <c r="G20" i="1"/>
  <c r="H20" i="1"/>
  <c r="G37" i="1"/>
  <c r="H37" i="1"/>
  <c r="G45" i="1"/>
  <c r="H45" i="1"/>
  <c r="G13" i="1"/>
  <c r="H13" i="1"/>
  <c r="H18" i="1"/>
  <c r="G18" i="1"/>
  <c r="H17" i="1"/>
  <c r="G17" i="1"/>
  <c r="G39" i="1"/>
  <c r="H39" i="1"/>
  <c r="H14" i="1"/>
  <c r="G14" i="1"/>
  <c r="H44" i="1"/>
  <c r="G44" i="1"/>
  <c r="H11" i="1"/>
  <c r="G36" i="1"/>
  <c r="H36" i="1"/>
  <c r="H35" i="1"/>
  <c r="G35" i="1"/>
  <c r="G43" i="1"/>
  <c r="H43" i="1"/>
  <c r="G40" i="1"/>
  <c r="H40" i="1"/>
  <c r="G41" i="1"/>
  <c r="H41" i="1"/>
  <c r="G38" i="1"/>
  <c r="H38" i="1"/>
  <c r="H19" i="1"/>
  <c r="G19" i="1"/>
  <c r="G42" i="1"/>
  <c r="H42" i="1"/>
  <c r="G12" i="1"/>
  <c r="H12" i="1"/>
  <c r="H16" i="1" l="1"/>
  <c r="G16" i="1"/>
  <c r="H15" i="1"/>
  <c r="G15" i="1"/>
</calcChain>
</file>

<file path=xl/sharedStrings.xml><?xml version="1.0" encoding="utf-8"?>
<sst xmlns="http://schemas.openxmlformats.org/spreadsheetml/2006/main" count="52" uniqueCount="50">
  <si>
    <t>Wind代码</t>
    <phoneticPr fontId="4" type="noConversion"/>
  </si>
  <si>
    <t>证券简称</t>
    <phoneticPr fontId="4" type="noConversion"/>
  </si>
  <si>
    <t>区间开始价格</t>
    <phoneticPr fontId="4" type="noConversion"/>
  </si>
  <si>
    <t>区间结束价格</t>
    <phoneticPr fontId="4" type="noConversion"/>
  </si>
  <si>
    <t>区间涨跌幅</t>
    <phoneticPr fontId="4" type="noConversion"/>
  </si>
  <si>
    <t>总市值(亿）</t>
    <phoneticPr fontId="4" type="noConversion"/>
  </si>
  <si>
    <t>区间涨跌幅</t>
    <phoneticPr fontId="2" type="noConversion"/>
  </si>
  <si>
    <t>CN.SG</t>
    <phoneticPr fontId="4" type="noConversion"/>
  </si>
  <si>
    <t>HTIF.HK</t>
    <phoneticPr fontId="4" type="noConversion"/>
  </si>
  <si>
    <t>区间价格变动</t>
    <phoneticPr fontId="4" type="noConversion"/>
  </si>
  <si>
    <t>1093.HK</t>
    <phoneticPr fontId="4" type="noConversion"/>
  </si>
  <si>
    <t>BTC.CME</t>
    <phoneticPr fontId="4" type="noConversion"/>
  </si>
  <si>
    <t>002123.SZ</t>
    <phoneticPr fontId="4" type="noConversion"/>
  </si>
  <si>
    <t>600006.SH</t>
    <phoneticPr fontId="4" type="noConversion"/>
  </si>
  <si>
    <t>纽交所前一交易日：</t>
    <phoneticPr fontId="4" type="noConversion"/>
  </si>
  <si>
    <t>日期设置</t>
    <phoneticPr fontId="2" type="noConversion"/>
  </si>
  <si>
    <t>上交所前一交易日：</t>
    <phoneticPr fontId="4" type="noConversion"/>
  </si>
  <si>
    <t>开始日期:</t>
    <phoneticPr fontId="4" type="noConversion"/>
  </si>
  <si>
    <t>结束日期:</t>
    <phoneticPr fontId="4" type="noConversion"/>
  </si>
  <si>
    <t>开始日期调整</t>
    <phoneticPr fontId="2" type="noConversion"/>
  </si>
  <si>
    <t>结束日期调整</t>
    <phoneticPr fontId="2" type="noConversion"/>
  </si>
  <si>
    <t>年初至今(%)</t>
    <phoneticPr fontId="4" type="noConversion"/>
  </si>
  <si>
    <t>本月至今(%)</t>
    <phoneticPr fontId="4" type="noConversion"/>
  </si>
  <si>
    <t>本周至今(%)</t>
    <phoneticPr fontId="4" type="noConversion"/>
  </si>
  <si>
    <t>NQ.CME</t>
    <phoneticPr fontId="4" type="noConversion"/>
  </si>
  <si>
    <t>YM.CBT</t>
    <phoneticPr fontId="4" type="noConversion"/>
  </si>
  <si>
    <t>10YRNOTE</t>
    <phoneticPr fontId="4" type="noConversion"/>
  </si>
  <si>
    <t>TB10Y.WI</t>
    <phoneticPr fontId="4" type="noConversion"/>
  </si>
  <si>
    <t>GC.CMX</t>
    <phoneticPr fontId="4" type="noConversion"/>
  </si>
  <si>
    <t>B.IPE</t>
    <phoneticPr fontId="4" type="noConversion"/>
  </si>
  <si>
    <t>UC.SG</t>
    <phoneticPr fontId="4" type="noConversion"/>
  </si>
  <si>
    <t>ETH.CME</t>
    <phoneticPr fontId="4" type="noConversion"/>
  </si>
  <si>
    <t>000001.SZ</t>
    <phoneticPr fontId="4" type="noConversion"/>
  </si>
  <si>
    <t>000002.SZ</t>
    <phoneticPr fontId="4" type="noConversion"/>
  </si>
  <si>
    <t>000004.SZ</t>
    <phoneticPr fontId="4" type="noConversion"/>
  </si>
  <si>
    <t>600000.SH</t>
    <phoneticPr fontId="4" type="noConversion"/>
  </si>
  <si>
    <t>600004.SH</t>
    <phoneticPr fontId="4" type="noConversion"/>
  </si>
  <si>
    <t>600007.SH</t>
    <phoneticPr fontId="4" type="noConversion"/>
  </si>
  <si>
    <t>600941.SH</t>
    <phoneticPr fontId="4" type="noConversion"/>
  </si>
  <si>
    <t>0241.HK</t>
    <phoneticPr fontId="4" type="noConversion"/>
  </si>
  <si>
    <t>1299.HK</t>
    <phoneticPr fontId="4" type="noConversion"/>
  </si>
  <si>
    <t>0101.HK</t>
    <phoneticPr fontId="4" type="noConversion"/>
  </si>
  <si>
    <t>0017.HK</t>
    <phoneticPr fontId="4" type="noConversion"/>
  </si>
  <si>
    <t>0992.HK</t>
    <phoneticPr fontId="4" type="noConversion"/>
  </si>
  <si>
    <t>2319.HK</t>
    <phoneticPr fontId="4" type="noConversion"/>
  </si>
  <si>
    <t>2382.HK</t>
    <phoneticPr fontId="4" type="noConversion"/>
  </si>
  <si>
    <t>0883.HK</t>
    <phoneticPr fontId="4" type="noConversion"/>
  </si>
  <si>
    <t>0386.HK</t>
    <phoneticPr fontId="4" type="noConversion"/>
  </si>
  <si>
    <t>0857.HK</t>
    <phoneticPr fontId="4" type="noConversion"/>
  </si>
  <si>
    <t>2026/1/1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</si>
</sst>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yyyy\-mm\-dd"/>
  </numFmts>
  <fonts count="14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20"/>
      <color theme="0"/>
      <name val="微软雅黑"/>
      <family val="2"/>
      <charset val="134"/>
    </font>
    <font>
      <sz val="9"/>
      <name val="宋体"/>
      <family val="3"/>
      <charset val="134"/>
    </font>
    <font>
      <sz val="11"/>
      <color theme="1"/>
      <name val="等线"/>
      <family val="2"/>
      <scheme val="minor"/>
    </font>
    <font>
      <sz val="14"/>
      <color theme="1"/>
      <name val="Arial"/>
      <family val="2"/>
    </font>
    <font>
      <sz val="12"/>
      <color theme="1"/>
      <name val="等线"/>
      <family val="2"/>
      <scheme val="minor"/>
    </font>
    <font>
      <sz val="12"/>
      <color theme="1"/>
      <name val="微软雅黑"/>
      <family val="2"/>
      <charset val="134"/>
    </font>
    <font>
      <sz val="12"/>
      <color theme="1"/>
      <name val="Arial"/>
      <family val="2"/>
    </font>
    <font>
      <b/>
      <sz val="12"/>
      <color rgb="FF107F3A"/>
      <name val="Arial"/>
      <family val="2"/>
    </font>
    <font>
      <sz val="11"/>
      <color theme="1"/>
      <name val="Arial"/>
      <family val="2"/>
    </font>
    <font>
      <b/>
      <sz val="12"/>
      <name val="微软雅黑"/>
      <family val="2"/>
      <charset val="134"/>
    </font>
    <font>
      <b/>
      <sz val="11"/>
      <color rgb="FF212121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3F3"/>
        <bgColor indexed="64"/>
      </patternFill>
    </fill>
  </fills>
  <borders count="5">
    <border>
      <left/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/>
      <right/>
      <top/>
      <bottom style="thin">
        <color theme="0" tint="-0.14993743705557422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>
      <alignment vertical="center"/>
    </xf>
  </cellStyleXfs>
  <cellXfs count="46">
    <xf numFmtId="0" fontId="0" fillId="0" borderId="0" xfId="0"/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/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vertical="center"/>
    </xf>
    <xf numFmtId="49" fontId="6" fillId="6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1" fillId="0" borderId="0" xfId="0" applyFont="1"/>
    <xf numFmtId="0" fontId="7" fillId="4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7" fillId="4" borderId="0" xfId="0" applyFont="1" applyFill="1" applyAlignment="1">
      <alignment horizontal="left" vertical="center"/>
    </xf>
    <xf numFmtId="49" fontId="9" fillId="4" borderId="2" xfId="0" applyNumberFormat="1" applyFont="1" applyFill="1" applyBorder="1" applyAlignment="1">
      <alignment horizontal="right" vertical="center"/>
    </xf>
    <xf numFmtId="0" fontId="8" fillId="4" borderId="2" xfId="0" applyFont="1" applyFill="1" applyBorder="1" applyAlignment="1">
      <alignment horizontal="left" vertical="center"/>
    </xf>
    <xf numFmtId="43" fontId="9" fillId="4" borderId="2" xfId="1" applyFont="1" applyFill="1" applyBorder="1" applyAlignment="1">
      <alignment horizontal="center" vertical="center"/>
    </xf>
    <xf numFmtId="43" fontId="9" fillId="4" borderId="3" xfId="1" applyFont="1" applyFill="1" applyBorder="1" applyAlignment="1">
      <alignment horizontal="center" vertical="center"/>
    </xf>
    <xf numFmtId="10" fontId="10" fillId="4" borderId="2" xfId="1" applyNumberFormat="1" applyFont="1" applyFill="1" applyBorder="1" applyAlignment="1">
      <alignment horizontal="right" vertical="center"/>
    </xf>
    <xf numFmtId="49" fontId="9" fillId="7" borderId="2" xfId="0" applyNumberFormat="1" applyFont="1" applyFill="1" applyBorder="1" applyAlignment="1">
      <alignment horizontal="right" vertical="center"/>
    </xf>
    <xf numFmtId="0" fontId="8" fillId="7" borderId="2" xfId="0" applyFont="1" applyFill="1" applyBorder="1" applyAlignment="1">
      <alignment vertical="center"/>
    </xf>
    <xf numFmtId="43" fontId="9" fillId="7" borderId="2" xfId="1" applyFont="1" applyFill="1" applyBorder="1" applyAlignment="1">
      <alignment horizontal="center" vertical="center"/>
    </xf>
    <xf numFmtId="43" fontId="9" fillId="7" borderId="3" xfId="1" applyFont="1" applyFill="1" applyBorder="1" applyAlignment="1">
      <alignment horizontal="center" vertical="center"/>
    </xf>
    <xf numFmtId="10" fontId="10" fillId="7" borderId="2" xfId="1" applyNumberFormat="1" applyFont="1" applyFill="1" applyBorder="1" applyAlignment="1">
      <alignment horizontal="right" vertical="center"/>
    </xf>
    <xf numFmtId="0" fontId="7" fillId="0" borderId="0" xfId="0" applyFont="1"/>
    <xf numFmtId="0" fontId="3" fillId="2" borderId="0" xfId="0" applyFont="1" applyFill="1" applyAlignment="1">
      <alignment horizontal="center" vertical="center"/>
    </xf>
    <xf numFmtId="14" fontId="6" fillId="6" borderId="0" xfId="0" applyNumberFormat="1" applyFont="1" applyFill="1" applyAlignment="1">
      <alignment horizontal="right" vertical="center"/>
    </xf>
    <xf numFmtId="43" fontId="10" fillId="4" borderId="2" xfId="1" applyFont="1" applyFill="1" applyBorder="1" applyAlignment="1">
      <alignment horizontal="right" vertical="center"/>
    </xf>
    <xf numFmtId="176" fontId="0" fillId="0" borderId="0" xfId="0" applyNumberFormat="1" applyAlignment="1">
      <alignment horizontal="right"/>
    </xf>
    <xf numFmtId="176" fontId="11" fillId="3" borderId="0" xfId="0" applyNumberFormat="1" applyFont="1" applyFill="1" applyAlignment="1">
      <alignment horizontal="right" vertical="center"/>
    </xf>
    <xf numFmtId="0" fontId="12" fillId="4" borderId="4" xfId="0" applyFont="1" applyFill="1" applyBorder="1" applyAlignment="1">
      <alignment vertical="center"/>
    </xf>
    <xf numFmtId="43" fontId="10" fillId="4" borderId="3" xfId="1" applyFont="1" applyFill="1" applyBorder="1" applyAlignment="1">
      <alignment horizontal="right" vertical="center"/>
    </xf>
    <xf numFmtId="43" fontId="10" fillId="7" borderId="3" xfId="1" applyFont="1" applyFill="1" applyBorder="1" applyAlignment="1">
      <alignment horizontal="right" vertical="center"/>
    </xf>
    <xf numFmtId="43" fontId="10" fillId="4" borderId="1" xfId="1" applyFont="1" applyFill="1" applyBorder="1" applyAlignment="1">
      <alignment horizontal="right" vertical="center"/>
    </xf>
    <xf numFmtId="43" fontId="10" fillId="8" borderId="1" xfId="1" applyFont="1" applyFill="1" applyBorder="1" applyAlignment="1">
      <alignment horizontal="right" vertical="center"/>
    </xf>
    <xf numFmtId="43" fontId="9" fillId="4" borderId="1" xfId="1" applyFont="1" applyFill="1" applyBorder="1" applyAlignment="1">
      <alignment horizontal="center" vertical="center"/>
    </xf>
    <xf numFmtId="43" fontId="9" fillId="7" borderId="1" xfId="1" applyFont="1" applyFill="1" applyBorder="1" applyAlignment="1">
      <alignment horizontal="center" vertical="center"/>
    </xf>
    <xf numFmtId="43" fontId="10" fillId="8" borderId="3" xfId="1" applyFont="1" applyFill="1" applyBorder="1" applyAlignment="1">
      <alignment horizontal="right" vertical="center"/>
    </xf>
    <xf numFmtId="43" fontId="10" fillId="8" borderId="2" xfId="1" applyFont="1" applyFill="1" applyBorder="1" applyAlignment="1">
      <alignment horizontal="right" vertical="center"/>
    </xf>
    <xf numFmtId="0" fontId="13" fillId="5" borderId="2" xfId="0" applyFont="1" applyFill="1" applyBorder="1" applyAlignment="1">
      <alignment vertical="center"/>
    </xf>
    <xf numFmtId="0" fontId="13" fillId="5" borderId="2" xfId="0" applyFont="1" applyFill="1" applyBorder="1" applyAlignment="1">
      <alignment vertical="center" wrapText="1"/>
    </xf>
    <xf numFmtId="0" fontId="13" fillId="5" borderId="3" xfId="0" applyFont="1" applyFill="1" applyBorder="1" applyAlignment="1">
      <alignment vertical="center"/>
    </xf>
    <xf numFmtId="0" fontId="13" fillId="5" borderId="3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常规" xfId="0" builtinId="0"/>
    <cellStyle name="千位分隔" xfId="1" builtinId="3"/>
  </cellStyles>
  <dxfs count="4"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</dxfs>
  <tableStyles count="0" defaultTableStyle="TableStyleMedium2" defaultPivotStyle="PivotStyleLight16"/>
  <colors>
    <mruColors>
      <color rgb="FF636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85725</xdr:rowOff>
    </xdr:from>
    <xdr:to>
      <xdr:col>2</xdr:col>
      <xdr:colOff>626746</xdr:colOff>
      <xdr:row>0</xdr:row>
      <xdr:rowOff>305325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85725"/>
          <a:ext cx="636271" cy="219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s_dq_close"/>
      <definedName name="S_INFO_NAME"/>
      <definedName name="s_mq_pctchange"/>
      <definedName name="s_val_mv_ard"/>
      <definedName name="s_wq_pctchange"/>
      <definedName name="s_yq_pctchange"/>
      <definedName name="TDaysOff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63636D"/>
  </sheetPr>
  <dimension ref="A1:P54"/>
  <sheetViews>
    <sheetView showGridLines="0" tabSelected="1" zoomScaleNormal="100" workbookViewId="0">
      <pane ySplit="1" topLeftCell="A2" activePane="bottomLeft" state="frozen"/>
      <selection pane="bottomLeft" activeCell="D5" sqref="D5"/>
    </sheetView>
  </sheetViews>
  <sheetFormatPr defaultRowHeight="16.5" x14ac:dyDescent="0.3"/>
  <cols>
    <col min="1" max="1" width="1.5" style="6" customWidth="1"/>
    <col min="2" max="2" width="1.5" customWidth="1"/>
    <col min="3" max="3" width="12" bestFit="1" customWidth="1"/>
    <col min="4" max="4" width="21.25" style="10" customWidth="1"/>
    <col min="5" max="5" width="13.75" customWidth="1"/>
    <col min="6" max="6" width="17" customWidth="1"/>
    <col min="7" max="7" width="13.625" customWidth="1"/>
    <col min="8" max="8" width="14.125" bestFit="1" customWidth="1"/>
    <col min="9" max="9" width="16.625" customWidth="1"/>
    <col min="10" max="12" width="13.625" customWidth="1"/>
    <col min="13" max="14" width="1.5" customWidth="1"/>
    <col min="16" max="16" width="11.625" bestFit="1" customWidth="1"/>
  </cols>
  <sheetData>
    <row r="1" spans="1:16" ht="27.75" x14ac:dyDescent="0.3">
      <c r="A1" s="1"/>
      <c r="B1" s="1"/>
      <c r="C1" s="2"/>
      <c r="D1" s="45" t="s">
        <v>6</v>
      </c>
      <c r="E1" s="45"/>
      <c r="F1" s="45"/>
      <c r="G1" s="45"/>
      <c r="H1" s="45"/>
      <c r="I1" s="45"/>
      <c r="J1" s="45"/>
      <c r="K1" s="25"/>
      <c r="L1" s="2"/>
      <c r="M1" s="3"/>
      <c r="N1" s="3"/>
    </row>
    <row r="2" spans="1:16" ht="14.1" customHeight="1" x14ac:dyDescent="0.2">
      <c r="A2" s="4"/>
      <c r="B2" s="4"/>
      <c r="C2" s="4"/>
      <c r="D2" s="9"/>
      <c r="E2" s="5"/>
      <c r="F2" s="4"/>
      <c r="G2" s="4"/>
      <c r="H2" s="4"/>
      <c r="I2" s="4"/>
      <c r="J2" s="4"/>
      <c r="K2" s="4"/>
      <c r="L2" s="4"/>
      <c r="M2" s="4"/>
      <c r="N2" s="4"/>
    </row>
    <row r="3" spans="1:16" ht="14.1" customHeight="1" x14ac:dyDescent="0.2">
      <c r="A3" s="4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4"/>
    </row>
    <row r="4" spans="1:16" ht="14.1" customHeight="1" x14ac:dyDescent="0.2">
      <c r="A4" s="4"/>
      <c r="B4" s="11"/>
      <c r="C4" s="30" t="s">
        <v>15</v>
      </c>
      <c r="D4" s="30"/>
      <c r="E4" s="11"/>
      <c r="F4" s="30" t="s">
        <v>19</v>
      </c>
      <c r="G4" s="11"/>
      <c r="H4" s="11"/>
      <c r="I4" s="30" t="s">
        <v>20</v>
      </c>
      <c r="J4" s="30"/>
      <c r="M4" s="11"/>
      <c r="N4" s="4"/>
    </row>
    <row r="5" spans="1:16" ht="18" x14ac:dyDescent="0.2">
      <c r="A5" s="4"/>
      <c r="B5" s="11"/>
      <c r="C5" s="8" t="s">
        <v>17</v>
      </c>
      <c r="D5" s="7" t="s">
        <v>49</v>
      </c>
      <c r="E5" s="11"/>
      <c r="F5" s="8" t="s">
        <v>14</v>
      </c>
      <c r="G5" s="29">
        <f>[1]!TDaysOffset(D5,"TradingCalendar=NYSE","Offset=0")</f>
        <v>46022</v>
      </c>
      <c r="H5" s="11"/>
      <c r="I5" s="8" t="s">
        <v>14</v>
      </c>
      <c r="J5" s="29">
        <f ca="1">[1]!TDaysOffset(D6,"TradingCalendar=NYSE","Offset=0")</f>
        <v>46087</v>
      </c>
      <c r="M5" s="11"/>
      <c r="N5" s="4"/>
    </row>
    <row r="6" spans="1:16" ht="18" x14ac:dyDescent="0.2">
      <c r="A6" s="4"/>
      <c r="B6" s="11"/>
      <c r="C6" s="8" t="s">
        <v>18</v>
      </c>
      <c r="D6" s="26">
        <f ca="1">TODAY()-1</f>
        <v>46088</v>
      </c>
      <c r="E6" s="11"/>
      <c r="F6" s="8" t="s">
        <v>16</v>
      </c>
      <c r="G6" s="29">
        <f>[1]!TDaysOffset(D5,"Offset"=0)</f>
        <v>46022</v>
      </c>
      <c r="H6" s="11"/>
      <c r="I6" s="8" t="s">
        <v>16</v>
      </c>
      <c r="J6" s="29">
        <f ca="1">[1]!TDaysOffset(D6,"Offset"=0)</f>
        <v>46087</v>
      </c>
      <c r="M6" s="11"/>
      <c r="N6" s="4"/>
    </row>
    <row r="7" spans="1:16" ht="11.25" customHeight="1" x14ac:dyDescent="0.2">
      <c r="A7" s="4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4"/>
    </row>
    <row r="8" spans="1:16" ht="14.1" customHeight="1" x14ac:dyDescent="0.2">
      <c r="A8" s="4"/>
      <c r="B8" s="4"/>
      <c r="C8" s="4"/>
      <c r="D8" s="9"/>
      <c r="E8" s="8"/>
      <c r="F8" s="8"/>
      <c r="G8" s="8"/>
      <c r="H8" s="4"/>
      <c r="I8" s="4"/>
      <c r="J8" s="4"/>
      <c r="K8" s="4"/>
      <c r="L8" s="4"/>
      <c r="M8" s="4"/>
      <c r="N8" s="4"/>
    </row>
    <row r="9" spans="1:16" ht="9.9499999999999993" customHeight="1" x14ac:dyDescent="0.2">
      <c r="A9" s="4"/>
      <c r="B9" s="11"/>
      <c r="C9" s="11"/>
      <c r="D9" s="12"/>
      <c r="E9" s="13"/>
      <c r="F9" s="11"/>
      <c r="G9" s="11"/>
      <c r="H9" s="11"/>
      <c r="I9" s="11"/>
      <c r="J9" s="11"/>
      <c r="K9" s="11"/>
      <c r="L9" s="11"/>
      <c r="M9" s="11"/>
      <c r="N9" s="4"/>
    </row>
    <row r="10" spans="1:16" ht="18" customHeight="1" x14ac:dyDescent="0.2">
      <c r="A10" s="4"/>
      <c r="B10" s="11"/>
      <c r="C10" s="39" t="s">
        <v>0</v>
      </c>
      <c r="D10" s="39" t="s">
        <v>1</v>
      </c>
      <c r="E10" s="40" t="s">
        <v>2</v>
      </c>
      <c r="F10" s="41" t="s">
        <v>3</v>
      </c>
      <c r="G10" s="40" t="s">
        <v>4</v>
      </c>
      <c r="H10" s="42" t="s">
        <v>9</v>
      </c>
      <c r="I10" s="41" t="s">
        <v>23</v>
      </c>
      <c r="J10" s="40" t="s">
        <v>22</v>
      </c>
      <c r="K10" s="44" t="s">
        <v>21</v>
      </c>
      <c r="L10" s="43" t="s">
        <v>5</v>
      </c>
      <c r="M10" s="11"/>
      <c r="N10" s="4"/>
      <c r="P10" s="28"/>
    </row>
    <row r="11" spans="1:16" ht="17.25" x14ac:dyDescent="0.2">
      <c r="A11" s="4"/>
      <c r="B11" s="11"/>
      <c r="C11" s="14" t="s">
        <v>7</v>
      </c>
      <c r="D11" s="15" t="str">
        <f>[1]!S_INFO_NAME(C11)</f>
        <v>富时中国A50期货</v>
      </c>
      <c r="E11" s="16">
        <f>[1]!s_dq_close(C11,$D$5,1)</f>
        <v>15280</v>
      </c>
      <c r="F11" s="17">
        <f ca="1">[1]!s_dq_close(C11,$D$6,1)</f>
        <v>14620</v>
      </c>
      <c r="G11" s="18">
        <f ca="1">F11/E11-1</f>
        <v>-4.3193717277486887E-2</v>
      </c>
      <c r="H11" s="31">
        <f t="shared" ref="H11" ca="1" si="0">F11-E11</f>
        <v>-660</v>
      </c>
      <c r="I11" s="31">
        <f ca="1">[1]!s_wq_pctchange(C11,$D$6)</f>
        <v>-0.15025269771888894</v>
      </c>
      <c r="J11" s="27">
        <f ca="1">[1]!s_mq_pctchange(C11,$D$6)</f>
        <v>-0.15025269771888625</v>
      </c>
      <c r="K11" s="33">
        <f ca="1">[1]!s_yq_pctchange(C11,$D$6)</f>
        <v>-4.0477704371057577</v>
      </c>
      <c r="L11" s="35">
        <f ca="1">[1]!s_val_mv_ard(C11,$D$6,100000000)</f>
        <v>0</v>
      </c>
      <c r="M11" s="11"/>
      <c r="N11" s="4"/>
    </row>
    <row r="12" spans="1:16" ht="17.25" x14ac:dyDescent="0.2">
      <c r="A12" s="4"/>
      <c r="B12" s="11"/>
      <c r="C12" s="19" t="s">
        <v>8</v>
      </c>
      <c r="D12" s="20" t="str">
        <f>[1]!S_INFO_NAME(C12)</f>
        <v>恒生科技指数期货</v>
      </c>
      <c r="E12" s="21">
        <f>[1]!s_dq_close(C12,$D$5,1)</f>
        <v>5529</v>
      </c>
      <c r="F12" s="22">
        <f ca="1">[1]!s_dq_close(C12,$D$6,1)</f>
        <v>4934</v>
      </c>
      <c r="G12" s="23">
        <f t="shared" ref="G12" ca="1" si="1">F12/E12-1</f>
        <v>-0.1076143968167842</v>
      </c>
      <c r="H12" s="32">
        <f t="shared" ref="H12" ca="1" si="2">F12-E12</f>
        <v>-595</v>
      </c>
      <c r="I12" s="37">
        <f ca="1">[1]!s_wq_pctchange(C12,$D$6)</f>
        <v>-4.026453997276791</v>
      </c>
      <c r="J12" s="38">
        <f ca="1">[1]!s_mq_pctchange(C12,$D$6)</f>
        <v>-4.0264539972767937</v>
      </c>
      <c r="K12" s="34">
        <f ca="1">[1]!s_yq_pctchange(C12,$D$6)</f>
        <v>-11.375934815740562</v>
      </c>
      <c r="L12" s="36">
        <f ca="1">[1]!s_val_mv_ard(C12,$D$6,100000000)</f>
        <v>0</v>
      </c>
      <c r="M12" s="11"/>
      <c r="N12" s="4"/>
    </row>
    <row r="13" spans="1:16" ht="17.25" x14ac:dyDescent="0.2">
      <c r="A13" s="4"/>
      <c r="B13" s="11"/>
      <c r="C13" s="14" t="s">
        <v>24</v>
      </c>
      <c r="D13" s="15" t="str">
        <f>[1]!S_INFO_NAME(C13)</f>
        <v>纳斯达克100期货小型</v>
      </c>
      <c r="E13" s="16">
        <f>[1]!s_dq_close(C13,$D$5,1)</f>
        <v>25434.75</v>
      </c>
      <c r="F13" s="17">
        <f ca="1">[1]!s_dq_close(C13,$D$6,1)</f>
        <v>24661.25</v>
      </c>
      <c r="G13" s="18">
        <f t="shared" ref="G13:G19" ca="1" si="3">F13/E13-1</f>
        <v>-3.0411150099765138E-2</v>
      </c>
      <c r="H13" s="31">
        <f t="shared" ref="H13:H19" ca="1" si="4">F13-E13</f>
        <v>-773.5</v>
      </c>
      <c r="I13" s="31">
        <f ca="1">[1]!s_wq_pctchange(C13,$D$6)</f>
        <v>-1.3737389895919772</v>
      </c>
      <c r="J13" s="27">
        <f ca="1">[1]!s_mq_pctchange(C13,$D$6)</f>
        <v>-1.3737389895919805</v>
      </c>
      <c r="K13" s="33">
        <f ca="1">[1]!s_yq_pctchange(C13,$D$6)</f>
        <v>-3.1249079320808781</v>
      </c>
      <c r="L13" s="35">
        <f ca="1">[1]!s_val_mv_ard(C13,$D$6,100000000)</f>
        <v>0</v>
      </c>
      <c r="M13" s="11"/>
      <c r="N13" s="4"/>
    </row>
    <row r="14" spans="1:16" ht="17.25" x14ac:dyDescent="0.2">
      <c r="A14" s="4"/>
      <c r="B14" s="11"/>
      <c r="C14" s="19" t="s">
        <v>25</v>
      </c>
      <c r="D14" s="20" t="str">
        <f>[1]!S_INFO_NAME(C14)</f>
        <v>道琼斯期货小型</v>
      </c>
      <c r="E14" s="21">
        <f>[1]!s_dq_close(C14,$D$5,1)</f>
        <v>48351</v>
      </c>
      <c r="F14" s="22">
        <f ca="1">[1]!s_dq_close(C14,$D$6,1)</f>
        <v>47480</v>
      </c>
      <c r="G14" s="23">
        <f t="shared" ca="1" si="3"/>
        <v>-1.8014105189137708E-2</v>
      </c>
      <c r="H14" s="32">
        <f t="shared" ca="1" si="4"/>
        <v>-871</v>
      </c>
      <c r="I14" s="37">
        <f ca="1">[1]!s_wq_pctchange(C14,$D$6)</f>
        <v>-3.1020408163265345</v>
      </c>
      <c r="J14" s="38">
        <f ca="1">[1]!s_mq_pctchange(C14,$D$6)</f>
        <v>-3.1020408163265318</v>
      </c>
      <c r="K14" s="34">
        <f ca="1">[1]!s_yq_pctchange(C14,$D$6)</f>
        <v>-1.77093677590201</v>
      </c>
      <c r="L14" s="36">
        <f ca="1">[1]!s_val_mv_ard(C14,$D$6,100000000)</f>
        <v>0</v>
      </c>
      <c r="M14" s="11"/>
      <c r="N14" s="4"/>
    </row>
    <row r="15" spans="1:16" ht="17.25" x14ac:dyDescent="0.2">
      <c r="A15" s="4"/>
      <c r="B15" s="11"/>
      <c r="C15" s="14" t="s">
        <v>26</v>
      </c>
      <c r="D15" s="15" t="str">
        <f>[1]!S_INFO_NAME(C15)</f>
        <v>10Y 美国国债</v>
      </c>
      <c r="E15" s="16">
        <f>[1]!s_dq_close(C15,$G$5,1)</f>
        <v>4.1474000000000002</v>
      </c>
      <c r="F15" s="17">
        <f ca="1">[1]!s_dq_close(C15,$D$6,1)</f>
        <v>0</v>
      </c>
      <c r="G15" s="18">
        <f t="shared" ca="1" si="3"/>
        <v>-1</v>
      </c>
      <c r="H15" s="31">
        <f t="shared" ca="1" si="4"/>
        <v>-4.1474000000000002</v>
      </c>
      <c r="I15" s="31">
        <f ca="1">[1]!s_wq_pctchange(C15,$D$6)</f>
        <v>0</v>
      </c>
      <c r="J15" s="27">
        <f ca="1">[1]!s_mq_pctchange(C15,$D$6)</f>
        <v>4.6539923954372564E-2</v>
      </c>
      <c r="K15" s="33">
        <f ca="1">[1]!s_yq_pctchange(C15,$D$6)</f>
        <v>0</v>
      </c>
      <c r="L15" s="35">
        <f ca="1">[1]!s_val_mv_ard(C15,$D$6,100000000)</f>
        <v>0</v>
      </c>
      <c r="M15" s="11"/>
      <c r="N15" s="4"/>
    </row>
    <row r="16" spans="1:16" ht="17.25" x14ac:dyDescent="0.2">
      <c r="A16" s="4"/>
      <c r="B16" s="11"/>
      <c r="C16" s="19" t="s">
        <v>27</v>
      </c>
      <c r="D16" s="20" t="str">
        <f>[1]!S_INFO_NAME(C16)</f>
        <v>10Y国债活跃</v>
      </c>
      <c r="E16" s="21">
        <f>[1]!s_dq_close(C16,$G$6,1)</f>
        <v>1.85</v>
      </c>
      <c r="F16" s="22">
        <f ca="1">[1]!s_dq_close(C16,$D$6,1)</f>
        <v>1.79</v>
      </c>
      <c r="G16" s="23">
        <f t="shared" ref="G16" ca="1" si="5">F16/E16-1</f>
        <v>-3.2432432432432434E-2</v>
      </c>
      <c r="H16" s="32">
        <f t="shared" ref="H16" ca="1" si="6">F16-E16</f>
        <v>-6.0000000000000053E-2</v>
      </c>
      <c r="I16" s="37">
        <f ca="1">[1]!s_wq_pctchange(C16,$D$6)</f>
        <v>0</v>
      </c>
      <c r="J16" s="38">
        <f ca="1">[1]!s_mq_pctchange(C16,$D$6)</f>
        <v>0</v>
      </c>
      <c r="K16" s="34">
        <f ca="1">[1]!s_yq_pctchange(C16,$D$6)</f>
        <v>0</v>
      </c>
      <c r="L16" s="36">
        <f ca="1">[1]!s_val_mv_ard(C16,$D$6,100000000)</f>
        <v>0</v>
      </c>
      <c r="M16" s="11"/>
      <c r="N16" s="4"/>
    </row>
    <row r="17" spans="1:14" ht="17.25" x14ac:dyDescent="0.2">
      <c r="A17" s="4"/>
      <c r="B17" s="11"/>
      <c r="C17" s="14" t="s">
        <v>28</v>
      </c>
      <c r="D17" s="15" t="str">
        <f>[1]!S_INFO_NAME(C17)</f>
        <v>COMEX黄金</v>
      </c>
      <c r="E17" s="16">
        <f>[1]!s_dq_close(C17,$D$5,1)</f>
        <v>4332.1000000000004</v>
      </c>
      <c r="F17" s="17">
        <f ca="1">[1]!s_dq_close(C17,$D$6,1)</f>
        <v>5181.3</v>
      </c>
      <c r="G17" s="18">
        <f t="shared" ca="1" si="3"/>
        <v>0.19602502250640552</v>
      </c>
      <c r="H17" s="31">
        <f t="shared" ca="1" si="4"/>
        <v>849.19999999999982</v>
      </c>
      <c r="I17" s="31">
        <f ca="1">[1]!s_wq_pctchange(C17,$D$6)</f>
        <v>-1.2690790601954882</v>
      </c>
      <c r="J17" s="27">
        <f ca="1">[1]!s_mq_pctchange(C17,$D$6)</f>
        <v>-1.269079060195488</v>
      </c>
      <c r="K17" s="33">
        <f ca="1">[1]!s_yq_pctchange(C17,$D$6)</f>
        <v>18.548299109945532</v>
      </c>
      <c r="L17" s="35">
        <f ca="1">[1]!s_val_mv_ard(C17,$D$6,100000000)</f>
        <v>0</v>
      </c>
      <c r="M17" s="11"/>
      <c r="N17" s="4"/>
    </row>
    <row r="18" spans="1:14" ht="17.25" x14ac:dyDescent="0.2">
      <c r="A18" s="4"/>
      <c r="B18" s="11"/>
      <c r="C18" s="19" t="s">
        <v>29</v>
      </c>
      <c r="D18" s="20" t="str">
        <f>[1]!S_INFO_NAME(C18)</f>
        <v>ICE布油</v>
      </c>
      <c r="E18" s="21">
        <f>[1]!s_dq_close(C18,$D$5,1)</f>
        <v>60.91</v>
      </c>
      <c r="F18" s="22">
        <f ca="1">[1]!s_dq_close(C18,$D$6,1)</f>
        <v>93.32</v>
      </c>
      <c r="G18" s="23">
        <f t="shared" ca="1" si="3"/>
        <v>0.53209653587259886</v>
      </c>
      <c r="H18" s="32">
        <f t="shared" ca="1" si="4"/>
        <v>32.409999999999997</v>
      </c>
      <c r="I18" s="37">
        <f ca="1">[1]!s_wq_pctchange(C18,$D$6)</f>
        <v>28.063675037738435</v>
      </c>
      <c r="J18" s="38">
        <f ca="1">[1]!s_mq_pctchange(C18,$D$6)</f>
        <v>28.063675037738427</v>
      </c>
      <c r="K18" s="34">
        <f ca="1">[1]!s_yq_pctchange(C18,$D$6)</f>
        <v>55.405742992013039</v>
      </c>
      <c r="L18" s="36">
        <f ca="1">[1]!s_val_mv_ard(C18,$D$6,100000000)</f>
        <v>0</v>
      </c>
      <c r="M18" s="11"/>
      <c r="N18" s="4"/>
    </row>
    <row r="19" spans="1:14" ht="17.25" x14ac:dyDescent="0.2">
      <c r="A19" s="4"/>
      <c r="B19" s="11"/>
      <c r="C19" s="14" t="s">
        <v>30</v>
      </c>
      <c r="D19" s="15" t="str">
        <f>[1]!S_INFO_NAME(C19)</f>
        <v>美元兑离岸人民币</v>
      </c>
      <c r="E19" s="16">
        <f>[1]!s_dq_close(C19,$D$5,1)</f>
        <v>6.9569000000000001</v>
      </c>
      <c r="F19" s="17">
        <f ca="1">[1]!s_dq_close(C19,$D$6,1)</f>
        <v>6.8856999999999999</v>
      </c>
      <c r="G19" s="18">
        <f t="shared" ca="1" si="3"/>
        <v>-1.0234443502134538E-2</v>
      </c>
      <c r="H19" s="31">
        <f t="shared" ca="1" si="4"/>
        <v>-7.1200000000000152E-2</v>
      </c>
      <c r="I19" s="31">
        <f ca="1">[1]!s_wq_pctchange(C19,$D$6)</f>
        <v>0.52557046293997267</v>
      </c>
      <c r="J19" s="27">
        <f ca="1">[1]!s_mq_pctchange(C19,$D$6)</f>
        <v>0.52557046293997878</v>
      </c>
      <c r="K19" s="33">
        <f ca="1">[1]!s_yq_pctchange(C19,$D$6)</f>
        <v>-1.0248670403909643</v>
      </c>
      <c r="L19" s="35">
        <f ca="1">[1]!s_val_mv_ard(C19,$D$6,100000000)</f>
        <v>0</v>
      </c>
      <c r="M19" s="11"/>
      <c r="N19" s="4"/>
    </row>
    <row r="20" spans="1:14" ht="17.25" x14ac:dyDescent="0.2">
      <c r="A20" s="4"/>
      <c r="B20" s="11"/>
      <c r="C20" s="19" t="s">
        <v>11</v>
      </c>
      <c r="D20" s="20" t="str">
        <f>[1]!S_INFO_NAME(C20)</f>
        <v>CME比特币期货</v>
      </c>
      <c r="E20" s="21">
        <f>[1]!s_dq_close(C20,$D$5,1)</f>
        <v>88120</v>
      </c>
      <c r="F20" s="22">
        <f ca="1">[1]!s_dq_close(C20,$D$6,1)</f>
        <v>68400</v>
      </c>
      <c r="G20" s="23">
        <f t="shared" ref="G20:G21" ca="1" si="7">F20/E20-1</f>
        <v>-0.22378574670903317</v>
      </c>
      <c r="H20" s="32">
        <f t="shared" ref="H20:H21" ca="1" si="8">F20-E20</f>
        <v>-19720</v>
      </c>
      <c r="I20" s="37">
        <f ca="1">[1]!s_wq_pctchange(C20,$D$6)</f>
        <v>3.8251366120218622</v>
      </c>
      <c r="J20" s="38">
        <f ca="1">[1]!s_mq_pctchange(C20,$D$6)</f>
        <v>3.8251366120218533</v>
      </c>
      <c r="K20" s="34">
        <f ca="1">[1]!s_yq_pctchange(C20,$D$6)</f>
        <v>-22.657496404300581</v>
      </c>
      <c r="L20" s="36">
        <f ca="1">[1]!s_val_mv_ard(C20,$D$6,100000000)</f>
        <v>0</v>
      </c>
      <c r="M20" s="11"/>
      <c r="N20" s="4"/>
    </row>
    <row r="21" spans="1:14" ht="17.25" x14ac:dyDescent="0.2">
      <c r="A21" s="4"/>
      <c r="B21" s="11"/>
      <c r="C21" s="14" t="s">
        <v>31</v>
      </c>
      <c r="D21" s="15" t="str">
        <f>[1]!S_INFO_NAME(C21)</f>
        <v>CME以太币期货</v>
      </c>
      <c r="E21" s="16">
        <f>[1]!s_dq_close(C21,$D$5,1)</f>
        <v>2997</v>
      </c>
      <c r="F21" s="17">
        <f ca="1">[1]!s_dq_close(C21,$D$6,1)</f>
        <v>1989</v>
      </c>
      <c r="G21" s="18">
        <f t="shared" ca="1" si="7"/>
        <v>-0.33633633633633631</v>
      </c>
      <c r="H21" s="31">
        <f t="shared" ca="1" si="8"/>
        <v>-1008</v>
      </c>
      <c r="I21" s="31">
        <f ca="1">[1]!s_wq_pctchange(C21,$D$6)</f>
        <v>3.137153227897338</v>
      </c>
      <c r="J21" s="27">
        <f ca="1">[1]!s_mq_pctchange(C21,$D$6)</f>
        <v>3.1371532278973326</v>
      </c>
      <c r="K21" s="33">
        <f ca="1">[1]!s_yq_pctchange(C21,$D$6)</f>
        <v>-33.855426678463594</v>
      </c>
      <c r="L21" s="35">
        <f ca="1">[1]!s_val_mv_ard(C21,$D$6,100000000)</f>
        <v>0</v>
      </c>
      <c r="M21" s="11"/>
      <c r="N21" s="4"/>
    </row>
    <row r="22" spans="1:14" ht="17.25" x14ac:dyDescent="0.25">
      <c r="A22" s="4"/>
      <c r="B22" s="11"/>
      <c r="C22" s="19"/>
      <c r="D22" s="20"/>
      <c r="E22" s="21"/>
      <c r="F22" s="22"/>
      <c r="G22" s="23"/>
      <c r="H22" s="32"/>
      <c r="I22" s="37"/>
      <c r="J22" s="38"/>
      <c r="K22" s="34"/>
      <c r="L22" s="36"/>
      <c r="M22" s="24"/>
      <c r="N22" s="4"/>
    </row>
    <row r="23" spans="1:14" ht="17.25" x14ac:dyDescent="0.25">
      <c r="A23" s="4"/>
      <c r="B23" s="11"/>
      <c r="C23" s="14"/>
      <c r="D23" s="15"/>
      <c r="E23" s="16"/>
      <c r="F23" s="17"/>
      <c r="G23" s="18"/>
      <c r="H23" s="31"/>
      <c r="I23" s="31"/>
      <c r="J23" s="27"/>
      <c r="K23" s="33"/>
      <c r="L23" s="35"/>
      <c r="M23" s="24"/>
      <c r="N23" s="4"/>
    </row>
    <row r="24" spans="1:14" ht="17.25" x14ac:dyDescent="0.25">
      <c r="A24" s="4"/>
      <c r="B24" s="11"/>
      <c r="C24" s="19" t="s">
        <v>32</v>
      </c>
      <c r="D24" s="20" t="str">
        <f>[1]!S_INFO_NAME(C24)</f>
        <v>平安银行</v>
      </c>
      <c r="E24" s="21">
        <f>[1]!s_dq_close(C24,$D$5,1)</f>
        <v>11.41</v>
      </c>
      <c r="F24" s="22">
        <f ca="1">[1]!s_dq_close(C24,$D$6,1)</f>
        <v>10.82</v>
      </c>
      <c r="G24" s="23">
        <f ca="1">F24/E24-1</f>
        <v>-5.1709027169149824E-2</v>
      </c>
      <c r="H24" s="32">
        <f ca="1">F24-E24</f>
        <v>-0.58999999999999986</v>
      </c>
      <c r="I24" s="37">
        <f ca="1">[1]!s_wq_pctchange(C24,$D$6)</f>
        <v>-0.73394495412844041</v>
      </c>
      <c r="J24" s="38">
        <f ca="1">[1]!s_mq_pctchange(C24,$D$6)</f>
        <v>-0.73394495412844041</v>
      </c>
      <c r="K24" s="34">
        <f ca="1">[1]!s_yq_pctchange(C24,$D$6)</f>
        <v>-5.1709027169149824</v>
      </c>
      <c r="L24" s="36">
        <f ca="1">[1]!s_val_mv_ard(C24,$D$6,100000000)</f>
        <v>2099.7203490236002</v>
      </c>
      <c r="M24" s="24"/>
      <c r="N24" s="4"/>
    </row>
    <row r="25" spans="1:14" ht="17.25" x14ac:dyDescent="0.25">
      <c r="A25" s="4"/>
      <c r="B25" s="11"/>
      <c r="C25" s="14" t="s">
        <v>33</v>
      </c>
      <c r="D25" s="15" t="str">
        <f>[1]!S_INFO_NAME(C25)</f>
        <v>万科A</v>
      </c>
      <c r="E25" s="16">
        <f>[1]!s_dq_close(C25,$D$5,1)</f>
        <v>4.6500000000000004</v>
      </c>
      <c r="F25" s="17">
        <f ca="1">[1]!s_dq_close(C25,$D$6,1)</f>
        <v>4.72</v>
      </c>
      <c r="G25" s="18">
        <f ca="1">F25/E25-1</f>
        <v>1.5053763440860068E-2</v>
      </c>
      <c r="H25" s="31">
        <f ca="1">F25-E25</f>
        <v>6.9999999999999396E-2</v>
      </c>
      <c r="I25" s="31">
        <f ca="1">[1]!s_wq_pctchange(C25,$D$6)</f>
        <v>-2.4793388429752206</v>
      </c>
      <c r="J25" s="27">
        <f ca="1">[1]!s_mq_pctchange(C25,$D$6)</f>
        <v>-2.4793388429752206</v>
      </c>
      <c r="K25" s="33">
        <f ca="1">[1]!s_yq_pctchange(C25,$D$6)</f>
        <v>1.5053763440860068</v>
      </c>
      <c r="L25" s="35">
        <f ca="1">[1]!s_val_mv_ard(C25,$D$6,100000000)</f>
        <v>563.12948703119991</v>
      </c>
      <c r="M25" s="24"/>
      <c r="N25" s="4"/>
    </row>
    <row r="26" spans="1:14" ht="17.25" x14ac:dyDescent="0.25">
      <c r="A26" s="4"/>
      <c r="B26" s="11"/>
      <c r="C26" s="19" t="s">
        <v>34</v>
      </c>
      <c r="D26" s="20" t="str">
        <f>[1]!S_INFO_NAME(C26)</f>
        <v>*ST国华</v>
      </c>
      <c r="E26" s="21">
        <f>[1]!s_dq_close(C26,$D$5,1)</f>
        <v>11.08</v>
      </c>
      <c r="F26" s="22">
        <f ca="1">[1]!s_dq_close(C26,$D$6,1)</f>
        <v>5.34</v>
      </c>
      <c r="G26" s="23">
        <f ca="1">F26/E26-1</f>
        <v>-0.51805054151624552</v>
      </c>
      <c r="H26" s="32">
        <f ca="1">F26-E26</f>
        <v>-5.74</v>
      </c>
      <c r="I26" s="37">
        <f ca="1">[1]!s_wq_pctchange(C26,$D$6)</f>
        <v>-22.608695652173914</v>
      </c>
      <c r="J26" s="38">
        <f ca="1">[1]!s_mq_pctchange(C26,$D$6)</f>
        <v>-22.608695652173914</v>
      </c>
      <c r="K26" s="34">
        <f ca="1">[1]!s_yq_pctchange(C26,$D$6)</f>
        <v>-51.805054151624553</v>
      </c>
      <c r="L26" s="36">
        <f ca="1">[1]!s_val_mv_ard(C26,$D$6,100000000)</f>
        <v>7.0691070588000002</v>
      </c>
      <c r="M26" s="24"/>
      <c r="N26" s="4"/>
    </row>
    <row r="27" spans="1:14" ht="17.25" x14ac:dyDescent="0.25">
      <c r="A27" s="4"/>
      <c r="B27" s="11"/>
      <c r="C27" s="14" t="s">
        <v>12</v>
      </c>
      <c r="D27" s="15" t="str">
        <f>[1]!S_INFO_NAME(C27)</f>
        <v>梦网科技</v>
      </c>
      <c r="E27" s="16">
        <f>[1]!s_dq_close(C27,$D$5,1)</f>
        <v>12.16</v>
      </c>
      <c r="F27" s="17">
        <f ca="1">[1]!s_dq_close(C27,$D$6,1)</f>
        <v>11.07</v>
      </c>
      <c r="G27" s="18">
        <f t="shared" ref="G27:G32" ca="1" si="9">F27/E27-1</f>
        <v>-8.9638157894736836E-2</v>
      </c>
      <c r="H27" s="31">
        <f t="shared" ref="H27:H32" ca="1" si="10">F27-E27</f>
        <v>-1.0899999999999999</v>
      </c>
      <c r="I27" s="31">
        <f ca="1">[1]!s_wq_pctchange(C27,$D$6)</f>
        <v>-7.3640167364016573</v>
      </c>
      <c r="J27" s="27">
        <f ca="1">[1]!s_mq_pctchange(C27,$D$6)</f>
        <v>-7.3640167364016573</v>
      </c>
      <c r="K27" s="33">
        <f ca="1">[1]!s_yq_pctchange(C27,$D$6)</f>
        <v>-8.9638157894736832</v>
      </c>
      <c r="L27" s="35">
        <f ca="1">[1]!s_val_mv_ard(C27,$D$6,100000000)</f>
        <v>89.160170013000013</v>
      </c>
      <c r="M27" s="24"/>
      <c r="N27" s="4"/>
    </row>
    <row r="28" spans="1:14" ht="17.25" x14ac:dyDescent="0.25">
      <c r="A28" s="4"/>
      <c r="B28" s="24"/>
      <c r="C28" s="19" t="s">
        <v>35</v>
      </c>
      <c r="D28" s="20" t="str">
        <f>[1]!S_INFO_NAME(C28)</f>
        <v>浦发银行</v>
      </c>
      <c r="E28" s="21">
        <f>[1]!s_dq_close(C28,$D$5,1)</f>
        <v>12.44</v>
      </c>
      <c r="F28" s="22">
        <f ca="1">[1]!s_dq_close(C28,$D$6,1)</f>
        <v>9.89</v>
      </c>
      <c r="G28" s="23">
        <f t="shared" ca="1" si="9"/>
        <v>-0.20498392282958189</v>
      </c>
      <c r="H28" s="32">
        <f t="shared" ca="1" si="10"/>
        <v>-2.5499999999999989</v>
      </c>
      <c r="I28" s="37">
        <f ca="1">[1]!s_wq_pctchange(C28,$D$6)</f>
        <v>1.7489711934156382</v>
      </c>
      <c r="J28" s="38">
        <f ca="1">[1]!s_mq_pctchange(C28,$D$6)</f>
        <v>1.7489711934156382</v>
      </c>
      <c r="K28" s="34">
        <f ca="1">[1]!s_yq_pctchange(C28,$D$6)</f>
        <v>-20.498392282958189</v>
      </c>
      <c r="L28" s="36">
        <f ca="1">[1]!s_val_mv_ard(C28,$D$6,100000000)</f>
        <v>3293.94740787</v>
      </c>
      <c r="M28" s="24"/>
      <c r="N28" s="4"/>
    </row>
    <row r="29" spans="1:14" ht="17.25" x14ac:dyDescent="0.25">
      <c r="A29" s="4"/>
      <c r="B29" s="24"/>
      <c r="C29" s="14" t="s">
        <v>36</v>
      </c>
      <c r="D29" s="15" t="str">
        <f>[1]!S_INFO_NAME(C29)</f>
        <v>白云机场</v>
      </c>
      <c r="E29" s="16">
        <f>[1]!s_dq_close(C29,$D$5,1)</f>
        <v>9.4600000000000009</v>
      </c>
      <c r="F29" s="17">
        <f ca="1">[1]!s_dq_close(C29,$D$6,1)</f>
        <v>9.14</v>
      </c>
      <c r="G29" s="18">
        <f t="shared" ca="1" si="9"/>
        <v>-3.3826638477801318E-2</v>
      </c>
      <c r="H29" s="31">
        <f t="shared" ca="1" si="10"/>
        <v>-0.32000000000000028</v>
      </c>
      <c r="I29" s="31">
        <f ca="1">[1]!s_wq_pctchange(C29,$D$6)</f>
        <v>-2.7659574468085091</v>
      </c>
      <c r="J29" s="27">
        <f ca="1">[1]!s_mq_pctchange(C29,$D$6)</f>
        <v>-2.7659574468085091</v>
      </c>
      <c r="K29" s="33">
        <f ca="1">[1]!s_yq_pctchange(C29,$D$6)</f>
        <v>-3.3826638477801318</v>
      </c>
      <c r="L29" s="35">
        <f ca="1">[1]!s_val_mv_ard(C29,$D$6,100000000)</f>
        <v>235.56015625720002</v>
      </c>
      <c r="M29" s="24"/>
      <c r="N29" s="4"/>
    </row>
    <row r="30" spans="1:14" ht="17.25" x14ac:dyDescent="0.25">
      <c r="A30" s="4"/>
      <c r="B30" s="24"/>
      <c r="C30" s="19" t="s">
        <v>13</v>
      </c>
      <c r="D30" s="20" t="str">
        <f>[1]!S_INFO_NAME(C30)</f>
        <v>东风股份</v>
      </c>
      <c r="E30" s="21">
        <f>[1]!s_dq_close(C30,$D$5,1)</f>
        <v>7.18</v>
      </c>
      <c r="F30" s="22">
        <f ca="1">[1]!s_dq_close(C30,$D$6,1)</f>
        <v>6.78</v>
      </c>
      <c r="G30" s="23">
        <f t="shared" ca="1" si="9"/>
        <v>-5.5710306406685173E-2</v>
      </c>
      <c r="H30" s="32">
        <f t="shared" ca="1" si="10"/>
        <v>-0.39999999999999947</v>
      </c>
      <c r="I30" s="37">
        <f ca="1">[1]!s_wq_pctchange(C30,$D$6)</f>
        <v>-2.3054755043227737</v>
      </c>
      <c r="J30" s="38">
        <f ca="1">[1]!s_mq_pctchange(C30,$D$6)</f>
        <v>-2.3054755043227737</v>
      </c>
      <c r="K30" s="34">
        <f ca="1">[1]!s_yq_pctchange(C30,$D$6)</f>
        <v>-5.5710306406685062</v>
      </c>
      <c r="L30" s="36">
        <f ca="1">[1]!s_val_mv_ard(C30,$D$6,100000000)</f>
        <v>135.6</v>
      </c>
      <c r="M30" s="24"/>
      <c r="N30" s="4"/>
    </row>
    <row r="31" spans="1:14" ht="17.25" x14ac:dyDescent="0.25">
      <c r="A31" s="4"/>
      <c r="B31" s="24"/>
      <c r="C31" s="14" t="s">
        <v>37</v>
      </c>
      <c r="D31" s="15" t="str">
        <f>[1]!S_INFO_NAME(C31)</f>
        <v>中国国贸</v>
      </c>
      <c r="E31" s="16">
        <f>[1]!s_dq_close(C31,$D$5,1)</f>
        <v>19.82</v>
      </c>
      <c r="F31" s="17">
        <f ca="1">[1]!s_dq_close(C31,$D$6,1)</f>
        <v>19.89</v>
      </c>
      <c r="G31" s="18">
        <f t="shared" ca="1" si="9"/>
        <v>3.531786074671972E-3</v>
      </c>
      <c r="H31" s="31">
        <f t="shared" ca="1" si="10"/>
        <v>7.0000000000000284E-2</v>
      </c>
      <c r="I31" s="31">
        <f ca="1">[1]!s_wq_pctchange(C31,$D$6)</f>
        <v>-2.4999999999999911</v>
      </c>
      <c r="J31" s="27">
        <f ca="1">[1]!s_mq_pctchange(C31,$D$6)</f>
        <v>-2.4999999999999911</v>
      </c>
      <c r="K31" s="33">
        <f ca="1">[1]!s_yq_pctchange(C31,$D$6)</f>
        <v>0.3531786074671972</v>
      </c>
      <c r="L31" s="35">
        <f ca="1">[1]!s_val_mv_ard(C31,$D$6,100000000)</f>
        <v>200.34849601260001</v>
      </c>
      <c r="M31" s="24"/>
      <c r="N31" s="4"/>
    </row>
    <row r="32" spans="1:14" ht="17.25" x14ac:dyDescent="0.25">
      <c r="A32" s="4"/>
      <c r="B32" s="24"/>
      <c r="C32" s="19" t="s">
        <v>38</v>
      </c>
      <c r="D32" s="20" t="str">
        <f>[1]!S_INFO_NAME(C32)</f>
        <v>中国移动</v>
      </c>
      <c r="E32" s="21">
        <f>[1]!s_dq_close(C32,$D$5,1)</f>
        <v>101.05</v>
      </c>
      <c r="F32" s="22">
        <f ca="1">[1]!s_dq_close(C32,$D$6,1)</f>
        <v>95.61</v>
      </c>
      <c r="G32" s="23">
        <f t="shared" ca="1" si="9"/>
        <v>-5.3834735279564505E-2</v>
      </c>
      <c r="H32" s="32">
        <f t="shared" ca="1" si="10"/>
        <v>-5.4399999999999977</v>
      </c>
      <c r="I32" s="37">
        <f ca="1">[1]!s_wq_pctchange(C32,$D$6)</f>
        <v>1.3784328279079716</v>
      </c>
      <c r="J32" s="38">
        <f ca="1">[1]!s_mq_pctchange(C32,$D$6)</f>
        <v>1.3784328279079716</v>
      </c>
      <c r="K32" s="34">
        <f ca="1">[1]!s_yq_pctchange(C32,$D$6)</f>
        <v>-5.3834735279564612</v>
      </c>
      <c r="L32" s="36">
        <f ca="1">[1]!s_val_mv_ard(C32,$D$6,100000000)</f>
        <v>20703.318726044101</v>
      </c>
      <c r="M32" s="24"/>
      <c r="N32" s="4"/>
    </row>
    <row r="33" spans="1:14" ht="17.25" x14ac:dyDescent="0.25">
      <c r="A33" s="4"/>
      <c r="B33" s="24"/>
      <c r="C33" s="14"/>
      <c r="D33" s="15"/>
      <c r="E33" s="16"/>
      <c r="F33" s="17"/>
      <c r="G33" s="18"/>
      <c r="H33" s="31"/>
      <c r="I33" s="31"/>
      <c r="J33" s="27"/>
      <c r="K33" s="33"/>
      <c r="L33" s="35"/>
      <c r="M33" s="24"/>
      <c r="N33" s="4"/>
    </row>
    <row r="34" spans="1:14" ht="17.25" x14ac:dyDescent="0.25">
      <c r="A34" s="4"/>
      <c r="B34" s="24"/>
      <c r="C34" s="19"/>
      <c r="D34" s="20"/>
      <c r="E34" s="21"/>
      <c r="F34" s="22"/>
      <c r="G34" s="23"/>
      <c r="H34" s="32"/>
      <c r="I34" s="37"/>
      <c r="J34" s="38"/>
      <c r="K34" s="34"/>
      <c r="L34" s="36"/>
      <c r="M34" s="24"/>
      <c r="N34" s="4"/>
    </row>
    <row r="35" spans="1:14" ht="17.25" x14ac:dyDescent="0.25">
      <c r="A35" s="4"/>
      <c r="B35" s="24"/>
      <c r="C35" s="14" t="s">
        <v>39</v>
      </c>
      <c r="D35" s="15" t="str">
        <f>[1]!S_INFO_NAME(C35)</f>
        <v>阿里健康</v>
      </c>
      <c r="E35" s="16">
        <f>[1]!s_dq_close(C35,$D$5,1)</f>
        <v>5.05</v>
      </c>
      <c r="F35" s="17">
        <f ca="1">[1]!s_dq_close(C35,$D$6,1)</f>
        <v>5.13</v>
      </c>
      <c r="G35" s="18">
        <f t="shared" ref="G35:G45" ca="1" si="11">F35/E35-1</f>
        <v>1.5841584158415856E-2</v>
      </c>
      <c r="H35" s="31">
        <f t="shared" ref="H35:H45" ca="1" si="12">F35-E35</f>
        <v>8.0000000000000071E-2</v>
      </c>
      <c r="I35" s="31">
        <f ca="1">[1]!s_wq_pctchange(C35,$D$6)</f>
        <v>-8.0645161290322509</v>
      </c>
      <c r="J35" s="27">
        <f ca="1">[1]!s_mq_pctchange(C35,$D$6)</f>
        <v>-8.0645161290322509</v>
      </c>
      <c r="K35" s="33">
        <f ca="1">[1]!s_yq_pctchange(C35,$D$6)</f>
        <v>1.5841584158415856</v>
      </c>
      <c r="L35" s="35">
        <f ca="1">[1]!s_val_mv_ard(C35,$D$6,100000000)</f>
        <v>829.79293949999999</v>
      </c>
      <c r="M35" s="24"/>
      <c r="N35" s="4"/>
    </row>
    <row r="36" spans="1:14" ht="17.25" x14ac:dyDescent="0.25">
      <c r="A36" s="4"/>
      <c r="B36" s="24"/>
      <c r="C36" s="19" t="s">
        <v>40</v>
      </c>
      <c r="D36" s="20" t="str">
        <f>[1]!S_INFO_NAME(C36)</f>
        <v>友邦保险</v>
      </c>
      <c r="E36" s="21">
        <f>[1]!s_dq_close(C36,$D$5,1)</f>
        <v>79.900000000000006</v>
      </c>
      <c r="F36" s="22">
        <f ca="1">[1]!s_dq_close(C36,$D$6,1)</f>
        <v>85.6</v>
      </c>
      <c r="G36" s="23">
        <f t="shared" ca="1" si="11"/>
        <v>7.1339173967459146E-2</v>
      </c>
      <c r="H36" s="32">
        <f t="shared" ca="1" si="12"/>
        <v>5.6999999999999886</v>
      </c>
      <c r="I36" s="37">
        <f ca="1">[1]!s_wq_pctchange(C36,$D$6)</f>
        <v>-1.3824884792626668</v>
      </c>
      <c r="J36" s="38">
        <f ca="1">[1]!s_mq_pctchange(C36,$D$6)</f>
        <v>-1.3824884792626668</v>
      </c>
      <c r="K36" s="34">
        <f ca="1">[1]!s_yq_pctchange(C36,$D$6)</f>
        <v>7.1339173967459368</v>
      </c>
      <c r="L36" s="36">
        <f ca="1">[1]!s_val_mv_ard(C36,$D$6,100000000)</f>
        <v>8995.0410417000003</v>
      </c>
      <c r="M36" s="24"/>
      <c r="N36" s="4"/>
    </row>
    <row r="37" spans="1:14" ht="17.25" x14ac:dyDescent="0.25">
      <c r="A37" s="4"/>
      <c r="B37" s="24"/>
      <c r="C37" s="14" t="s">
        <v>41</v>
      </c>
      <c r="D37" s="15" t="str">
        <f>[1]!S_INFO_NAME(C37)</f>
        <v>恒隆地产</v>
      </c>
      <c r="E37" s="16">
        <f>[1]!s_dq_close(C37,$D$5,1)</f>
        <v>8.61</v>
      </c>
      <c r="F37" s="17">
        <f ca="1">[1]!s_dq_close(C37,$D$6,1)</f>
        <v>9.64</v>
      </c>
      <c r="G37" s="18">
        <f t="shared" ca="1" si="11"/>
        <v>0.11962833914053439</v>
      </c>
      <c r="H37" s="31">
        <f t="shared" ca="1" si="12"/>
        <v>1.0300000000000011</v>
      </c>
      <c r="I37" s="31">
        <f ca="1">[1]!s_wq_pctchange(C37,$D$6)</f>
        <v>-6.134371957156759</v>
      </c>
      <c r="J37" s="27">
        <f ca="1">[1]!s_mq_pctchange(C37,$D$6)</f>
        <v>-6.134371957156759</v>
      </c>
      <c r="K37" s="33">
        <f ca="1">[1]!s_yq_pctchange(C37,$D$6)</f>
        <v>11.962833914053439</v>
      </c>
      <c r="L37" s="35">
        <f ca="1">[1]!s_val_mv_ard(C37,$D$6,100000000)</f>
        <v>487.46071701</v>
      </c>
      <c r="M37" s="24"/>
      <c r="N37" s="4"/>
    </row>
    <row r="38" spans="1:14" ht="17.25" x14ac:dyDescent="0.25">
      <c r="A38" s="4"/>
      <c r="B38" s="24"/>
      <c r="C38" s="19" t="s">
        <v>42</v>
      </c>
      <c r="D38" s="20" t="str">
        <f>[1]!S_INFO_NAME(C38)</f>
        <v>新世界发展</v>
      </c>
      <c r="E38" s="21">
        <f>[1]!s_dq_close(C38,$D$5,1)</f>
        <v>7.27</v>
      </c>
      <c r="F38" s="22">
        <f ca="1">[1]!s_dq_close(C38,$D$6,1)</f>
        <v>9.4700000000000006</v>
      </c>
      <c r="G38" s="23">
        <f t="shared" ca="1" si="11"/>
        <v>0.30261348005502087</v>
      </c>
      <c r="H38" s="32">
        <f t="shared" ca="1" si="12"/>
        <v>2.2000000000000011</v>
      </c>
      <c r="I38" s="37">
        <f ca="1">[1]!s_wq_pctchange(C38,$D$6)</f>
        <v>-12.799263351749534</v>
      </c>
      <c r="J38" s="38">
        <f ca="1">[1]!s_mq_pctchange(C38,$D$6)</f>
        <v>-12.799263351749534</v>
      </c>
      <c r="K38" s="34">
        <f ca="1">[1]!s_yq_pctchange(C38,$D$6)</f>
        <v>30.261348005502086</v>
      </c>
      <c r="L38" s="36">
        <f ca="1">[1]!s_val_mv_ard(C38,$D$6,100000000)</f>
        <v>238.32516129000001</v>
      </c>
      <c r="M38" s="24"/>
      <c r="N38" s="4"/>
    </row>
    <row r="39" spans="1:14" ht="17.25" x14ac:dyDescent="0.25">
      <c r="A39" s="4"/>
      <c r="B39" s="24"/>
      <c r="C39" s="14" t="s">
        <v>43</v>
      </c>
      <c r="D39" s="15" t="str">
        <f>[1]!S_INFO_NAME(C39)</f>
        <v>联想集团</v>
      </c>
      <c r="E39" s="16">
        <f>[1]!s_dq_close(C39,$D$5,1)</f>
        <v>9.26</v>
      </c>
      <c r="F39" s="17">
        <f ca="1">[1]!s_dq_close(C39,$D$6,1)</f>
        <v>9.41</v>
      </c>
      <c r="G39" s="18">
        <f t="shared" ca="1" si="11"/>
        <v>1.6198704103671746E-2</v>
      </c>
      <c r="H39" s="31">
        <f t="shared" ca="1" si="12"/>
        <v>0.15000000000000036</v>
      </c>
      <c r="I39" s="31">
        <f ca="1">[1]!s_wq_pctchange(C39,$D$6)</f>
        <v>-3.288797533401866</v>
      </c>
      <c r="J39" s="27">
        <f ca="1">[1]!s_mq_pctchange(C39,$D$6)</f>
        <v>-3.288797533401866</v>
      </c>
      <c r="K39" s="33">
        <f ca="1">[1]!s_yq_pctchange(C39,$D$6)</f>
        <v>1.6198704103671746</v>
      </c>
      <c r="L39" s="35">
        <f ca="1">[1]!s_val_mv_ard(C39,$D$6,100000000)</f>
        <v>1167.2784403200001</v>
      </c>
      <c r="M39" s="24"/>
      <c r="N39" s="4"/>
    </row>
    <row r="40" spans="1:14" ht="17.25" x14ac:dyDescent="0.25">
      <c r="A40" s="4"/>
      <c r="B40" s="24"/>
      <c r="C40" s="19" t="s">
        <v>44</v>
      </c>
      <c r="D40" s="20" t="str">
        <f>[1]!S_INFO_NAME(C40)</f>
        <v>蒙牛乳业</v>
      </c>
      <c r="E40" s="21">
        <f>[1]!s_dq_close(C40,$D$5,1)</f>
        <v>14.91</v>
      </c>
      <c r="F40" s="22">
        <f ca="1">[1]!s_dq_close(C40,$D$6,1)</f>
        <v>16.16</v>
      </c>
      <c r="G40" s="23">
        <f t="shared" ca="1" si="11"/>
        <v>8.3836351441985313E-2</v>
      </c>
      <c r="H40" s="32">
        <f t="shared" ca="1" si="12"/>
        <v>1.25</v>
      </c>
      <c r="I40" s="37">
        <f ca="1">[1]!s_wq_pctchange(C40,$D$6)</f>
        <v>-0.12360939431398377</v>
      </c>
      <c r="J40" s="38">
        <f ca="1">[1]!s_mq_pctchange(C40,$D$6)</f>
        <v>-0.12360939431398377</v>
      </c>
      <c r="K40" s="34">
        <f ca="1">[1]!s_yq_pctchange(C40,$D$6)</f>
        <v>8.3836351441985322</v>
      </c>
      <c r="L40" s="36">
        <f ca="1">[1]!s_val_mv_ard(C40,$D$6,100000000)</f>
        <v>626.83064609999997</v>
      </c>
      <c r="M40" s="24"/>
      <c r="N40" s="4"/>
    </row>
    <row r="41" spans="1:14" ht="17.25" x14ac:dyDescent="0.25">
      <c r="A41" s="4"/>
      <c r="B41" s="24"/>
      <c r="C41" s="14" t="s">
        <v>45</v>
      </c>
      <c r="D41" s="15" t="str">
        <f>[1]!S_INFO_NAME(C41)</f>
        <v>舜宇光学科技</v>
      </c>
      <c r="E41" s="16">
        <f>[1]!s_dq_close(C41,$D$5,1)</f>
        <v>65.55</v>
      </c>
      <c r="F41" s="17">
        <f ca="1">[1]!s_dq_close(C41,$D$6,1)</f>
        <v>54.85</v>
      </c>
      <c r="G41" s="18">
        <f t="shared" ca="1" si="11"/>
        <v>-0.16323417238749038</v>
      </c>
      <c r="H41" s="31">
        <f t="shared" ca="1" si="12"/>
        <v>-10.699999999999996</v>
      </c>
      <c r="I41" s="31">
        <f ca="1">[1]!s_wq_pctchange(C41,$D$6)</f>
        <v>-5.8369098712446448</v>
      </c>
      <c r="J41" s="27">
        <f ca="1">[1]!s_mq_pctchange(C41,$D$6)</f>
        <v>-5.8369098712446448</v>
      </c>
      <c r="K41" s="33">
        <f ca="1">[1]!s_yq_pctchange(C41,$D$6)</f>
        <v>-16.323417238749048</v>
      </c>
      <c r="L41" s="35">
        <f ca="1">[1]!s_val_mv_ard(C41,$D$6,100000000)</f>
        <v>600.5004328</v>
      </c>
      <c r="M41" s="24"/>
      <c r="N41" s="4"/>
    </row>
    <row r="42" spans="1:14" ht="17.25" x14ac:dyDescent="0.25">
      <c r="A42" s="4"/>
      <c r="B42" s="24"/>
      <c r="C42" s="19" t="s">
        <v>10</v>
      </c>
      <c r="D42" s="20" t="str">
        <f>[1]!S_INFO_NAME(C42)</f>
        <v>石药集团</v>
      </c>
      <c r="E42" s="21">
        <f>[1]!s_dq_close(C42,$D$5,1)</f>
        <v>8.43</v>
      </c>
      <c r="F42" s="22">
        <f ca="1">[1]!s_dq_close(C42,$D$6,1)</f>
        <v>9.3699999999999992</v>
      </c>
      <c r="G42" s="23">
        <f t="shared" ca="1" si="11"/>
        <v>0.11150652431791208</v>
      </c>
      <c r="H42" s="32">
        <f t="shared" ca="1" si="12"/>
        <v>0.9399999999999995</v>
      </c>
      <c r="I42" s="37">
        <f ca="1">[1]!s_wq_pctchange(C42,$D$6)</f>
        <v>-5.3535353535353654</v>
      </c>
      <c r="J42" s="38">
        <f ca="1">[1]!s_mq_pctchange(C42,$D$6)</f>
        <v>-5.3535353535353654</v>
      </c>
      <c r="K42" s="34">
        <f ca="1">[1]!s_yq_pctchange(C42,$D$6)</f>
        <v>11.150652431791229</v>
      </c>
      <c r="L42" s="36">
        <f ca="1">[1]!s_val_mv_ard(C42,$D$6,100000000)</f>
        <v>1079.65372729</v>
      </c>
      <c r="M42" s="24"/>
      <c r="N42" s="4"/>
    </row>
    <row r="43" spans="1:14" ht="17.25" x14ac:dyDescent="0.25">
      <c r="A43" s="4"/>
      <c r="B43" s="24"/>
      <c r="C43" s="14" t="s">
        <v>46</v>
      </c>
      <c r="D43" s="15" t="str">
        <f>[1]!S_INFO_NAME(C43)</f>
        <v>中国海洋石油</v>
      </c>
      <c r="E43" s="16">
        <f>[1]!s_dq_close(C43,$D$5,1)</f>
        <v>21.3</v>
      </c>
      <c r="F43" s="17">
        <f ca="1">[1]!s_dq_close(C43,$D$6,1)</f>
        <v>26.62</v>
      </c>
      <c r="G43" s="18">
        <f t="shared" ca="1" si="11"/>
        <v>0.2497652582159624</v>
      </c>
      <c r="H43" s="31">
        <f t="shared" ca="1" si="12"/>
        <v>5.32</v>
      </c>
      <c r="I43" s="31">
        <f ca="1">[1]!s_wq_pctchange(C43,$D$6)</f>
        <v>5.1342812006319072</v>
      </c>
      <c r="J43" s="27">
        <f ca="1">[1]!s_mq_pctchange(C43,$D$6)</f>
        <v>5.1342812006319072</v>
      </c>
      <c r="K43" s="33">
        <f ca="1">[1]!s_yq_pctchange(C43,$D$6)</f>
        <v>24.97652582159624</v>
      </c>
      <c r="L43" s="35">
        <f ca="1">[1]!s_val_mv_ard(C43,$D$6,100000000)</f>
        <v>12652.473750540001</v>
      </c>
      <c r="M43" s="24"/>
      <c r="N43" s="4"/>
    </row>
    <row r="44" spans="1:14" ht="17.25" x14ac:dyDescent="0.25">
      <c r="A44" s="4"/>
      <c r="B44" s="24"/>
      <c r="C44" s="19" t="s">
        <v>47</v>
      </c>
      <c r="D44" s="20" t="str">
        <f>[1]!S_INFO_NAME(C44)</f>
        <v>中国石油化工股份</v>
      </c>
      <c r="E44" s="21">
        <f>[1]!s_dq_close(C44,$D$5,1)</f>
        <v>4.67</v>
      </c>
      <c r="F44" s="22">
        <f ca="1">[1]!s_dq_close(C44,$D$6,1)</f>
        <v>5.22</v>
      </c>
      <c r="G44" s="23">
        <f t="shared" ca="1" si="11"/>
        <v>0.11777301927194861</v>
      </c>
      <c r="H44" s="32">
        <f t="shared" ca="1" si="12"/>
        <v>0.54999999999999982</v>
      </c>
      <c r="I44" s="37">
        <f ca="1">[1]!s_wq_pctchange(C44,$D$6)</f>
        <v>-4.2201834862385379</v>
      </c>
      <c r="J44" s="38">
        <f ca="1">[1]!s_mq_pctchange(C44,$D$6)</f>
        <v>-4.2201834862385379</v>
      </c>
      <c r="K44" s="34">
        <f ca="1">[1]!s_yq_pctchange(C44,$D$6)</f>
        <v>11.777301927194861</v>
      </c>
      <c r="L44" s="36">
        <f ca="1">[1]!s_val_mv_ard(C44,$D$6,100000000)</f>
        <v>6312.3118423899996</v>
      </c>
      <c r="N44" s="4"/>
    </row>
    <row r="45" spans="1:14" ht="17.25" x14ac:dyDescent="0.25">
      <c r="A45" s="4"/>
      <c r="B45" s="24"/>
      <c r="C45" s="14" t="s">
        <v>48</v>
      </c>
      <c r="D45" s="15" t="str">
        <f>[1]!S_INFO_NAME(C45)</f>
        <v>中国石油股份</v>
      </c>
      <c r="E45" s="16">
        <f>[1]!s_dq_close(C45,$D$5,1)</f>
        <v>8.3800000000000008</v>
      </c>
      <c r="F45" s="17">
        <f ca="1">[1]!s_dq_close(C45,$D$6,1)</f>
        <v>10.4</v>
      </c>
      <c r="G45" s="18">
        <f t="shared" ca="1" si="11"/>
        <v>0.24105011933174225</v>
      </c>
      <c r="H45" s="31">
        <f t="shared" ca="1" si="12"/>
        <v>2.0199999999999996</v>
      </c>
      <c r="I45" s="31">
        <f ca="1">[1]!s_wq_pctchange(C45,$D$6)</f>
        <v>9.0146750524109152</v>
      </c>
      <c r="J45" s="27">
        <f ca="1">[1]!s_mq_pctchange(C45,$D$6)</f>
        <v>9.0146750524109152</v>
      </c>
      <c r="K45" s="33">
        <f ca="1">[1]!s_yq_pctchange(C45,$D$6)</f>
        <v>24.105011933174225</v>
      </c>
      <c r="L45" s="35">
        <f ca="1">[1]!s_val_mv_ard(C45,$D$6,100000000)</f>
        <v>19034.181693070001</v>
      </c>
      <c r="N45" s="4"/>
    </row>
    <row r="46" spans="1:14" ht="17.25" x14ac:dyDescent="0.25">
      <c r="A46" s="4"/>
      <c r="B46" s="24"/>
      <c r="C46" s="19"/>
      <c r="D46" s="20"/>
      <c r="E46" s="21"/>
      <c r="F46" s="22"/>
      <c r="G46" s="23"/>
      <c r="H46" s="32"/>
      <c r="I46" s="37"/>
      <c r="J46" s="38"/>
      <c r="K46" s="34"/>
      <c r="L46" s="36"/>
      <c r="N46" s="4"/>
    </row>
    <row r="47" spans="1:14" ht="17.25" x14ac:dyDescent="0.25">
      <c r="A47" s="4"/>
      <c r="B47" s="24"/>
      <c r="C47" s="14"/>
      <c r="D47" s="15"/>
      <c r="E47" s="16"/>
      <c r="F47" s="17"/>
      <c r="G47" s="18"/>
      <c r="H47" s="31"/>
      <c r="I47" s="31"/>
      <c r="J47" s="27"/>
      <c r="K47" s="33"/>
      <c r="L47" s="35"/>
      <c r="N47" s="4"/>
    </row>
    <row r="48" spans="1:14" ht="17.25" x14ac:dyDescent="0.25">
      <c r="A48" s="4"/>
      <c r="B48" s="24"/>
      <c r="C48" s="19"/>
      <c r="D48" s="20"/>
      <c r="E48" s="21"/>
      <c r="F48" s="22"/>
      <c r="G48" s="23"/>
      <c r="H48" s="32"/>
      <c r="I48" s="37"/>
      <c r="J48" s="38"/>
      <c r="K48" s="34"/>
      <c r="L48" s="36"/>
      <c r="N48" s="4"/>
    </row>
    <row r="49" spans="1:14" ht="17.25" x14ac:dyDescent="0.25">
      <c r="A49" s="4"/>
      <c r="B49" s="24"/>
      <c r="C49" s="14"/>
      <c r="D49" s="15"/>
      <c r="E49" s="16"/>
      <c r="F49" s="17"/>
      <c r="G49" s="18"/>
      <c r="H49" s="31"/>
      <c r="I49" s="31"/>
      <c r="J49" s="27"/>
      <c r="K49" s="33"/>
      <c r="L49" s="35"/>
      <c r="N49" s="4"/>
    </row>
    <row r="50" spans="1:14" ht="17.25" x14ac:dyDescent="0.25">
      <c r="A50" s="4"/>
      <c r="B50" s="24"/>
      <c r="C50" s="19"/>
      <c r="D50" s="20"/>
      <c r="E50" s="21"/>
      <c r="F50" s="22"/>
      <c r="G50" s="23"/>
      <c r="H50" s="32"/>
      <c r="I50" s="37"/>
      <c r="J50" s="38"/>
      <c r="K50" s="34"/>
      <c r="L50" s="36"/>
      <c r="N50" s="4"/>
    </row>
    <row r="51" spans="1:14" ht="17.25" x14ac:dyDescent="0.25">
      <c r="A51" s="4"/>
      <c r="B51" s="24"/>
      <c r="C51" s="14"/>
      <c r="D51" s="15"/>
      <c r="E51" s="16"/>
      <c r="F51" s="17"/>
      <c r="G51" s="18"/>
      <c r="H51" s="31"/>
      <c r="I51" s="31"/>
      <c r="J51" s="27"/>
      <c r="K51" s="33"/>
      <c r="L51" s="35"/>
      <c r="N51" s="4"/>
    </row>
    <row r="52" spans="1:14" ht="17.25" x14ac:dyDescent="0.25">
      <c r="A52" s="4"/>
      <c r="B52" s="24"/>
      <c r="C52" s="19"/>
      <c r="D52" s="20"/>
      <c r="E52" s="21"/>
      <c r="F52" s="22"/>
      <c r="G52" s="23"/>
      <c r="H52" s="32"/>
      <c r="I52" s="37"/>
      <c r="J52" s="38"/>
      <c r="K52" s="34"/>
      <c r="L52" s="36"/>
      <c r="N52" s="4"/>
    </row>
    <row r="53" spans="1:14" ht="15.75" x14ac:dyDescent="0.25">
      <c r="A53" s="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4"/>
    </row>
    <row r="54" spans="1:14" ht="14.2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</sheetData>
  <sortState xmlns:xlrd2="http://schemas.microsoft.com/office/spreadsheetml/2017/richdata2" ref="C10:I21">
    <sortCondition descending="1" ref="G8"/>
  </sortState>
  <mergeCells count="1">
    <mergeCell ref="D1:J1"/>
  </mergeCells>
  <phoneticPr fontId="4" type="noConversion"/>
  <conditionalFormatting sqref="G11:K52">
    <cfRule type="cellIs" dxfId="3" priority="1" operator="lessThan">
      <formula>0</formula>
    </cfRule>
    <cfRule type="cellIs" dxfId="2" priority="2" operator="greaterThan">
      <formula>0</formula>
    </cfRule>
  </conditionalFormatting>
  <conditionalFormatting sqref="G59:K105">
    <cfRule type="cellIs" dxfId="1" priority="575" operator="lessThan">
      <formula>0</formula>
    </cfRule>
    <cfRule type="cellIs" dxfId="0" priority="576" operator="greaterThan">
      <formula>0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区间涨跌幅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2026-03-08T14:13:57Z</dcterms:modified>
</cp:coreProperties>
</file>