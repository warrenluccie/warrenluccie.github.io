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2024Y_标普500研究\NVDIA英伟达\"/>
    </mc:Choice>
  </mc:AlternateContent>
  <xr:revisionPtr revIDLastSave="0" documentId="13_ncr:1_{EBB4F5A4-DCCD-40F5-9ADE-32CF90E97CE9}" xr6:coauthVersionLast="47" xr6:coauthVersionMax="47" xr10:uidLastSave="{00000000-0000-0000-0000-000000000000}"/>
  <bookViews>
    <workbookView xWindow="-120" yWindow="-120" windowWidth="29040" windowHeight="15840" tabRatio="719" xr2:uid="{00000000-000D-0000-FFFF-FFFF00000000}"/>
  </bookViews>
  <sheets>
    <sheet name="中际旭创-财务摘要" sheetId="2" r:id="rId1"/>
    <sheet name="中际旭创-每股指标" sheetId="4" r:id="rId2"/>
    <sheet name="中际旭创-盈利能力与收益质量" sheetId="6" r:id="rId3"/>
    <sheet name="中际旭创-资本结构与偿债能力" sheetId="7" r:id="rId4"/>
    <sheet name="中际旭创-营运能力" sheetId="8" r:id="rId5"/>
    <sheet name="中际旭创-成长能力" sheetId="9" r:id="rId6"/>
    <sheet name="中际旭创-现金流量" sheetId="1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0" l="1"/>
  <c r="A5" i="7"/>
  <c r="A5" i="9"/>
  <c r="A5" i="6"/>
  <c r="A5" i="8"/>
  <c r="B2" i="10"/>
  <c r="B2" i="9"/>
  <c r="B2" i="8"/>
  <c r="B2" i="7"/>
  <c r="B2" i="6"/>
  <c r="A5" i="4"/>
  <c r="B2" i="4"/>
  <c r="A5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4A35468D-C135-40D6-A9ED-398ED6127811}">
      <text>
        <r>
          <rPr>
            <b/>
            <sz val="9"/>
            <color indexed="81"/>
            <rFont val="宋体"/>
            <family val="3"/>
            <charset val="134"/>
          </rPr>
          <t>报表类型：财务报表(中国,新准则)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D547C6EC-DF84-4468-B004-01798B4F5E80}">
      <text>
        <r>
          <rPr>
            <b/>
            <sz val="9"/>
            <color indexed="81"/>
            <rFont val="宋体"/>
            <family val="3"/>
            <charset val="134"/>
          </rPr>
          <t>报表类型：财务分析(中国)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4D6D9BBE-DC85-4E7C-97B5-6A2A00A8AB58}">
      <text>
        <r>
          <rPr>
            <b/>
            <sz val="9"/>
            <color indexed="81"/>
            <rFont val="宋体"/>
            <family val="3"/>
            <charset val="134"/>
          </rPr>
          <t>报表类型：财务分析(中国)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BF2DD29F-E905-47B8-B36A-C638091DD1BF}">
      <text>
        <r>
          <rPr>
            <b/>
            <sz val="9"/>
            <color indexed="81"/>
            <rFont val="宋体"/>
            <family val="3"/>
            <charset val="134"/>
          </rPr>
          <t>报表类型：财务分析(中国)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D2DE41AD-F598-4BC6-BA4A-44B9B3512BDE}">
      <text>
        <r>
          <rPr>
            <b/>
            <sz val="9"/>
            <color indexed="81"/>
            <rFont val="宋体"/>
            <family val="3"/>
            <charset val="134"/>
          </rPr>
          <t>报表类型：财务分析(中国)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0348E1B0-14B2-4690-A8DF-29FC7176B885}">
      <text>
        <r>
          <rPr>
            <b/>
            <sz val="9"/>
            <color indexed="81"/>
            <rFont val="宋体"/>
            <family val="3"/>
            <charset val="134"/>
          </rPr>
          <t>报表类型：财务分析(中国)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D14B96FE-F509-4EDB-92CE-8952E86566A8}">
      <text>
        <r>
          <rPr>
            <b/>
            <sz val="9"/>
            <color indexed="81"/>
            <rFont val="宋体"/>
            <family val="3"/>
            <charset val="134"/>
          </rPr>
          <t>报表类型：财务分析(中国)</t>
        </r>
      </text>
    </comment>
  </commentList>
</comments>
</file>

<file path=xl/sharedStrings.xml><?xml version="1.0" encoding="utf-8"?>
<sst xmlns="http://schemas.openxmlformats.org/spreadsheetml/2006/main" count="745" uniqueCount="248">
  <si>
    <r>
      <rPr>
        <sz val="9"/>
        <color theme="1"/>
        <rFont val="等线"/>
        <family val="2"/>
      </rPr>
      <t>证券代码</t>
    </r>
  </si>
  <si>
    <r>
      <rPr>
        <sz val="9"/>
        <color theme="1"/>
        <rFont val="等线"/>
        <family val="2"/>
      </rPr>
      <t>证券简称</t>
    </r>
  </si>
  <si>
    <r>
      <rPr>
        <sz val="9"/>
        <color theme="1"/>
        <rFont val="等线"/>
        <family val="2"/>
      </rPr>
      <t>起始年份</t>
    </r>
  </si>
  <si>
    <r>
      <rPr>
        <sz val="9"/>
        <color theme="1"/>
        <rFont val="等线"/>
        <family val="2"/>
      </rPr>
      <t>截止年份</t>
    </r>
  </si>
  <si>
    <t>300308.SZ</t>
  </si>
  <si>
    <r>
      <rPr>
        <b/>
        <sz val="9"/>
        <color theme="1"/>
        <rFont val="等线"/>
        <family val="2"/>
      </rPr>
      <t>财务摘要</t>
    </r>
    <r>
      <rPr>
        <b/>
        <sz val="9"/>
        <color theme="1"/>
        <rFont val="Arial"/>
        <family val="2"/>
      </rPr>
      <t>(ORIG,</t>
    </r>
    <r>
      <rPr>
        <b/>
        <sz val="9"/>
        <color theme="1"/>
        <rFont val="等线"/>
        <family val="2"/>
      </rPr>
      <t>百万元</t>
    </r>
    <r>
      <rPr>
        <b/>
        <sz val="9"/>
        <color theme="1"/>
        <rFont val="Arial"/>
        <family val="2"/>
      </rPr>
      <t>)</t>
    </r>
  </si>
  <si>
    <t/>
  </si>
  <si>
    <t xml:space="preserve">        报告期</t>
  </si>
  <si>
    <t xml:space="preserve">        数据来源</t>
  </si>
  <si>
    <t xml:space="preserve">        利润表摘要</t>
  </si>
  <si>
    <t xml:space="preserve">                营业总收入</t>
  </si>
  <si>
    <t xml:space="preserve">                增长率</t>
  </si>
  <si>
    <t xml:space="preserve">                营业总成本</t>
  </si>
  <si>
    <t xml:space="preserve">                营业利润</t>
  </si>
  <si>
    <t xml:space="preserve">                利润总额</t>
  </si>
  <si>
    <t xml:space="preserve">                净利润</t>
  </si>
  <si>
    <t xml:space="preserve">                归属母公司股东的净利润</t>
  </si>
  <si>
    <t xml:space="preserve">                非经常性损益</t>
  </si>
  <si>
    <t xml:space="preserve">                扣非后归属母公司股东的净利润</t>
  </si>
  <si>
    <t xml:space="preserve">                研发支出</t>
  </si>
  <si>
    <t xml:space="preserve">                EBIT</t>
  </si>
  <si>
    <t xml:space="preserve">                EBITDA</t>
  </si>
  <si>
    <t xml:space="preserve">        资产负债表摘要</t>
  </si>
  <si>
    <t xml:space="preserve">                流动资产</t>
  </si>
  <si>
    <t xml:space="preserve">                固定资产</t>
  </si>
  <si>
    <t xml:space="preserve">                长期股权投资</t>
  </si>
  <si>
    <t xml:space="preserve">                资产总计</t>
  </si>
  <si>
    <t xml:space="preserve">                流动负债</t>
  </si>
  <si>
    <t xml:space="preserve">                非流动负债</t>
  </si>
  <si>
    <t xml:space="preserve">                负债合计</t>
  </si>
  <si>
    <t xml:space="preserve">                股东权益</t>
  </si>
  <si>
    <t xml:space="preserve">                归属母公司股东的权益</t>
  </si>
  <si>
    <t xml:space="preserve">                资本公积金</t>
  </si>
  <si>
    <t xml:space="preserve">                盈余公积金</t>
  </si>
  <si>
    <t xml:space="preserve">                未分配利润</t>
  </si>
  <si>
    <t xml:space="preserve">        现金流量表摘要</t>
  </si>
  <si>
    <t xml:space="preserve">                销售商品提供劳务收到的现金</t>
  </si>
  <si>
    <t xml:space="preserve">                经营活动现金净流量</t>
  </si>
  <si>
    <t xml:space="preserve">                购建固定无形长期资产支付的现金</t>
  </si>
  <si>
    <t xml:space="preserve">                投资支付的现金</t>
  </si>
  <si>
    <t xml:space="preserve">                投资活动现金净流量</t>
  </si>
  <si>
    <t xml:space="preserve">                吸收投资收到的现金</t>
  </si>
  <si>
    <t xml:space="preserve">                取得借款收到的现金</t>
  </si>
  <si>
    <t xml:space="preserve">                筹资活动现金净流量</t>
  </si>
  <si>
    <t xml:space="preserve">                现金净增加额</t>
  </si>
  <si>
    <t xml:space="preserve">                期末现金余额</t>
  </si>
  <si>
    <t xml:space="preserve">                折旧与摊销</t>
  </si>
  <si>
    <t xml:space="preserve">        关键比率</t>
  </si>
  <si>
    <t xml:space="preserve">                ROE(摊薄)(%)</t>
  </si>
  <si>
    <t xml:space="preserve">                ROE(加权)(%)</t>
  </si>
  <si>
    <t xml:space="preserve">                扣非后ROE(摊薄)(%)</t>
  </si>
  <si>
    <t xml:space="preserve">                ROE(TTM)</t>
  </si>
  <si>
    <t xml:space="preserve">                ROA(%)</t>
  </si>
  <si>
    <t xml:space="preserve">                ROIC(%)</t>
  </si>
  <si>
    <t xml:space="preserve">                销售毛利率(%)</t>
  </si>
  <si>
    <t xml:space="preserve">                销售净利率(%)</t>
  </si>
  <si>
    <t xml:space="preserve">                扣非后销售净利率(%)</t>
  </si>
  <si>
    <t xml:space="preserve">                EBIT Margin(%)</t>
  </si>
  <si>
    <t xml:space="preserve">                EBITDA Margin(%)</t>
  </si>
  <si>
    <t xml:space="preserve">                资产负债率(%)</t>
  </si>
  <si>
    <t xml:space="preserve">                资产周转率(倍)</t>
  </si>
  <si>
    <t xml:space="preserve">                销售商品和劳务收到现金/营业收入(%)</t>
  </si>
  <si>
    <t xml:space="preserve">        每股指标</t>
  </si>
  <si>
    <t xml:space="preserve">                EPS(基本)</t>
  </si>
  <si>
    <t xml:space="preserve">                EPS(稀释)</t>
  </si>
  <si>
    <t xml:space="preserve">                EPS(摊薄)</t>
  </si>
  <si>
    <t xml:space="preserve">                扣非后EPS(基本)</t>
  </si>
  <si>
    <t xml:space="preserve">                每股净资产BPS</t>
  </si>
  <si>
    <t xml:space="preserve">                每股销售额SPS</t>
  </si>
  <si>
    <t xml:space="preserve">                每股经营现金流OCFPS</t>
  </si>
  <si>
    <t xml:space="preserve">                每股现金净流量CFPS</t>
  </si>
  <si>
    <t xml:space="preserve">                每股企业自由现金流</t>
  </si>
  <si>
    <t xml:space="preserve">                P/E(TTM)</t>
  </si>
  <si>
    <t xml:space="preserve">                P/E(LYR)</t>
  </si>
  <si>
    <t xml:space="preserve">                P/B(MRQ)</t>
  </si>
  <si>
    <t xml:space="preserve">                P/S(TTM)</t>
  </si>
  <si>
    <t xml:space="preserve">        其他</t>
  </si>
  <si>
    <t xml:space="preserve">                员工总数(人)</t>
  </si>
  <si>
    <t xml:space="preserve">        显示币种</t>
  </si>
  <si>
    <t xml:space="preserve">        原始币种</t>
  </si>
  <si>
    <t xml:space="preserve">        转换汇率</t>
  </si>
  <si>
    <t xml:space="preserve">        利率类型</t>
  </si>
  <si>
    <t>年报</t>
  </si>
  <si>
    <t>业绩快报</t>
  </si>
  <si>
    <t>三季报</t>
  </si>
  <si>
    <t>合并报表</t>
  </si>
  <si>
    <t>CNY</t>
  </si>
  <si>
    <t>期末汇率</t>
  </si>
  <si>
    <r>
      <rPr>
        <b/>
        <sz val="9"/>
        <color theme="1"/>
        <rFont val="等线"/>
        <family val="2"/>
      </rPr>
      <t>每股指标</t>
    </r>
    <r>
      <rPr>
        <b/>
        <sz val="9"/>
        <color theme="1"/>
        <rFont val="Arial"/>
        <family val="2"/>
      </rPr>
      <t>(ORIG)</t>
    </r>
  </si>
  <si>
    <t xml:space="preserve">        上市公司公告</t>
  </si>
  <si>
    <t xml:space="preserve">                每股收益-基本</t>
  </si>
  <si>
    <t xml:space="preserve">                每股收益-稀释</t>
  </si>
  <si>
    <t xml:space="preserve">                每股收益-扣除／基本</t>
  </si>
  <si>
    <t xml:space="preserve">                每股收益-扣除／稀释</t>
  </si>
  <si>
    <t xml:space="preserve">                每股净资产</t>
  </si>
  <si>
    <t xml:space="preserve">                每股经营活动产生的现金流量净额</t>
  </si>
  <si>
    <t xml:space="preserve">        Wind计算</t>
  </si>
  <si>
    <t xml:space="preserve">                每股收益-期末股本摊薄</t>
  </si>
  <si>
    <t xml:space="preserve">                每股收益-扣除/期末股本摊薄</t>
  </si>
  <si>
    <t xml:space="preserve">                每股营业总收入</t>
  </si>
  <si>
    <t xml:space="preserve">                每股营业收入</t>
  </si>
  <si>
    <t xml:space="preserve">                每股息税前利润</t>
  </si>
  <si>
    <t xml:space="preserve">                每股资本公积</t>
  </si>
  <si>
    <t xml:space="preserve">                每股盈余公积</t>
  </si>
  <si>
    <t xml:space="preserve">                每股未分配利润</t>
  </si>
  <si>
    <t xml:space="preserve">                每股留存收益</t>
  </si>
  <si>
    <t xml:space="preserve">                每股现金流量净额</t>
  </si>
  <si>
    <t xml:space="preserve">                每股企业自由现金流量</t>
  </si>
  <si>
    <t xml:space="preserve">                每股股东自由现金流量</t>
  </si>
  <si>
    <t>中报</t>
  </si>
  <si>
    <t>一季报</t>
  </si>
  <si>
    <r>
      <rPr>
        <b/>
        <sz val="9"/>
        <color theme="1"/>
        <rFont val="等线"/>
        <family val="2"/>
      </rPr>
      <t>营运能力</t>
    </r>
    <r>
      <rPr>
        <b/>
        <sz val="9"/>
        <color theme="1"/>
        <rFont val="Arial"/>
        <family val="2"/>
      </rPr>
      <t>(ORIG)</t>
    </r>
  </si>
  <si>
    <t xml:space="preserve">        营运能力</t>
  </si>
  <si>
    <t xml:space="preserve">                营业周期</t>
  </si>
  <si>
    <t xml:space="preserve">                存货周转天数</t>
  </si>
  <si>
    <t xml:space="preserve">                应收账款周转天数</t>
  </si>
  <si>
    <t xml:space="preserve">                存货周转率</t>
  </si>
  <si>
    <t xml:space="preserve">                应收账款周转率</t>
  </si>
  <si>
    <t xml:space="preserve">                流动资产周转率</t>
  </si>
  <si>
    <t xml:space="preserve">                固定资产周转率</t>
  </si>
  <si>
    <t xml:space="preserve">                总资产周转率</t>
  </si>
  <si>
    <t xml:space="preserve">                应付账款周转率</t>
  </si>
  <si>
    <t xml:space="preserve">                应付账款周转天数</t>
  </si>
  <si>
    <t xml:space="preserve">                净营业周期</t>
  </si>
  <si>
    <t xml:space="preserve">                营运资本周转率</t>
  </si>
  <si>
    <t xml:space="preserve">                非流动资产周转率</t>
  </si>
  <si>
    <r>
      <rPr>
        <b/>
        <sz val="9"/>
        <color theme="1"/>
        <rFont val="等线"/>
        <family val="2"/>
      </rPr>
      <t>盈利能力与收益质量</t>
    </r>
    <r>
      <rPr>
        <b/>
        <sz val="9"/>
        <color theme="1"/>
        <rFont val="Arial"/>
        <family val="2"/>
      </rPr>
      <t>(ORIG)</t>
    </r>
  </si>
  <si>
    <t xml:space="preserve">        盈利能力</t>
  </si>
  <si>
    <t xml:space="preserve">                净资产收益率-摊薄</t>
  </si>
  <si>
    <t xml:space="preserve">                净资产收益率-加权</t>
  </si>
  <si>
    <t xml:space="preserve">                净资产收益率-平均</t>
  </si>
  <si>
    <t xml:space="preserve">                净资产收益率-扣除／摊薄</t>
  </si>
  <si>
    <t xml:space="preserve">                净资产收益率-扣除／加权</t>
  </si>
  <si>
    <t xml:space="preserve">                净资产收益率-扣除／平均</t>
  </si>
  <si>
    <t xml:space="preserve">                净资产收益率-增发条件</t>
  </si>
  <si>
    <t xml:space="preserve">                净资产收益率-年化</t>
  </si>
  <si>
    <t xml:space="preserve">                总资产报酬率</t>
  </si>
  <si>
    <t xml:space="preserve">                总资产报酬率-年化</t>
  </si>
  <si>
    <t xml:space="preserve">                总资产净利率</t>
  </si>
  <si>
    <t xml:space="preserve">                总资产净利率-年化</t>
  </si>
  <si>
    <t xml:space="preserve">                投入资本回报率</t>
  </si>
  <si>
    <t xml:space="preserve">                人力投入回报率(ROP)</t>
  </si>
  <si>
    <t xml:space="preserve">                销售净利率</t>
  </si>
  <si>
    <t xml:space="preserve">                销售毛利率</t>
  </si>
  <si>
    <t xml:space="preserve">                销售成本率</t>
  </si>
  <si>
    <t xml:space="preserve">                销售期间费用率</t>
  </si>
  <si>
    <t xml:space="preserve">                净利润／营业总收入</t>
  </si>
  <si>
    <t xml:space="preserve">                营业利润／营业总收入</t>
  </si>
  <si>
    <t xml:space="preserve">                息税前利润／营业总收入</t>
  </si>
  <si>
    <t xml:space="preserve">                EBITDA/营业总收入</t>
  </si>
  <si>
    <t xml:space="preserve">                营业总成本／营业总收入</t>
  </si>
  <si>
    <t xml:space="preserve">                销售费用／营业总收入</t>
  </si>
  <si>
    <t xml:space="preserve">                管理费用／营业总收入</t>
  </si>
  <si>
    <t xml:space="preserve">                财务费用／营业总收入</t>
  </si>
  <si>
    <t xml:space="preserve">                研发费用/营业总收入(%)</t>
  </si>
  <si>
    <t xml:space="preserve">                资产减值损失／营业总收入</t>
  </si>
  <si>
    <t xml:space="preserve">                成本费用利润率</t>
  </si>
  <si>
    <t xml:space="preserve">                资产减值损失/营业利润</t>
  </si>
  <si>
    <t xml:space="preserve">                主营业务比率</t>
  </si>
  <si>
    <t xml:space="preserve">        收益质量</t>
  </si>
  <si>
    <t xml:space="preserve">                经营活动净收益／利润总额</t>
  </si>
  <si>
    <t xml:space="preserve">                价值变动净收益／利润总额</t>
  </si>
  <si>
    <t xml:space="preserve">                营业外收支净额／利润总额</t>
  </si>
  <si>
    <t xml:space="preserve">                所得税／利润总额</t>
  </si>
  <si>
    <t xml:space="preserve">                扣除非经常损益后的净利润</t>
  </si>
  <si>
    <r>
      <rPr>
        <b/>
        <sz val="9"/>
        <color theme="1"/>
        <rFont val="等线"/>
        <family val="2"/>
      </rPr>
      <t>成长能力</t>
    </r>
    <r>
      <rPr>
        <b/>
        <sz val="9"/>
        <color theme="1"/>
        <rFont val="Arial"/>
        <family val="2"/>
      </rPr>
      <t>(ORIG)</t>
    </r>
  </si>
  <si>
    <t xml:space="preserve">        同比增长率</t>
  </si>
  <si>
    <t xml:space="preserve">                每股收益-基本(%)</t>
  </si>
  <si>
    <t xml:space="preserve">                每股收益-稀释(%)</t>
  </si>
  <si>
    <t xml:space="preserve">                每股经营活动产生的现金流量净额(%)</t>
  </si>
  <si>
    <t xml:space="preserve">                营业总收入同比增长率(%)</t>
  </si>
  <si>
    <t xml:space="preserve">                营业收入同比增长率(%)</t>
  </si>
  <si>
    <t xml:space="preserve">                营业利润(%)</t>
  </si>
  <si>
    <t xml:space="preserve">                利润总额(%)</t>
  </si>
  <si>
    <t xml:space="preserve">                归属母公司股东的净利润(%)</t>
  </si>
  <si>
    <t xml:space="preserve">                归属母公司股东的净利润-扣除非经常损益(%)</t>
  </si>
  <si>
    <t xml:space="preserve">                经营活动产生的现金流量净额(%)</t>
  </si>
  <si>
    <t xml:space="preserve">                净资产收益率(摊薄)(%)</t>
  </si>
  <si>
    <t xml:space="preserve">        相对年初增长率</t>
  </si>
  <si>
    <t xml:space="preserve">                每股净资产(%)</t>
  </si>
  <si>
    <t xml:space="preserve">                资产总计(%)</t>
  </si>
  <si>
    <t xml:space="preserve">                归属母公司的股东权益(%)</t>
  </si>
  <si>
    <r>
      <rPr>
        <b/>
        <sz val="9"/>
        <color theme="1"/>
        <rFont val="等线"/>
        <family val="2"/>
      </rPr>
      <t>资本结构与偿债能力</t>
    </r>
    <r>
      <rPr>
        <b/>
        <sz val="9"/>
        <color theme="1"/>
        <rFont val="Arial"/>
        <family val="2"/>
      </rPr>
      <t>(ORIG)</t>
    </r>
  </si>
  <si>
    <t xml:space="preserve">        资本结构</t>
  </si>
  <si>
    <t xml:space="preserve">                资产负债率</t>
  </si>
  <si>
    <t xml:space="preserve">                剔除预收账款后的资产负债率(公告口径)</t>
  </si>
  <si>
    <t xml:space="preserve">                剔除预收账款后的资产负债率</t>
  </si>
  <si>
    <t xml:space="preserve">                长期资本负债率</t>
  </si>
  <si>
    <t xml:space="preserve">                长期资产适合率</t>
  </si>
  <si>
    <t xml:space="preserve">                权益乘数</t>
  </si>
  <si>
    <t xml:space="preserve">                流动资产／总资产</t>
  </si>
  <si>
    <t xml:space="preserve">                非流动资产／总资产</t>
  </si>
  <si>
    <t xml:space="preserve">                有形资产／总资产</t>
  </si>
  <si>
    <t xml:space="preserve">                非流动负债权益比率</t>
  </si>
  <si>
    <t xml:space="preserve">                流动负债权益比率</t>
  </si>
  <si>
    <t xml:space="preserve">                归属母公司股东的权益／全部投入资本</t>
  </si>
  <si>
    <t xml:space="preserve">                带息债务／全部投入资本</t>
  </si>
  <si>
    <t xml:space="preserve">                流动负债／负债合计</t>
  </si>
  <si>
    <t xml:space="preserve">                非流动负债／负债合计</t>
  </si>
  <si>
    <t xml:space="preserve">                资本固定化比率</t>
  </si>
  <si>
    <t xml:space="preserve">        偿债能力</t>
  </si>
  <si>
    <t xml:space="preserve">                流动比率</t>
  </si>
  <si>
    <t xml:space="preserve">                速动比率</t>
  </si>
  <si>
    <t xml:space="preserve">                保守速动比率</t>
  </si>
  <si>
    <t xml:space="preserve">                现金比率</t>
  </si>
  <si>
    <t xml:space="preserve">                现金到期债务比</t>
  </si>
  <si>
    <t xml:space="preserve">                现金流量利息保障倍数</t>
  </si>
  <si>
    <t xml:space="preserve">                产权比率</t>
  </si>
  <si>
    <t xml:space="preserve">                归属母公司股东的权益／负债合计</t>
  </si>
  <si>
    <t xml:space="preserve">                归属母公司股东的权益／带息债务</t>
  </si>
  <si>
    <t xml:space="preserve">                有形资产／负债合计</t>
  </si>
  <si>
    <t xml:space="preserve">                有形资产／带息债务</t>
  </si>
  <si>
    <t xml:space="preserve">                有形资产／净债务</t>
  </si>
  <si>
    <t xml:space="preserve">                息税折旧摊销前利润／负债合计</t>
  </si>
  <si>
    <t xml:space="preserve">                经营活动产生的现金流量净额／负债合计</t>
  </si>
  <si>
    <t xml:space="preserve">                经营活动产生的现金流量净额／带息债务</t>
  </si>
  <si>
    <t xml:space="preserve">                经营活动产生的现金流量净额／流动负债</t>
  </si>
  <si>
    <t xml:space="preserve">                经营活动产生的现金流量净额／净债务</t>
  </si>
  <si>
    <t xml:space="preserve">                经营活动产生的现金流量净额/非流动负债</t>
  </si>
  <si>
    <t xml:space="preserve">                非筹资性现金净流量与流动负债的比率</t>
  </si>
  <si>
    <t xml:space="preserve">                非筹资性现金净流量与负债总额的比率</t>
  </si>
  <si>
    <t xml:space="preserve">                已获利息倍数(EBIT／利息费用)</t>
  </si>
  <si>
    <t xml:space="preserve">                长期债务与营运资金比率</t>
  </si>
  <si>
    <t xml:space="preserve">                长期负债占比</t>
  </si>
  <si>
    <t xml:space="preserve">                有形净值债务率</t>
  </si>
  <si>
    <t xml:space="preserve">                净债务/股权价值</t>
  </si>
  <si>
    <t xml:space="preserve">                带息债务/股权价值</t>
  </si>
  <si>
    <t xml:space="preserve">                EBITDA/带息债务</t>
  </si>
  <si>
    <t xml:space="preserve">                全部债务/EBITDA</t>
  </si>
  <si>
    <t xml:space="preserve">                EBITDA/利息费用</t>
  </si>
  <si>
    <r>
      <rPr>
        <b/>
        <sz val="9"/>
        <color theme="1"/>
        <rFont val="等线"/>
        <family val="2"/>
      </rPr>
      <t>现金流量</t>
    </r>
    <r>
      <rPr>
        <b/>
        <sz val="9"/>
        <color theme="1"/>
        <rFont val="Arial"/>
        <family val="2"/>
      </rPr>
      <t>(ORIG)</t>
    </r>
  </si>
  <si>
    <t xml:space="preserve">        现金流量</t>
  </si>
  <si>
    <t xml:space="preserve">                销售商品提供劳务收到的现金／营业收入</t>
  </si>
  <si>
    <t xml:space="preserve">                经营活动产生的现金流量净额／营业收入</t>
  </si>
  <si>
    <t xml:space="preserve">                经营活动产生的现金流量净额／营业利润(TTM)</t>
  </si>
  <si>
    <t xml:space="preserve">                经营活动产生的现金流量净额／经营活动净收益</t>
  </si>
  <si>
    <t xml:space="preserve">                资本支出／折旧和摊销</t>
  </si>
  <si>
    <t xml:space="preserve">                经营性现金净流量／营业总收入</t>
  </si>
  <si>
    <t xml:space="preserve">                经营性现金净流量／净利润</t>
  </si>
  <si>
    <t xml:space="preserve">                现金营运指数</t>
  </si>
  <si>
    <t xml:space="preserve">                现金满足投资比率</t>
  </si>
  <si>
    <t xml:space="preserve">                全部资产现金回收率</t>
  </si>
  <si>
    <t xml:space="preserve">                现金股利保障倍数</t>
  </si>
  <si>
    <t xml:space="preserve">                经营活动产生的现金流量净额占比</t>
  </si>
  <si>
    <t xml:space="preserve">                投资活动产生的现金流量净额占比</t>
  </si>
  <si>
    <t xml:space="preserve">                筹资活动产生的现金流量净额占比</t>
  </si>
  <si>
    <t xml:space="preserve">                企业自由现金流量</t>
  </si>
  <si>
    <t xml:space="preserve">                股权自由现金流量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</si>
</sst>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[Blue]#,##0.00;[Red]\-#,##0.00"/>
    <numFmt numFmtId="178" formatCode="#,##0.0000"/>
  </numFmts>
  <fonts count="8" x14ac:knownFonts="1">
    <font>
      <sz val="11"/>
      <color theme="1"/>
      <name val="等线"/>
      <family val="2"/>
      <scheme val="minor"/>
    </font>
    <font>
      <sz val="9"/>
      <color theme="1"/>
      <name val="Arial"/>
      <family val="2"/>
    </font>
    <font>
      <sz val="9"/>
      <color theme="1"/>
      <name val="等线"/>
      <family val="2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9"/>
      <color theme="1"/>
      <name val="Arial"/>
      <family val="2"/>
    </font>
    <font>
      <b/>
      <sz val="9"/>
      <color theme="1"/>
      <name val="等线"/>
      <family val="2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4DEF7"/>
        <bgColor indexed="64"/>
      </patternFill>
    </fill>
    <fill>
      <patternFill patternType="solid">
        <fgColor rgb="FFECF4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5" fillId="3" borderId="2" xfId="0" applyFont="1" applyFill="1" applyBorder="1"/>
    <xf numFmtId="49" fontId="0" fillId="4" borderId="2" xfId="0" applyNumberFormat="1" applyFill="1" applyBorder="1" applyAlignment="1">
      <alignment horizontal="left"/>
    </xf>
    <xf numFmtId="49" fontId="0" fillId="5" borderId="2" xfId="0" applyNumberFormat="1" applyFill="1" applyBorder="1" applyAlignment="1">
      <alignment horizontal="left"/>
    </xf>
    <xf numFmtId="0" fontId="5" fillId="0" borderId="0" xfId="0" applyFont="1"/>
    <xf numFmtId="176" fontId="0" fillId="4" borderId="2" xfId="0" applyNumberFormat="1" applyFill="1" applyBorder="1" applyAlignment="1">
      <alignment horizontal="right"/>
    </xf>
    <xf numFmtId="177" fontId="0" fillId="6" borderId="2" xfId="0" applyNumberFormat="1" applyFill="1" applyBorder="1" applyAlignment="1">
      <alignment horizontal="right"/>
    </xf>
    <xf numFmtId="177" fontId="0" fillId="0" borderId="0" xfId="0" applyNumberFormat="1" applyAlignment="1">
      <alignment horizontal="right"/>
    </xf>
    <xf numFmtId="0" fontId="1" fillId="0" borderId="3" xfId="0" applyFont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5" fillId="0" borderId="3" xfId="0" applyFont="1" applyBorder="1"/>
    <xf numFmtId="0" fontId="5" fillId="3" borderId="3" xfId="0" applyFont="1" applyFill="1" applyBorder="1"/>
    <xf numFmtId="0" fontId="0" fillId="3" borderId="3" xfId="0" applyFill="1" applyBorder="1"/>
    <xf numFmtId="49" fontId="0" fillId="4" borderId="3" xfId="0" applyNumberFormat="1" applyFill="1" applyBorder="1" applyAlignment="1">
      <alignment horizontal="left"/>
    </xf>
    <xf numFmtId="176" fontId="0" fillId="4" borderId="3" xfId="0" applyNumberFormat="1" applyFill="1" applyBorder="1" applyAlignment="1">
      <alignment horizontal="right"/>
    </xf>
    <xf numFmtId="49" fontId="0" fillId="5" borderId="3" xfId="0" applyNumberFormat="1" applyFill="1" applyBorder="1" applyAlignment="1">
      <alignment horizontal="left"/>
    </xf>
    <xf numFmtId="177" fontId="0" fillId="6" borderId="3" xfId="0" applyNumberFormat="1" applyFill="1" applyBorder="1" applyAlignment="1">
      <alignment horizontal="right"/>
    </xf>
    <xf numFmtId="177" fontId="0" fillId="0" borderId="3" xfId="0" applyNumberFormat="1" applyBorder="1" applyAlignment="1">
      <alignment horizontal="right"/>
    </xf>
    <xf numFmtId="178" fontId="0" fillId="0" borderId="3" xfId="0" applyNumberFormat="1" applyBorder="1" applyAlignment="1">
      <alignment horizontal="right"/>
    </xf>
    <xf numFmtId="178" fontId="0" fillId="6" borderId="3" xfId="0" applyNumberFormat="1" applyFill="1" applyBorder="1" applyAlignment="1">
      <alignment horizontal="right"/>
    </xf>
    <xf numFmtId="176" fontId="0" fillId="6" borderId="3" xfId="0" applyNumberFormat="1" applyFill="1" applyBorder="1" applyAlignment="1">
      <alignment horizontal="right"/>
    </xf>
    <xf numFmtId="0" fontId="0" fillId="7" borderId="3" xfId="0" applyFill="1" applyBorder="1"/>
    <xf numFmtId="176" fontId="0" fillId="7" borderId="3" xfId="0" applyNumberFormat="1" applyFill="1" applyBorder="1" applyAlignment="1">
      <alignment horizontal="right"/>
    </xf>
    <xf numFmtId="177" fontId="0" fillId="7" borderId="3" xfId="0" applyNumberFormat="1" applyFill="1" applyBorder="1" applyAlignment="1">
      <alignment horizontal="right"/>
    </xf>
    <xf numFmtId="178" fontId="0" fillId="7" borderId="3" xfId="0" applyNumberFormat="1" applyFill="1" applyBorder="1" applyAlignment="1">
      <alignment horizontal="right"/>
    </xf>
    <xf numFmtId="0" fontId="0" fillId="7" borderId="0" xfId="0" applyFill="1"/>
    <xf numFmtId="49" fontId="7" fillId="5" borderId="3" xfId="0" applyNumberFormat="1" applyFont="1" applyFill="1" applyBorder="1" applyAlignment="1">
      <alignment horizontal="left"/>
    </xf>
    <xf numFmtId="177" fontId="7" fillId="0" borderId="3" xfId="0" applyNumberFormat="1" applyFont="1" applyBorder="1" applyAlignment="1">
      <alignment horizontal="right"/>
    </xf>
    <xf numFmtId="177" fontId="7" fillId="7" borderId="3" xfId="0" applyNumberFormat="1" applyFont="1" applyFill="1" applyBorder="1" applyAlignment="1">
      <alignment horizontal="right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F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0DBD-5F2F-4B0E-A5DC-4FD91FFA4CAD}">
  <dimension ref="A1:T90"/>
  <sheetViews>
    <sheetView tabSelected="1" workbookViewId="0">
      <selection activeCell="B20" sqref="B20"/>
    </sheetView>
  </sheetViews>
  <sheetFormatPr defaultRowHeight="14.25" x14ac:dyDescent="0.2"/>
  <cols>
    <col min="1" max="1" width="47.375" customWidth="1"/>
    <col min="2" max="3" width="11.625" bestFit="1" customWidth="1"/>
    <col min="4" max="4" width="13.25" style="31" customWidth="1"/>
    <col min="5" max="5" width="15.875" customWidth="1"/>
    <col min="6" max="7" width="11.625" bestFit="1" customWidth="1"/>
    <col min="20" max="20" width="11.625" bestFit="1" customWidth="1"/>
  </cols>
  <sheetData>
    <row r="1" spans="1:20" x14ac:dyDescent="0.2">
      <c r="A1" s="12" t="s">
        <v>0</v>
      </c>
      <c r="B1" s="13" t="s">
        <v>4</v>
      </c>
      <c r="C1" s="14"/>
      <c r="D1" s="27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">
      <c r="A2" s="12" t="s">
        <v>1</v>
      </c>
      <c r="B2" s="15" t="str">
        <f>[1]!S_INFO_NAME($B$1)</f>
        <v>中际旭创</v>
      </c>
      <c r="C2" s="14"/>
      <c r="D2" s="27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">
      <c r="A3" s="12" t="s">
        <v>2</v>
      </c>
      <c r="B3" s="13">
        <v>1988</v>
      </c>
      <c r="C3" s="14"/>
      <c r="D3" s="27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x14ac:dyDescent="0.2">
      <c r="A4" s="12" t="s">
        <v>3</v>
      </c>
      <c r="B4" s="13">
        <v>2027</v>
      </c>
      <c r="C4" s="14"/>
      <c r="D4" s="27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x14ac:dyDescent="0.2">
      <c r="A5" s="16" t="str">
        <f>[1]!WFR(B1,B3&amp;":"&amp;B4,"Func=F9_2.Stock.FinaNP.FinaAbstract_RP24","rptType=1","singleSeason=0","unit=1000000","currencyType=ORIG","order=LEFT","rate=HISTORY","version=2","quarterindic=0","showcurrency=1","reportPeriod=24","cols=19;rows=84")</f>
        <v xml:space="preserve">                                                                                                              </v>
      </c>
      <c r="B5" s="14"/>
      <c r="C5" s="14"/>
      <c r="D5" s="2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x14ac:dyDescent="0.2">
      <c r="A6" s="17" t="s">
        <v>5</v>
      </c>
      <c r="B6" s="18"/>
      <c r="C6" s="18"/>
      <c r="D6" s="2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2">
      <c r="A7" s="19" t="s">
        <v>6</v>
      </c>
      <c r="B7" s="20">
        <v>46022</v>
      </c>
      <c r="C7" s="20">
        <v>45930</v>
      </c>
      <c r="D7" s="28">
        <v>45657</v>
      </c>
      <c r="E7" s="20">
        <v>45291</v>
      </c>
      <c r="F7" s="20">
        <v>44926</v>
      </c>
      <c r="G7" s="20">
        <v>44561</v>
      </c>
      <c r="H7" s="20">
        <v>44196</v>
      </c>
      <c r="I7" s="20">
        <v>43830</v>
      </c>
      <c r="J7" s="20">
        <v>43465</v>
      </c>
      <c r="K7" s="20">
        <v>43100</v>
      </c>
      <c r="L7" s="20">
        <v>42735</v>
      </c>
      <c r="M7" s="20">
        <v>42369</v>
      </c>
      <c r="N7" s="20">
        <v>42004</v>
      </c>
      <c r="O7" s="20">
        <v>41639</v>
      </c>
      <c r="P7" s="20">
        <v>41274</v>
      </c>
      <c r="Q7" s="20">
        <v>40908</v>
      </c>
      <c r="R7" s="20">
        <v>40543</v>
      </c>
      <c r="S7" s="20">
        <v>40178</v>
      </c>
      <c r="T7" s="20">
        <v>39813</v>
      </c>
    </row>
    <row r="8" spans="1:20" x14ac:dyDescent="0.2">
      <c r="A8" s="21" t="s">
        <v>7</v>
      </c>
      <c r="B8" s="22" t="s">
        <v>82</v>
      </c>
      <c r="C8" s="22" t="s">
        <v>84</v>
      </c>
      <c r="D8" s="29" t="s">
        <v>82</v>
      </c>
      <c r="E8" s="22" t="s">
        <v>82</v>
      </c>
      <c r="F8" s="22" t="s">
        <v>82</v>
      </c>
      <c r="G8" s="22" t="s">
        <v>82</v>
      </c>
      <c r="H8" s="22" t="s">
        <v>82</v>
      </c>
      <c r="I8" s="22" t="s">
        <v>82</v>
      </c>
      <c r="J8" s="22" t="s">
        <v>82</v>
      </c>
      <c r="K8" s="22" t="s">
        <v>82</v>
      </c>
      <c r="L8" s="22" t="s">
        <v>82</v>
      </c>
      <c r="M8" s="22" t="s">
        <v>82</v>
      </c>
      <c r="N8" s="22" t="s">
        <v>82</v>
      </c>
      <c r="O8" s="22" t="s">
        <v>82</v>
      </c>
      <c r="P8" s="22" t="s">
        <v>82</v>
      </c>
      <c r="Q8" s="22" t="s">
        <v>82</v>
      </c>
      <c r="R8" s="22" t="s">
        <v>82</v>
      </c>
      <c r="S8" s="22" t="s">
        <v>82</v>
      </c>
      <c r="T8" s="22" t="s">
        <v>82</v>
      </c>
    </row>
    <row r="9" spans="1:20" x14ac:dyDescent="0.2">
      <c r="A9" s="21" t="s">
        <v>8</v>
      </c>
      <c r="B9" s="23" t="s">
        <v>83</v>
      </c>
      <c r="C9" s="23" t="s">
        <v>85</v>
      </c>
      <c r="D9" s="29" t="s">
        <v>85</v>
      </c>
      <c r="E9" s="23" t="s">
        <v>85</v>
      </c>
      <c r="F9" s="23" t="s">
        <v>85</v>
      </c>
      <c r="G9" s="23" t="s">
        <v>85</v>
      </c>
      <c r="H9" s="23" t="s">
        <v>85</v>
      </c>
      <c r="I9" s="23" t="s">
        <v>85</v>
      </c>
      <c r="J9" s="23" t="s">
        <v>85</v>
      </c>
      <c r="K9" s="23" t="s">
        <v>85</v>
      </c>
      <c r="L9" s="23" t="s">
        <v>85</v>
      </c>
      <c r="M9" s="23" t="s">
        <v>85</v>
      </c>
      <c r="N9" s="23" t="s">
        <v>85</v>
      </c>
      <c r="O9" s="23" t="s">
        <v>85</v>
      </c>
      <c r="P9" s="23" t="s">
        <v>85</v>
      </c>
      <c r="Q9" s="23" t="s">
        <v>85</v>
      </c>
      <c r="R9" s="23" t="s">
        <v>85</v>
      </c>
      <c r="S9" s="23" t="s">
        <v>85</v>
      </c>
      <c r="T9" s="23" t="s">
        <v>85</v>
      </c>
    </row>
    <row r="10" spans="1:20" x14ac:dyDescent="0.2">
      <c r="A10" s="21" t="s">
        <v>9</v>
      </c>
      <c r="B10" s="22"/>
      <c r="C10" s="22"/>
      <c r="D10" s="29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x14ac:dyDescent="0.2">
      <c r="A11" s="21" t="s">
        <v>10</v>
      </c>
      <c r="B11" s="23">
        <v>38239.980000000003</v>
      </c>
      <c r="C11" s="23">
        <v>25004.799999999999</v>
      </c>
      <c r="D11" s="29">
        <v>23862.16</v>
      </c>
      <c r="E11" s="23">
        <v>10717.98</v>
      </c>
      <c r="F11" s="23">
        <v>9641.7900000000009</v>
      </c>
      <c r="G11" s="23">
        <v>7695.4</v>
      </c>
      <c r="H11" s="23">
        <v>7049.59</v>
      </c>
      <c r="I11" s="23">
        <v>4757.68</v>
      </c>
      <c r="J11" s="23">
        <v>5156.3100000000004</v>
      </c>
      <c r="K11" s="23">
        <v>2357.08</v>
      </c>
      <c r="L11" s="23">
        <v>131.62</v>
      </c>
      <c r="M11" s="23">
        <v>121.41</v>
      </c>
      <c r="N11" s="23">
        <v>118.75</v>
      </c>
      <c r="O11" s="23">
        <v>90.53</v>
      </c>
      <c r="P11" s="23">
        <v>116.66</v>
      </c>
      <c r="Q11" s="23">
        <v>162.08000000000001</v>
      </c>
      <c r="R11" s="23">
        <v>123.55</v>
      </c>
      <c r="S11" s="23">
        <v>90.37</v>
      </c>
      <c r="T11" s="23">
        <v>88.59</v>
      </c>
    </row>
    <row r="12" spans="1:20" x14ac:dyDescent="0.2">
      <c r="A12" s="21" t="s">
        <v>11</v>
      </c>
      <c r="B12" s="22">
        <v>60.25</v>
      </c>
      <c r="C12" s="22">
        <v>44.431199999999997</v>
      </c>
      <c r="D12" s="29">
        <v>122.6366</v>
      </c>
      <c r="E12" s="22">
        <v>11.1617</v>
      </c>
      <c r="F12" s="22">
        <v>25.292899999999999</v>
      </c>
      <c r="G12" s="22">
        <v>9.1609999999999996</v>
      </c>
      <c r="H12" s="22">
        <v>48.172899999999998</v>
      </c>
      <c r="I12" s="22">
        <v>-7.7309999999999999</v>
      </c>
      <c r="J12" s="22">
        <v>118.7582</v>
      </c>
      <c r="K12" s="22">
        <v>1690.8195000000001</v>
      </c>
      <c r="L12" s="22">
        <v>8.4099000000000004</v>
      </c>
      <c r="M12" s="22">
        <v>2.2431999999999999</v>
      </c>
      <c r="N12" s="22">
        <v>31.173400000000001</v>
      </c>
      <c r="O12" s="22">
        <v>-22.401499999999999</v>
      </c>
      <c r="P12" s="22">
        <v>-28.023099999999999</v>
      </c>
      <c r="Q12" s="22">
        <v>31.188099999999999</v>
      </c>
      <c r="R12" s="22">
        <v>36.706899999999997</v>
      </c>
      <c r="S12" s="22">
        <v>2.0082</v>
      </c>
      <c r="T12" s="22"/>
    </row>
    <row r="13" spans="1:20" x14ac:dyDescent="0.2">
      <c r="A13" s="21" t="s">
        <v>12</v>
      </c>
      <c r="B13" s="23"/>
      <c r="C13" s="23">
        <v>16535.419999999998</v>
      </c>
      <c r="D13" s="29">
        <v>17820.88</v>
      </c>
      <c r="E13" s="23">
        <v>8446.74</v>
      </c>
      <c r="F13" s="23">
        <v>8220.94</v>
      </c>
      <c r="G13" s="23">
        <v>6880.53</v>
      </c>
      <c r="H13" s="23">
        <v>6326.15</v>
      </c>
      <c r="I13" s="23">
        <v>4193.2299999999996</v>
      </c>
      <c r="J13" s="23">
        <v>4528.4399999999996</v>
      </c>
      <c r="K13" s="23">
        <v>2067.3000000000002</v>
      </c>
      <c r="L13" s="23">
        <v>137.41999999999999</v>
      </c>
      <c r="M13" s="23">
        <v>122.4</v>
      </c>
      <c r="N13" s="23">
        <v>118.72</v>
      </c>
      <c r="O13" s="23">
        <v>88.67</v>
      </c>
      <c r="P13" s="23">
        <v>85.36</v>
      </c>
      <c r="Q13" s="23">
        <v>103.94</v>
      </c>
      <c r="R13" s="23">
        <v>74.84</v>
      </c>
      <c r="S13" s="23">
        <v>55.21</v>
      </c>
      <c r="T13" s="23">
        <v>54.31</v>
      </c>
    </row>
    <row r="14" spans="1:20" x14ac:dyDescent="0.2">
      <c r="A14" s="21" t="s">
        <v>13</v>
      </c>
      <c r="B14" s="22">
        <v>13596.92</v>
      </c>
      <c r="C14" s="22">
        <v>8838.68</v>
      </c>
      <c r="D14" s="29">
        <v>6049.94</v>
      </c>
      <c r="E14" s="22">
        <v>2494.1</v>
      </c>
      <c r="F14" s="22">
        <v>1327.39</v>
      </c>
      <c r="G14" s="22">
        <v>962.92</v>
      </c>
      <c r="H14" s="22">
        <v>989.8</v>
      </c>
      <c r="I14" s="22">
        <v>576.38</v>
      </c>
      <c r="J14" s="22">
        <v>681.89</v>
      </c>
      <c r="K14" s="22">
        <v>205.87</v>
      </c>
      <c r="L14" s="22">
        <v>-2.41</v>
      </c>
      <c r="M14" s="22">
        <v>2.5299999999999998</v>
      </c>
      <c r="N14" s="22">
        <v>2.15</v>
      </c>
      <c r="O14" s="22">
        <v>1.86</v>
      </c>
      <c r="P14" s="22">
        <v>31.3</v>
      </c>
      <c r="Q14" s="22">
        <v>58.14</v>
      </c>
      <c r="R14" s="22">
        <v>48.71</v>
      </c>
      <c r="S14" s="22">
        <v>35.17</v>
      </c>
      <c r="T14" s="22">
        <v>34.28</v>
      </c>
    </row>
    <row r="15" spans="1:20" x14ac:dyDescent="0.2">
      <c r="A15" s="21" t="s">
        <v>11</v>
      </c>
      <c r="B15" s="23">
        <v>124.74</v>
      </c>
      <c r="C15" s="23">
        <v>100.4064</v>
      </c>
      <c r="D15" s="29">
        <v>142.57060000000001</v>
      </c>
      <c r="E15" s="23">
        <v>87.894199999999998</v>
      </c>
      <c r="F15" s="23">
        <v>37.850999999999999</v>
      </c>
      <c r="G15" s="23">
        <v>-2.7155</v>
      </c>
      <c r="H15" s="23">
        <v>71.727800000000002</v>
      </c>
      <c r="I15" s="23">
        <v>-15.474399999999999</v>
      </c>
      <c r="J15" s="23">
        <v>231.22579999999999</v>
      </c>
      <c r="K15" s="23">
        <v>2813.9834999999998</v>
      </c>
      <c r="L15" s="23">
        <v>-195.58500000000001</v>
      </c>
      <c r="M15" s="23">
        <v>17.405200000000001</v>
      </c>
      <c r="N15" s="23">
        <v>15.831099999999999</v>
      </c>
      <c r="O15" s="23">
        <v>-94.066699999999997</v>
      </c>
      <c r="P15" s="23">
        <v>-46.165300000000002</v>
      </c>
      <c r="Q15" s="23">
        <v>19.348500000000001</v>
      </c>
      <c r="R15" s="23">
        <v>38.519500000000001</v>
      </c>
      <c r="S15" s="23">
        <v>2.5775000000000001</v>
      </c>
      <c r="T15" s="23"/>
    </row>
    <row r="16" spans="1:20" x14ac:dyDescent="0.2">
      <c r="A16" s="21" t="s">
        <v>14</v>
      </c>
      <c r="B16" s="22">
        <v>13599.62</v>
      </c>
      <c r="C16" s="22">
        <v>8840.49</v>
      </c>
      <c r="D16" s="29">
        <v>6052.44</v>
      </c>
      <c r="E16" s="22">
        <v>2492.46</v>
      </c>
      <c r="F16" s="22">
        <v>1351.55</v>
      </c>
      <c r="G16" s="22">
        <v>959.92</v>
      </c>
      <c r="H16" s="22">
        <v>986.96</v>
      </c>
      <c r="I16" s="22">
        <v>576.67999999999995</v>
      </c>
      <c r="J16" s="22">
        <v>694.95</v>
      </c>
      <c r="K16" s="22">
        <v>205.89</v>
      </c>
      <c r="L16" s="22">
        <v>10.91</v>
      </c>
      <c r="M16" s="22">
        <v>6.37</v>
      </c>
      <c r="N16" s="22">
        <v>8.67</v>
      </c>
      <c r="O16" s="22">
        <v>16.21</v>
      </c>
      <c r="P16" s="22">
        <v>33.64</v>
      </c>
      <c r="Q16" s="22">
        <v>59.7</v>
      </c>
      <c r="R16" s="22">
        <v>48.94</v>
      </c>
      <c r="S16" s="22">
        <v>35.43</v>
      </c>
      <c r="T16" s="22">
        <v>35.020000000000003</v>
      </c>
    </row>
    <row r="17" spans="1:20" x14ac:dyDescent="0.2">
      <c r="A17" s="21" t="s">
        <v>11</v>
      </c>
      <c r="B17" s="23">
        <v>124.7</v>
      </c>
      <c r="C17" s="23">
        <v>100.3441</v>
      </c>
      <c r="D17" s="29">
        <v>142.8295</v>
      </c>
      <c r="E17" s="23">
        <v>84.415000000000006</v>
      </c>
      <c r="F17" s="23">
        <v>40.798999999999999</v>
      </c>
      <c r="G17" s="23">
        <v>-2.7401</v>
      </c>
      <c r="H17" s="23">
        <v>71.146000000000001</v>
      </c>
      <c r="I17" s="23">
        <v>-17.019300000000001</v>
      </c>
      <c r="J17" s="23">
        <v>237.53120000000001</v>
      </c>
      <c r="K17" s="23">
        <v>1787.0445999999999</v>
      </c>
      <c r="L17" s="23">
        <v>71.208600000000004</v>
      </c>
      <c r="M17" s="23">
        <v>-26.516200000000001</v>
      </c>
      <c r="N17" s="23">
        <v>-46.506500000000003</v>
      </c>
      <c r="O17" s="23">
        <v>-51.808</v>
      </c>
      <c r="P17" s="23">
        <v>-43.649099999999997</v>
      </c>
      <c r="Q17" s="23">
        <v>21.992999999999999</v>
      </c>
      <c r="R17" s="23">
        <v>38.113599999999998</v>
      </c>
      <c r="S17" s="23">
        <v>1.1778</v>
      </c>
      <c r="T17" s="23"/>
    </row>
    <row r="18" spans="1:20" x14ac:dyDescent="0.2">
      <c r="A18" s="21" t="s">
        <v>15</v>
      </c>
      <c r="B18" s="22"/>
      <c r="C18" s="22">
        <v>7569.73</v>
      </c>
      <c r="D18" s="29">
        <v>5371.78</v>
      </c>
      <c r="E18" s="22">
        <v>2207.65</v>
      </c>
      <c r="F18" s="22">
        <v>1233.69</v>
      </c>
      <c r="G18" s="22">
        <v>886.5</v>
      </c>
      <c r="H18" s="22">
        <v>876.42</v>
      </c>
      <c r="I18" s="22">
        <v>513.49</v>
      </c>
      <c r="J18" s="22">
        <v>623.12</v>
      </c>
      <c r="K18" s="22">
        <v>161.51</v>
      </c>
      <c r="L18" s="22">
        <v>10.050000000000001</v>
      </c>
      <c r="M18" s="22">
        <v>5.59</v>
      </c>
      <c r="N18" s="22">
        <v>8.17</v>
      </c>
      <c r="O18" s="22">
        <v>14.24</v>
      </c>
      <c r="P18" s="22">
        <v>28.78</v>
      </c>
      <c r="Q18" s="22">
        <v>51.21</v>
      </c>
      <c r="R18" s="22">
        <v>41.92</v>
      </c>
      <c r="S18" s="22">
        <v>31.27</v>
      </c>
      <c r="T18" s="22">
        <v>30.48</v>
      </c>
    </row>
    <row r="19" spans="1:20" x14ac:dyDescent="0.2">
      <c r="A19" s="21" t="s">
        <v>11</v>
      </c>
      <c r="B19" s="23"/>
      <c r="C19" s="23">
        <v>95.521000000000001</v>
      </c>
      <c r="D19" s="29">
        <v>143.32550000000001</v>
      </c>
      <c r="E19" s="23">
        <v>78.947000000000003</v>
      </c>
      <c r="F19" s="23">
        <v>39.1646</v>
      </c>
      <c r="G19" s="23">
        <v>1.1493</v>
      </c>
      <c r="H19" s="23">
        <v>70.680800000000005</v>
      </c>
      <c r="I19" s="23">
        <v>-17.593599999999999</v>
      </c>
      <c r="J19" s="23">
        <v>285.81740000000002</v>
      </c>
      <c r="K19" s="23">
        <v>1506.3587</v>
      </c>
      <c r="L19" s="23">
        <v>79.7316</v>
      </c>
      <c r="M19" s="23">
        <v>-31.492699999999999</v>
      </c>
      <c r="N19" s="23">
        <v>-42.661700000000003</v>
      </c>
      <c r="O19" s="23">
        <v>-50.510899999999999</v>
      </c>
      <c r="P19" s="23">
        <v>-43.808500000000002</v>
      </c>
      <c r="Q19" s="23">
        <v>22.174299999999999</v>
      </c>
      <c r="R19" s="23">
        <v>34.0383</v>
      </c>
      <c r="S19" s="23">
        <v>2.605</v>
      </c>
      <c r="T19" s="23"/>
    </row>
    <row r="20" spans="1:20" x14ac:dyDescent="0.2">
      <c r="A20" s="21" t="s">
        <v>16</v>
      </c>
      <c r="B20" s="22">
        <v>10798.63</v>
      </c>
      <c r="C20" s="22">
        <v>7131.93</v>
      </c>
      <c r="D20" s="29">
        <v>5171.49</v>
      </c>
      <c r="E20" s="22">
        <v>2173.5300000000002</v>
      </c>
      <c r="F20" s="22">
        <v>1223.99</v>
      </c>
      <c r="G20" s="22">
        <v>876.98</v>
      </c>
      <c r="H20" s="22">
        <v>865.48</v>
      </c>
      <c r="I20" s="22">
        <v>513.49</v>
      </c>
      <c r="J20" s="22">
        <v>623.12</v>
      </c>
      <c r="K20" s="22">
        <v>161.51</v>
      </c>
      <c r="L20" s="22">
        <v>10.050000000000001</v>
      </c>
      <c r="M20" s="22">
        <v>5.59</v>
      </c>
      <c r="N20" s="22">
        <v>8.17</v>
      </c>
      <c r="O20" s="22">
        <v>14.24</v>
      </c>
      <c r="P20" s="22">
        <v>28.78</v>
      </c>
      <c r="Q20" s="22">
        <v>51.21</v>
      </c>
      <c r="R20" s="22">
        <v>41.92</v>
      </c>
      <c r="S20" s="22">
        <v>31.27</v>
      </c>
      <c r="T20" s="22">
        <v>30.48</v>
      </c>
    </row>
    <row r="21" spans="1:20" x14ac:dyDescent="0.2">
      <c r="A21" s="21" t="s">
        <v>11</v>
      </c>
      <c r="B21" s="23">
        <v>108.81</v>
      </c>
      <c r="C21" s="23">
        <v>90.0501</v>
      </c>
      <c r="D21" s="29">
        <v>137.93049999999999</v>
      </c>
      <c r="E21" s="23">
        <v>77.577100000000002</v>
      </c>
      <c r="F21" s="23">
        <v>39.569299999999998</v>
      </c>
      <c r="G21" s="23">
        <v>1.3280000000000001</v>
      </c>
      <c r="H21" s="23">
        <v>68.550200000000004</v>
      </c>
      <c r="I21" s="23">
        <v>-17.593599999999999</v>
      </c>
      <c r="J21" s="23">
        <v>285.81740000000002</v>
      </c>
      <c r="K21" s="23">
        <v>1506.3587</v>
      </c>
      <c r="L21" s="23">
        <v>79.7316</v>
      </c>
      <c r="M21" s="23">
        <v>-31.492699999999999</v>
      </c>
      <c r="N21" s="23">
        <v>-42.661700000000003</v>
      </c>
      <c r="O21" s="23">
        <v>-50.510899999999999</v>
      </c>
      <c r="P21" s="23">
        <v>-43.808500000000002</v>
      </c>
      <c r="Q21" s="23">
        <v>22.174299999999999</v>
      </c>
      <c r="R21" s="23">
        <v>34.0383</v>
      </c>
      <c r="S21" s="23">
        <v>2.605</v>
      </c>
      <c r="T21" s="23"/>
    </row>
    <row r="22" spans="1:20" x14ac:dyDescent="0.2">
      <c r="A22" s="21" t="s">
        <v>17</v>
      </c>
      <c r="B22" s="22"/>
      <c r="C22" s="22">
        <v>48.23</v>
      </c>
      <c r="D22" s="29">
        <v>103.13</v>
      </c>
      <c r="E22" s="22">
        <v>49.86</v>
      </c>
      <c r="F22" s="22">
        <v>186.58</v>
      </c>
      <c r="G22" s="22">
        <v>149.16999999999999</v>
      </c>
      <c r="H22" s="22">
        <v>101.12</v>
      </c>
      <c r="I22" s="22">
        <v>83.99</v>
      </c>
      <c r="J22" s="22">
        <v>33.08</v>
      </c>
      <c r="K22" s="22">
        <v>-103.15</v>
      </c>
      <c r="L22" s="22">
        <v>9.6</v>
      </c>
      <c r="M22" s="22">
        <v>5.42</v>
      </c>
      <c r="N22" s="22">
        <v>5.54</v>
      </c>
      <c r="O22" s="22">
        <v>12.2</v>
      </c>
      <c r="P22" s="22">
        <v>2.0299999999999998</v>
      </c>
      <c r="Q22" s="22">
        <v>1.33</v>
      </c>
      <c r="R22" s="22">
        <v>0.19</v>
      </c>
      <c r="S22" s="22">
        <v>0.23</v>
      </c>
      <c r="T22" s="22">
        <v>0.65</v>
      </c>
    </row>
    <row r="23" spans="1:20" x14ac:dyDescent="0.2">
      <c r="A23" s="21" t="s">
        <v>18</v>
      </c>
      <c r="B23" s="23">
        <v>10710.3</v>
      </c>
      <c r="C23" s="23">
        <v>7083.7</v>
      </c>
      <c r="D23" s="29">
        <v>5068.3599999999997</v>
      </c>
      <c r="E23" s="23">
        <v>2123.67</v>
      </c>
      <c r="F23" s="23">
        <v>1037.4100000000001</v>
      </c>
      <c r="G23" s="23">
        <v>727.81</v>
      </c>
      <c r="H23" s="23">
        <v>764.37</v>
      </c>
      <c r="I23" s="23">
        <v>429.5</v>
      </c>
      <c r="J23" s="23">
        <v>590.03</v>
      </c>
      <c r="K23" s="23">
        <v>264.66000000000003</v>
      </c>
      <c r="L23" s="23">
        <v>0.45</v>
      </c>
      <c r="M23" s="23">
        <v>0.17</v>
      </c>
      <c r="N23" s="23">
        <v>2.62</v>
      </c>
      <c r="O23" s="23">
        <v>2.04</v>
      </c>
      <c r="P23" s="23">
        <v>26.75</v>
      </c>
      <c r="Q23" s="23">
        <v>49.88</v>
      </c>
      <c r="R23" s="23">
        <v>41.72</v>
      </c>
      <c r="S23" s="23">
        <v>31.04</v>
      </c>
      <c r="T23" s="23">
        <v>29.83</v>
      </c>
    </row>
    <row r="24" spans="1:20" x14ac:dyDescent="0.2">
      <c r="A24" s="21" t="s">
        <v>11</v>
      </c>
      <c r="B24" s="22">
        <v>111.32</v>
      </c>
      <c r="C24" s="22">
        <v>90.54</v>
      </c>
      <c r="D24" s="29">
        <v>138.66</v>
      </c>
      <c r="E24" s="22">
        <v>104.71</v>
      </c>
      <c r="F24" s="22">
        <v>42.54</v>
      </c>
      <c r="G24" s="22">
        <v>-4.78</v>
      </c>
      <c r="H24" s="22">
        <v>77.97</v>
      </c>
      <c r="I24" s="22">
        <v>-27.21</v>
      </c>
      <c r="J24" s="22">
        <v>122.94</v>
      </c>
      <c r="K24" s="22">
        <v>58508.72</v>
      </c>
      <c r="L24" s="22">
        <v>164.5</v>
      </c>
      <c r="M24" s="22">
        <v>-93.49</v>
      </c>
      <c r="N24" s="22">
        <v>28.6</v>
      </c>
      <c r="O24" s="22">
        <v>-92.38</v>
      </c>
      <c r="P24" s="22">
        <v>-46.38</v>
      </c>
      <c r="Q24" s="22">
        <v>19.550699999999999</v>
      </c>
      <c r="R24" s="22">
        <v>34.423900000000003</v>
      </c>
      <c r="S24" s="22">
        <v>4.0457000000000001</v>
      </c>
      <c r="T24" s="22"/>
    </row>
    <row r="25" spans="1:20" x14ac:dyDescent="0.2">
      <c r="A25" s="21" t="s">
        <v>19</v>
      </c>
      <c r="B25" s="23"/>
      <c r="C25" s="23">
        <v>945.33</v>
      </c>
      <c r="D25" s="29">
        <v>1332.56</v>
      </c>
      <c r="E25" s="23">
        <v>809.39</v>
      </c>
      <c r="F25" s="23">
        <v>792.17</v>
      </c>
      <c r="G25" s="23">
        <v>565.85</v>
      </c>
      <c r="H25" s="23">
        <v>521.5</v>
      </c>
      <c r="I25" s="23">
        <v>445.72</v>
      </c>
      <c r="J25" s="23">
        <v>339.58</v>
      </c>
      <c r="K25" s="23">
        <v>129.31</v>
      </c>
      <c r="L25" s="23">
        <v>6.75</v>
      </c>
      <c r="M25" s="23">
        <v>6.5</v>
      </c>
      <c r="N25" s="23">
        <v>7.32</v>
      </c>
      <c r="O25" s="23">
        <v>8.6999999999999993</v>
      </c>
      <c r="P25" s="23">
        <v>6.97</v>
      </c>
      <c r="Q25" s="23">
        <v>7.36</v>
      </c>
      <c r="R25" s="23">
        <v>5.45</v>
      </c>
      <c r="S25" s="23">
        <v>3.73</v>
      </c>
      <c r="T25" s="23">
        <v>3.58</v>
      </c>
    </row>
    <row r="26" spans="1:20" x14ac:dyDescent="0.2">
      <c r="A26" s="21" t="s">
        <v>20</v>
      </c>
      <c r="B26" s="22"/>
      <c r="C26" s="22"/>
      <c r="D26" s="29">
        <v>5880.13</v>
      </c>
      <c r="E26" s="22">
        <v>2144.6999999999998</v>
      </c>
      <c r="F26" s="22">
        <v>1332.13</v>
      </c>
      <c r="G26" s="22">
        <v>901.08</v>
      </c>
      <c r="H26" s="22">
        <v>832.87</v>
      </c>
      <c r="I26" s="22">
        <v>558.14</v>
      </c>
      <c r="J26" s="22">
        <v>740.26</v>
      </c>
      <c r="K26" s="22">
        <v>343.02</v>
      </c>
      <c r="L26" s="22">
        <v>-6.91</v>
      </c>
      <c r="M26" s="22">
        <v>-3.97</v>
      </c>
      <c r="N26" s="22">
        <v>-4.26</v>
      </c>
      <c r="O26" s="22">
        <v>-0.85</v>
      </c>
      <c r="P26" s="22">
        <v>27.65</v>
      </c>
      <c r="Q26" s="22">
        <v>60.29</v>
      </c>
      <c r="R26" s="22">
        <v>49.45</v>
      </c>
      <c r="S26" s="22">
        <v>35.21</v>
      </c>
      <c r="T26" s="22">
        <v>35.630000000000003</v>
      </c>
    </row>
    <row r="27" spans="1:20" s="35" customFormat="1" x14ac:dyDescent="0.2">
      <c r="A27" s="32" t="s">
        <v>21</v>
      </c>
      <c r="B27" s="33"/>
      <c r="C27" s="33"/>
      <c r="D27" s="34">
        <v>6593.34</v>
      </c>
      <c r="E27" s="33">
        <v>2670.2</v>
      </c>
      <c r="F27" s="33">
        <v>1824.87</v>
      </c>
      <c r="G27" s="33">
        <v>1337.39</v>
      </c>
      <c r="H27" s="33">
        <v>1173.1400000000001</v>
      </c>
      <c r="I27" s="33">
        <v>804.26</v>
      </c>
      <c r="J27" s="33">
        <v>943.58</v>
      </c>
      <c r="K27" s="33">
        <v>444.58</v>
      </c>
      <c r="L27" s="33">
        <v>24.31</v>
      </c>
      <c r="M27" s="33">
        <v>23.43</v>
      </c>
      <c r="N27" s="33">
        <v>20.66</v>
      </c>
      <c r="O27" s="33">
        <v>20.93</v>
      </c>
      <c r="P27" s="33">
        <v>37.28</v>
      </c>
      <c r="Q27" s="33">
        <v>67.25</v>
      </c>
      <c r="R27" s="33">
        <v>53.69</v>
      </c>
      <c r="S27" s="33">
        <v>37.26</v>
      </c>
      <c r="T27" s="33">
        <v>35.630000000000003</v>
      </c>
    </row>
    <row r="28" spans="1:20" x14ac:dyDescent="0.2">
      <c r="A28" s="21" t="s">
        <v>22</v>
      </c>
      <c r="B28" s="22"/>
      <c r="C28" s="22"/>
      <c r="D28" s="29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1:20" x14ac:dyDescent="0.2">
      <c r="A29" s="21" t="s">
        <v>23</v>
      </c>
      <c r="B29" s="23"/>
      <c r="C29" s="23">
        <v>26493.78</v>
      </c>
      <c r="D29" s="29">
        <v>18195.740000000002</v>
      </c>
      <c r="E29" s="23">
        <v>11319.39</v>
      </c>
      <c r="F29" s="23">
        <v>9587.1</v>
      </c>
      <c r="G29" s="23">
        <v>10021.73</v>
      </c>
      <c r="H29" s="23">
        <v>7981.89</v>
      </c>
      <c r="I29" s="23">
        <v>5991.34</v>
      </c>
      <c r="J29" s="23">
        <v>4158.1099999999997</v>
      </c>
      <c r="K29" s="23">
        <v>4307.76</v>
      </c>
      <c r="L29" s="23">
        <v>303.99</v>
      </c>
      <c r="M29" s="23">
        <v>294.60000000000002</v>
      </c>
      <c r="N29" s="23">
        <v>303.79000000000002</v>
      </c>
      <c r="O29" s="23">
        <v>368.72</v>
      </c>
      <c r="P29" s="23">
        <v>381.86</v>
      </c>
      <c r="Q29" s="23">
        <v>155.58000000000001</v>
      </c>
      <c r="R29" s="23">
        <v>142.13999999999999</v>
      </c>
      <c r="S29" s="23">
        <v>99.57</v>
      </c>
      <c r="T29" s="23">
        <v>110.67</v>
      </c>
    </row>
    <row r="30" spans="1:20" x14ac:dyDescent="0.2">
      <c r="A30" s="21" t="s">
        <v>24</v>
      </c>
      <c r="B30" s="22"/>
      <c r="C30" s="22">
        <v>6509.77</v>
      </c>
      <c r="D30" s="29">
        <v>5819.88</v>
      </c>
      <c r="E30" s="22">
        <v>3947.63</v>
      </c>
      <c r="F30" s="22">
        <v>3216.99</v>
      </c>
      <c r="G30" s="22">
        <v>3151.83</v>
      </c>
      <c r="H30" s="22">
        <v>2726.16</v>
      </c>
      <c r="I30" s="22">
        <v>1949.86</v>
      </c>
      <c r="J30" s="22">
        <v>1496.56</v>
      </c>
      <c r="K30" s="22">
        <v>1162.0999999999999</v>
      </c>
      <c r="L30" s="22">
        <v>183.77</v>
      </c>
      <c r="M30" s="22">
        <v>187.33</v>
      </c>
      <c r="N30" s="22">
        <v>131.78</v>
      </c>
      <c r="O30" s="22">
        <v>126.67</v>
      </c>
      <c r="P30" s="22">
        <v>127.44</v>
      </c>
      <c r="Q30" s="22">
        <v>86.08</v>
      </c>
      <c r="R30" s="22">
        <v>45.73</v>
      </c>
      <c r="S30" s="22">
        <v>41.16</v>
      </c>
      <c r="T30" s="22">
        <v>14.37</v>
      </c>
    </row>
    <row r="31" spans="1:20" x14ac:dyDescent="0.2">
      <c r="A31" s="21" t="s">
        <v>25</v>
      </c>
      <c r="B31" s="23"/>
      <c r="C31" s="23">
        <v>1218.4000000000001</v>
      </c>
      <c r="D31" s="29">
        <v>811.8</v>
      </c>
      <c r="E31" s="23">
        <v>930.33</v>
      </c>
      <c r="F31" s="23">
        <v>635.74</v>
      </c>
      <c r="G31" s="23">
        <v>530.21</v>
      </c>
      <c r="H31" s="23">
        <v>433.47</v>
      </c>
      <c r="I31" s="23">
        <v>221.07</v>
      </c>
      <c r="J31" s="23">
        <v>102.52</v>
      </c>
      <c r="K31" s="23">
        <v>25.4</v>
      </c>
      <c r="L31" s="23">
        <v>22.08</v>
      </c>
      <c r="M31" s="23">
        <v>20.100000000000001</v>
      </c>
      <c r="N31" s="23">
        <v>37.76</v>
      </c>
      <c r="O31" s="23"/>
      <c r="P31" s="23"/>
      <c r="Q31" s="23"/>
      <c r="R31" s="23"/>
      <c r="S31" s="23"/>
      <c r="T31" s="23"/>
    </row>
    <row r="32" spans="1:20" x14ac:dyDescent="0.2">
      <c r="A32" s="21" t="s">
        <v>26</v>
      </c>
      <c r="B32" s="22">
        <v>45528.54</v>
      </c>
      <c r="C32" s="22">
        <v>39726.19</v>
      </c>
      <c r="D32" s="29">
        <v>28866.28</v>
      </c>
      <c r="E32" s="22">
        <v>20006.75</v>
      </c>
      <c r="F32" s="22">
        <v>16556.990000000002</v>
      </c>
      <c r="G32" s="22">
        <v>16564.68</v>
      </c>
      <c r="H32" s="22">
        <v>13615.73</v>
      </c>
      <c r="I32" s="22">
        <v>10491.17</v>
      </c>
      <c r="J32" s="22">
        <v>8080.2</v>
      </c>
      <c r="K32" s="22">
        <v>7810.02</v>
      </c>
      <c r="L32" s="22">
        <v>632.15</v>
      </c>
      <c r="M32" s="22">
        <v>641.30999999999995</v>
      </c>
      <c r="N32" s="22">
        <v>655.76</v>
      </c>
      <c r="O32" s="22">
        <v>740</v>
      </c>
      <c r="P32" s="22">
        <v>544.78</v>
      </c>
      <c r="Q32" s="22">
        <v>293.47000000000003</v>
      </c>
      <c r="R32" s="22">
        <v>220.95</v>
      </c>
      <c r="S32" s="22">
        <v>152.46</v>
      </c>
      <c r="T32" s="22">
        <v>130.07</v>
      </c>
    </row>
    <row r="33" spans="1:20" x14ac:dyDescent="0.2">
      <c r="A33" s="21" t="s">
        <v>11</v>
      </c>
      <c r="B33" s="23">
        <v>57.72</v>
      </c>
      <c r="C33" s="23">
        <v>46.459899999999998</v>
      </c>
      <c r="D33" s="29">
        <v>44.282699999999998</v>
      </c>
      <c r="E33" s="23">
        <v>20.835699999999999</v>
      </c>
      <c r="F33" s="23">
        <v>-4.6399999999999997E-2</v>
      </c>
      <c r="G33" s="23">
        <v>21.6584</v>
      </c>
      <c r="H33" s="23">
        <v>29.782800000000002</v>
      </c>
      <c r="I33" s="23">
        <v>29.837900000000001</v>
      </c>
      <c r="J33" s="23">
        <v>3.4594</v>
      </c>
      <c r="K33" s="23">
        <v>1135.4631999999999</v>
      </c>
      <c r="L33" s="23">
        <v>-1.4279999999999999</v>
      </c>
      <c r="M33" s="23">
        <v>-2.2029000000000001</v>
      </c>
      <c r="N33" s="23">
        <v>-11.384399999999999</v>
      </c>
      <c r="O33" s="23">
        <v>35.834899999999998</v>
      </c>
      <c r="P33" s="23">
        <v>85.637100000000004</v>
      </c>
      <c r="Q33" s="23">
        <v>32.821100000000001</v>
      </c>
      <c r="R33" s="23">
        <v>44.920499999999997</v>
      </c>
      <c r="S33" s="23">
        <v>17.218399999999999</v>
      </c>
      <c r="T33" s="23"/>
    </row>
    <row r="34" spans="1:20" x14ac:dyDescent="0.2">
      <c r="A34" s="21" t="s">
        <v>27</v>
      </c>
      <c r="B34" s="22"/>
      <c r="C34" s="22">
        <v>9106.34</v>
      </c>
      <c r="D34" s="29">
        <v>6497.38</v>
      </c>
      <c r="E34" s="22">
        <v>4360.4799999999996</v>
      </c>
      <c r="F34" s="22">
        <v>3264.24</v>
      </c>
      <c r="G34" s="22">
        <v>3165.69</v>
      </c>
      <c r="H34" s="22">
        <v>3772.06</v>
      </c>
      <c r="I34" s="22">
        <v>2826.08</v>
      </c>
      <c r="J34" s="22">
        <v>2867.52</v>
      </c>
      <c r="K34" s="22">
        <v>2947.12</v>
      </c>
      <c r="L34" s="22">
        <v>67.34</v>
      </c>
      <c r="M34" s="22">
        <v>66.209999999999994</v>
      </c>
      <c r="N34" s="22">
        <v>74.930000000000007</v>
      </c>
      <c r="O34" s="22">
        <v>71.77</v>
      </c>
      <c r="P34" s="22">
        <v>21.15</v>
      </c>
      <c r="Q34" s="22">
        <v>86.56</v>
      </c>
      <c r="R34" s="22">
        <v>65.260000000000005</v>
      </c>
      <c r="S34" s="22">
        <v>66.540000000000006</v>
      </c>
      <c r="T34" s="22">
        <v>55.42</v>
      </c>
    </row>
    <row r="35" spans="1:20" x14ac:dyDescent="0.2">
      <c r="A35" s="21" t="s">
        <v>28</v>
      </c>
      <c r="B35" s="23"/>
      <c r="C35" s="23">
        <v>2602.33</v>
      </c>
      <c r="D35" s="29">
        <v>2076.0500000000002</v>
      </c>
      <c r="E35" s="23">
        <v>871.77</v>
      </c>
      <c r="F35" s="23">
        <v>1223.74</v>
      </c>
      <c r="G35" s="23">
        <v>1795.96</v>
      </c>
      <c r="H35" s="23">
        <v>1850.19</v>
      </c>
      <c r="I35" s="23">
        <v>738.87</v>
      </c>
      <c r="J35" s="23">
        <v>436.2</v>
      </c>
      <c r="K35" s="23">
        <v>857.05</v>
      </c>
      <c r="L35" s="23">
        <v>9.0299999999999994</v>
      </c>
      <c r="M35" s="23">
        <v>26.89</v>
      </c>
      <c r="N35" s="23">
        <v>35.869999999999997</v>
      </c>
      <c r="O35" s="23">
        <v>138.88999999999999</v>
      </c>
      <c r="P35" s="23">
        <v>2.71</v>
      </c>
      <c r="Q35" s="23"/>
      <c r="R35" s="23"/>
      <c r="S35" s="23"/>
      <c r="T35" s="23"/>
    </row>
    <row r="36" spans="1:20" x14ac:dyDescent="0.2">
      <c r="A36" s="21" t="s">
        <v>29</v>
      </c>
      <c r="B36" s="22"/>
      <c r="C36" s="22">
        <v>11708.67</v>
      </c>
      <c r="D36" s="29">
        <v>8573.44</v>
      </c>
      <c r="E36" s="22">
        <v>5232.25</v>
      </c>
      <c r="F36" s="22">
        <v>4487.99</v>
      </c>
      <c r="G36" s="22">
        <v>4961.6400000000003</v>
      </c>
      <c r="H36" s="22">
        <v>5622.25</v>
      </c>
      <c r="I36" s="22">
        <v>3564.95</v>
      </c>
      <c r="J36" s="22">
        <v>3303.72</v>
      </c>
      <c r="K36" s="22">
        <v>3804.16</v>
      </c>
      <c r="L36" s="22">
        <v>76.37</v>
      </c>
      <c r="M36" s="22">
        <v>93.1</v>
      </c>
      <c r="N36" s="22">
        <v>110.8</v>
      </c>
      <c r="O36" s="22">
        <v>210.66</v>
      </c>
      <c r="P36" s="22">
        <v>23.86</v>
      </c>
      <c r="Q36" s="22">
        <v>86.56</v>
      </c>
      <c r="R36" s="22">
        <v>65.260000000000005</v>
      </c>
      <c r="S36" s="22">
        <v>66.540000000000006</v>
      </c>
      <c r="T36" s="22">
        <v>55.42</v>
      </c>
    </row>
    <row r="37" spans="1:20" x14ac:dyDescent="0.2">
      <c r="A37" s="21" t="s">
        <v>11</v>
      </c>
      <c r="B37" s="23"/>
      <c r="C37" s="23">
        <v>38.767899999999997</v>
      </c>
      <c r="D37" s="29">
        <v>63.857599999999998</v>
      </c>
      <c r="E37" s="23">
        <v>16.583400000000001</v>
      </c>
      <c r="F37" s="23">
        <v>-9.5463000000000005</v>
      </c>
      <c r="G37" s="23">
        <v>-11.7498</v>
      </c>
      <c r="H37" s="23">
        <v>57.709000000000003</v>
      </c>
      <c r="I37" s="23">
        <v>7.9071999999999996</v>
      </c>
      <c r="J37" s="23">
        <v>-13.155200000000001</v>
      </c>
      <c r="K37" s="23">
        <v>4881.1494000000002</v>
      </c>
      <c r="L37" s="23">
        <v>-17.9725</v>
      </c>
      <c r="M37" s="23">
        <v>-15.970800000000001</v>
      </c>
      <c r="N37" s="23">
        <v>-47.404400000000003</v>
      </c>
      <c r="O37" s="23">
        <v>782.82669999999996</v>
      </c>
      <c r="P37" s="23">
        <v>-72.433300000000003</v>
      </c>
      <c r="Q37" s="23">
        <v>32.651800000000001</v>
      </c>
      <c r="R37" s="23">
        <v>-1.9309000000000001</v>
      </c>
      <c r="S37" s="23">
        <v>20.073</v>
      </c>
      <c r="T37" s="23"/>
    </row>
    <row r="38" spans="1:20" x14ac:dyDescent="0.2">
      <c r="A38" s="21" t="s">
        <v>30</v>
      </c>
      <c r="B38" s="22"/>
      <c r="C38" s="22">
        <v>28017.52</v>
      </c>
      <c r="D38" s="29">
        <v>20292.84</v>
      </c>
      <c r="E38" s="22">
        <v>14774.5</v>
      </c>
      <c r="F38" s="22">
        <v>12069</v>
      </c>
      <c r="G38" s="22">
        <v>11603.04</v>
      </c>
      <c r="H38" s="22">
        <v>7993.49</v>
      </c>
      <c r="I38" s="22">
        <v>6926.22</v>
      </c>
      <c r="J38" s="22">
        <v>4776.4799999999996</v>
      </c>
      <c r="K38" s="22">
        <v>4005.86</v>
      </c>
      <c r="L38" s="22">
        <v>555.78</v>
      </c>
      <c r="M38" s="22">
        <v>548.21</v>
      </c>
      <c r="N38" s="22">
        <v>544.96</v>
      </c>
      <c r="O38" s="22">
        <v>529.34</v>
      </c>
      <c r="P38" s="22">
        <v>520.91999999999996</v>
      </c>
      <c r="Q38" s="22">
        <v>206.9</v>
      </c>
      <c r="R38" s="22">
        <v>155.69</v>
      </c>
      <c r="S38" s="22">
        <v>85.92</v>
      </c>
      <c r="T38" s="22">
        <v>74.650000000000006</v>
      </c>
    </row>
    <row r="39" spans="1:20" x14ac:dyDescent="0.2">
      <c r="A39" s="21" t="s">
        <v>31</v>
      </c>
      <c r="B39" s="23">
        <v>30003.99</v>
      </c>
      <c r="C39" s="23">
        <v>26389.38</v>
      </c>
      <c r="D39" s="29">
        <v>19133.89</v>
      </c>
      <c r="E39" s="23">
        <v>14261.02</v>
      </c>
      <c r="F39" s="23">
        <v>11945.21</v>
      </c>
      <c r="G39" s="23">
        <v>11488.95</v>
      </c>
      <c r="H39" s="23">
        <v>7889.22</v>
      </c>
      <c r="I39" s="23">
        <v>6926.22</v>
      </c>
      <c r="J39" s="23">
        <v>4776.4799999999996</v>
      </c>
      <c r="K39" s="23">
        <v>4005.86</v>
      </c>
      <c r="L39" s="23">
        <v>555.78</v>
      </c>
      <c r="M39" s="23">
        <v>548.21</v>
      </c>
      <c r="N39" s="23">
        <v>544.96</v>
      </c>
      <c r="O39" s="23">
        <v>529.34</v>
      </c>
      <c r="P39" s="23">
        <v>520.91999999999996</v>
      </c>
      <c r="Q39" s="23">
        <v>206.9</v>
      </c>
      <c r="R39" s="23">
        <v>155.69</v>
      </c>
      <c r="S39" s="23">
        <v>85.92</v>
      </c>
      <c r="T39" s="23">
        <v>74.650000000000006</v>
      </c>
    </row>
    <row r="40" spans="1:20" x14ac:dyDescent="0.2">
      <c r="A40" s="21" t="s">
        <v>11</v>
      </c>
      <c r="B40" s="22">
        <v>56.81</v>
      </c>
      <c r="C40" s="22">
        <v>49.390799999999999</v>
      </c>
      <c r="D40" s="29">
        <v>34.1691</v>
      </c>
      <c r="E40" s="22">
        <v>19.386900000000001</v>
      </c>
      <c r="F40" s="22">
        <v>3.9712999999999998</v>
      </c>
      <c r="G40" s="22">
        <v>45.628500000000003</v>
      </c>
      <c r="H40" s="22">
        <v>13.903700000000001</v>
      </c>
      <c r="I40" s="22">
        <v>45.006700000000002</v>
      </c>
      <c r="J40" s="22">
        <v>19.237400000000001</v>
      </c>
      <c r="K40" s="22">
        <v>620.7604</v>
      </c>
      <c r="L40" s="22">
        <v>1.3817999999999999</v>
      </c>
      <c r="M40" s="22">
        <v>0.59630000000000005</v>
      </c>
      <c r="N40" s="22">
        <v>2.9508000000000001</v>
      </c>
      <c r="O40" s="22">
        <v>1.6163000000000001</v>
      </c>
      <c r="P40" s="22">
        <v>151.7696</v>
      </c>
      <c r="Q40" s="22">
        <v>32.892099999999999</v>
      </c>
      <c r="R40" s="22">
        <v>81.203800000000001</v>
      </c>
      <c r="S40" s="22">
        <v>15.099299999999999</v>
      </c>
      <c r="T40" s="22"/>
    </row>
    <row r="41" spans="1:20" x14ac:dyDescent="0.2">
      <c r="A41" s="21" t="s">
        <v>32</v>
      </c>
      <c r="B41" s="23"/>
      <c r="C41" s="23">
        <v>7914.69</v>
      </c>
      <c r="D41" s="29">
        <v>7731.32</v>
      </c>
      <c r="E41" s="23">
        <v>8057.57</v>
      </c>
      <c r="F41" s="23">
        <v>7931.84</v>
      </c>
      <c r="G41" s="23">
        <v>7799.16</v>
      </c>
      <c r="H41" s="23">
        <v>5147.1499999999996</v>
      </c>
      <c r="I41" s="23">
        <v>5064.12</v>
      </c>
      <c r="J41" s="23">
        <v>3696.5</v>
      </c>
      <c r="K41" s="23">
        <v>3555.03</v>
      </c>
      <c r="L41" s="23">
        <v>232.34</v>
      </c>
      <c r="M41" s="23">
        <v>232.34</v>
      </c>
      <c r="N41" s="23">
        <v>232.34</v>
      </c>
      <c r="O41" s="23">
        <v>318.16000000000003</v>
      </c>
      <c r="P41" s="23">
        <v>371.5</v>
      </c>
      <c r="Q41" s="23">
        <v>90.51</v>
      </c>
      <c r="R41" s="23">
        <v>90.51</v>
      </c>
      <c r="S41" s="23">
        <v>-0.04</v>
      </c>
      <c r="T41" s="23">
        <v>-0.04</v>
      </c>
    </row>
    <row r="42" spans="1:20" x14ac:dyDescent="0.2">
      <c r="A42" s="21" t="s">
        <v>33</v>
      </c>
      <c r="B42" s="22"/>
      <c r="C42" s="22">
        <v>222.61</v>
      </c>
      <c r="D42" s="29">
        <v>174.58</v>
      </c>
      <c r="E42" s="22">
        <v>112.86</v>
      </c>
      <c r="F42" s="22">
        <v>73.31</v>
      </c>
      <c r="G42" s="22">
        <v>55.99</v>
      </c>
      <c r="H42" s="22">
        <v>36.479999999999997</v>
      </c>
      <c r="I42" s="22">
        <v>26.92</v>
      </c>
      <c r="J42" s="22">
        <v>20.28</v>
      </c>
      <c r="K42" s="22">
        <v>13.32</v>
      </c>
      <c r="L42" s="22">
        <v>13.32</v>
      </c>
      <c r="M42" s="22">
        <v>12.32</v>
      </c>
      <c r="N42" s="22">
        <v>11.76</v>
      </c>
      <c r="O42" s="22">
        <v>10.94</v>
      </c>
      <c r="P42" s="22">
        <v>9.52</v>
      </c>
      <c r="Q42" s="22">
        <v>6.64</v>
      </c>
      <c r="R42" s="22">
        <v>1.52</v>
      </c>
      <c r="S42" s="22">
        <v>6.43</v>
      </c>
      <c r="T42" s="22">
        <v>6.43</v>
      </c>
    </row>
    <row r="43" spans="1:20" x14ac:dyDescent="0.2">
      <c r="A43" s="21" t="s">
        <v>34</v>
      </c>
      <c r="B43" s="23"/>
      <c r="C43" s="23">
        <v>17152.599999999999</v>
      </c>
      <c r="D43" s="29">
        <v>10624.25</v>
      </c>
      <c r="E43" s="23">
        <v>5869.57</v>
      </c>
      <c r="F43" s="23">
        <v>3892.87</v>
      </c>
      <c r="G43" s="23">
        <v>2860.8</v>
      </c>
      <c r="H43" s="23">
        <v>2089.61</v>
      </c>
      <c r="I43" s="23">
        <v>1293.5899999999999</v>
      </c>
      <c r="J43" s="23">
        <v>850.44</v>
      </c>
      <c r="K43" s="23">
        <v>252.29</v>
      </c>
      <c r="L43" s="23">
        <v>92.94</v>
      </c>
      <c r="M43" s="23">
        <v>86.05</v>
      </c>
      <c r="N43" s="23">
        <v>83.18</v>
      </c>
      <c r="O43" s="23">
        <v>78.47</v>
      </c>
      <c r="P43" s="23">
        <v>72.319999999999993</v>
      </c>
      <c r="Q43" s="23">
        <v>59.76</v>
      </c>
      <c r="R43" s="23">
        <v>13.67</v>
      </c>
      <c r="S43" s="23">
        <v>69.099999999999994</v>
      </c>
      <c r="T43" s="23">
        <v>57.83</v>
      </c>
    </row>
    <row r="44" spans="1:20" x14ac:dyDescent="0.2">
      <c r="A44" s="21" t="s">
        <v>35</v>
      </c>
      <c r="B44" s="22"/>
      <c r="C44" s="22"/>
      <c r="D44" s="29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1:20" x14ac:dyDescent="0.2">
      <c r="A45" s="21" t="s">
        <v>36</v>
      </c>
      <c r="B45" s="23"/>
      <c r="C45" s="23">
        <v>23092.41</v>
      </c>
      <c r="D45" s="29">
        <v>22406.15</v>
      </c>
      <c r="E45" s="23">
        <v>9661.58</v>
      </c>
      <c r="F45" s="23">
        <v>10305.07</v>
      </c>
      <c r="G45" s="23">
        <v>7633.71</v>
      </c>
      <c r="H45" s="23">
        <v>7144.22</v>
      </c>
      <c r="I45" s="23">
        <v>4636.18</v>
      </c>
      <c r="J45" s="23">
        <v>5485.93</v>
      </c>
      <c r="K45" s="23">
        <v>2265.04</v>
      </c>
      <c r="L45" s="23">
        <v>148.38</v>
      </c>
      <c r="M45" s="23">
        <v>137.33000000000001</v>
      </c>
      <c r="N45" s="23">
        <v>103.96</v>
      </c>
      <c r="O45" s="23">
        <v>93.18</v>
      </c>
      <c r="P45" s="23">
        <v>68.36</v>
      </c>
      <c r="Q45" s="23">
        <v>140.01</v>
      </c>
      <c r="R45" s="23">
        <v>94.3</v>
      </c>
      <c r="S45" s="23">
        <v>69.41</v>
      </c>
      <c r="T45" s="23">
        <v>69.37</v>
      </c>
    </row>
    <row r="46" spans="1:20" x14ac:dyDescent="0.2">
      <c r="A46" s="21" t="s">
        <v>37</v>
      </c>
      <c r="B46" s="22"/>
      <c r="C46" s="22">
        <v>5454.82</v>
      </c>
      <c r="D46" s="29">
        <v>3164.58</v>
      </c>
      <c r="E46" s="22">
        <v>1897.13</v>
      </c>
      <c r="F46" s="22">
        <v>2448.94</v>
      </c>
      <c r="G46" s="22">
        <v>812.76</v>
      </c>
      <c r="H46" s="22">
        <v>21.69</v>
      </c>
      <c r="I46" s="22">
        <v>569.46</v>
      </c>
      <c r="J46" s="22">
        <v>660.01</v>
      </c>
      <c r="K46" s="22">
        <v>41.36</v>
      </c>
      <c r="L46" s="22">
        <v>33.83</v>
      </c>
      <c r="M46" s="22">
        <v>26.97</v>
      </c>
      <c r="N46" s="22">
        <v>9.11</v>
      </c>
      <c r="O46" s="22">
        <v>36.14</v>
      </c>
      <c r="P46" s="22">
        <v>-13.27</v>
      </c>
      <c r="Q46" s="22">
        <v>33.020000000000003</v>
      </c>
      <c r="R46" s="22">
        <v>32.299999999999997</v>
      </c>
      <c r="S46" s="22">
        <v>34.25</v>
      </c>
      <c r="T46" s="22">
        <v>22.97</v>
      </c>
    </row>
    <row r="47" spans="1:20" x14ac:dyDescent="0.2">
      <c r="A47" s="21" t="s">
        <v>38</v>
      </c>
      <c r="B47" s="23"/>
      <c r="C47" s="23">
        <v>1614.54</v>
      </c>
      <c r="D47" s="29">
        <v>2866.16</v>
      </c>
      <c r="E47" s="23">
        <v>1704.46</v>
      </c>
      <c r="F47" s="23">
        <v>791.83</v>
      </c>
      <c r="G47" s="23">
        <v>839.58</v>
      </c>
      <c r="H47" s="23">
        <v>956.07</v>
      </c>
      <c r="I47" s="23">
        <v>759.31</v>
      </c>
      <c r="J47" s="23">
        <v>607.73</v>
      </c>
      <c r="K47" s="23">
        <v>420.78</v>
      </c>
      <c r="L47" s="23">
        <v>35.43</v>
      </c>
      <c r="M47" s="23">
        <v>52.83</v>
      </c>
      <c r="N47" s="23">
        <v>63.45</v>
      </c>
      <c r="O47" s="23">
        <v>95.7</v>
      </c>
      <c r="P47" s="23">
        <v>27.02</v>
      </c>
      <c r="Q47" s="23">
        <v>49.97</v>
      </c>
      <c r="R47" s="23">
        <v>47.2</v>
      </c>
      <c r="S47" s="23">
        <v>12.53</v>
      </c>
      <c r="T47" s="23">
        <v>5.84</v>
      </c>
    </row>
    <row r="48" spans="1:20" x14ac:dyDescent="0.2">
      <c r="A48" s="21" t="s">
        <v>39</v>
      </c>
      <c r="B48" s="22"/>
      <c r="C48" s="22">
        <v>772.26</v>
      </c>
      <c r="D48" s="29">
        <v>2724.52</v>
      </c>
      <c r="E48" s="22">
        <v>3933.25</v>
      </c>
      <c r="F48" s="22">
        <v>5967.41</v>
      </c>
      <c r="G48" s="22">
        <v>979.98</v>
      </c>
      <c r="H48" s="22">
        <v>3727.99</v>
      </c>
      <c r="I48" s="22">
        <v>4037.7</v>
      </c>
      <c r="J48" s="22">
        <v>72.05</v>
      </c>
      <c r="K48" s="22"/>
      <c r="L48" s="22"/>
      <c r="M48" s="22">
        <v>20</v>
      </c>
      <c r="N48" s="22">
        <v>26.99</v>
      </c>
      <c r="O48" s="22"/>
      <c r="P48" s="22"/>
      <c r="Q48" s="22"/>
      <c r="R48" s="22"/>
      <c r="S48" s="22"/>
      <c r="T48" s="22"/>
    </row>
    <row r="49" spans="1:20" x14ac:dyDescent="0.2">
      <c r="A49" s="21" t="s">
        <v>40</v>
      </c>
      <c r="B49" s="23"/>
      <c r="C49" s="23">
        <v>-1304.3699999999999</v>
      </c>
      <c r="D49" s="29">
        <v>-2942</v>
      </c>
      <c r="E49" s="23">
        <v>-1176.17</v>
      </c>
      <c r="F49" s="23">
        <v>-1552.88</v>
      </c>
      <c r="G49" s="23">
        <v>-1218.5899999999999</v>
      </c>
      <c r="H49" s="23">
        <v>-872.82</v>
      </c>
      <c r="I49" s="23">
        <v>-1939.37</v>
      </c>
      <c r="J49" s="23">
        <v>-673.08</v>
      </c>
      <c r="K49" s="23">
        <v>-146.35</v>
      </c>
      <c r="L49" s="23">
        <v>-80.650000000000006</v>
      </c>
      <c r="M49" s="23">
        <v>68.38</v>
      </c>
      <c r="N49" s="23">
        <v>-68.69</v>
      </c>
      <c r="O49" s="23">
        <v>1.41</v>
      </c>
      <c r="P49" s="23">
        <v>-242.21</v>
      </c>
      <c r="Q49" s="23">
        <v>-49.47</v>
      </c>
      <c r="R49" s="23">
        <v>-47.15</v>
      </c>
      <c r="S49" s="23">
        <v>-12.53</v>
      </c>
      <c r="T49" s="23">
        <v>-5.84</v>
      </c>
    </row>
    <row r="50" spans="1:20" x14ac:dyDescent="0.2">
      <c r="A50" s="21" t="s">
        <v>41</v>
      </c>
      <c r="B50" s="22"/>
      <c r="C50" s="22">
        <v>208.28</v>
      </c>
      <c r="D50" s="29">
        <v>245.82</v>
      </c>
      <c r="E50" s="22">
        <v>260.05</v>
      </c>
      <c r="F50" s="22">
        <v>32.61</v>
      </c>
      <c r="G50" s="22">
        <v>2665.42</v>
      </c>
      <c r="H50" s="22"/>
      <c r="I50" s="22">
        <v>1523.91</v>
      </c>
      <c r="J50" s="22">
        <v>52.05</v>
      </c>
      <c r="K50" s="22">
        <v>759.56</v>
      </c>
      <c r="L50" s="22"/>
      <c r="M50" s="22"/>
      <c r="N50" s="22"/>
      <c r="O50" s="22"/>
      <c r="P50" s="22">
        <v>305.64999999999998</v>
      </c>
      <c r="Q50" s="22"/>
      <c r="R50" s="22">
        <v>47.86</v>
      </c>
      <c r="S50" s="22"/>
      <c r="T50" s="22"/>
    </row>
    <row r="51" spans="1:20" x14ac:dyDescent="0.2">
      <c r="A51" s="21" t="s">
        <v>42</v>
      </c>
      <c r="B51" s="23"/>
      <c r="C51" s="23">
        <v>860.57</v>
      </c>
      <c r="D51" s="29">
        <v>2603.86</v>
      </c>
      <c r="E51" s="23">
        <v>1522.93</v>
      </c>
      <c r="F51" s="23">
        <v>1262.22</v>
      </c>
      <c r="G51" s="23">
        <v>2202.36</v>
      </c>
      <c r="H51" s="23">
        <v>3344.74</v>
      </c>
      <c r="I51" s="23">
        <v>1564.84</v>
      </c>
      <c r="J51" s="23">
        <v>1849.86</v>
      </c>
      <c r="K51" s="23">
        <v>1004.25</v>
      </c>
      <c r="L51" s="23"/>
      <c r="M51" s="23">
        <v>20</v>
      </c>
      <c r="N51" s="23">
        <v>30</v>
      </c>
      <c r="O51" s="23">
        <v>63.17</v>
      </c>
      <c r="P51" s="23">
        <v>40</v>
      </c>
      <c r="Q51" s="23">
        <v>40</v>
      </c>
      <c r="R51" s="23">
        <v>20</v>
      </c>
      <c r="S51" s="23"/>
      <c r="T51" s="23"/>
    </row>
    <row r="52" spans="1:20" x14ac:dyDescent="0.2">
      <c r="A52" s="21" t="s">
        <v>43</v>
      </c>
      <c r="B52" s="22"/>
      <c r="C52" s="22">
        <v>-1343.11</v>
      </c>
      <c r="D52" s="29">
        <v>1492.48</v>
      </c>
      <c r="E52" s="22">
        <v>-315.89</v>
      </c>
      <c r="F52" s="22">
        <v>-1641.31</v>
      </c>
      <c r="G52" s="22">
        <v>2264.48</v>
      </c>
      <c r="H52" s="22">
        <v>1299.74</v>
      </c>
      <c r="I52" s="22">
        <v>1557.15</v>
      </c>
      <c r="J52" s="22">
        <v>136.97999999999999</v>
      </c>
      <c r="K52" s="22">
        <v>980.62</v>
      </c>
      <c r="L52" s="22">
        <v>-2.16</v>
      </c>
      <c r="M52" s="22">
        <v>-33.200000000000003</v>
      </c>
      <c r="N52" s="22">
        <v>7.14</v>
      </c>
      <c r="O52" s="22">
        <v>8.58</v>
      </c>
      <c r="P52" s="22">
        <v>244.79</v>
      </c>
      <c r="Q52" s="22">
        <v>16.79</v>
      </c>
      <c r="R52" s="22">
        <v>26.09</v>
      </c>
      <c r="S52" s="22"/>
      <c r="T52" s="22">
        <v>-19.579999999999998</v>
      </c>
    </row>
    <row r="53" spans="1:20" x14ac:dyDescent="0.2">
      <c r="A53" s="21" t="s">
        <v>44</v>
      </c>
      <c r="B53" s="23"/>
      <c r="C53" s="23">
        <v>2754.82</v>
      </c>
      <c r="D53" s="29">
        <v>1753.89</v>
      </c>
      <c r="E53" s="23">
        <v>425.37</v>
      </c>
      <c r="F53" s="23">
        <v>-680.86</v>
      </c>
      <c r="G53" s="23">
        <v>1841.31</v>
      </c>
      <c r="H53" s="23">
        <v>411.89</v>
      </c>
      <c r="I53" s="23">
        <v>195.01</v>
      </c>
      <c r="J53" s="23">
        <v>138.71</v>
      </c>
      <c r="K53" s="23">
        <v>868.91</v>
      </c>
      <c r="L53" s="23">
        <v>-48.94</v>
      </c>
      <c r="M53" s="23">
        <v>62.17</v>
      </c>
      <c r="N53" s="23">
        <v>-52.44</v>
      </c>
      <c r="O53" s="23">
        <v>46.14</v>
      </c>
      <c r="P53" s="23">
        <v>-10.69</v>
      </c>
      <c r="Q53" s="23">
        <v>0.34</v>
      </c>
      <c r="R53" s="23">
        <v>11.24</v>
      </c>
      <c r="S53" s="23">
        <v>21.72</v>
      </c>
      <c r="T53" s="23">
        <v>-2.4500000000000002</v>
      </c>
    </row>
    <row r="54" spans="1:20" x14ac:dyDescent="0.2">
      <c r="A54" s="21" t="s">
        <v>45</v>
      </c>
      <c r="B54" s="22"/>
      <c r="C54" s="22">
        <v>7742.61</v>
      </c>
      <c r="D54" s="29">
        <v>4987.79</v>
      </c>
      <c r="E54" s="22">
        <v>3233.9</v>
      </c>
      <c r="F54" s="22">
        <v>2808.53</v>
      </c>
      <c r="G54" s="22">
        <v>3489.4</v>
      </c>
      <c r="H54" s="22">
        <v>1648.08</v>
      </c>
      <c r="I54" s="22">
        <v>1236.19</v>
      </c>
      <c r="J54" s="22">
        <v>1041.18</v>
      </c>
      <c r="K54" s="22">
        <v>902.47</v>
      </c>
      <c r="L54" s="22">
        <v>33.56</v>
      </c>
      <c r="M54" s="22">
        <v>82.5</v>
      </c>
      <c r="N54" s="22">
        <v>20.34</v>
      </c>
      <c r="O54" s="22">
        <v>72.77</v>
      </c>
      <c r="P54" s="22">
        <v>26.64</v>
      </c>
      <c r="Q54" s="22">
        <v>37.33</v>
      </c>
      <c r="R54" s="22">
        <v>36.99</v>
      </c>
      <c r="S54" s="22">
        <v>25.75</v>
      </c>
      <c r="T54" s="22">
        <v>4.03</v>
      </c>
    </row>
    <row r="55" spans="1:20" x14ac:dyDescent="0.2">
      <c r="A55" s="21" t="s">
        <v>46</v>
      </c>
      <c r="B55" s="23"/>
      <c r="C55" s="23"/>
      <c r="D55" s="29">
        <v>713.21</v>
      </c>
      <c r="E55" s="23">
        <v>525.49</v>
      </c>
      <c r="F55" s="23">
        <v>492.74</v>
      </c>
      <c r="G55" s="23">
        <v>436.31</v>
      </c>
      <c r="H55" s="23">
        <v>340.26</v>
      </c>
      <c r="I55" s="23">
        <v>246.12</v>
      </c>
      <c r="J55" s="23">
        <v>203.32</v>
      </c>
      <c r="K55" s="23">
        <v>101.56</v>
      </c>
      <c r="L55" s="23">
        <v>31.22</v>
      </c>
      <c r="M55" s="23">
        <v>27.4</v>
      </c>
      <c r="N55" s="23">
        <v>24.92</v>
      </c>
      <c r="O55" s="23">
        <v>21.78</v>
      </c>
      <c r="P55" s="23">
        <v>9.6300000000000008</v>
      </c>
      <c r="Q55" s="23">
        <v>6.96</v>
      </c>
      <c r="R55" s="23">
        <v>4.25</v>
      </c>
      <c r="S55" s="23">
        <v>2.0499999999999998</v>
      </c>
      <c r="T55" s="23"/>
    </row>
    <row r="56" spans="1:20" x14ac:dyDescent="0.2">
      <c r="A56" s="21" t="s">
        <v>47</v>
      </c>
      <c r="B56" s="22"/>
      <c r="C56" s="22"/>
      <c r="D56" s="29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1:20" x14ac:dyDescent="0.2">
      <c r="A57" s="21" t="s">
        <v>48</v>
      </c>
      <c r="B57" s="23">
        <v>43.63</v>
      </c>
      <c r="C57" s="23">
        <v>27.0258</v>
      </c>
      <c r="D57" s="29">
        <v>27.027899999999999</v>
      </c>
      <c r="E57" s="23">
        <v>15.241</v>
      </c>
      <c r="F57" s="23">
        <v>10.246700000000001</v>
      </c>
      <c r="G57" s="23">
        <v>7.6332000000000004</v>
      </c>
      <c r="H57" s="23">
        <v>10.970499999999999</v>
      </c>
      <c r="I57" s="23">
        <v>7.4137000000000004</v>
      </c>
      <c r="J57" s="23">
        <v>13.045500000000001</v>
      </c>
      <c r="K57" s="23">
        <v>4.0316999999999998</v>
      </c>
      <c r="L57" s="23">
        <v>1.8089999999999999</v>
      </c>
      <c r="M57" s="23">
        <v>1.0204</v>
      </c>
      <c r="N57" s="23">
        <v>1.4984</v>
      </c>
      <c r="O57" s="23">
        <v>2.6903000000000001</v>
      </c>
      <c r="P57" s="23">
        <v>5.52</v>
      </c>
      <c r="Q57" s="23"/>
      <c r="R57" s="23"/>
      <c r="S57" s="23"/>
      <c r="T57" s="23"/>
    </row>
    <row r="58" spans="1:20" x14ac:dyDescent="0.2">
      <c r="A58" s="21" t="s">
        <v>49</v>
      </c>
      <c r="B58" s="22"/>
      <c r="C58" s="22">
        <v>31.22</v>
      </c>
      <c r="D58" s="29">
        <v>31.23</v>
      </c>
      <c r="E58" s="22">
        <v>16.579999999999998</v>
      </c>
      <c r="F58" s="22">
        <v>10.28</v>
      </c>
      <c r="G58" s="22">
        <v>9.98</v>
      </c>
      <c r="H58" s="22">
        <v>11.73</v>
      </c>
      <c r="I58" s="22">
        <v>8.2899999999999991</v>
      </c>
      <c r="J58" s="22">
        <v>14.32</v>
      </c>
      <c r="K58" s="22">
        <v>7.96</v>
      </c>
      <c r="L58" s="22">
        <v>1.87</v>
      </c>
      <c r="M58" s="22">
        <v>1.02</v>
      </c>
      <c r="N58" s="22">
        <v>1.54</v>
      </c>
      <c r="O58" s="22">
        <v>2.72</v>
      </c>
      <c r="P58" s="22">
        <v>6.59</v>
      </c>
      <c r="Q58" s="22">
        <v>28.25</v>
      </c>
      <c r="R58" s="22">
        <v>33.96</v>
      </c>
      <c r="S58" s="22">
        <v>34.64</v>
      </c>
      <c r="T58" s="22">
        <v>51.3</v>
      </c>
    </row>
    <row r="59" spans="1:20" x14ac:dyDescent="0.2">
      <c r="A59" s="21" t="s">
        <v>50</v>
      </c>
      <c r="B59" s="23"/>
      <c r="C59" s="23">
        <v>26.843</v>
      </c>
      <c r="D59" s="29">
        <v>26.488900000000001</v>
      </c>
      <c r="E59" s="23">
        <v>14.891400000000001</v>
      </c>
      <c r="F59" s="23">
        <v>8.6847999999999992</v>
      </c>
      <c r="G59" s="23">
        <v>6.3349000000000002</v>
      </c>
      <c r="H59" s="23">
        <v>9.6887000000000008</v>
      </c>
      <c r="I59" s="23">
        <v>6.2011000000000003</v>
      </c>
      <c r="J59" s="23">
        <v>12.3529</v>
      </c>
      <c r="K59" s="23">
        <v>6.6067999999999998</v>
      </c>
      <c r="L59" s="23">
        <v>8.1199999999999994E-2</v>
      </c>
      <c r="M59" s="23">
        <v>3.1099999999999999E-2</v>
      </c>
      <c r="N59" s="23">
        <v>0.48120000000000002</v>
      </c>
      <c r="O59" s="23">
        <v>0.38519999999999999</v>
      </c>
      <c r="P59" s="23">
        <v>5.13</v>
      </c>
      <c r="Q59" s="23">
        <v>24.108699999999999</v>
      </c>
      <c r="R59" s="23">
        <v>26.799199999999999</v>
      </c>
      <c r="S59" s="23">
        <v>36.125399999999999</v>
      </c>
      <c r="T59" s="23">
        <v>39.963299999999997</v>
      </c>
    </row>
    <row r="60" spans="1:20" x14ac:dyDescent="0.2">
      <c r="A60" s="21" t="s">
        <v>51</v>
      </c>
      <c r="B60" s="22"/>
      <c r="C60" s="22">
        <v>32.402299999999997</v>
      </c>
      <c r="D60" s="29">
        <v>27.027899999999999</v>
      </c>
      <c r="E60" s="22">
        <v>15.241</v>
      </c>
      <c r="F60" s="22">
        <v>10.246700000000001</v>
      </c>
      <c r="G60" s="22">
        <v>7.6332000000000004</v>
      </c>
      <c r="H60" s="22">
        <v>10.970499999999999</v>
      </c>
      <c r="I60" s="22">
        <v>7.4137000000000004</v>
      </c>
      <c r="J60" s="22">
        <v>13.045500000000001</v>
      </c>
      <c r="K60" s="22">
        <v>4.0316999999999998</v>
      </c>
      <c r="L60" s="22">
        <v>1.8089999999999999</v>
      </c>
      <c r="M60" s="22">
        <v>1.0204</v>
      </c>
      <c r="N60" s="22">
        <v>1.4984</v>
      </c>
      <c r="O60" s="22">
        <v>2.6903000000000001</v>
      </c>
      <c r="P60" s="22">
        <v>5.5240999999999998</v>
      </c>
      <c r="Q60" s="22">
        <v>24.751000000000001</v>
      </c>
      <c r="R60" s="22">
        <v>26.9223</v>
      </c>
      <c r="S60" s="22">
        <v>36.395699999999998</v>
      </c>
      <c r="T60" s="22">
        <v>40.827599999999997</v>
      </c>
    </row>
    <row r="61" spans="1:20" x14ac:dyDescent="0.2">
      <c r="A61" s="21" t="s">
        <v>52</v>
      </c>
      <c r="B61" s="23"/>
      <c r="C61" s="23">
        <v>22.0716</v>
      </c>
      <c r="D61" s="29">
        <v>21.982600000000001</v>
      </c>
      <c r="E61" s="23">
        <v>12.0756</v>
      </c>
      <c r="F61" s="23">
        <v>7.4493999999999998</v>
      </c>
      <c r="G61" s="23">
        <v>5.8746</v>
      </c>
      <c r="H61" s="23">
        <v>7.2710999999999997</v>
      </c>
      <c r="I61" s="23">
        <v>5.5298999999999996</v>
      </c>
      <c r="J61" s="23">
        <v>7.8428000000000004</v>
      </c>
      <c r="K61" s="23">
        <v>3.8262</v>
      </c>
      <c r="L61" s="23">
        <v>1.579</v>
      </c>
      <c r="M61" s="23">
        <v>0.86260000000000003</v>
      </c>
      <c r="N61" s="23">
        <v>1.17</v>
      </c>
      <c r="O61" s="23">
        <v>2.2168999999999999</v>
      </c>
      <c r="P61" s="23">
        <v>6.8657000000000004</v>
      </c>
      <c r="Q61" s="23">
        <v>19.9102</v>
      </c>
      <c r="R61" s="23">
        <v>22.450399999999998</v>
      </c>
      <c r="S61" s="23">
        <v>22.137</v>
      </c>
      <c r="T61" s="23">
        <v>23.432400000000001</v>
      </c>
    </row>
    <row r="62" spans="1:20" x14ac:dyDescent="0.2">
      <c r="A62" s="21" t="s">
        <v>53</v>
      </c>
      <c r="B62" s="22"/>
      <c r="C62" s="22">
        <v>28.264700000000001</v>
      </c>
      <c r="D62" s="29">
        <v>27.494299999999999</v>
      </c>
      <c r="E62" s="22">
        <v>14.4572</v>
      </c>
      <c r="F62" s="22">
        <v>8.9071999999999996</v>
      </c>
      <c r="G62" s="22">
        <v>7.5861000000000001</v>
      </c>
      <c r="H62" s="22">
        <v>9.6379000000000001</v>
      </c>
      <c r="I62" s="22">
        <v>7.3129999999999997</v>
      </c>
      <c r="J62" s="22">
        <v>11.504799999999999</v>
      </c>
      <c r="K62" s="22">
        <v>6.2068000000000003</v>
      </c>
      <c r="L62" s="22">
        <v>1.6935</v>
      </c>
      <c r="M62" s="22">
        <v>0.81140000000000001</v>
      </c>
      <c r="N62" s="22">
        <v>0.78280000000000005</v>
      </c>
      <c r="O62" s="22">
        <v>1.7062999999999999</v>
      </c>
      <c r="P62" s="22">
        <v>6.6749999999999998</v>
      </c>
      <c r="Q62" s="22">
        <v>25.1067</v>
      </c>
      <c r="R62" s="22">
        <v>32.532200000000003</v>
      </c>
      <c r="S62" s="22">
        <v>38.996099999999998</v>
      </c>
      <c r="T62" s="22">
        <v>40.827599999999997</v>
      </c>
    </row>
    <row r="63" spans="1:20" x14ac:dyDescent="0.2">
      <c r="A63" s="21" t="s">
        <v>54</v>
      </c>
      <c r="B63" s="23"/>
      <c r="C63" s="23">
        <v>40.741100000000003</v>
      </c>
      <c r="D63" s="29">
        <v>33.805</v>
      </c>
      <c r="E63" s="23">
        <v>32.9923</v>
      </c>
      <c r="F63" s="23">
        <v>29.312000000000001</v>
      </c>
      <c r="G63" s="23">
        <v>25.573799999999999</v>
      </c>
      <c r="H63" s="23">
        <v>25.428899999999999</v>
      </c>
      <c r="I63" s="23">
        <v>27.111999999999998</v>
      </c>
      <c r="J63" s="23">
        <v>27.2742</v>
      </c>
      <c r="K63" s="23">
        <v>26.794799999999999</v>
      </c>
      <c r="L63" s="23">
        <v>30.559200000000001</v>
      </c>
      <c r="M63" s="23">
        <v>27.1477</v>
      </c>
      <c r="N63" s="23">
        <v>32.460999999999999</v>
      </c>
      <c r="O63" s="23">
        <v>40.511000000000003</v>
      </c>
      <c r="P63" s="23">
        <v>48.686599999999999</v>
      </c>
      <c r="Q63" s="23">
        <v>50.184399999999997</v>
      </c>
      <c r="R63" s="23">
        <v>50.796199999999999</v>
      </c>
      <c r="S63" s="23">
        <v>49.769399999999997</v>
      </c>
      <c r="T63" s="23">
        <v>48.475900000000003</v>
      </c>
    </row>
    <row r="64" spans="1:20" x14ac:dyDescent="0.2">
      <c r="A64" s="21" t="s">
        <v>55</v>
      </c>
      <c r="B64" s="22"/>
      <c r="C64" s="22">
        <v>30.273099999999999</v>
      </c>
      <c r="D64" s="29">
        <v>22.511700000000001</v>
      </c>
      <c r="E64" s="22">
        <v>20.5976</v>
      </c>
      <c r="F64" s="22">
        <v>12.795199999999999</v>
      </c>
      <c r="G64" s="22">
        <v>11.5198</v>
      </c>
      <c r="H64" s="22">
        <v>12.4323</v>
      </c>
      <c r="I64" s="22">
        <v>10.7928</v>
      </c>
      <c r="J64" s="22">
        <v>12.0845</v>
      </c>
      <c r="K64" s="22">
        <v>6.8518999999999997</v>
      </c>
      <c r="L64" s="22">
        <v>7.6387</v>
      </c>
      <c r="M64" s="22">
        <v>4.6074999999999999</v>
      </c>
      <c r="N64" s="22">
        <v>6.8764000000000003</v>
      </c>
      <c r="O64" s="22">
        <v>15.731299999999999</v>
      </c>
      <c r="P64" s="22">
        <v>24.666499999999999</v>
      </c>
      <c r="Q64" s="22">
        <v>31.5959</v>
      </c>
      <c r="R64" s="22">
        <v>33.927</v>
      </c>
      <c r="S64" s="22">
        <v>34.602499999999999</v>
      </c>
      <c r="T64" s="22">
        <v>34.401200000000003</v>
      </c>
    </row>
    <row r="65" spans="1:20" x14ac:dyDescent="0.2">
      <c r="A65" s="21" t="s">
        <v>56</v>
      </c>
      <c r="B65" s="23"/>
      <c r="C65" s="23">
        <v>28.3294</v>
      </c>
      <c r="D65" s="29">
        <v>21.240100000000002</v>
      </c>
      <c r="E65" s="23">
        <v>19.8141</v>
      </c>
      <c r="F65" s="23">
        <v>10.759600000000001</v>
      </c>
      <c r="G65" s="23">
        <v>9.4577000000000009</v>
      </c>
      <c r="H65" s="23">
        <v>10.842700000000001</v>
      </c>
      <c r="I65" s="23">
        <v>9.0274999999999999</v>
      </c>
      <c r="J65" s="23">
        <v>11.4429</v>
      </c>
      <c r="K65" s="23">
        <v>11.228199999999999</v>
      </c>
      <c r="L65" s="23">
        <v>0.34310000000000002</v>
      </c>
      <c r="M65" s="23">
        <v>0.1406</v>
      </c>
      <c r="N65" s="23">
        <v>2.2082000000000002</v>
      </c>
      <c r="O65" s="23">
        <v>2.2524000000000002</v>
      </c>
      <c r="P65" s="23">
        <v>22.927499999999998</v>
      </c>
      <c r="Q65" s="23">
        <v>30.7761</v>
      </c>
      <c r="R65" s="23">
        <v>33.771999999999998</v>
      </c>
      <c r="S65" s="23">
        <v>34.345599999999997</v>
      </c>
      <c r="T65" s="23">
        <v>33.673000000000002</v>
      </c>
    </row>
    <row r="66" spans="1:20" x14ac:dyDescent="0.2">
      <c r="A66" s="21" t="s">
        <v>57</v>
      </c>
      <c r="B66" s="22"/>
      <c r="C66" s="22"/>
      <c r="D66" s="29">
        <v>24.642099999999999</v>
      </c>
      <c r="E66" s="22">
        <v>20.010300000000001</v>
      </c>
      <c r="F66" s="22">
        <v>13.8162</v>
      </c>
      <c r="G66" s="22">
        <v>11.709300000000001</v>
      </c>
      <c r="H66" s="22">
        <v>11.814500000000001</v>
      </c>
      <c r="I66" s="22">
        <v>11.731299999999999</v>
      </c>
      <c r="J66" s="22">
        <v>14.356299999999999</v>
      </c>
      <c r="K66" s="22">
        <v>14.5526</v>
      </c>
      <c r="L66" s="22">
        <v>-5.2506000000000004</v>
      </c>
      <c r="M66" s="22">
        <v>-3.2686000000000002</v>
      </c>
      <c r="N66" s="22">
        <v>-3.5842999999999998</v>
      </c>
      <c r="O66" s="22">
        <v>-0.93359999999999999</v>
      </c>
      <c r="P66" s="22">
        <v>23.698899999999998</v>
      </c>
      <c r="Q66" s="22">
        <v>37.196800000000003</v>
      </c>
      <c r="R66" s="22">
        <v>40.024299999999997</v>
      </c>
      <c r="S66" s="22">
        <v>38.963999999999999</v>
      </c>
      <c r="T66" s="22">
        <v>40.215200000000003</v>
      </c>
    </row>
    <row r="67" spans="1:20" x14ac:dyDescent="0.2">
      <c r="A67" s="21" t="s">
        <v>58</v>
      </c>
      <c r="B67" s="23"/>
      <c r="C67" s="23"/>
      <c r="D67" s="29">
        <v>27.631</v>
      </c>
      <c r="E67" s="23">
        <v>24.9132</v>
      </c>
      <c r="F67" s="23">
        <v>18.926600000000001</v>
      </c>
      <c r="G67" s="23">
        <v>17.379100000000001</v>
      </c>
      <c r="H67" s="23">
        <v>16.641200000000001</v>
      </c>
      <c r="I67" s="23">
        <v>16.904499999999999</v>
      </c>
      <c r="J67" s="23">
        <v>18.299499999999998</v>
      </c>
      <c r="K67" s="23">
        <v>18.8614</v>
      </c>
      <c r="L67" s="23">
        <v>18.4724</v>
      </c>
      <c r="M67" s="23">
        <v>19.296099999999999</v>
      </c>
      <c r="N67" s="23">
        <v>17.400300000000001</v>
      </c>
      <c r="O67" s="23">
        <v>23.125699999999998</v>
      </c>
      <c r="P67" s="23">
        <v>31.9559</v>
      </c>
      <c r="Q67" s="23">
        <v>41.491300000000003</v>
      </c>
      <c r="R67" s="23">
        <v>43.461100000000002</v>
      </c>
      <c r="S67" s="23">
        <v>41.234000000000002</v>
      </c>
      <c r="T67" s="23">
        <v>40.215200000000003</v>
      </c>
    </row>
    <row r="68" spans="1:20" x14ac:dyDescent="0.2">
      <c r="A68" s="21" t="s">
        <v>59</v>
      </c>
      <c r="B68" s="22"/>
      <c r="C68" s="22">
        <v>29.473400000000002</v>
      </c>
      <c r="D68" s="29">
        <v>29.700500000000002</v>
      </c>
      <c r="E68" s="22">
        <v>26.1524</v>
      </c>
      <c r="F68" s="22">
        <v>27.106300000000001</v>
      </c>
      <c r="G68" s="22">
        <v>29.953099999999999</v>
      </c>
      <c r="H68" s="22">
        <v>41.292299999999997</v>
      </c>
      <c r="I68" s="22">
        <v>33.980499999999999</v>
      </c>
      <c r="J68" s="22">
        <v>40.886600000000001</v>
      </c>
      <c r="K68" s="22">
        <v>48.7087</v>
      </c>
      <c r="L68" s="22">
        <v>12.081099999999999</v>
      </c>
      <c r="M68" s="22">
        <v>14.517799999999999</v>
      </c>
      <c r="N68" s="22">
        <v>16.8965</v>
      </c>
      <c r="O68" s="22">
        <v>28.4681</v>
      </c>
      <c r="P68" s="22">
        <v>4.3802000000000003</v>
      </c>
      <c r="Q68" s="22">
        <v>29.496700000000001</v>
      </c>
      <c r="R68" s="22">
        <v>29.534400000000002</v>
      </c>
      <c r="S68" s="22">
        <v>43.644100000000002</v>
      </c>
      <c r="T68" s="22">
        <v>42.606499999999997</v>
      </c>
    </row>
    <row r="69" spans="1:20" x14ac:dyDescent="0.2">
      <c r="A69" s="21" t="s">
        <v>60</v>
      </c>
      <c r="B69" s="23"/>
      <c r="C69" s="23">
        <v>0.72909999999999997</v>
      </c>
      <c r="D69" s="29">
        <v>0.97650000000000003</v>
      </c>
      <c r="E69" s="23">
        <v>0.58630000000000004</v>
      </c>
      <c r="F69" s="23">
        <v>0.58220000000000005</v>
      </c>
      <c r="G69" s="23">
        <v>0.51</v>
      </c>
      <c r="H69" s="23">
        <v>0.58489999999999998</v>
      </c>
      <c r="I69" s="23">
        <v>0.51239999999999997</v>
      </c>
      <c r="J69" s="23">
        <v>0.64900000000000002</v>
      </c>
      <c r="K69" s="23">
        <v>0.55840000000000001</v>
      </c>
      <c r="L69" s="23">
        <v>0.20669999999999999</v>
      </c>
      <c r="M69" s="23">
        <v>0.18720000000000001</v>
      </c>
      <c r="N69" s="23">
        <v>0.17019999999999999</v>
      </c>
      <c r="O69" s="23">
        <v>0.1409</v>
      </c>
      <c r="P69" s="23">
        <v>0.27829999999999999</v>
      </c>
      <c r="Q69" s="23">
        <v>0.63019999999999998</v>
      </c>
      <c r="R69" s="23">
        <v>0.66169999999999995</v>
      </c>
      <c r="S69" s="23">
        <v>0.63980000000000004</v>
      </c>
      <c r="T69" s="23">
        <v>0.68120000000000003</v>
      </c>
    </row>
    <row r="70" spans="1:20" x14ac:dyDescent="0.2">
      <c r="A70" s="21" t="s">
        <v>61</v>
      </c>
      <c r="B70" s="22"/>
      <c r="C70" s="22">
        <v>92.35</v>
      </c>
      <c r="D70" s="29">
        <v>93.9</v>
      </c>
      <c r="E70" s="22">
        <v>90.14</v>
      </c>
      <c r="F70" s="22">
        <v>106.88</v>
      </c>
      <c r="G70" s="22">
        <v>99.2</v>
      </c>
      <c r="H70" s="22">
        <v>101.34</v>
      </c>
      <c r="I70" s="22">
        <v>97.45</v>
      </c>
      <c r="J70" s="22">
        <v>106.39</v>
      </c>
      <c r="K70" s="22">
        <v>96.1</v>
      </c>
      <c r="L70" s="22">
        <v>112.73</v>
      </c>
      <c r="M70" s="22">
        <v>113.12</v>
      </c>
      <c r="N70" s="22">
        <v>87.54</v>
      </c>
      <c r="O70" s="22">
        <v>102.94</v>
      </c>
      <c r="P70" s="22">
        <v>58.6</v>
      </c>
      <c r="Q70" s="22">
        <v>86.39</v>
      </c>
      <c r="R70" s="22">
        <v>76.33</v>
      </c>
      <c r="S70" s="22">
        <v>76.81</v>
      </c>
      <c r="T70" s="22">
        <v>78.3</v>
      </c>
    </row>
    <row r="71" spans="1:20" x14ac:dyDescent="0.2">
      <c r="A71" s="21" t="s">
        <v>62</v>
      </c>
      <c r="B71" s="23"/>
      <c r="C71" s="23"/>
      <c r="D71" s="29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 spans="1:20" x14ac:dyDescent="0.2">
      <c r="A72" s="21" t="s">
        <v>63</v>
      </c>
      <c r="B72" s="22">
        <v>9.8000000000000007</v>
      </c>
      <c r="C72" s="22">
        <v>6.48</v>
      </c>
      <c r="D72" s="29">
        <v>4.72</v>
      </c>
      <c r="E72" s="22">
        <v>2.8</v>
      </c>
      <c r="F72" s="22">
        <v>1.54</v>
      </c>
      <c r="G72" s="22">
        <v>1.21</v>
      </c>
      <c r="H72" s="22">
        <v>1.23</v>
      </c>
      <c r="I72" s="22">
        <v>0.73</v>
      </c>
      <c r="J72" s="22">
        <v>1.36</v>
      </c>
      <c r="K72" s="22">
        <v>0.5</v>
      </c>
      <c r="L72" s="22">
        <v>0.05</v>
      </c>
      <c r="M72" s="22">
        <v>0.03</v>
      </c>
      <c r="N72" s="22">
        <v>0.04</v>
      </c>
      <c r="O72" s="22">
        <v>0.12</v>
      </c>
      <c r="P72" s="22">
        <v>0.46</v>
      </c>
      <c r="Q72" s="22">
        <v>1.02</v>
      </c>
      <c r="R72" s="22">
        <v>0.89</v>
      </c>
      <c r="S72" s="22">
        <v>0.69</v>
      </c>
      <c r="T72" s="22">
        <v>0.68</v>
      </c>
    </row>
    <row r="73" spans="1:20" x14ac:dyDescent="0.2">
      <c r="A73" s="21" t="s">
        <v>64</v>
      </c>
      <c r="B73" s="23"/>
      <c r="C73" s="23">
        <v>6.39</v>
      </c>
      <c r="D73" s="29">
        <v>4.63</v>
      </c>
      <c r="E73" s="23">
        <v>2.76</v>
      </c>
      <c r="F73" s="23">
        <v>1.54</v>
      </c>
      <c r="G73" s="23">
        <v>1.21</v>
      </c>
      <c r="H73" s="23">
        <v>1.22</v>
      </c>
      <c r="I73" s="23">
        <v>0.73</v>
      </c>
      <c r="J73" s="23">
        <v>1.33</v>
      </c>
      <c r="K73" s="23">
        <v>0.5</v>
      </c>
      <c r="L73" s="23">
        <v>0.05</v>
      </c>
      <c r="M73" s="23">
        <v>0.03</v>
      </c>
      <c r="N73" s="23">
        <v>0.04</v>
      </c>
      <c r="O73" s="23">
        <v>0.12</v>
      </c>
      <c r="P73" s="23">
        <v>0.46</v>
      </c>
      <c r="Q73" s="23">
        <v>1.02</v>
      </c>
      <c r="R73" s="23">
        <v>0.89</v>
      </c>
      <c r="S73" s="23">
        <v>0.69</v>
      </c>
      <c r="T73" s="23">
        <v>0.68</v>
      </c>
    </row>
    <row r="74" spans="1:20" x14ac:dyDescent="0.2">
      <c r="A74" s="21" t="s">
        <v>65</v>
      </c>
      <c r="B74" s="22"/>
      <c r="C74" s="22">
        <v>6.4187000000000003</v>
      </c>
      <c r="D74" s="29">
        <v>4.6125999999999996</v>
      </c>
      <c r="E74" s="22">
        <v>2.7073</v>
      </c>
      <c r="F74" s="22">
        <v>1.5282</v>
      </c>
      <c r="G74" s="22">
        <v>1.0961000000000001</v>
      </c>
      <c r="H74" s="22">
        <v>1.2136</v>
      </c>
      <c r="I74" s="22">
        <v>0.72</v>
      </c>
      <c r="J74" s="22">
        <v>1.3106</v>
      </c>
      <c r="K74" s="22">
        <v>0.34079999999999999</v>
      </c>
      <c r="L74" s="22">
        <v>4.65E-2</v>
      </c>
      <c r="M74" s="22">
        <v>2.5899999999999999E-2</v>
      </c>
      <c r="N74" s="22">
        <v>3.78E-2</v>
      </c>
      <c r="O74" s="22">
        <v>0.1187</v>
      </c>
      <c r="P74" s="22">
        <v>0.43159999999999998</v>
      </c>
      <c r="Q74" s="22">
        <v>1.0242</v>
      </c>
      <c r="R74" s="22">
        <v>0.83830000000000005</v>
      </c>
      <c r="S74" s="22">
        <v>2.9973999999999998</v>
      </c>
      <c r="T74" s="22">
        <v>2.9213</v>
      </c>
    </row>
    <row r="75" spans="1:20" x14ac:dyDescent="0.2">
      <c r="A75" s="21" t="s">
        <v>66</v>
      </c>
      <c r="B75" s="23"/>
      <c r="C75" s="23"/>
      <c r="D75" s="29">
        <v>4.62</v>
      </c>
      <c r="E75" s="23">
        <v>2.74</v>
      </c>
      <c r="F75" s="23">
        <v>1.31</v>
      </c>
      <c r="G75" s="23">
        <v>1.01</v>
      </c>
      <c r="H75" s="23">
        <v>1.0900000000000001</v>
      </c>
      <c r="I75" s="23">
        <v>0.61</v>
      </c>
      <c r="J75" s="23">
        <v>1.28</v>
      </c>
      <c r="K75" s="23">
        <v>0.82</v>
      </c>
      <c r="L75" s="23">
        <v>3.0000000000000001E-3</v>
      </c>
      <c r="M75" s="23">
        <v>1E-3</v>
      </c>
      <c r="N75" s="23">
        <v>0.01</v>
      </c>
      <c r="O75" s="23">
        <v>0.02</v>
      </c>
      <c r="P75" s="23">
        <v>0.43</v>
      </c>
      <c r="Q75" s="23">
        <v>1</v>
      </c>
      <c r="R75" s="23">
        <v>0.89</v>
      </c>
      <c r="S75" s="23">
        <v>0.69</v>
      </c>
      <c r="T75" s="23">
        <v>0.66</v>
      </c>
    </row>
    <row r="76" spans="1:20" x14ac:dyDescent="0.2">
      <c r="A76" s="21" t="s">
        <v>67</v>
      </c>
      <c r="B76" s="22"/>
      <c r="C76" s="22">
        <v>23.750299999999999</v>
      </c>
      <c r="D76" s="29">
        <v>17.066099999999999</v>
      </c>
      <c r="E76" s="22">
        <v>17.763500000000001</v>
      </c>
      <c r="F76" s="22">
        <v>14.913600000000001</v>
      </c>
      <c r="G76" s="22">
        <v>14.359500000000001</v>
      </c>
      <c r="H76" s="22">
        <v>11.0623</v>
      </c>
      <c r="I76" s="22">
        <v>9.7119</v>
      </c>
      <c r="J76" s="22">
        <v>10.046099999999999</v>
      </c>
      <c r="K76" s="22">
        <v>8.4536999999999995</v>
      </c>
      <c r="L76" s="22">
        <v>2.5729000000000002</v>
      </c>
      <c r="M76" s="22">
        <v>2.5379</v>
      </c>
      <c r="N76" s="22">
        <v>2.5228000000000002</v>
      </c>
      <c r="O76" s="22">
        <v>4.4108999999999998</v>
      </c>
      <c r="P76" s="22">
        <v>7.8133999999999997</v>
      </c>
      <c r="Q76" s="22">
        <v>4.1380999999999997</v>
      </c>
      <c r="R76" s="22">
        <v>3.1137999999999999</v>
      </c>
      <c r="S76" s="22">
        <v>8.2356999999999996</v>
      </c>
      <c r="T76" s="22">
        <v>7.1553000000000004</v>
      </c>
    </row>
    <row r="77" spans="1:20" x14ac:dyDescent="0.2">
      <c r="A77" s="21" t="s">
        <v>68</v>
      </c>
      <c r="B77" s="23"/>
      <c r="C77" s="23">
        <v>22.504200000000001</v>
      </c>
      <c r="D77" s="29">
        <v>21.283300000000001</v>
      </c>
      <c r="E77" s="23">
        <v>13.350300000000001</v>
      </c>
      <c r="F77" s="23">
        <v>12.037800000000001</v>
      </c>
      <c r="G77" s="23">
        <v>9.6181000000000001</v>
      </c>
      <c r="H77" s="23">
        <v>9.8849</v>
      </c>
      <c r="I77" s="23">
        <v>6.6711999999999998</v>
      </c>
      <c r="J77" s="23">
        <v>10.845000000000001</v>
      </c>
      <c r="K77" s="23">
        <v>4.9743000000000004</v>
      </c>
      <c r="L77" s="23">
        <v>0.60929999999999995</v>
      </c>
      <c r="M77" s="23">
        <v>0.56210000000000004</v>
      </c>
      <c r="N77" s="23">
        <v>0.54969999999999997</v>
      </c>
      <c r="O77" s="23">
        <v>0.75429999999999997</v>
      </c>
      <c r="P77" s="23">
        <v>1.7498</v>
      </c>
      <c r="Q77" s="23">
        <v>3.2416</v>
      </c>
      <c r="R77" s="23">
        <v>2.4708999999999999</v>
      </c>
      <c r="S77" s="23">
        <v>8.6624999999999996</v>
      </c>
      <c r="T77" s="23">
        <v>8.4918999999999993</v>
      </c>
    </row>
    <row r="78" spans="1:20" x14ac:dyDescent="0.2">
      <c r="A78" s="21" t="s">
        <v>69</v>
      </c>
      <c r="B78" s="22"/>
      <c r="C78" s="22">
        <v>4.9093</v>
      </c>
      <c r="D78" s="29">
        <v>2.8226</v>
      </c>
      <c r="E78" s="22">
        <v>2.3631000000000002</v>
      </c>
      <c r="F78" s="22">
        <v>3.0575000000000001</v>
      </c>
      <c r="G78" s="22">
        <v>1.0158</v>
      </c>
      <c r="H78" s="22">
        <v>3.04E-2</v>
      </c>
      <c r="I78" s="22">
        <v>0.79849999999999999</v>
      </c>
      <c r="J78" s="22">
        <v>1.3882000000000001</v>
      </c>
      <c r="K78" s="22">
        <v>8.7300000000000003E-2</v>
      </c>
      <c r="L78" s="22">
        <v>0.15659999999999999</v>
      </c>
      <c r="M78" s="22">
        <v>0.12479999999999999</v>
      </c>
      <c r="N78" s="22">
        <v>4.2200000000000001E-2</v>
      </c>
      <c r="O78" s="22">
        <v>0.30109999999999998</v>
      </c>
      <c r="P78" s="22">
        <v>-0.2</v>
      </c>
      <c r="Q78" s="22">
        <v>0.66</v>
      </c>
      <c r="R78" s="22">
        <v>0.65</v>
      </c>
      <c r="S78" s="22">
        <v>3.28</v>
      </c>
      <c r="T78" s="22">
        <v>2.2000000000000002</v>
      </c>
    </row>
    <row r="79" spans="1:20" x14ac:dyDescent="0.2">
      <c r="A79" s="21" t="s">
        <v>70</v>
      </c>
      <c r="B79" s="23"/>
      <c r="C79" s="23">
        <v>2.4792999999999998</v>
      </c>
      <c r="D79" s="29">
        <v>1.5643</v>
      </c>
      <c r="E79" s="23">
        <v>0.52980000000000005</v>
      </c>
      <c r="F79" s="23">
        <v>-0.85009999999999997</v>
      </c>
      <c r="G79" s="23">
        <v>2.3014000000000001</v>
      </c>
      <c r="H79" s="23">
        <v>0.5776</v>
      </c>
      <c r="I79" s="23">
        <v>0.27339999999999998</v>
      </c>
      <c r="J79" s="23">
        <v>0.29170000000000001</v>
      </c>
      <c r="K79" s="23">
        <v>1.8337000000000001</v>
      </c>
      <c r="L79" s="23">
        <v>-0.2266</v>
      </c>
      <c r="M79" s="23">
        <v>0.2878</v>
      </c>
      <c r="N79" s="23">
        <v>-0.2427</v>
      </c>
      <c r="O79" s="23">
        <v>0.38440000000000002</v>
      </c>
      <c r="P79" s="23">
        <v>-0.16039999999999999</v>
      </c>
      <c r="Q79" s="23">
        <v>6.7000000000000002E-3</v>
      </c>
      <c r="R79" s="23">
        <v>0.2248</v>
      </c>
      <c r="S79" s="23">
        <v>2.0817999999999999</v>
      </c>
      <c r="T79" s="23">
        <v>-0.23469999999999999</v>
      </c>
    </row>
    <row r="80" spans="1:20" x14ac:dyDescent="0.2">
      <c r="A80" s="21" t="s">
        <v>71</v>
      </c>
      <c r="B80" s="22"/>
      <c r="C80" s="22">
        <v>3.2616999999999998</v>
      </c>
      <c r="D80" s="29">
        <v>-1.1648000000000001</v>
      </c>
      <c r="E80" s="22">
        <v>0.81720000000000004</v>
      </c>
      <c r="F80" s="22">
        <v>2.2961999999999998</v>
      </c>
      <c r="G80" s="22">
        <v>-0.372</v>
      </c>
      <c r="H80" s="22">
        <v>-1.2781</v>
      </c>
      <c r="I80" s="22">
        <v>-2.3548</v>
      </c>
      <c r="J80" s="22">
        <v>0.47549999999999998</v>
      </c>
      <c r="K80" s="22">
        <v>-2.1888000000000001</v>
      </c>
      <c r="L80" s="22">
        <v>-0.28649999999999998</v>
      </c>
      <c r="M80" s="22">
        <v>-0.10440000000000001</v>
      </c>
      <c r="N80" s="22">
        <v>-0.27379999999999999</v>
      </c>
      <c r="O80" s="22">
        <v>-0.5202</v>
      </c>
      <c r="P80" s="22">
        <v>-0.60189999999999999</v>
      </c>
      <c r="Q80" s="22">
        <v>-6.1899999999999997E-2</v>
      </c>
      <c r="R80" s="22">
        <v>-1.1162000000000001</v>
      </c>
      <c r="S80" s="22">
        <v>6.4356999999999998</v>
      </c>
      <c r="T80" s="22"/>
    </row>
    <row r="81" spans="1:20" x14ac:dyDescent="0.2">
      <c r="A81" s="21" t="s">
        <v>72</v>
      </c>
      <c r="B81" s="23"/>
      <c r="C81" s="23">
        <v>65.882000000000005</v>
      </c>
      <c r="D81" s="29">
        <v>29.906199999999998</v>
      </c>
      <c r="E81" s="23">
        <v>54.366</v>
      </c>
      <c r="F81" s="23">
        <v>18.513999999999999</v>
      </c>
      <c r="G81" s="23">
        <v>41.181600000000003</v>
      </c>
      <c r="H81" s="23">
        <v>48.011400000000002</v>
      </c>
      <c r="I81" s="23">
        <v>74.516499999999994</v>
      </c>
      <c r="J81" s="23">
        <v>37.443800000000003</v>
      </c>
      <c r="K81" s="23">
        <v>209.6739</v>
      </c>
      <c r="L81" s="23">
        <v>341.27640000000002</v>
      </c>
      <c r="M81" s="23">
        <v>-8355.4691000000003</v>
      </c>
      <c r="N81" s="23">
        <v>-3859.9185000000002</v>
      </c>
      <c r="O81" s="23">
        <v>81.713499999999996</v>
      </c>
      <c r="P81" s="23">
        <v>24.424499999999998</v>
      </c>
      <c r="Q81" s="23"/>
      <c r="R81" s="23"/>
      <c r="S81" s="23"/>
      <c r="T81" s="23"/>
    </row>
    <row r="82" spans="1:20" x14ac:dyDescent="0.2">
      <c r="A82" s="21" t="s">
        <v>73</v>
      </c>
      <c r="B82" s="22"/>
      <c r="C82" s="22">
        <v>86.732600000000005</v>
      </c>
      <c r="D82" s="29">
        <v>63.709899999999998</v>
      </c>
      <c r="E82" s="22">
        <v>74.058599999999998</v>
      </c>
      <c r="F82" s="22">
        <v>24.687100000000001</v>
      </c>
      <c r="G82" s="22">
        <v>39.289099999999998</v>
      </c>
      <c r="H82" s="22">
        <v>70.637699999999995</v>
      </c>
      <c r="I82" s="22">
        <v>59.736800000000002</v>
      </c>
      <c r="J82" s="22">
        <v>119.7873</v>
      </c>
      <c r="K82" s="22">
        <v>2757.1390000000001</v>
      </c>
      <c r="L82" s="22">
        <v>919.03570000000002</v>
      </c>
      <c r="M82" s="22">
        <v>599.44899999999996</v>
      </c>
      <c r="N82" s="22">
        <v>140.30690000000001</v>
      </c>
      <c r="O82" s="22">
        <v>50.461500000000001</v>
      </c>
      <c r="P82" s="22">
        <v>21.376899999999999</v>
      </c>
      <c r="Q82" s="22"/>
      <c r="R82" s="22"/>
      <c r="S82" s="22"/>
      <c r="T82" s="22"/>
    </row>
    <row r="83" spans="1:20" x14ac:dyDescent="0.2">
      <c r="A83" s="21" t="s">
        <v>74</v>
      </c>
      <c r="B83" s="23"/>
      <c r="C83" s="23">
        <v>19.6568</v>
      </c>
      <c r="D83" s="29">
        <v>7.8391000000000002</v>
      </c>
      <c r="E83" s="23">
        <v>6.68</v>
      </c>
      <c r="F83" s="23">
        <v>1.829</v>
      </c>
      <c r="G83" s="23">
        <v>3.9786999999999999</v>
      </c>
      <c r="H83" s="23">
        <v>4.7790999999999997</v>
      </c>
      <c r="I83" s="23">
        <v>5.5248999999999997</v>
      </c>
      <c r="J83" s="23">
        <v>4.2633999999999999</v>
      </c>
      <c r="K83" s="23">
        <v>6.5595999999999997</v>
      </c>
      <c r="L83" s="23">
        <v>9.3529999999999998</v>
      </c>
      <c r="M83" s="23">
        <v>9.1067</v>
      </c>
      <c r="N83" s="23">
        <v>3.7686000000000002</v>
      </c>
      <c r="O83" s="23">
        <v>2.7233000000000001</v>
      </c>
      <c r="P83" s="23">
        <v>2.1034999999999999</v>
      </c>
      <c r="Q83" s="23"/>
      <c r="R83" s="23"/>
      <c r="S83" s="23"/>
      <c r="T83" s="23"/>
    </row>
    <row r="84" spans="1:20" x14ac:dyDescent="0.2">
      <c r="A84" s="21" t="s">
        <v>75</v>
      </c>
      <c r="B84" s="22"/>
      <c r="C84" s="22">
        <v>16.103899999999999</v>
      </c>
      <c r="D84" s="29">
        <v>6.5940000000000003</v>
      </c>
      <c r="E84" s="22">
        <v>9.2430000000000003</v>
      </c>
      <c r="F84" s="22">
        <v>2.3435000000000001</v>
      </c>
      <c r="G84" s="22">
        <v>4.7446000000000002</v>
      </c>
      <c r="H84" s="22">
        <v>5.4310999999999998</v>
      </c>
      <c r="I84" s="22">
        <v>8.7843999999999998</v>
      </c>
      <c r="J84" s="22">
        <v>3.5691000000000002</v>
      </c>
      <c r="K84" s="22">
        <v>23.324999999999999</v>
      </c>
      <c r="L84" s="22">
        <v>38.148800000000001</v>
      </c>
      <c r="M84" s="22">
        <v>45.338799999999999</v>
      </c>
      <c r="N84" s="22">
        <v>18.209399999999999</v>
      </c>
      <c r="O84" s="22">
        <v>20.551300000000001</v>
      </c>
      <c r="P84" s="22">
        <v>7.7778</v>
      </c>
      <c r="Q84" s="22"/>
      <c r="R84" s="22"/>
      <c r="S84" s="22"/>
      <c r="T84" s="22"/>
    </row>
    <row r="85" spans="1:20" x14ac:dyDescent="0.2">
      <c r="A85" s="21" t="s">
        <v>76</v>
      </c>
      <c r="B85" s="23"/>
      <c r="C85" s="23"/>
      <c r="D85" s="29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 spans="1:20" x14ac:dyDescent="0.2">
      <c r="A86" s="21" t="s">
        <v>77</v>
      </c>
      <c r="B86" s="22"/>
      <c r="C86" s="22"/>
      <c r="D86" s="29">
        <v>8542</v>
      </c>
      <c r="E86" s="22">
        <v>6166</v>
      </c>
      <c r="F86" s="22">
        <v>5634</v>
      </c>
      <c r="G86" s="22">
        <v>5583</v>
      </c>
      <c r="H86" s="22">
        <v>5815</v>
      </c>
      <c r="I86" s="22">
        <v>3449</v>
      </c>
      <c r="J86" s="22">
        <v>2418</v>
      </c>
      <c r="K86" s="22">
        <v>2265</v>
      </c>
      <c r="L86" s="22">
        <v>482</v>
      </c>
      <c r="M86" s="22">
        <v>517</v>
      </c>
      <c r="N86" s="22">
        <v>517</v>
      </c>
      <c r="O86" s="22">
        <v>448</v>
      </c>
      <c r="P86" s="22">
        <v>458</v>
      </c>
      <c r="Q86" s="22">
        <v>418</v>
      </c>
      <c r="R86" s="22">
        <v>373</v>
      </c>
      <c r="S86" s="22">
        <v>263</v>
      </c>
      <c r="T86" s="22">
        <v>342</v>
      </c>
    </row>
    <row r="87" spans="1:20" x14ac:dyDescent="0.2">
      <c r="A87" s="21" t="s">
        <v>78</v>
      </c>
      <c r="B87" s="24" t="s">
        <v>86</v>
      </c>
      <c r="C87" s="24" t="s">
        <v>86</v>
      </c>
      <c r="D87" s="30" t="s">
        <v>86</v>
      </c>
      <c r="E87" s="24" t="s">
        <v>86</v>
      </c>
      <c r="F87" s="24" t="s">
        <v>86</v>
      </c>
      <c r="G87" s="24" t="s">
        <v>86</v>
      </c>
      <c r="H87" s="24" t="s">
        <v>86</v>
      </c>
      <c r="I87" s="24" t="s">
        <v>86</v>
      </c>
      <c r="J87" s="24" t="s">
        <v>86</v>
      </c>
      <c r="K87" s="24" t="s">
        <v>86</v>
      </c>
      <c r="L87" s="24" t="s">
        <v>86</v>
      </c>
      <c r="M87" s="24" t="s">
        <v>86</v>
      </c>
      <c r="N87" s="24" t="s">
        <v>86</v>
      </c>
      <c r="O87" s="24" t="s">
        <v>86</v>
      </c>
      <c r="P87" s="24" t="s">
        <v>86</v>
      </c>
      <c r="Q87" s="24" t="s">
        <v>86</v>
      </c>
      <c r="R87" s="24" t="s">
        <v>86</v>
      </c>
      <c r="S87" s="24" t="s">
        <v>86</v>
      </c>
      <c r="T87" s="24" t="s">
        <v>86</v>
      </c>
    </row>
    <row r="88" spans="1:20" x14ac:dyDescent="0.2">
      <c r="A88" s="21" t="s">
        <v>79</v>
      </c>
      <c r="B88" s="25" t="s">
        <v>86</v>
      </c>
      <c r="C88" s="25" t="s">
        <v>86</v>
      </c>
      <c r="D88" s="30" t="s">
        <v>86</v>
      </c>
      <c r="E88" s="25" t="s">
        <v>86</v>
      </c>
      <c r="F88" s="25" t="s">
        <v>86</v>
      </c>
      <c r="G88" s="25" t="s">
        <v>86</v>
      </c>
      <c r="H88" s="25" t="s">
        <v>86</v>
      </c>
      <c r="I88" s="25" t="s">
        <v>86</v>
      </c>
      <c r="J88" s="25" t="s">
        <v>86</v>
      </c>
      <c r="K88" s="25" t="s">
        <v>86</v>
      </c>
      <c r="L88" s="25" t="s">
        <v>86</v>
      </c>
      <c r="M88" s="25" t="s">
        <v>86</v>
      </c>
      <c r="N88" s="25" t="s">
        <v>86</v>
      </c>
      <c r="O88" s="25" t="s">
        <v>86</v>
      </c>
      <c r="P88" s="25" t="s">
        <v>86</v>
      </c>
      <c r="Q88" s="25" t="s">
        <v>86</v>
      </c>
      <c r="R88" s="25" t="s">
        <v>86</v>
      </c>
      <c r="S88" s="25" t="s">
        <v>86</v>
      </c>
      <c r="T88" s="25" t="s">
        <v>86</v>
      </c>
    </row>
    <row r="89" spans="1:20" x14ac:dyDescent="0.2">
      <c r="A89" s="21" t="s">
        <v>80</v>
      </c>
      <c r="B89" s="24">
        <v>1</v>
      </c>
      <c r="C89" s="24">
        <v>1</v>
      </c>
      <c r="D89" s="30">
        <v>1</v>
      </c>
      <c r="E89" s="24">
        <v>1</v>
      </c>
      <c r="F89" s="24">
        <v>1</v>
      </c>
      <c r="G89" s="24">
        <v>1</v>
      </c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24">
        <v>1</v>
      </c>
      <c r="N89" s="24">
        <v>1</v>
      </c>
      <c r="O89" s="24">
        <v>1</v>
      </c>
      <c r="P89" s="24">
        <v>1</v>
      </c>
      <c r="Q89" s="24">
        <v>1</v>
      </c>
      <c r="R89" s="24">
        <v>1</v>
      </c>
      <c r="S89" s="24">
        <v>1</v>
      </c>
      <c r="T89" s="24">
        <v>1</v>
      </c>
    </row>
    <row r="90" spans="1:20" x14ac:dyDescent="0.2">
      <c r="A90" s="21" t="s">
        <v>81</v>
      </c>
      <c r="B90" s="26" t="s">
        <v>87</v>
      </c>
      <c r="C90" s="26" t="s">
        <v>87</v>
      </c>
      <c r="D90" s="28" t="s">
        <v>87</v>
      </c>
      <c r="E90" s="26" t="s">
        <v>87</v>
      </c>
      <c r="F90" s="26" t="s">
        <v>87</v>
      </c>
      <c r="G90" s="26" t="s">
        <v>87</v>
      </c>
      <c r="H90" s="26" t="s">
        <v>87</v>
      </c>
      <c r="I90" s="26" t="s">
        <v>87</v>
      </c>
      <c r="J90" s="26" t="s">
        <v>87</v>
      </c>
      <c r="K90" s="26" t="s">
        <v>87</v>
      </c>
      <c r="L90" s="26" t="s">
        <v>87</v>
      </c>
      <c r="M90" s="26" t="s">
        <v>87</v>
      </c>
      <c r="N90" s="26" t="s">
        <v>87</v>
      </c>
      <c r="O90" s="26" t="s">
        <v>87</v>
      </c>
      <c r="P90" s="26" t="s">
        <v>87</v>
      </c>
      <c r="Q90" s="26" t="s">
        <v>87</v>
      </c>
      <c r="R90" s="26" t="s">
        <v>87</v>
      </c>
      <c r="S90" s="26" t="s">
        <v>87</v>
      </c>
      <c r="T90" s="26" t="s">
        <v>87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6191-BF09-4290-8F77-929DC7EFE5D9}">
  <dimension ref="A1:BI28"/>
  <sheetViews>
    <sheetView workbookViewId="0">
      <selection activeCell="I10" sqref="I10"/>
    </sheetView>
  </sheetViews>
  <sheetFormatPr defaultRowHeight="14.25" x14ac:dyDescent="0.2"/>
  <cols>
    <col min="1" max="1" width="46.375" bestFit="1" customWidth="1"/>
    <col min="2" max="6" width="11.625" bestFit="1" customWidth="1"/>
    <col min="9" max="9" width="11.625" bestFit="1" customWidth="1"/>
  </cols>
  <sheetData>
    <row r="1" spans="1:61" x14ac:dyDescent="0.2">
      <c r="A1" s="12" t="s">
        <v>0</v>
      </c>
      <c r="B1" s="13" t="s">
        <v>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</row>
    <row r="2" spans="1:61" x14ac:dyDescent="0.2">
      <c r="A2" s="12" t="s">
        <v>1</v>
      </c>
      <c r="B2" s="15" t="str">
        <f>[1]!S_INFO_NAME($B$1)</f>
        <v>中际旭创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</row>
    <row r="3" spans="1:61" x14ac:dyDescent="0.2">
      <c r="A3" s="12" t="s">
        <v>2</v>
      </c>
      <c r="B3" s="13">
        <v>1988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</row>
    <row r="4" spans="1:61" x14ac:dyDescent="0.2">
      <c r="A4" s="12" t="s">
        <v>3</v>
      </c>
      <c r="B4" s="13">
        <v>2026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1:61" x14ac:dyDescent="0.2">
      <c r="A5" s="16" t="str">
        <f>[1]!WFR(B1,B3&amp;":"&amp;B4,"Func=Rpt.IndicatorPS20","rptType=1","singleSeason=0","unit=1","currencyType=ORIG","order=LEFT","rate=HISTORY","version=2","quarterindic=0","showcurrency=0","reportPeriod=31","cols=60;rows=22")</f>
        <v xml:space="preserve">                                                                                                              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</row>
    <row r="6" spans="1:61" x14ac:dyDescent="0.2">
      <c r="A6" s="17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</row>
    <row r="7" spans="1:61" x14ac:dyDescent="0.2">
      <c r="A7" s="19" t="s">
        <v>6</v>
      </c>
      <c r="B7" s="20">
        <v>45930</v>
      </c>
      <c r="C7" s="20">
        <v>45838</v>
      </c>
      <c r="D7" s="20">
        <v>45747</v>
      </c>
      <c r="E7" s="20">
        <v>45657</v>
      </c>
      <c r="F7" s="20">
        <v>45565</v>
      </c>
      <c r="G7" s="20">
        <v>45473</v>
      </c>
      <c r="H7" s="20">
        <v>45382</v>
      </c>
      <c r="I7" s="20">
        <v>45291</v>
      </c>
      <c r="J7" s="20">
        <v>45199</v>
      </c>
      <c r="K7" s="20">
        <v>45107</v>
      </c>
      <c r="L7" s="20">
        <v>45016</v>
      </c>
      <c r="M7" s="20">
        <v>44926</v>
      </c>
      <c r="N7" s="20">
        <v>44834</v>
      </c>
      <c r="O7" s="20">
        <v>44742</v>
      </c>
      <c r="P7" s="20">
        <v>44651</v>
      </c>
      <c r="Q7" s="20">
        <v>44561</v>
      </c>
      <c r="R7" s="20">
        <v>44469</v>
      </c>
      <c r="S7" s="20">
        <v>44377</v>
      </c>
      <c r="T7" s="20">
        <v>44286</v>
      </c>
      <c r="U7" s="20">
        <v>44196</v>
      </c>
      <c r="V7" s="20">
        <v>44104</v>
      </c>
      <c r="W7" s="20">
        <v>44012</v>
      </c>
      <c r="X7" s="20">
        <v>43921</v>
      </c>
      <c r="Y7" s="20">
        <v>43830</v>
      </c>
      <c r="Z7" s="20">
        <v>43738</v>
      </c>
      <c r="AA7" s="20">
        <v>43646</v>
      </c>
      <c r="AB7" s="20">
        <v>43555</v>
      </c>
      <c r="AC7" s="20">
        <v>43465</v>
      </c>
      <c r="AD7" s="20">
        <v>43373</v>
      </c>
      <c r="AE7" s="20">
        <v>43281</v>
      </c>
      <c r="AF7" s="20">
        <v>43190</v>
      </c>
      <c r="AG7" s="20">
        <v>43100</v>
      </c>
      <c r="AH7" s="20">
        <v>43008</v>
      </c>
      <c r="AI7" s="20">
        <v>42916</v>
      </c>
      <c r="AJ7" s="20">
        <v>42825</v>
      </c>
      <c r="AK7" s="20">
        <v>42735</v>
      </c>
      <c r="AL7" s="20">
        <v>42643</v>
      </c>
      <c r="AM7" s="20">
        <v>42551</v>
      </c>
      <c r="AN7" s="20">
        <v>42460</v>
      </c>
      <c r="AO7" s="20">
        <v>42369</v>
      </c>
      <c r="AP7" s="20">
        <v>42277</v>
      </c>
      <c r="AQ7" s="20">
        <v>42185</v>
      </c>
      <c r="AR7" s="20">
        <v>42094</v>
      </c>
      <c r="AS7" s="20">
        <v>42004</v>
      </c>
      <c r="AT7" s="20">
        <v>41912</v>
      </c>
      <c r="AU7" s="20">
        <v>41820</v>
      </c>
      <c r="AV7" s="20">
        <v>41729</v>
      </c>
      <c r="AW7" s="20">
        <v>41639</v>
      </c>
      <c r="AX7" s="20">
        <v>41547</v>
      </c>
      <c r="AY7" s="20">
        <v>41455</v>
      </c>
      <c r="AZ7" s="20">
        <v>41364</v>
      </c>
      <c r="BA7" s="20">
        <v>41274</v>
      </c>
      <c r="BB7" s="20">
        <v>41182</v>
      </c>
      <c r="BC7" s="20">
        <v>41090</v>
      </c>
      <c r="BD7" s="20">
        <v>40999</v>
      </c>
      <c r="BE7" s="20">
        <v>40908</v>
      </c>
      <c r="BF7" s="20">
        <v>40724</v>
      </c>
      <c r="BG7" s="20">
        <v>40543</v>
      </c>
      <c r="BH7" s="20">
        <v>40178</v>
      </c>
      <c r="BI7" s="20">
        <v>39813</v>
      </c>
    </row>
    <row r="8" spans="1:61" x14ac:dyDescent="0.2">
      <c r="A8" s="21" t="s">
        <v>7</v>
      </c>
      <c r="B8" s="22" t="s">
        <v>84</v>
      </c>
      <c r="C8" s="22" t="s">
        <v>109</v>
      </c>
      <c r="D8" s="22" t="s">
        <v>110</v>
      </c>
      <c r="E8" s="22" t="s">
        <v>82</v>
      </c>
      <c r="F8" s="22" t="s">
        <v>84</v>
      </c>
      <c r="G8" s="22" t="s">
        <v>109</v>
      </c>
      <c r="H8" s="22" t="s">
        <v>110</v>
      </c>
      <c r="I8" s="22" t="s">
        <v>82</v>
      </c>
      <c r="J8" s="22" t="s">
        <v>84</v>
      </c>
      <c r="K8" s="22" t="s">
        <v>109</v>
      </c>
      <c r="L8" s="22" t="s">
        <v>110</v>
      </c>
      <c r="M8" s="22" t="s">
        <v>82</v>
      </c>
      <c r="N8" s="22" t="s">
        <v>84</v>
      </c>
      <c r="O8" s="22" t="s">
        <v>109</v>
      </c>
      <c r="P8" s="22" t="s">
        <v>110</v>
      </c>
      <c r="Q8" s="22" t="s">
        <v>82</v>
      </c>
      <c r="R8" s="22" t="s">
        <v>84</v>
      </c>
      <c r="S8" s="22" t="s">
        <v>109</v>
      </c>
      <c r="T8" s="22" t="s">
        <v>110</v>
      </c>
      <c r="U8" s="22" t="s">
        <v>82</v>
      </c>
      <c r="V8" s="22" t="s">
        <v>84</v>
      </c>
      <c r="W8" s="22" t="s">
        <v>109</v>
      </c>
      <c r="X8" s="22" t="s">
        <v>110</v>
      </c>
      <c r="Y8" s="22" t="s">
        <v>82</v>
      </c>
      <c r="Z8" s="22" t="s">
        <v>84</v>
      </c>
      <c r="AA8" s="22" t="s">
        <v>109</v>
      </c>
      <c r="AB8" s="22" t="s">
        <v>110</v>
      </c>
      <c r="AC8" s="22" t="s">
        <v>82</v>
      </c>
      <c r="AD8" s="22" t="s">
        <v>84</v>
      </c>
      <c r="AE8" s="22" t="s">
        <v>109</v>
      </c>
      <c r="AF8" s="22" t="s">
        <v>110</v>
      </c>
      <c r="AG8" s="22" t="s">
        <v>82</v>
      </c>
      <c r="AH8" s="22" t="s">
        <v>84</v>
      </c>
      <c r="AI8" s="22" t="s">
        <v>109</v>
      </c>
      <c r="AJ8" s="22" t="s">
        <v>110</v>
      </c>
      <c r="AK8" s="22" t="s">
        <v>82</v>
      </c>
      <c r="AL8" s="22" t="s">
        <v>84</v>
      </c>
      <c r="AM8" s="22" t="s">
        <v>109</v>
      </c>
      <c r="AN8" s="22" t="s">
        <v>110</v>
      </c>
      <c r="AO8" s="22" t="s">
        <v>82</v>
      </c>
      <c r="AP8" s="22" t="s">
        <v>84</v>
      </c>
      <c r="AQ8" s="22" t="s">
        <v>109</v>
      </c>
      <c r="AR8" s="22" t="s">
        <v>110</v>
      </c>
      <c r="AS8" s="22" t="s">
        <v>82</v>
      </c>
      <c r="AT8" s="22" t="s">
        <v>84</v>
      </c>
      <c r="AU8" s="22" t="s">
        <v>109</v>
      </c>
      <c r="AV8" s="22" t="s">
        <v>110</v>
      </c>
      <c r="AW8" s="22" t="s">
        <v>82</v>
      </c>
      <c r="AX8" s="22" t="s">
        <v>84</v>
      </c>
      <c r="AY8" s="22" t="s">
        <v>109</v>
      </c>
      <c r="AZ8" s="22" t="s">
        <v>110</v>
      </c>
      <c r="BA8" s="22" t="s">
        <v>82</v>
      </c>
      <c r="BB8" s="22" t="s">
        <v>84</v>
      </c>
      <c r="BC8" s="22" t="s">
        <v>109</v>
      </c>
      <c r="BD8" s="22" t="s">
        <v>110</v>
      </c>
      <c r="BE8" s="22" t="s">
        <v>82</v>
      </c>
      <c r="BF8" s="22" t="s">
        <v>109</v>
      </c>
      <c r="BG8" s="22" t="s">
        <v>82</v>
      </c>
      <c r="BH8" s="22" t="s">
        <v>82</v>
      </c>
      <c r="BI8" s="22" t="s">
        <v>82</v>
      </c>
    </row>
    <row r="9" spans="1:61" x14ac:dyDescent="0.2">
      <c r="A9" s="21" t="s">
        <v>89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</row>
    <row r="10" spans="1:61" x14ac:dyDescent="0.2">
      <c r="A10" s="21" t="s">
        <v>90</v>
      </c>
      <c r="B10" s="22">
        <v>6.48</v>
      </c>
      <c r="C10" s="22">
        <v>3.64</v>
      </c>
      <c r="D10" s="22">
        <v>1.44</v>
      </c>
      <c r="E10" s="22">
        <v>4.72</v>
      </c>
      <c r="F10" s="22">
        <v>3.42</v>
      </c>
      <c r="G10" s="22">
        <v>3.03</v>
      </c>
      <c r="H10" s="22">
        <v>1.3</v>
      </c>
      <c r="I10" s="22">
        <v>2.8</v>
      </c>
      <c r="J10" s="22">
        <v>1.62</v>
      </c>
      <c r="K10" s="22">
        <v>0.77</v>
      </c>
      <c r="L10" s="22">
        <v>0.31</v>
      </c>
      <c r="M10" s="22">
        <v>1.54</v>
      </c>
      <c r="N10" s="22">
        <v>1.06</v>
      </c>
      <c r="O10" s="22">
        <v>0.61</v>
      </c>
      <c r="P10" s="22">
        <v>0.27</v>
      </c>
      <c r="Q10" s="22">
        <v>1.21</v>
      </c>
      <c r="R10" s="22">
        <v>0.79</v>
      </c>
      <c r="S10" s="22">
        <v>0.48</v>
      </c>
      <c r="T10" s="22">
        <v>0.19</v>
      </c>
      <c r="U10" s="22">
        <v>1.23</v>
      </c>
      <c r="V10" s="22">
        <v>0.84</v>
      </c>
      <c r="W10" s="22">
        <v>0.51</v>
      </c>
      <c r="X10" s="22">
        <v>0.2</v>
      </c>
      <c r="Y10" s="22">
        <v>0.73</v>
      </c>
      <c r="Z10" s="22">
        <v>0.5</v>
      </c>
      <c r="AA10" s="22">
        <v>0.28000000000000003</v>
      </c>
      <c r="AB10" s="22">
        <v>0.22</v>
      </c>
      <c r="AC10" s="22">
        <v>1.36</v>
      </c>
      <c r="AD10" s="22">
        <v>1.01</v>
      </c>
      <c r="AE10" s="22">
        <v>0.67</v>
      </c>
      <c r="AF10" s="22">
        <v>0.31</v>
      </c>
      <c r="AG10" s="22">
        <v>0.5</v>
      </c>
      <c r="AH10" s="22">
        <v>0.47</v>
      </c>
      <c r="AI10" s="22">
        <v>0.02</v>
      </c>
      <c r="AJ10" s="22">
        <v>-0.02</v>
      </c>
      <c r="AK10" s="22">
        <v>0.05</v>
      </c>
      <c r="AL10" s="22">
        <v>0.02</v>
      </c>
      <c r="AM10" s="22">
        <v>0.02</v>
      </c>
      <c r="AN10" s="22">
        <v>-0.03</v>
      </c>
      <c r="AO10" s="22">
        <v>0.03</v>
      </c>
      <c r="AP10" s="22">
        <v>-0.02</v>
      </c>
      <c r="AQ10" s="22">
        <v>-0.02</v>
      </c>
      <c r="AR10" s="22">
        <v>-0.02</v>
      </c>
      <c r="AS10" s="22">
        <v>0.04</v>
      </c>
      <c r="AT10" s="22">
        <v>0.03</v>
      </c>
      <c r="AU10" s="22">
        <v>-0.02</v>
      </c>
      <c r="AV10" s="22">
        <v>0.04</v>
      </c>
      <c r="AW10" s="22">
        <v>0.12</v>
      </c>
      <c r="AX10" s="22">
        <v>0.15</v>
      </c>
      <c r="AY10" s="22">
        <v>0.23</v>
      </c>
      <c r="AZ10" s="22">
        <v>0.21</v>
      </c>
      <c r="BA10" s="22">
        <v>0.46</v>
      </c>
      <c r="BB10" s="22">
        <v>0.48</v>
      </c>
      <c r="BC10" s="22">
        <v>0.39</v>
      </c>
      <c r="BD10" s="22">
        <v>0.3</v>
      </c>
      <c r="BE10" s="22">
        <v>1.02</v>
      </c>
      <c r="BF10" s="22">
        <v>0.47</v>
      </c>
      <c r="BG10" s="22">
        <v>0.89</v>
      </c>
      <c r="BH10" s="22">
        <v>0.69</v>
      </c>
      <c r="BI10" s="22">
        <v>0.68</v>
      </c>
    </row>
    <row r="11" spans="1:61" x14ac:dyDescent="0.2">
      <c r="A11" s="21" t="s">
        <v>91</v>
      </c>
      <c r="B11" s="23">
        <v>6.39</v>
      </c>
      <c r="C11" s="23">
        <v>3.6</v>
      </c>
      <c r="D11" s="23">
        <v>1.43</v>
      </c>
      <c r="E11" s="23">
        <v>4.63</v>
      </c>
      <c r="F11" s="23">
        <v>3.37</v>
      </c>
      <c r="G11" s="23">
        <v>3</v>
      </c>
      <c r="H11" s="23">
        <v>1.28</v>
      </c>
      <c r="I11" s="23">
        <v>2.76</v>
      </c>
      <c r="J11" s="23">
        <v>1.61</v>
      </c>
      <c r="K11" s="23">
        <v>0.76</v>
      </c>
      <c r="L11" s="23">
        <v>0.31</v>
      </c>
      <c r="M11" s="23">
        <v>1.54</v>
      </c>
      <c r="N11" s="23">
        <v>1.06</v>
      </c>
      <c r="O11" s="23">
        <v>0.61</v>
      </c>
      <c r="P11" s="23">
        <v>0.27</v>
      </c>
      <c r="Q11" s="23">
        <v>1.21</v>
      </c>
      <c r="R11" s="23">
        <v>0.79</v>
      </c>
      <c r="S11" s="23">
        <v>0.48</v>
      </c>
      <c r="T11" s="23">
        <v>0.19</v>
      </c>
      <c r="U11" s="23">
        <v>1.22</v>
      </c>
      <c r="V11" s="23">
        <v>0.84</v>
      </c>
      <c r="W11" s="23">
        <v>0.51</v>
      </c>
      <c r="X11" s="23">
        <v>0.2</v>
      </c>
      <c r="Y11" s="23">
        <v>0.73</v>
      </c>
      <c r="Z11" s="23">
        <v>0.5</v>
      </c>
      <c r="AA11" s="23">
        <v>0.28000000000000003</v>
      </c>
      <c r="AB11" s="23">
        <v>0.22</v>
      </c>
      <c r="AC11" s="23">
        <v>1.33</v>
      </c>
      <c r="AD11" s="23">
        <v>1.03</v>
      </c>
      <c r="AE11" s="23">
        <v>0.67</v>
      </c>
      <c r="AF11" s="23">
        <v>0.31</v>
      </c>
      <c r="AG11" s="23">
        <v>0.5</v>
      </c>
      <c r="AH11" s="23">
        <v>0.47</v>
      </c>
      <c r="AI11" s="23">
        <v>0.02</v>
      </c>
      <c r="AJ11" s="23">
        <v>-0.02</v>
      </c>
      <c r="AK11" s="23">
        <v>0.05</v>
      </c>
      <c r="AL11" s="23">
        <v>0.02</v>
      </c>
      <c r="AM11" s="23">
        <v>0.02</v>
      </c>
      <c r="AN11" s="23">
        <v>-0.03</v>
      </c>
      <c r="AO11" s="23">
        <v>0.03</v>
      </c>
      <c r="AP11" s="23">
        <v>-0.02</v>
      </c>
      <c r="AQ11" s="23">
        <v>-0.02</v>
      </c>
      <c r="AR11" s="23">
        <v>-0.02</v>
      </c>
      <c r="AS11" s="23">
        <v>0.04</v>
      </c>
      <c r="AT11" s="23">
        <v>0.03</v>
      </c>
      <c r="AU11" s="23">
        <v>-0.02</v>
      </c>
      <c r="AV11" s="23">
        <v>0.04</v>
      </c>
      <c r="AW11" s="23">
        <v>0.12</v>
      </c>
      <c r="AX11" s="23">
        <v>0.15</v>
      </c>
      <c r="AY11" s="23">
        <v>0.23</v>
      </c>
      <c r="AZ11" s="23">
        <v>0.21</v>
      </c>
      <c r="BA11" s="23">
        <v>0.46</v>
      </c>
      <c r="BB11" s="23">
        <v>0.48</v>
      </c>
      <c r="BC11" s="23">
        <v>0.39</v>
      </c>
      <c r="BD11" s="23">
        <v>0.3</v>
      </c>
      <c r="BE11" s="23">
        <v>1.02</v>
      </c>
      <c r="BF11" s="23">
        <v>0.47</v>
      </c>
      <c r="BG11" s="23">
        <v>0.89</v>
      </c>
      <c r="BH11" s="23">
        <v>0.69</v>
      </c>
      <c r="BI11" s="23">
        <v>0.68</v>
      </c>
    </row>
    <row r="12" spans="1:61" x14ac:dyDescent="0.2">
      <c r="A12" s="21" t="s">
        <v>92</v>
      </c>
      <c r="B12" s="22"/>
      <c r="C12" s="22">
        <v>3.62</v>
      </c>
      <c r="D12" s="22"/>
      <c r="E12" s="22">
        <v>4.62</v>
      </c>
      <c r="F12" s="22"/>
      <c r="G12" s="22">
        <v>3</v>
      </c>
      <c r="H12" s="22"/>
      <c r="I12" s="22">
        <v>2.74</v>
      </c>
      <c r="J12" s="22"/>
      <c r="K12" s="22">
        <v>0.73</v>
      </c>
      <c r="L12" s="22"/>
      <c r="M12" s="22">
        <v>1.31</v>
      </c>
      <c r="N12" s="22"/>
      <c r="O12" s="22">
        <v>0.55000000000000004</v>
      </c>
      <c r="P12" s="22"/>
      <c r="Q12" s="22">
        <v>1.01</v>
      </c>
      <c r="R12" s="22"/>
      <c r="S12" s="22">
        <v>0.43</v>
      </c>
      <c r="T12" s="22"/>
      <c r="U12" s="22">
        <v>1.0900000000000001</v>
      </c>
      <c r="V12" s="22"/>
      <c r="W12" s="22">
        <v>0.47</v>
      </c>
      <c r="X12" s="22"/>
      <c r="Y12" s="22">
        <v>0.61</v>
      </c>
      <c r="Z12" s="22"/>
      <c r="AA12" s="22">
        <v>0.27</v>
      </c>
      <c r="AB12" s="22"/>
      <c r="AC12" s="22">
        <v>1.28</v>
      </c>
      <c r="AD12" s="22"/>
      <c r="AE12" s="22">
        <v>0.67</v>
      </c>
      <c r="AF12" s="22"/>
      <c r="AG12" s="22">
        <v>0.82</v>
      </c>
      <c r="AH12" s="22"/>
      <c r="AI12" s="22">
        <v>0.01</v>
      </c>
      <c r="AJ12" s="22"/>
      <c r="AK12" s="22">
        <v>3.0000000000000001E-3</v>
      </c>
      <c r="AL12" s="22"/>
      <c r="AM12" s="22">
        <v>-2.8000000000000001E-2</v>
      </c>
      <c r="AN12" s="22"/>
      <c r="AO12" s="22">
        <v>1E-3</v>
      </c>
      <c r="AP12" s="22"/>
      <c r="AQ12" s="22">
        <v>-0.02</v>
      </c>
      <c r="AR12" s="22"/>
      <c r="AS12" s="22">
        <v>0.01</v>
      </c>
      <c r="AT12" s="22"/>
      <c r="AU12" s="22">
        <v>-0.05</v>
      </c>
      <c r="AV12" s="22"/>
      <c r="AW12" s="22">
        <v>0.02</v>
      </c>
      <c r="AX12" s="22"/>
      <c r="AY12" s="22">
        <v>0.08</v>
      </c>
      <c r="AZ12" s="22"/>
      <c r="BA12" s="22">
        <v>0.43</v>
      </c>
      <c r="BB12" s="22"/>
      <c r="BC12" s="22">
        <v>0.39</v>
      </c>
      <c r="BD12" s="22"/>
      <c r="BE12" s="22">
        <v>1</v>
      </c>
      <c r="BF12" s="22">
        <v>0.47</v>
      </c>
      <c r="BG12" s="22">
        <v>0.89</v>
      </c>
      <c r="BH12" s="22">
        <v>0.69</v>
      </c>
      <c r="BI12" s="22">
        <v>0.66</v>
      </c>
    </row>
    <row r="13" spans="1:61" x14ac:dyDescent="0.2">
      <c r="A13" s="21" t="s">
        <v>93</v>
      </c>
      <c r="B13" s="23"/>
      <c r="C13" s="23">
        <v>3.58</v>
      </c>
      <c r="D13" s="23"/>
      <c r="E13" s="23">
        <v>4.54</v>
      </c>
      <c r="F13" s="23"/>
      <c r="G13" s="23">
        <v>2.97</v>
      </c>
      <c r="H13" s="23"/>
      <c r="I13" s="23">
        <v>2.7</v>
      </c>
      <c r="J13" s="23"/>
      <c r="K13" s="23">
        <v>0.72</v>
      </c>
      <c r="L13" s="23"/>
      <c r="M13" s="23">
        <v>1.31</v>
      </c>
      <c r="N13" s="23"/>
      <c r="O13" s="23">
        <v>0.55000000000000004</v>
      </c>
      <c r="P13" s="23"/>
      <c r="Q13" s="23">
        <v>1.01</v>
      </c>
      <c r="R13" s="23"/>
      <c r="S13" s="23">
        <v>0.43</v>
      </c>
      <c r="T13" s="23"/>
      <c r="U13" s="23">
        <v>1.08</v>
      </c>
      <c r="V13" s="23"/>
      <c r="W13" s="23">
        <v>0.47</v>
      </c>
      <c r="X13" s="23"/>
      <c r="Y13" s="23">
        <v>0.61</v>
      </c>
      <c r="Z13" s="23"/>
      <c r="AA13" s="23">
        <v>0.27</v>
      </c>
      <c r="AB13" s="23"/>
      <c r="AC13" s="23">
        <v>1.26</v>
      </c>
      <c r="AD13" s="23"/>
      <c r="AE13" s="23">
        <v>0.67</v>
      </c>
      <c r="AF13" s="23"/>
      <c r="AG13" s="23">
        <v>0.82</v>
      </c>
      <c r="AH13" s="23"/>
      <c r="AI13" s="23">
        <v>0.01</v>
      </c>
      <c r="AJ13" s="23"/>
      <c r="AK13" s="23">
        <v>3.0000000000000001E-3</v>
      </c>
      <c r="AL13" s="23"/>
      <c r="AM13" s="23">
        <v>-2.8000000000000001E-2</v>
      </c>
      <c r="AN13" s="23"/>
      <c r="AO13" s="23">
        <v>1E-3</v>
      </c>
      <c r="AP13" s="23"/>
      <c r="AQ13" s="23">
        <v>-0.02</v>
      </c>
      <c r="AR13" s="23"/>
      <c r="AS13" s="23">
        <v>0.01</v>
      </c>
      <c r="AT13" s="23"/>
      <c r="AU13" s="23">
        <v>-0.05</v>
      </c>
      <c r="AV13" s="23"/>
      <c r="AW13" s="23">
        <v>0.02</v>
      </c>
      <c r="AX13" s="23"/>
      <c r="AY13" s="23">
        <v>0.08</v>
      </c>
      <c r="AZ13" s="23"/>
      <c r="BA13" s="23">
        <v>0.43</v>
      </c>
      <c r="BB13" s="23"/>
      <c r="BC13" s="23">
        <v>0.39</v>
      </c>
      <c r="BD13" s="23"/>
      <c r="BE13" s="23">
        <v>1</v>
      </c>
      <c r="BF13" s="23">
        <v>0.47</v>
      </c>
      <c r="BG13" s="23">
        <v>0.89</v>
      </c>
      <c r="BH13" s="23">
        <v>0.69</v>
      </c>
      <c r="BI13" s="23">
        <v>0.66</v>
      </c>
    </row>
    <row r="14" spans="1:61" x14ac:dyDescent="0.2">
      <c r="A14" s="21" t="s">
        <v>94</v>
      </c>
      <c r="B14" s="22">
        <v>23.750299999999999</v>
      </c>
      <c r="C14" s="22">
        <v>20.5364</v>
      </c>
      <c r="D14" s="22">
        <v>18.751300000000001</v>
      </c>
      <c r="E14" s="22">
        <v>17.066099999999999</v>
      </c>
      <c r="F14" s="22">
        <v>15.755599999999999</v>
      </c>
      <c r="G14" s="22">
        <v>14.431699999999999</v>
      </c>
      <c r="H14" s="22">
        <v>19.561699999999998</v>
      </c>
      <c r="I14" s="22">
        <v>17.763500000000001</v>
      </c>
      <c r="J14" s="22">
        <v>16.9026</v>
      </c>
      <c r="K14" s="22">
        <v>16.171800000000001</v>
      </c>
      <c r="L14" s="22">
        <v>15.4552</v>
      </c>
      <c r="M14" s="22">
        <v>14.913600000000001</v>
      </c>
      <c r="N14" s="22">
        <v>14.778499999999999</v>
      </c>
      <c r="O14" s="22">
        <v>14.625299999999999</v>
      </c>
      <c r="P14" s="22">
        <v>14.664199999999999</v>
      </c>
      <c r="Q14" s="22">
        <v>14.359500000000001</v>
      </c>
      <c r="R14" s="22">
        <v>11.9864</v>
      </c>
      <c r="S14" s="22">
        <v>11.5039</v>
      </c>
      <c r="T14" s="22">
        <v>11.2987</v>
      </c>
      <c r="U14" s="22">
        <v>11.0623</v>
      </c>
      <c r="V14" s="22">
        <v>10.642200000000001</v>
      </c>
      <c r="W14" s="22">
        <v>10.180300000000001</v>
      </c>
      <c r="X14" s="22">
        <v>9.9497999999999998</v>
      </c>
      <c r="Y14" s="22">
        <v>9.7119</v>
      </c>
      <c r="Z14" s="22">
        <v>9.4390000000000001</v>
      </c>
      <c r="AA14" s="22">
        <v>9.0574999999999992</v>
      </c>
      <c r="AB14" s="22">
        <v>12.573</v>
      </c>
      <c r="AC14" s="22">
        <v>10.046099999999999</v>
      </c>
      <c r="AD14" s="22">
        <v>9.5431000000000008</v>
      </c>
      <c r="AE14" s="22">
        <v>9.1783999999999999</v>
      </c>
      <c r="AF14" s="22">
        <v>8.8137000000000008</v>
      </c>
      <c r="AG14" s="22">
        <v>8.4536999999999995</v>
      </c>
      <c r="AH14" s="22">
        <v>8.9182000000000006</v>
      </c>
      <c r="AI14" s="22">
        <v>2.5825999999999998</v>
      </c>
      <c r="AJ14" s="22">
        <v>2.5527000000000002</v>
      </c>
      <c r="AK14" s="22">
        <v>2.5729000000000002</v>
      </c>
      <c r="AL14" s="22">
        <v>2.5447000000000002</v>
      </c>
      <c r="AM14" s="22">
        <v>2.5594000000000001</v>
      </c>
      <c r="AN14" s="22">
        <v>2.5061</v>
      </c>
      <c r="AO14" s="22">
        <v>2.5379</v>
      </c>
      <c r="AP14" s="22">
        <v>2.4883000000000002</v>
      </c>
      <c r="AQ14" s="22">
        <v>2.4984999999999999</v>
      </c>
      <c r="AR14" s="22">
        <v>2.5154000000000001</v>
      </c>
      <c r="AS14" s="22">
        <v>2.5228000000000002</v>
      </c>
      <c r="AT14" s="22">
        <v>4.4180999999999999</v>
      </c>
      <c r="AU14" s="22">
        <v>4.3651</v>
      </c>
      <c r="AV14" s="22">
        <v>4.4507000000000003</v>
      </c>
      <c r="AW14" s="22">
        <v>4.4108999999999998</v>
      </c>
      <c r="AX14" s="22">
        <v>4.4431000000000003</v>
      </c>
      <c r="AY14" s="22">
        <v>4.4355000000000002</v>
      </c>
      <c r="AZ14" s="22">
        <v>8.0246999999999993</v>
      </c>
      <c r="BA14" s="22">
        <v>7.8133999999999997</v>
      </c>
      <c r="BB14" s="22">
        <v>7.806</v>
      </c>
      <c r="BC14" s="22">
        <v>7.7112999999999996</v>
      </c>
      <c r="BD14" s="22">
        <v>7.7962999999999996</v>
      </c>
      <c r="BE14" s="22">
        <v>4.1380999999999997</v>
      </c>
      <c r="BF14" s="22">
        <v>3.5865</v>
      </c>
      <c r="BG14" s="22">
        <v>3.1137999999999999</v>
      </c>
      <c r="BH14" s="22">
        <v>8.2356999999999996</v>
      </c>
      <c r="BI14" s="22">
        <v>7.1553000000000004</v>
      </c>
    </row>
    <row r="15" spans="1:61" x14ac:dyDescent="0.2">
      <c r="A15" s="21" t="s">
        <v>95</v>
      </c>
      <c r="B15" s="23">
        <v>4.9093</v>
      </c>
      <c r="C15" s="23">
        <v>2.8965999999999998</v>
      </c>
      <c r="D15" s="23">
        <v>1.9593</v>
      </c>
      <c r="E15" s="23">
        <v>2.8226</v>
      </c>
      <c r="F15" s="23">
        <v>1.1737</v>
      </c>
      <c r="G15" s="23">
        <v>0.86350000000000005</v>
      </c>
      <c r="H15" s="23">
        <v>0.81030000000000002</v>
      </c>
      <c r="I15" s="23">
        <v>2.3631000000000002</v>
      </c>
      <c r="J15" s="23">
        <v>1.7970999999999999</v>
      </c>
      <c r="K15" s="23">
        <v>1.4394</v>
      </c>
      <c r="L15" s="23">
        <v>0.62439999999999996</v>
      </c>
      <c r="M15" s="23">
        <v>3.0575000000000001</v>
      </c>
      <c r="N15" s="23">
        <v>1.8324</v>
      </c>
      <c r="O15" s="23">
        <v>1.5225</v>
      </c>
      <c r="P15" s="23">
        <v>1.1252</v>
      </c>
      <c r="Q15" s="23">
        <v>1.0158</v>
      </c>
      <c r="R15" s="23">
        <v>0.49490000000000001</v>
      </c>
      <c r="S15" s="23">
        <v>5.1999999999999998E-3</v>
      </c>
      <c r="T15" s="23">
        <v>-0.18410000000000001</v>
      </c>
      <c r="U15" s="23">
        <v>3.04E-2</v>
      </c>
      <c r="V15" s="23">
        <v>-0.19120000000000001</v>
      </c>
      <c r="W15" s="23">
        <v>-0.30570000000000003</v>
      </c>
      <c r="X15" s="23">
        <v>-0.4793</v>
      </c>
      <c r="Y15" s="23">
        <v>0.79849999999999999</v>
      </c>
      <c r="Z15" s="23">
        <v>0.34499999999999997</v>
      </c>
      <c r="AA15" s="23">
        <v>0.1409</v>
      </c>
      <c r="AB15" s="23">
        <v>-0.27779999999999999</v>
      </c>
      <c r="AC15" s="23">
        <v>1.3882000000000001</v>
      </c>
      <c r="AD15" s="23">
        <v>0.65110000000000001</v>
      </c>
      <c r="AE15" s="23">
        <v>0.46850000000000003</v>
      </c>
      <c r="AF15" s="23">
        <v>-9.3399999999999997E-2</v>
      </c>
      <c r="AG15" s="23">
        <v>8.7300000000000003E-2</v>
      </c>
      <c r="AH15" s="23">
        <v>1.7100000000000001E-2</v>
      </c>
      <c r="AI15" s="23">
        <v>4.9000000000000002E-2</v>
      </c>
      <c r="AJ15" s="23">
        <v>1.9099999999999999E-2</v>
      </c>
      <c r="AK15" s="23">
        <v>0.15659999999999999</v>
      </c>
      <c r="AL15" s="23">
        <v>-0.2969</v>
      </c>
      <c r="AM15" s="23">
        <v>0.12089999999999999</v>
      </c>
      <c r="AN15" s="23">
        <v>6.1999999999999998E-3</v>
      </c>
      <c r="AO15" s="23">
        <v>0.12479999999999999</v>
      </c>
      <c r="AP15" s="23">
        <v>4.5499999999999999E-2</v>
      </c>
      <c r="AQ15" s="23">
        <v>8.5300000000000001E-2</v>
      </c>
      <c r="AR15" s="23">
        <v>0.115</v>
      </c>
      <c r="AS15" s="23">
        <v>4.2200000000000001E-2</v>
      </c>
      <c r="AT15" s="23">
        <v>8.8099999999999998E-2</v>
      </c>
      <c r="AU15" s="23">
        <v>0.17929999999999999</v>
      </c>
      <c r="AV15" s="23">
        <v>3.9399999999999998E-2</v>
      </c>
      <c r="AW15" s="23">
        <v>0.30109999999999998</v>
      </c>
      <c r="AX15" s="23">
        <v>0.32029999999999997</v>
      </c>
      <c r="AY15" s="23">
        <v>0.187</v>
      </c>
      <c r="AZ15" s="23">
        <v>0.1095</v>
      </c>
      <c r="BA15" s="23">
        <v>-0.2</v>
      </c>
      <c r="BB15" s="23">
        <v>-0.32</v>
      </c>
      <c r="BC15" s="23">
        <v>-0.43</v>
      </c>
      <c r="BD15" s="23">
        <v>-0.21</v>
      </c>
      <c r="BE15" s="23">
        <v>0.66</v>
      </c>
      <c r="BF15" s="23">
        <v>0.44</v>
      </c>
      <c r="BG15" s="23">
        <v>0.65</v>
      </c>
      <c r="BH15" s="23">
        <v>3.28</v>
      </c>
      <c r="BI15" s="23">
        <v>2.2000000000000002</v>
      </c>
    </row>
    <row r="16" spans="1:61" x14ac:dyDescent="0.2">
      <c r="A16" s="21" t="s">
        <v>96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x14ac:dyDescent="0.2">
      <c r="A17" s="21" t="s">
        <v>97</v>
      </c>
      <c r="B17" s="23">
        <v>6.4187000000000003</v>
      </c>
      <c r="C17" s="23">
        <v>3.5956000000000001</v>
      </c>
      <c r="D17" s="23">
        <v>1.4329000000000001</v>
      </c>
      <c r="E17" s="23">
        <v>4.6125999999999996</v>
      </c>
      <c r="F17" s="23">
        <v>3.3471000000000002</v>
      </c>
      <c r="G17" s="23">
        <v>2.1034999999999999</v>
      </c>
      <c r="H17" s="23">
        <v>1.2571000000000001</v>
      </c>
      <c r="I17" s="23">
        <v>2.7073</v>
      </c>
      <c r="J17" s="23">
        <v>1.6141000000000001</v>
      </c>
      <c r="K17" s="23">
        <v>0.76449999999999996</v>
      </c>
      <c r="L17" s="23">
        <v>0.312</v>
      </c>
      <c r="M17" s="23">
        <v>1.5282</v>
      </c>
      <c r="N17" s="23">
        <v>1.0644</v>
      </c>
      <c r="O17" s="23">
        <v>0.61580000000000001</v>
      </c>
      <c r="P17" s="23">
        <v>0.27189999999999998</v>
      </c>
      <c r="Q17" s="23">
        <v>1.0961000000000001</v>
      </c>
      <c r="R17" s="23">
        <v>0.78549999999999998</v>
      </c>
      <c r="S17" s="23">
        <v>0.47799999999999998</v>
      </c>
      <c r="T17" s="23">
        <v>0.18659999999999999</v>
      </c>
      <c r="U17" s="23">
        <v>1.2136</v>
      </c>
      <c r="V17" s="23">
        <v>0.84109999999999996</v>
      </c>
      <c r="W17" s="23">
        <v>0.51200000000000001</v>
      </c>
      <c r="X17" s="23">
        <v>0.2155</v>
      </c>
      <c r="Y17" s="23">
        <v>0.72</v>
      </c>
      <c r="Z17" s="23">
        <v>0.50139999999999996</v>
      </c>
      <c r="AA17" s="23">
        <v>0.29049999999999998</v>
      </c>
      <c r="AB17" s="23">
        <v>0.19520000000000001</v>
      </c>
      <c r="AC17" s="23">
        <v>1.3106</v>
      </c>
      <c r="AD17" s="23">
        <v>1.0125999999999999</v>
      </c>
      <c r="AE17" s="23">
        <v>0.66879999999999995</v>
      </c>
      <c r="AF17" s="23">
        <v>0.31180000000000002</v>
      </c>
      <c r="AG17" s="23">
        <v>0.34079999999999999</v>
      </c>
      <c r="AH17" s="23">
        <v>0.26650000000000001</v>
      </c>
      <c r="AI17" s="23">
        <v>1.84E-2</v>
      </c>
      <c r="AJ17" s="23">
        <v>-2.0299999999999999E-2</v>
      </c>
      <c r="AK17" s="23">
        <v>4.65E-2</v>
      </c>
      <c r="AL17" s="23">
        <v>1.9199999999999998E-2</v>
      </c>
      <c r="AM17" s="23">
        <v>2.46E-2</v>
      </c>
      <c r="AN17" s="23">
        <v>-3.0099999999999998E-2</v>
      </c>
      <c r="AO17" s="23">
        <v>2.5899999999999999E-2</v>
      </c>
      <c r="AP17" s="23">
        <v>-2.46E-2</v>
      </c>
      <c r="AQ17" s="23">
        <v>-2.3599999999999999E-2</v>
      </c>
      <c r="AR17" s="23">
        <v>-1.77E-2</v>
      </c>
      <c r="AS17" s="23">
        <v>3.78E-2</v>
      </c>
      <c r="AT17" s="23">
        <v>2.86E-2</v>
      </c>
      <c r="AU17" s="23">
        <v>-2.4899999999999999E-2</v>
      </c>
      <c r="AV17" s="23">
        <v>3.8600000000000002E-2</v>
      </c>
      <c r="AW17" s="23">
        <v>0.1187</v>
      </c>
      <c r="AX17" s="23">
        <v>0.15160000000000001</v>
      </c>
      <c r="AY17" s="23">
        <v>0.1449</v>
      </c>
      <c r="AZ17" s="23">
        <v>0.20669999999999999</v>
      </c>
      <c r="BA17" s="23">
        <v>0.43159999999999998</v>
      </c>
      <c r="BB17" s="23">
        <v>0.43790000000000001</v>
      </c>
      <c r="BC17" s="23">
        <v>0.34320000000000001</v>
      </c>
      <c r="BD17" s="23">
        <v>0.22819999999999999</v>
      </c>
      <c r="BE17" s="23">
        <v>1.0242</v>
      </c>
      <c r="BF17" s="23">
        <v>0.47260000000000002</v>
      </c>
      <c r="BG17" s="23">
        <v>0.83830000000000005</v>
      </c>
      <c r="BH17" s="23">
        <v>2.9973999999999998</v>
      </c>
      <c r="BI17" s="23">
        <v>2.9213</v>
      </c>
    </row>
    <row r="18" spans="1:61" x14ac:dyDescent="0.2">
      <c r="A18" s="21" t="s">
        <v>98</v>
      </c>
      <c r="B18" s="22">
        <v>6.3753000000000002</v>
      </c>
      <c r="C18" s="22">
        <v>3.5777999999999999</v>
      </c>
      <c r="D18" s="22">
        <v>1.4197</v>
      </c>
      <c r="E18" s="22">
        <v>4.5206</v>
      </c>
      <c r="F18" s="22">
        <v>3.3159000000000001</v>
      </c>
      <c r="G18" s="22">
        <v>2.0808</v>
      </c>
      <c r="H18" s="22">
        <v>1.2334000000000001</v>
      </c>
      <c r="I18" s="22">
        <v>2.6452</v>
      </c>
      <c r="J18" s="22">
        <v>1.5499000000000001</v>
      </c>
      <c r="K18" s="22">
        <v>0.72629999999999995</v>
      </c>
      <c r="L18" s="22">
        <v>0.29039999999999999</v>
      </c>
      <c r="M18" s="22">
        <v>1.2951999999999999</v>
      </c>
      <c r="N18" s="22">
        <v>0.97309999999999997</v>
      </c>
      <c r="O18" s="22">
        <v>0.55430000000000001</v>
      </c>
      <c r="P18" s="22">
        <v>0.24529999999999999</v>
      </c>
      <c r="Q18" s="22">
        <v>0.90969999999999995</v>
      </c>
      <c r="R18" s="22">
        <v>0.71719999999999995</v>
      </c>
      <c r="S18" s="22">
        <v>0.432</v>
      </c>
      <c r="T18" s="22">
        <v>0.1532</v>
      </c>
      <c r="U18" s="22">
        <v>1.0718000000000001</v>
      </c>
      <c r="V18" s="22">
        <v>0.72960000000000003</v>
      </c>
      <c r="W18" s="22">
        <v>0.47</v>
      </c>
      <c r="X18" s="22">
        <v>0.1893</v>
      </c>
      <c r="Y18" s="22">
        <v>0.60219999999999996</v>
      </c>
      <c r="Z18" s="22">
        <v>0.46039999999999998</v>
      </c>
      <c r="AA18" s="22">
        <v>0.2828</v>
      </c>
      <c r="AB18" s="22">
        <v>0.19289999999999999</v>
      </c>
      <c r="AC18" s="22">
        <v>1.2410000000000001</v>
      </c>
      <c r="AD18" s="22">
        <v>1.0348999999999999</v>
      </c>
      <c r="AE18" s="22">
        <v>0.66949999999999998</v>
      </c>
      <c r="AF18" s="22">
        <v>0.30690000000000001</v>
      </c>
      <c r="AG18" s="22">
        <v>0.5585</v>
      </c>
      <c r="AH18" s="22">
        <v>0.25840000000000002</v>
      </c>
      <c r="AI18" s="22">
        <v>1.0800000000000001E-2</v>
      </c>
      <c r="AJ18" s="22">
        <v>-2.52E-2</v>
      </c>
      <c r="AK18" s="22">
        <v>2.0999999999999999E-3</v>
      </c>
      <c r="AL18" s="22">
        <v>-3.0599999999999999E-2</v>
      </c>
      <c r="AM18" s="22">
        <v>-2.8199999999999999E-2</v>
      </c>
      <c r="AN18" s="22">
        <v>-3.1399999999999997E-2</v>
      </c>
      <c r="AO18" s="22">
        <v>8.0000000000000004E-4</v>
      </c>
      <c r="AP18" s="22">
        <v>-2.86E-2</v>
      </c>
      <c r="AQ18" s="22">
        <v>-2.5700000000000001E-2</v>
      </c>
      <c r="AR18" s="22">
        <v>-1.9099999999999999E-2</v>
      </c>
      <c r="AS18" s="22">
        <v>1.21E-2</v>
      </c>
      <c r="AT18" s="22">
        <v>-9.8199999999999996E-2</v>
      </c>
      <c r="AU18" s="22">
        <v>-4.7699999999999999E-2</v>
      </c>
      <c r="AV18" s="22">
        <v>1.66E-2</v>
      </c>
      <c r="AW18" s="22">
        <v>1.7000000000000001E-2</v>
      </c>
      <c r="AX18" s="22">
        <v>5.2400000000000002E-2</v>
      </c>
      <c r="AY18" s="22">
        <v>5.2299999999999999E-2</v>
      </c>
      <c r="AZ18" s="22">
        <v>4.1000000000000002E-2</v>
      </c>
      <c r="BA18" s="22">
        <v>0.4012</v>
      </c>
      <c r="BB18" s="22">
        <v>0.3876</v>
      </c>
      <c r="BC18" s="22">
        <v>0.3412</v>
      </c>
      <c r="BD18" s="22">
        <v>0.22819999999999999</v>
      </c>
      <c r="BE18" s="22">
        <v>0.99760000000000004</v>
      </c>
      <c r="BF18" s="22">
        <v>0.46949999999999997</v>
      </c>
      <c r="BG18" s="22">
        <v>0.83440000000000003</v>
      </c>
      <c r="BH18" s="22">
        <v>2.9750999999999999</v>
      </c>
      <c r="BI18" s="22">
        <v>2.8593999999999999</v>
      </c>
    </row>
    <row r="19" spans="1:61" x14ac:dyDescent="0.2">
      <c r="A19" s="21" t="s">
        <v>99</v>
      </c>
      <c r="B19" s="23">
        <v>22.504200000000001</v>
      </c>
      <c r="C19" s="23">
        <v>13.3101</v>
      </c>
      <c r="D19" s="23">
        <v>6.0415999999999999</v>
      </c>
      <c r="E19" s="23">
        <v>21.283300000000001</v>
      </c>
      <c r="F19" s="23">
        <v>15.441599999999999</v>
      </c>
      <c r="G19" s="23">
        <v>9.6316000000000006</v>
      </c>
      <c r="H19" s="23">
        <v>6.0319000000000003</v>
      </c>
      <c r="I19" s="23">
        <v>13.350300000000001</v>
      </c>
      <c r="J19" s="23">
        <v>8.7568999999999999</v>
      </c>
      <c r="K19" s="23">
        <v>4.9874000000000001</v>
      </c>
      <c r="L19" s="23">
        <v>2.2936999999999999</v>
      </c>
      <c r="M19" s="23">
        <v>12.037800000000001</v>
      </c>
      <c r="N19" s="23">
        <v>8.5709</v>
      </c>
      <c r="O19" s="23">
        <v>5.2910000000000004</v>
      </c>
      <c r="P19" s="23">
        <v>2.6118999999999999</v>
      </c>
      <c r="Q19" s="23">
        <v>9.6181000000000001</v>
      </c>
      <c r="R19" s="23">
        <v>7.4641999999999999</v>
      </c>
      <c r="S19" s="23">
        <v>4.6252000000000004</v>
      </c>
      <c r="T19" s="23">
        <v>2.0640999999999998</v>
      </c>
      <c r="U19" s="23">
        <v>9.8849</v>
      </c>
      <c r="V19" s="23">
        <v>7.2980999999999998</v>
      </c>
      <c r="W19" s="23">
        <v>4.5496999999999996</v>
      </c>
      <c r="X19" s="23">
        <v>1.8593999999999999</v>
      </c>
      <c r="Y19" s="23">
        <v>6.6711999999999998</v>
      </c>
      <c r="Z19" s="23">
        <v>4.6007999999999996</v>
      </c>
      <c r="AA19" s="23">
        <v>2.8513999999999999</v>
      </c>
      <c r="AB19" s="23">
        <v>1.7175</v>
      </c>
      <c r="AC19" s="23">
        <v>10.845000000000001</v>
      </c>
      <c r="AD19" s="23">
        <v>8.8386999999999993</v>
      </c>
      <c r="AE19" s="23">
        <v>5.9629000000000003</v>
      </c>
      <c r="AF19" s="23">
        <v>2.9514999999999998</v>
      </c>
      <c r="AG19" s="23">
        <v>4.9743000000000004</v>
      </c>
      <c r="AH19" s="23">
        <v>2.4047000000000001</v>
      </c>
      <c r="AI19" s="23">
        <v>0.32679999999999998</v>
      </c>
      <c r="AJ19" s="23">
        <v>6.7400000000000002E-2</v>
      </c>
      <c r="AK19" s="23">
        <v>0.60929999999999995</v>
      </c>
      <c r="AL19" s="23">
        <v>0.3826</v>
      </c>
      <c r="AM19" s="23">
        <v>0.26240000000000002</v>
      </c>
      <c r="AN19" s="23">
        <v>4.7800000000000002E-2</v>
      </c>
      <c r="AO19" s="23">
        <v>0.56210000000000004</v>
      </c>
      <c r="AP19" s="23">
        <v>0.32079999999999997</v>
      </c>
      <c r="AQ19" s="23">
        <v>0.19939999999999999</v>
      </c>
      <c r="AR19" s="23">
        <v>8.8800000000000004E-2</v>
      </c>
      <c r="AS19" s="23">
        <v>0.54969999999999997</v>
      </c>
      <c r="AT19" s="23">
        <v>0.66720000000000002</v>
      </c>
      <c r="AU19" s="23">
        <v>0.4849</v>
      </c>
      <c r="AV19" s="23">
        <v>0.31969999999999998</v>
      </c>
      <c r="AW19" s="23">
        <v>0.75429999999999997</v>
      </c>
      <c r="AX19" s="23">
        <v>0.50719999999999998</v>
      </c>
      <c r="AY19" s="23">
        <v>0.31169999999999998</v>
      </c>
      <c r="AZ19" s="23">
        <v>0.26500000000000001</v>
      </c>
      <c r="BA19" s="23">
        <v>1.7498</v>
      </c>
      <c r="BB19" s="23">
        <v>1.603</v>
      </c>
      <c r="BC19" s="23">
        <v>1.28</v>
      </c>
      <c r="BD19" s="23">
        <v>0.76580000000000004</v>
      </c>
      <c r="BE19" s="23">
        <v>3.2416</v>
      </c>
      <c r="BF19" s="23">
        <v>1.7036</v>
      </c>
      <c r="BG19" s="23">
        <v>2.4708999999999999</v>
      </c>
      <c r="BH19" s="23">
        <v>8.6624999999999996</v>
      </c>
      <c r="BI19" s="23">
        <v>8.4918999999999993</v>
      </c>
    </row>
    <row r="20" spans="1:61" x14ac:dyDescent="0.2">
      <c r="A20" s="21" t="s">
        <v>100</v>
      </c>
      <c r="B20" s="22">
        <v>22.504200000000001</v>
      </c>
      <c r="C20" s="22">
        <v>13.3101</v>
      </c>
      <c r="D20" s="22">
        <v>6.0415999999999999</v>
      </c>
      <c r="E20" s="22">
        <v>21.283300000000001</v>
      </c>
      <c r="F20" s="22">
        <v>15.441599999999999</v>
      </c>
      <c r="G20" s="22">
        <v>9.6316000000000006</v>
      </c>
      <c r="H20" s="22">
        <v>6.0319000000000003</v>
      </c>
      <c r="I20" s="22">
        <v>13.350300000000001</v>
      </c>
      <c r="J20" s="22">
        <v>8.7568999999999999</v>
      </c>
      <c r="K20" s="22">
        <v>4.9874000000000001</v>
      </c>
      <c r="L20" s="22">
        <v>2.2936999999999999</v>
      </c>
      <c r="M20" s="22">
        <v>12.037800000000001</v>
      </c>
      <c r="N20" s="22">
        <v>8.5709</v>
      </c>
      <c r="O20" s="22">
        <v>5.2910000000000004</v>
      </c>
      <c r="P20" s="22">
        <v>2.6118999999999999</v>
      </c>
      <c r="Q20" s="22">
        <v>9.6181000000000001</v>
      </c>
      <c r="R20" s="22">
        <v>7.4641999999999999</v>
      </c>
      <c r="S20" s="22">
        <v>4.6252000000000004</v>
      </c>
      <c r="T20" s="22">
        <v>2.0640999999999998</v>
      </c>
      <c r="U20" s="22">
        <v>9.8849</v>
      </c>
      <c r="V20" s="22">
        <v>7.2980999999999998</v>
      </c>
      <c r="W20" s="22">
        <v>4.5496999999999996</v>
      </c>
      <c r="X20" s="22">
        <v>1.8593999999999999</v>
      </c>
      <c r="Y20" s="22">
        <v>6.6711999999999998</v>
      </c>
      <c r="Z20" s="22">
        <v>4.6007999999999996</v>
      </c>
      <c r="AA20" s="22">
        <v>2.8513999999999999</v>
      </c>
      <c r="AB20" s="22">
        <v>1.7175</v>
      </c>
      <c r="AC20" s="22">
        <v>10.845000000000001</v>
      </c>
      <c r="AD20" s="22">
        <v>8.8386999999999993</v>
      </c>
      <c r="AE20" s="22">
        <v>5.9629000000000003</v>
      </c>
      <c r="AF20" s="22">
        <v>2.9514999999999998</v>
      </c>
      <c r="AG20" s="22">
        <v>4.9743000000000004</v>
      </c>
      <c r="AH20" s="22">
        <v>2.4047000000000001</v>
      </c>
      <c r="AI20" s="22">
        <v>0.32679999999999998</v>
      </c>
      <c r="AJ20" s="22">
        <v>6.7400000000000002E-2</v>
      </c>
      <c r="AK20" s="22">
        <v>0.60929999999999995</v>
      </c>
      <c r="AL20" s="22">
        <v>0.3826</v>
      </c>
      <c r="AM20" s="22">
        <v>0.26240000000000002</v>
      </c>
      <c r="AN20" s="22">
        <v>4.7800000000000002E-2</v>
      </c>
      <c r="AO20" s="22">
        <v>0.56210000000000004</v>
      </c>
      <c r="AP20" s="22">
        <v>0.32079999999999997</v>
      </c>
      <c r="AQ20" s="22">
        <v>0.19939999999999999</v>
      </c>
      <c r="AR20" s="22">
        <v>8.8800000000000004E-2</v>
      </c>
      <c r="AS20" s="22">
        <v>0.54969999999999997</v>
      </c>
      <c r="AT20" s="22">
        <v>0.66720000000000002</v>
      </c>
      <c r="AU20" s="22">
        <v>0.4849</v>
      </c>
      <c r="AV20" s="22">
        <v>0.31969999999999998</v>
      </c>
      <c r="AW20" s="22">
        <v>0.75429999999999997</v>
      </c>
      <c r="AX20" s="22">
        <v>0.50719999999999998</v>
      </c>
      <c r="AY20" s="22">
        <v>0.31169999999999998</v>
      </c>
      <c r="AZ20" s="22">
        <v>0.26500000000000001</v>
      </c>
      <c r="BA20" s="22">
        <v>1.7498</v>
      </c>
      <c r="BB20" s="22">
        <v>1.603</v>
      </c>
      <c r="BC20" s="22">
        <v>1.28</v>
      </c>
      <c r="BD20" s="22">
        <v>0.76580000000000004</v>
      </c>
      <c r="BE20" s="22">
        <v>3.2416</v>
      </c>
      <c r="BF20" s="22">
        <v>1.7036</v>
      </c>
      <c r="BG20" s="22">
        <v>2.4708999999999999</v>
      </c>
      <c r="BH20" s="22">
        <v>8.6624999999999996</v>
      </c>
      <c r="BI20" s="22">
        <v>8.4918999999999993</v>
      </c>
    </row>
    <row r="21" spans="1:61" x14ac:dyDescent="0.2">
      <c r="A21" s="21" t="s">
        <v>101</v>
      </c>
      <c r="B21" s="23">
        <v>7.8512000000000004</v>
      </c>
      <c r="C21" s="23">
        <v>4.3239000000000001</v>
      </c>
      <c r="D21" s="23">
        <v>1.7786</v>
      </c>
      <c r="E21" s="23">
        <v>5.3497000000000003</v>
      </c>
      <c r="F21" s="23">
        <v>3.9106999999999998</v>
      </c>
      <c r="G21" s="23">
        <v>2.4178999999999999</v>
      </c>
      <c r="H21" s="23">
        <v>1.4502999999999999</v>
      </c>
      <c r="I21" s="23">
        <v>3.0265</v>
      </c>
      <c r="J21" s="23">
        <v>1.8025</v>
      </c>
      <c r="K21" s="23">
        <v>0.87960000000000005</v>
      </c>
      <c r="L21" s="23">
        <v>0.33739999999999998</v>
      </c>
      <c r="M21" s="23">
        <v>1.7196</v>
      </c>
      <c r="N21" s="23">
        <v>1.1932</v>
      </c>
      <c r="O21" s="23">
        <v>0.67549999999999999</v>
      </c>
      <c r="P21" s="23">
        <v>0.30370000000000003</v>
      </c>
      <c r="Q21" s="23">
        <v>1.2838000000000001</v>
      </c>
      <c r="R21" s="23">
        <v>0.9325</v>
      </c>
      <c r="S21" s="23">
        <v>0.56179999999999997</v>
      </c>
      <c r="T21" s="23">
        <v>0.22620000000000001</v>
      </c>
      <c r="U21" s="23">
        <v>1.4568000000000001</v>
      </c>
      <c r="V21" s="23">
        <v>1.0386</v>
      </c>
      <c r="W21" s="23">
        <v>0.64600000000000002</v>
      </c>
      <c r="X21" s="23">
        <v>0.25469999999999998</v>
      </c>
      <c r="Y21" s="23">
        <v>0.85350000000000004</v>
      </c>
      <c r="Z21" s="23">
        <v>0.57509999999999994</v>
      </c>
      <c r="AA21" s="23">
        <v>0.34399999999999997</v>
      </c>
      <c r="AB21" s="23">
        <v>0.25440000000000002</v>
      </c>
      <c r="AC21" s="23">
        <v>1.5552999999999999</v>
      </c>
      <c r="AD21" s="23">
        <v>1.2237</v>
      </c>
      <c r="AE21" s="23">
        <v>0.81740000000000002</v>
      </c>
      <c r="AF21" s="23">
        <v>0.42670000000000002</v>
      </c>
      <c r="AG21" s="23">
        <v>0.46679999999999999</v>
      </c>
      <c r="AH21" s="23">
        <v>0.35620000000000002</v>
      </c>
      <c r="AI21" s="23">
        <v>1.5699999999999999E-2</v>
      </c>
      <c r="AJ21" s="23">
        <v>-2.1899999999999999E-2</v>
      </c>
      <c r="AK21" s="23">
        <v>4.7300000000000002E-2</v>
      </c>
      <c r="AL21" s="23">
        <v>1.5699999999999999E-2</v>
      </c>
      <c r="AM21" s="23">
        <v>2.7799999999999998E-2</v>
      </c>
      <c r="AN21" s="23">
        <v>-3.32E-2</v>
      </c>
      <c r="AO21" s="23">
        <v>2.4E-2</v>
      </c>
      <c r="AP21" s="23">
        <v>-2.6800000000000001E-2</v>
      </c>
      <c r="AQ21" s="23">
        <v>-2.7E-2</v>
      </c>
      <c r="AR21" s="23">
        <v>-2.47E-2</v>
      </c>
      <c r="AS21" s="23">
        <v>2.1600000000000001E-2</v>
      </c>
      <c r="AT21" s="23">
        <v>5.9799999999999999E-2</v>
      </c>
      <c r="AU21" s="23">
        <v>-4.2700000000000002E-2</v>
      </c>
      <c r="AV21" s="23">
        <v>4.1500000000000002E-2</v>
      </c>
      <c r="AW21" s="23">
        <v>8.6599999999999996E-2</v>
      </c>
      <c r="AX21" s="23">
        <v>0.13700000000000001</v>
      </c>
      <c r="AY21" s="23">
        <v>0.14249999999999999</v>
      </c>
      <c r="AZ21" s="23">
        <v>0.2414</v>
      </c>
      <c r="BA21" s="23">
        <v>0.44940000000000002</v>
      </c>
      <c r="BB21" s="23">
        <v>0.52149999999999996</v>
      </c>
      <c r="BC21" s="23">
        <v>0.4138</v>
      </c>
      <c r="BD21" s="23">
        <v>0.28070000000000001</v>
      </c>
      <c r="BE21" s="23">
        <v>1.2369000000000001</v>
      </c>
      <c r="BF21" s="23">
        <v>0.65039999999999998</v>
      </c>
      <c r="BG21" s="23">
        <v>0.99360000000000004</v>
      </c>
      <c r="BH21" s="23">
        <v>3.4001999999999999</v>
      </c>
      <c r="BI21" s="23">
        <v>3.3529</v>
      </c>
    </row>
    <row r="22" spans="1:61" x14ac:dyDescent="0.2">
      <c r="A22" s="21" t="s">
        <v>102</v>
      </c>
      <c r="B22" s="22">
        <v>7.1231999999999998</v>
      </c>
      <c r="C22" s="22">
        <v>6.7275999999999998</v>
      </c>
      <c r="D22" s="22">
        <v>6.5909000000000004</v>
      </c>
      <c r="E22" s="22">
        <v>6.8958000000000004</v>
      </c>
      <c r="F22" s="22">
        <v>7.6208999999999998</v>
      </c>
      <c r="G22" s="22">
        <v>7.5266999999999999</v>
      </c>
      <c r="H22" s="22">
        <v>10.5756</v>
      </c>
      <c r="I22" s="22">
        <v>10.0365</v>
      </c>
      <c r="J22" s="22">
        <v>10.056900000000001</v>
      </c>
      <c r="K22" s="22">
        <v>10.163500000000001</v>
      </c>
      <c r="L22" s="22">
        <v>9.7489000000000008</v>
      </c>
      <c r="M22" s="22">
        <v>9.9029000000000007</v>
      </c>
      <c r="N22" s="22">
        <v>9.8419000000000008</v>
      </c>
      <c r="O22" s="22">
        <v>9.7987000000000002</v>
      </c>
      <c r="P22" s="22">
        <v>9.7715999999999994</v>
      </c>
      <c r="Q22" s="22">
        <v>9.7477999999999998</v>
      </c>
      <c r="R22" s="22">
        <v>7.3670999999999998</v>
      </c>
      <c r="S22" s="22">
        <v>7.3056999999999999</v>
      </c>
      <c r="T22" s="22">
        <v>7.2595999999999998</v>
      </c>
      <c r="U22" s="22">
        <v>7.2172999999999998</v>
      </c>
      <c r="V22" s="22">
        <v>7.1649000000000003</v>
      </c>
      <c r="W22" s="22">
        <v>7.1378000000000004</v>
      </c>
      <c r="X22" s="22">
        <v>7.1193</v>
      </c>
      <c r="Y22" s="22">
        <v>7.1009000000000002</v>
      </c>
      <c r="Z22" s="22">
        <v>7.0467000000000004</v>
      </c>
      <c r="AA22" s="22">
        <v>7.0096999999999996</v>
      </c>
      <c r="AB22" s="22">
        <v>10.192600000000001</v>
      </c>
      <c r="AC22" s="22">
        <v>7.7746000000000004</v>
      </c>
      <c r="AD22" s="22">
        <v>7.7244000000000002</v>
      </c>
      <c r="AE22" s="22">
        <v>7.5955000000000004</v>
      </c>
      <c r="AF22" s="22">
        <v>7.5503</v>
      </c>
      <c r="AG22" s="22">
        <v>7.5023</v>
      </c>
      <c r="AH22" s="22">
        <v>7.4364999999999997</v>
      </c>
      <c r="AI22" s="22">
        <v>1.0755999999999999</v>
      </c>
      <c r="AJ22" s="22">
        <v>1.0755999999999999</v>
      </c>
      <c r="AK22" s="22">
        <v>1.0755999999999999</v>
      </c>
      <c r="AL22" s="22">
        <v>1.0755999999999999</v>
      </c>
      <c r="AM22" s="22">
        <v>1.0755999999999999</v>
      </c>
      <c r="AN22" s="22">
        <v>1.0755999999999999</v>
      </c>
      <c r="AO22" s="22">
        <v>1.0755999999999999</v>
      </c>
      <c r="AP22" s="22">
        <v>1.0755999999999999</v>
      </c>
      <c r="AQ22" s="22">
        <v>1.0755999999999999</v>
      </c>
      <c r="AR22" s="22">
        <v>1.0755999999999999</v>
      </c>
      <c r="AS22" s="22">
        <v>1.0755999999999999</v>
      </c>
      <c r="AT22" s="22">
        <v>2.6511999999999998</v>
      </c>
      <c r="AU22" s="22">
        <v>2.6511999999999998</v>
      </c>
      <c r="AV22" s="22">
        <v>2.6511999999999998</v>
      </c>
      <c r="AW22" s="22">
        <v>2.6511999999999998</v>
      </c>
      <c r="AX22" s="22">
        <v>2.6511999999999998</v>
      </c>
      <c r="AY22" s="22">
        <v>2.6511999999999998</v>
      </c>
      <c r="AZ22" s="22">
        <v>5.5721999999999996</v>
      </c>
      <c r="BA22" s="22">
        <v>5.5721999999999996</v>
      </c>
      <c r="BB22" s="22">
        <v>5.5721999999999996</v>
      </c>
      <c r="BC22" s="22">
        <v>5.5721999999999996</v>
      </c>
      <c r="BD22" s="22">
        <v>5.5721999999999996</v>
      </c>
      <c r="BE22" s="22">
        <v>1.8101</v>
      </c>
      <c r="BF22" s="22">
        <v>1.8101</v>
      </c>
      <c r="BG22" s="22">
        <v>1.8101</v>
      </c>
      <c r="BH22" s="22">
        <v>-3.5999999999999999E-3</v>
      </c>
      <c r="BI22" s="22">
        <v>-3.5999999999999999E-3</v>
      </c>
    </row>
    <row r="23" spans="1:61" x14ac:dyDescent="0.2">
      <c r="A23" s="21" t="s">
        <v>103</v>
      </c>
      <c r="B23" s="23">
        <v>0.20030000000000001</v>
      </c>
      <c r="C23" s="23">
        <v>0.2016</v>
      </c>
      <c r="D23" s="23">
        <v>0.158</v>
      </c>
      <c r="E23" s="23">
        <v>0.15570000000000001</v>
      </c>
      <c r="F23" s="23">
        <v>0.1007</v>
      </c>
      <c r="G23" s="23">
        <v>0.1007</v>
      </c>
      <c r="H23" s="23">
        <v>0.1406</v>
      </c>
      <c r="I23" s="23">
        <v>0.1406</v>
      </c>
      <c r="J23" s="23">
        <v>9.1300000000000006E-2</v>
      </c>
      <c r="K23" s="23">
        <v>9.1300000000000006E-2</v>
      </c>
      <c r="L23" s="23">
        <v>9.1499999999999998E-2</v>
      </c>
      <c r="M23" s="23">
        <v>9.1499999999999998E-2</v>
      </c>
      <c r="N23" s="23">
        <v>6.9900000000000004E-2</v>
      </c>
      <c r="O23" s="23">
        <v>7.0000000000000007E-2</v>
      </c>
      <c r="P23" s="23">
        <v>7.0000000000000007E-2</v>
      </c>
      <c r="Q23" s="23">
        <v>7.0000000000000007E-2</v>
      </c>
      <c r="R23" s="23">
        <v>5.1200000000000002E-2</v>
      </c>
      <c r="S23" s="23">
        <v>5.1200000000000002E-2</v>
      </c>
      <c r="T23" s="23">
        <v>5.1200000000000002E-2</v>
      </c>
      <c r="U23" s="23">
        <v>5.1200000000000002E-2</v>
      </c>
      <c r="V23" s="23">
        <v>3.7699999999999997E-2</v>
      </c>
      <c r="W23" s="23">
        <v>3.7699999999999997E-2</v>
      </c>
      <c r="X23" s="23">
        <v>3.7699999999999997E-2</v>
      </c>
      <c r="Y23" s="23">
        <v>3.7699999999999997E-2</v>
      </c>
      <c r="Z23" s="23">
        <v>2.8400000000000002E-2</v>
      </c>
      <c r="AA23" s="23">
        <v>2.8400000000000002E-2</v>
      </c>
      <c r="AB23" s="23">
        <v>3.9800000000000002E-2</v>
      </c>
      <c r="AC23" s="23">
        <v>4.2599999999999999E-2</v>
      </c>
      <c r="AD23" s="23">
        <v>2.8000000000000001E-2</v>
      </c>
      <c r="AE23" s="23">
        <v>2.81E-2</v>
      </c>
      <c r="AF23" s="23">
        <v>2.81E-2</v>
      </c>
      <c r="AG23" s="23">
        <v>2.81E-2</v>
      </c>
      <c r="AH23" s="23">
        <v>0.12970000000000001</v>
      </c>
      <c r="AI23" s="23">
        <v>6.1699999999999998E-2</v>
      </c>
      <c r="AJ23" s="23">
        <v>6.1699999999999998E-2</v>
      </c>
      <c r="AK23" s="23">
        <v>6.1699999999999998E-2</v>
      </c>
      <c r="AL23" s="23">
        <v>5.7000000000000002E-2</v>
      </c>
      <c r="AM23" s="23">
        <v>5.7000000000000002E-2</v>
      </c>
      <c r="AN23" s="23">
        <v>5.7000000000000002E-2</v>
      </c>
      <c r="AO23" s="23">
        <v>5.7000000000000002E-2</v>
      </c>
      <c r="AP23" s="23">
        <v>5.4399999999999997E-2</v>
      </c>
      <c r="AQ23" s="23">
        <v>5.4399999999999997E-2</v>
      </c>
      <c r="AR23" s="23">
        <v>5.5300000000000002E-2</v>
      </c>
      <c r="AS23" s="23">
        <v>5.4399999999999997E-2</v>
      </c>
      <c r="AT23" s="23">
        <v>9.1200000000000003E-2</v>
      </c>
      <c r="AU23" s="23">
        <v>9.1200000000000003E-2</v>
      </c>
      <c r="AV23" s="23">
        <v>9.1200000000000003E-2</v>
      </c>
      <c r="AW23" s="23">
        <v>9.1200000000000003E-2</v>
      </c>
      <c r="AX23" s="23">
        <v>7.9299999999999995E-2</v>
      </c>
      <c r="AY23" s="23">
        <v>7.9299999999999995E-2</v>
      </c>
      <c r="AZ23" s="23">
        <v>0.1487</v>
      </c>
      <c r="BA23" s="23">
        <v>0.14280000000000001</v>
      </c>
      <c r="BB23" s="23">
        <v>9.9599999999999994E-2</v>
      </c>
      <c r="BC23" s="23">
        <v>9.9599999999999994E-2</v>
      </c>
      <c r="BD23" s="23">
        <v>9.9599999999999994E-2</v>
      </c>
      <c r="BE23" s="23">
        <v>0.1328</v>
      </c>
      <c r="BF23" s="23">
        <v>7.7600000000000002E-2</v>
      </c>
      <c r="BG23" s="23">
        <v>3.04E-2</v>
      </c>
      <c r="BH23" s="23">
        <v>0.6159</v>
      </c>
      <c r="BI23" s="23">
        <v>0.6159</v>
      </c>
    </row>
    <row r="24" spans="1:61" x14ac:dyDescent="0.2">
      <c r="A24" s="21" t="s">
        <v>104</v>
      </c>
      <c r="B24" s="22">
        <v>15.437200000000001</v>
      </c>
      <c r="C24" s="22">
        <v>12.6128</v>
      </c>
      <c r="D24" s="22">
        <v>11.0502</v>
      </c>
      <c r="E24" s="22">
        <v>9.4761000000000006</v>
      </c>
      <c r="F24" s="22">
        <v>7.5179999999999998</v>
      </c>
      <c r="G24" s="22">
        <v>6.2744</v>
      </c>
      <c r="H24" s="22">
        <v>8.5683000000000007</v>
      </c>
      <c r="I24" s="22">
        <v>7.3110999999999997</v>
      </c>
      <c r="J24" s="22">
        <v>6.2671999999999999</v>
      </c>
      <c r="K24" s="22">
        <v>5.4175000000000004</v>
      </c>
      <c r="L24" s="22">
        <v>5.1722999999999999</v>
      </c>
      <c r="M24" s="22">
        <v>4.8601999999999999</v>
      </c>
      <c r="N24" s="22">
        <v>4.4180999999999999</v>
      </c>
      <c r="O24" s="22">
        <v>3.9750000000000001</v>
      </c>
      <c r="P24" s="22">
        <v>3.8494000000000002</v>
      </c>
      <c r="Q24" s="22">
        <v>3.5756000000000001</v>
      </c>
      <c r="R24" s="22">
        <v>3.5952000000000002</v>
      </c>
      <c r="S24" s="22">
        <v>3.2877000000000001</v>
      </c>
      <c r="T24" s="22">
        <v>3.1173000000000002</v>
      </c>
      <c r="U24" s="22">
        <v>2.93</v>
      </c>
      <c r="V24" s="22">
        <v>2.5710000000000002</v>
      </c>
      <c r="W24" s="22">
        <v>2.2418999999999998</v>
      </c>
      <c r="X24" s="22">
        <v>2.0293000000000001</v>
      </c>
      <c r="Y24" s="22">
        <v>1.8139000000000001</v>
      </c>
      <c r="Z24" s="22">
        <v>1.6036999999999999</v>
      </c>
      <c r="AA24" s="22">
        <v>1.3927</v>
      </c>
      <c r="AB24" s="22">
        <v>1.8632</v>
      </c>
      <c r="AC24" s="22">
        <v>1.7887</v>
      </c>
      <c r="AD24" s="22">
        <v>1.5053000000000001</v>
      </c>
      <c r="AE24" s="22">
        <v>1.1632</v>
      </c>
      <c r="AF24" s="22">
        <v>0.84430000000000005</v>
      </c>
      <c r="AG24" s="22">
        <v>0.53239999999999998</v>
      </c>
      <c r="AH24" s="22">
        <v>0.3493</v>
      </c>
      <c r="AI24" s="22">
        <v>0.43859999999999999</v>
      </c>
      <c r="AJ24" s="22">
        <v>0.40989999999999999</v>
      </c>
      <c r="AK24" s="22">
        <v>0.43030000000000002</v>
      </c>
      <c r="AL24" s="22">
        <v>0.40760000000000002</v>
      </c>
      <c r="AM24" s="22">
        <v>0.42299999999999999</v>
      </c>
      <c r="AN24" s="22">
        <v>0.36830000000000002</v>
      </c>
      <c r="AO24" s="22">
        <v>0.39839999999999998</v>
      </c>
      <c r="AP24" s="22">
        <v>0.35039999999999999</v>
      </c>
      <c r="AQ24" s="22">
        <v>0.3614</v>
      </c>
      <c r="AR24" s="22">
        <v>0.3755</v>
      </c>
      <c r="AS24" s="22">
        <v>0.3851</v>
      </c>
      <c r="AT24" s="22">
        <v>0.66049999999999998</v>
      </c>
      <c r="AU24" s="22">
        <v>0.6069</v>
      </c>
      <c r="AV24" s="22">
        <v>0.6925</v>
      </c>
      <c r="AW24" s="22">
        <v>0.65390000000000004</v>
      </c>
      <c r="AX24" s="22">
        <v>0.69869999999999999</v>
      </c>
      <c r="AY24" s="22">
        <v>0.69199999999999995</v>
      </c>
      <c r="AZ24" s="22">
        <v>1.2853000000000001</v>
      </c>
      <c r="BA24" s="22">
        <v>1.0848</v>
      </c>
      <c r="BB24" s="22">
        <v>1.1342000000000001</v>
      </c>
      <c r="BC24" s="22">
        <v>1.0395000000000001</v>
      </c>
      <c r="BD24" s="22">
        <v>1.1245000000000001</v>
      </c>
      <c r="BE24" s="22">
        <v>1.1951000000000001</v>
      </c>
      <c r="BF24" s="22">
        <v>0.69869999999999999</v>
      </c>
      <c r="BG24" s="22">
        <v>0.27329999999999999</v>
      </c>
      <c r="BH24" s="22">
        <v>6.6233000000000004</v>
      </c>
      <c r="BI24" s="22">
        <v>5.5430000000000001</v>
      </c>
    </row>
    <row r="25" spans="1:61" x14ac:dyDescent="0.2">
      <c r="A25" s="21" t="s">
        <v>105</v>
      </c>
      <c r="B25" s="23">
        <v>15.637600000000001</v>
      </c>
      <c r="C25" s="23">
        <v>12.814500000000001</v>
      </c>
      <c r="D25" s="23">
        <v>11.2082</v>
      </c>
      <c r="E25" s="23">
        <v>9.6318000000000001</v>
      </c>
      <c r="F25" s="23">
        <v>7.6186999999999996</v>
      </c>
      <c r="G25" s="23">
        <v>6.3750999999999998</v>
      </c>
      <c r="H25" s="23">
        <v>8.7088999999999999</v>
      </c>
      <c r="I25" s="23">
        <v>7.4516999999999998</v>
      </c>
      <c r="J25" s="23">
        <v>6.3585000000000003</v>
      </c>
      <c r="K25" s="23">
        <v>5.5088999999999997</v>
      </c>
      <c r="L25" s="23">
        <v>5.2637999999999998</v>
      </c>
      <c r="M25" s="23">
        <v>4.9518000000000004</v>
      </c>
      <c r="N25" s="23">
        <v>4.4880000000000004</v>
      </c>
      <c r="O25" s="23">
        <v>4.0449999999999999</v>
      </c>
      <c r="P25" s="23">
        <v>3.9194</v>
      </c>
      <c r="Q25" s="23">
        <v>3.6456</v>
      </c>
      <c r="R25" s="23">
        <v>3.6463999999999999</v>
      </c>
      <c r="S25" s="23">
        <v>3.3388</v>
      </c>
      <c r="T25" s="23">
        <v>3.1684999999999999</v>
      </c>
      <c r="U25" s="23">
        <v>2.9811999999999999</v>
      </c>
      <c r="V25" s="23">
        <v>2.6088</v>
      </c>
      <c r="W25" s="23">
        <v>2.2795999999999998</v>
      </c>
      <c r="X25" s="23">
        <v>2.0670999999999999</v>
      </c>
      <c r="Y25" s="23">
        <v>1.8515999999999999</v>
      </c>
      <c r="Z25" s="23">
        <v>1.6321000000000001</v>
      </c>
      <c r="AA25" s="23">
        <v>1.4211</v>
      </c>
      <c r="AB25" s="23">
        <v>1.903</v>
      </c>
      <c r="AC25" s="23">
        <v>1.8312999999999999</v>
      </c>
      <c r="AD25" s="23">
        <v>1.5333000000000001</v>
      </c>
      <c r="AE25" s="23">
        <v>1.1913</v>
      </c>
      <c r="AF25" s="23">
        <v>0.87239999999999995</v>
      </c>
      <c r="AG25" s="23">
        <v>0.5605</v>
      </c>
      <c r="AH25" s="23">
        <v>0.47910000000000003</v>
      </c>
      <c r="AI25" s="23">
        <v>0.50019999999999998</v>
      </c>
      <c r="AJ25" s="23">
        <v>0.47160000000000002</v>
      </c>
      <c r="AK25" s="23">
        <v>0.4919</v>
      </c>
      <c r="AL25" s="23">
        <v>0.46460000000000001</v>
      </c>
      <c r="AM25" s="23">
        <v>0.48</v>
      </c>
      <c r="AN25" s="23">
        <v>0.42530000000000001</v>
      </c>
      <c r="AO25" s="23">
        <v>0.45540000000000003</v>
      </c>
      <c r="AP25" s="23">
        <v>0.40489999999999998</v>
      </c>
      <c r="AQ25" s="23">
        <v>0.41589999999999999</v>
      </c>
      <c r="AR25" s="23">
        <v>0.43080000000000002</v>
      </c>
      <c r="AS25" s="23">
        <v>0.4395</v>
      </c>
      <c r="AT25" s="23">
        <v>0.75160000000000005</v>
      </c>
      <c r="AU25" s="23">
        <v>0.69810000000000005</v>
      </c>
      <c r="AV25" s="23">
        <v>0.78369999999999995</v>
      </c>
      <c r="AW25" s="23">
        <v>0.74509999999999998</v>
      </c>
      <c r="AX25" s="23">
        <v>0.77800000000000002</v>
      </c>
      <c r="AY25" s="23">
        <v>0.77129999999999999</v>
      </c>
      <c r="AZ25" s="23">
        <v>1.4339999999999999</v>
      </c>
      <c r="BA25" s="23">
        <v>1.2275</v>
      </c>
      <c r="BB25" s="23">
        <v>1.2338</v>
      </c>
      <c r="BC25" s="23">
        <v>1.1391</v>
      </c>
      <c r="BD25" s="23">
        <v>1.2241</v>
      </c>
      <c r="BE25" s="23">
        <v>1.3279000000000001</v>
      </c>
      <c r="BF25" s="23">
        <v>0.77629999999999999</v>
      </c>
      <c r="BG25" s="23">
        <v>0.30370000000000003</v>
      </c>
      <c r="BH25" s="23">
        <v>7.2392000000000003</v>
      </c>
      <c r="BI25" s="23">
        <v>6.1588000000000003</v>
      </c>
    </row>
    <row r="26" spans="1:61" x14ac:dyDescent="0.2">
      <c r="A26" s="21" t="s">
        <v>106</v>
      </c>
      <c r="B26" s="22">
        <v>2.4792999999999998</v>
      </c>
      <c r="C26" s="22">
        <v>1.9254</v>
      </c>
      <c r="D26" s="22">
        <v>1.8664000000000001</v>
      </c>
      <c r="E26" s="22">
        <v>1.5643</v>
      </c>
      <c r="F26" s="22">
        <v>0.1021</v>
      </c>
      <c r="G26" s="22">
        <v>-5.3E-3</v>
      </c>
      <c r="H26" s="22">
        <v>0.41399999999999998</v>
      </c>
      <c r="I26" s="22">
        <v>0.52980000000000005</v>
      </c>
      <c r="J26" s="22">
        <v>1.8605</v>
      </c>
      <c r="K26" s="22">
        <v>1.5893999999999999</v>
      </c>
      <c r="L26" s="22">
        <v>2.0072999999999999</v>
      </c>
      <c r="M26" s="22">
        <v>-0.85009999999999997</v>
      </c>
      <c r="N26" s="22">
        <v>-1.0812999999999999</v>
      </c>
      <c r="O26" s="22">
        <v>-1.1224000000000001</v>
      </c>
      <c r="P26" s="22">
        <v>-0.87260000000000004</v>
      </c>
      <c r="Q26" s="22">
        <v>2.3014000000000001</v>
      </c>
      <c r="R26" s="22">
        <v>-0.61770000000000003</v>
      </c>
      <c r="S26" s="22">
        <v>-0.48520000000000002</v>
      </c>
      <c r="T26" s="22">
        <v>-1.127</v>
      </c>
      <c r="U26" s="22">
        <v>0.5776</v>
      </c>
      <c r="V26" s="22">
        <v>0.1479</v>
      </c>
      <c r="W26" s="22">
        <v>0.25900000000000001</v>
      </c>
      <c r="X26" s="22">
        <v>-0.34620000000000001</v>
      </c>
      <c r="Y26" s="22">
        <v>0.27339999999999998</v>
      </c>
      <c r="Z26" s="22">
        <v>0.21870000000000001</v>
      </c>
      <c r="AA26" s="22">
        <v>1.3071999999999999</v>
      </c>
      <c r="AB26" s="22">
        <v>2.6137000000000001</v>
      </c>
      <c r="AC26" s="22">
        <v>0.29170000000000001</v>
      </c>
      <c r="AD26" s="22">
        <v>2.9899999999999999E-2</v>
      </c>
      <c r="AE26" s="22">
        <v>0.61499999999999999</v>
      </c>
      <c r="AF26" s="22">
        <v>-0.71199999999999997</v>
      </c>
      <c r="AG26" s="22">
        <v>1.8337000000000001</v>
      </c>
      <c r="AH26" s="22">
        <v>1.7623</v>
      </c>
      <c r="AI26" s="22">
        <v>0.15790000000000001</v>
      </c>
      <c r="AJ26" s="22">
        <v>0.18709999999999999</v>
      </c>
      <c r="AK26" s="22">
        <v>-0.2266</v>
      </c>
      <c r="AL26" s="22">
        <v>-0.30199999999999999</v>
      </c>
      <c r="AM26" s="22">
        <v>0.1318</v>
      </c>
      <c r="AN26" s="22">
        <v>-8.6400000000000005E-2</v>
      </c>
      <c r="AO26" s="22">
        <v>0.2878</v>
      </c>
      <c r="AP26" s="22">
        <v>0.1028</v>
      </c>
      <c r="AQ26" s="22">
        <v>0.1069</v>
      </c>
      <c r="AR26" s="22">
        <v>8.0600000000000005E-2</v>
      </c>
      <c r="AS26" s="22">
        <v>-0.2427</v>
      </c>
      <c r="AT26" s="22">
        <v>-0.39129999999999998</v>
      </c>
      <c r="AU26" s="22">
        <v>-0.47199999999999998</v>
      </c>
      <c r="AV26" s="22">
        <v>-0.2853</v>
      </c>
      <c r="AW26" s="22">
        <v>0.38440000000000002</v>
      </c>
      <c r="AX26" s="22">
        <v>-0.26069999999999999</v>
      </c>
      <c r="AY26" s="22">
        <v>-0.3125</v>
      </c>
      <c r="AZ26" s="22">
        <v>5.8799999999999998E-2</v>
      </c>
      <c r="BA26" s="22">
        <v>-0.16039999999999999</v>
      </c>
      <c r="BB26" s="22">
        <v>3.0569999999999999</v>
      </c>
      <c r="BC26" s="22">
        <v>3.1888000000000001</v>
      </c>
      <c r="BD26" s="22">
        <v>4.2358000000000002</v>
      </c>
      <c r="BE26" s="22">
        <v>6.7000000000000002E-3</v>
      </c>
      <c r="BF26" s="22">
        <v>0.16950000000000001</v>
      </c>
      <c r="BG26" s="22">
        <v>0.2248</v>
      </c>
      <c r="BH26" s="22">
        <v>2.0817999999999999</v>
      </c>
      <c r="BI26" s="22">
        <v>-0.23469999999999999</v>
      </c>
    </row>
    <row r="27" spans="1:61" x14ac:dyDescent="0.2">
      <c r="A27" s="21" t="s">
        <v>107</v>
      </c>
      <c r="B27" s="23">
        <v>3.2616999999999998</v>
      </c>
      <c r="C27" s="23">
        <v>1.7084999999999999</v>
      </c>
      <c r="D27" s="23">
        <v>1.2595000000000001</v>
      </c>
      <c r="E27" s="23">
        <v>-1.1648000000000001</v>
      </c>
      <c r="F27" s="23">
        <v>-2.11</v>
      </c>
      <c r="G27" s="23">
        <v>-1.2733000000000001</v>
      </c>
      <c r="H27" s="23">
        <v>-1.746</v>
      </c>
      <c r="I27" s="23">
        <v>0.81720000000000004</v>
      </c>
      <c r="J27" s="23">
        <v>1.0349999999999999</v>
      </c>
      <c r="K27" s="23">
        <v>1.6113</v>
      </c>
      <c r="L27" s="23">
        <v>1.2386999999999999</v>
      </c>
      <c r="M27" s="23">
        <v>2.2961999999999998</v>
      </c>
      <c r="N27" s="23">
        <v>0.7661</v>
      </c>
      <c r="O27" s="23">
        <v>1.1988000000000001</v>
      </c>
      <c r="P27" s="23">
        <v>-0.76239999999999997</v>
      </c>
      <c r="Q27" s="23">
        <v>-0.372</v>
      </c>
      <c r="R27" s="23">
        <v>-1.1107</v>
      </c>
      <c r="S27" s="23">
        <v>-0.52980000000000005</v>
      </c>
      <c r="T27" s="23">
        <v>-8.9200000000000002E-2</v>
      </c>
      <c r="U27" s="23">
        <v>-1.2781</v>
      </c>
      <c r="V27" s="23">
        <v>-1.3159000000000001</v>
      </c>
      <c r="W27" s="23">
        <v>-0.40179999999999999</v>
      </c>
      <c r="X27" s="23">
        <v>-0.97589999999999999</v>
      </c>
      <c r="Y27" s="23">
        <v>-2.3548</v>
      </c>
      <c r="Z27" s="23">
        <v>-2.4618000000000002</v>
      </c>
      <c r="AA27" s="23">
        <v>-0.98340000000000005</v>
      </c>
      <c r="AB27" s="23">
        <v>-1.8077000000000001</v>
      </c>
      <c r="AC27" s="23">
        <v>0.47549999999999998</v>
      </c>
      <c r="AD27" s="23">
        <v>-1.0712999999999999</v>
      </c>
      <c r="AE27" s="23">
        <v>-0.34539999999999998</v>
      </c>
      <c r="AF27" s="23">
        <v>-0.73880000000000001</v>
      </c>
      <c r="AG27" s="23">
        <v>-2.1888000000000001</v>
      </c>
      <c r="AH27" s="23">
        <v>-2.6797</v>
      </c>
      <c r="AI27" s="23">
        <v>-7.4999999999999997E-3</v>
      </c>
      <c r="AJ27" s="23">
        <v>-5.8799999999999998E-2</v>
      </c>
      <c r="AK27" s="23">
        <v>-0.28649999999999998</v>
      </c>
      <c r="AL27" s="23">
        <v>-0.1022</v>
      </c>
      <c r="AM27" s="23">
        <v>-5.4600000000000003E-2</v>
      </c>
      <c r="AN27" s="23">
        <v>-0.1817</v>
      </c>
      <c r="AO27" s="23">
        <v>-0.10440000000000001</v>
      </c>
      <c r="AP27" s="23">
        <v>-0.1009</v>
      </c>
      <c r="AQ27" s="23">
        <v>9.8699999999999996E-2</v>
      </c>
      <c r="AR27" s="23">
        <v>5.04E-2</v>
      </c>
      <c r="AS27" s="23">
        <v>-0.27379999999999999</v>
      </c>
      <c r="AT27" s="23">
        <v>-0.38200000000000001</v>
      </c>
      <c r="AU27" s="23">
        <v>-2.2800000000000001E-2</v>
      </c>
      <c r="AV27" s="23">
        <v>-0.2707</v>
      </c>
      <c r="AW27" s="23">
        <v>-0.5202</v>
      </c>
      <c r="AX27" s="23">
        <v>-0.52829999999999999</v>
      </c>
      <c r="AY27" s="23">
        <v>-0.38800000000000001</v>
      </c>
      <c r="AZ27" s="23">
        <v>-0.1719</v>
      </c>
      <c r="BA27" s="23">
        <v>-0.60189999999999999</v>
      </c>
      <c r="BB27" s="23">
        <v>-0.64219999999999999</v>
      </c>
      <c r="BC27" s="23">
        <v>-0.4254</v>
      </c>
      <c r="BD27" s="23">
        <v>-0.1908</v>
      </c>
      <c r="BE27" s="23">
        <v>-6.1899999999999997E-2</v>
      </c>
      <c r="BF27" s="23">
        <v>1.9099999999999999E-2</v>
      </c>
      <c r="BG27" s="23">
        <v>-1.1162000000000001</v>
      </c>
      <c r="BH27" s="23">
        <v>6.4356999999999998</v>
      </c>
      <c r="BI27" s="23"/>
    </row>
    <row r="28" spans="1:61" x14ac:dyDescent="0.2">
      <c r="A28" s="21" t="s">
        <v>108</v>
      </c>
      <c r="B28" s="22">
        <v>2.4226000000000001</v>
      </c>
      <c r="C28" s="22">
        <v>1.7664</v>
      </c>
      <c r="D28" s="22">
        <v>1.325</v>
      </c>
      <c r="E28" s="22">
        <v>0.33829999999999999</v>
      </c>
      <c r="F28" s="22">
        <v>-1.1523000000000001</v>
      </c>
      <c r="G28" s="22">
        <v>-0.8498</v>
      </c>
      <c r="H28" s="22">
        <v>-1.4786999999999999</v>
      </c>
      <c r="I28" s="22">
        <v>0.16450000000000001</v>
      </c>
      <c r="J28" s="22">
        <v>-5.3499999999999999E-2</v>
      </c>
      <c r="K28" s="22">
        <v>0.80940000000000001</v>
      </c>
      <c r="L28" s="22">
        <v>1.0999000000000001</v>
      </c>
      <c r="M28" s="22">
        <v>1.4232</v>
      </c>
      <c r="N28" s="22">
        <v>0.1278</v>
      </c>
      <c r="O28" s="22">
        <v>0.54879999999999995</v>
      </c>
      <c r="P28" s="22">
        <v>-0.99460000000000004</v>
      </c>
      <c r="Q28" s="22">
        <v>-0.69550000000000001</v>
      </c>
      <c r="R28" s="22">
        <v>-0.40989999999999999</v>
      </c>
      <c r="S28" s="22">
        <v>0.27329999999999999</v>
      </c>
      <c r="T28" s="22">
        <v>-0.2203</v>
      </c>
      <c r="U28" s="22">
        <v>0.71430000000000005</v>
      </c>
      <c r="V28" s="22">
        <v>4.8599999999999997E-2</v>
      </c>
      <c r="W28" s="22">
        <v>0.49180000000000001</v>
      </c>
      <c r="X28" s="22">
        <v>-0.44969999999999999</v>
      </c>
      <c r="Y28" s="22">
        <v>-2.1312000000000002</v>
      </c>
      <c r="Z28" s="22">
        <v>-2.2844000000000002</v>
      </c>
      <c r="AA28" s="22">
        <v>-0.88859999999999995</v>
      </c>
      <c r="AB28" s="22">
        <v>-1.5444</v>
      </c>
      <c r="AC28" s="22">
        <v>0.79290000000000005</v>
      </c>
      <c r="AD28" s="22">
        <v>-0.72850000000000004</v>
      </c>
      <c r="AE28" s="22">
        <v>0.41310000000000002</v>
      </c>
      <c r="AF28" s="22">
        <v>-0.75290000000000001</v>
      </c>
      <c r="AG28" s="22">
        <v>-1.6408</v>
      </c>
      <c r="AH28" s="22">
        <v>-2.1168</v>
      </c>
      <c r="AI28" s="22">
        <v>-7.4999999999999997E-3</v>
      </c>
      <c r="AJ28" s="22">
        <v>-5.8799999999999998E-2</v>
      </c>
      <c r="AK28" s="22">
        <v>-0.28649999999999998</v>
      </c>
      <c r="AL28" s="22">
        <v>-0.1022</v>
      </c>
      <c r="AM28" s="22">
        <v>-5.4600000000000003E-2</v>
      </c>
      <c r="AN28" s="22">
        <v>-0.1817</v>
      </c>
      <c r="AO28" s="22">
        <v>-0.24329999999999999</v>
      </c>
      <c r="AP28" s="22">
        <v>-0.23980000000000001</v>
      </c>
      <c r="AQ28" s="22">
        <v>9.8699999999999996E-2</v>
      </c>
      <c r="AR28" s="22">
        <v>5.04E-2</v>
      </c>
      <c r="AS28" s="22">
        <v>-0.22509999999999999</v>
      </c>
      <c r="AT28" s="22">
        <v>-0.29409999999999997</v>
      </c>
      <c r="AU28" s="22">
        <v>-0.18479999999999999</v>
      </c>
      <c r="AV28" s="22">
        <v>-0.2707</v>
      </c>
      <c r="AW28" s="22">
        <v>-0.34899999999999998</v>
      </c>
      <c r="AX28" s="22">
        <v>-0.52829999999999999</v>
      </c>
      <c r="AY28" s="22">
        <v>-0.38800000000000001</v>
      </c>
      <c r="AZ28" s="22">
        <v>-0.1719</v>
      </c>
      <c r="BA28" s="22">
        <v>-1.2019</v>
      </c>
      <c r="BB28" s="22">
        <v>-1.2422</v>
      </c>
      <c r="BC28" s="22">
        <v>-1.0253000000000001</v>
      </c>
      <c r="BD28" s="22">
        <v>-0.1908</v>
      </c>
      <c r="BE28" s="22">
        <v>0.33810000000000001</v>
      </c>
      <c r="BF28" s="22">
        <v>0.41909999999999997</v>
      </c>
      <c r="BG28" s="22">
        <v>-0.71619999999999995</v>
      </c>
      <c r="BH28" s="22">
        <v>6.4356999999999998</v>
      </c>
      <c r="BI28" s="22"/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0189-85EE-4969-A69D-61B4873E1DDC}">
  <dimension ref="A1:BI46"/>
  <sheetViews>
    <sheetView workbookViewId="0"/>
  </sheetViews>
  <sheetFormatPr defaultRowHeight="14.25" x14ac:dyDescent="0.2"/>
  <cols>
    <col min="1" max="1" width="46.375" bestFit="1" customWidth="1"/>
  </cols>
  <sheetData>
    <row r="1" spans="1:61" x14ac:dyDescent="0.2">
      <c r="A1" s="1" t="s">
        <v>0</v>
      </c>
      <c r="B1" s="3" t="s">
        <v>4</v>
      </c>
    </row>
    <row r="2" spans="1:61" x14ac:dyDescent="0.2">
      <c r="A2" s="1" t="s">
        <v>1</v>
      </c>
      <c r="B2" s="2" t="str">
        <f>[1]!S_INFO_NAME($B$1)</f>
        <v>中际旭创</v>
      </c>
    </row>
    <row r="3" spans="1:61" x14ac:dyDescent="0.2">
      <c r="A3" s="1" t="s">
        <v>2</v>
      </c>
      <c r="B3" s="3">
        <v>1988</v>
      </c>
    </row>
    <row r="4" spans="1:61" x14ac:dyDescent="0.2">
      <c r="A4" s="1" t="s">
        <v>3</v>
      </c>
      <c r="B4" s="3">
        <v>2026</v>
      </c>
    </row>
    <row r="5" spans="1:61" x14ac:dyDescent="0.2">
      <c r="A5" s="8" t="str">
        <f>[1]!WFR(B1,B3&amp;":"&amp;B4,"Func=Rpt.ProfEarnQuality20","rptType=1","singleSeason=0","unit=1","currencyType=ORIG","order=LEFT","rate=HISTORY","version=2","quarterindic=0","showcurrency=0","reportPeriod=31","cols=60;rows=40")</f>
        <v xml:space="preserve">                                                                                                              </v>
      </c>
    </row>
    <row r="6" spans="1:61" x14ac:dyDescent="0.2">
      <c r="A6" s="5" t="s">
        <v>126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x14ac:dyDescent="0.2">
      <c r="A7" s="6" t="s">
        <v>6</v>
      </c>
      <c r="B7" s="9">
        <v>45930</v>
      </c>
      <c r="C7" s="9">
        <v>45838</v>
      </c>
      <c r="D7" s="9">
        <v>45747</v>
      </c>
      <c r="E7" s="9">
        <v>45657</v>
      </c>
      <c r="F7" s="9">
        <v>45565</v>
      </c>
      <c r="G7" s="9">
        <v>45473</v>
      </c>
      <c r="H7" s="9">
        <v>45382</v>
      </c>
      <c r="I7" s="9">
        <v>45291</v>
      </c>
      <c r="J7" s="9">
        <v>45199</v>
      </c>
      <c r="K7" s="9">
        <v>45107</v>
      </c>
      <c r="L7" s="9">
        <v>45016</v>
      </c>
      <c r="M7" s="9">
        <v>44926</v>
      </c>
      <c r="N7" s="9">
        <v>44834</v>
      </c>
      <c r="O7" s="9">
        <v>44742</v>
      </c>
      <c r="P7" s="9">
        <v>44651</v>
      </c>
      <c r="Q7" s="9">
        <v>44561</v>
      </c>
      <c r="R7" s="9">
        <v>44469</v>
      </c>
      <c r="S7" s="9">
        <v>44377</v>
      </c>
      <c r="T7" s="9">
        <v>44286</v>
      </c>
      <c r="U7" s="9">
        <v>44196</v>
      </c>
      <c r="V7" s="9">
        <v>44104</v>
      </c>
      <c r="W7" s="9">
        <v>44012</v>
      </c>
      <c r="X7" s="9">
        <v>43921</v>
      </c>
      <c r="Y7" s="9">
        <v>43830</v>
      </c>
      <c r="Z7" s="9">
        <v>43738</v>
      </c>
      <c r="AA7" s="9">
        <v>43646</v>
      </c>
      <c r="AB7" s="9">
        <v>43555</v>
      </c>
      <c r="AC7" s="9">
        <v>43465</v>
      </c>
      <c r="AD7" s="9">
        <v>43373</v>
      </c>
      <c r="AE7" s="9">
        <v>43281</v>
      </c>
      <c r="AF7" s="9">
        <v>43190</v>
      </c>
      <c r="AG7" s="9">
        <v>43100</v>
      </c>
      <c r="AH7" s="9">
        <v>43008</v>
      </c>
      <c r="AI7" s="9">
        <v>42916</v>
      </c>
      <c r="AJ7" s="9">
        <v>42825</v>
      </c>
      <c r="AK7" s="9">
        <v>42735</v>
      </c>
      <c r="AL7" s="9">
        <v>42643</v>
      </c>
      <c r="AM7" s="9">
        <v>42551</v>
      </c>
      <c r="AN7" s="9">
        <v>42460</v>
      </c>
      <c r="AO7" s="9">
        <v>42369</v>
      </c>
      <c r="AP7" s="9">
        <v>42277</v>
      </c>
      <c r="AQ7" s="9">
        <v>42185</v>
      </c>
      <c r="AR7" s="9">
        <v>42094</v>
      </c>
      <c r="AS7" s="9">
        <v>42004</v>
      </c>
      <c r="AT7" s="9">
        <v>41912</v>
      </c>
      <c r="AU7" s="9">
        <v>41820</v>
      </c>
      <c r="AV7" s="9">
        <v>41729</v>
      </c>
      <c r="AW7" s="9">
        <v>41639</v>
      </c>
      <c r="AX7" s="9">
        <v>41547</v>
      </c>
      <c r="AY7" s="9">
        <v>41455</v>
      </c>
      <c r="AZ7" s="9">
        <v>41364</v>
      </c>
      <c r="BA7" s="9">
        <v>41274</v>
      </c>
      <c r="BB7" s="9">
        <v>41182</v>
      </c>
      <c r="BC7" s="9">
        <v>41090</v>
      </c>
      <c r="BD7" s="9">
        <v>40999</v>
      </c>
      <c r="BE7" s="9">
        <v>40908</v>
      </c>
      <c r="BF7" s="9">
        <v>40724</v>
      </c>
      <c r="BG7" s="9">
        <v>40543</v>
      </c>
      <c r="BH7" s="9">
        <v>40178</v>
      </c>
      <c r="BI7" s="9">
        <v>39813</v>
      </c>
    </row>
    <row r="8" spans="1:61" x14ac:dyDescent="0.2">
      <c r="A8" s="7" t="s">
        <v>7</v>
      </c>
      <c r="B8" s="10" t="s">
        <v>84</v>
      </c>
      <c r="C8" s="10" t="s">
        <v>109</v>
      </c>
      <c r="D8" s="10" t="s">
        <v>110</v>
      </c>
      <c r="E8" s="10" t="s">
        <v>82</v>
      </c>
      <c r="F8" s="10" t="s">
        <v>84</v>
      </c>
      <c r="G8" s="10" t="s">
        <v>109</v>
      </c>
      <c r="H8" s="10" t="s">
        <v>110</v>
      </c>
      <c r="I8" s="10" t="s">
        <v>82</v>
      </c>
      <c r="J8" s="10" t="s">
        <v>84</v>
      </c>
      <c r="K8" s="10" t="s">
        <v>109</v>
      </c>
      <c r="L8" s="10" t="s">
        <v>110</v>
      </c>
      <c r="M8" s="10" t="s">
        <v>82</v>
      </c>
      <c r="N8" s="10" t="s">
        <v>84</v>
      </c>
      <c r="O8" s="10" t="s">
        <v>109</v>
      </c>
      <c r="P8" s="10" t="s">
        <v>110</v>
      </c>
      <c r="Q8" s="10" t="s">
        <v>82</v>
      </c>
      <c r="R8" s="10" t="s">
        <v>84</v>
      </c>
      <c r="S8" s="10" t="s">
        <v>109</v>
      </c>
      <c r="T8" s="10" t="s">
        <v>110</v>
      </c>
      <c r="U8" s="10" t="s">
        <v>82</v>
      </c>
      <c r="V8" s="10" t="s">
        <v>84</v>
      </c>
      <c r="W8" s="10" t="s">
        <v>109</v>
      </c>
      <c r="X8" s="10" t="s">
        <v>110</v>
      </c>
      <c r="Y8" s="10" t="s">
        <v>82</v>
      </c>
      <c r="Z8" s="10" t="s">
        <v>84</v>
      </c>
      <c r="AA8" s="10" t="s">
        <v>109</v>
      </c>
      <c r="AB8" s="10" t="s">
        <v>110</v>
      </c>
      <c r="AC8" s="10" t="s">
        <v>82</v>
      </c>
      <c r="AD8" s="10" t="s">
        <v>84</v>
      </c>
      <c r="AE8" s="10" t="s">
        <v>109</v>
      </c>
      <c r="AF8" s="10" t="s">
        <v>110</v>
      </c>
      <c r="AG8" s="10" t="s">
        <v>82</v>
      </c>
      <c r="AH8" s="10" t="s">
        <v>84</v>
      </c>
      <c r="AI8" s="10" t="s">
        <v>109</v>
      </c>
      <c r="AJ8" s="10" t="s">
        <v>110</v>
      </c>
      <c r="AK8" s="10" t="s">
        <v>82</v>
      </c>
      <c r="AL8" s="10" t="s">
        <v>84</v>
      </c>
      <c r="AM8" s="10" t="s">
        <v>109</v>
      </c>
      <c r="AN8" s="10" t="s">
        <v>110</v>
      </c>
      <c r="AO8" s="10" t="s">
        <v>82</v>
      </c>
      <c r="AP8" s="10" t="s">
        <v>84</v>
      </c>
      <c r="AQ8" s="10" t="s">
        <v>109</v>
      </c>
      <c r="AR8" s="10" t="s">
        <v>110</v>
      </c>
      <c r="AS8" s="10" t="s">
        <v>82</v>
      </c>
      <c r="AT8" s="10" t="s">
        <v>84</v>
      </c>
      <c r="AU8" s="10" t="s">
        <v>109</v>
      </c>
      <c r="AV8" s="10" t="s">
        <v>110</v>
      </c>
      <c r="AW8" s="10" t="s">
        <v>82</v>
      </c>
      <c r="AX8" s="10" t="s">
        <v>84</v>
      </c>
      <c r="AY8" s="10" t="s">
        <v>109</v>
      </c>
      <c r="AZ8" s="10" t="s">
        <v>110</v>
      </c>
      <c r="BA8" s="10" t="s">
        <v>82</v>
      </c>
      <c r="BB8" s="10" t="s">
        <v>84</v>
      </c>
      <c r="BC8" s="10" t="s">
        <v>109</v>
      </c>
      <c r="BD8" s="10" t="s">
        <v>110</v>
      </c>
      <c r="BE8" s="10" t="s">
        <v>82</v>
      </c>
      <c r="BF8" s="10" t="s">
        <v>109</v>
      </c>
      <c r="BG8" s="10" t="s">
        <v>82</v>
      </c>
      <c r="BH8" s="10" t="s">
        <v>82</v>
      </c>
      <c r="BI8" s="10" t="s">
        <v>82</v>
      </c>
    </row>
    <row r="9" spans="1:61" x14ac:dyDescent="0.2">
      <c r="A9" s="7" t="s">
        <v>127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61" x14ac:dyDescent="0.2">
      <c r="A10" s="7" t="s">
        <v>128</v>
      </c>
      <c r="B10" s="10">
        <v>27.0258</v>
      </c>
      <c r="C10" s="10">
        <v>17.508299999999998</v>
      </c>
      <c r="D10" s="10">
        <v>7.6413000000000002</v>
      </c>
      <c r="E10" s="10">
        <v>27.027899999999999</v>
      </c>
      <c r="F10" s="10">
        <v>21.2439</v>
      </c>
      <c r="G10" s="10">
        <v>14.575900000000001</v>
      </c>
      <c r="H10" s="10">
        <v>6.4265999999999996</v>
      </c>
      <c r="I10" s="10">
        <v>15.241</v>
      </c>
      <c r="J10" s="10">
        <v>9.5495999999999999</v>
      </c>
      <c r="K10" s="10">
        <v>4.7272999999999996</v>
      </c>
      <c r="L10" s="10">
        <v>2.0188999999999999</v>
      </c>
      <c r="M10" s="10">
        <v>10.246700000000001</v>
      </c>
      <c r="N10" s="10">
        <v>7.2020999999999997</v>
      </c>
      <c r="O10" s="10">
        <v>4.2107000000000001</v>
      </c>
      <c r="P10" s="10">
        <v>1.8540000000000001</v>
      </c>
      <c r="Q10" s="10">
        <v>7.6332000000000004</v>
      </c>
      <c r="R10" s="10">
        <v>6.5536000000000003</v>
      </c>
      <c r="S10" s="10">
        <v>4.1551</v>
      </c>
      <c r="T10" s="10">
        <v>1.6517999999999999</v>
      </c>
      <c r="U10" s="10">
        <v>10.970499999999999</v>
      </c>
      <c r="V10" s="10">
        <v>7.9039000000000001</v>
      </c>
      <c r="W10" s="10">
        <v>5.0293000000000001</v>
      </c>
      <c r="X10" s="10">
        <v>2.1655000000000002</v>
      </c>
      <c r="Y10" s="10">
        <v>7.4137000000000004</v>
      </c>
      <c r="Z10" s="10">
        <v>5.3120000000000003</v>
      </c>
      <c r="AA10" s="10">
        <v>3.2067000000000001</v>
      </c>
      <c r="AB10" s="10">
        <v>1.5522</v>
      </c>
      <c r="AC10" s="10">
        <v>13.045500000000001</v>
      </c>
      <c r="AD10" s="10">
        <v>10.610300000000001</v>
      </c>
      <c r="AE10" s="10">
        <v>7.2864000000000004</v>
      </c>
      <c r="AF10" s="10">
        <v>3.5381</v>
      </c>
      <c r="AG10" s="10">
        <v>4.0316999999999998</v>
      </c>
      <c r="AH10" s="10">
        <v>2.9887999999999999</v>
      </c>
      <c r="AI10" s="10">
        <v>0.71140000000000003</v>
      </c>
      <c r="AJ10" s="10">
        <v>-0.79459999999999997</v>
      </c>
      <c r="AK10" s="10">
        <v>1.8089999999999999</v>
      </c>
      <c r="AL10" s="10">
        <v>0.75490000000000002</v>
      </c>
      <c r="AM10" s="10">
        <v>0.96260000000000001</v>
      </c>
      <c r="AN10" s="10">
        <v>-1.2001999999999999</v>
      </c>
      <c r="AO10" s="10">
        <v>1.0204</v>
      </c>
      <c r="AP10" s="10">
        <v>-0.9899</v>
      </c>
      <c r="AQ10" s="10">
        <v>-0.94589999999999996</v>
      </c>
      <c r="AR10" s="10">
        <v>-0.70550000000000002</v>
      </c>
      <c r="AS10" s="10">
        <v>1.4984</v>
      </c>
      <c r="AT10" s="10">
        <v>0.64710000000000001</v>
      </c>
      <c r="AU10" s="10">
        <v>-0.57150000000000001</v>
      </c>
      <c r="AV10" s="10">
        <v>0.86809999999999998</v>
      </c>
      <c r="AW10" s="10">
        <v>2.6903000000000001</v>
      </c>
      <c r="AX10" s="10">
        <v>3.4114</v>
      </c>
      <c r="AY10" s="10">
        <v>3.2665999999999999</v>
      </c>
      <c r="AZ10" s="10">
        <v>2.5760999999999998</v>
      </c>
      <c r="BA10" s="10">
        <v>5.52</v>
      </c>
      <c r="BB10" s="10">
        <v>5.6097999999999999</v>
      </c>
      <c r="BC10" s="10">
        <v>4.45</v>
      </c>
      <c r="BD10" s="10">
        <v>2.9272</v>
      </c>
      <c r="BE10" s="10"/>
      <c r="BF10" s="10"/>
      <c r="BG10" s="10"/>
      <c r="BH10" s="10"/>
      <c r="BI10" s="10"/>
    </row>
    <row r="11" spans="1:61" x14ac:dyDescent="0.2">
      <c r="A11" s="7" t="s">
        <v>129</v>
      </c>
      <c r="B11" s="11">
        <v>31.22</v>
      </c>
      <c r="C11" s="11">
        <v>18.84</v>
      </c>
      <c r="D11" s="11">
        <v>7.94</v>
      </c>
      <c r="E11" s="11">
        <v>31.23</v>
      </c>
      <c r="F11" s="11">
        <v>23.68</v>
      </c>
      <c r="G11" s="11">
        <v>15.45</v>
      </c>
      <c r="H11" s="11">
        <v>6.82</v>
      </c>
      <c r="I11" s="11">
        <v>16.579999999999998</v>
      </c>
      <c r="J11" s="11">
        <v>10.09</v>
      </c>
      <c r="K11" s="11">
        <v>4.87</v>
      </c>
      <c r="L11" s="11">
        <v>2.0499999999999998</v>
      </c>
      <c r="M11" s="11">
        <v>10.28</v>
      </c>
      <c r="N11" s="11">
        <v>7.2</v>
      </c>
      <c r="O11" s="11">
        <v>4.1900000000000004</v>
      </c>
      <c r="P11" s="11">
        <v>1.87</v>
      </c>
      <c r="Q11" s="11">
        <v>9.98</v>
      </c>
      <c r="R11" s="11">
        <v>6.84</v>
      </c>
      <c r="S11" s="11">
        <v>4.22</v>
      </c>
      <c r="T11" s="11">
        <v>1.67</v>
      </c>
      <c r="U11" s="11">
        <v>11.73</v>
      </c>
      <c r="V11" s="11">
        <v>8.31</v>
      </c>
      <c r="W11" s="11">
        <v>5.13</v>
      </c>
      <c r="X11" s="11">
        <v>2.19</v>
      </c>
      <c r="Y11" s="11">
        <v>8.2899999999999991</v>
      </c>
      <c r="Z11" s="11">
        <v>5.53</v>
      </c>
      <c r="AA11" s="11">
        <v>3.66</v>
      </c>
      <c r="AB11" s="11">
        <v>2.06</v>
      </c>
      <c r="AC11" s="11">
        <v>14.32</v>
      </c>
      <c r="AD11" s="11">
        <v>11.29</v>
      </c>
      <c r="AE11" s="11">
        <v>7.6</v>
      </c>
      <c r="AF11" s="11">
        <v>3.62</v>
      </c>
      <c r="AG11" s="11">
        <v>7.96</v>
      </c>
      <c r="AH11" s="11">
        <v>9.75</v>
      </c>
      <c r="AI11" s="11">
        <v>0.71</v>
      </c>
      <c r="AJ11" s="11">
        <v>-0.8</v>
      </c>
      <c r="AK11" s="11">
        <v>1.87</v>
      </c>
      <c r="AL11" s="11">
        <v>0.67</v>
      </c>
      <c r="AM11" s="11">
        <v>0.96</v>
      </c>
      <c r="AN11" s="11">
        <v>-0.79</v>
      </c>
      <c r="AO11" s="11">
        <v>1.02</v>
      </c>
      <c r="AP11" s="11">
        <v>1.54</v>
      </c>
      <c r="AQ11" s="11">
        <v>-0.94</v>
      </c>
      <c r="AR11" s="11">
        <v>-0.7</v>
      </c>
      <c r="AS11" s="11">
        <v>1.54</v>
      </c>
      <c r="AT11" s="11">
        <v>0.65</v>
      </c>
      <c r="AU11" s="11">
        <v>-0.56999999999999995</v>
      </c>
      <c r="AV11" s="11">
        <v>0.87</v>
      </c>
      <c r="AW11" s="11">
        <v>2.72</v>
      </c>
      <c r="AX11" s="11">
        <v>3.45</v>
      </c>
      <c r="AY11" s="11">
        <v>3.29</v>
      </c>
      <c r="AZ11" s="11">
        <v>2.61</v>
      </c>
      <c r="BA11" s="11">
        <v>6.59</v>
      </c>
      <c r="BB11" s="11">
        <v>7.03</v>
      </c>
      <c r="BC11" s="11">
        <v>6.23</v>
      </c>
      <c r="BD11" s="11">
        <v>7.09</v>
      </c>
      <c r="BE11" s="11">
        <v>28.25</v>
      </c>
      <c r="BF11" s="11">
        <v>14.11</v>
      </c>
      <c r="BG11" s="11">
        <v>33.96</v>
      </c>
      <c r="BH11" s="11">
        <v>34.64</v>
      </c>
      <c r="BI11" s="11">
        <v>51.3</v>
      </c>
    </row>
    <row r="12" spans="1:61" x14ac:dyDescent="0.2">
      <c r="A12" s="7" t="s">
        <v>130</v>
      </c>
      <c r="B12" s="10">
        <v>31.333100000000002</v>
      </c>
      <c r="C12" s="10">
        <v>19.045999999999999</v>
      </c>
      <c r="D12" s="10">
        <v>7.9444999999999997</v>
      </c>
      <c r="E12" s="10">
        <v>30.971699999999998</v>
      </c>
      <c r="F12" s="10">
        <v>23.508700000000001</v>
      </c>
      <c r="G12" s="10">
        <v>15.494899999999999</v>
      </c>
      <c r="H12" s="10">
        <v>6.7362000000000002</v>
      </c>
      <c r="I12" s="10">
        <v>16.587900000000001</v>
      </c>
      <c r="J12" s="10">
        <v>10.1577</v>
      </c>
      <c r="K12" s="10">
        <v>4.9241000000000001</v>
      </c>
      <c r="L12" s="10">
        <v>2.0548999999999999</v>
      </c>
      <c r="M12" s="10">
        <v>10.446199999999999</v>
      </c>
      <c r="N12" s="10">
        <v>7.3094999999999999</v>
      </c>
      <c r="O12" s="10">
        <v>4.2481999999999998</v>
      </c>
      <c r="P12" s="10">
        <v>1.873</v>
      </c>
      <c r="Q12" s="10">
        <v>9.0511999999999997</v>
      </c>
      <c r="R12" s="10">
        <v>6.8156999999999996</v>
      </c>
      <c r="S12" s="10">
        <v>4.2359999999999998</v>
      </c>
      <c r="T12" s="10">
        <v>1.6691</v>
      </c>
      <c r="U12" s="10">
        <v>11.6835</v>
      </c>
      <c r="V12" s="10">
        <v>8.2651000000000003</v>
      </c>
      <c r="W12" s="10">
        <v>5.1477000000000004</v>
      </c>
      <c r="X12" s="10">
        <v>2.1917</v>
      </c>
      <c r="Y12" s="10">
        <v>8.7754999999999992</v>
      </c>
      <c r="Z12" s="10">
        <v>6.2165999999999997</v>
      </c>
      <c r="AA12" s="10">
        <v>3.6884000000000001</v>
      </c>
      <c r="AB12" s="10">
        <v>1.7788999999999999</v>
      </c>
      <c r="AC12" s="10">
        <v>14.190200000000001</v>
      </c>
      <c r="AD12" s="10">
        <v>11.270899999999999</v>
      </c>
      <c r="AE12" s="10">
        <v>7.5858999999999996</v>
      </c>
      <c r="AF12" s="10">
        <v>3.6118999999999999</v>
      </c>
      <c r="AG12" s="10">
        <v>7.0810000000000004</v>
      </c>
      <c r="AH12" s="10">
        <v>5.2827999999999999</v>
      </c>
      <c r="AI12" s="10">
        <v>0.71279999999999999</v>
      </c>
      <c r="AJ12" s="10">
        <v>-0.79149999999999998</v>
      </c>
      <c r="AK12" s="10">
        <v>1.8213999999999999</v>
      </c>
      <c r="AL12" s="10">
        <v>0.75590000000000002</v>
      </c>
      <c r="AM12" s="10">
        <v>0.9667</v>
      </c>
      <c r="AN12" s="10">
        <v>-1.1926000000000001</v>
      </c>
      <c r="AO12" s="10">
        <v>1.0234000000000001</v>
      </c>
      <c r="AP12" s="10">
        <v>-0.98309999999999997</v>
      </c>
      <c r="AQ12" s="10">
        <v>-0.94130000000000003</v>
      </c>
      <c r="AR12" s="10">
        <v>-0.70440000000000003</v>
      </c>
      <c r="AS12" s="10">
        <v>1.5202</v>
      </c>
      <c r="AT12" s="10">
        <v>0.64759999999999995</v>
      </c>
      <c r="AU12" s="10">
        <v>-0.56850000000000001</v>
      </c>
      <c r="AV12" s="10">
        <v>0.872</v>
      </c>
      <c r="AW12" s="10">
        <v>2.7119</v>
      </c>
      <c r="AX12" s="10">
        <v>3.4510999999999998</v>
      </c>
      <c r="AY12" s="10">
        <v>3.3018999999999998</v>
      </c>
      <c r="AZ12" s="10">
        <v>2.6105</v>
      </c>
      <c r="BA12" s="10">
        <v>7.9074</v>
      </c>
      <c r="BB12" s="10">
        <v>8.0280000000000005</v>
      </c>
      <c r="BC12" s="10">
        <v>6.3476999999999997</v>
      </c>
      <c r="BD12" s="10">
        <v>4.1875999999999998</v>
      </c>
      <c r="BE12" s="10">
        <v>28.246600000000001</v>
      </c>
      <c r="BF12" s="10">
        <v>14.1073</v>
      </c>
      <c r="BG12" s="10">
        <v>34.6967</v>
      </c>
      <c r="BH12" s="10">
        <v>38.950600000000001</v>
      </c>
      <c r="BI12" s="10">
        <v>40.827599999999997</v>
      </c>
    </row>
    <row r="13" spans="1:61" x14ac:dyDescent="0.2">
      <c r="A13" s="7" t="s">
        <v>131</v>
      </c>
      <c r="B13" s="11">
        <v>26.843</v>
      </c>
      <c r="C13" s="11">
        <v>17.421800000000001</v>
      </c>
      <c r="D13" s="11">
        <v>7.5713999999999997</v>
      </c>
      <c r="E13" s="11">
        <v>26.488900000000001</v>
      </c>
      <c r="F13" s="11">
        <v>21.045999999999999</v>
      </c>
      <c r="G13" s="11">
        <v>14.418200000000001</v>
      </c>
      <c r="H13" s="11">
        <v>6.3052999999999999</v>
      </c>
      <c r="I13" s="11">
        <v>14.891400000000001</v>
      </c>
      <c r="J13" s="11">
        <v>9.1698000000000004</v>
      </c>
      <c r="K13" s="11">
        <v>4.4912999999999998</v>
      </c>
      <c r="L13" s="11">
        <v>1.8789</v>
      </c>
      <c r="M13" s="11">
        <v>8.6847999999999992</v>
      </c>
      <c r="N13" s="11">
        <v>6.5848000000000004</v>
      </c>
      <c r="O13" s="11">
        <v>3.7902</v>
      </c>
      <c r="P13" s="11">
        <v>1.6727000000000001</v>
      </c>
      <c r="Q13" s="11">
        <v>6.3349000000000002</v>
      </c>
      <c r="R13" s="11">
        <v>5.9832999999999998</v>
      </c>
      <c r="S13" s="11">
        <v>3.7555000000000001</v>
      </c>
      <c r="T13" s="11">
        <v>1.3554999999999999</v>
      </c>
      <c r="U13" s="11">
        <v>9.6887000000000008</v>
      </c>
      <c r="V13" s="11">
        <v>6.8555999999999999</v>
      </c>
      <c r="W13" s="11">
        <v>4.6172000000000004</v>
      </c>
      <c r="X13" s="11">
        <v>1.9024000000000001</v>
      </c>
      <c r="Y13" s="11">
        <v>6.2011000000000003</v>
      </c>
      <c r="Z13" s="11">
        <v>4.8776999999999999</v>
      </c>
      <c r="AA13" s="11">
        <v>3.1219000000000001</v>
      </c>
      <c r="AB13" s="11">
        <v>1.5341</v>
      </c>
      <c r="AC13" s="11">
        <v>12.3529</v>
      </c>
      <c r="AD13" s="11">
        <v>10.8446</v>
      </c>
      <c r="AE13" s="11">
        <v>7.2942</v>
      </c>
      <c r="AF13" s="11">
        <v>3.4826000000000001</v>
      </c>
      <c r="AG13" s="11">
        <v>6.6067999999999998</v>
      </c>
      <c r="AH13" s="11">
        <v>2.8980000000000001</v>
      </c>
      <c r="AI13" s="11">
        <v>0.41720000000000002</v>
      </c>
      <c r="AJ13" s="11">
        <v>-0.98640000000000005</v>
      </c>
      <c r="AK13" s="11">
        <v>8.1199999999999994E-2</v>
      </c>
      <c r="AL13" s="11">
        <v>-1.2016</v>
      </c>
      <c r="AM13" s="11">
        <v>-1.1012999999999999</v>
      </c>
      <c r="AN13" s="11">
        <v>-1.2512000000000001</v>
      </c>
      <c r="AO13" s="11">
        <v>3.1099999999999999E-2</v>
      </c>
      <c r="AP13" s="11">
        <v>-1.1506000000000001</v>
      </c>
      <c r="AQ13" s="11">
        <v>-1.0271999999999999</v>
      </c>
      <c r="AR13" s="11">
        <v>-0.75949999999999995</v>
      </c>
      <c r="AS13" s="11">
        <v>0.48120000000000002</v>
      </c>
      <c r="AT13" s="11">
        <v>-2.2225999999999999</v>
      </c>
      <c r="AU13" s="11">
        <v>-1.0919000000000001</v>
      </c>
      <c r="AV13" s="11">
        <v>0.37330000000000002</v>
      </c>
      <c r="AW13" s="11">
        <v>0.38519999999999999</v>
      </c>
      <c r="AX13" s="11">
        <v>1.1803999999999999</v>
      </c>
      <c r="AY13" s="11">
        <v>1.1798999999999999</v>
      </c>
      <c r="AZ13" s="11">
        <v>0.5111</v>
      </c>
      <c r="BA13" s="11">
        <v>5.13</v>
      </c>
      <c r="BB13" s="11">
        <v>4.9660000000000002</v>
      </c>
      <c r="BC13" s="11">
        <v>4.42</v>
      </c>
      <c r="BD13" s="11">
        <v>2.9266000000000001</v>
      </c>
      <c r="BE13" s="11">
        <v>24.108699999999999</v>
      </c>
      <c r="BF13" s="11">
        <v>13.0921</v>
      </c>
      <c r="BG13" s="11">
        <v>26.799199999999999</v>
      </c>
      <c r="BH13" s="11">
        <v>36.125399999999999</v>
      </c>
      <c r="BI13" s="11">
        <v>39.963299999999997</v>
      </c>
    </row>
    <row r="14" spans="1:61" x14ac:dyDescent="0.2">
      <c r="A14" s="7" t="s">
        <v>132</v>
      </c>
      <c r="B14" s="10"/>
      <c r="C14" s="10">
        <v>18.75</v>
      </c>
      <c r="D14" s="10"/>
      <c r="E14" s="10">
        <v>30.61</v>
      </c>
      <c r="F14" s="10"/>
      <c r="G14" s="10">
        <v>15.28</v>
      </c>
      <c r="H14" s="10"/>
      <c r="I14" s="10">
        <v>16.2</v>
      </c>
      <c r="J14" s="10"/>
      <c r="K14" s="10">
        <v>4.63</v>
      </c>
      <c r="L14" s="10"/>
      <c r="M14" s="10">
        <v>8.7100000000000009</v>
      </c>
      <c r="N14" s="10"/>
      <c r="O14" s="10">
        <v>3.77</v>
      </c>
      <c r="P14" s="10"/>
      <c r="Q14" s="10">
        <v>8.2799999999999994</v>
      </c>
      <c r="R14" s="10"/>
      <c r="S14" s="10">
        <v>3.81</v>
      </c>
      <c r="T14" s="10"/>
      <c r="U14" s="10">
        <v>10.36</v>
      </c>
      <c r="V14" s="10"/>
      <c r="W14" s="10">
        <v>4.71</v>
      </c>
      <c r="X14" s="10"/>
      <c r="Y14" s="10">
        <v>6.94</v>
      </c>
      <c r="Z14" s="10"/>
      <c r="AA14" s="10">
        <v>3.56</v>
      </c>
      <c r="AB14" s="10"/>
      <c r="AC14" s="10">
        <v>13.56</v>
      </c>
      <c r="AD14" s="10"/>
      <c r="AE14" s="10">
        <v>7.61</v>
      </c>
      <c r="AF14" s="10"/>
      <c r="AG14" s="10">
        <v>13.05</v>
      </c>
      <c r="AH14" s="10"/>
      <c r="AI14" s="10">
        <v>0.42</v>
      </c>
      <c r="AJ14" s="10"/>
      <c r="AK14" s="10">
        <v>0.13</v>
      </c>
      <c r="AL14" s="10"/>
      <c r="AM14" s="10">
        <v>-1.1000000000000001</v>
      </c>
      <c r="AN14" s="10"/>
      <c r="AO14" s="10">
        <v>0.03</v>
      </c>
      <c r="AP14" s="10">
        <v>0.49</v>
      </c>
      <c r="AQ14" s="10">
        <v>-1.02</v>
      </c>
      <c r="AR14" s="10">
        <v>-0.76</v>
      </c>
      <c r="AS14" s="10">
        <v>0.49</v>
      </c>
      <c r="AT14" s="10">
        <v>-2.2200000000000002</v>
      </c>
      <c r="AU14" s="10">
        <v>-1.08</v>
      </c>
      <c r="AV14" s="10">
        <v>0.38</v>
      </c>
      <c r="AW14" s="10">
        <v>0.39</v>
      </c>
      <c r="AX14" s="10">
        <v>1.21</v>
      </c>
      <c r="AY14" s="10">
        <v>1.21</v>
      </c>
      <c r="AZ14" s="10">
        <v>0.52</v>
      </c>
      <c r="BA14" s="10">
        <v>6.12</v>
      </c>
      <c r="BB14" s="10">
        <v>6.22</v>
      </c>
      <c r="BC14" s="10">
        <v>6.2</v>
      </c>
      <c r="BD14" s="10">
        <v>7.09</v>
      </c>
      <c r="BE14" s="10">
        <v>27.51</v>
      </c>
      <c r="BF14" s="10">
        <v>14.02</v>
      </c>
      <c r="BG14" s="10">
        <v>33.81</v>
      </c>
      <c r="BH14" s="10">
        <v>34.380000000000003</v>
      </c>
      <c r="BI14" s="10">
        <v>50.21</v>
      </c>
    </row>
    <row r="15" spans="1:61" x14ac:dyDescent="0.2">
      <c r="A15" s="7" t="s">
        <v>133</v>
      </c>
      <c r="B15" s="11">
        <v>31.121200000000002</v>
      </c>
      <c r="C15" s="11">
        <v>18.951899999999998</v>
      </c>
      <c r="D15" s="11">
        <v>7.8716999999999997</v>
      </c>
      <c r="E15" s="11">
        <v>30.354099999999999</v>
      </c>
      <c r="F15" s="11">
        <v>23.2897</v>
      </c>
      <c r="G15" s="11">
        <v>15.327199999999999</v>
      </c>
      <c r="H15" s="11">
        <v>6.609</v>
      </c>
      <c r="I15" s="11">
        <v>16.2074</v>
      </c>
      <c r="J15" s="11">
        <v>9.7537000000000003</v>
      </c>
      <c r="K15" s="11">
        <v>4.6783000000000001</v>
      </c>
      <c r="L15" s="11">
        <v>1.9124000000000001</v>
      </c>
      <c r="M15" s="11">
        <v>8.8538999999999994</v>
      </c>
      <c r="N15" s="11">
        <v>6.6829999999999998</v>
      </c>
      <c r="O15" s="11">
        <v>3.8239000000000001</v>
      </c>
      <c r="P15" s="11">
        <v>1.6898</v>
      </c>
      <c r="Q15" s="11">
        <v>7.5115999999999996</v>
      </c>
      <c r="R15" s="11">
        <v>6.2225999999999999</v>
      </c>
      <c r="S15" s="11">
        <v>3.8285999999999998</v>
      </c>
      <c r="T15" s="11">
        <v>1.3696999999999999</v>
      </c>
      <c r="U15" s="11">
        <v>10.3185</v>
      </c>
      <c r="V15" s="11">
        <v>7.1688999999999998</v>
      </c>
      <c r="W15" s="11">
        <v>4.7259000000000002</v>
      </c>
      <c r="X15" s="11">
        <v>1.9254</v>
      </c>
      <c r="Y15" s="11">
        <v>7.3402000000000003</v>
      </c>
      <c r="Z15" s="11">
        <v>5.7083000000000004</v>
      </c>
      <c r="AA15" s="11">
        <v>3.5909</v>
      </c>
      <c r="AB15" s="11">
        <v>1.7581</v>
      </c>
      <c r="AC15" s="11">
        <v>13.4368</v>
      </c>
      <c r="AD15" s="11">
        <v>11.5198</v>
      </c>
      <c r="AE15" s="11">
        <v>7.5938999999999997</v>
      </c>
      <c r="AF15" s="11">
        <v>3.5552000000000001</v>
      </c>
      <c r="AG15" s="11">
        <v>11.6037</v>
      </c>
      <c r="AH15" s="11">
        <v>5.1223000000000001</v>
      </c>
      <c r="AI15" s="11">
        <v>0.41789999999999999</v>
      </c>
      <c r="AJ15" s="11">
        <v>-0.98250000000000004</v>
      </c>
      <c r="AK15" s="11">
        <v>8.1799999999999998E-2</v>
      </c>
      <c r="AL15" s="11">
        <v>-1.2032</v>
      </c>
      <c r="AM15" s="11">
        <v>-1.1060000000000001</v>
      </c>
      <c r="AN15" s="11">
        <v>-1.2434000000000001</v>
      </c>
      <c r="AO15" s="11">
        <v>3.1199999999999999E-2</v>
      </c>
      <c r="AP15" s="11">
        <v>-1.1427</v>
      </c>
      <c r="AQ15" s="11">
        <v>-1.0223</v>
      </c>
      <c r="AR15" s="11">
        <v>-0.75839999999999996</v>
      </c>
      <c r="AS15" s="11">
        <v>0.48820000000000002</v>
      </c>
      <c r="AT15" s="11">
        <v>-2.2244000000000002</v>
      </c>
      <c r="AU15" s="11">
        <v>-1.0862000000000001</v>
      </c>
      <c r="AV15" s="11">
        <v>0.375</v>
      </c>
      <c r="AW15" s="11">
        <v>0.38829999999999998</v>
      </c>
      <c r="AX15" s="11">
        <v>1.1940999999999999</v>
      </c>
      <c r="AY15" s="11">
        <v>1.1926000000000001</v>
      </c>
      <c r="AZ15" s="11">
        <v>0.51790000000000003</v>
      </c>
      <c r="BA15" s="11">
        <v>7.3498999999999999</v>
      </c>
      <c r="BB15" s="11">
        <v>7.1066000000000003</v>
      </c>
      <c r="BC15" s="11">
        <v>6.3102</v>
      </c>
      <c r="BD15" s="11">
        <v>4.1867000000000001</v>
      </c>
      <c r="BE15" s="11">
        <v>27.5138</v>
      </c>
      <c r="BF15" s="11">
        <v>14.015599999999999</v>
      </c>
      <c r="BG15" s="11">
        <v>34.5381</v>
      </c>
      <c r="BH15" s="11">
        <v>38.6614</v>
      </c>
      <c r="BI15" s="11">
        <v>39.963299999999997</v>
      </c>
    </row>
    <row r="16" spans="1:61" x14ac:dyDescent="0.2">
      <c r="A16" s="7" t="s">
        <v>134</v>
      </c>
      <c r="B16" s="10"/>
      <c r="C16" s="10">
        <v>18.75</v>
      </c>
      <c r="D16" s="10"/>
      <c r="E16" s="10">
        <v>30.61</v>
      </c>
      <c r="F16" s="10"/>
      <c r="G16" s="10">
        <v>15.28</v>
      </c>
      <c r="H16" s="10"/>
      <c r="I16" s="10">
        <v>16.2</v>
      </c>
      <c r="J16" s="10"/>
      <c r="K16" s="10">
        <v>4.63</v>
      </c>
      <c r="L16" s="10"/>
      <c r="M16" s="10">
        <v>8.7100000000000009</v>
      </c>
      <c r="N16" s="10"/>
      <c r="O16" s="10">
        <v>3.77</v>
      </c>
      <c r="P16" s="10"/>
      <c r="Q16" s="10">
        <v>8.2799999999999994</v>
      </c>
      <c r="R16" s="10"/>
      <c r="S16" s="10">
        <v>3.81</v>
      </c>
      <c r="T16" s="10"/>
      <c r="U16" s="10">
        <v>10.36</v>
      </c>
      <c r="V16" s="10"/>
      <c r="W16" s="10">
        <v>4.71</v>
      </c>
      <c r="X16" s="10"/>
      <c r="Y16" s="10">
        <v>6.94</v>
      </c>
      <c r="Z16" s="10"/>
      <c r="AA16" s="10">
        <v>3.56</v>
      </c>
      <c r="AB16" s="10"/>
      <c r="AC16" s="10">
        <v>13.56</v>
      </c>
      <c r="AD16" s="10"/>
      <c r="AE16" s="10">
        <v>7.6</v>
      </c>
      <c r="AF16" s="10"/>
      <c r="AG16" s="10">
        <v>7.96</v>
      </c>
      <c r="AH16" s="10"/>
      <c r="AI16" s="10">
        <v>0.42</v>
      </c>
      <c r="AJ16" s="10"/>
      <c r="AK16" s="10">
        <v>0.13</v>
      </c>
      <c r="AL16" s="10"/>
      <c r="AM16" s="10">
        <v>-1.1000000000000001</v>
      </c>
      <c r="AN16" s="10"/>
      <c r="AO16" s="10">
        <v>0.03</v>
      </c>
      <c r="AP16" s="10">
        <v>0.49</v>
      </c>
      <c r="AQ16" s="10">
        <v>-1.02</v>
      </c>
      <c r="AR16" s="10">
        <v>-0.76</v>
      </c>
      <c r="AS16" s="10">
        <v>0.49</v>
      </c>
      <c r="AT16" s="10">
        <v>-2.2200000000000002</v>
      </c>
      <c r="AU16" s="10">
        <v>-1.08</v>
      </c>
      <c r="AV16" s="10">
        <v>0.38</v>
      </c>
      <c r="AW16" s="10">
        <v>0.39</v>
      </c>
      <c r="AX16" s="10">
        <v>1.21</v>
      </c>
      <c r="AY16" s="10">
        <v>1.21</v>
      </c>
      <c r="AZ16" s="10">
        <v>0.52</v>
      </c>
      <c r="BA16" s="10">
        <v>6.12</v>
      </c>
      <c r="BB16" s="10">
        <v>6.22</v>
      </c>
      <c r="BC16" s="10">
        <v>6.2</v>
      </c>
      <c r="BD16" s="10">
        <v>7.09</v>
      </c>
      <c r="BE16" s="10">
        <v>27.51</v>
      </c>
      <c r="BF16" s="10">
        <v>14.02</v>
      </c>
      <c r="BG16" s="10">
        <v>33.81</v>
      </c>
      <c r="BH16" s="10">
        <v>34.380000000000003</v>
      </c>
      <c r="BI16" s="10">
        <v>50.21</v>
      </c>
    </row>
    <row r="17" spans="1:61" x14ac:dyDescent="0.2">
      <c r="A17" s="7" t="s">
        <v>135</v>
      </c>
      <c r="B17" s="11">
        <v>41.777500000000003</v>
      </c>
      <c r="C17" s="11">
        <v>38.091999999999999</v>
      </c>
      <c r="D17" s="11">
        <v>31.777999999999999</v>
      </c>
      <c r="E17" s="11">
        <v>30.971699999999998</v>
      </c>
      <c r="F17" s="11">
        <v>31.344899999999999</v>
      </c>
      <c r="G17" s="11">
        <v>30.989799999999999</v>
      </c>
      <c r="H17" s="11">
        <v>26.944800000000001</v>
      </c>
      <c r="I17" s="11">
        <v>16.587900000000001</v>
      </c>
      <c r="J17" s="11">
        <v>13.5436</v>
      </c>
      <c r="K17" s="11">
        <v>9.8482000000000003</v>
      </c>
      <c r="L17" s="11">
        <v>8.2195999999999998</v>
      </c>
      <c r="M17" s="11">
        <v>10.446199999999999</v>
      </c>
      <c r="N17" s="11">
        <v>9.7460000000000004</v>
      </c>
      <c r="O17" s="11">
        <v>8.4963999999999995</v>
      </c>
      <c r="P17" s="11">
        <v>7.492</v>
      </c>
      <c r="Q17" s="11">
        <v>9.0511999999999997</v>
      </c>
      <c r="R17" s="11">
        <v>9.0876000000000001</v>
      </c>
      <c r="S17" s="11">
        <v>8.4719999999999995</v>
      </c>
      <c r="T17" s="11">
        <v>6.6764000000000001</v>
      </c>
      <c r="U17" s="11">
        <v>11.6835</v>
      </c>
      <c r="V17" s="11">
        <v>11.020099999999999</v>
      </c>
      <c r="W17" s="11">
        <v>10.295400000000001</v>
      </c>
      <c r="X17" s="11">
        <v>8.7667999999999999</v>
      </c>
      <c r="Y17" s="11">
        <v>8.7754999999999992</v>
      </c>
      <c r="Z17" s="11">
        <v>8.2888000000000002</v>
      </c>
      <c r="AA17" s="11">
        <v>7.3768000000000002</v>
      </c>
      <c r="AB17" s="11">
        <v>7.1155999999999997</v>
      </c>
      <c r="AC17" s="11">
        <v>14.190200000000001</v>
      </c>
      <c r="AD17" s="11">
        <v>15.027900000000001</v>
      </c>
      <c r="AE17" s="11">
        <v>15.171799999999999</v>
      </c>
      <c r="AF17" s="11">
        <v>14.4476</v>
      </c>
      <c r="AG17" s="11">
        <v>7.0810000000000004</v>
      </c>
      <c r="AH17" s="11">
        <v>7.0437000000000003</v>
      </c>
      <c r="AI17" s="11">
        <v>1.4256</v>
      </c>
      <c r="AJ17" s="11">
        <v>-3.1659999999999999</v>
      </c>
      <c r="AK17" s="11">
        <v>1.8213999999999999</v>
      </c>
      <c r="AL17" s="11">
        <v>1.0079</v>
      </c>
      <c r="AM17" s="11">
        <v>1.9334</v>
      </c>
      <c r="AN17" s="11">
        <v>-4.7704000000000004</v>
      </c>
      <c r="AO17" s="11">
        <v>1.0234000000000001</v>
      </c>
      <c r="AP17" s="11">
        <v>-1.3108</v>
      </c>
      <c r="AQ17" s="11">
        <v>-1.8826000000000001</v>
      </c>
      <c r="AR17" s="11">
        <v>-2.8176000000000001</v>
      </c>
      <c r="AS17" s="11">
        <v>1.5202</v>
      </c>
      <c r="AT17" s="11">
        <v>0.86350000000000005</v>
      </c>
      <c r="AU17" s="11">
        <v>-1.137</v>
      </c>
      <c r="AV17" s="11">
        <v>3.488</v>
      </c>
      <c r="AW17" s="11">
        <v>2.7119</v>
      </c>
      <c r="AX17" s="11">
        <v>4.6014999999999997</v>
      </c>
      <c r="AY17" s="11">
        <v>6.6037999999999997</v>
      </c>
      <c r="AZ17" s="11">
        <v>10.442</v>
      </c>
      <c r="BA17" s="11">
        <v>7.9074</v>
      </c>
      <c r="BB17" s="11">
        <v>10.704000000000001</v>
      </c>
      <c r="BC17" s="11">
        <v>12.695399999999999</v>
      </c>
      <c r="BD17" s="11">
        <v>16.750399999999999</v>
      </c>
      <c r="BE17" s="11">
        <v>28.246600000000001</v>
      </c>
      <c r="BF17" s="11">
        <v>28.214600000000001</v>
      </c>
      <c r="BG17" s="11">
        <v>34.6967</v>
      </c>
      <c r="BH17" s="11">
        <v>38.950600000000001</v>
      </c>
      <c r="BI17" s="11">
        <v>40.827599999999997</v>
      </c>
    </row>
    <row r="18" spans="1:61" x14ac:dyDescent="0.2">
      <c r="A18" s="7" t="s">
        <v>136</v>
      </c>
      <c r="B18" s="10">
        <v>25.4361</v>
      </c>
      <c r="C18" s="10">
        <v>15.0954</v>
      </c>
      <c r="D18" s="10">
        <v>6.5007000000000001</v>
      </c>
      <c r="E18" s="10">
        <v>24.545100000000001</v>
      </c>
      <c r="F18" s="10">
        <v>18.605599999999999</v>
      </c>
      <c r="G18" s="10">
        <v>12.2029</v>
      </c>
      <c r="H18" s="10">
        <v>5.4988999999999999</v>
      </c>
      <c r="I18" s="10">
        <v>13.2904</v>
      </c>
      <c r="J18" s="10">
        <v>8.1477000000000004</v>
      </c>
      <c r="K18" s="10">
        <v>4.1844000000000001</v>
      </c>
      <c r="L18" s="10">
        <v>1.6097999999999999</v>
      </c>
      <c r="M18" s="10">
        <v>8.3169000000000004</v>
      </c>
      <c r="N18" s="10">
        <v>5.7424999999999997</v>
      </c>
      <c r="O18" s="10">
        <v>3.2427999999999999</v>
      </c>
      <c r="P18" s="10">
        <v>1.4722</v>
      </c>
      <c r="Q18" s="10">
        <v>6.8068999999999997</v>
      </c>
      <c r="R18" s="10">
        <v>4.7497999999999996</v>
      </c>
      <c r="S18" s="10">
        <v>2.8999000000000001</v>
      </c>
      <c r="T18" s="10">
        <v>1.2047000000000001</v>
      </c>
      <c r="U18" s="10">
        <v>8.6196000000000002</v>
      </c>
      <c r="V18" s="10">
        <v>6.2492000000000001</v>
      </c>
      <c r="W18" s="10">
        <v>3.9971999999999999</v>
      </c>
      <c r="X18" s="10">
        <v>1.6894</v>
      </c>
      <c r="Y18" s="10">
        <v>6.5552999999999999</v>
      </c>
      <c r="Z18" s="10">
        <v>4.5888999999999998</v>
      </c>
      <c r="AA18" s="10">
        <v>2.7587000000000002</v>
      </c>
      <c r="AB18" s="10">
        <v>1.4769000000000001</v>
      </c>
      <c r="AC18" s="10">
        <v>9.3071000000000002</v>
      </c>
      <c r="AD18" s="10">
        <v>7.3704999999999998</v>
      </c>
      <c r="AE18" s="10">
        <v>4.8621999999999996</v>
      </c>
      <c r="AF18" s="10">
        <v>2.6225000000000001</v>
      </c>
      <c r="AG18" s="10">
        <v>5.2407000000000004</v>
      </c>
      <c r="AH18" s="10">
        <v>4.1528</v>
      </c>
      <c r="AI18" s="10">
        <v>0.54090000000000005</v>
      </c>
      <c r="AJ18" s="10">
        <v>-0.75439999999999996</v>
      </c>
      <c r="AK18" s="10">
        <v>1.6045</v>
      </c>
      <c r="AL18" s="10">
        <v>0.53469999999999995</v>
      </c>
      <c r="AM18" s="10">
        <v>0.9446</v>
      </c>
      <c r="AN18" s="10">
        <v>-1.1311</v>
      </c>
      <c r="AO18" s="10">
        <v>0.8004</v>
      </c>
      <c r="AP18" s="10">
        <v>-0.91310000000000002</v>
      </c>
      <c r="AQ18" s="10">
        <v>-0.88959999999999995</v>
      </c>
      <c r="AR18" s="10">
        <v>-0.81669999999999998</v>
      </c>
      <c r="AS18" s="10">
        <v>0.6694</v>
      </c>
      <c r="AT18" s="10">
        <v>0.98399999999999999</v>
      </c>
      <c r="AU18" s="10">
        <v>-0.71709999999999996</v>
      </c>
      <c r="AV18" s="10">
        <v>0.67730000000000001</v>
      </c>
      <c r="AW18" s="10">
        <v>1.6173</v>
      </c>
      <c r="AX18" s="10">
        <v>2.7690000000000001</v>
      </c>
      <c r="AY18" s="10">
        <v>2.9060000000000001</v>
      </c>
      <c r="AZ18" s="10">
        <v>2.8965000000000001</v>
      </c>
      <c r="BA18" s="10">
        <v>7.1478999999999999</v>
      </c>
      <c r="BB18" s="10">
        <v>8.2520000000000007</v>
      </c>
      <c r="BC18" s="10">
        <v>6.5274999999999999</v>
      </c>
      <c r="BD18" s="10">
        <v>4.2069000000000001</v>
      </c>
      <c r="BE18" s="10">
        <v>24.0441</v>
      </c>
      <c r="BF18" s="10">
        <v>13.1792</v>
      </c>
      <c r="BG18" s="10">
        <v>26.6097</v>
      </c>
      <c r="BH18" s="10">
        <v>25.1114</v>
      </c>
      <c r="BI18" s="10">
        <v>26.893799999999999</v>
      </c>
    </row>
    <row r="19" spans="1:61" x14ac:dyDescent="0.2">
      <c r="A19" s="7" t="s">
        <v>137</v>
      </c>
      <c r="B19" s="11">
        <v>33.9148</v>
      </c>
      <c r="C19" s="11">
        <v>30.190799999999999</v>
      </c>
      <c r="D19" s="11">
        <v>26.002800000000001</v>
      </c>
      <c r="E19" s="11">
        <v>24.545100000000001</v>
      </c>
      <c r="F19" s="11">
        <v>24.807500000000001</v>
      </c>
      <c r="G19" s="11">
        <v>24.405799999999999</v>
      </c>
      <c r="H19" s="11">
        <v>21.9956</v>
      </c>
      <c r="I19" s="11">
        <v>13.2904</v>
      </c>
      <c r="J19" s="11">
        <v>10.8636</v>
      </c>
      <c r="K19" s="11">
        <v>8.3688000000000002</v>
      </c>
      <c r="L19" s="11">
        <v>6.4391999999999996</v>
      </c>
      <c r="M19" s="11">
        <v>8.3169000000000004</v>
      </c>
      <c r="N19" s="11">
        <v>7.6566999999999998</v>
      </c>
      <c r="O19" s="11">
        <v>6.4855999999999998</v>
      </c>
      <c r="P19" s="11">
        <v>5.8887999999999998</v>
      </c>
      <c r="Q19" s="11">
        <v>6.8068999999999997</v>
      </c>
      <c r="R19" s="11">
        <v>6.3331</v>
      </c>
      <c r="S19" s="11">
        <v>5.7998000000000003</v>
      </c>
      <c r="T19" s="11">
        <v>4.8188000000000004</v>
      </c>
      <c r="U19" s="11">
        <v>8.6196000000000002</v>
      </c>
      <c r="V19" s="11">
        <v>8.3323</v>
      </c>
      <c r="W19" s="11">
        <v>7.9943999999999997</v>
      </c>
      <c r="X19" s="11">
        <v>6.7576000000000001</v>
      </c>
      <c r="Y19" s="11">
        <v>6.5552999999999999</v>
      </c>
      <c r="Z19" s="11">
        <v>6.1185</v>
      </c>
      <c r="AA19" s="11">
        <v>5.5174000000000003</v>
      </c>
      <c r="AB19" s="11">
        <v>5.9076000000000004</v>
      </c>
      <c r="AC19" s="11">
        <v>9.3071000000000002</v>
      </c>
      <c r="AD19" s="11">
        <v>9.8272999999999993</v>
      </c>
      <c r="AE19" s="11">
        <v>9.7243999999999993</v>
      </c>
      <c r="AF19" s="11">
        <v>10.49</v>
      </c>
      <c r="AG19" s="11">
        <v>5.2407000000000004</v>
      </c>
      <c r="AH19" s="11">
        <v>5.5370999999999997</v>
      </c>
      <c r="AI19" s="11">
        <v>1.0818000000000001</v>
      </c>
      <c r="AJ19" s="11">
        <v>-3.0175999999999998</v>
      </c>
      <c r="AK19" s="11">
        <v>1.6045</v>
      </c>
      <c r="AL19" s="11">
        <v>0.71289999999999998</v>
      </c>
      <c r="AM19" s="11">
        <v>1.8892</v>
      </c>
      <c r="AN19" s="11">
        <v>-4.5244</v>
      </c>
      <c r="AO19" s="11">
        <v>0.8004</v>
      </c>
      <c r="AP19" s="11">
        <v>-1.2175</v>
      </c>
      <c r="AQ19" s="11">
        <v>-1.7791999999999999</v>
      </c>
      <c r="AR19" s="11">
        <v>-3.2667999999999999</v>
      </c>
      <c r="AS19" s="11">
        <v>0.6694</v>
      </c>
      <c r="AT19" s="11">
        <v>1.3120000000000001</v>
      </c>
      <c r="AU19" s="11">
        <v>-1.4341999999999999</v>
      </c>
      <c r="AV19" s="11">
        <v>2.7092000000000001</v>
      </c>
      <c r="AW19" s="11">
        <v>1.6173</v>
      </c>
      <c r="AX19" s="11">
        <v>3.6920000000000002</v>
      </c>
      <c r="AY19" s="11">
        <v>5.8120000000000003</v>
      </c>
      <c r="AZ19" s="11">
        <v>11.586</v>
      </c>
      <c r="BA19" s="11">
        <v>7.1478999999999999</v>
      </c>
      <c r="BB19" s="11">
        <v>11.002700000000001</v>
      </c>
      <c r="BC19" s="11">
        <v>13.055</v>
      </c>
      <c r="BD19" s="11">
        <v>16.8276</v>
      </c>
      <c r="BE19" s="11">
        <v>24.0441</v>
      </c>
      <c r="BF19" s="11">
        <v>26.3584</v>
      </c>
      <c r="BG19" s="11">
        <v>26.6097</v>
      </c>
      <c r="BH19" s="11">
        <v>25.1114</v>
      </c>
      <c r="BI19" s="11">
        <v>26.893799999999999</v>
      </c>
    </row>
    <row r="20" spans="1:61" x14ac:dyDescent="0.2">
      <c r="A20" s="7" t="s">
        <v>138</v>
      </c>
      <c r="B20" s="10">
        <v>22.0716</v>
      </c>
      <c r="C20" s="10">
        <v>13.33</v>
      </c>
      <c r="D20" s="10">
        <v>5.5932000000000004</v>
      </c>
      <c r="E20" s="10">
        <v>21.982600000000001</v>
      </c>
      <c r="F20" s="10">
        <v>16.428999999999998</v>
      </c>
      <c r="G20" s="10">
        <v>10.8348</v>
      </c>
      <c r="H20" s="10">
        <v>4.8536999999999999</v>
      </c>
      <c r="I20" s="10">
        <v>12.0756</v>
      </c>
      <c r="J20" s="10">
        <v>7.3887</v>
      </c>
      <c r="K20" s="10">
        <v>3.8344</v>
      </c>
      <c r="L20" s="10">
        <v>1.4571000000000001</v>
      </c>
      <c r="M20" s="10">
        <v>7.4493999999999998</v>
      </c>
      <c r="N20" s="10">
        <v>5.1130000000000004</v>
      </c>
      <c r="O20" s="10">
        <v>2.9392999999999998</v>
      </c>
      <c r="P20" s="10">
        <v>1.3052999999999999</v>
      </c>
      <c r="Q20" s="10">
        <v>5.8746</v>
      </c>
      <c r="R20" s="10">
        <v>4.0414000000000003</v>
      </c>
      <c r="S20" s="10">
        <v>2.4994000000000001</v>
      </c>
      <c r="T20" s="10">
        <v>1.0084</v>
      </c>
      <c r="U20" s="10">
        <v>7.2710999999999997</v>
      </c>
      <c r="V20" s="10">
        <v>5.0983000000000001</v>
      </c>
      <c r="W20" s="10">
        <v>3.1768000000000001</v>
      </c>
      <c r="X20" s="10">
        <v>1.4289000000000001</v>
      </c>
      <c r="Y20" s="10">
        <v>5.5298999999999996</v>
      </c>
      <c r="Z20" s="10">
        <v>4.0011000000000001</v>
      </c>
      <c r="AA20" s="10">
        <v>2.3294000000000001</v>
      </c>
      <c r="AB20" s="10">
        <v>1.1329</v>
      </c>
      <c r="AC20" s="10">
        <v>7.8428000000000004</v>
      </c>
      <c r="AD20" s="10">
        <v>6.0987</v>
      </c>
      <c r="AE20" s="10">
        <v>3.9780000000000002</v>
      </c>
      <c r="AF20" s="10">
        <v>1.9167000000000001</v>
      </c>
      <c r="AG20" s="10">
        <v>3.8262</v>
      </c>
      <c r="AH20" s="10">
        <v>3.1074999999999999</v>
      </c>
      <c r="AI20" s="10">
        <v>0.63229999999999997</v>
      </c>
      <c r="AJ20" s="10">
        <v>-0.6996</v>
      </c>
      <c r="AK20" s="10">
        <v>1.579</v>
      </c>
      <c r="AL20" s="10">
        <v>0.6552</v>
      </c>
      <c r="AM20" s="10">
        <v>0.83760000000000001</v>
      </c>
      <c r="AN20" s="10">
        <v>-1.0262</v>
      </c>
      <c r="AO20" s="10">
        <v>0.86260000000000003</v>
      </c>
      <c r="AP20" s="10">
        <v>-0.83989999999999998</v>
      </c>
      <c r="AQ20" s="10">
        <v>-0.77939999999999998</v>
      </c>
      <c r="AR20" s="10">
        <v>-0.5857</v>
      </c>
      <c r="AS20" s="10">
        <v>1.17</v>
      </c>
      <c r="AT20" s="10">
        <v>0.47060000000000002</v>
      </c>
      <c r="AU20" s="10">
        <v>-0.41849999999999998</v>
      </c>
      <c r="AV20" s="10">
        <v>0.63070000000000004</v>
      </c>
      <c r="AW20" s="10">
        <v>2.2168999999999999</v>
      </c>
      <c r="AX20" s="10">
        <v>3.0625</v>
      </c>
      <c r="AY20" s="10">
        <v>2.9540999999999999</v>
      </c>
      <c r="AZ20" s="10">
        <v>2.4803999999999999</v>
      </c>
      <c r="BA20" s="10">
        <v>6.8657000000000004</v>
      </c>
      <c r="BB20" s="10">
        <v>6.9287999999999998</v>
      </c>
      <c r="BC20" s="10">
        <v>5.415</v>
      </c>
      <c r="BD20" s="10">
        <v>3.4205999999999999</v>
      </c>
      <c r="BE20" s="10">
        <v>19.9102</v>
      </c>
      <c r="BF20" s="10">
        <v>9.5762999999999998</v>
      </c>
      <c r="BG20" s="10">
        <v>22.450399999999998</v>
      </c>
      <c r="BH20" s="10">
        <v>22.137</v>
      </c>
      <c r="BI20" s="10">
        <v>23.432400000000001</v>
      </c>
    </row>
    <row r="21" spans="1:61" x14ac:dyDescent="0.2">
      <c r="A21" s="7" t="s">
        <v>139</v>
      </c>
      <c r="B21" s="11">
        <v>29.428799999999999</v>
      </c>
      <c r="C21" s="11">
        <v>26.66</v>
      </c>
      <c r="D21" s="11">
        <v>22.372800000000002</v>
      </c>
      <c r="E21" s="11">
        <v>21.982600000000001</v>
      </c>
      <c r="F21" s="11">
        <v>21.9053</v>
      </c>
      <c r="G21" s="11">
        <v>21.669599999999999</v>
      </c>
      <c r="H21" s="11">
        <v>19.4148</v>
      </c>
      <c r="I21" s="11">
        <v>12.0756</v>
      </c>
      <c r="J21" s="11">
        <v>9.8515999999999995</v>
      </c>
      <c r="K21" s="11">
        <v>7.6688000000000001</v>
      </c>
      <c r="L21" s="11">
        <v>5.8284000000000002</v>
      </c>
      <c r="M21" s="11">
        <v>7.4493999999999998</v>
      </c>
      <c r="N21" s="11">
        <v>6.8173000000000004</v>
      </c>
      <c r="O21" s="11">
        <v>5.8785999999999996</v>
      </c>
      <c r="P21" s="11">
        <v>5.2211999999999996</v>
      </c>
      <c r="Q21" s="11">
        <v>5.8746</v>
      </c>
      <c r="R21" s="11">
        <v>5.3884999999999996</v>
      </c>
      <c r="S21" s="11">
        <v>4.9988000000000001</v>
      </c>
      <c r="T21" s="11">
        <v>4.0335999999999999</v>
      </c>
      <c r="U21" s="11">
        <v>7.2710999999999997</v>
      </c>
      <c r="V21" s="11">
        <v>6.7976999999999999</v>
      </c>
      <c r="W21" s="11">
        <v>6.3536000000000001</v>
      </c>
      <c r="X21" s="11">
        <v>5.7156000000000002</v>
      </c>
      <c r="Y21" s="11">
        <v>5.5298999999999996</v>
      </c>
      <c r="Z21" s="11">
        <v>5.3348000000000004</v>
      </c>
      <c r="AA21" s="11">
        <v>4.6588000000000003</v>
      </c>
      <c r="AB21" s="11">
        <v>4.5316000000000001</v>
      </c>
      <c r="AC21" s="11">
        <v>7.8428000000000004</v>
      </c>
      <c r="AD21" s="11">
        <v>8.1316000000000006</v>
      </c>
      <c r="AE21" s="11">
        <v>7.9560000000000004</v>
      </c>
      <c r="AF21" s="11">
        <v>7.6668000000000003</v>
      </c>
      <c r="AG21" s="11">
        <v>3.8262</v>
      </c>
      <c r="AH21" s="11">
        <v>4.1433</v>
      </c>
      <c r="AI21" s="11">
        <v>1.2645999999999999</v>
      </c>
      <c r="AJ21" s="11">
        <v>-2.7984</v>
      </c>
      <c r="AK21" s="11">
        <v>1.579</v>
      </c>
      <c r="AL21" s="11">
        <v>0.87360000000000004</v>
      </c>
      <c r="AM21" s="11">
        <v>1.6752</v>
      </c>
      <c r="AN21" s="11">
        <v>-4.1048</v>
      </c>
      <c r="AO21" s="11">
        <v>0.86260000000000003</v>
      </c>
      <c r="AP21" s="11">
        <v>-1.1198999999999999</v>
      </c>
      <c r="AQ21" s="11">
        <v>-1.5588</v>
      </c>
      <c r="AR21" s="11">
        <v>-2.3428</v>
      </c>
      <c r="AS21" s="11">
        <v>1.17</v>
      </c>
      <c r="AT21" s="11">
        <v>0.62749999999999995</v>
      </c>
      <c r="AU21" s="11">
        <v>-0.83699999999999997</v>
      </c>
      <c r="AV21" s="11">
        <v>2.5228000000000002</v>
      </c>
      <c r="AW21" s="11">
        <v>2.2168999999999999</v>
      </c>
      <c r="AX21" s="11">
        <v>4.0833000000000004</v>
      </c>
      <c r="AY21" s="11">
        <v>5.9081999999999999</v>
      </c>
      <c r="AZ21" s="11">
        <v>9.9215999999999998</v>
      </c>
      <c r="BA21" s="11">
        <v>6.8657000000000004</v>
      </c>
      <c r="BB21" s="11">
        <v>9.2384000000000004</v>
      </c>
      <c r="BC21" s="11">
        <v>10.83</v>
      </c>
      <c r="BD21" s="11">
        <v>13.682399999999999</v>
      </c>
      <c r="BE21" s="11">
        <v>19.9102</v>
      </c>
      <c r="BF21" s="11">
        <v>19.1526</v>
      </c>
      <c r="BG21" s="11">
        <v>22.450399999999998</v>
      </c>
      <c r="BH21" s="11">
        <v>22.137</v>
      </c>
      <c r="BI21" s="11">
        <v>23.432400000000001</v>
      </c>
    </row>
    <row r="22" spans="1:61" x14ac:dyDescent="0.2">
      <c r="A22" s="7" t="s">
        <v>140</v>
      </c>
      <c r="B22" s="10">
        <v>28.264700000000001</v>
      </c>
      <c r="C22" s="10">
        <v>16.6813</v>
      </c>
      <c r="D22" s="10">
        <v>6.9893000000000001</v>
      </c>
      <c r="E22" s="10">
        <v>27.494299999999999</v>
      </c>
      <c r="F22" s="10">
        <v>21.121200000000002</v>
      </c>
      <c r="G22" s="10">
        <v>13.939399999999999</v>
      </c>
      <c r="H22" s="10">
        <v>6.0452000000000004</v>
      </c>
      <c r="I22" s="10">
        <v>14.4572</v>
      </c>
      <c r="J22" s="10">
        <v>8.7893000000000008</v>
      </c>
      <c r="K22" s="10">
        <v>4.4537000000000004</v>
      </c>
      <c r="L22" s="10">
        <v>1.7244999999999999</v>
      </c>
      <c r="M22" s="10">
        <v>8.9071999999999996</v>
      </c>
      <c r="N22" s="10">
        <v>6.1616</v>
      </c>
      <c r="O22" s="10">
        <v>3.5947</v>
      </c>
      <c r="P22" s="10">
        <v>1.5784</v>
      </c>
      <c r="Q22" s="10">
        <v>7.5861000000000001</v>
      </c>
      <c r="R22" s="10">
        <v>5.3869999999999996</v>
      </c>
      <c r="S22" s="10">
        <v>3.3182</v>
      </c>
      <c r="T22" s="10">
        <v>1.3892</v>
      </c>
      <c r="U22" s="10">
        <v>9.6379000000000001</v>
      </c>
      <c r="V22" s="10">
        <v>6.9709000000000003</v>
      </c>
      <c r="W22" s="10">
        <v>4.4192999999999998</v>
      </c>
      <c r="X22" s="10">
        <v>1.8947000000000001</v>
      </c>
      <c r="Y22" s="10">
        <v>7.3129999999999997</v>
      </c>
      <c r="Z22" s="10">
        <v>5.1208999999999998</v>
      </c>
      <c r="AA22" s="10">
        <v>2.9733999999999998</v>
      </c>
      <c r="AB22" s="10">
        <v>1.4946999999999999</v>
      </c>
      <c r="AC22" s="10">
        <v>11.504799999999999</v>
      </c>
      <c r="AD22" s="10">
        <v>9.0196000000000005</v>
      </c>
      <c r="AE22" s="10">
        <v>6.2129000000000003</v>
      </c>
      <c r="AF22" s="10">
        <v>3.4729999999999999</v>
      </c>
      <c r="AG22" s="10">
        <v>6.2068000000000003</v>
      </c>
      <c r="AH22" s="10">
        <v>4.8704000000000001</v>
      </c>
      <c r="AI22" s="10">
        <v>0.54469999999999996</v>
      </c>
      <c r="AJ22" s="10">
        <v>-0.84189999999999998</v>
      </c>
      <c r="AK22" s="10">
        <v>1.6935</v>
      </c>
      <c r="AL22" s="10">
        <v>0.54949999999999999</v>
      </c>
      <c r="AM22" s="10">
        <v>0.92230000000000001</v>
      </c>
      <c r="AN22" s="10">
        <v>-1.3146</v>
      </c>
      <c r="AO22" s="10">
        <v>0.81140000000000001</v>
      </c>
      <c r="AP22" s="10">
        <v>-1.0398000000000001</v>
      </c>
      <c r="AQ22" s="10">
        <v>-1.0181</v>
      </c>
      <c r="AR22" s="10">
        <v>-0.93089999999999995</v>
      </c>
      <c r="AS22" s="10">
        <v>0.78280000000000005</v>
      </c>
      <c r="AT22" s="10">
        <v>1.1227</v>
      </c>
      <c r="AU22" s="10">
        <v>-0.95640000000000003</v>
      </c>
      <c r="AV22" s="10">
        <v>0.77159999999999995</v>
      </c>
      <c r="AW22" s="10">
        <v>1.7062999999999999</v>
      </c>
      <c r="AX22" s="10">
        <v>2.6522999999999999</v>
      </c>
      <c r="AY22" s="10">
        <v>2.7608999999999999</v>
      </c>
      <c r="AZ22" s="10">
        <v>2.5811999999999999</v>
      </c>
      <c r="BA22" s="10">
        <v>6.6749999999999998</v>
      </c>
      <c r="BB22" s="10">
        <v>7.7919</v>
      </c>
      <c r="BC22" s="10">
        <v>6.2529000000000003</v>
      </c>
      <c r="BD22" s="10">
        <v>3.9434999999999998</v>
      </c>
      <c r="BE22" s="10">
        <v>25.1067</v>
      </c>
      <c r="BF22" s="10">
        <v>12.3141</v>
      </c>
      <c r="BG22" s="10">
        <v>32.532200000000003</v>
      </c>
      <c r="BH22" s="10">
        <v>38.996099999999998</v>
      </c>
      <c r="BI22" s="10">
        <v>40.827599999999997</v>
      </c>
    </row>
    <row r="23" spans="1:61" x14ac:dyDescent="0.2">
      <c r="A23" s="7" t="s">
        <v>141</v>
      </c>
      <c r="B23" s="11">
        <v>580.66579999999999</v>
      </c>
      <c r="C23" s="11">
        <v>489.36369999999999</v>
      </c>
      <c r="D23" s="11">
        <v>424.55</v>
      </c>
      <c r="E23" s="11">
        <v>410.71820000000002</v>
      </c>
      <c r="F23" s="11">
        <v>425.15109999999999</v>
      </c>
      <c r="G23" s="11">
        <v>379.68549999999999</v>
      </c>
      <c r="H23" s="11">
        <v>311.97460000000001</v>
      </c>
      <c r="I23" s="11">
        <v>249.19390000000001</v>
      </c>
      <c r="J23" s="11">
        <v>201.67760000000001</v>
      </c>
      <c r="K23" s="11">
        <v>150.44399999999999</v>
      </c>
      <c r="L23" s="11">
        <v>135.22929999999999</v>
      </c>
      <c r="M23" s="11">
        <v>125.4452</v>
      </c>
      <c r="N23" s="11">
        <v>120.8021</v>
      </c>
      <c r="O23" s="11">
        <v>119.0346</v>
      </c>
      <c r="P23" s="11">
        <v>126.99630000000001</v>
      </c>
      <c r="Q23" s="11">
        <v>125.84650000000001</v>
      </c>
      <c r="R23" s="11">
        <v>133.82810000000001</v>
      </c>
      <c r="S23" s="11">
        <v>138.13560000000001</v>
      </c>
      <c r="T23" s="11">
        <v>140.25149999999999</v>
      </c>
      <c r="U23" s="11">
        <v>150.4117</v>
      </c>
      <c r="V23" s="11">
        <v>133.21539999999999</v>
      </c>
      <c r="W23" s="11">
        <v>107.7513</v>
      </c>
      <c r="X23" s="11">
        <v>105.3673</v>
      </c>
      <c r="Y23" s="11">
        <v>103.4012</v>
      </c>
      <c r="Z23" s="11">
        <v>105.13039999999999</v>
      </c>
      <c r="AA23" s="11">
        <v>119.2336</v>
      </c>
      <c r="AB23" s="11">
        <v>143.13239999999999</v>
      </c>
      <c r="AC23" s="11">
        <v>152.08949999999999</v>
      </c>
      <c r="AD23" s="11">
        <v>170.53980000000001</v>
      </c>
      <c r="AE23" s="11">
        <v>194.4348</v>
      </c>
      <c r="AF23" s="11">
        <v>143.5984</v>
      </c>
      <c r="AG23" s="11">
        <v>126.059</v>
      </c>
      <c r="AH23" s="11">
        <v>90.606499999999997</v>
      </c>
      <c r="AI23" s="11">
        <v>26.9129</v>
      </c>
      <c r="AJ23" s="11">
        <v>44.276800000000001</v>
      </c>
      <c r="AK23" s="11">
        <v>35.634300000000003</v>
      </c>
      <c r="AL23" s="11">
        <v>45.847799999999999</v>
      </c>
      <c r="AM23" s="11">
        <v>54.838500000000003</v>
      </c>
      <c r="AN23" s="11">
        <v>5.5811000000000002</v>
      </c>
      <c r="AO23" s="11">
        <v>12.1211</v>
      </c>
      <c r="AP23" s="11">
        <v>-30.270499999999998</v>
      </c>
      <c r="AQ23" s="11">
        <v>-2.4874000000000001</v>
      </c>
      <c r="AR23" s="11">
        <v>-21.954799999999999</v>
      </c>
      <c r="AS23" s="11">
        <v>17.176100000000002</v>
      </c>
      <c r="AT23" s="11">
        <v>17.2728</v>
      </c>
      <c r="AU23" s="11">
        <v>-14.4505</v>
      </c>
      <c r="AV23" s="11">
        <v>11.0039</v>
      </c>
      <c r="AW23" s="11">
        <v>64.487099999999998</v>
      </c>
      <c r="AX23" s="11">
        <v>61.485300000000002</v>
      </c>
      <c r="AY23" s="11">
        <v>101.416</v>
      </c>
      <c r="AZ23" s="11">
        <v>153.89769999999999</v>
      </c>
      <c r="BA23" s="11">
        <v>167.85919999999999</v>
      </c>
      <c r="BB23" s="11">
        <v>244.9933</v>
      </c>
      <c r="BC23" s="11">
        <v>324.9529</v>
      </c>
      <c r="BD23" s="11">
        <v>347.22539999999998</v>
      </c>
      <c r="BE23" s="11">
        <v>374.21690000000001</v>
      </c>
      <c r="BF23" s="11"/>
      <c r="BG23" s="11">
        <v>439.72620000000001</v>
      </c>
      <c r="BH23" s="11"/>
      <c r="BI23" s="11"/>
    </row>
    <row r="24" spans="1:61" x14ac:dyDescent="0.2">
      <c r="A24" s="7" t="s">
        <v>142</v>
      </c>
      <c r="B24" s="10">
        <v>30.273099999999999</v>
      </c>
      <c r="C24" s="10">
        <v>28.686399999999999</v>
      </c>
      <c r="D24" s="10">
        <v>25.3292</v>
      </c>
      <c r="E24" s="10">
        <v>22.511700000000001</v>
      </c>
      <c r="F24" s="10">
        <v>22.3627</v>
      </c>
      <c r="G24" s="10">
        <v>22.289200000000001</v>
      </c>
      <c r="H24" s="10">
        <v>21.222300000000001</v>
      </c>
      <c r="I24" s="10">
        <v>20.5976</v>
      </c>
      <c r="J24" s="10">
        <v>18.666399999999999</v>
      </c>
      <c r="K24" s="10">
        <v>16.161899999999999</v>
      </c>
      <c r="L24" s="10">
        <v>13.3134</v>
      </c>
      <c r="M24" s="10">
        <v>12.795199999999999</v>
      </c>
      <c r="N24" s="10">
        <v>12.395099999999999</v>
      </c>
      <c r="O24" s="10">
        <v>11.572699999999999</v>
      </c>
      <c r="P24" s="10">
        <v>10.308199999999999</v>
      </c>
      <c r="Q24" s="10">
        <v>11.5198</v>
      </c>
      <c r="R24" s="10">
        <v>10.629200000000001</v>
      </c>
      <c r="S24" s="10">
        <v>10.4695</v>
      </c>
      <c r="T24" s="10">
        <v>9.1710999999999991</v>
      </c>
      <c r="U24" s="10">
        <v>12.4323</v>
      </c>
      <c r="V24" s="10">
        <v>11.610200000000001</v>
      </c>
      <c r="W24" s="10">
        <v>11.284599999999999</v>
      </c>
      <c r="X24" s="10">
        <v>11.5876</v>
      </c>
      <c r="Y24" s="10">
        <v>10.7928</v>
      </c>
      <c r="Z24" s="10">
        <v>10.898099999999999</v>
      </c>
      <c r="AA24" s="10">
        <v>10.186400000000001</v>
      </c>
      <c r="AB24" s="10">
        <v>11.363</v>
      </c>
      <c r="AC24" s="10">
        <v>12.0845</v>
      </c>
      <c r="AD24" s="10">
        <v>11.456</v>
      </c>
      <c r="AE24" s="10">
        <v>11.2156</v>
      </c>
      <c r="AF24" s="10">
        <v>10.565300000000001</v>
      </c>
      <c r="AG24" s="10">
        <v>6.8518999999999997</v>
      </c>
      <c r="AH24" s="10">
        <v>11.0844</v>
      </c>
      <c r="AI24" s="10">
        <v>5.6224999999999996</v>
      </c>
      <c r="AJ24" s="10">
        <v>-30.083500000000001</v>
      </c>
      <c r="AK24" s="10">
        <v>7.6387</v>
      </c>
      <c r="AL24" s="10">
        <v>5.0213999999999999</v>
      </c>
      <c r="AM24" s="10">
        <v>9.3878000000000004</v>
      </c>
      <c r="AN24" s="10">
        <v>-62.9251</v>
      </c>
      <c r="AO24" s="10">
        <v>4.6074999999999999</v>
      </c>
      <c r="AP24" s="10">
        <v>-7.6791</v>
      </c>
      <c r="AQ24" s="10">
        <v>-11.8506</v>
      </c>
      <c r="AR24" s="10">
        <v>-19.977399999999999</v>
      </c>
      <c r="AS24" s="10">
        <v>6.8764000000000003</v>
      </c>
      <c r="AT24" s="10">
        <v>4.2846000000000002</v>
      </c>
      <c r="AU24" s="10">
        <v>-5.1448999999999998</v>
      </c>
      <c r="AV24" s="10">
        <v>12.0876</v>
      </c>
      <c r="AW24" s="10">
        <v>15.731299999999999</v>
      </c>
      <c r="AX24" s="10">
        <v>29.8828</v>
      </c>
      <c r="AY24" s="10">
        <v>46.487400000000001</v>
      </c>
      <c r="AZ24" s="10">
        <v>78.007800000000003</v>
      </c>
      <c r="BA24" s="10">
        <v>24.666499999999999</v>
      </c>
      <c r="BB24" s="10">
        <v>27.317499999999999</v>
      </c>
      <c r="BC24" s="10">
        <v>26.815999999999999</v>
      </c>
      <c r="BD24" s="10">
        <v>29.799499999999998</v>
      </c>
      <c r="BE24" s="10">
        <v>31.5959</v>
      </c>
      <c r="BF24" s="10">
        <v>27.7423</v>
      </c>
      <c r="BG24" s="10">
        <v>33.927</v>
      </c>
      <c r="BH24" s="10">
        <v>34.602499999999999</v>
      </c>
      <c r="BI24" s="10">
        <v>34.401200000000003</v>
      </c>
    </row>
    <row r="25" spans="1:61" x14ac:dyDescent="0.2">
      <c r="A25" s="7" t="s">
        <v>143</v>
      </c>
      <c r="B25" s="11">
        <v>40.741100000000003</v>
      </c>
      <c r="C25" s="11">
        <v>39.327100000000002</v>
      </c>
      <c r="D25" s="11">
        <v>36.701000000000001</v>
      </c>
      <c r="E25" s="11">
        <v>33.805</v>
      </c>
      <c r="F25" s="11">
        <v>33.321399999999997</v>
      </c>
      <c r="G25" s="11">
        <v>33.132300000000001</v>
      </c>
      <c r="H25" s="11">
        <v>32.759099999999997</v>
      </c>
      <c r="I25" s="11">
        <v>32.9923</v>
      </c>
      <c r="J25" s="11">
        <v>31.746500000000001</v>
      </c>
      <c r="K25" s="11">
        <v>30.387699999999999</v>
      </c>
      <c r="L25" s="11">
        <v>29.549399999999999</v>
      </c>
      <c r="M25" s="11">
        <v>29.312000000000001</v>
      </c>
      <c r="N25" s="11">
        <v>27.916499999999999</v>
      </c>
      <c r="O25" s="11">
        <v>26.785</v>
      </c>
      <c r="P25" s="11">
        <v>26.281099999999999</v>
      </c>
      <c r="Q25" s="11">
        <v>25.573799999999999</v>
      </c>
      <c r="R25" s="11">
        <v>24.444900000000001</v>
      </c>
      <c r="S25" s="11">
        <v>24.4011</v>
      </c>
      <c r="T25" s="11">
        <v>25.109200000000001</v>
      </c>
      <c r="U25" s="11">
        <v>25.428899999999999</v>
      </c>
      <c r="V25" s="11">
        <v>24.9437</v>
      </c>
      <c r="W25" s="11">
        <v>25.2972</v>
      </c>
      <c r="X25" s="11">
        <v>24.943999999999999</v>
      </c>
      <c r="Y25" s="11">
        <v>27.111999999999998</v>
      </c>
      <c r="Z25" s="11">
        <v>28.3001</v>
      </c>
      <c r="AA25" s="11">
        <v>28.4466</v>
      </c>
      <c r="AB25" s="11">
        <v>28.105899999999998</v>
      </c>
      <c r="AC25" s="11">
        <v>27.2742</v>
      </c>
      <c r="AD25" s="11">
        <v>26.030200000000001</v>
      </c>
      <c r="AE25" s="11">
        <v>25.118400000000001</v>
      </c>
      <c r="AF25" s="11">
        <v>24.287099999999999</v>
      </c>
      <c r="AG25" s="11">
        <v>26.794799999999999</v>
      </c>
      <c r="AH25" s="11">
        <v>27.322900000000001</v>
      </c>
      <c r="AI25" s="11">
        <v>33.950600000000001</v>
      </c>
      <c r="AJ25" s="11">
        <v>31.603100000000001</v>
      </c>
      <c r="AK25" s="11">
        <v>30.559200000000001</v>
      </c>
      <c r="AL25" s="11">
        <v>28.0062</v>
      </c>
      <c r="AM25" s="11">
        <v>27.914200000000001</v>
      </c>
      <c r="AN25" s="11">
        <v>32.878500000000003</v>
      </c>
      <c r="AO25" s="11">
        <v>27.1477</v>
      </c>
      <c r="AP25" s="11">
        <v>27.152000000000001</v>
      </c>
      <c r="AQ25" s="11">
        <v>28.180199999999999</v>
      </c>
      <c r="AR25" s="11">
        <v>15.8513</v>
      </c>
      <c r="AS25" s="11">
        <v>32.460999999999999</v>
      </c>
      <c r="AT25" s="11">
        <v>31.502800000000001</v>
      </c>
      <c r="AU25" s="11">
        <v>32.756999999999998</v>
      </c>
      <c r="AV25" s="11">
        <v>34.224400000000003</v>
      </c>
      <c r="AW25" s="11">
        <v>40.511000000000003</v>
      </c>
      <c r="AX25" s="11">
        <v>43.3932</v>
      </c>
      <c r="AY25" s="11">
        <v>44.429400000000001</v>
      </c>
      <c r="AZ25" s="11">
        <v>46.527500000000003</v>
      </c>
      <c r="BA25" s="11">
        <v>48.686599999999999</v>
      </c>
      <c r="BB25" s="11">
        <v>49.526800000000001</v>
      </c>
      <c r="BC25" s="11">
        <v>49.618899999999996</v>
      </c>
      <c r="BD25" s="11">
        <v>49.248399999999997</v>
      </c>
      <c r="BE25" s="11">
        <v>50.184399999999997</v>
      </c>
      <c r="BF25" s="11">
        <v>49.864199999999997</v>
      </c>
      <c r="BG25" s="11">
        <v>50.796199999999999</v>
      </c>
      <c r="BH25" s="11">
        <v>49.769399999999997</v>
      </c>
      <c r="BI25" s="11">
        <v>48.475900000000003</v>
      </c>
    </row>
    <row r="26" spans="1:61" x14ac:dyDescent="0.2">
      <c r="A26" s="7" t="s">
        <v>144</v>
      </c>
      <c r="B26" s="10">
        <v>59.258899999999997</v>
      </c>
      <c r="C26" s="10">
        <v>60.672899999999998</v>
      </c>
      <c r="D26" s="10">
        <v>63.298999999999999</v>
      </c>
      <c r="E26" s="10">
        <v>66.194999999999993</v>
      </c>
      <c r="F26" s="10">
        <v>66.678600000000003</v>
      </c>
      <c r="G26" s="10">
        <v>66.867699999999999</v>
      </c>
      <c r="H26" s="10">
        <v>67.240899999999996</v>
      </c>
      <c r="I26" s="10">
        <v>67.0077</v>
      </c>
      <c r="J26" s="10">
        <v>68.253500000000003</v>
      </c>
      <c r="K26" s="10">
        <v>69.612300000000005</v>
      </c>
      <c r="L26" s="10">
        <v>70.450599999999994</v>
      </c>
      <c r="M26" s="10">
        <v>70.688000000000002</v>
      </c>
      <c r="N26" s="10">
        <v>72.083500000000001</v>
      </c>
      <c r="O26" s="10">
        <v>73.215000000000003</v>
      </c>
      <c r="P26" s="10">
        <v>73.718900000000005</v>
      </c>
      <c r="Q26" s="10">
        <v>74.426199999999994</v>
      </c>
      <c r="R26" s="10">
        <v>75.555099999999996</v>
      </c>
      <c r="S26" s="10">
        <v>75.5989</v>
      </c>
      <c r="T26" s="10">
        <v>74.890799999999999</v>
      </c>
      <c r="U26" s="10">
        <v>74.571100000000001</v>
      </c>
      <c r="V26" s="10">
        <v>75.056299999999993</v>
      </c>
      <c r="W26" s="10">
        <v>74.702799999999996</v>
      </c>
      <c r="X26" s="10">
        <v>75.055999999999997</v>
      </c>
      <c r="Y26" s="10">
        <v>72.888000000000005</v>
      </c>
      <c r="Z26" s="10">
        <v>71.6999</v>
      </c>
      <c r="AA26" s="10">
        <v>71.553399999999996</v>
      </c>
      <c r="AB26" s="10">
        <v>71.894099999999995</v>
      </c>
      <c r="AC26" s="10">
        <v>72.725800000000007</v>
      </c>
      <c r="AD26" s="10">
        <v>73.969800000000006</v>
      </c>
      <c r="AE26" s="10">
        <v>74.881600000000006</v>
      </c>
      <c r="AF26" s="10">
        <v>75.712900000000005</v>
      </c>
      <c r="AG26" s="10">
        <v>73.205200000000005</v>
      </c>
      <c r="AH26" s="10">
        <v>72.677099999999996</v>
      </c>
      <c r="AI26" s="10">
        <v>66.049400000000006</v>
      </c>
      <c r="AJ26" s="10">
        <v>68.396900000000002</v>
      </c>
      <c r="AK26" s="10">
        <v>69.440799999999996</v>
      </c>
      <c r="AL26" s="10">
        <v>71.993799999999993</v>
      </c>
      <c r="AM26" s="10">
        <v>72.085800000000006</v>
      </c>
      <c r="AN26" s="10">
        <v>67.121499999999997</v>
      </c>
      <c r="AO26" s="10">
        <v>72.8523</v>
      </c>
      <c r="AP26" s="10">
        <v>72.847999999999999</v>
      </c>
      <c r="AQ26" s="10">
        <v>71.819800000000001</v>
      </c>
      <c r="AR26" s="10">
        <v>84.148700000000005</v>
      </c>
      <c r="AS26" s="10">
        <v>67.539000000000001</v>
      </c>
      <c r="AT26" s="10">
        <v>68.497200000000007</v>
      </c>
      <c r="AU26" s="10">
        <v>67.242999999999995</v>
      </c>
      <c r="AV26" s="10">
        <v>65.775599999999997</v>
      </c>
      <c r="AW26" s="10">
        <v>59.488999999999997</v>
      </c>
      <c r="AX26" s="10">
        <v>56.6068</v>
      </c>
      <c r="AY26" s="10">
        <v>55.570599999999999</v>
      </c>
      <c r="AZ26" s="10">
        <v>53.472499999999997</v>
      </c>
      <c r="BA26" s="10">
        <v>51.313400000000001</v>
      </c>
      <c r="BB26" s="10">
        <v>50.473199999999999</v>
      </c>
      <c r="BC26" s="10">
        <v>50.381100000000004</v>
      </c>
      <c r="BD26" s="10">
        <v>50.751600000000003</v>
      </c>
      <c r="BE26" s="10">
        <v>49.815600000000003</v>
      </c>
      <c r="BF26" s="10">
        <v>50.135800000000003</v>
      </c>
      <c r="BG26" s="10">
        <v>49.203800000000001</v>
      </c>
      <c r="BH26" s="10">
        <v>50.230600000000003</v>
      </c>
      <c r="BI26" s="10">
        <v>51.524099999999997</v>
      </c>
    </row>
    <row r="27" spans="1:61" x14ac:dyDescent="0.2">
      <c r="A27" s="7" t="s">
        <v>145</v>
      </c>
      <c r="B27" s="11">
        <v>6.6219999999999999</v>
      </c>
      <c r="C27" s="11">
        <v>6.3423999999999996</v>
      </c>
      <c r="D27" s="11">
        <v>7.0651000000000002</v>
      </c>
      <c r="E27" s="11">
        <v>8.2910000000000004</v>
      </c>
      <c r="F27" s="11">
        <v>7.8334000000000001</v>
      </c>
      <c r="G27" s="11">
        <v>7.9150999999999998</v>
      </c>
      <c r="H27" s="11">
        <v>8.3841000000000001</v>
      </c>
      <c r="I27" s="11">
        <v>11.328900000000001</v>
      </c>
      <c r="J27" s="11">
        <v>11.0848</v>
      </c>
      <c r="K27" s="11">
        <v>12.401899999999999</v>
      </c>
      <c r="L27" s="11">
        <v>15.561400000000001</v>
      </c>
      <c r="M27" s="11">
        <v>13.9222</v>
      </c>
      <c r="N27" s="11">
        <v>14.147399999999999</v>
      </c>
      <c r="O27" s="11">
        <v>14.4697</v>
      </c>
      <c r="P27" s="11">
        <v>15.7684</v>
      </c>
      <c r="Q27" s="11">
        <v>14.711600000000001</v>
      </c>
      <c r="R27" s="11">
        <v>14.2865</v>
      </c>
      <c r="S27" s="11">
        <v>14.9855</v>
      </c>
      <c r="T27" s="11">
        <v>16.653700000000001</v>
      </c>
      <c r="U27" s="11">
        <v>14.855</v>
      </c>
      <c r="V27" s="11">
        <v>12.508599999999999</v>
      </c>
      <c r="W27" s="11">
        <v>12.062099999999999</v>
      </c>
      <c r="X27" s="11">
        <v>13.4671</v>
      </c>
      <c r="Y27" s="11">
        <v>14.8992</v>
      </c>
      <c r="Z27" s="11">
        <v>13.605600000000001</v>
      </c>
      <c r="AA27" s="11">
        <v>14.561999999999999</v>
      </c>
      <c r="AB27" s="11">
        <v>15.394</v>
      </c>
      <c r="AC27" s="11">
        <v>13.6195</v>
      </c>
      <c r="AD27" s="11">
        <v>12.7316</v>
      </c>
      <c r="AE27" s="11">
        <v>12.6906</v>
      </c>
      <c r="AF27" s="11">
        <v>13.1145</v>
      </c>
      <c r="AG27" s="11">
        <v>13.366400000000001</v>
      </c>
      <c r="AH27" s="11">
        <v>13.6723</v>
      </c>
      <c r="AI27" s="11">
        <v>29.3888</v>
      </c>
      <c r="AJ27" s="11">
        <v>68.714200000000005</v>
      </c>
      <c r="AK27" s="11">
        <v>32.981000000000002</v>
      </c>
      <c r="AL27" s="11">
        <v>38.809800000000003</v>
      </c>
      <c r="AM27" s="11">
        <v>40.924799999999998</v>
      </c>
      <c r="AN27" s="11">
        <v>103.13939999999999</v>
      </c>
      <c r="AO27" s="11">
        <v>26.8581</v>
      </c>
      <c r="AP27" s="11">
        <v>36.917499999999997</v>
      </c>
      <c r="AQ27" s="11">
        <v>38.579500000000003</v>
      </c>
      <c r="AR27" s="11">
        <v>34.464300000000001</v>
      </c>
      <c r="AS27" s="11">
        <v>30.15</v>
      </c>
      <c r="AT27" s="11">
        <v>44.663499999999999</v>
      </c>
      <c r="AU27" s="11">
        <v>41.238300000000002</v>
      </c>
      <c r="AV27" s="11">
        <v>26.670400000000001</v>
      </c>
      <c r="AW27" s="11">
        <v>35.263199999999998</v>
      </c>
      <c r="AX27" s="11">
        <v>29.4573</v>
      </c>
      <c r="AY27" s="11">
        <v>22.1693</v>
      </c>
      <c r="AZ27" s="11">
        <v>27.7989</v>
      </c>
      <c r="BA27" s="11">
        <v>18.8353</v>
      </c>
      <c r="BB27" s="11">
        <v>18.399699999999999</v>
      </c>
      <c r="BC27" s="11">
        <v>15.1898</v>
      </c>
      <c r="BD27" s="11">
        <v>13.2905</v>
      </c>
      <c r="BE27" s="11">
        <v>12.9886</v>
      </c>
      <c r="BF27" s="11">
        <v>11.9437</v>
      </c>
      <c r="BG27" s="11">
        <v>10.9991</v>
      </c>
      <c r="BH27" s="11">
        <v>12.5931</v>
      </c>
      <c r="BI27" s="11">
        <v>8.2159999999999993</v>
      </c>
    </row>
    <row r="28" spans="1:61" x14ac:dyDescent="0.2">
      <c r="A28" s="7" t="s">
        <v>146</v>
      </c>
      <c r="B28" s="10">
        <v>30.273099999999999</v>
      </c>
      <c r="C28" s="10">
        <v>28.686399999999999</v>
      </c>
      <c r="D28" s="10">
        <v>25.3292</v>
      </c>
      <c r="E28" s="10">
        <v>22.511700000000001</v>
      </c>
      <c r="F28" s="10">
        <v>22.3627</v>
      </c>
      <c r="G28" s="10">
        <v>22.289200000000001</v>
      </c>
      <c r="H28" s="10">
        <v>21.222300000000001</v>
      </c>
      <c r="I28" s="10">
        <v>20.5976</v>
      </c>
      <c r="J28" s="10">
        <v>18.666399999999999</v>
      </c>
      <c r="K28" s="10">
        <v>16.161899999999999</v>
      </c>
      <c r="L28" s="10">
        <v>13.3134</v>
      </c>
      <c r="M28" s="10">
        <v>12.795199999999999</v>
      </c>
      <c r="N28" s="10">
        <v>12.395099999999999</v>
      </c>
      <c r="O28" s="10">
        <v>11.572699999999999</v>
      </c>
      <c r="P28" s="10">
        <v>10.308199999999999</v>
      </c>
      <c r="Q28" s="10">
        <v>11.5198</v>
      </c>
      <c r="R28" s="10">
        <v>10.629200000000001</v>
      </c>
      <c r="S28" s="10">
        <v>10.4695</v>
      </c>
      <c r="T28" s="10">
        <v>9.1710999999999991</v>
      </c>
      <c r="U28" s="10">
        <v>12.4323</v>
      </c>
      <c r="V28" s="10">
        <v>11.610200000000001</v>
      </c>
      <c r="W28" s="10">
        <v>11.284599999999999</v>
      </c>
      <c r="X28" s="10">
        <v>11.5876</v>
      </c>
      <c r="Y28" s="10">
        <v>10.7928</v>
      </c>
      <c r="Z28" s="10">
        <v>10.898099999999999</v>
      </c>
      <c r="AA28" s="10">
        <v>10.186400000000001</v>
      </c>
      <c r="AB28" s="10">
        <v>11.363</v>
      </c>
      <c r="AC28" s="10">
        <v>12.0845</v>
      </c>
      <c r="AD28" s="10">
        <v>11.456</v>
      </c>
      <c r="AE28" s="10">
        <v>11.2156</v>
      </c>
      <c r="AF28" s="10">
        <v>10.565300000000001</v>
      </c>
      <c r="AG28" s="10">
        <v>6.8518999999999997</v>
      </c>
      <c r="AH28" s="10">
        <v>11.0844</v>
      </c>
      <c r="AI28" s="10">
        <v>5.6224999999999996</v>
      </c>
      <c r="AJ28" s="10">
        <v>-30.083500000000001</v>
      </c>
      <c r="AK28" s="10">
        <v>7.6387</v>
      </c>
      <c r="AL28" s="10">
        <v>5.0213999999999999</v>
      </c>
      <c r="AM28" s="10">
        <v>9.3878000000000004</v>
      </c>
      <c r="AN28" s="10">
        <v>-62.9251</v>
      </c>
      <c r="AO28" s="10">
        <v>4.6074999999999999</v>
      </c>
      <c r="AP28" s="10">
        <v>-7.6791</v>
      </c>
      <c r="AQ28" s="10">
        <v>-11.8506</v>
      </c>
      <c r="AR28" s="10">
        <v>-19.977399999999999</v>
      </c>
      <c r="AS28" s="10">
        <v>6.8764000000000003</v>
      </c>
      <c r="AT28" s="10">
        <v>4.2846000000000002</v>
      </c>
      <c r="AU28" s="10">
        <v>-5.1448999999999998</v>
      </c>
      <c r="AV28" s="10">
        <v>12.0876</v>
      </c>
      <c r="AW28" s="10">
        <v>15.731299999999999</v>
      </c>
      <c r="AX28" s="10">
        <v>29.8828</v>
      </c>
      <c r="AY28" s="10">
        <v>46.487400000000001</v>
      </c>
      <c r="AZ28" s="10">
        <v>78.007800000000003</v>
      </c>
      <c r="BA28" s="10">
        <v>24.666499999999999</v>
      </c>
      <c r="BB28" s="10">
        <v>27.317499999999999</v>
      </c>
      <c r="BC28" s="10">
        <v>26.815999999999999</v>
      </c>
      <c r="BD28" s="10">
        <v>29.799499999999998</v>
      </c>
      <c r="BE28" s="10">
        <v>31.5959</v>
      </c>
      <c r="BF28" s="10">
        <v>27.7423</v>
      </c>
      <c r="BG28" s="10">
        <v>33.927</v>
      </c>
      <c r="BH28" s="10">
        <v>34.602499999999999</v>
      </c>
      <c r="BI28" s="10">
        <v>34.401200000000003</v>
      </c>
    </row>
    <row r="29" spans="1:61" x14ac:dyDescent="0.2">
      <c r="A29" s="7" t="s">
        <v>147</v>
      </c>
      <c r="B29" s="11">
        <v>35.347900000000003</v>
      </c>
      <c r="C29" s="11">
        <v>32.9786</v>
      </c>
      <c r="D29" s="11">
        <v>29.7974</v>
      </c>
      <c r="E29" s="11">
        <v>25.3537</v>
      </c>
      <c r="F29" s="11">
        <v>25.474900000000002</v>
      </c>
      <c r="G29" s="11">
        <v>25.264500000000002</v>
      </c>
      <c r="H29" s="11">
        <v>24.155799999999999</v>
      </c>
      <c r="I29" s="11">
        <v>23.270199999999999</v>
      </c>
      <c r="J29" s="11">
        <v>20.8931</v>
      </c>
      <c r="K29" s="11">
        <v>17.820699999999999</v>
      </c>
      <c r="L29" s="11">
        <v>14.690899999999999</v>
      </c>
      <c r="M29" s="11">
        <v>13.767099999999999</v>
      </c>
      <c r="N29" s="11">
        <v>13.610300000000001</v>
      </c>
      <c r="O29" s="11">
        <v>12.4002</v>
      </c>
      <c r="P29" s="11">
        <v>11.160500000000001</v>
      </c>
      <c r="Q29" s="11">
        <v>12.5129</v>
      </c>
      <c r="R29" s="11">
        <v>11.512700000000001</v>
      </c>
      <c r="S29" s="11">
        <v>11.2614</v>
      </c>
      <c r="T29" s="11">
        <v>10.0657</v>
      </c>
      <c r="U29" s="11">
        <v>14.0405</v>
      </c>
      <c r="V29" s="11">
        <v>13.438599999999999</v>
      </c>
      <c r="W29" s="11">
        <v>13.2706</v>
      </c>
      <c r="X29" s="11">
        <v>13.0778</v>
      </c>
      <c r="Y29" s="11">
        <v>12.114599999999999</v>
      </c>
      <c r="Z29" s="11">
        <v>11.8391</v>
      </c>
      <c r="AA29" s="11">
        <v>11.4017</v>
      </c>
      <c r="AB29" s="11">
        <v>13.3583</v>
      </c>
      <c r="AC29" s="11">
        <v>13.224500000000001</v>
      </c>
      <c r="AD29" s="11">
        <v>12.8895</v>
      </c>
      <c r="AE29" s="11">
        <v>12.572800000000001</v>
      </c>
      <c r="AF29" s="11">
        <v>11.3124</v>
      </c>
      <c r="AG29" s="11">
        <v>8.7340999999999998</v>
      </c>
      <c r="AH29" s="11">
        <v>12.8919</v>
      </c>
      <c r="AI29" s="11">
        <v>5.1532</v>
      </c>
      <c r="AJ29" s="11">
        <v>-35.694899999999997</v>
      </c>
      <c r="AK29" s="11">
        <v>-1.8339000000000001</v>
      </c>
      <c r="AL29" s="11">
        <v>-9.109</v>
      </c>
      <c r="AM29" s="11">
        <v>-12.093</v>
      </c>
      <c r="AN29" s="11">
        <v>-66.074100000000001</v>
      </c>
      <c r="AO29" s="11">
        <v>2.08</v>
      </c>
      <c r="AP29" s="11">
        <v>-9.1458999999999993</v>
      </c>
      <c r="AQ29" s="11">
        <v>-13.0502</v>
      </c>
      <c r="AR29" s="11">
        <v>-21.778400000000001</v>
      </c>
      <c r="AS29" s="11">
        <v>1.8113999999999999</v>
      </c>
      <c r="AT29" s="11">
        <v>-17.417400000000001</v>
      </c>
      <c r="AU29" s="11">
        <v>-10.849500000000001</v>
      </c>
      <c r="AV29" s="11">
        <v>6.1144999999999996</v>
      </c>
      <c r="AW29" s="11">
        <v>2.0512999999999999</v>
      </c>
      <c r="AX29" s="11">
        <v>12.164400000000001</v>
      </c>
      <c r="AY29" s="11">
        <v>19.754300000000001</v>
      </c>
      <c r="AZ29" s="11">
        <v>18.207799999999999</v>
      </c>
      <c r="BA29" s="11">
        <v>26.8277</v>
      </c>
      <c r="BB29" s="11">
        <v>28.084499999999998</v>
      </c>
      <c r="BC29" s="11">
        <v>30.904599999999999</v>
      </c>
      <c r="BD29" s="11">
        <v>35.0505</v>
      </c>
      <c r="BE29" s="11">
        <v>35.868600000000001</v>
      </c>
      <c r="BF29" s="11">
        <v>36.855499999999999</v>
      </c>
      <c r="BG29" s="11">
        <v>39.4268</v>
      </c>
      <c r="BH29" s="11">
        <v>38.910899999999998</v>
      </c>
      <c r="BI29" s="11">
        <v>38.694899999999997</v>
      </c>
    </row>
    <row r="30" spans="1:61" x14ac:dyDescent="0.2">
      <c r="A30" s="7" t="s">
        <v>148</v>
      </c>
      <c r="B30" s="10">
        <v>34.887799999999999</v>
      </c>
      <c r="C30" s="10">
        <v>32.485700000000001</v>
      </c>
      <c r="D30" s="10">
        <v>29.4391</v>
      </c>
      <c r="E30" s="10">
        <v>25.135899999999999</v>
      </c>
      <c r="F30" s="10">
        <v>25.325500000000002</v>
      </c>
      <c r="G30" s="10">
        <v>25.1038</v>
      </c>
      <c r="H30" s="10">
        <v>24.043500000000002</v>
      </c>
      <c r="I30" s="10">
        <v>22.669699999999999</v>
      </c>
      <c r="J30" s="10">
        <v>20.584099999999999</v>
      </c>
      <c r="K30" s="10">
        <v>17.6373</v>
      </c>
      <c r="L30" s="10">
        <v>14.708500000000001</v>
      </c>
      <c r="M30" s="10">
        <v>14.2851</v>
      </c>
      <c r="N30" s="10">
        <v>13.921200000000001</v>
      </c>
      <c r="O30" s="10">
        <v>12.7676</v>
      </c>
      <c r="P30" s="10">
        <v>11.626799999999999</v>
      </c>
      <c r="Q30" s="10">
        <v>13.348000000000001</v>
      </c>
      <c r="R30" s="10">
        <v>12.4925</v>
      </c>
      <c r="S30" s="10">
        <v>12.1473</v>
      </c>
      <c r="T30" s="10">
        <v>10.9566</v>
      </c>
      <c r="U30" s="10">
        <v>14.7379</v>
      </c>
      <c r="V30" s="10">
        <v>14.231199999999999</v>
      </c>
      <c r="W30" s="10">
        <v>14.1989</v>
      </c>
      <c r="X30" s="10">
        <v>13.6997</v>
      </c>
      <c r="Y30" s="10">
        <v>12.7942</v>
      </c>
      <c r="Z30" s="10">
        <v>12.4991</v>
      </c>
      <c r="AA30" s="10">
        <v>12.064</v>
      </c>
      <c r="AB30" s="10">
        <v>14.8124</v>
      </c>
      <c r="AC30" s="10">
        <v>14.3408</v>
      </c>
      <c r="AD30" s="10">
        <v>13.845000000000001</v>
      </c>
      <c r="AE30" s="10">
        <v>13.708600000000001</v>
      </c>
      <c r="AF30" s="10">
        <v>14.456099999999999</v>
      </c>
      <c r="AG30" s="10">
        <v>9.3849999999999998</v>
      </c>
      <c r="AH30" s="10">
        <v>14.8133</v>
      </c>
      <c r="AI30" s="10">
        <v>4.8097000000000003</v>
      </c>
      <c r="AJ30" s="10">
        <v>-32.439900000000002</v>
      </c>
      <c r="AK30" s="10">
        <v>7.7618999999999998</v>
      </c>
      <c r="AL30" s="10">
        <v>4.0979999999999999</v>
      </c>
      <c r="AM30" s="10">
        <v>10.5868</v>
      </c>
      <c r="AN30" s="10">
        <v>-69.358699999999999</v>
      </c>
      <c r="AO30" s="10">
        <v>4.2754000000000003</v>
      </c>
      <c r="AP30" s="10">
        <v>-8.3477999999999994</v>
      </c>
      <c r="AQ30" s="10">
        <v>-13.526300000000001</v>
      </c>
      <c r="AR30" s="10">
        <v>-27.8535</v>
      </c>
      <c r="AS30" s="10">
        <v>3.9338000000000002</v>
      </c>
      <c r="AT30" s="10">
        <v>8.9596</v>
      </c>
      <c r="AU30" s="10">
        <v>-8.8155999999999999</v>
      </c>
      <c r="AV30" s="10">
        <v>12.9823</v>
      </c>
      <c r="AW30" s="10">
        <v>11.476800000000001</v>
      </c>
      <c r="AX30" s="10">
        <v>27.018899999999999</v>
      </c>
      <c r="AY30" s="10">
        <v>45.7301</v>
      </c>
      <c r="AZ30" s="10">
        <v>91.096599999999995</v>
      </c>
      <c r="BA30" s="10">
        <v>25.680299999999999</v>
      </c>
      <c r="BB30" s="10">
        <v>32.534700000000001</v>
      </c>
      <c r="BC30" s="10">
        <v>32.325600000000001</v>
      </c>
      <c r="BD30" s="10">
        <v>36.649700000000003</v>
      </c>
      <c r="BE30" s="10">
        <v>38.155999999999999</v>
      </c>
      <c r="BF30" s="10">
        <v>38.179900000000004</v>
      </c>
      <c r="BG30" s="10">
        <v>40.212600000000002</v>
      </c>
      <c r="BH30" s="10">
        <v>39.2517</v>
      </c>
      <c r="BI30" s="10">
        <v>39.482999999999997</v>
      </c>
    </row>
    <row r="31" spans="1:61" x14ac:dyDescent="0.2">
      <c r="A31" s="7" t="s">
        <v>149</v>
      </c>
      <c r="B31" s="11"/>
      <c r="C31" s="11">
        <v>35.225900000000003</v>
      </c>
      <c r="D31" s="11"/>
      <c r="E31" s="11">
        <v>28.1248</v>
      </c>
      <c r="F31" s="11"/>
      <c r="G31" s="11">
        <v>28.122</v>
      </c>
      <c r="H31" s="11"/>
      <c r="I31" s="11">
        <v>27.572600000000001</v>
      </c>
      <c r="J31" s="11"/>
      <c r="K31" s="11">
        <v>23.771799999999999</v>
      </c>
      <c r="L31" s="11"/>
      <c r="M31" s="11">
        <v>19.395600000000002</v>
      </c>
      <c r="N31" s="11"/>
      <c r="O31" s="11">
        <v>18.4026</v>
      </c>
      <c r="P31" s="11"/>
      <c r="Q31" s="11">
        <v>19.017800000000001</v>
      </c>
      <c r="R31" s="11"/>
      <c r="S31" s="11">
        <v>18.5276</v>
      </c>
      <c r="T31" s="11"/>
      <c r="U31" s="11">
        <v>19.564599999999999</v>
      </c>
      <c r="V31" s="11"/>
      <c r="W31" s="11">
        <v>18.9727</v>
      </c>
      <c r="X31" s="11"/>
      <c r="Y31" s="11">
        <v>17.967400000000001</v>
      </c>
      <c r="Z31" s="11"/>
      <c r="AA31" s="11">
        <v>17.7501</v>
      </c>
      <c r="AB31" s="11"/>
      <c r="AC31" s="11">
        <v>18.283999999999999</v>
      </c>
      <c r="AD31" s="11"/>
      <c r="AE31" s="11">
        <v>17.072700000000001</v>
      </c>
      <c r="AF31" s="11"/>
      <c r="AG31" s="11">
        <v>13.6938</v>
      </c>
      <c r="AH31" s="11"/>
      <c r="AI31" s="11">
        <v>27.264299999999999</v>
      </c>
      <c r="AJ31" s="11"/>
      <c r="AK31" s="11">
        <v>31.484999999999999</v>
      </c>
      <c r="AL31" s="11"/>
      <c r="AM31" s="11">
        <v>30.0976</v>
      </c>
      <c r="AN31" s="11"/>
      <c r="AO31" s="11">
        <v>26.8401</v>
      </c>
      <c r="AP31" s="11"/>
      <c r="AQ31" s="11">
        <v>17.572500000000002</v>
      </c>
      <c r="AR31" s="11"/>
      <c r="AS31" s="11">
        <v>24.918399999999998</v>
      </c>
      <c r="AT31" s="11"/>
      <c r="AU31" s="11">
        <v>19.467600000000001</v>
      </c>
      <c r="AV31" s="11"/>
      <c r="AW31" s="11">
        <v>35.536099999999998</v>
      </c>
      <c r="AX31" s="11"/>
      <c r="AY31" s="11">
        <v>70.247100000000003</v>
      </c>
      <c r="AZ31" s="11"/>
      <c r="BA31" s="11">
        <v>33.937199999999997</v>
      </c>
      <c r="BB31" s="11"/>
      <c r="BC31" s="11">
        <v>37.4407</v>
      </c>
      <c r="BD31" s="11"/>
      <c r="BE31" s="11">
        <v>42.450400000000002</v>
      </c>
      <c r="BF31" s="11"/>
      <c r="BG31" s="11">
        <v>43.6494</v>
      </c>
      <c r="BH31" s="11">
        <v>41.521700000000003</v>
      </c>
      <c r="BI31" s="11"/>
    </row>
    <row r="32" spans="1:61" x14ac:dyDescent="0.2">
      <c r="A32" s="7" t="s">
        <v>150</v>
      </c>
      <c r="B32" s="10">
        <v>66.378699999999995</v>
      </c>
      <c r="C32" s="10">
        <v>67.637600000000006</v>
      </c>
      <c r="D32" s="10">
        <v>70.808199999999999</v>
      </c>
      <c r="E32" s="10">
        <v>75.091099999999997</v>
      </c>
      <c r="F32" s="10">
        <v>74.894199999999998</v>
      </c>
      <c r="G32" s="10">
        <v>75.151499999999999</v>
      </c>
      <c r="H32" s="10">
        <v>76.353300000000004</v>
      </c>
      <c r="I32" s="10">
        <v>80.281700000000001</v>
      </c>
      <c r="J32" s="10">
        <v>80.055700000000002</v>
      </c>
      <c r="K32" s="10">
        <v>83.104799999999997</v>
      </c>
      <c r="L32" s="10">
        <v>86.406899999999993</v>
      </c>
      <c r="M32" s="10">
        <v>88.962599999999995</v>
      </c>
      <c r="N32" s="10">
        <v>87.666399999999996</v>
      </c>
      <c r="O32" s="10">
        <v>88.962400000000002</v>
      </c>
      <c r="P32" s="10">
        <v>89.973299999999995</v>
      </c>
      <c r="Q32" s="10">
        <v>90.613900000000001</v>
      </c>
      <c r="R32" s="10">
        <v>90.184200000000004</v>
      </c>
      <c r="S32" s="10">
        <v>90.899199999999993</v>
      </c>
      <c r="T32" s="10">
        <v>91.903400000000005</v>
      </c>
      <c r="U32" s="10">
        <v>90.754400000000004</v>
      </c>
      <c r="V32" s="10">
        <v>88.433800000000005</v>
      </c>
      <c r="W32" s="10">
        <v>87.909400000000005</v>
      </c>
      <c r="X32" s="10">
        <v>88.744900000000001</v>
      </c>
      <c r="Y32" s="10">
        <v>91.083799999999997</v>
      </c>
      <c r="Z32" s="10">
        <v>89.308000000000007</v>
      </c>
      <c r="AA32" s="10">
        <v>89.0244</v>
      </c>
      <c r="AB32" s="10">
        <v>86.9923</v>
      </c>
      <c r="AC32" s="10">
        <v>87.823099999999997</v>
      </c>
      <c r="AD32" s="10">
        <v>87.401899999999998</v>
      </c>
      <c r="AE32" s="10">
        <v>87.792000000000002</v>
      </c>
      <c r="AF32" s="10">
        <v>88.926299999999998</v>
      </c>
      <c r="AG32" s="10">
        <v>87.706000000000003</v>
      </c>
      <c r="AH32" s="10">
        <v>87.516900000000007</v>
      </c>
      <c r="AI32" s="10">
        <v>98.594200000000001</v>
      </c>
      <c r="AJ32" s="10">
        <v>140.61959999999999</v>
      </c>
      <c r="AK32" s="10">
        <v>104.41</v>
      </c>
      <c r="AL32" s="10">
        <v>110.66289999999999</v>
      </c>
      <c r="AM32" s="10">
        <v>113.4986</v>
      </c>
      <c r="AN32" s="10">
        <v>170.5694</v>
      </c>
      <c r="AO32" s="10">
        <v>100.8155</v>
      </c>
      <c r="AP32" s="10">
        <v>108.7718</v>
      </c>
      <c r="AQ32" s="10">
        <v>108.7349</v>
      </c>
      <c r="AR32" s="10">
        <v>119.36799999999999</v>
      </c>
      <c r="AS32" s="10">
        <v>99.975999999999999</v>
      </c>
      <c r="AT32" s="10">
        <v>114.8845</v>
      </c>
      <c r="AU32" s="10">
        <v>110.84950000000001</v>
      </c>
      <c r="AV32" s="10">
        <v>93.885499999999993</v>
      </c>
      <c r="AW32" s="10">
        <v>97.948700000000002</v>
      </c>
      <c r="AX32" s="10">
        <v>87.835599999999999</v>
      </c>
      <c r="AY32" s="10">
        <v>80.245699999999999</v>
      </c>
      <c r="AZ32" s="10">
        <v>81.792199999999994</v>
      </c>
      <c r="BA32" s="10">
        <v>73.172300000000007</v>
      </c>
      <c r="BB32" s="10">
        <v>71.915499999999994</v>
      </c>
      <c r="BC32" s="10">
        <v>69.095399999999998</v>
      </c>
      <c r="BD32" s="10">
        <v>64.9495</v>
      </c>
      <c r="BE32" s="10">
        <v>64.131399999999999</v>
      </c>
      <c r="BF32" s="10">
        <v>63.144500000000001</v>
      </c>
      <c r="BG32" s="10">
        <v>60.5732</v>
      </c>
      <c r="BH32" s="10">
        <v>61.089100000000002</v>
      </c>
      <c r="BI32" s="10">
        <v>61.305100000000003</v>
      </c>
    </row>
    <row r="33" spans="1:61" x14ac:dyDescent="0.2">
      <c r="A33" s="7" t="s">
        <v>151</v>
      </c>
      <c r="B33" s="11">
        <v>0.64329999999999998</v>
      </c>
      <c r="C33" s="11">
        <v>0.6835</v>
      </c>
      <c r="D33" s="11">
        <v>0.75070000000000003</v>
      </c>
      <c r="E33" s="11">
        <v>0.83509999999999995</v>
      </c>
      <c r="F33" s="11">
        <v>0.78059999999999996</v>
      </c>
      <c r="G33" s="11">
        <v>0.82579999999999998</v>
      </c>
      <c r="H33" s="11">
        <v>0.92569999999999997</v>
      </c>
      <c r="I33" s="11">
        <v>1.1648000000000001</v>
      </c>
      <c r="J33" s="11">
        <v>1.1456999999999999</v>
      </c>
      <c r="K33" s="11">
        <v>1.0906</v>
      </c>
      <c r="L33" s="11">
        <v>1.2113</v>
      </c>
      <c r="M33" s="11">
        <v>0.94099999999999995</v>
      </c>
      <c r="N33" s="11">
        <v>1.0103</v>
      </c>
      <c r="O33" s="11">
        <v>0.92630000000000001</v>
      </c>
      <c r="P33" s="11">
        <v>0.8891</v>
      </c>
      <c r="Q33" s="11">
        <v>0.94910000000000005</v>
      </c>
      <c r="R33" s="11">
        <v>0.89470000000000005</v>
      </c>
      <c r="S33" s="11">
        <v>0.90580000000000005</v>
      </c>
      <c r="T33" s="11">
        <v>1.0524</v>
      </c>
      <c r="U33" s="11">
        <v>1.5138</v>
      </c>
      <c r="V33" s="11">
        <v>1.419</v>
      </c>
      <c r="W33" s="11">
        <v>0.9425</v>
      </c>
      <c r="X33" s="11">
        <v>1.0732999999999999</v>
      </c>
      <c r="Y33" s="11">
        <v>1.1527000000000001</v>
      </c>
      <c r="Z33" s="11">
        <v>1.1440999999999999</v>
      </c>
      <c r="AA33" s="11">
        <v>1.2040999999999999</v>
      </c>
      <c r="AB33" s="11">
        <v>1.5095000000000001</v>
      </c>
      <c r="AC33" s="11">
        <v>1.1680999999999999</v>
      </c>
      <c r="AD33" s="11">
        <v>1.0192000000000001</v>
      </c>
      <c r="AE33" s="11">
        <v>0.95950000000000002</v>
      </c>
      <c r="AF33" s="11">
        <v>1.0004</v>
      </c>
      <c r="AG33" s="11">
        <v>1.3586</v>
      </c>
      <c r="AH33" s="11">
        <v>1.6157999999999999</v>
      </c>
      <c r="AI33" s="11">
        <v>2.3675000000000002</v>
      </c>
      <c r="AJ33" s="11">
        <v>5.4367999999999999</v>
      </c>
      <c r="AK33" s="11">
        <v>2.8089</v>
      </c>
      <c r="AL33" s="11">
        <v>3.4514999999999998</v>
      </c>
      <c r="AM33" s="11">
        <v>3.7865000000000002</v>
      </c>
      <c r="AN33" s="11">
        <v>10.807600000000001</v>
      </c>
      <c r="AO33" s="11">
        <v>3.1629999999999998</v>
      </c>
      <c r="AP33" s="11">
        <v>4.4741999999999997</v>
      </c>
      <c r="AQ33" s="11">
        <v>4.8387000000000002</v>
      </c>
      <c r="AR33" s="11">
        <v>3.5162</v>
      </c>
      <c r="AS33" s="11">
        <v>3.8748999999999998</v>
      </c>
      <c r="AT33" s="11">
        <v>4.1668000000000003</v>
      </c>
      <c r="AU33" s="11">
        <v>3.0935999999999999</v>
      </c>
      <c r="AV33" s="11">
        <v>1.9115</v>
      </c>
      <c r="AW33" s="11">
        <v>3.6004999999999998</v>
      </c>
      <c r="AX33" s="11">
        <v>3.6703999999999999</v>
      </c>
      <c r="AY33" s="11">
        <v>4.0575000000000001</v>
      </c>
      <c r="AZ33" s="11">
        <v>4.2533000000000003</v>
      </c>
      <c r="BA33" s="11">
        <v>3.3283</v>
      </c>
      <c r="BB33" s="11">
        <v>2.5346000000000002</v>
      </c>
      <c r="BC33" s="11">
        <v>2.4516</v>
      </c>
      <c r="BD33" s="11">
        <v>2.0682999999999998</v>
      </c>
      <c r="BE33" s="11">
        <v>1.9033</v>
      </c>
      <c r="BF33" s="11">
        <v>1.8562000000000001</v>
      </c>
      <c r="BG33" s="11">
        <v>1.8956999999999999</v>
      </c>
      <c r="BH33" s="11">
        <v>2.7159</v>
      </c>
      <c r="BI33" s="11">
        <v>3.0245000000000002</v>
      </c>
    </row>
    <row r="34" spans="1:61" x14ac:dyDescent="0.2">
      <c r="A34" s="7" t="s">
        <v>152</v>
      </c>
      <c r="B34" s="10">
        <v>5.8048999999999999</v>
      </c>
      <c r="C34" s="10">
        <v>5.9249999999999998</v>
      </c>
      <c r="D34" s="10">
        <v>6.5735000000000001</v>
      </c>
      <c r="E34" s="10">
        <v>8.0610999999999997</v>
      </c>
      <c r="F34" s="10">
        <v>7.0106999999999999</v>
      </c>
      <c r="G34" s="10">
        <v>7.6971999999999996</v>
      </c>
      <c r="H34" s="10">
        <v>7.9844999999999997</v>
      </c>
      <c r="I34" s="10">
        <v>10.9438</v>
      </c>
      <c r="J34" s="10">
        <v>10.8209</v>
      </c>
      <c r="K34" s="10">
        <v>12.726599999999999</v>
      </c>
      <c r="L34" s="10">
        <v>13.4527</v>
      </c>
      <c r="M34" s="10">
        <v>13.211499999999999</v>
      </c>
      <c r="N34" s="10">
        <v>13.703099999999999</v>
      </c>
      <c r="O34" s="10">
        <v>13.998200000000001</v>
      </c>
      <c r="P34" s="10">
        <v>13.940799999999999</v>
      </c>
      <c r="Q34" s="10">
        <v>12.673299999999999</v>
      </c>
      <c r="R34" s="10">
        <v>12.292899999999999</v>
      </c>
      <c r="S34" s="10">
        <v>12.9123</v>
      </c>
      <c r="T34" s="10">
        <v>14.4697</v>
      </c>
      <c r="U34" s="10">
        <v>12.4343</v>
      </c>
      <c r="V34" s="10">
        <v>10.441000000000001</v>
      </c>
      <c r="W34" s="10">
        <v>10.157400000000001</v>
      </c>
      <c r="X34" s="10">
        <v>12.101800000000001</v>
      </c>
      <c r="Y34" s="10">
        <v>13.387600000000001</v>
      </c>
      <c r="Z34" s="10">
        <v>12.4292</v>
      </c>
      <c r="AA34" s="10">
        <v>12.8866</v>
      </c>
      <c r="AB34" s="10">
        <v>12.2881</v>
      </c>
      <c r="AC34" s="10">
        <v>10.9152</v>
      </c>
      <c r="AD34" s="10">
        <v>10.1753</v>
      </c>
      <c r="AE34" s="10">
        <v>9.8925999999999998</v>
      </c>
      <c r="AF34" s="10">
        <v>9.7125000000000004</v>
      </c>
      <c r="AG34" s="10">
        <v>10.432700000000001</v>
      </c>
      <c r="AH34" s="10">
        <v>10.336399999999999</v>
      </c>
      <c r="AI34" s="10">
        <v>28.467300000000002</v>
      </c>
      <c r="AJ34" s="10">
        <v>65.633899999999997</v>
      </c>
      <c r="AK34" s="10">
        <v>31.012699999999999</v>
      </c>
      <c r="AL34" s="10">
        <v>36.898000000000003</v>
      </c>
      <c r="AM34" s="10">
        <v>38.504899999999999</v>
      </c>
      <c r="AN34" s="10">
        <v>98.7654</v>
      </c>
      <c r="AO34" s="10">
        <v>26.148199999999999</v>
      </c>
      <c r="AP34" s="10">
        <v>33.112099999999998</v>
      </c>
      <c r="AQ34" s="10">
        <v>36.367100000000001</v>
      </c>
      <c r="AR34" s="10">
        <v>38.824300000000001</v>
      </c>
      <c r="AS34" s="10">
        <v>29.883400000000002</v>
      </c>
      <c r="AT34" s="10">
        <v>36.474400000000003</v>
      </c>
      <c r="AU34" s="10">
        <v>34.866500000000002</v>
      </c>
      <c r="AV34" s="10">
        <v>25.997399999999999</v>
      </c>
      <c r="AW34" s="10">
        <v>34.647599999999997</v>
      </c>
      <c r="AX34" s="10">
        <v>33.924199999999999</v>
      </c>
      <c r="AY34" s="10">
        <v>30.614000000000001</v>
      </c>
      <c r="AZ34" s="10">
        <v>24.222899999999999</v>
      </c>
      <c r="BA34" s="10">
        <v>18.6358</v>
      </c>
      <c r="BB34" s="10">
        <v>15.103400000000001</v>
      </c>
      <c r="BC34" s="10">
        <v>11.503399999999999</v>
      </c>
      <c r="BD34" s="10">
        <v>9.6306999999999992</v>
      </c>
      <c r="BE34" s="10">
        <v>9.7570999999999994</v>
      </c>
      <c r="BF34" s="10">
        <v>9.0033999999999992</v>
      </c>
      <c r="BG34" s="10">
        <v>8.5059000000000005</v>
      </c>
      <c r="BH34" s="10">
        <v>9.8240999999999996</v>
      </c>
      <c r="BI34" s="10">
        <v>5.2362000000000002</v>
      </c>
    </row>
    <row r="35" spans="1:61" x14ac:dyDescent="0.2">
      <c r="A35" s="7" t="s">
        <v>153</v>
      </c>
      <c r="B35" s="11">
        <v>0.17369999999999999</v>
      </c>
      <c r="C35" s="11">
        <v>-0.2661</v>
      </c>
      <c r="D35" s="11">
        <v>-0.2591</v>
      </c>
      <c r="E35" s="11">
        <v>-0.60529999999999995</v>
      </c>
      <c r="F35" s="11">
        <v>4.2099999999999999E-2</v>
      </c>
      <c r="G35" s="11">
        <v>-0.6079</v>
      </c>
      <c r="H35" s="11">
        <v>-0.52610000000000001</v>
      </c>
      <c r="I35" s="11">
        <v>-0.77969999999999995</v>
      </c>
      <c r="J35" s="11">
        <v>-0.88180000000000003</v>
      </c>
      <c r="K35" s="11">
        <v>-1.4153</v>
      </c>
      <c r="L35" s="11">
        <v>0.89739999999999998</v>
      </c>
      <c r="M35" s="11">
        <v>-0.2303</v>
      </c>
      <c r="N35" s="11">
        <v>-0.56599999999999995</v>
      </c>
      <c r="O35" s="11">
        <v>-0.45479999999999998</v>
      </c>
      <c r="P35" s="11">
        <v>0.93859999999999999</v>
      </c>
      <c r="Q35" s="11">
        <v>1.0891</v>
      </c>
      <c r="R35" s="11">
        <v>1.0989</v>
      </c>
      <c r="S35" s="11">
        <v>1.1674</v>
      </c>
      <c r="T35" s="11">
        <v>1.1315999999999999</v>
      </c>
      <c r="U35" s="11">
        <v>0.90700000000000003</v>
      </c>
      <c r="V35" s="11">
        <v>0.64859999999999995</v>
      </c>
      <c r="W35" s="11">
        <v>0.96220000000000006</v>
      </c>
      <c r="X35" s="11">
        <v>0.29199999999999998</v>
      </c>
      <c r="Y35" s="11">
        <v>0.3589</v>
      </c>
      <c r="Z35" s="11">
        <v>3.2199999999999999E-2</v>
      </c>
      <c r="AA35" s="11">
        <v>0.4713</v>
      </c>
      <c r="AB35" s="11">
        <v>1.5964</v>
      </c>
      <c r="AC35" s="11">
        <v>1.5362</v>
      </c>
      <c r="AD35" s="11">
        <v>1.5370999999999999</v>
      </c>
      <c r="AE35" s="11">
        <v>1.8384</v>
      </c>
      <c r="AF35" s="11">
        <v>2.4016000000000002</v>
      </c>
      <c r="AG35" s="11">
        <v>1.5750999999999999</v>
      </c>
      <c r="AH35" s="11">
        <v>1.7201</v>
      </c>
      <c r="AI35" s="11">
        <v>-1.446</v>
      </c>
      <c r="AJ35" s="11">
        <v>-2.3565</v>
      </c>
      <c r="AK35" s="11">
        <v>-0.84060000000000001</v>
      </c>
      <c r="AL35" s="11">
        <v>-1.5396000000000001</v>
      </c>
      <c r="AM35" s="11">
        <v>-1.3666</v>
      </c>
      <c r="AN35" s="11">
        <v>-6.4336000000000002</v>
      </c>
      <c r="AO35" s="11">
        <v>-2.4531000000000001</v>
      </c>
      <c r="AP35" s="11">
        <v>-0.66869999999999996</v>
      </c>
      <c r="AQ35" s="11">
        <v>-2.6263999999999998</v>
      </c>
      <c r="AR35" s="11">
        <v>-7.8761000000000001</v>
      </c>
      <c r="AS35" s="11">
        <v>-3.6082999999999998</v>
      </c>
      <c r="AT35" s="11">
        <v>4.0223000000000004</v>
      </c>
      <c r="AU35" s="11">
        <v>3.2782</v>
      </c>
      <c r="AV35" s="11">
        <v>-1.2384999999999999</v>
      </c>
      <c r="AW35" s="11">
        <v>-2.9849000000000001</v>
      </c>
      <c r="AX35" s="11">
        <v>-8.1372999999999998</v>
      </c>
      <c r="AY35" s="11">
        <v>-12.5022</v>
      </c>
      <c r="AZ35" s="11">
        <v>-0.67730000000000001</v>
      </c>
      <c r="BA35" s="11">
        <v>-3.1288</v>
      </c>
      <c r="BB35" s="11">
        <v>0.76170000000000004</v>
      </c>
      <c r="BC35" s="11">
        <v>1.2347999999999999</v>
      </c>
      <c r="BD35" s="11">
        <v>1.5914999999999999</v>
      </c>
      <c r="BE35" s="11">
        <v>1.3282</v>
      </c>
      <c r="BF35" s="11">
        <v>1.0841000000000001</v>
      </c>
      <c r="BG35" s="11">
        <v>0.59750000000000003</v>
      </c>
      <c r="BH35" s="11">
        <v>5.3100000000000001E-2</v>
      </c>
      <c r="BI35" s="11">
        <v>-4.4699999999999997E-2</v>
      </c>
    </row>
    <row r="36" spans="1:61" x14ac:dyDescent="0.2">
      <c r="A36" s="7" t="s">
        <v>154</v>
      </c>
      <c r="B36" s="10">
        <v>3.7806000000000002</v>
      </c>
      <c r="C36" s="10">
        <v>3.9598</v>
      </c>
      <c r="D36" s="10">
        <v>4.3502000000000001</v>
      </c>
      <c r="E36" s="10">
        <v>5.2134</v>
      </c>
      <c r="F36" s="10">
        <v>4.2858000000000001</v>
      </c>
      <c r="G36" s="10">
        <v>4.8590999999999998</v>
      </c>
      <c r="H36" s="10">
        <v>5.3151000000000002</v>
      </c>
      <c r="I36" s="10">
        <v>6.8983999999999996</v>
      </c>
      <c r="J36" s="10">
        <v>6.7047999999999996</v>
      </c>
      <c r="K36" s="10">
        <v>8.0543999999999993</v>
      </c>
      <c r="L36" s="10">
        <v>8.5122999999999998</v>
      </c>
      <c r="M36" s="10">
        <v>7.9550999999999998</v>
      </c>
      <c r="N36" s="10">
        <v>8.1658000000000008</v>
      </c>
      <c r="O36" s="10">
        <v>8.2492000000000001</v>
      </c>
      <c r="P36" s="10">
        <v>7.3948</v>
      </c>
      <c r="Q36" s="10">
        <v>7.0315000000000003</v>
      </c>
      <c r="R36" s="10">
        <v>6.6181000000000001</v>
      </c>
      <c r="S36" s="10">
        <v>6.9009999999999998</v>
      </c>
      <c r="T36" s="10">
        <v>8.1488999999999994</v>
      </c>
      <c r="U36" s="10">
        <v>7.1837999999999997</v>
      </c>
      <c r="V36" s="10">
        <v>5.6148999999999996</v>
      </c>
      <c r="W36" s="10">
        <v>5.4142000000000001</v>
      </c>
      <c r="X36" s="10">
        <v>6.6368</v>
      </c>
      <c r="Y36" s="10">
        <v>7.6162000000000001</v>
      </c>
      <c r="Z36" s="10">
        <v>6.8361000000000001</v>
      </c>
      <c r="AA36" s="10">
        <v>7.0465</v>
      </c>
      <c r="AB36" s="10">
        <v>5.6452999999999998</v>
      </c>
      <c r="AC36" s="10">
        <v>6.0018000000000002</v>
      </c>
      <c r="AD36" s="10">
        <v>5.6455000000000002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</row>
    <row r="37" spans="1:61" x14ac:dyDescent="0.2">
      <c r="A37" s="7" t="s">
        <v>155</v>
      </c>
      <c r="B37" s="11">
        <v>-0.26540000000000002</v>
      </c>
      <c r="C37" s="11">
        <v>-0.35139999999999999</v>
      </c>
      <c r="D37" s="11">
        <v>-0.4002</v>
      </c>
      <c r="E37" s="11">
        <v>-0.32929999999999998</v>
      </c>
      <c r="F37" s="11">
        <v>-0.1046</v>
      </c>
      <c r="G37" s="11">
        <v>-4.1300000000000003E-2</v>
      </c>
      <c r="H37" s="11">
        <v>-3.6600000000000001E-2</v>
      </c>
      <c r="I37" s="11">
        <v>-1.3914</v>
      </c>
      <c r="J37" s="11">
        <v>-0.4763</v>
      </c>
      <c r="K37" s="11">
        <v>-0.81259999999999999</v>
      </c>
      <c r="L37" s="11">
        <v>-0.21560000000000001</v>
      </c>
      <c r="M37" s="11">
        <v>-3.5261</v>
      </c>
      <c r="N37" s="11">
        <v>-0.82730000000000004</v>
      </c>
      <c r="O37" s="11">
        <v>-0.60309999999999997</v>
      </c>
      <c r="P37" s="11">
        <v>-9.74E-2</v>
      </c>
      <c r="Q37" s="11">
        <v>-1.0749</v>
      </c>
      <c r="R37" s="11">
        <v>-0.10199999999999999</v>
      </c>
      <c r="S37" s="11">
        <v>-7.1300000000000002E-2</v>
      </c>
      <c r="T37" s="11">
        <v>-5.1400000000000001E-2</v>
      </c>
      <c r="U37" s="11">
        <v>-0.92730000000000001</v>
      </c>
      <c r="V37" s="11">
        <v>-0.63939999999999997</v>
      </c>
      <c r="W37" s="11">
        <v>-0.89319999999999999</v>
      </c>
      <c r="X37" s="11"/>
      <c r="Y37" s="11">
        <v>-2.9775</v>
      </c>
      <c r="Z37" s="11">
        <v>-3.6086</v>
      </c>
      <c r="AA37" s="11">
        <v>-2.7286000000000001</v>
      </c>
      <c r="AB37" s="11">
        <v>-0.5232</v>
      </c>
      <c r="AC37" s="11">
        <v>1.2803</v>
      </c>
      <c r="AD37" s="11">
        <v>0.51890000000000003</v>
      </c>
      <c r="AE37" s="11">
        <v>4.7699999999999999E-2</v>
      </c>
      <c r="AF37" s="11">
        <v>-6.6100000000000006E-2</v>
      </c>
      <c r="AG37" s="11">
        <v>0.86080000000000001</v>
      </c>
      <c r="AH37" s="11">
        <v>0.84399999999999997</v>
      </c>
      <c r="AI37" s="11">
        <v>1.1175999999999999</v>
      </c>
      <c r="AJ37" s="11"/>
      <c r="AK37" s="11">
        <v>-9.9699999999999997E-2</v>
      </c>
      <c r="AL37" s="11">
        <v>-1.1134999999999999</v>
      </c>
      <c r="AM37" s="11">
        <v>-0.83850000000000002</v>
      </c>
      <c r="AN37" s="11"/>
      <c r="AO37" s="11">
        <v>0.22370000000000001</v>
      </c>
      <c r="AP37" s="11">
        <v>-1.349</v>
      </c>
      <c r="AQ37" s="11">
        <v>-2.1697000000000002</v>
      </c>
      <c r="AR37" s="11"/>
      <c r="AS37" s="11">
        <v>1.5922000000000001</v>
      </c>
      <c r="AT37" s="11">
        <v>0.89570000000000005</v>
      </c>
      <c r="AU37" s="11">
        <v>1.2325999999999999</v>
      </c>
      <c r="AV37" s="11"/>
      <c r="AW37" s="11">
        <v>2.5672000000000001</v>
      </c>
      <c r="AX37" s="11">
        <v>1.1122000000000001</v>
      </c>
      <c r="AY37" s="11">
        <v>1.8099000000000001</v>
      </c>
      <c r="AZ37" s="11"/>
      <c r="BA37" s="11">
        <v>2.0815000000000001</v>
      </c>
      <c r="BB37" s="11">
        <v>2.0697000000000001</v>
      </c>
      <c r="BC37" s="11">
        <v>2.5920000000000001</v>
      </c>
      <c r="BD37" s="11"/>
      <c r="BE37" s="11">
        <v>0.46310000000000001</v>
      </c>
      <c r="BF37" s="11">
        <v>0.26450000000000001</v>
      </c>
      <c r="BG37" s="11">
        <v>0.31929999999999997</v>
      </c>
      <c r="BH37" s="11">
        <v>-1.7345999999999999</v>
      </c>
      <c r="BI37" s="11">
        <v>1.5649999999999999</v>
      </c>
    </row>
    <row r="38" spans="1:61" x14ac:dyDescent="0.2">
      <c r="A38" s="7" t="s">
        <v>156</v>
      </c>
      <c r="B38" s="10">
        <v>45.951300000000003</v>
      </c>
      <c r="C38" s="10">
        <v>42.805799999999998</v>
      </c>
      <c r="D38" s="10">
        <v>35.997300000000003</v>
      </c>
      <c r="E38" s="10">
        <v>30.2227</v>
      </c>
      <c r="F38" s="10">
        <v>30.0123</v>
      </c>
      <c r="G38" s="10">
        <v>29.805299999999999</v>
      </c>
      <c r="H38" s="10">
        <v>28.0625</v>
      </c>
      <c r="I38" s="10">
        <v>26.293700000000001</v>
      </c>
      <c r="J38" s="10">
        <v>23.5276</v>
      </c>
      <c r="K38" s="10">
        <v>19.706299999999999</v>
      </c>
      <c r="L38" s="10">
        <v>15.4785</v>
      </c>
      <c r="M38" s="10">
        <v>15.1226</v>
      </c>
      <c r="N38" s="10">
        <v>14.3743</v>
      </c>
      <c r="O38" s="10">
        <v>13.1981</v>
      </c>
      <c r="P38" s="10">
        <v>11.5192</v>
      </c>
      <c r="Q38" s="10">
        <v>12.9236</v>
      </c>
      <c r="R38" s="10">
        <v>11.831099999999999</v>
      </c>
      <c r="S38" s="10">
        <v>11.5578</v>
      </c>
      <c r="T38" s="10">
        <v>10.0182</v>
      </c>
      <c r="U38" s="10">
        <v>13.9023</v>
      </c>
      <c r="V38" s="10">
        <v>13.259</v>
      </c>
      <c r="W38" s="10">
        <v>13.0059</v>
      </c>
      <c r="X38" s="10">
        <v>13.0899</v>
      </c>
      <c r="Y38" s="10">
        <v>12.2943</v>
      </c>
      <c r="Z38" s="10">
        <v>12.775399999999999</v>
      </c>
      <c r="AA38" s="10">
        <v>11.828799999999999</v>
      </c>
      <c r="AB38" s="10">
        <v>13.017799999999999</v>
      </c>
      <c r="AC38" s="10">
        <v>13.9956</v>
      </c>
      <c r="AD38" s="10">
        <v>13.213100000000001</v>
      </c>
      <c r="AE38" s="10">
        <v>12.8073</v>
      </c>
      <c r="AF38" s="10">
        <v>11.8942</v>
      </c>
      <c r="AG38" s="10">
        <v>7.9146999999999998</v>
      </c>
      <c r="AH38" s="10">
        <v>12.8367</v>
      </c>
      <c r="AI38" s="10">
        <v>5.8912000000000004</v>
      </c>
      <c r="AJ38" s="10">
        <v>-21.940899999999999</v>
      </c>
      <c r="AK38" s="10">
        <v>7.4581</v>
      </c>
      <c r="AL38" s="10">
        <v>4.5317999999999996</v>
      </c>
      <c r="AM38" s="10">
        <v>8.3070000000000004</v>
      </c>
      <c r="AN38" s="10">
        <v>-36.957999999999998</v>
      </c>
      <c r="AO38" s="10">
        <v>4.6208999999999998</v>
      </c>
      <c r="AP38" s="10">
        <v>-6.9958999999999998</v>
      </c>
      <c r="AQ38" s="10">
        <v>-10.734299999999999</v>
      </c>
      <c r="AR38" s="10">
        <v>-16.842500000000001</v>
      </c>
      <c r="AS38" s="10">
        <v>7.0391000000000004</v>
      </c>
      <c r="AT38" s="10">
        <v>3.7863000000000002</v>
      </c>
      <c r="AU38" s="10">
        <v>-4.7427000000000001</v>
      </c>
      <c r="AV38" s="10">
        <v>13.0753</v>
      </c>
      <c r="AW38" s="10">
        <v>16.602499999999999</v>
      </c>
      <c r="AX38" s="10">
        <v>34.721499999999999</v>
      </c>
      <c r="AY38" s="10">
        <v>59.7986</v>
      </c>
      <c r="AZ38" s="10">
        <v>95.984300000000005</v>
      </c>
      <c r="BA38" s="10">
        <v>35.163200000000003</v>
      </c>
      <c r="BB38" s="10">
        <v>39.663600000000002</v>
      </c>
      <c r="BC38" s="10">
        <v>40.8962</v>
      </c>
      <c r="BD38" s="10">
        <v>46.531100000000002</v>
      </c>
      <c r="BE38" s="10">
        <v>50.308599999999998</v>
      </c>
      <c r="BF38" s="10">
        <v>44.688400000000001</v>
      </c>
      <c r="BG38" s="10">
        <v>56.354500000000002</v>
      </c>
      <c r="BH38" s="10">
        <v>55.078699999999998</v>
      </c>
      <c r="BI38" s="10">
        <v>57.584800000000001</v>
      </c>
    </row>
    <row r="39" spans="1:61" x14ac:dyDescent="0.2">
      <c r="A39" s="7" t="s">
        <v>157</v>
      </c>
      <c r="B39" s="11">
        <v>-0.75080000000000002</v>
      </c>
      <c r="C39" s="11">
        <v>-1.0656000000000001</v>
      </c>
      <c r="D39" s="11">
        <v>-1.3431</v>
      </c>
      <c r="E39" s="11">
        <v>-1.2988999999999999</v>
      </c>
      <c r="F39" s="11">
        <v>-0.41060000000000002</v>
      </c>
      <c r="G39" s="11">
        <v>-0.1633</v>
      </c>
      <c r="H39" s="11">
        <v>-0.15140000000000001</v>
      </c>
      <c r="I39" s="11">
        <v>-5.9793000000000003</v>
      </c>
      <c r="J39" s="11">
        <v>-2.2795999999999998</v>
      </c>
      <c r="K39" s="11">
        <v>-4.5598999999999998</v>
      </c>
      <c r="L39" s="11">
        <v>-1.4676</v>
      </c>
      <c r="M39" s="11">
        <v>-25.6126</v>
      </c>
      <c r="N39" s="11">
        <v>-6.0784000000000002</v>
      </c>
      <c r="O39" s="11">
        <v>-4.8636999999999997</v>
      </c>
      <c r="P39" s="11">
        <v>-0.873</v>
      </c>
      <c r="Q39" s="11">
        <v>-8.5901999999999994</v>
      </c>
      <c r="R39" s="11">
        <v>-0.8861</v>
      </c>
      <c r="S39" s="11">
        <v>-0.63270000000000004</v>
      </c>
      <c r="T39" s="11">
        <v>-0.5111</v>
      </c>
      <c r="U39" s="11">
        <v>-6.6045999999999996</v>
      </c>
      <c r="V39" s="11">
        <v>-4.7579000000000002</v>
      </c>
      <c r="W39" s="11">
        <v>-6.7302999999999997</v>
      </c>
      <c r="X39" s="11"/>
      <c r="Y39" s="11">
        <v>-24.577400000000001</v>
      </c>
      <c r="Z39" s="11">
        <v>-30.4802</v>
      </c>
      <c r="AA39" s="11">
        <v>-23.9313</v>
      </c>
      <c r="AB39" s="11">
        <v>-3.9165000000000001</v>
      </c>
      <c r="AC39" s="11">
        <v>9.6814999999999998</v>
      </c>
      <c r="AD39" s="11">
        <v>4.0260999999999996</v>
      </c>
      <c r="AE39" s="11">
        <v>0.37959999999999999</v>
      </c>
      <c r="AF39" s="11">
        <v>-0.58460000000000001</v>
      </c>
      <c r="AG39" s="11">
        <v>9.8554999999999993</v>
      </c>
      <c r="AH39" s="11">
        <v>6.5471000000000004</v>
      </c>
      <c r="AI39" s="11">
        <v>21.6875</v>
      </c>
      <c r="AJ39" s="11"/>
      <c r="AK39" s="11">
        <v>5.4382999999999999</v>
      </c>
      <c r="AL39" s="11">
        <v>12.2242</v>
      </c>
      <c r="AM39" s="11">
        <v>6.9336000000000002</v>
      </c>
      <c r="AN39" s="11"/>
      <c r="AO39" s="11">
        <v>10.752800000000001</v>
      </c>
      <c r="AP39" s="11">
        <v>14.7492</v>
      </c>
      <c r="AQ39" s="11">
        <v>16.625900000000001</v>
      </c>
      <c r="AR39" s="11"/>
      <c r="AS39" s="11">
        <v>87.900700000000001</v>
      </c>
      <c r="AT39" s="11">
        <v>-5.1426999999999996</v>
      </c>
      <c r="AU39" s="11">
        <v>-11.3613</v>
      </c>
      <c r="AV39" s="11"/>
      <c r="AW39" s="11">
        <v>125.15</v>
      </c>
      <c r="AX39" s="11">
        <v>9.1426999999999996</v>
      </c>
      <c r="AY39" s="11">
        <v>9.1621000000000006</v>
      </c>
      <c r="AZ39" s="11"/>
      <c r="BA39" s="11">
        <v>7.7588999999999997</v>
      </c>
      <c r="BB39" s="11">
        <v>7.3696000000000002</v>
      </c>
      <c r="BC39" s="11">
        <v>8.3872</v>
      </c>
      <c r="BD39" s="11"/>
      <c r="BE39" s="11">
        <v>1.2911999999999999</v>
      </c>
      <c r="BF39" s="11">
        <v>0.71760000000000002</v>
      </c>
      <c r="BG39" s="11">
        <v>0.81</v>
      </c>
      <c r="BH39" s="11">
        <v>-4.4579000000000004</v>
      </c>
      <c r="BI39" s="11">
        <v>4.0444000000000004</v>
      </c>
    </row>
    <row r="40" spans="1:61" x14ac:dyDescent="0.2">
      <c r="A40" s="7" t="s">
        <v>158</v>
      </c>
      <c r="B40" s="10">
        <v>99.979399999999998</v>
      </c>
      <c r="C40" s="10">
        <v>99.919799999999995</v>
      </c>
      <c r="D40" s="10">
        <v>99.947199999999995</v>
      </c>
      <c r="E40" s="10">
        <v>99.958799999999997</v>
      </c>
      <c r="F40" s="10">
        <v>99.948400000000007</v>
      </c>
      <c r="G40" s="10">
        <v>99.952299999999994</v>
      </c>
      <c r="H40" s="10">
        <v>99.525400000000005</v>
      </c>
      <c r="I40" s="10">
        <v>100.0655</v>
      </c>
      <c r="J40" s="10">
        <v>99.989199999999997</v>
      </c>
      <c r="K40" s="10">
        <v>99.894300000000001</v>
      </c>
      <c r="L40" s="10">
        <v>99.926599999999993</v>
      </c>
      <c r="M40" s="10">
        <v>98.212599999999995</v>
      </c>
      <c r="N40" s="10">
        <v>100.2047</v>
      </c>
      <c r="O40" s="10">
        <v>100.26049999999999</v>
      </c>
      <c r="P40" s="10">
        <v>99.930899999999994</v>
      </c>
      <c r="Q40" s="10">
        <v>100.3129</v>
      </c>
      <c r="R40" s="10">
        <v>100.0977</v>
      </c>
      <c r="S40" s="10">
        <v>100.37869999999999</v>
      </c>
      <c r="T40" s="10">
        <v>100.62090000000001</v>
      </c>
      <c r="U40" s="10">
        <v>100.28749999999999</v>
      </c>
      <c r="V40" s="10">
        <v>100.2337</v>
      </c>
      <c r="W40" s="10">
        <v>100.373</v>
      </c>
      <c r="X40" s="10">
        <v>101.2872</v>
      </c>
      <c r="Y40" s="10">
        <v>99.947699999999998</v>
      </c>
      <c r="Z40" s="10">
        <v>99.9071</v>
      </c>
      <c r="AA40" s="10">
        <v>99.942899999999995</v>
      </c>
      <c r="AB40" s="10">
        <v>99.941000000000003</v>
      </c>
      <c r="AC40" s="10">
        <v>98.120999999999995</v>
      </c>
      <c r="AD40" s="10">
        <v>98.482100000000003</v>
      </c>
      <c r="AE40" s="10">
        <v>96.856099999999998</v>
      </c>
      <c r="AF40" s="10">
        <v>93.844099999999997</v>
      </c>
      <c r="AG40" s="10">
        <v>99.988900000000001</v>
      </c>
      <c r="AH40" s="10">
        <v>98.462900000000005</v>
      </c>
      <c r="AI40" s="10">
        <v>83.0214</v>
      </c>
      <c r="AJ40" s="10">
        <v>118.6529</v>
      </c>
      <c r="AK40" s="10">
        <v>-22.122900000000001</v>
      </c>
      <c r="AL40" s="10">
        <v>-161.5754</v>
      </c>
      <c r="AM40" s="10">
        <v>-108.9832</v>
      </c>
      <c r="AN40" s="10">
        <v>105.00449999999999</v>
      </c>
      <c r="AO40" s="10">
        <v>39.625900000000001</v>
      </c>
      <c r="AP40" s="10">
        <v>119.1023</v>
      </c>
      <c r="AQ40" s="10">
        <v>110.1225</v>
      </c>
      <c r="AR40" s="10">
        <v>109.0153</v>
      </c>
      <c r="AS40" s="10">
        <v>24.8018</v>
      </c>
      <c r="AT40" s="10">
        <v>-352.7724</v>
      </c>
      <c r="AU40" s="10">
        <v>205.19990000000001</v>
      </c>
      <c r="AV40" s="10">
        <v>42.997</v>
      </c>
      <c r="AW40" s="10">
        <v>11.4541</v>
      </c>
      <c r="AX40" s="10">
        <v>34.601100000000002</v>
      </c>
      <c r="AY40" s="10">
        <v>36.119799999999998</v>
      </c>
      <c r="AZ40" s="10">
        <v>19.8398</v>
      </c>
      <c r="BA40" s="10">
        <v>93.033299999999997</v>
      </c>
      <c r="BB40" s="10">
        <v>88.391199999999998</v>
      </c>
      <c r="BC40" s="10">
        <v>99.4011</v>
      </c>
      <c r="BD40" s="10">
        <v>99.977900000000005</v>
      </c>
      <c r="BE40" s="10">
        <v>97.381600000000006</v>
      </c>
      <c r="BF40" s="10">
        <v>99.352099999999993</v>
      </c>
      <c r="BG40" s="10">
        <v>99.539299999999997</v>
      </c>
      <c r="BH40" s="10">
        <v>99.247699999999995</v>
      </c>
      <c r="BI40" s="10">
        <v>97.8934</v>
      </c>
    </row>
    <row r="41" spans="1:61" x14ac:dyDescent="0.2">
      <c r="A41" s="7" t="s">
        <v>159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</row>
    <row r="42" spans="1:61" x14ac:dyDescent="0.2">
      <c r="A42" s="7" t="s">
        <v>160</v>
      </c>
      <c r="B42" s="10">
        <v>95.095699999999994</v>
      </c>
      <c r="C42" s="10">
        <v>98.052899999999994</v>
      </c>
      <c r="D42" s="10">
        <v>97.915999999999997</v>
      </c>
      <c r="E42" s="10">
        <v>98.204999999999998</v>
      </c>
      <c r="F42" s="10">
        <v>98.5</v>
      </c>
      <c r="G42" s="10">
        <v>98.306299999999993</v>
      </c>
      <c r="H42" s="10">
        <v>97.427700000000002</v>
      </c>
      <c r="I42" s="10">
        <v>84.791799999999995</v>
      </c>
      <c r="J42" s="10">
        <v>95.448499999999996</v>
      </c>
      <c r="K42" s="10">
        <v>94.706000000000003</v>
      </c>
      <c r="L42" s="10">
        <v>92.459100000000007</v>
      </c>
      <c r="M42" s="10">
        <v>78.739400000000003</v>
      </c>
      <c r="N42" s="10">
        <v>90.805199999999999</v>
      </c>
      <c r="O42" s="10">
        <v>89.243499999999997</v>
      </c>
      <c r="P42" s="10">
        <v>89.779200000000003</v>
      </c>
      <c r="Q42" s="10">
        <v>75.246099999999998</v>
      </c>
      <c r="R42" s="10">
        <v>85.343800000000002</v>
      </c>
      <c r="S42" s="10">
        <v>81.12</v>
      </c>
      <c r="T42" s="10">
        <v>80.936899999999994</v>
      </c>
      <c r="U42" s="10">
        <v>66.038799999999995</v>
      </c>
      <c r="V42" s="10">
        <v>86.268199999999993</v>
      </c>
      <c r="W42" s="10">
        <v>91.447900000000004</v>
      </c>
      <c r="X42" s="10">
        <v>87.170199999999994</v>
      </c>
      <c r="Y42" s="10">
        <v>73.559899999999999</v>
      </c>
      <c r="Z42" s="10">
        <v>90.227000000000004</v>
      </c>
      <c r="AA42" s="10">
        <v>96.207899999999995</v>
      </c>
      <c r="AB42" s="10">
        <v>97.317499999999995</v>
      </c>
      <c r="AC42" s="10">
        <v>90.348299999999995</v>
      </c>
      <c r="AD42" s="10">
        <v>96.255700000000004</v>
      </c>
      <c r="AE42" s="10">
        <v>94.046199999999999</v>
      </c>
      <c r="AF42" s="10">
        <v>91.863699999999994</v>
      </c>
      <c r="AG42" s="10">
        <v>140.74359999999999</v>
      </c>
      <c r="AH42" s="10">
        <v>95.340599999999995</v>
      </c>
      <c r="AI42" s="10">
        <v>22.648599999999998</v>
      </c>
      <c r="AJ42" s="10"/>
      <c r="AK42" s="10">
        <v>-53.199100000000001</v>
      </c>
      <c r="AL42" s="10">
        <v>-189.13800000000001</v>
      </c>
      <c r="AM42" s="10">
        <v>-121.65009999999999</v>
      </c>
      <c r="AN42" s="10"/>
      <c r="AO42" s="10">
        <v>-15.536</v>
      </c>
      <c r="AP42" s="10"/>
      <c r="AQ42" s="10"/>
      <c r="AR42" s="10"/>
      <c r="AS42" s="10">
        <v>0.32900000000000001</v>
      </c>
      <c r="AT42" s="10">
        <v>-301.4701</v>
      </c>
      <c r="AU42" s="10"/>
      <c r="AV42" s="10">
        <v>42.997</v>
      </c>
      <c r="AW42" s="10">
        <v>11.4541</v>
      </c>
      <c r="AX42" s="10">
        <v>34.601100000000002</v>
      </c>
      <c r="AY42" s="10">
        <v>36.119799999999998</v>
      </c>
      <c r="AZ42" s="10">
        <v>19.8398</v>
      </c>
      <c r="BA42" s="10">
        <v>93.033299999999997</v>
      </c>
      <c r="BB42" s="10">
        <v>88.391199999999998</v>
      </c>
      <c r="BC42" s="10">
        <v>99.4011</v>
      </c>
      <c r="BD42" s="10">
        <v>99.977900000000005</v>
      </c>
      <c r="BE42" s="10">
        <v>97.381600000000006</v>
      </c>
      <c r="BF42" s="10">
        <v>99.352099999999993</v>
      </c>
      <c r="BG42" s="10">
        <v>99.539299999999997</v>
      </c>
      <c r="BH42" s="10">
        <v>99.247699999999995</v>
      </c>
      <c r="BI42" s="10">
        <v>97.8934</v>
      </c>
    </row>
    <row r="43" spans="1:61" x14ac:dyDescent="0.2">
      <c r="A43" s="7" t="s">
        <v>161</v>
      </c>
      <c r="B43" s="11">
        <v>3.6779000000000002</v>
      </c>
      <c r="C43" s="11">
        <v>1.3323</v>
      </c>
      <c r="D43" s="11">
        <v>1.1255999999999999</v>
      </c>
      <c r="E43" s="11">
        <v>0.56610000000000005</v>
      </c>
      <c r="F43" s="11">
        <v>0.24529999999999999</v>
      </c>
      <c r="G43" s="11">
        <v>0.22620000000000001</v>
      </c>
      <c r="H43" s="11">
        <v>0.2447</v>
      </c>
      <c r="I43" s="11">
        <v>12.826000000000001</v>
      </c>
      <c r="J43" s="11">
        <v>2.0442</v>
      </c>
      <c r="K43" s="11">
        <v>1.7081999999999999</v>
      </c>
      <c r="L43" s="11">
        <v>1.9049</v>
      </c>
      <c r="M43" s="11">
        <v>11.528600000000001</v>
      </c>
      <c r="N43" s="11">
        <v>2.6680999999999999</v>
      </c>
      <c r="O43" s="11">
        <v>3.4744999999999999</v>
      </c>
      <c r="P43" s="11">
        <v>3.3195999999999999</v>
      </c>
      <c r="Q43" s="11">
        <v>14.910500000000001</v>
      </c>
      <c r="R43" s="11">
        <v>6.9706999999999999</v>
      </c>
      <c r="S43" s="11">
        <v>11.2155</v>
      </c>
      <c r="T43" s="11">
        <v>5.4362000000000004</v>
      </c>
      <c r="U43" s="11">
        <v>23.868400000000001</v>
      </c>
      <c r="V43" s="11">
        <v>1.8561000000000001</v>
      </c>
      <c r="W43" s="11">
        <v>2.1413000000000002</v>
      </c>
      <c r="X43" s="11">
        <v>2.2141999999999999</v>
      </c>
      <c r="Y43" s="11">
        <v>11.719099999999999</v>
      </c>
      <c r="Z43" s="11">
        <v>2.0207000000000002</v>
      </c>
      <c r="AA43" s="11">
        <v>1.9775</v>
      </c>
      <c r="AB43" s="11">
        <v>1.4061999999999999</v>
      </c>
      <c r="AC43" s="11">
        <v>3.0009000000000001</v>
      </c>
      <c r="AD43" s="11">
        <v>0.95620000000000005</v>
      </c>
      <c r="AE43" s="11">
        <v>1.1188</v>
      </c>
      <c r="AF43" s="11">
        <v>1.4561999999999999</v>
      </c>
      <c r="AG43" s="11">
        <v>-47.720500000000001</v>
      </c>
      <c r="AH43" s="11">
        <v>2.5541999999999998</v>
      </c>
      <c r="AI43" s="11">
        <v>47.477499999999999</v>
      </c>
      <c r="AJ43" s="11"/>
      <c r="AK43" s="11">
        <v>31.0762</v>
      </c>
      <c r="AL43" s="11">
        <v>27.5627</v>
      </c>
      <c r="AM43" s="11">
        <v>12.6669</v>
      </c>
      <c r="AN43" s="11"/>
      <c r="AO43" s="11">
        <v>55.161799999999999</v>
      </c>
      <c r="AP43" s="11"/>
      <c r="AQ43" s="11"/>
      <c r="AR43" s="11"/>
      <c r="AS43" s="11">
        <v>24.472799999999999</v>
      </c>
      <c r="AT43" s="11">
        <v>-51.302300000000002</v>
      </c>
      <c r="AU43" s="11"/>
      <c r="AV43" s="11"/>
      <c r="AW43" s="11"/>
      <c r="AX43" s="11"/>
      <c r="AY43" s="11"/>
      <c r="AZ43" s="11"/>
      <c r="BA43" s="11"/>
      <c r="BB43" s="11"/>
      <c r="BC43" s="11">
        <v>0</v>
      </c>
      <c r="BD43" s="11"/>
      <c r="BE43" s="11"/>
      <c r="BF43" s="11"/>
      <c r="BG43" s="11"/>
      <c r="BH43" s="11"/>
      <c r="BI43" s="11"/>
    </row>
    <row r="44" spans="1:61" x14ac:dyDescent="0.2">
      <c r="A44" s="7" t="s">
        <v>162</v>
      </c>
      <c r="B44" s="10">
        <v>2.06E-2</v>
      </c>
      <c r="C44" s="10">
        <v>8.0199999999999994E-2</v>
      </c>
      <c r="D44" s="10">
        <v>5.28E-2</v>
      </c>
      <c r="E44" s="10">
        <v>4.1200000000000001E-2</v>
      </c>
      <c r="F44" s="10">
        <v>5.16E-2</v>
      </c>
      <c r="G44" s="10">
        <v>4.7699999999999999E-2</v>
      </c>
      <c r="H44" s="10">
        <v>0.47460000000000002</v>
      </c>
      <c r="I44" s="10">
        <v>-6.5500000000000003E-2</v>
      </c>
      <c r="J44" s="10">
        <v>1.0800000000000001E-2</v>
      </c>
      <c r="K44" s="10">
        <v>0.1057</v>
      </c>
      <c r="L44" s="10">
        <v>7.3400000000000007E-2</v>
      </c>
      <c r="M44" s="10">
        <v>1.7874000000000001</v>
      </c>
      <c r="N44" s="10">
        <v>-0.20469999999999999</v>
      </c>
      <c r="O44" s="10">
        <v>-0.26050000000000001</v>
      </c>
      <c r="P44" s="10">
        <v>6.9099999999999995E-2</v>
      </c>
      <c r="Q44" s="10">
        <v>-0.31290000000000001</v>
      </c>
      <c r="R44" s="10">
        <v>-9.7699999999999995E-2</v>
      </c>
      <c r="S44" s="10">
        <v>-0.37869999999999998</v>
      </c>
      <c r="T44" s="10">
        <v>-0.62090000000000001</v>
      </c>
      <c r="U44" s="10">
        <v>-0.28749999999999998</v>
      </c>
      <c r="V44" s="10">
        <v>-0.23369999999999999</v>
      </c>
      <c r="W44" s="10">
        <v>-0.373</v>
      </c>
      <c r="X44" s="10">
        <v>-1.2871999999999999</v>
      </c>
      <c r="Y44" s="10">
        <v>5.2299999999999999E-2</v>
      </c>
      <c r="Z44" s="10">
        <v>9.2899999999999996E-2</v>
      </c>
      <c r="AA44" s="10">
        <v>5.7099999999999998E-2</v>
      </c>
      <c r="AB44" s="10">
        <v>5.8999999999999997E-2</v>
      </c>
      <c r="AC44" s="10">
        <v>1.879</v>
      </c>
      <c r="AD44" s="10">
        <v>1.5179</v>
      </c>
      <c r="AE44" s="10">
        <v>3.1438999999999999</v>
      </c>
      <c r="AF44" s="10">
        <v>6.1558999999999999</v>
      </c>
      <c r="AG44" s="10">
        <v>1.11E-2</v>
      </c>
      <c r="AH44" s="10">
        <v>1.5370999999999999</v>
      </c>
      <c r="AI44" s="10">
        <v>16.9786</v>
      </c>
      <c r="AJ44" s="10"/>
      <c r="AK44" s="10">
        <v>122.1229</v>
      </c>
      <c r="AL44" s="10">
        <v>261.5754</v>
      </c>
      <c r="AM44" s="10">
        <v>208.98320000000001</v>
      </c>
      <c r="AN44" s="10"/>
      <c r="AO44" s="10">
        <v>60.374099999999999</v>
      </c>
      <c r="AP44" s="10"/>
      <c r="AQ44" s="10"/>
      <c r="AR44" s="10"/>
      <c r="AS44" s="10">
        <v>75.1982</v>
      </c>
      <c r="AT44" s="10">
        <v>452.7724</v>
      </c>
      <c r="AU44" s="10"/>
      <c r="AV44" s="10">
        <v>57.003</v>
      </c>
      <c r="AW44" s="10">
        <v>88.545900000000003</v>
      </c>
      <c r="AX44" s="10">
        <v>65.398899999999998</v>
      </c>
      <c r="AY44" s="10">
        <v>63.880200000000002</v>
      </c>
      <c r="AZ44" s="10">
        <v>80.160200000000003</v>
      </c>
      <c r="BA44" s="10">
        <v>6.9667000000000003</v>
      </c>
      <c r="BB44" s="10">
        <v>11.6088</v>
      </c>
      <c r="BC44" s="10">
        <v>0.59889999999999999</v>
      </c>
      <c r="BD44" s="10">
        <v>2.2100000000000002E-2</v>
      </c>
      <c r="BE44" s="10">
        <v>2.6183999999999998</v>
      </c>
      <c r="BF44" s="10">
        <v>0.64790000000000003</v>
      </c>
      <c r="BG44" s="10">
        <v>0.4607</v>
      </c>
      <c r="BH44" s="10">
        <v>0.75229999999999997</v>
      </c>
      <c r="BI44" s="10">
        <v>2.1065999999999998</v>
      </c>
    </row>
    <row r="45" spans="1:61" x14ac:dyDescent="0.2">
      <c r="A45" s="7" t="s">
        <v>163</v>
      </c>
      <c r="B45" s="11">
        <v>14.3743</v>
      </c>
      <c r="C45" s="11">
        <v>13.0847</v>
      </c>
      <c r="D45" s="11">
        <v>15.0402</v>
      </c>
      <c r="E45" s="11">
        <v>11.2461</v>
      </c>
      <c r="F45" s="11">
        <v>12.2621</v>
      </c>
      <c r="G45" s="11">
        <v>11.8188</v>
      </c>
      <c r="H45" s="11">
        <v>12.561199999999999</v>
      </c>
      <c r="I45" s="11">
        <v>11.427</v>
      </c>
      <c r="J45" s="11">
        <v>10.667299999999999</v>
      </c>
      <c r="K45" s="11">
        <v>9.4041999999999994</v>
      </c>
      <c r="L45" s="11">
        <v>9.4431999999999992</v>
      </c>
      <c r="M45" s="11">
        <v>8.7204999999999995</v>
      </c>
      <c r="N45" s="11">
        <v>8.7420000000000009</v>
      </c>
      <c r="O45" s="11">
        <v>6.4306000000000001</v>
      </c>
      <c r="P45" s="11">
        <v>7.7</v>
      </c>
      <c r="Q45" s="11">
        <v>7.6485000000000003</v>
      </c>
      <c r="R45" s="11">
        <v>7.5834999999999999</v>
      </c>
      <c r="S45" s="11">
        <v>6.6794000000000002</v>
      </c>
      <c r="T45" s="11">
        <v>8.3217999999999996</v>
      </c>
      <c r="U45" s="11">
        <v>11.1995</v>
      </c>
      <c r="V45" s="11">
        <v>13.4033</v>
      </c>
      <c r="W45" s="11">
        <v>14.6487</v>
      </c>
      <c r="X45" s="11">
        <v>10.254799999999999</v>
      </c>
      <c r="Y45" s="11">
        <v>10.9575</v>
      </c>
      <c r="Z45" s="11">
        <v>8.0334000000000003</v>
      </c>
      <c r="AA45" s="11">
        <v>10.709899999999999</v>
      </c>
      <c r="AB45" s="11">
        <v>14.987</v>
      </c>
      <c r="AC45" s="11">
        <v>10.3369</v>
      </c>
      <c r="AD45" s="11">
        <v>12.4711</v>
      </c>
      <c r="AE45" s="11">
        <v>13.5991</v>
      </c>
      <c r="AF45" s="11">
        <v>12.353400000000001</v>
      </c>
      <c r="AG45" s="11">
        <v>21.558499999999999</v>
      </c>
      <c r="AH45" s="11">
        <v>15.342000000000001</v>
      </c>
      <c r="AI45" s="11">
        <v>9.4184000000000001</v>
      </c>
      <c r="AJ45" s="11"/>
      <c r="AK45" s="11">
        <v>7.8521000000000001</v>
      </c>
      <c r="AL45" s="11">
        <v>10.930199999999999</v>
      </c>
      <c r="AM45" s="11">
        <v>15.396100000000001</v>
      </c>
      <c r="AN45" s="11"/>
      <c r="AO45" s="11">
        <v>12.2218</v>
      </c>
      <c r="AP45" s="11"/>
      <c r="AQ45" s="11"/>
      <c r="AR45" s="11"/>
      <c r="AS45" s="11">
        <v>5.8453999999999997</v>
      </c>
      <c r="AT45" s="11">
        <v>13.218999999999999</v>
      </c>
      <c r="AU45" s="11"/>
      <c r="AV45" s="11">
        <v>15</v>
      </c>
      <c r="AW45" s="11">
        <v>12.158899999999999</v>
      </c>
      <c r="AX45" s="11">
        <v>15</v>
      </c>
      <c r="AY45" s="11">
        <v>15</v>
      </c>
      <c r="AZ45" s="11">
        <v>15</v>
      </c>
      <c r="BA45" s="11">
        <v>14.4612</v>
      </c>
      <c r="BB45" s="11">
        <v>14.0229</v>
      </c>
      <c r="BC45" s="11">
        <v>13.749499999999999</v>
      </c>
      <c r="BD45" s="11">
        <v>15</v>
      </c>
      <c r="BE45" s="11">
        <v>14.218500000000001</v>
      </c>
      <c r="BF45" s="11">
        <v>25.214400000000001</v>
      </c>
      <c r="BG45" s="11">
        <v>14.3459</v>
      </c>
      <c r="BH45" s="11">
        <v>11.7416</v>
      </c>
      <c r="BI45" s="11">
        <v>12.969200000000001</v>
      </c>
    </row>
    <row r="46" spans="1:61" x14ac:dyDescent="0.2">
      <c r="A46" s="7" t="s">
        <v>164</v>
      </c>
      <c r="B46" s="10">
        <v>99.323700000000002</v>
      </c>
      <c r="C46" s="10">
        <v>99.506100000000004</v>
      </c>
      <c r="D46" s="10">
        <v>99.084500000000006</v>
      </c>
      <c r="E46" s="10">
        <v>98.005799999999994</v>
      </c>
      <c r="F46" s="10">
        <v>99.0685</v>
      </c>
      <c r="G46" s="10">
        <v>98.918199999999999</v>
      </c>
      <c r="H46" s="10">
        <v>98.112499999999997</v>
      </c>
      <c r="I46" s="10">
        <v>97.706100000000006</v>
      </c>
      <c r="J46" s="10">
        <v>96.023300000000006</v>
      </c>
      <c r="K46" s="10">
        <v>95.008600000000001</v>
      </c>
      <c r="L46" s="10">
        <v>93.066999999999993</v>
      </c>
      <c r="M46" s="10">
        <v>84.756699999999995</v>
      </c>
      <c r="N46" s="10">
        <v>91.429100000000005</v>
      </c>
      <c r="O46" s="10">
        <v>90.013599999999997</v>
      </c>
      <c r="P46" s="10">
        <v>90.221199999999996</v>
      </c>
      <c r="Q46" s="10">
        <v>82.990600000000001</v>
      </c>
      <c r="R46" s="10">
        <v>91.297700000000006</v>
      </c>
      <c r="S46" s="10">
        <v>90.382400000000004</v>
      </c>
      <c r="T46" s="10">
        <v>82.065899999999999</v>
      </c>
      <c r="U46" s="10">
        <v>88.316599999999994</v>
      </c>
      <c r="V46" s="10">
        <v>86.736400000000003</v>
      </c>
      <c r="W46" s="10">
        <v>91.806299999999993</v>
      </c>
      <c r="X46" s="10">
        <v>87.850300000000004</v>
      </c>
      <c r="Y46" s="10">
        <v>83.644000000000005</v>
      </c>
      <c r="Z46" s="10">
        <v>91.823400000000007</v>
      </c>
      <c r="AA46" s="10">
        <v>97.355699999999999</v>
      </c>
      <c r="AB46" s="10">
        <v>98.830500000000001</v>
      </c>
      <c r="AC46" s="10">
        <v>94.690600000000003</v>
      </c>
      <c r="AD46" s="10">
        <v>102.20829999999999</v>
      </c>
      <c r="AE46" s="10">
        <v>100.10639999999999</v>
      </c>
      <c r="AF46" s="10">
        <v>98.430099999999996</v>
      </c>
      <c r="AG46" s="10">
        <v>163.87</v>
      </c>
      <c r="AH46" s="10">
        <v>96.962599999999995</v>
      </c>
      <c r="AI46" s="10">
        <v>58.637799999999999</v>
      </c>
      <c r="AJ46" s="10"/>
      <c r="AK46" s="10">
        <v>4.4913999999999996</v>
      </c>
      <c r="AL46" s="10">
        <v>-159.1618</v>
      </c>
      <c r="AM46" s="10">
        <v>-114.4122</v>
      </c>
      <c r="AN46" s="10"/>
      <c r="AO46" s="10">
        <v>3.0518999999999998</v>
      </c>
      <c r="AP46" s="10"/>
      <c r="AQ46" s="10"/>
      <c r="AR46" s="10"/>
      <c r="AS46" s="10">
        <v>32.113199999999999</v>
      </c>
      <c r="AT46" s="10">
        <v>-343.48050000000001</v>
      </c>
      <c r="AU46" s="10"/>
      <c r="AV46" s="10">
        <v>42.997</v>
      </c>
      <c r="AW46" s="10">
        <v>14.318</v>
      </c>
      <c r="AX46" s="10">
        <v>34.601100000000002</v>
      </c>
      <c r="AY46" s="10">
        <v>36.119799999999998</v>
      </c>
      <c r="AZ46" s="10">
        <v>19.8398</v>
      </c>
      <c r="BA46" s="10">
        <v>92.95</v>
      </c>
      <c r="BB46" s="10">
        <v>88.523099999999999</v>
      </c>
      <c r="BC46" s="10">
        <v>99.409800000000004</v>
      </c>
      <c r="BD46" s="10">
        <v>99.977900000000005</v>
      </c>
      <c r="BE46" s="10">
        <v>97.4054</v>
      </c>
      <c r="BF46" s="10">
        <v>99.350200000000001</v>
      </c>
      <c r="BG46" s="10">
        <v>99.543099999999995</v>
      </c>
      <c r="BH46" s="10">
        <v>99.257499999999993</v>
      </c>
      <c r="BI46" s="10">
        <v>97.883099999999999</v>
      </c>
    </row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0BFD-AB6F-4BEE-9B42-DB415C5BB1C8}">
  <dimension ref="A1:BI55"/>
  <sheetViews>
    <sheetView workbookViewId="0"/>
  </sheetViews>
  <sheetFormatPr defaultRowHeight="14.25" x14ac:dyDescent="0.2"/>
  <cols>
    <col min="1" max="1" width="46.375" bestFit="1" customWidth="1"/>
  </cols>
  <sheetData>
    <row r="1" spans="1:61" x14ac:dyDescent="0.2">
      <c r="A1" s="1" t="s">
        <v>0</v>
      </c>
      <c r="B1" s="3" t="s">
        <v>4</v>
      </c>
    </row>
    <row r="2" spans="1:61" x14ac:dyDescent="0.2">
      <c r="A2" s="1" t="s">
        <v>1</v>
      </c>
      <c r="B2" s="2" t="str">
        <f>[1]!S_INFO_NAME($B$1)</f>
        <v>中际旭创</v>
      </c>
    </row>
    <row r="3" spans="1:61" x14ac:dyDescent="0.2">
      <c r="A3" s="1" t="s">
        <v>2</v>
      </c>
      <c r="B3" s="3">
        <v>1988</v>
      </c>
    </row>
    <row r="4" spans="1:61" x14ac:dyDescent="0.2">
      <c r="A4" s="1" t="s">
        <v>3</v>
      </c>
      <c r="B4" s="3">
        <v>2026</v>
      </c>
    </row>
    <row r="5" spans="1:61" x14ac:dyDescent="0.2">
      <c r="A5" s="8" t="str">
        <f>[1]!WFR(B1,B3&amp;":"&amp;B4,"Func=Rpt.CapitStructSolvency20","rptType=1","singleSeason=0","unit=1","currencyType=ORIG","order=LEFT","rate=HISTORY","version=2","quarterindic=0","showcurrency=0","reportPeriod=31","cols=60;rows=49")</f>
        <v xml:space="preserve">                                                                                                              </v>
      </c>
    </row>
    <row r="6" spans="1:61" x14ac:dyDescent="0.2">
      <c r="A6" s="5" t="s">
        <v>182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x14ac:dyDescent="0.2">
      <c r="A7" s="6" t="s">
        <v>6</v>
      </c>
      <c r="B7" s="9">
        <v>45930</v>
      </c>
      <c r="C7" s="9">
        <v>45838</v>
      </c>
      <c r="D7" s="9">
        <v>45747</v>
      </c>
      <c r="E7" s="9">
        <v>45657</v>
      </c>
      <c r="F7" s="9">
        <v>45565</v>
      </c>
      <c r="G7" s="9">
        <v>45473</v>
      </c>
      <c r="H7" s="9">
        <v>45382</v>
      </c>
      <c r="I7" s="9">
        <v>45291</v>
      </c>
      <c r="J7" s="9">
        <v>45199</v>
      </c>
      <c r="K7" s="9">
        <v>45107</v>
      </c>
      <c r="L7" s="9">
        <v>45016</v>
      </c>
      <c r="M7" s="9">
        <v>44926</v>
      </c>
      <c r="N7" s="9">
        <v>44834</v>
      </c>
      <c r="O7" s="9">
        <v>44742</v>
      </c>
      <c r="P7" s="9">
        <v>44651</v>
      </c>
      <c r="Q7" s="9">
        <v>44561</v>
      </c>
      <c r="R7" s="9">
        <v>44469</v>
      </c>
      <c r="S7" s="9">
        <v>44377</v>
      </c>
      <c r="T7" s="9">
        <v>44286</v>
      </c>
      <c r="U7" s="9">
        <v>44196</v>
      </c>
      <c r="V7" s="9">
        <v>44104</v>
      </c>
      <c r="W7" s="9">
        <v>44012</v>
      </c>
      <c r="X7" s="9">
        <v>43921</v>
      </c>
      <c r="Y7" s="9">
        <v>43830</v>
      </c>
      <c r="Z7" s="9">
        <v>43738</v>
      </c>
      <c r="AA7" s="9">
        <v>43646</v>
      </c>
      <c r="AB7" s="9">
        <v>43555</v>
      </c>
      <c r="AC7" s="9">
        <v>43465</v>
      </c>
      <c r="AD7" s="9">
        <v>43373</v>
      </c>
      <c r="AE7" s="9">
        <v>43281</v>
      </c>
      <c r="AF7" s="9">
        <v>43190</v>
      </c>
      <c r="AG7" s="9">
        <v>43100</v>
      </c>
      <c r="AH7" s="9">
        <v>43008</v>
      </c>
      <c r="AI7" s="9">
        <v>42916</v>
      </c>
      <c r="AJ7" s="9">
        <v>42825</v>
      </c>
      <c r="AK7" s="9">
        <v>42735</v>
      </c>
      <c r="AL7" s="9">
        <v>42643</v>
      </c>
      <c r="AM7" s="9">
        <v>42551</v>
      </c>
      <c r="AN7" s="9">
        <v>42460</v>
      </c>
      <c r="AO7" s="9">
        <v>42369</v>
      </c>
      <c r="AP7" s="9">
        <v>42277</v>
      </c>
      <c r="AQ7" s="9">
        <v>42185</v>
      </c>
      <c r="AR7" s="9">
        <v>42094</v>
      </c>
      <c r="AS7" s="9">
        <v>42004</v>
      </c>
      <c r="AT7" s="9">
        <v>41912</v>
      </c>
      <c r="AU7" s="9">
        <v>41820</v>
      </c>
      <c r="AV7" s="9">
        <v>41729</v>
      </c>
      <c r="AW7" s="9">
        <v>41639</v>
      </c>
      <c r="AX7" s="9">
        <v>41547</v>
      </c>
      <c r="AY7" s="9">
        <v>41455</v>
      </c>
      <c r="AZ7" s="9">
        <v>41364</v>
      </c>
      <c r="BA7" s="9">
        <v>41274</v>
      </c>
      <c r="BB7" s="9">
        <v>41182</v>
      </c>
      <c r="BC7" s="9">
        <v>41090</v>
      </c>
      <c r="BD7" s="9">
        <v>40999</v>
      </c>
      <c r="BE7" s="9">
        <v>40908</v>
      </c>
      <c r="BF7" s="9">
        <v>40724</v>
      </c>
      <c r="BG7" s="9">
        <v>40543</v>
      </c>
      <c r="BH7" s="9">
        <v>40178</v>
      </c>
      <c r="BI7" s="9">
        <v>39813</v>
      </c>
    </row>
    <row r="8" spans="1:61" x14ac:dyDescent="0.2">
      <c r="A8" s="7" t="s">
        <v>7</v>
      </c>
      <c r="B8" s="10" t="s">
        <v>84</v>
      </c>
      <c r="C8" s="10" t="s">
        <v>109</v>
      </c>
      <c r="D8" s="10" t="s">
        <v>110</v>
      </c>
      <c r="E8" s="10" t="s">
        <v>82</v>
      </c>
      <c r="F8" s="10" t="s">
        <v>84</v>
      </c>
      <c r="G8" s="10" t="s">
        <v>109</v>
      </c>
      <c r="H8" s="10" t="s">
        <v>110</v>
      </c>
      <c r="I8" s="10" t="s">
        <v>82</v>
      </c>
      <c r="J8" s="10" t="s">
        <v>84</v>
      </c>
      <c r="K8" s="10" t="s">
        <v>109</v>
      </c>
      <c r="L8" s="10" t="s">
        <v>110</v>
      </c>
      <c r="M8" s="10" t="s">
        <v>82</v>
      </c>
      <c r="N8" s="10" t="s">
        <v>84</v>
      </c>
      <c r="O8" s="10" t="s">
        <v>109</v>
      </c>
      <c r="P8" s="10" t="s">
        <v>110</v>
      </c>
      <c r="Q8" s="10" t="s">
        <v>82</v>
      </c>
      <c r="R8" s="10" t="s">
        <v>84</v>
      </c>
      <c r="S8" s="10" t="s">
        <v>109</v>
      </c>
      <c r="T8" s="10" t="s">
        <v>110</v>
      </c>
      <c r="U8" s="10" t="s">
        <v>82</v>
      </c>
      <c r="V8" s="10" t="s">
        <v>84</v>
      </c>
      <c r="W8" s="10" t="s">
        <v>109</v>
      </c>
      <c r="X8" s="10" t="s">
        <v>110</v>
      </c>
      <c r="Y8" s="10" t="s">
        <v>82</v>
      </c>
      <c r="Z8" s="10" t="s">
        <v>84</v>
      </c>
      <c r="AA8" s="10" t="s">
        <v>109</v>
      </c>
      <c r="AB8" s="10" t="s">
        <v>110</v>
      </c>
      <c r="AC8" s="10" t="s">
        <v>82</v>
      </c>
      <c r="AD8" s="10" t="s">
        <v>84</v>
      </c>
      <c r="AE8" s="10" t="s">
        <v>109</v>
      </c>
      <c r="AF8" s="10" t="s">
        <v>110</v>
      </c>
      <c r="AG8" s="10" t="s">
        <v>82</v>
      </c>
      <c r="AH8" s="10" t="s">
        <v>84</v>
      </c>
      <c r="AI8" s="10" t="s">
        <v>109</v>
      </c>
      <c r="AJ8" s="10" t="s">
        <v>110</v>
      </c>
      <c r="AK8" s="10" t="s">
        <v>82</v>
      </c>
      <c r="AL8" s="10" t="s">
        <v>84</v>
      </c>
      <c r="AM8" s="10" t="s">
        <v>109</v>
      </c>
      <c r="AN8" s="10" t="s">
        <v>110</v>
      </c>
      <c r="AO8" s="10" t="s">
        <v>82</v>
      </c>
      <c r="AP8" s="10" t="s">
        <v>84</v>
      </c>
      <c r="AQ8" s="10" t="s">
        <v>109</v>
      </c>
      <c r="AR8" s="10" t="s">
        <v>110</v>
      </c>
      <c r="AS8" s="10" t="s">
        <v>82</v>
      </c>
      <c r="AT8" s="10" t="s">
        <v>84</v>
      </c>
      <c r="AU8" s="10" t="s">
        <v>109</v>
      </c>
      <c r="AV8" s="10" t="s">
        <v>110</v>
      </c>
      <c r="AW8" s="10" t="s">
        <v>82</v>
      </c>
      <c r="AX8" s="10" t="s">
        <v>84</v>
      </c>
      <c r="AY8" s="10" t="s">
        <v>109</v>
      </c>
      <c r="AZ8" s="10" t="s">
        <v>110</v>
      </c>
      <c r="BA8" s="10" t="s">
        <v>82</v>
      </c>
      <c r="BB8" s="10" t="s">
        <v>84</v>
      </c>
      <c r="BC8" s="10" t="s">
        <v>109</v>
      </c>
      <c r="BD8" s="10" t="s">
        <v>110</v>
      </c>
      <c r="BE8" s="10" t="s">
        <v>82</v>
      </c>
      <c r="BF8" s="10" t="s">
        <v>109</v>
      </c>
      <c r="BG8" s="10" t="s">
        <v>82</v>
      </c>
      <c r="BH8" s="10" t="s">
        <v>82</v>
      </c>
      <c r="BI8" s="10" t="s">
        <v>82</v>
      </c>
    </row>
    <row r="9" spans="1:61" x14ac:dyDescent="0.2">
      <c r="A9" s="7" t="s">
        <v>183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61" x14ac:dyDescent="0.2">
      <c r="A10" s="7" t="s">
        <v>184</v>
      </c>
      <c r="B10" s="10">
        <v>29.473400000000002</v>
      </c>
      <c r="C10" s="10">
        <v>30.307300000000001</v>
      </c>
      <c r="D10" s="10">
        <v>30.3935</v>
      </c>
      <c r="E10" s="10">
        <v>29.700500000000002</v>
      </c>
      <c r="F10" s="10">
        <v>31.107099999999999</v>
      </c>
      <c r="G10" s="10">
        <v>29.8203</v>
      </c>
      <c r="H10" s="10">
        <v>25.445399999999999</v>
      </c>
      <c r="I10" s="10">
        <v>26.1524</v>
      </c>
      <c r="J10" s="10">
        <v>25.910599999999999</v>
      </c>
      <c r="K10" s="10">
        <v>22.518899999999999</v>
      </c>
      <c r="L10" s="10">
        <v>26.547699999999999</v>
      </c>
      <c r="M10" s="10">
        <v>27.106300000000001</v>
      </c>
      <c r="N10" s="10">
        <v>28.5306</v>
      </c>
      <c r="O10" s="10">
        <v>29.524000000000001</v>
      </c>
      <c r="P10" s="10">
        <v>27.924700000000001</v>
      </c>
      <c r="Q10" s="10">
        <v>29.953099999999999</v>
      </c>
      <c r="R10" s="10">
        <v>39.800199999999997</v>
      </c>
      <c r="S10" s="10">
        <v>40.689599999999999</v>
      </c>
      <c r="T10" s="10">
        <v>37.953899999999997</v>
      </c>
      <c r="U10" s="10">
        <v>41.292299999999997</v>
      </c>
      <c r="V10" s="10">
        <v>41.825299999999999</v>
      </c>
      <c r="W10" s="10">
        <v>41.4465</v>
      </c>
      <c r="X10" s="10">
        <v>35.586199999999998</v>
      </c>
      <c r="Y10" s="10">
        <v>33.980499999999999</v>
      </c>
      <c r="Z10" s="10">
        <v>31.316099999999999</v>
      </c>
      <c r="AA10" s="10">
        <v>33.486600000000003</v>
      </c>
      <c r="AB10" s="10">
        <v>32.4163</v>
      </c>
      <c r="AC10" s="10">
        <v>40.886600000000001</v>
      </c>
      <c r="AD10" s="10">
        <v>43.130699999999997</v>
      </c>
      <c r="AE10" s="10">
        <v>46.4574</v>
      </c>
      <c r="AF10" s="10">
        <v>45.110700000000001</v>
      </c>
      <c r="AG10" s="10">
        <v>48.7087</v>
      </c>
      <c r="AH10" s="10">
        <v>43.630800000000001</v>
      </c>
      <c r="AI10" s="10">
        <v>10.4762</v>
      </c>
      <c r="AJ10" s="10">
        <v>11.123900000000001</v>
      </c>
      <c r="AK10" s="10">
        <v>12.081099999999999</v>
      </c>
      <c r="AL10" s="10">
        <v>12.1191</v>
      </c>
      <c r="AM10" s="10">
        <v>12.161899999999999</v>
      </c>
      <c r="AN10" s="10">
        <v>13.3758</v>
      </c>
      <c r="AO10" s="10">
        <v>14.517799999999999</v>
      </c>
      <c r="AP10" s="10">
        <v>12.0534</v>
      </c>
      <c r="AQ10" s="10">
        <v>17.4922</v>
      </c>
      <c r="AR10" s="10">
        <v>16.806100000000001</v>
      </c>
      <c r="AS10" s="10">
        <v>16.8965</v>
      </c>
      <c r="AT10" s="10">
        <v>26.175599999999999</v>
      </c>
      <c r="AU10" s="10">
        <v>24.139500000000002</v>
      </c>
      <c r="AV10" s="10">
        <v>26.8843</v>
      </c>
      <c r="AW10" s="10">
        <v>28.4681</v>
      </c>
      <c r="AX10" s="10">
        <v>17.088899999999999</v>
      </c>
      <c r="AY10" s="10">
        <v>15.831799999999999</v>
      </c>
      <c r="AZ10" s="10">
        <v>5.5666000000000002</v>
      </c>
      <c r="BA10" s="10">
        <v>4.3802000000000003</v>
      </c>
      <c r="BB10" s="10">
        <v>5.2484000000000002</v>
      </c>
      <c r="BC10" s="10">
        <v>6.8207000000000004</v>
      </c>
      <c r="BD10" s="10">
        <v>12.8124</v>
      </c>
      <c r="BE10" s="10">
        <v>29.496700000000001</v>
      </c>
      <c r="BF10" s="10">
        <v>34.212699999999998</v>
      </c>
      <c r="BG10" s="10">
        <v>29.534400000000002</v>
      </c>
      <c r="BH10" s="10">
        <v>43.644100000000002</v>
      </c>
      <c r="BI10" s="10">
        <v>42.606499999999997</v>
      </c>
    </row>
    <row r="11" spans="1:61" x14ac:dyDescent="0.2">
      <c r="A11" s="7" t="s">
        <v>185</v>
      </c>
      <c r="B11" s="11">
        <v>29.443100000000001</v>
      </c>
      <c r="C11" s="11">
        <v>30.2883</v>
      </c>
      <c r="D11" s="11">
        <v>30.3474</v>
      </c>
      <c r="E11" s="11">
        <v>29.665900000000001</v>
      </c>
      <c r="F11" s="11">
        <v>31.047499999999999</v>
      </c>
      <c r="G11" s="11">
        <v>29.773</v>
      </c>
      <c r="H11" s="11">
        <v>25.424700000000001</v>
      </c>
      <c r="I11" s="11">
        <v>26.139399999999998</v>
      </c>
      <c r="J11" s="11">
        <v>25.894400000000001</v>
      </c>
      <c r="K11" s="11">
        <v>22.385400000000001</v>
      </c>
      <c r="L11" s="11">
        <v>26.424800000000001</v>
      </c>
      <c r="M11" s="11">
        <v>26.9709</v>
      </c>
      <c r="N11" s="11">
        <v>28.399000000000001</v>
      </c>
      <c r="O11" s="11">
        <v>29.430599999999998</v>
      </c>
      <c r="P11" s="11">
        <v>27.9147</v>
      </c>
      <c r="Q11" s="11">
        <v>29.9496</v>
      </c>
      <c r="R11" s="11">
        <v>39.307000000000002</v>
      </c>
      <c r="S11" s="11">
        <v>40.333500000000001</v>
      </c>
      <c r="T11" s="11">
        <v>37.723999999999997</v>
      </c>
      <c r="U11" s="11">
        <v>41.132599999999996</v>
      </c>
      <c r="V11" s="11">
        <v>41.2624</v>
      </c>
      <c r="W11" s="11">
        <v>40.958199999999998</v>
      </c>
      <c r="X11" s="11">
        <v>35.223700000000001</v>
      </c>
      <c r="Y11" s="11">
        <v>33.688299999999998</v>
      </c>
      <c r="Z11" s="11">
        <v>31.041399999999999</v>
      </c>
      <c r="AA11" s="11">
        <v>33.160299999999999</v>
      </c>
      <c r="AB11" s="11">
        <v>32.1111</v>
      </c>
      <c r="AC11" s="11">
        <v>40.677399999999999</v>
      </c>
      <c r="AD11" s="11">
        <v>42.697000000000003</v>
      </c>
      <c r="AE11" s="11">
        <v>45.8429</v>
      </c>
      <c r="AF11" s="11">
        <v>44.999899999999997</v>
      </c>
      <c r="AG11" s="11">
        <v>48.426499999999997</v>
      </c>
      <c r="AH11" s="11">
        <v>43.265700000000002</v>
      </c>
      <c r="AI11" s="11">
        <v>8.4332999999999991</v>
      </c>
      <c r="AJ11" s="11">
        <v>8.6244999999999994</v>
      </c>
      <c r="AK11" s="11">
        <v>10.504300000000001</v>
      </c>
      <c r="AL11" s="11">
        <v>9.0606000000000009</v>
      </c>
      <c r="AM11" s="11">
        <v>10.4215</v>
      </c>
      <c r="AN11" s="11">
        <v>8.6897000000000002</v>
      </c>
      <c r="AO11" s="11">
        <v>11.2029</v>
      </c>
      <c r="AP11" s="11">
        <v>9.3562999999999992</v>
      </c>
      <c r="AQ11" s="11">
        <v>13.763299999999999</v>
      </c>
      <c r="AR11" s="11">
        <v>14.5703</v>
      </c>
      <c r="AS11" s="11">
        <v>14.917299999999999</v>
      </c>
      <c r="AT11" s="11">
        <v>24.3903</v>
      </c>
      <c r="AU11" s="11">
        <v>22.8721</v>
      </c>
      <c r="AV11" s="11">
        <v>25.665099999999999</v>
      </c>
      <c r="AW11" s="11">
        <v>27.128399999999999</v>
      </c>
      <c r="AX11" s="11">
        <v>15.840299999999999</v>
      </c>
      <c r="AY11" s="11">
        <v>14.5381</v>
      </c>
      <c r="AZ11" s="11">
        <v>4.5385</v>
      </c>
      <c r="BA11" s="11">
        <v>3.5956000000000001</v>
      </c>
      <c r="BB11" s="11">
        <v>4.2755999999999998</v>
      </c>
      <c r="BC11" s="11">
        <v>5.8747999999999996</v>
      </c>
      <c r="BD11" s="11">
        <v>11.368600000000001</v>
      </c>
      <c r="BE11" s="11">
        <v>22.5733</v>
      </c>
      <c r="BF11" s="11">
        <v>25.760999999999999</v>
      </c>
      <c r="BG11" s="11">
        <v>21.730499999999999</v>
      </c>
      <c r="BH11" s="11">
        <v>32.692700000000002</v>
      </c>
      <c r="BI11" s="11">
        <v>18.693999999999999</v>
      </c>
    </row>
    <row r="12" spans="1:61" x14ac:dyDescent="0.2">
      <c r="A12" s="7" t="s">
        <v>186</v>
      </c>
      <c r="B12" s="10">
        <v>29.452000000000002</v>
      </c>
      <c r="C12" s="10">
        <v>30.294</v>
      </c>
      <c r="D12" s="10">
        <v>30.3614</v>
      </c>
      <c r="E12" s="10">
        <v>29.676200000000001</v>
      </c>
      <c r="F12" s="10">
        <v>31.065999999999999</v>
      </c>
      <c r="G12" s="10">
        <v>29.787099999999999</v>
      </c>
      <c r="H12" s="10">
        <v>25.4299</v>
      </c>
      <c r="I12" s="10">
        <v>26.142800000000001</v>
      </c>
      <c r="J12" s="10">
        <v>25.898599999999998</v>
      </c>
      <c r="K12" s="10">
        <v>22.415299999999998</v>
      </c>
      <c r="L12" s="10">
        <v>26.4573</v>
      </c>
      <c r="M12" s="10">
        <v>27.0075</v>
      </c>
      <c r="N12" s="10">
        <v>28.436399999999999</v>
      </c>
      <c r="O12" s="10">
        <v>29.458100000000002</v>
      </c>
      <c r="P12" s="10">
        <v>27.9175</v>
      </c>
      <c r="Q12" s="10">
        <v>29.950700000000001</v>
      </c>
      <c r="R12" s="10">
        <v>39.501800000000003</v>
      </c>
      <c r="S12" s="10">
        <v>40.477699999999999</v>
      </c>
      <c r="T12" s="10">
        <v>37.810899999999997</v>
      </c>
      <c r="U12" s="10">
        <v>41.198399999999999</v>
      </c>
      <c r="V12" s="10">
        <v>41.496000000000002</v>
      </c>
      <c r="W12" s="10">
        <v>41.159199999999998</v>
      </c>
      <c r="X12" s="10">
        <v>35.351900000000001</v>
      </c>
      <c r="Y12" s="10">
        <v>33.786999999999999</v>
      </c>
      <c r="Z12" s="10">
        <v>31.126899999999999</v>
      </c>
      <c r="AA12" s="10">
        <v>33.268900000000002</v>
      </c>
      <c r="AB12" s="10">
        <v>32.209400000000002</v>
      </c>
      <c r="AC12" s="10">
        <v>40.762700000000002</v>
      </c>
      <c r="AD12" s="10">
        <v>42.883000000000003</v>
      </c>
      <c r="AE12" s="10">
        <v>46.126300000000001</v>
      </c>
      <c r="AF12" s="10">
        <v>45.049799999999998</v>
      </c>
      <c r="AG12" s="10">
        <v>48.563499999999998</v>
      </c>
      <c r="AH12" s="10">
        <v>43.424199999999999</v>
      </c>
      <c r="AI12" s="10">
        <v>8.6091999999999995</v>
      </c>
      <c r="AJ12" s="10">
        <v>8.8455999999999992</v>
      </c>
      <c r="AK12" s="10">
        <v>10.672599999999999</v>
      </c>
      <c r="AL12" s="10">
        <v>9.3465000000000007</v>
      </c>
      <c r="AM12" s="10">
        <v>10.6061</v>
      </c>
      <c r="AN12" s="10">
        <v>9.1168999999999993</v>
      </c>
      <c r="AO12" s="10">
        <v>11.587</v>
      </c>
      <c r="AP12" s="10">
        <v>9.6156000000000006</v>
      </c>
      <c r="AQ12" s="10">
        <v>14.2964</v>
      </c>
      <c r="AR12" s="10">
        <v>14.903499999999999</v>
      </c>
      <c r="AS12" s="10">
        <v>15.218500000000001</v>
      </c>
      <c r="AT12" s="10">
        <v>24.8337</v>
      </c>
      <c r="AU12" s="10">
        <v>23.165700000000001</v>
      </c>
      <c r="AV12" s="10">
        <v>25.9819</v>
      </c>
      <c r="AW12" s="10">
        <v>27.4968</v>
      </c>
      <c r="AX12" s="10">
        <v>16.040600000000001</v>
      </c>
      <c r="AY12" s="10">
        <v>14.7287</v>
      </c>
      <c r="AZ12" s="10">
        <v>4.5857000000000001</v>
      </c>
      <c r="BA12" s="10">
        <v>3.6240999999999999</v>
      </c>
      <c r="BB12" s="10">
        <v>4.3175999999999997</v>
      </c>
      <c r="BC12" s="10">
        <v>5.9309000000000003</v>
      </c>
      <c r="BD12" s="10">
        <v>11.5352</v>
      </c>
      <c r="BE12" s="10">
        <v>24.252400000000002</v>
      </c>
      <c r="BF12" s="10">
        <v>28.139299999999999</v>
      </c>
      <c r="BG12" s="10">
        <v>23.569900000000001</v>
      </c>
      <c r="BH12" s="10">
        <v>36.713299999999997</v>
      </c>
      <c r="BI12" s="10">
        <v>24.569099999999999</v>
      </c>
    </row>
    <row r="13" spans="1:61" x14ac:dyDescent="0.2">
      <c r="A13" s="7" t="s">
        <v>187</v>
      </c>
      <c r="B13" s="11">
        <v>8.9761000000000006</v>
      </c>
      <c r="C13" s="11">
        <v>10.131600000000001</v>
      </c>
      <c r="D13" s="11">
        <v>9.3086000000000002</v>
      </c>
      <c r="E13" s="11">
        <v>9.7881</v>
      </c>
      <c r="F13" s="11">
        <v>7.8224</v>
      </c>
      <c r="G13" s="11">
        <v>10.463900000000001</v>
      </c>
      <c r="H13" s="11">
        <v>6.8021000000000003</v>
      </c>
      <c r="I13" s="11">
        <v>5.7607999999999997</v>
      </c>
      <c r="J13" s="11">
        <v>8.3960000000000008</v>
      </c>
      <c r="K13" s="11">
        <v>7.0907</v>
      </c>
      <c r="L13" s="11">
        <v>8.6418999999999997</v>
      </c>
      <c r="M13" s="11">
        <v>9.2926000000000002</v>
      </c>
      <c r="N13" s="11">
        <v>11.4336</v>
      </c>
      <c r="O13" s="11">
        <v>9.6083999999999996</v>
      </c>
      <c r="P13" s="11">
        <v>13.216699999999999</v>
      </c>
      <c r="Q13" s="11">
        <v>13.518800000000001</v>
      </c>
      <c r="R13" s="11">
        <v>16.481300000000001</v>
      </c>
      <c r="S13" s="11">
        <v>18.782399999999999</v>
      </c>
      <c r="T13" s="11">
        <v>20.224299999999999</v>
      </c>
      <c r="U13" s="11">
        <v>18.9969</v>
      </c>
      <c r="V13" s="11">
        <v>16.080400000000001</v>
      </c>
      <c r="W13" s="11">
        <v>12.602499999999999</v>
      </c>
      <c r="X13" s="11">
        <v>11.0084</v>
      </c>
      <c r="Y13" s="11">
        <v>9.6394000000000002</v>
      </c>
      <c r="Z13" s="11">
        <v>11.7403</v>
      </c>
      <c r="AA13" s="11">
        <v>12.166499999999999</v>
      </c>
      <c r="AB13" s="11">
        <v>6.3620999999999999</v>
      </c>
      <c r="AC13" s="11">
        <v>8.3680000000000003</v>
      </c>
      <c r="AD13" s="11">
        <v>9.7262000000000004</v>
      </c>
      <c r="AE13" s="11">
        <v>17.878799999999998</v>
      </c>
      <c r="AF13" s="11">
        <v>20.9087</v>
      </c>
      <c r="AG13" s="11">
        <v>17.624199999999998</v>
      </c>
      <c r="AH13" s="11">
        <v>13.676600000000001</v>
      </c>
      <c r="AI13" s="11">
        <v>1.5407999999999999</v>
      </c>
      <c r="AJ13" s="11">
        <v>1.5849</v>
      </c>
      <c r="AK13" s="11">
        <v>1.5988</v>
      </c>
      <c r="AL13" s="11">
        <v>2.9980000000000002</v>
      </c>
      <c r="AM13" s="11">
        <v>2.9569999999999999</v>
      </c>
      <c r="AN13" s="11">
        <v>3.0512000000000001</v>
      </c>
      <c r="AO13" s="11">
        <v>4.6760000000000002</v>
      </c>
      <c r="AP13" s="11">
        <v>3.8113999999999999</v>
      </c>
      <c r="AQ13" s="11">
        <v>3.5762999999999998</v>
      </c>
      <c r="AR13" s="11">
        <v>5.7382</v>
      </c>
      <c r="AS13" s="11">
        <v>6.1753999999999998</v>
      </c>
      <c r="AT13" s="11">
        <v>18.485299999999999</v>
      </c>
      <c r="AU13" s="11">
        <v>18.3735</v>
      </c>
      <c r="AV13" s="11">
        <v>19.024100000000001</v>
      </c>
      <c r="AW13" s="11">
        <v>20.785399999999999</v>
      </c>
      <c r="AX13" s="11">
        <v>11.607799999999999</v>
      </c>
      <c r="AY13" s="11">
        <v>11.625500000000001</v>
      </c>
      <c r="AZ13" s="11">
        <v>0.504</v>
      </c>
      <c r="BA13" s="11">
        <v>0.51749999999999996</v>
      </c>
      <c r="BB13" s="11">
        <v>0</v>
      </c>
      <c r="BC13" s="11">
        <v>0</v>
      </c>
      <c r="BD13" s="11"/>
      <c r="BE13" s="11"/>
      <c r="BF13" s="11"/>
      <c r="BG13" s="11"/>
      <c r="BH13" s="11"/>
      <c r="BI13" s="11"/>
    </row>
    <row r="14" spans="1:61" x14ac:dyDescent="0.2">
      <c r="A14" s="7" t="s">
        <v>188</v>
      </c>
      <c r="B14" s="10">
        <v>376.43470000000002</v>
      </c>
      <c r="C14" s="10">
        <v>364.69409999999999</v>
      </c>
      <c r="D14" s="10">
        <v>327.11869999999999</v>
      </c>
      <c r="E14" s="10">
        <v>328.40649999999999</v>
      </c>
      <c r="F14" s="10">
        <v>307.50549999999998</v>
      </c>
      <c r="G14" s="10">
        <v>325.24149999999997</v>
      </c>
      <c r="H14" s="10">
        <v>331.5403</v>
      </c>
      <c r="I14" s="10">
        <v>309.8526</v>
      </c>
      <c r="J14" s="10">
        <v>346.83249999999998</v>
      </c>
      <c r="K14" s="10">
        <v>345.88470000000001</v>
      </c>
      <c r="L14" s="10">
        <v>343.7568</v>
      </c>
      <c r="M14" s="10">
        <v>331.32060000000001</v>
      </c>
      <c r="N14" s="10">
        <v>341.89659999999998</v>
      </c>
      <c r="O14" s="10">
        <v>337.6902</v>
      </c>
      <c r="P14" s="10">
        <v>357.31569999999999</v>
      </c>
      <c r="Q14" s="10">
        <v>349.3895</v>
      </c>
      <c r="R14" s="10">
        <v>262.82900000000001</v>
      </c>
      <c r="S14" s="10">
        <v>275.96170000000001</v>
      </c>
      <c r="T14" s="10">
        <v>276.36079999999998</v>
      </c>
      <c r="U14" s="10">
        <v>299.14049999999997</v>
      </c>
      <c r="V14" s="10">
        <v>309.72489999999999</v>
      </c>
      <c r="W14" s="10">
        <v>306.43540000000002</v>
      </c>
      <c r="X14" s="10">
        <v>321.52969999999999</v>
      </c>
      <c r="Y14" s="10">
        <v>341.79849999999999</v>
      </c>
      <c r="Z14" s="10">
        <v>405.745</v>
      </c>
      <c r="AA14" s="10">
        <v>421.20870000000002</v>
      </c>
      <c r="AB14" s="10">
        <v>406.14609999999999</v>
      </c>
      <c r="AC14" s="10">
        <v>317.99079999999998</v>
      </c>
      <c r="AD14" s="10">
        <v>332.64019999999999</v>
      </c>
      <c r="AE14" s="10">
        <v>341.49360000000001</v>
      </c>
      <c r="AF14" s="10">
        <v>381.58879999999999</v>
      </c>
      <c r="AG14" s="10">
        <v>360.21510000000001</v>
      </c>
      <c r="AH14" s="10">
        <v>394.65379999999999</v>
      </c>
      <c r="AI14" s="10">
        <v>260.50880000000001</v>
      </c>
      <c r="AJ14" s="10">
        <v>253.43629999999999</v>
      </c>
      <c r="AK14" s="10">
        <v>251.655</v>
      </c>
      <c r="AL14" s="10">
        <v>253.6</v>
      </c>
      <c r="AM14" s="10">
        <v>251.71109999999999</v>
      </c>
      <c r="AN14" s="10">
        <v>240.68790000000001</v>
      </c>
      <c r="AO14" s="10">
        <v>254.2569</v>
      </c>
      <c r="AP14" s="10">
        <v>333.93209999999999</v>
      </c>
      <c r="AQ14" s="10">
        <v>286.8689</v>
      </c>
      <c r="AR14" s="10">
        <v>290.99299999999999</v>
      </c>
      <c r="AS14" s="10">
        <v>296.45890000000003</v>
      </c>
      <c r="AT14" s="10">
        <v>349.93810000000002</v>
      </c>
      <c r="AU14" s="10">
        <v>434.11750000000001</v>
      </c>
      <c r="AV14" s="10">
        <v>477.55259999999998</v>
      </c>
      <c r="AW14" s="10">
        <v>525.45780000000002</v>
      </c>
      <c r="AX14" s="10">
        <v>479.81180000000001</v>
      </c>
      <c r="AY14" s="10">
        <v>471.53910000000002</v>
      </c>
      <c r="AZ14" s="10">
        <v>410.15890000000002</v>
      </c>
      <c r="BA14" s="10">
        <v>408.75889999999998</v>
      </c>
      <c r="BB14" s="10">
        <v>521.59090000000003</v>
      </c>
      <c r="BC14" s="10">
        <v>570.60239999999999</v>
      </c>
      <c r="BD14" s="10">
        <v>590.26379999999995</v>
      </c>
      <c r="BE14" s="10">
        <v>240.37119999999999</v>
      </c>
      <c r="BF14" s="10">
        <v>243.78749999999999</v>
      </c>
      <c r="BG14" s="10">
        <v>340.49</v>
      </c>
      <c r="BH14" s="10">
        <v>208.76589999999999</v>
      </c>
      <c r="BI14" s="10">
        <v>519.52239999999995</v>
      </c>
    </row>
    <row r="15" spans="1:61" x14ac:dyDescent="0.2">
      <c r="A15" s="7" t="s">
        <v>189</v>
      </c>
      <c r="B15" s="11">
        <v>1.4178999999999999</v>
      </c>
      <c r="C15" s="11">
        <v>1.4349000000000001</v>
      </c>
      <c r="D15" s="11">
        <v>1.4366000000000001</v>
      </c>
      <c r="E15" s="11">
        <v>1.4225000000000001</v>
      </c>
      <c r="F15" s="11">
        <v>1.4515</v>
      </c>
      <c r="G15" s="11">
        <v>1.4249000000000001</v>
      </c>
      <c r="H15" s="11">
        <v>1.3412999999999999</v>
      </c>
      <c r="I15" s="11">
        <v>1.3541000000000001</v>
      </c>
      <c r="J15" s="11">
        <v>1.3496999999999999</v>
      </c>
      <c r="K15" s="11">
        <v>1.2906</v>
      </c>
      <c r="L15" s="11">
        <v>1.3613999999999999</v>
      </c>
      <c r="M15" s="11">
        <v>1.3718999999999999</v>
      </c>
      <c r="N15" s="11">
        <v>1.3992</v>
      </c>
      <c r="O15" s="11">
        <v>1.4189000000000001</v>
      </c>
      <c r="P15" s="11">
        <v>1.3874</v>
      </c>
      <c r="Q15" s="11">
        <v>1.4276</v>
      </c>
      <c r="R15" s="11">
        <v>1.6611</v>
      </c>
      <c r="S15" s="11">
        <v>1.6859999999999999</v>
      </c>
      <c r="T15" s="11">
        <v>1.6116999999999999</v>
      </c>
      <c r="U15" s="11">
        <v>1.7034</v>
      </c>
      <c r="V15" s="11">
        <v>1.7190000000000001</v>
      </c>
      <c r="W15" s="11">
        <v>1.7078</v>
      </c>
      <c r="X15" s="11">
        <v>1.5525</v>
      </c>
      <c r="Y15" s="11">
        <v>1.5146999999999999</v>
      </c>
      <c r="Z15" s="11">
        <v>1.4559</v>
      </c>
      <c r="AA15" s="11">
        <v>1.5035000000000001</v>
      </c>
      <c r="AB15" s="11">
        <v>1.4796</v>
      </c>
      <c r="AC15" s="11">
        <v>1.6917</v>
      </c>
      <c r="AD15" s="11">
        <v>1.7584</v>
      </c>
      <c r="AE15" s="11">
        <v>1.8676999999999999</v>
      </c>
      <c r="AF15" s="11">
        <v>1.8218000000000001</v>
      </c>
      <c r="AG15" s="11">
        <v>1.9496</v>
      </c>
      <c r="AH15" s="11">
        <v>1.774</v>
      </c>
      <c r="AI15" s="11">
        <v>1.117</v>
      </c>
      <c r="AJ15" s="11">
        <v>1.1252</v>
      </c>
      <c r="AK15" s="11">
        <v>1.1374</v>
      </c>
      <c r="AL15" s="11">
        <v>1.1378999999999999</v>
      </c>
      <c r="AM15" s="11">
        <v>1.1385000000000001</v>
      </c>
      <c r="AN15" s="11">
        <v>1.1544000000000001</v>
      </c>
      <c r="AO15" s="11">
        <v>1.1698</v>
      </c>
      <c r="AP15" s="11">
        <v>1.1371</v>
      </c>
      <c r="AQ15" s="11">
        <v>1.212</v>
      </c>
      <c r="AR15" s="11">
        <v>1.202</v>
      </c>
      <c r="AS15" s="11">
        <v>1.2033</v>
      </c>
      <c r="AT15" s="11">
        <v>1.3546</v>
      </c>
      <c r="AU15" s="11">
        <v>1.3182</v>
      </c>
      <c r="AV15" s="11">
        <v>1.3676999999999999</v>
      </c>
      <c r="AW15" s="11">
        <v>1.3979999999999999</v>
      </c>
      <c r="AX15" s="11">
        <v>1.2060999999999999</v>
      </c>
      <c r="AY15" s="11">
        <v>1.1880999999999999</v>
      </c>
      <c r="AZ15" s="11">
        <v>1.0589</v>
      </c>
      <c r="BA15" s="11">
        <v>1.0458000000000001</v>
      </c>
      <c r="BB15" s="11">
        <v>1.0553999999999999</v>
      </c>
      <c r="BC15" s="11">
        <v>1.0731999999999999</v>
      </c>
      <c r="BD15" s="11">
        <v>1.147</v>
      </c>
      <c r="BE15" s="11">
        <v>1.4184000000000001</v>
      </c>
      <c r="BF15" s="11">
        <v>1.5201</v>
      </c>
      <c r="BG15" s="11">
        <v>1.4191</v>
      </c>
      <c r="BH15" s="11">
        <v>1.7744</v>
      </c>
      <c r="BI15" s="11">
        <v>1.7423999999999999</v>
      </c>
    </row>
    <row r="16" spans="1:61" x14ac:dyDescent="0.2">
      <c r="A16" s="7" t="s">
        <v>190</v>
      </c>
      <c r="B16" s="10">
        <v>66.690899999999999</v>
      </c>
      <c r="C16" s="10">
        <v>66.981899999999996</v>
      </c>
      <c r="D16" s="10">
        <v>65.153499999999994</v>
      </c>
      <c r="E16" s="10">
        <v>63.034599999999998</v>
      </c>
      <c r="F16" s="10">
        <v>61.494799999999998</v>
      </c>
      <c r="G16" s="10">
        <v>60.267400000000002</v>
      </c>
      <c r="H16" s="10">
        <v>59.641500000000001</v>
      </c>
      <c r="I16" s="10">
        <v>56.5779</v>
      </c>
      <c r="J16" s="10">
        <v>59.604700000000001</v>
      </c>
      <c r="K16" s="10">
        <v>58.185499999999998</v>
      </c>
      <c r="L16" s="10">
        <v>58.891300000000001</v>
      </c>
      <c r="M16" s="10">
        <v>57.903599999999997</v>
      </c>
      <c r="N16" s="10">
        <v>58.756799999999998</v>
      </c>
      <c r="O16" s="10">
        <v>59.762599999999999</v>
      </c>
      <c r="P16" s="10">
        <v>59.883600000000001</v>
      </c>
      <c r="Q16" s="10">
        <v>60.500599999999999</v>
      </c>
      <c r="R16" s="10">
        <v>53.5929</v>
      </c>
      <c r="S16" s="10">
        <v>54.207999999999998</v>
      </c>
      <c r="T16" s="10">
        <v>52.486400000000003</v>
      </c>
      <c r="U16" s="10">
        <v>58.622599999999998</v>
      </c>
      <c r="V16" s="10">
        <v>59.441899999999997</v>
      </c>
      <c r="W16" s="10">
        <v>58.732300000000002</v>
      </c>
      <c r="X16" s="10">
        <v>57.573399999999999</v>
      </c>
      <c r="Y16" s="10">
        <v>57.108400000000003</v>
      </c>
      <c r="Z16" s="10">
        <v>56.864899999999999</v>
      </c>
      <c r="AA16" s="10">
        <v>58.267699999999998</v>
      </c>
      <c r="AB16" s="10">
        <v>58.3934</v>
      </c>
      <c r="AC16" s="10">
        <v>51.4604</v>
      </c>
      <c r="AD16" s="10">
        <v>52.792999999999999</v>
      </c>
      <c r="AE16" s="10">
        <v>54.883000000000003</v>
      </c>
      <c r="AF16" s="10">
        <v>52.445599999999999</v>
      </c>
      <c r="AG16" s="10">
        <v>55.156799999999997</v>
      </c>
      <c r="AH16" s="10">
        <v>55.426600000000001</v>
      </c>
      <c r="AI16" s="10">
        <v>49.387999999999998</v>
      </c>
      <c r="AJ16" s="10">
        <v>48.069899999999997</v>
      </c>
      <c r="AK16" s="10">
        <v>48.0886</v>
      </c>
      <c r="AL16" s="10">
        <v>46.7498</v>
      </c>
      <c r="AM16" s="10">
        <v>46.364800000000002</v>
      </c>
      <c r="AN16" s="10">
        <v>43.646599999999999</v>
      </c>
      <c r="AO16" s="10">
        <v>45.937899999999999</v>
      </c>
      <c r="AP16" s="10">
        <v>45.842500000000001</v>
      </c>
      <c r="AQ16" s="10">
        <v>44.946399999999997</v>
      </c>
      <c r="AR16" s="10">
        <v>45.659599999999998</v>
      </c>
      <c r="AS16" s="10">
        <v>46.326000000000001</v>
      </c>
      <c r="AT16" s="10">
        <v>42.531799999999997</v>
      </c>
      <c r="AU16" s="10">
        <v>42.360599999999998</v>
      </c>
      <c r="AV16" s="10">
        <v>47.465499999999999</v>
      </c>
      <c r="AW16" s="10">
        <v>49.826599999999999</v>
      </c>
      <c r="AX16" s="10">
        <v>57.900300000000001</v>
      </c>
      <c r="AY16" s="10">
        <v>56.6325</v>
      </c>
      <c r="AZ16" s="10">
        <v>71.339600000000004</v>
      </c>
      <c r="BA16" s="10">
        <v>70.094700000000003</v>
      </c>
      <c r="BB16" s="10">
        <v>71.616699999999994</v>
      </c>
      <c r="BC16" s="10">
        <v>72.069500000000005</v>
      </c>
      <c r="BD16" s="10">
        <v>75.104200000000006</v>
      </c>
      <c r="BE16" s="10">
        <v>53.014400000000002</v>
      </c>
      <c r="BF16" s="10">
        <v>54.8523</v>
      </c>
      <c r="BG16" s="10">
        <v>64.329800000000006</v>
      </c>
      <c r="BH16" s="10">
        <v>65.309299999999993</v>
      </c>
      <c r="BI16" s="10">
        <v>85.0899</v>
      </c>
    </row>
    <row r="17" spans="1:61" x14ac:dyDescent="0.2">
      <c r="A17" s="7" t="s">
        <v>191</v>
      </c>
      <c r="B17" s="11">
        <v>33.309100000000001</v>
      </c>
      <c r="C17" s="11">
        <v>33.018099999999997</v>
      </c>
      <c r="D17" s="11">
        <v>34.846499999999999</v>
      </c>
      <c r="E17" s="11">
        <v>36.965400000000002</v>
      </c>
      <c r="F17" s="11">
        <v>38.505200000000002</v>
      </c>
      <c r="G17" s="11">
        <v>39.732599999999998</v>
      </c>
      <c r="H17" s="11">
        <v>40.358499999999999</v>
      </c>
      <c r="I17" s="11">
        <v>43.4221</v>
      </c>
      <c r="J17" s="11">
        <v>40.395299999999999</v>
      </c>
      <c r="K17" s="11">
        <v>41.814500000000002</v>
      </c>
      <c r="L17" s="11">
        <v>41.108699999999999</v>
      </c>
      <c r="M17" s="11">
        <v>42.096400000000003</v>
      </c>
      <c r="N17" s="11">
        <v>41.243200000000002</v>
      </c>
      <c r="O17" s="11">
        <v>40.237400000000001</v>
      </c>
      <c r="P17" s="11">
        <v>40.116399999999999</v>
      </c>
      <c r="Q17" s="11">
        <v>39.499400000000001</v>
      </c>
      <c r="R17" s="11">
        <v>46.4071</v>
      </c>
      <c r="S17" s="11">
        <v>45.792000000000002</v>
      </c>
      <c r="T17" s="11">
        <v>47.513599999999997</v>
      </c>
      <c r="U17" s="11">
        <v>41.377400000000002</v>
      </c>
      <c r="V17" s="11">
        <v>40.558100000000003</v>
      </c>
      <c r="W17" s="11">
        <v>41.267699999999998</v>
      </c>
      <c r="X17" s="11">
        <v>42.426600000000001</v>
      </c>
      <c r="Y17" s="11">
        <v>42.891599999999997</v>
      </c>
      <c r="Z17" s="11">
        <v>43.135100000000001</v>
      </c>
      <c r="AA17" s="11">
        <v>41.732300000000002</v>
      </c>
      <c r="AB17" s="11">
        <v>41.6066</v>
      </c>
      <c r="AC17" s="11">
        <v>48.5396</v>
      </c>
      <c r="AD17" s="11">
        <v>47.207000000000001</v>
      </c>
      <c r="AE17" s="11">
        <v>45.116999999999997</v>
      </c>
      <c r="AF17" s="11">
        <v>47.554400000000001</v>
      </c>
      <c r="AG17" s="11">
        <v>44.843200000000003</v>
      </c>
      <c r="AH17" s="11">
        <v>44.573399999999999</v>
      </c>
      <c r="AI17" s="11">
        <v>50.612000000000002</v>
      </c>
      <c r="AJ17" s="11">
        <v>51.930100000000003</v>
      </c>
      <c r="AK17" s="11">
        <v>51.9114</v>
      </c>
      <c r="AL17" s="11">
        <v>53.2502</v>
      </c>
      <c r="AM17" s="11">
        <v>53.635199999999998</v>
      </c>
      <c r="AN17" s="11">
        <v>56.353400000000001</v>
      </c>
      <c r="AO17" s="11">
        <v>54.062100000000001</v>
      </c>
      <c r="AP17" s="11">
        <v>54.157499999999999</v>
      </c>
      <c r="AQ17" s="11">
        <v>55.053600000000003</v>
      </c>
      <c r="AR17" s="11">
        <v>54.340400000000002</v>
      </c>
      <c r="AS17" s="11">
        <v>53.673999999999999</v>
      </c>
      <c r="AT17" s="11">
        <v>57.468200000000003</v>
      </c>
      <c r="AU17" s="11">
        <v>57.639400000000002</v>
      </c>
      <c r="AV17" s="11">
        <v>52.534500000000001</v>
      </c>
      <c r="AW17" s="11">
        <v>50.173400000000001</v>
      </c>
      <c r="AX17" s="11">
        <v>42.099699999999999</v>
      </c>
      <c r="AY17" s="11">
        <v>43.3675</v>
      </c>
      <c r="AZ17" s="11">
        <v>28.660399999999999</v>
      </c>
      <c r="BA17" s="11">
        <v>29.9053</v>
      </c>
      <c r="BB17" s="11">
        <v>28.383299999999998</v>
      </c>
      <c r="BC17" s="11">
        <v>27.930499999999999</v>
      </c>
      <c r="BD17" s="11">
        <v>24.895800000000001</v>
      </c>
      <c r="BE17" s="11">
        <v>46.985599999999998</v>
      </c>
      <c r="BF17" s="11">
        <v>45.1477</v>
      </c>
      <c r="BG17" s="11">
        <v>35.670200000000001</v>
      </c>
      <c r="BH17" s="11">
        <v>34.6907</v>
      </c>
      <c r="BI17" s="11">
        <v>14.9101</v>
      </c>
    </row>
    <row r="18" spans="1:61" x14ac:dyDescent="0.2">
      <c r="A18" s="7" t="s">
        <v>192</v>
      </c>
      <c r="B18" s="10">
        <v>57.592100000000002</v>
      </c>
      <c r="C18" s="10">
        <v>56.623199999999997</v>
      </c>
      <c r="D18" s="10">
        <v>56.125300000000003</v>
      </c>
      <c r="E18" s="10">
        <v>55.826599999999999</v>
      </c>
      <c r="F18" s="10">
        <v>54.106299999999997</v>
      </c>
      <c r="G18" s="10">
        <v>54.8645</v>
      </c>
      <c r="H18" s="10">
        <v>58.424999999999997</v>
      </c>
      <c r="I18" s="10">
        <v>57.976999999999997</v>
      </c>
      <c r="J18" s="10">
        <v>57.168399999999998</v>
      </c>
      <c r="K18" s="10">
        <v>60.257100000000001</v>
      </c>
      <c r="L18" s="10">
        <v>58.069200000000002</v>
      </c>
      <c r="M18" s="10">
        <v>56.982599999999998</v>
      </c>
      <c r="N18" s="10">
        <v>55.615000000000002</v>
      </c>
      <c r="O18" s="10">
        <v>54.644300000000001</v>
      </c>
      <c r="P18" s="10">
        <v>56.204799999999999</v>
      </c>
      <c r="Q18" s="10">
        <v>54.453699999999998</v>
      </c>
      <c r="R18" s="10">
        <v>41.600900000000003</v>
      </c>
      <c r="S18" s="10">
        <v>40.550899999999999</v>
      </c>
      <c r="T18" s="10">
        <v>42.251300000000001</v>
      </c>
      <c r="U18" s="10">
        <v>40.572499999999998</v>
      </c>
      <c r="V18" s="10">
        <v>39.599499999999999</v>
      </c>
      <c r="W18" s="10">
        <v>38.882599999999996</v>
      </c>
      <c r="X18" s="10">
        <v>44.835500000000003</v>
      </c>
      <c r="Y18" s="10">
        <v>45.341099999999997</v>
      </c>
      <c r="Z18" s="10">
        <v>46.294499999999999</v>
      </c>
      <c r="AA18" s="10">
        <v>44.107399999999998</v>
      </c>
      <c r="AB18" s="10">
        <v>44.877099999999999</v>
      </c>
      <c r="AC18" s="10">
        <v>32.3581</v>
      </c>
      <c r="AD18" s="10">
        <v>30.0854</v>
      </c>
      <c r="AE18" s="10">
        <v>27.082899999999999</v>
      </c>
      <c r="AF18" s="10">
        <v>26.236599999999999</v>
      </c>
      <c r="AG18" s="10">
        <v>23.174099999999999</v>
      </c>
      <c r="AH18" s="10">
        <v>28.348800000000001</v>
      </c>
      <c r="AI18" s="10">
        <v>74.362399999999994</v>
      </c>
      <c r="AJ18" s="10">
        <v>73.146299999999997</v>
      </c>
      <c r="AK18" s="10">
        <v>72.044600000000003</v>
      </c>
      <c r="AL18" s="10">
        <v>71.347700000000003</v>
      </c>
      <c r="AM18" s="10">
        <v>71.040899999999993</v>
      </c>
      <c r="AN18" s="10">
        <v>68.635499999999993</v>
      </c>
      <c r="AO18" s="10">
        <v>67.475300000000004</v>
      </c>
      <c r="AP18" s="10">
        <v>68.915300000000002</v>
      </c>
      <c r="AQ18" s="10">
        <v>64.286299999999997</v>
      </c>
      <c r="AR18" s="10">
        <v>64.480400000000003</v>
      </c>
      <c r="AS18" s="10">
        <v>63.998899999999999</v>
      </c>
      <c r="AT18" s="10">
        <v>47.209699999999998</v>
      </c>
      <c r="AU18" s="10">
        <v>47.641599999999997</v>
      </c>
      <c r="AV18" s="10">
        <v>45.7361</v>
      </c>
      <c r="AW18" s="10">
        <v>43.796500000000002</v>
      </c>
      <c r="AX18" s="10">
        <v>60.980699999999999</v>
      </c>
      <c r="AY18" s="10">
        <v>61.377200000000002</v>
      </c>
      <c r="AZ18" s="10">
        <v>89.274699999999996</v>
      </c>
      <c r="BA18" s="10">
        <v>90.223600000000005</v>
      </c>
      <c r="BB18" s="10">
        <v>89.564599999999999</v>
      </c>
      <c r="BC18" s="10">
        <v>87.987499999999997</v>
      </c>
      <c r="BD18" s="10">
        <v>82.411900000000003</v>
      </c>
      <c r="BE18" s="10">
        <v>60.748600000000003</v>
      </c>
      <c r="BF18" s="10">
        <v>55.199399999999997</v>
      </c>
      <c r="BG18" s="10">
        <v>57.277299999999997</v>
      </c>
      <c r="BH18" s="10">
        <v>48.6601</v>
      </c>
      <c r="BI18" s="10">
        <v>53.530799999999999</v>
      </c>
    </row>
    <row r="19" spans="1:61" x14ac:dyDescent="0.2">
      <c r="A19" s="7" t="s">
        <v>193</v>
      </c>
      <c r="B19" s="11">
        <v>9.8613</v>
      </c>
      <c r="C19" s="11">
        <v>11.2738</v>
      </c>
      <c r="D19" s="11">
        <v>10.263999999999999</v>
      </c>
      <c r="E19" s="11">
        <v>10.850099999999999</v>
      </c>
      <c r="F19" s="11">
        <v>8.4862000000000002</v>
      </c>
      <c r="G19" s="11">
        <v>11.6867</v>
      </c>
      <c r="H19" s="11">
        <v>7.2986000000000004</v>
      </c>
      <c r="I19" s="11">
        <v>6.1128999999999998</v>
      </c>
      <c r="J19" s="11">
        <v>9.1655999999999995</v>
      </c>
      <c r="K19" s="11">
        <v>7.6318000000000001</v>
      </c>
      <c r="L19" s="11">
        <v>9.4594000000000005</v>
      </c>
      <c r="M19" s="11">
        <v>10.2446</v>
      </c>
      <c r="N19" s="11">
        <v>12.909599999999999</v>
      </c>
      <c r="O19" s="11">
        <v>10.6297</v>
      </c>
      <c r="P19" s="11">
        <v>15.2295</v>
      </c>
      <c r="Q19" s="11">
        <v>15.632</v>
      </c>
      <c r="R19" s="11">
        <v>19.733599999999999</v>
      </c>
      <c r="S19" s="11">
        <v>23.126000000000001</v>
      </c>
      <c r="T19" s="11">
        <v>25.351500000000001</v>
      </c>
      <c r="U19" s="11">
        <v>23.452100000000002</v>
      </c>
      <c r="V19" s="11">
        <v>19.1616</v>
      </c>
      <c r="W19" s="11">
        <v>14.419700000000001</v>
      </c>
      <c r="X19" s="11">
        <v>12.370200000000001</v>
      </c>
      <c r="Y19" s="11">
        <v>10.6677</v>
      </c>
      <c r="Z19" s="11">
        <v>13.302</v>
      </c>
      <c r="AA19" s="11">
        <v>13.851699999999999</v>
      </c>
      <c r="AB19" s="11">
        <v>6.7944000000000004</v>
      </c>
      <c r="AC19" s="11">
        <v>9.1321999999999992</v>
      </c>
      <c r="AD19" s="11">
        <v>10.774100000000001</v>
      </c>
      <c r="AE19" s="11">
        <v>21.7712</v>
      </c>
      <c r="AF19" s="11">
        <v>26.436199999999999</v>
      </c>
      <c r="AG19" s="11">
        <v>21.3949</v>
      </c>
      <c r="AH19" s="11">
        <v>15.843400000000001</v>
      </c>
      <c r="AI19" s="11">
        <v>1.5649</v>
      </c>
      <c r="AJ19" s="11">
        <v>1.6104000000000001</v>
      </c>
      <c r="AK19" s="11">
        <v>1.6247</v>
      </c>
      <c r="AL19" s="11">
        <v>3.0907</v>
      </c>
      <c r="AM19" s="11">
        <v>3.0470999999999999</v>
      </c>
      <c r="AN19" s="11">
        <v>3.1473</v>
      </c>
      <c r="AO19" s="11">
        <v>4.9054000000000002</v>
      </c>
      <c r="AP19" s="11">
        <v>3.9624000000000001</v>
      </c>
      <c r="AQ19" s="11">
        <v>3.7090000000000001</v>
      </c>
      <c r="AR19" s="11">
        <v>6.0875000000000004</v>
      </c>
      <c r="AS19" s="11">
        <v>6.5819000000000001</v>
      </c>
      <c r="AT19" s="11">
        <v>22.677299999999999</v>
      </c>
      <c r="AU19" s="11">
        <v>22.5092</v>
      </c>
      <c r="AV19" s="11">
        <v>23.493500000000001</v>
      </c>
      <c r="AW19" s="11">
        <v>26.2393</v>
      </c>
      <c r="AX19" s="11">
        <v>13.132199999999999</v>
      </c>
      <c r="AY19" s="11">
        <v>13.1548</v>
      </c>
      <c r="AZ19" s="11">
        <v>0.50649999999999995</v>
      </c>
      <c r="BA19" s="11">
        <v>0.5202</v>
      </c>
      <c r="BB19" s="11">
        <v>0</v>
      </c>
      <c r="BC19" s="11">
        <v>0</v>
      </c>
      <c r="BD19" s="11"/>
      <c r="BE19" s="11"/>
      <c r="BF19" s="11"/>
      <c r="BG19" s="11"/>
      <c r="BH19" s="11"/>
      <c r="BI19" s="11"/>
    </row>
    <row r="20" spans="1:61" x14ac:dyDescent="0.2">
      <c r="A20" s="7" t="s">
        <v>194</v>
      </c>
      <c r="B20" s="10">
        <v>34.507599999999996</v>
      </c>
      <c r="C20" s="10">
        <v>34.929699999999997</v>
      </c>
      <c r="D20" s="10">
        <v>36.075899999999997</v>
      </c>
      <c r="E20" s="10">
        <v>33.957500000000003</v>
      </c>
      <c r="F20" s="10">
        <v>39.279200000000003</v>
      </c>
      <c r="G20" s="10">
        <v>33.324399999999997</v>
      </c>
      <c r="H20" s="10">
        <v>28.898299999999999</v>
      </c>
      <c r="I20" s="10">
        <v>30.5762</v>
      </c>
      <c r="J20" s="10">
        <v>27.046800000000001</v>
      </c>
      <c r="K20" s="10">
        <v>22.195</v>
      </c>
      <c r="L20" s="10">
        <v>27.029299999999999</v>
      </c>
      <c r="M20" s="10">
        <v>27.326799999999999</v>
      </c>
      <c r="N20" s="10">
        <v>27.389800000000001</v>
      </c>
      <c r="O20" s="10">
        <v>31.661100000000001</v>
      </c>
      <c r="P20" s="10">
        <v>23.8842</v>
      </c>
      <c r="Q20" s="10">
        <v>27.554200000000002</v>
      </c>
      <c r="R20" s="10">
        <v>47.229900000000001</v>
      </c>
      <c r="S20" s="10">
        <v>46.387900000000002</v>
      </c>
      <c r="T20" s="10">
        <v>36.625100000000003</v>
      </c>
      <c r="U20" s="10">
        <v>47.812899999999999</v>
      </c>
      <c r="V20" s="10">
        <v>53.660299999999999</v>
      </c>
      <c r="W20" s="10">
        <v>57.283900000000003</v>
      </c>
      <c r="X20" s="10">
        <v>42.875999999999998</v>
      </c>
      <c r="Y20" s="10">
        <v>40.802700000000002</v>
      </c>
      <c r="Z20" s="10">
        <v>32.292400000000001</v>
      </c>
      <c r="AA20" s="10">
        <v>36.494</v>
      </c>
      <c r="AB20" s="10">
        <v>41.170400000000001</v>
      </c>
      <c r="AC20" s="10">
        <v>60.034199999999998</v>
      </c>
      <c r="AD20" s="10">
        <v>65.067899999999995</v>
      </c>
      <c r="AE20" s="10">
        <v>64.995800000000003</v>
      </c>
      <c r="AF20" s="10">
        <v>55.748600000000003</v>
      </c>
      <c r="AG20" s="10">
        <v>73.5702</v>
      </c>
      <c r="AH20" s="10">
        <v>61.558300000000003</v>
      </c>
      <c r="AI20" s="10">
        <v>10.1373</v>
      </c>
      <c r="AJ20" s="10">
        <v>10.905799999999999</v>
      </c>
      <c r="AK20" s="10">
        <v>12.1165</v>
      </c>
      <c r="AL20" s="10">
        <v>10.6997</v>
      </c>
      <c r="AM20" s="10">
        <v>10.7987</v>
      </c>
      <c r="AN20" s="10">
        <v>12.294</v>
      </c>
      <c r="AO20" s="10">
        <v>12.078099999999999</v>
      </c>
      <c r="AP20" s="10">
        <v>9.7430000000000003</v>
      </c>
      <c r="AQ20" s="10">
        <v>17.491700000000002</v>
      </c>
      <c r="AR20" s="10">
        <v>14.1136</v>
      </c>
      <c r="AS20" s="10">
        <v>13.75</v>
      </c>
      <c r="AT20" s="10">
        <v>12.779199999999999</v>
      </c>
      <c r="AU20" s="10">
        <v>9.3117000000000001</v>
      </c>
      <c r="AV20" s="10">
        <v>13.276</v>
      </c>
      <c r="AW20" s="10">
        <v>13.558400000000001</v>
      </c>
      <c r="AX20" s="10">
        <v>7.4790000000000001</v>
      </c>
      <c r="AY20" s="10">
        <v>5.6548999999999996</v>
      </c>
      <c r="AZ20" s="10">
        <v>5.3882000000000003</v>
      </c>
      <c r="BA20" s="10">
        <v>4.0606</v>
      </c>
      <c r="BB20" s="10">
        <v>5.5391000000000004</v>
      </c>
      <c r="BC20" s="10">
        <v>7.3198999999999996</v>
      </c>
      <c r="BD20" s="10">
        <v>14.6953</v>
      </c>
      <c r="BE20" s="10">
        <v>41.837400000000002</v>
      </c>
      <c r="BF20" s="10">
        <v>52.005000000000003</v>
      </c>
      <c r="BG20" s="10">
        <v>41.913200000000003</v>
      </c>
      <c r="BH20" s="10">
        <v>77.443600000000004</v>
      </c>
      <c r="BI20" s="10">
        <v>74.235699999999994</v>
      </c>
    </row>
    <row r="21" spans="1:61" x14ac:dyDescent="0.2">
      <c r="A21" s="7" t="s">
        <v>195</v>
      </c>
      <c r="B21" s="11">
        <v>88.369</v>
      </c>
      <c r="C21" s="11">
        <v>84.287499999999994</v>
      </c>
      <c r="D21" s="11">
        <v>83.6113</v>
      </c>
      <c r="E21" s="11">
        <v>83.218299999999999</v>
      </c>
      <c r="F21" s="11">
        <v>85.356099999999998</v>
      </c>
      <c r="G21" s="11">
        <v>87.147499999999994</v>
      </c>
      <c r="H21" s="11">
        <v>87.488500000000002</v>
      </c>
      <c r="I21" s="11">
        <v>90.653099999999995</v>
      </c>
      <c r="J21" s="11">
        <v>88.252899999999997</v>
      </c>
      <c r="K21" s="11">
        <v>88.383499999999998</v>
      </c>
      <c r="L21" s="11">
        <v>86.328400000000002</v>
      </c>
      <c r="M21" s="11">
        <v>85.076800000000006</v>
      </c>
      <c r="N21" s="11">
        <v>83.831599999999995</v>
      </c>
      <c r="O21" s="11">
        <v>83.935100000000006</v>
      </c>
      <c r="P21" s="11">
        <v>82.5137</v>
      </c>
      <c r="Q21" s="11">
        <v>80.970699999999994</v>
      </c>
      <c r="R21" s="11">
        <v>71.270099999999999</v>
      </c>
      <c r="S21" s="11">
        <v>70.031700000000001</v>
      </c>
      <c r="T21" s="11">
        <v>76.994699999999995</v>
      </c>
      <c r="U21" s="11">
        <v>72.910499999999999</v>
      </c>
      <c r="V21" s="11">
        <v>75.308800000000005</v>
      </c>
      <c r="W21" s="11">
        <v>76.659199999999998</v>
      </c>
      <c r="X21" s="11">
        <v>79.860299999999995</v>
      </c>
      <c r="Y21" s="11">
        <v>83.199100000000001</v>
      </c>
      <c r="Z21" s="11">
        <v>81.716999999999999</v>
      </c>
      <c r="AA21" s="11">
        <v>78.384399999999999</v>
      </c>
      <c r="AB21" s="11">
        <v>77.645600000000002</v>
      </c>
      <c r="AC21" s="11">
        <v>73.504400000000004</v>
      </c>
      <c r="AD21" s="11">
        <v>72.423000000000002</v>
      </c>
      <c r="AE21" s="11">
        <v>75.697800000000001</v>
      </c>
      <c r="AF21" s="11">
        <v>80.673500000000004</v>
      </c>
      <c r="AG21" s="11">
        <v>79.674800000000005</v>
      </c>
      <c r="AH21" s="11">
        <v>79.669300000000007</v>
      </c>
      <c r="AI21" s="11">
        <v>98.629900000000006</v>
      </c>
      <c r="AJ21" s="11">
        <v>98.680700000000002</v>
      </c>
      <c r="AK21" s="11">
        <v>98.614699999999999</v>
      </c>
      <c r="AL21" s="11">
        <v>100</v>
      </c>
      <c r="AM21" s="11">
        <v>100</v>
      </c>
      <c r="AN21" s="11">
        <v>100</v>
      </c>
      <c r="AO21" s="11">
        <v>100</v>
      </c>
      <c r="AP21" s="11">
        <v>100</v>
      </c>
      <c r="AQ21" s="11">
        <v>94.734200000000001</v>
      </c>
      <c r="AR21" s="11">
        <v>94.767600000000002</v>
      </c>
      <c r="AS21" s="11">
        <v>94.782200000000003</v>
      </c>
      <c r="AT21" s="11">
        <v>94.644800000000004</v>
      </c>
      <c r="AU21" s="11">
        <v>100</v>
      </c>
      <c r="AV21" s="11">
        <v>97.388499999999993</v>
      </c>
      <c r="AW21" s="11">
        <v>96.450100000000006</v>
      </c>
      <c r="AX21" s="11">
        <v>100</v>
      </c>
      <c r="AY21" s="11">
        <v>100</v>
      </c>
      <c r="AZ21" s="11">
        <v>99.239500000000007</v>
      </c>
      <c r="BA21" s="11">
        <v>100</v>
      </c>
      <c r="BB21" s="11">
        <v>100</v>
      </c>
      <c r="BC21" s="11">
        <v>100</v>
      </c>
      <c r="BD21" s="11">
        <v>92.854299999999995</v>
      </c>
      <c r="BE21" s="11">
        <v>83.799300000000002</v>
      </c>
      <c r="BF21" s="11">
        <v>81.762100000000004</v>
      </c>
      <c r="BG21" s="11">
        <v>88.616500000000002</v>
      </c>
      <c r="BH21" s="11">
        <v>100</v>
      </c>
      <c r="BI21" s="11">
        <v>100</v>
      </c>
    </row>
    <row r="22" spans="1:61" x14ac:dyDescent="0.2">
      <c r="A22" s="7" t="s">
        <v>196</v>
      </c>
      <c r="B22" s="10">
        <v>6.1788999999999996</v>
      </c>
      <c r="C22" s="10">
        <v>10.4474</v>
      </c>
      <c r="D22" s="10">
        <v>11.2661</v>
      </c>
      <c r="E22" s="10">
        <v>11.741099999999999</v>
      </c>
      <c r="F22" s="10">
        <v>9.7053999999999991</v>
      </c>
      <c r="G22" s="10">
        <v>7.6847000000000003</v>
      </c>
      <c r="H22" s="10">
        <v>7.2126999999999999</v>
      </c>
      <c r="I22" s="10">
        <v>6.0829000000000004</v>
      </c>
      <c r="J22" s="10">
        <v>8.6173999999999999</v>
      </c>
      <c r="K22" s="10">
        <v>9.2957999999999998</v>
      </c>
      <c r="L22" s="10">
        <v>12.845599999999999</v>
      </c>
      <c r="M22" s="10">
        <v>14.041600000000001</v>
      </c>
      <c r="N22" s="10">
        <v>15.371700000000001</v>
      </c>
      <c r="O22" s="10">
        <v>15.266299999999999</v>
      </c>
      <c r="P22" s="10">
        <v>16.698399999999999</v>
      </c>
      <c r="Q22" s="10">
        <v>18.225200000000001</v>
      </c>
      <c r="R22" s="10">
        <v>27.813700000000001</v>
      </c>
      <c r="S22" s="10">
        <v>29.04</v>
      </c>
      <c r="T22" s="10">
        <v>21.990500000000001</v>
      </c>
      <c r="U22" s="10">
        <v>26.125900000000001</v>
      </c>
      <c r="V22" s="10">
        <v>23.721399999999999</v>
      </c>
      <c r="W22" s="10">
        <v>22.344799999999999</v>
      </c>
      <c r="X22" s="10">
        <v>20.139700000000001</v>
      </c>
      <c r="Y22" s="10">
        <v>16.800899999999999</v>
      </c>
      <c r="Z22" s="10">
        <v>18.283000000000001</v>
      </c>
      <c r="AA22" s="10">
        <v>21.615600000000001</v>
      </c>
      <c r="AB22" s="10">
        <v>22.354399999999998</v>
      </c>
      <c r="AC22" s="10">
        <v>26.4956</v>
      </c>
      <c r="AD22" s="10">
        <v>27.577000000000002</v>
      </c>
      <c r="AE22" s="10">
        <v>24.302199999999999</v>
      </c>
      <c r="AF22" s="10">
        <v>19.326499999999999</v>
      </c>
      <c r="AG22" s="10">
        <v>20.325199999999999</v>
      </c>
      <c r="AH22" s="10">
        <v>20.3307</v>
      </c>
      <c r="AI22" s="10">
        <v>1.3701000000000001</v>
      </c>
      <c r="AJ22" s="10">
        <v>1.3192999999999999</v>
      </c>
      <c r="AK22" s="10">
        <v>1.3853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5.2657999999999996</v>
      </c>
      <c r="AR22" s="10">
        <v>5.2324000000000002</v>
      </c>
      <c r="AS22" s="10">
        <v>5.2178000000000004</v>
      </c>
      <c r="AT22" s="10">
        <v>5.3552</v>
      </c>
      <c r="AU22" s="10">
        <v>0</v>
      </c>
      <c r="AV22" s="10">
        <v>2.6114999999999999</v>
      </c>
      <c r="AW22" s="10">
        <v>3.5499000000000001</v>
      </c>
      <c r="AX22" s="10">
        <v>0</v>
      </c>
      <c r="AY22" s="10">
        <v>0</v>
      </c>
      <c r="AZ22" s="10">
        <v>0.76049999999999995</v>
      </c>
      <c r="BA22" s="10">
        <v>0</v>
      </c>
      <c r="BB22" s="10">
        <v>0</v>
      </c>
      <c r="BC22" s="10">
        <v>0</v>
      </c>
      <c r="BD22" s="10">
        <v>7.1456999999999997</v>
      </c>
      <c r="BE22" s="10">
        <v>16.200700000000001</v>
      </c>
      <c r="BF22" s="10">
        <v>18.2379</v>
      </c>
      <c r="BG22" s="10">
        <v>11.3835</v>
      </c>
      <c r="BH22" s="10">
        <v>0</v>
      </c>
      <c r="BI22" s="10">
        <v>0</v>
      </c>
    </row>
    <row r="23" spans="1:61" x14ac:dyDescent="0.2">
      <c r="A23" s="7" t="s">
        <v>197</v>
      </c>
      <c r="B23" s="11">
        <v>77.7744</v>
      </c>
      <c r="C23" s="11">
        <v>75.599699999999999</v>
      </c>
      <c r="D23" s="11">
        <v>77.8506</v>
      </c>
      <c r="E23" s="11">
        <v>75.7851</v>
      </c>
      <c r="F23" s="11">
        <v>82.233500000000006</v>
      </c>
      <c r="G23" s="11">
        <v>74.035899999999998</v>
      </c>
      <c r="H23" s="11">
        <v>79.836399999999998</v>
      </c>
      <c r="I23" s="11">
        <v>83.3386</v>
      </c>
      <c r="J23" s="11">
        <v>74.689400000000006</v>
      </c>
      <c r="K23" s="11">
        <v>74.412800000000004</v>
      </c>
      <c r="L23" s="11">
        <v>74.075800000000001</v>
      </c>
      <c r="M23" s="11">
        <v>72.732900000000001</v>
      </c>
      <c r="N23" s="11">
        <v>67.965800000000002</v>
      </c>
      <c r="O23" s="11">
        <v>74.865200000000002</v>
      </c>
      <c r="P23" s="11">
        <v>61.063499999999998</v>
      </c>
      <c r="Q23" s="11">
        <v>63.803199999999997</v>
      </c>
      <c r="R23" s="11">
        <v>70.530799999999999</v>
      </c>
      <c r="S23" s="11">
        <v>66.731899999999996</v>
      </c>
      <c r="T23" s="11">
        <v>59.095100000000002</v>
      </c>
      <c r="U23" s="11">
        <v>67.091700000000003</v>
      </c>
      <c r="V23" s="11">
        <v>73.686999999999998</v>
      </c>
      <c r="W23" s="11">
        <v>79.889799999999994</v>
      </c>
      <c r="X23" s="11">
        <v>77.608999999999995</v>
      </c>
      <c r="Y23" s="11">
        <v>79.274100000000004</v>
      </c>
      <c r="Z23" s="11">
        <v>70.825299999999999</v>
      </c>
      <c r="AA23" s="11">
        <v>72.486800000000002</v>
      </c>
      <c r="AB23" s="11">
        <v>85.834599999999995</v>
      </c>
      <c r="AC23" s="11">
        <v>86.796800000000005</v>
      </c>
      <c r="AD23" s="11">
        <v>85.793999999999997</v>
      </c>
      <c r="AE23" s="11">
        <v>74.9084</v>
      </c>
      <c r="AF23" s="11">
        <v>67.833200000000005</v>
      </c>
      <c r="AG23" s="11">
        <v>77.470799999999997</v>
      </c>
      <c r="AH23" s="11">
        <v>79.530900000000003</v>
      </c>
      <c r="AI23" s="11">
        <v>86.627200000000002</v>
      </c>
      <c r="AJ23" s="11">
        <v>87.133499999999998</v>
      </c>
      <c r="AK23" s="11">
        <v>88.176199999999994</v>
      </c>
      <c r="AL23" s="11">
        <v>77.587999999999994</v>
      </c>
      <c r="AM23" s="11">
        <v>77.992900000000006</v>
      </c>
      <c r="AN23" s="11">
        <v>79.617800000000003</v>
      </c>
      <c r="AO23" s="11">
        <v>71.116699999999994</v>
      </c>
      <c r="AP23" s="11">
        <v>71.088700000000003</v>
      </c>
      <c r="AQ23" s="11">
        <v>82.505399999999995</v>
      </c>
      <c r="AR23" s="11">
        <v>69.865399999999994</v>
      </c>
      <c r="AS23" s="11">
        <v>67.627799999999993</v>
      </c>
      <c r="AT23" s="11">
        <v>36.041899999999998</v>
      </c>
      <c r="AU23" s="11">
        <v>29.262899999999998</v>
      </c>
      <c r="AV23" s="11">
        <v>36.106000000000002</v>
      </c>
      <c r="AW23" s="11">
        <v>34.068300000000001</v>
      </c>
      <c r="AX23" s="11">
        <v>36.286200000000001</v>
      </c>
      <c r="AY23" s="11">
        <v>30.063700000000001</v>
      </c>
      <c r="AZ23" s="11">
        <v>91.406999999999996</v>
      </c>
      <c r="BA23" s="11">
        <v>88.643299999999996</v>
      </c>
      <c r="BB23" s="11">
        <v>100</v>
      </c>
      <c r="BC23" s="11">
        <v>100</v>
      </c>
      <c r="BD23" s="11">
        <v>100</v>
      </c>
      <c r="BE23" s="11">
        <v>100</v>
      </c>
      <c r="BF23" s="11">
        <v>100</v>
      </c>
      <c r="BG23" s="11">
        <v>100</v>
      </c>
      <c r="BH23" s="11">
        <v>100</v>
      </c>
      <c r="BI23" s="11">
        <v>100</v>
      </c>
    </row>
    <row r="24" spans="1:61" x14ac:dyDescent="0.2">
      <c r="A24" s="7" t="s">
        <v>198</v>
      </c>
      <c r="B24" s="10">
        <v>22.2256</v>
      </c>
      <c r="C24" s="10">
        <v>24.400300000000001</v>
      </c>
      <c r="D24" s="10">
        <v>22.1494</v>
      </c>
      <c r="E24" s="10">
        <v>24.2149</v>
      </c>
      <c r="F24" s="10">
        <v>17.766500000000001</v>
      </c>
      <c r="G24" s="10">
        <v>25.964099999999998</v>
      </c>
      <c r="H24" s="10">
        <v>20.163599999999999</v>
      </c>
      <c r="I24" s="10">
        <v>16.6614</v>
      </c>
      <c r="J24" s="10">
        <v>25.310600000000001</v>
      </c>
      <c r="K24" s="10">
        <v>25.587199999999999</v>
      </c>
      <c r="L24" s="10">
        <v>25.924199999999999</v>
      </c>
      <c r="M24" s="10">
        <v>27.267099999999999</v>
      </c>
      <c r="N24" s="10">
        <v>32.034199999999998</v>
      </c>
      <c r="O24" s="10">
        <v>25.134799999999998</v>
      </c>
      <c r="P24" s="10">
        <v>38.936500000000002</v>
      </c>
      <c r="Q24" s="10">
        <v>36.196800000000003</v>
      </c>
      <c r="R24" s="10">
        <v>29.469200000000001</v>
      </c>
      <c r="S24" s="10">
        <v>33.268099999999997</v>
      </c>
      <c r="T24" s="10">
        <v>40.904899999999998</v>
      </c>
      <c r="U24" s="10">
        <v>32.908299999999997</v>
      </c>
      <c r="V24" s="10">
        <v>26.312999999999999</v>
      </c>
      <c r="W24" s="10">
        <v>20.110199999999999</v>
      </c>
      <c r="X24" s="10">
        <v>22.390999999999998</v>
      </c>
      <c r="Y24" s="10">
        <v>20.725899999999999</v>
      </c>
      <c r="Z24" s="10">
        <v>29.174700000000001</v>
      </c>
      <c r="AA24" s="10">
        <v>27.513200000000001</v>
      </c>
      <c r="AB24" s="10">
        <v>14.1654</v>
      </c>
      <c r="AC24" s="10">
        <v>13.203200000000001</v>
      </c>
      <c r="AD24" s="10">
        <v>14.206</v>
      </c>
      <c r="AE24" s="10">
        <v>25.0916</v>
      </c>
      <c r="AF24" s="10">
        <v>32.166800000000002</v>
      </c>
      <c r="AG24" s="10">
        <v>22.529199999999999</v>
      </c>
      <c r="AH24" s="10">
        <v>20.469100000000001</v>
      </c>
      <c r="AI24" s="10">
        <v>13.3728</v>
      </c>
      <c r="AJ24" s="10">
        <v>12.8665</v>
      </c>
      <c r="AK24" s="10">
        <v>11.8238</v>
      </c>
      <c r="AL24" s="10">
        <v>22.411999999999999</v>
      </c>
      <c r="AM24" s="10">
        <v>22.007100000000001</v>
      </c>
      <c r="AN24" s="10">
        <v>20.382200000000001</v>
      </c>
      <c r="AO24" s="10">
        <v>28.883299999999998</v>
      </c>
      <c r="AP24" s="10">
        <v>28.911300000000001</v>
      </c>
      <c r="AQ24" s="10">
        <v>17.494599999999998</v>
      </c>
      <c r="AR24" s="10">
        <v>30.134599999999999</v>
      </c>
      <c r="AS24" s="10">
        <v>32.372199999999999</v>
      </c>
      <c r="AT24" s="10">
        <v>63.958100000000002</v>
      </c>
      <c r="AU24" s="10">
        <v>70.737099999999998</v>
      </c>
      <c r="AV24" s="10">
        <v>63.893999999999998</v>
      </c>
      <c r="AW24" s="10">
        <v>65.931700000000006</v>
      </c>
      <c r="AX24" s="10">
        <v>63.713799999999999</v>
      </c>
      <c r="AY24" s="10">
        <v>69.936300000000003</v>
      </c>
      <c r="AZ24" s="10">
        <v>8.593</v>
      </c>
      <c r="BA24" s="10">
        <v>11.3567</v>
      </c>
      <c r="BB24" s="10">
        <v>0</v>
      </c>
      <c r="BC24" s="10">
        <v>0</v>
      </c>
      <c r="BD24" s="10"/>
      <c r="BE24" s="10"/>
      <c r="BF24" s="10"/>
      <c r="BG24" s="10"/>
      <c r="BH24" s="10"/>
      <c r="BI24" s="10"/>
    </row>
    <row r="25" spans="1:61" x14ac:dyDescent="0.2">
      <c r="A25" s="7" t="s">
        <v>199</v>
      </c>
      <c r="B25" s="11">
        <v>50.143000000000001</v>
      </c>
      <c r="C25" s="11">
        <v>50.336100000000002</v>
      </c>
      <c r="D25" s="11">
        <v>53.129199999999997</v>
      </c>
      <c r="E25" s="11">
        <v>55.767699999999998</v>
      </c>
      <c r="F25" s="11">
        <v>59.1252</v>
      </c>
      <c r="G25" s="11">
        <v>59.972900000000003</v>
      </c>
      <c r="H25" s="11">
        <v>57.4114</v>
      </c>
      <c r="I25" s="11">
        <v>60.916800000000002</v>
      </c>
      <c r="J25" s="11">
        <v>56.456000000000003</v>
      </c>
      <c r="K25" s="11">
        <v>55.384300000000003</v>
      </c>
      <c r="L25" s="11">
        <v>56.502000000000002</v>
      </c>
      <c r="M25" s="11">
        <v>58.348799999999997</v>
      </c>
      <c r="N25" s="11">
        <v>58.255899999999997</v>
      </c>
      <c r="O25" s="11">
        <v>57.637</v>
      </c>
      <c r="P25" s="11">
        <v>56.1905</v>
      </c>
      <c r="Q25" s="11">
        <v>56.95</v>
      </c>
      <c r="R25" s="11">
        <v>78.079499999999996</v>
      </c>
      <c r="S25" s="11">
        <v>78.230699999999999</v>
      </c>
      <c r="T25" s="11">
        <v>77.587100000000007</v>
      </c>
      <c r="U25" s="11">
        <v>71.411900000000003</v>
      </c>
      <c r="V25" s="11">
        <v>70.615600000000001</v>
      </c>
      <c r="W25" s="11">
        <v>71.394199999999998</v>
      </c>
      <c r="X25" s="11">
        <v>65.865600000000001</v>
      </c>
      <c r="Y25" s="11">
        <v>64.968100000000007</v>
      </c>
      <c r="Z25" s="11">
        <v>62.802399999999999</v>
      </c>
      <c r="AA25" s="11">
        <v>62.742699999999999</v>
      </c>
      <c r="AB25" s="11">
        <v>61.563099999999999</v>
      </c>
      <c r="AC25" s="11">
        <v>82.1126</v>
      </c>
      <c r="AD25" s="11">
        <v>83.009799999999998</v>
      </c>
      <c r="AE25" s="11">
        <v>84.263599999999997</v>
      </c>
      <c r="AF25" s="11">
        <v>86.636799999999994</v>
      </c>
      <c r="AG25" s="11">
        <v>87.428600000000003</v>
      </c>
      <c r="AH25" s="11">
        <v>79.073899999999995</v>
      </c>
      <c r="AI25" s="11">
        <v>56.534700000000001</v>
      </c>
      <c r="AJ25" s="11">
        <v>58.4298</v>
      </c>
      <c r="AK25" s="11">
        <v>59.044699999999999</v>
      </c>
      <c r="AL25" s="11">
        <v>60.593600000000002</v>
      </c>
      <c r="AM25" s="11">
        <v>61.061399999999999</v>
      </c>
      <c r="AN25" s="11">
        <v>65.055099999999996</v>
      </c>
      <c r="AO25" s="11">
        <v>63.243699999999997</v>
      </c>
      <c r="AP25" s="11">
        <v>61.58</v>
      </c>
      <c r="AQ25" s="11">
        <v>66.725300000000004</v>
      </c>
      <c r="AR25" s="11">
        <v>65.317700000000002</v>
      </c>
      <c r="AS25" s="11">
        <v>64.5869</v>
      </c>
      <c r="AT25" s="11">
        <v>77.844399999999993</v>
      </c>
      <c r="AU25" s="11">
        <v>75.980800000000002</v>
      </c>
      <c r="AV25" s="11">
        <v>71.851200000000006</v>
      </c>
      <c r="AW25" s="11">
        <v>70.141300000000001</v>
      </c>
      <c r="AX25" s="11">
        <v>50.777000000000001</v>
      </c>
      <c r="AY25" s="11">
        <v>51.524700000000003</v>
      </c>
      <c r="AZ25" s="11">
        <v>30.349900000000002</v>
      </c>
      <c r="BA25" s="11">
        <v>31.275200000000002</v>
      </c>
      <c r="BB25" s="11">
        <v>29.955500000000001</v>
      </c>
      <c r="BC25" s="11">
        <v>29.975000000000001</v>
      </c>
      <c r="BD25" s="11">
        <v>28.554300000000001</v>
      </c>
      <c r="BE25" s="11">
        <v>66.643199999999993</v>
      </c>
      <c r="BF25" s="11">
        <v>68.6267</v>
      </c>
      <c r="BG25" s="11">
        <v>50.620699999999999</v>
      </c>
      <c r="BH25" s="11">
        <v>61.556399999999996</v>
      </c>
      <c r="BI25" s="11">
        <v>25.9787</v>
      </c>
    </row>
    <row r="26" spans="1:61" x14ac:dyDescent="0.2">
      <c r="A26" s="7" t="s">
        <v>200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</row>
    <row r="27" spans="1:61" x14ac:dyDescent="0.2">
      <c r="A27" s="7" t="s">
        <v>201</v>
      </c>
      <c r="B27" s="11">
        <v>2.9094000000000002</v>
      </c>
      <c r="C27" s="11">
        <v>2.9234</v>
      </c>
      <c r="D27" s="11">
        <v>2.7536</v>
      </c>
      <c r="E27" s="11">
        <v>2.8005</v>
      </c>
      <c r="F27" s="11">
        <v>2.4039999999999999</v>
      </c>
      <c r="G27" s="11">
        <v>2.7298</v>
      </c>
      <c r="H27" s="11">
        <v>2.9359000000000002</v>
      </c>
      <c r="I27" s="11">
        <v>2.5958999999999999</v>
      </c>
      <c r="J27" s="11">
        <v>3.0798999999999999</v>
      </c>
      <c r="K27" s="11">
        <v>3.4723000000000002</v>
      </c>
      <c r="L27" s="11">
        <v>2.9946999999999999</v>
      </c>
      <c r="M27" s="11">
        <v>2.9369999999999998</v>
      </c>
      <c r="N27" s="11">
        <v>3.0301</v>
      </c>
      <c r="O27" s="11">
        <v>2.7038000000000002</v>
      </c>
      <c r="P27" s="11">
        <v>3.5118999999999998</v>
      </c>
      <c r="Q27" s="11">
        <v>3.1657000000000002</v>
      </c>
      <c r="R27" s="11">
        <v>1.9092</v>
      </c>
      <c r="S27" s="11">
        <v>1.9964</v>
      </c>
      <c r="T27" s="11">
        <v>2.3401000000000001</v>
      </c>
      <c r="U27" s="11">
        <v>2.1160999999999999</v>
      </c>
      <c r="V27" s="11">
        <v>1.9287000000000001</v>
      </c>
      <c r="W27" s="11">
        <v>1.7738</v>
      </c>
      <c r="X27" s="11">
        <v>2.0846</v>
      </c>
      <c r="Y27" s="11">
        <v>2.12</v>
      </c>
      <c r="Z27" s="11">
        <v>2.5638000000000001</v>
      </c>
      <c r="AA27" s="11">
        <v>2.4005000000000001</v>
      </c>
      <c r="AB27" s="11">
        <v>2.0985999999999998</v>
      </c>
      <c r="AC27" s="11">
        <v>1.4500999999999999</v>
      </c>
      <c r="AD27" s="11">
        <v>1.4267000000000001</v>
      </c>
      <c r="AE27" s="11">
        <v>1.5770999999999999</v>
      </c>
      <c r="AF27" s="11">
        <v>1.7139</v>
      </c>
      <c r="AG27" s="11">
        <v>1.4617</v>
      </c>
      <c r="AH27" s="11">
        <v>1.5972999999999999</v>
      </c>
      <c r="AI27" s="11">
        <v>5.4420000000000002</v>
      </c>
      <c r="AJ27" s="11">
        <v>4.9593999999999996</v>
      </c>
      <c r="AK27" s="11">
        <v>4.5141999999999998</v>
      </c>
      <c r="AL27" s="11">
        <v>4.9718</v>
      </c>
      <c r="AM27" s="11">
        <v>4.8879999999999999</v>
      </c>
      <c r="AN27" s="11">
        <v>4.0983999999999998</v>
      </c>
      <c r="AO27" s="11">
        <v>4.4493999999999998</v>
      </c>
      <c r="AP27" s="11">
        <v>5.3501000000000003</v>
      </c>
      <c r="AQ27" s="11">
        <v>3.1143999999999998</v>
      </c>
      <c r="AR27" s="11">
        <v>3.8887</v>
      </c>
      <c r="AS27" s="11">
        <v>4.0541999999999998</v>
      </c>
      <c r="AT27" s="11">
        <v>4.5083000000000002</v>
      </c>
      <c r="AU27" s="11">
        <v>5.9966999999999997</v>
      </c>
      <c r="AV27" s="11">
        <v>4.8898999999999999</v>
      </c>
      <c r="AW27" s="11">
        <v>5.1375000000000002</v>
      </c>
      <c r="AX27" s="11">
        <v>9.3374000000000006</v>
      </c>
      <c r="AY27" s="11">
        <v>11.8986</v>
      </c>
      <c r="AZ27" s="11">
        <v>14.0204</v>
      </c>
      <c r="BA27" s="11">
        <v>18.052800000000001</v>
      </c>
      <c r="BB27" s="11">
        <v>13.6454</v>
      </c>
      <c r="BC27" s="11">
        <v>10.5663</v>
      </c>
      <c r="BD27" s="11">
        <v>5.8617999999999997</v>
      </c>
      <c r="BE27" s="11">
        <v>1.7972999999999999</v>
      </c>
      <c r="BF27" s="11">
        <v>1.6032999999999999</v>
      </c>
      <c r="BG27" s="11">
        <v>2.1781000000000001</v>
      </c>
      <c r="BH27" s="11">
        <v>1.4964</v>
      </c>
      <c r="BI27" s="11">
        <v>1.9971000000000001</v>
      </c>
    </row>
    <row r="28" spans="1:61" x14ac:dyDescent="0.2">
      <c r="A28" s="7" t="s">
        <v>202</v>
      </c>
      <c r="B28" s="10">
        <v>1.7121999999999999</v>
      </c>
      <c r="C28" s="10">
        <v>1.7730999999999999</v>
      </c>
      <c r="D28" s="10">
        <v>1.7073</v>
      </c>
      <c r="E28" s="10">
        <v>1.7152000000000001</v>
      </c>
      <c r="F28" s="10">
        <v>1.373</v>
      </c>
      <c r="G28" s="10">
        <v>1.5855999999999999</v>
      </c>
      <c r="H28" s="10">
        <v>1.7877000000000001</v>
      </c>
      <c r="I28" s="10">
        <v>1.611</v>
      </c>
      <c r="J28" s="10">
        <v>2.0204</v>
      </c>
      <c r="K28" s="10">
        <v>2.3418999999999999</v>
      </c>
      <c r="L28" s="10">
        <v>1.9466000000000001</v>
      </c>
      <c r="M28" s="10">
        <v>1.7459</v>
      </c>
      <c r="N28" s="10">
        <v>1.7119</v>
      </c>
      <c r="O28" s="10">
        <v>1.5622</v>
      </c>
      <c r="P28" s="10">
        <v>2.1730999999999998</v>
      </c>
      <c r="Q28" s="10">
        <v>1.9656</v>
      </c>
      <c r="R28" s="10">
        <v>0.91049999999999998</v>
      </c>
      <c r="S28" s="10">
        <v>0.96299999999999997</v>
      </c>
      <c r="T28" s="10">
        <v>1.0470999999999999</v>
      </c>
      <c r="U28" s="10">
        <v>1.1154999999999999</v>
      </c>
      <c r="V28" s="10">
        <v>1.0235000000000001</v>
      </c>
      <c r="W28" s="10">
        <v>0.95520000000000005</v>
      </c>
      <c r="X28" s="10">
        <v>1.1051</v>
      </c>
      <c r="Y28" s="10">
        <v>1.2341</v>
      </c>
      <c r="Z28" s="10">
        <v>1.5019</v>
      </c>
      <c r="AA28" s="10">
        <v>1.4746999999999999</v>
      </c>
      <c r="AB28" s="10">
        <v>1.2964</v>
      </c>
      <c r="AC28" s="10">
        <v>0.71109999999999995</v>
      </c>
      <c r="AD28" s="10">
        <v>0.74139999999999995</v>
      </c>
      <c r="AE28" s="10">
        <v>0.87819999999999998</v>
      </c>
      <c r="AF28" s="10">
        <v>0.80869999999999997</v>
      </c>
      <c r="AG28" s="10">
        <v>0.79359999999999997</v>
      </c>
      <c r="AH28" s="10">
        <v>0.96799999999999997</v>
      </c>
      <c r="AI28" s="10">
        <v>4.0823</v>
      </c>
      <c r="AJ28" s="10">
        <v>3.4927999999999999</v>
      </c>
      <c r="AK28" s="10">
        <v>3.4508000000000001</v>
      </c>
      <c r="AL28" s="10">
        <v>3.5903</v>
      </c>
      <c r="AM28" s="10">
        <v>3.5135999999999998</v>
      </c>
      <c r="AN28" s="10">
        <v>2.7021999999999999</v>
      </c>
      <c r="AO28" s="10">
        <v>3.2073999999999998</v>
      </c>
      <c r="AP28" s="10">
        <v>3.5291999999999999</v>
      </c>
      <c r="AQ28" s="10">
        <v>2.1488</v>
      </c>
      <c r="AR28" s="10">
        <v>2.8864999999999998</v>
      </c>
      <c r="AS28" s="10">
        <v>3.0482</v>
      </c>
      <c r="AT28" s="10">
        <v>3.2679999999999998</v>
      </c>
      <c r="AU28" s="10">
        <v>4.3209</v>
      </c>
      <c r="AV28" s="10">
        <v>3.8066</v>
      </c>
      <c r="AW28" s="10">
        <v>3.9719000000000002</v>
      </c>
      <c r="AX28" s="10">
        <v>7.3635999999999999</v>
      </c>
      <c r="AY28" s="10">
        <v>9.5873000000000008</v>
      </c>
      <c r="AZ28" s="10">
        <v>11.742100000000001</v>
      </c>
      <c r="BA28" s="10">
        <v>15.1844</v>
      </c>
      <c r="BB28" s="10">
        <v>11.748799999999999</v>
      </c>
      <c r="BC28" s="10">
        <v>9.1363000000000003</v>
      </c>
      <c r="BD28" s="10">
        <v>5.1477000000000004</v>
      </c>
      <c r="BE28" s="10">
        <v>1.0831</v>
      </c>
      <c r="BF28" s="10">
        <v>1.0496000000000001</v>
      </c>
      <c r="BG28" s="10">
        <v>1.4309000000000001</v>
      </c>
      <c r="BH28" s="10">
        <v>0.87949999999999995</v>
      </c>
      <c r="BI28" s="10">
        <v>1.0258</v>
      </c>
    </row>
    <row r="29" spans="1:61" x14ac:dyDescent="0.2">
      <c r="A29" s="7" t="s">
        <v>203</v>
      </c>
      <c r="B29" s="11">
        <v>1.6183000000000001</v>
      </c>
      <c r="C29" s="11">
        <v>1.7282</v>
      </c>
      <c r="D29" s="11">
        <v>1.6388</v>
      </c>
      <c r="E29" s="11">
        <v>1.6134999999999999</v>
      </c>
      <c r="F29" s="11">
        <v>1.256</v>
      </c>
      <c r="G29" s="11">
        <v>1.4658</v>
      </c>
      <c r="H29" s="11">
        <v>1.6913</v>
      </c>
      <c r="I29" s="11">
        <v>1.5287999999999999</v>
      </c>
      <c r="J29" s="11">
        <v>1.907</v>
      </c>
      <c r="K29" s="11">
        <v>2.2589999999999999</v>
      </c>
      <c r="L29" s="11">
        <v>1.8801000000000001</v>
      </c>
      <c r="M29" s="11">
        <v>1.6751</v>
      </c>
      <c r="N29" s="11">
        <v>1.6507000000000001</v>
      </c>
      <c r="O29" s="11">
        <v>1.5065</v>
      </c>
      <c r="P29" s="11">
        <v>2.0817999999999999</v>
      </c>
      <c r="Q29" s="11">
        <v>1.8955</v>
      </c>
      <c r="R29" s="11">
        <v>0.77980000000000005</v>
      </c>
      <c r="S29" s="11">
        <v>0.83699999999999997</v>
      </c>
      <c r="T29" s="11">
        <v>0.87429999999999997</v>
      </c>
      <c r="U29" s="11">
        <v>0.93289999999999995</v>
      </c>
      <c r="V29" s="11">
        <v>0.85809999999999997</v>
      </c>
      <c r="W29" s="11">
        <v>0.81089999999999995</v>
      </c>
      <c r="X29" s="11">
        <v>0.94279999999999997</v>
      </c>
      <c r="Y29" s="11">
        <v>1.0645</v>
      </c>
      <c r="Z29" s="11">
        <v>1.4259999999999999</v>
      </c>
      <c r="AA29" s="11">
        <v>1.3041</v>
      </c>
      <c r="AB29" s="11">
        <v>1.2306999999999999</v>
      </c>
      <c r="AC29" s="11">
        <v>0.6714</v>
      </c>
      <c r="AD29" s="11">
        <v>0.67269999999999996</v>
      </c>
      <c r="AE29" s="11">
        <v>0.82799999999999996</v>
      </c>
      <c r="AF29" s="11">
        <v>0.68</v>
      </c>
      <c r="AG29" s="11">
        <v>0.70130000000000003</v>
      </c>
      <c r="AH29" s="11">
        <v>0.78569999999999995</v>
      </c>
      <c r="AI29" s="11">
        <v>2.6501000000000001</v>
      </c>
      <c r="AJ29" s="11">
        <v>2.3079000000000001</v>
      </c>
      <c r="AK29" s="11">
        <v>2.2465000000000002</v>
      </c>
      <c r="AL29" s="11">
        <v>3.4670000000000001</v>
      </c>
      <c r="AM29" s="11">
        <v>3.4942000000000002</v>
      </c>
      <c r="AN29" s="11">
        <v>2.6844999999999999</v>
      </c>
      <c r="AO29" s="11">
        <v>3.198</v>
      </c>
      <c r="AP29" s="11">
        <v>3.5131000000000001</v>
      </c>
      <c r="AQ29" s="11">
        <v>2.1385999999999998</v>
      </c>
      <c r="AR29" s="11">
        <v>2.8753000000000002</v>
      </c>
      <c r="AS29" s="11">
        <v>3.0392999999999999</v>
      </c>
      <c r="AT29" s="11">
        <v>3.2359</v>
      </c>
      <c r="AU29" s="11">
        <v>4.1863000000000001</v>
      </c>
      <c r="AV29" s="11">
        <v>3.7967</v>
      </c>
      <c r="AW29" s="11">
        <v>3.9670999999999998</v>
      </c>
      <c r="AX29" s="11">
        <v>7.0475000000000003</v>
      </c>
      <c r="AY29" s="11">
        <v>9.4335000000000004</v>
      </c>
      <c r="AZ29" s="11">
        <v>11.5746</v>
      </c>
      <c r="BA29" s="11">
        <v>15.1328</v>
      </c>
      <c r="BB29" s="11">
        <v>11.501200000000001</v>
      </c>
      <c r="BC29" s="11">
        <v>8.9585000000000008</v>
      </c>
      <c r="BD29" s="11">
        <v>5.1375000000000002</v>
      </c>
      <c r="BE29" s="11">
        <v>1.0062</v>
      </c>
      <c r="BF29" s="11">
        <v>0.99199999999999999</v>
      </c>
      <c r="BG29" s="11">
        <v>1.2276</v>
      </c>
      <c r="BH29" s="11">
        <v>0.86240000000000006</v>
      </c>
      <c r="BI29" s="11">
        <v>1.01</v>
      </c>
    </row>
    <row r="30" spans="1:61" x14ac:dyDescent="0.2">
      <c r="A30" s="7" t="s">
        <v>204</v>
      </c>
      <c r="B30" s="10">
        <v>0.86470000000000002</v>
      </c>
      <c r="C30" s="10">
        <v>0.9153</v>
      </c>
      <c r="D30" s="10">
        <v>0.98270000000000002</v>
      </c>
      <c r="E30" s="10">
        <v>0.86860000000000004</v>
      </c>
      <c r="F30" s="10">
        <v>0.56869999999999998</v>
      </c>
      <c r="G30" s="10">
        <v>0.71779999999999999</v>
      </c>
      <c r="H30" s="10">
        <v>0.95650000000000002</v>
      </c>
      <c r="I30" s="10">
        <v>0.93030000000000002</v>
      </c>
      <c r="J30" s="10">
        <v>1.3501000000000001</v>
      </c>
      <c r="K30" s="10">
        <v>1.7326999999999999</v>
      </c>
      <c r="L30" s="10">
        <v>1.5169999999999999</v>
      </c>
      <c r="M30" s="10">
        <v>1.1964999999999999</v>
      </c>
      <c r="N30" s="10">
        <v>1.0724</v>
      </c>
      <c r="O30" s="10">
        <v>1.0142</v>
      </c>
      <c r="P30" s="10">
        <v>1.5123</v>
      </c>
      <c r="Q30" s="10">
        <v>1.1511</v>
      </c>
      <c r="R30" s="10">
        <v>0.36170000000000002</v>
      </c>
      <c r="S30" s="10">
        <v>0.41310000000000002</v>
      </c>
      <c r="T30" s="10">
        <v>0.39560000000000001</v>
      </c>
      <c r="U30" s="10">
        <v>0.52490000000000003</v>
      </c>
      <c r="V30" s="10">
        <v>0.43120000000000003</v>
      </c>
      <c r="W30" s="10">
        <v>0.39</v>
      </c>
      <c r="X30" s="10">
        <v>0.5696</v>
      </c>
      <c r="Y30" s="10">
        <v>0.6603</v>
      </c>
      <c r="Z30" s="10">
        <v>0.91710000000000003</v>
      </c>
      <c r="AA30" s="10">
        <v>0.88500000000000001</v>
      </c>
      <c r="AB30" s="10">
        <v>0.91910000000000003</v>
      </c>
      <c r="AC30" s="10">
        <v>0.37719999999999998</v>
      </c>
      <c r="AD30" s="10">
        <v>0.31859999999999999</v>
      </c>
      <c r="AE30" s="10">
        <v>0.4365</v>
      </c>
      <c r="AF30" s="10">
        <v>0.30059999999999998</v>
      </c>
      <c r="AG30" s="10">
        <v>0.35470000000000002</v>
      </c>
      <c r="AH30" s="10">
        <v>0.43890000000000001</v>
      </c>
      <c r="AI30" s="10">
        <v>1.6351</v>
      </c>
      <c r="AJ30" s="10">
        <v>1.6627000000000001</v>
      </c>
      <c r="AK30" s="10">
        <v>1.4048</v>
      </c>
      <c r="AL30" s="10">
        <v>2.5346000000000002</v>
      </c>
      <c r="AM30" s="10">
        <v>2.2403</v>
      </c>
      <c r="AN30" s="10">
        <v>1.5525</v>
      </c>
      <c r="AO30" s="10">
        <v>1.9599</v>
      </c>
      <c r="AP30" s="10">
        <v>2.3355999999999999</v>
      </c>
      <c r="AQ30" s="10">
        <v>1.5256000000000001</v>
      </c>
      <c r="AR30" s="10">
        <v>2.2004000000000001</v>
      </c>
      <c r="AS30" s="10">
        <v>2.1654</v>
      </c>
      <c r="AT30" s="10">
        <v>2.3117000000000001</v>
      </c>
      <c r="AU30" s="10">
        <v>3.0691000000000002</v>
      </c>
      <c r="AV30" s="10">
        <v>2.9192</v>
      </c>
      <c r="AW30" s="10">
        <v>3.4876999999999998</v>
      </c>
      <c r="AX30" s="10">
        <v>6.0572999999999997</v>
      </c>
      <c r="AY30" s="10">
        <v>8.2835000000000001</v>
      </c>
      <c r="AZ30" s="10">
        <v>9.7858999999999998</v>
      </c>
      <c r="BA30" s="10">
        <v>12.845000000000001</v>
      </c>
      <c r="BB30" s="10">
        <v>9.1296999999999997</v>
      </c>
      <c r="BC30" s="10">
        <v>7.3182999999999998</v>
      </c>
      <c r="BD30" s="10">
        <v>4.3925999999999998</v>
      </c>
      <c r="BE30" s="10">
        <v>0.61850000000000005</v>
      </c>
      <c r="BF30" s="10">
        <v>0.67300000000000004</v>
      </c>
      <c r="BG30" s="10">
        <v>0.84750000000000003</v>
      </c>
      <c r="BH30" s="10">
        <v>0.60609999999999997</v>
      </c>
      <c r="BI30" s="10">
        <v>0.2298</v>
      </c>
    </row>
    <row r="31" spans="1:61" x14ac:dyDescent="0.2">
      <c r="A31" s="7" t="s">
        <v>205</v>
      </c>
      <c r="B31" s="11">
        <v>476.04750000000001</v>
      </c>
      <c r="C31" s="11">
        <v>146.03639999999999</v>
      </c>
      <c r="D31" s="11">
        <v>83.657799999999995</v>
      </c>
      <c r="E31" s="11">
        <v>122.3249</v>
      </c>
      <c r="F31" s="11">
        <v>52.162799999999997</v>
      </c>
      <c r="G31" s="11">
        <v>70.645099999999999</v>
      </c>
      <c r="H31" s="11">
        <v>62.4148</v>
      </c>
      <c r="I31" s="11">
        <v>204.50200000000001</v>
      </c>
      <c r="J31" s="11">
        <v>184.2852</v>
      </c>
      <c r="K31" s="11">
        <v>120.2439</v>
      </c>
      <c r="L31" s="11">
        <v>35.933900000000001</v>
      </c>
      <c r="M31" s="11">
        <v>161.57579999999999</v>
      </c>
      <c r="N31" s="11">
        <v>106.8492</v>
      </c>
      <c r="O31" s="11">
        <v>77.294399999999996</v>
      </c>
      <c r="P31" s="11">
        <v>69.081999999999994</v>
      </c>
      <c r="Q31" s="11">
        <v>52.4071</v>
      </c>
      <c r="R31" s="11">
        <v>14.57</v>
      </c>
      <c r="S31" s="11">
        <v>0.16350000000000001</v>
      </c>
      <c r="T31" s="11">
        <v>-8.9301999999999992</v>
      </c>
      <c r="U31" s="11">
        <v>1.2756000000000001</v>
      </c>
      <c r="V31" s="11">
        <v>-6.7527999999999997</v>
      </c>
      <c r="W31" s="11">
        <v>-10.7151</v>
      </c>
      <c r="X31" s="11">
        <v>-24.165299999999998</v>
      </c>
      <c r="Y31" s="11">
        <v>51.527999999999999</v>
      </c>
      <c r="Z31" s="11">
        <v>26.311399999999999</v>
      </c>
      <c r="AA31" s="11">
        <v>8.4473000000000003</v>
      </c>
      <c r="AB31" s="11">
        <v>-8.9873999999999992</v>
      </c>
      <c r="AC31" s="11">
        <v>41.442799999999998</v>
      </c>
      <c r="AD31" s="11">
        <v>22.135200000000001</v>
      </c>
      <c r="AE31" s="11">
        <v>15.944000000000001</v>
      </c>
      <c r="AF31" s="11">
        <v>-5.0721999999999996</v>
      </c>
      <c r="AG31" s="11">
        <v>3.9350999999999998</v>
      </c>
      <c r="AH31" s="11">
        <v>0.65259999999999996</v>
      </c>
      <c r="AI31" s="11">
        <v>75.0291</v>
      </c>
      <c r="AJ31" s="11">
        <v>25.448799999999999</v>
      </c>
      <c r="AK31" s="11">
        <v>143.56319999999999</v>
      </c>
      <c r="AL31" s="11">
        <v>-660.2183</v>
      </c>
      <c r="AM31" s="11">
        <v>191.08439999999999</v>
      </c>
      <c r="AN31" s="11">
        <v>10.5892</v>
      </c>
      <c r="AO31" s="11">
        <v>247.74520000000001</v>
      </c>
      <c r="AP31" s="11">
        <v>63.825600000000001</v>
      </c>
      <c r="AQ31" s="11">
        <v>44.709600000000002</v>
      </c>
      <c r="AR31" s="11">
        <v>60.169699999999999</v>
      </c>
      <c r="AS31" s="11">
        <v>21.560400000000001</v>
      </c>
      <c r="AT31" s="11">
        <v>26.978200000000001</v>
      </c>
      <c r="AU31" s="11">
        <v>157.68109999999999</v>
      </c>
      <c r="AV31" s="11">
        <v>13.399900000000001</v>
      </c>
      <c r="AW31" s="11">
        <v>98.0886</v>
      </c>
      <c r="AX31" s="11">
        <v>510.8372</v>
      </c>
      <c r="AY31" s="11">
        <v>548.60630000000003</v>
      </c>
      <c r="AZ31" s="11">
        <v>178.03890000000001</v>
      </c>
      <c r="BA31" s="11"/>
      <c r="BB31" s="11">
        <v>-274.61579999999998</v>
      </c>
      <c r="BC31" s="11"/>
      <c r="BD31" s="11">
        <v>-34.574199999999998</v>
      </c>
      <c r="BE31" s="11">
        <v>78.858199999999997</v>
      </c>
      <c r="BF31" s="11">
        <v>55.603900000000003</v>
      </c>
      <c r="BG31" s="11">
        <v>119.55070000000001</v>
      </c>
      <c r="BH31" s="11">
        <v>1317.3981000000001</v>
      </c>
      <c r="BI31" s="11"/>
    </row>
    <row r="32" spans="1:61" x14ac:dyDescent="0.2">
      <c r="A32" s="7" t="s">
        <v>206</v>
      </c>
      <c r="B32" s="10"/>
      <c r="C32" s="10">
        <v>95.338399999999993</v>
      </c>
      <c r="D32" s="10"/>
      <c r="E32" s="10">
        <v>59.092399999999998</v>
      </c>
      <c r="F32" s="10"/>
      <c r="G32" s="10">
        <v>41.506399999999999</v>
      </c>
      <c r="H32" s="10"/>
      <c r="I32" s="10">
        <v>45.277000000000001</v>
      </c>
      <c r="J32" s="10"/>
      <c r="K32" s="10">
        <v>30.7636</v>
      </c>
      <c r="L32" s="10"/>
      <c r="M32" s="10">
        <v>38.650599999999997</v>
      </c>
      <c r="N32" s="10"/>
      <c r="O32" s="10">
        <v>40.125900000000001</v>
      </c>
      <c r="P32" s="10"/>
      <c r="Q32" s="10">
        <v>9.7937999999999992</v>
      </c>
      <c r="R32" s="10"/>
      <c r="S32" s="10">
        <v>0.1037</v>
      </c>
      <c r="T32" s="10"/>
      <c r="U32" s="10">
        <v>0.35089999999999999</v>
      </c>
      <c r="V32" s="10"/>
      <c r="W32" s="10">
        <v>-5.9385000000000003</v>
      </c>
      <c r="X32" s="10"/>
      <c r="Y32" s="10">
        <v>11.351900000000001</v>
      </c>
      <c r="Z32" s="10"/>
      <c r="AA32" s="10">
        <v>4.157</v>
      </c>
      <c r="AB32" s="10"/>
      <c r="AC32" s="10">
        <v>13.134</v>
      </c>
      <c r="AD32" s="10"/>
      <c r="AE32" s="10">
        <v>8.3416999999999994</v>
      </c>
      <c r="AF32" s="10"/>
      <c r="AG32" s="10">
        <v>2.2494000000000001</v>
      </c>
      <c r="AH32" s="10"/>
      <c r="AI32" s="10"/>
      <c r="AJ32" s="10"/>
      <c r="AK32" s="10"/>
      <c r="AL32" s="10"/>
      <c r="AM32" s="10"/>
      <c r="AN32" s="10"/>
      <c r="AO32" s="10">
        <v>22.2821</v>
      </c>
      <c r="AP32" s="10"/>
      <c r="AQ32" s="10">
        <v>18.006799999999998</v>
      </c>
      <c r="AR32" s="10"/>
      <c r="AS32" s="10">
        <v>11.549200000000001</v>
      </c>
      <c r="AT32" s="10"/>
      <c r="AU32" s="10">
        <v>56.554699999999997</v>
      </c>
      <c r="AV32" s="10"/>
      <c r="AW32" s="10">
        <v>185.85980000000001</v>
      </c>
      <c r="AX32" s="10"/>
      <c r="AY32" s="10">
        <v>226.42449999999999</v>
      </c>
      <c r="AZ32" s="10"/>
      <c r="BA32" s="10">
        <v>-9.7264999999999997</v>
      </c>
      <c r="BB32" s="10"/>
      <c r="BC32" s="10"/>
      <c r="BD32" s="10"/>
      <c r="BE32" s="10">
        <v>13.7035</v>
      </c>
      <c r="BF32" s="10"/>
      <c r="BG32" s="10">
        <v>32.473399999999998</v>
      </c>
      <c r="BH32" s="10">
        <v>497.15550000000002</v>
      </c>
      <c r="BI32" s="10"/>
    </row>
    <row r="33" spans="1:61" x14ac:dyDescent="0.2">
      <c r="A33" s="7" t="s">
        <v>207</v>
      </c>
      <c r="B33" s="11">
        <v>0.41789999999999999</v>
      </c>
      <c r="C33" s="11">
        <v>0.43490000000000001</v>
      </c>
      <c r="D33" s="11">
        <v>0.43659999999999999</v>
      </c>
      <c r="E33" s="11">
        <v>0.42249999999999999</v>
      </c>
      <c r="F33" s="11">
        <v>0.45150000000000001</v>
      </c>
      <c r="G33" s="11">
        <v>0.4249</v>
      </c>
      <c r="H33" s="11">
        <v>0.34129999999999999</v>
      </c>
      <c r="I33" s="11">
        <v>0.35410000000000003</v>
      </c>
      <c r="J33" s="11">
        <v>0.34970000000000001</v>
      </c>
      <c r="K33" s="11">
        <v>0.29060000000000002</v>
      </c>
      <c r="L33" s="11">
        <v>0.3614</v>
      </c>
      <c r="M33" s="11">
        <v>0.37190000000000001</v>
      </c>
      <c r="N33" s="11">
        <v>0.3992</v>
      </c>
      <c r="O33" s="11">
        <v>0.41889999999999999</v>
      </c>
      <c r="P33" s="11">
        <v>0.38740000000000002</v>
      </c>
      <c r="Q33" s="11">
        <v>0.42759999999999998</v>
      </c>
      <c r="R33" s="11">
        <v>0.66110000000000002</v>
      </c>
      <c r="S33" s="11">
        <v>0.68600000000000005</v>
      </c>
      <c r="T33" s="11">
        <v>0.61170000000000002</v>
      </c>
      <c r="U33" s="11">
        <v>0.70340000000000003</v>
      </c>
      <c r="V33" s="11">
        <v>0.71899999999999997</v>
      </c>
      <c r="W33" s="11">
        <v>0.70779999999999998</v>
      </c>
      <c r="X33" s="11">
        <v>0.55249999999999999</v>
      </c>
      <c r="Y33" s="11">
        <v>0.51470000000000005</v>
      </c>
      <c r="Z33" s="11">
        <v>0.45590000000000003</v>
      </c>
      <c r="AA33" s="11">
        <v>0.50349999999999995</v>
      </c>
      <c r="AB33" s="11">
        <v>0.47960000000000003</v>
      </c>
      <c r="AC33" s="11">
        <v>0.69169999999999998</v>
      </c>
      <c r="AD33" s="11">
        <v>0.75839999999999996</v>
      </c>
      <c r="AE33" s="11">
        <v>0.86770000000000003</v>
      </c>
      <c r="AF33" s="11">
        <v>0.82179999999999997</v>
      </c>
      <c r="AG33" s="11">
        <v>0.94969999999999999</v>
      </c>
      <c r="AH33" s="11">
        <v>0.77400000000000002</v>
      </c>
      <c r="AI33" s="11">
        <v>0.11700000000000001</v>
      </c>
      <c r="AJ33" s="11">
        <v>0.12520000000000001</v>
      </c>
      <c r="AK33" s="11">
        <v>0.13739999999999999</v>
      </c>
      <c r="AL33" s="11">
        <v>0.13789999999999999</v>
      </c>
      <c r="AM33" s="11">
        <v>0.13850000000000001</v>
      </c>
      <c r="AN33" s="11">
        <v>0.15440000000000001</v>
      </c>
      <c r="AO33" s="11">
        <v>0.16980000000000001</v>
      </c>
      <c r="AP33" s="11">
        <v>0.1371</v>
      </c>
      <c r="AQ33" s="11">
        <v>0.21199999999999999</v>
      </c>
      <c r="AR33" s="11">
        <v>0.20200000000000001</v>
      </c>
      <c r="AS33" s="11">
        <v>0.20330000000000001</v>
      </c>
      <c r="AT33" s="11">
        <v>0.35460000000000003</v>
      </c>
      <c r="AU33" s="11">
        <v>0.31819999999999998</v>
      </c>
      <c r="AV33" s="11">
        <v>0.36770000000000003</v>
      </c>
      <c r="AW33" s="11">
        <v>0.39800000000000002</v>
      </c>
      <c r="AX33" s="11">
        <v>0.20610000000000001</v>
      </c>
      <c r="AY33" s="11">
        <v>0.18809999999999999</v>
      </c>
      <c r="AZ33" s="11">
        <v>5.8900000000000001E-2</v>
      </c>
      <c r="BA33" s="11">
        <v>4.58E-2</v>
      </c>
      <c r="BB33" s="11">
        <v>5.5399999999999998E-2</v>
      </c>
      <c r="BC33" s="11">
        <v>7.3200000000000001E-2</v>
      </c>
      <c r="BD33" s="11">
        <v>0.14699999999999999</v>
      </c>
      <c r="BE33" s="11">
        <v>0.41839999999999999</v>
      </c>
      <c r="BF33" s="11">
        <v>0.52010000000000001</v>
      </c>
      <c r="BG33" s="11">
        <v>0.41909999999999997</v>
      </c>
      <c r="BH33" s="11">
        <v>0.77439999999999998</v>
      </c>
      <c r="BI33" s="11">
        <v>0.74239999999999995</v>
      </c>
    </row>
    <row r="34" spans="1:61" x14ac:dyDescent="0.2">
      <c r="A34" s="7" t="s">
        <v>208</v>
      </c>
      <c r="B34" s="10">
        <v>2.2538</v>
      </c>
      <c r="C34" s="10">
        <v>2.1642999999999999</v>
      </c>
      <c r="D34" s="10">
        <v>2.1579999999999999</v>
      </c>
      <c r="E34" s="10">
        <v>2.2317999999999998</v>
      </c>
      <c r="F34" s="10">
        <v>2.0935999999999999</v>
      </c>
      <c r="G34" s="10">
        <v>2.2216999999999998</v>
      </c>
      <c r="H34" s="10">
        <v>2.7627000000000002</v>
      </c>
      <c r="I34" s="10">
        <v>2.7256</v>
      </c>
      <c r="J34" s="10">
        <v>2.7614999999999998</v>
      </c>
      <c r="K34" s="10">
        <v>3.3527</v>
      </c>
      <c r="L34" s="10">
        <v>2.7406000000000001</v>
      </c>
      <c r="M34" s="10">
        <v>2.6616</v>
      </c>
      <c r="N34" s="10">
        <v>2.4813999999999998</v>
      </c>
      <c r="O34" s="10">
        <v>2.3645999999999998</v>
      </c>
      <c r="P34" s="10">
        <v>2.5567000000000002</v>
      </c>
      <c r="Q34" s="10">
        <v>2.3155999999999999</v>
      </c>
      <c r="R34" s="10">
        <v>1.4934000000000001</v>
      </c>
      <c r="S34" s="10">
        <v>1.4386000000000001</v>
      </c>
      <c r="T34" s="10">
        <v>1.6134999999999999</v>
      </c>
      <c r="U34" s="10">
        <v>1.4032</v>
      </c>
      <c r="V34" s="10">
        <v>1.3732</v>
      </c>
      <c r="W34" s="10">
        <v>1.3946000000000001</v>
      </c>
      <c r="X34" s="10">
        <v>1.8101</v>
      </c>
      <c r="Y34" s="10">
        <v>1.9429000000000001</v>
      </c>
      <c r="Z34" s="10">
        <v>2.1932</v>
      </c>
      <c r="AA34" s="10">
        <v>1.9863</v>
      </c>
      <c r="AB34" s="10">
        <v>2.0849000000000002</v>
      </c>
      <c r="AC34" s="10">
        <v>1.4458</v>
      </c>
      <c r="AD34" s="10">
        <v>1.3185</v>
      </c>
      <c r="AE34" s="10">
        <v>1.1525000000000001</v>
      </c>
      <c r="AF34" s="10">
        <v>1.2168000000000001</v>
      </c>
      <c r="AG34" s="10">
        <v>1.0529999999999999</v>
      </c>
      <c r="AH34" s="10">
        <v>1.292</v>
      </c>
      <c r="AI34" s="10">
        <v>8.5454000000000008</v>
      </c>
      <c r="AJ34" s="10">
        <v>7.9897</v>
      </c>
      <c r="AK34" s="10">
        <v>7.2774000000000001</v>
      </c>
      <c r="AL34" s="10">
        <v>7.2514000000000003</v>
      </c>
      <c r="AM34" s="10">
        <v>7.2224000000000004</v>
      </c>
      <c r="AN34" s="10">
        <v>6.4762000000000004</v>
      </c>
      <c r="AO34" s="10">
        <v>5.8880999999999997</v>
      </c>
      <c r="AP34" s="10">
        <v>7.2964000000000002</v>
      </c>
      <c r="AQ34" s="10">
        <v>4.7168000000000001</v>
      </c>
      <c r="AR34" s="10">
        <v>4.9501999999999997</v>
      </c>
      <c r="AS34" s="10">
        <v>4.9184000000000001</v>
      </c>
      <c r="AT34" s="10">
        <v>2.8203999999999998</v>
      </c>
      <c r="AU34" s="10">
        <v>3.1425999999999998</v>
      </c>
      <c r="AV34" s="10">
        <v>2.7195999999999998</v>
      </c>
      <c r="AW34" s="10">
        <v>2.5127000000000002</v>
      </c>
      <c r="AX34" s="10">
        <v>4.8517000000000001</v>
      </c>
      <c r="AY34" s="10">
        <v>5.3163999999999998</v>
      </c>
      <c r="AZ34" s="10">
        <v>16.964300000000001</v>
      </c>
      <c r="BA34" s="10">
        <v>21.83</v>
      </c>
      <c r="BB34" s="10">
        <v>18.0533</v>
      </c>
      <c r="BC34" s="10">
        <v>13.661300000000001</v>
      </c>
      <c r="BD34" s="10">
        <v>6.8048999999999999</v>
      </c>
      <c r="BE34" s="10">
        <v>2.3902000000000001</v>
      </c>
      <c r="BF34" s="10">
        <v>1.9229000000000001</v>
      </c>
      <c r="BG34" s="10">
        <v>2.3858999999999999</v>
      </c>
      <c r="BH34" s="10">
        <v>1.2912999999999999</v>
      </c>
      <c r="BI34" s="10">
        <v>1.3471</v>
      </c>
    </row>
    <row r="35" spans="1:61" x14ac:dyDescent="0.2">
      <c r="A35" s="7" t="s">
        <v>209</v>
      </c>
      <c r="B35" s="11">
        <v>14.3017</v>
      </c>
      <c r="C35" s="11">
        <v>8.0678000000000001</v>
      </c>
      <c r="D35" s="11">
        <v>7.4215</v>
      </c>
      <c r="E35" s="11">
        <v>7.0877999999999997</v>
      </c>
      <c r="F35" s="11">
        <v>8.7947000000000006</v>
      </c>
      <c r="G35" s="11">
        <v>11.340400000000001</v>
      </c>
      <c r="H35" s="11">
        <v>12.1297</v>
      </c>
      <c r="I35" s="11">
        <v>14.903</v>
      </c>
      <c r="J35" s="11">
        <v>10.241300000000001</v>
      </c>
      <c r="K35" s="11">
        <v>9.5078999999999994</v>
      </c>
      <c r="L35" s="11">
        <v>6.7205000000000004</v>
      </c>
      <c r="M35" s="11">
        <v>6.0589000000000004</v>
      </c>
      <c r="N35" s="11">
        <v>5.4535999999999998</v>
      </c>
      <c r="O35" s="11">
        <v>5.4981</v>
      </c>
      <c r="P35" s="11">
        <v>4.9413999999999998</v>
      </c>
      <c r="Q35" s="11">
        <v>4.4428000000000001</v>
      </c>
      <c r="R35" s="11">
        <v>2.5623999999999998</v>
      </c>
      <c r="S35" s="11">
        <v>2.4116</v>
      </c>
      <c r="T35" s="11">
        <v>3.5013000000000001</v>
      </c>
      <c r="U35" s="11">
        <v>2.7907000000000002</v>
      </c>
      <c r="V35" s="11">
        <v>3.1747000000000001</v>
      </c>
      <c r="W35" s="11">
        <v>3.4306999999999999</v>
      </c>
      <c r="X35" s="11">
        <v>3.9653</v>
      </c>
      <c r="Y35" s="11">
        <v>4.9520999999999997</v>
      </c>
      <c r="Z35" s="11">
        <v>4.4695999999999998</v>
      </c>
      <c r="AA35" s="11">
        <v>3.6263000000000001</v>
      </c>
      <c r="AB35" s="11">
        <v>3.4733999999999998</v>
      </c>
      <c r="AC35" s="11">
        <v>2.7742</v>
      </c>
      <c r="AD35" s="11">
        <v>2.6261999999999999</v>
      </c>
      <c r="AE35" s="11">
        <v>3.1147999999999998</v>
      </c>
      <c r="AF35" s="11">
        <v>4.1741999999999999</v>
      </c>
      <c r="AG35" s="11">
        <v>3.92</v>
      </c>
      <c r="AH35" s="11">
        <v>3.9186999999999999</v>
      </c>
      <c r="AI35" s="11">
        <v>71.985600000000005</v>
      </c>
      <c r="AJ35" s="11">
        <v>74.798299999999998</v>
      </c>
      <c r="AK35" s="11">
        <v>71.188699999999997</v>
      </c>
      <c r="AL35" s="11"/>
      <c r="AM35" s="11"/>
      <c r="AN35" s="11"/>
      <c r="AO35" s="11"/>
      <c r="AP35" s="11"/>
      <c r="AQ35" s="11">
        <v>17.990300000000001</v>
      </c>
      <c r="AR35" s="11">
        <v>18.111699999999999</v>
      </c>
      <c r="AS35" s="11">
        <v>18.165199999999999</v>
      </c>
      <c r="AT35" s="11">
        <v>17.673300000000001</v>
      </c>
      <c r="AU35" s="11"/>
      <c r="AV35" s="11">
        <v>37.292000000000002</v>
      </c>
      <c r="AW35" s="11">
        <v>27.169699999999999</v>
      </c>
      <c r="AX35" s="11"/>
      <c r="AY35" s="11"/>
      <c r="AZ35" s="11">
        <v>130.489</v>
      </c>
      <c r="BA35" s="11"/>
      <c r="BB35" s="11"/>
      <c r="BC35" s="11"/>
      <c r="BD35" s="11">
        <v>12.9945</v>
      </c>
      <c r="BE35" s="11">
        <v>5.1726000000000001</v>
      </c>
      <c r="BF35" s="11">
        <v>4.4831000000000003</v>
      </c>
      <c r="BG35" s="11">
        <v>7.7846000000000002</v>
      </c>
      <c r="BH35" s="11"/>
      <c r="BI35" s="11"/>
    </row>
    <row r="36" spans="1:61" x14ac:dyDescent="0.2">
      <c r="A36" s="7" t="s">
        <v>210</v>
      </c>
      <c r="B36" s="10">
        <v>1.954</v>
      </c>
      <c r="C36" s="10">
        <v>1.8683000000000001</v>
      </c>
      <c r="D36" s="10">
        <v>1.8466</v>
      </c>
      <c r="E36" s="10">
        <v>1.8796999999999999</v>
      </c>
      <c r="F36" s="10">
        <v>1.7394000000000001</v>
      </c>
      <c r="G36" s="10">
        <v>1.8398000000000001</v>
      </c>
      <c r="H36" s="10">
        <v>2.2961</v>
      </c>
      <c r="I36" s="10">
        <v>2.2168999999999999</v>
      </c>
      <c r="J36" s="10">
        <v>2.2063999999999999</v>
      </c>
      <c r="K36" s="10">
        <v>2.6758999999999999</v>
      </c>
      <c r="L36" s="10">
        <v>2.1873999999999998</v>
      </c>
      <c r="M36" s="10">
        <v>2.1021999999999998</v>
      </c>
      <c r="N36" s="10">
        <v>1.9493</v>
      </c>
      <c r="O36" s="10">
        <v>1.8508</v>
      </c>
      <c r="P36" s="10">
        <v>2.0127000000000002</v>
      </c>
      <c r="Q36" s="10">
        <v>1.8180000000000001</v>
      </c>
      <c r="R36" s="10">
        <v>1.0451999999999999</v>
      </c>
      <c r="S36" s="10">
        <v>0.99660000000000004</v>
      </c>
      <c r="T36" s="10">
        <v>1.1132</v>
      </c>
      <c r="U36" s="10">
        <v>0.98260000000000003</v>
      </c>
      <c r="V36" s="10">
        <v>0.94679999999999997</v>
      </c>
      <c r="W36" s="10">
        <v>0.93810000000000004</v>
      </c>
      <c r="X36" s="10">
        <v>1.2599</v>
      </c>
      <c r="Y36" s="10">
        <v>1.3343</v>
      </c>
      <c r="Z36" s="10">
        <v>1.4782999999999999</v>
      </c>
      <c r="AA36" s="10">
        <v>1.3171999999999999</v>
      </c>
      <c r="AB36" s="10">
        <v>1.3844000000000001</v>
      </c>
      <c r="AC36" s="10">
        <v>0.79139999999999999</v>
      </c>
      <c r="AD36" s="10">
        <v>0.69750000000000001</v>
      </c>
      <c r="AE36" s="10">
        <v>0.58299999999999996</v>
      </c>
      <c r="AF36" s="10">
        <v>0.58160000000000001</v>
      </c>
      <c r="AG36" s="10">
        <v>0.4758</v>
      </c>
      <c r="AH36" s="10">
        <v>0.64970000000000006</v>
      </c>
      <c r="AI36" s="10">
        <v>7.0982000000000003</v>
      </c>
      <c r="AJ36" s="10">
        <v>6.5755999999999997</v>
      </c>
      <c r="AK36" s="10">
        <v>5.9634</v>
      </c>
      <c r="AL36" s="10">
        <v>5.8872</v>
      </c>
      <c r="AM36" s="10">
        <v>5.8413000000000004</v>
      </c>
      <c r="AN36" s="10">
        <v>5.1313000000000004</v>
      </c>
      <c r="AO36" s="10">
        <v>4.6478000000000002</v>
      </c>
      <c r="AP36" s="10">
        <v>5.7175000000000002</v>
      </c>
      <c r="AQ36" s="10">
        <v>3.6751</v>
      </c>
      <c r="AR36" s="10">
        <v>3.8367</v>
      </c>
      <c r="AS36" s="10">
        <v>3.7877000000000001</v>
      </c>
      <c r="AT36" s="10">
        <v>1.8036000000000001</v>
      </c>
      <c r="AU36" s="10">
        <v>1.9736</v>
      </c>
      <c r="AV36" s="10">
        <v>1.7012</v>
      </c>
      <c r="AW36" s="10">
        <v>1.5384</v>
      </c>
      <c r="AX36" s="10">
        <v>3.5684</v>
      </c>
      <c r="AY36" s="10">
        <v>3.8767999999999998</v>
      </c>
      <c r="AZ36" s="10">
        <v>16.037600000000001</v>
      </c>
      <c r="BA36" s="10">
        <v>20.597999999999999</v>
      </c>
      <c r="BB36" s="10">
        <v>17.065000000000001</v>
      </c>
      <c r="BC36" s="10">
        <v>12.9001</v>
      </c>
      <c r="BD36" s="10">
        <v>6.4321999999999999</v>
      </c>
      <c r="BE36" s="10">
        <v>2.0594999999999999</v>
      </c>
      <c r="BF36" s="10">
        <v>1.6133999999999999</v>
      </c>
      <c r="BG36" s="10">
        <v>1.9393</v>
      </c>
      <c r="BH36" s="10">
        <v>1.1149</v>
      </c>
      <c r="BI36" s="10">
        <v>1.2564</v>
      </c>
    </row>
    <row r="37" spans="1:61" x14ac:dyDescent="0.2">
      <c r="A37" s="7" t="s">
        <v>211</v>
      </c>
      <c r="B37" s="11">
        <v>12.3994</v>
      </c>
      <c r="C37" s="11">
        <v>6.9642999999999997</v>
      </c>
      <c r="D37" s="11">
        <v>6.3506999999999998</v>
      </c>
      <c r="E37" s="11">
        <v>5.9695</v>
      </c>
      <c r="F37" s="11">
        <v>7.3067000000000002</v>
      </c>
      <c r="G37" s="11">
        <v>9.3912999999999993</v>
      </c>
      <c r="H37" s="11">
        <v>10.081200000000001</v>
      </c>
      <c r="I37" s="11">
        <v>12.121499999999999</v>
      </c>
      <c r="J37" s="11">
        <v>8.1824999999999992</v>
      </c>
      <c r="K37" s="11">
        <v>7.5884</v>
      </c>
      <c r="L37" s="11">
        <v>5.3639000000000001</v>
      </c>
      <c r="M37" s="11">
        <v>4.7854999999999999</v>
      </c>
      <c r="N37" s="11">
        <v>4.2842000000000002</v>
      </c>
      <c r="O37" s="11">
        <v>4.3034999999999997</v>
      </c>
      <c r="P37" s="11">
        <v>3.8900999999999999</v>
      </c>
      <c r="Q37" s="11">
        <v>3.4881000000000002</v>
      </c>
      <c r="R37" s="11">
        <v>1.7935000000000001</v>
      </c>
      <c r="S37" s="11">
        <v>1.6707000000000001</v>
      </c>
      <c r="T37" s="11">
        <v>2.4157000000000002</v>
      </c>
      <c r="U37" s="11">
        <v>1.9541999999999999</v>
      </c>
      <c r="V37" s="11">
        <v>2.1888999999999998</v>
      </c>
      <c r="W37" s="11">
        <v>2.3077999999999999</v>
      </c>
      <c r="X37" s="11">
        <v>2.7601</v>
      </c>
      <c r="Y37" s="11">
        <v>3.4009999999999998</v>
      </c>
      <c r="Z37" s="11">
        <v>3.0125999999999999</v>
      </c>
      <c r="AA37" s="11">
        <v>2.4047000000000001</v>
      </c>
      <c r="AB37" s="11">
        <v>2.3064</v>
      </c>
      <c r="AC37" s="11">
        <v>1.5185999999999999</v>
      </c>
      <c r="AD37" s="11">
        <v>1.3893</v>
      </c>
      <c r="AE37" s="11">
        <v>1.5755999999999999</v>
      </c>
      <c r="AF37" s="11">
        <v>1.9952000000000001</v>
      </c>
      <c r="AG37" s="11">
        <v>1.7710999999999999</v>
      </c>
      <c r="AH37" s="11">
        <v>1.9706999999999999</v>
      </c>
      <c r="AI37" s="11">
        <v>59.794499999999999</v>
      </c>
      <c r="AJ37" s="11">
        <v>61.56</v>
      </c>
      <c r="AK37" s="11">
        <v>58.335099999999997</v>
      </c>
      <c r="AL37" s="11"/>
      <c r="AM37" s="11"/>
      <c r="AN37" s="11"/>
      <c r="AO37" s="11"/>
      <c r="AP37" s="11"/>
      <c r="AQ37" s="11">
        <v>14.017200000000001</v>
      </c>
      <c r="AR37" s="11">
        <v>14.037699999999999</v>
      </c>
      <c r="AS37" s="11">
        <v>13.9893</v>
      </c>
      <c r="AT37" s="11">
        <v>11.3018</v>
      </c>
      <c r="AU37" s="11"/>
      <c r="AV37" s="11">
        <v>23.327300000000001</v>
      </c>
      <c r="AW37" s="11">
        <v>16.635100000000001</v>
      </c>
      <c r="AX37" s="11"/>
      <c r="AY37" s="11"/>
      <c r="AZ37" s="11">
        <v>123.36060000000001</v>
      </c>
      <c r="BA37" s="11"/>
      <c r="BB37" s="11"/>
      <c r="BC37" s="11"/>
      <c r="BD37" s="11">
        <v>12.2827</v>
      </c>
      <c r="BE37" s="11">
        <v>4.4569000000000001</v>
      </c>
      <c r="BF37" s="11">
        <v>3.7616000000000001</v>
      </c>
      <c r="BG37" s="11">
        <v>6.3276000000000003</v>
      </c>
      <c r="BH37" s="11"/>
      <c r="BI37" s="11"/>
    </row>
    <row r="38" spans="1:61" x14ac:dyDescent="0.2">
      <c r="A38" s="7" t="s">
        <v>212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v>2.8574000000000002</v>
      </c>
      <c r="S38" s="10">
        <v>2.7490999999999999</v>
      </c>
      <c r="T38" s="10">
        <v>3.9034</v>
      </c>
      <c r="U38" s="10">
        <v>4.8144</v>
      </c>
      <c r="V38" s="10">
        <v>5.0932000000000004</v>
      </c>
      <c r="W38" s="10">
        <v>7.1814</v>
      </c>
      <c r="X38" s="10">
        <v>6.1382000000000003</v>
      </c>
      <c r="Y38" s="10">
        <v>29.28</v>
      </c>
      <c r="Z38" s="10">
        <v>14.642899999999999</v>
      </c>
      <c r="AA38" s="10"/>
      <c r="AB38" s="10"/>
      <c r="AC38" s="10">
        <v>3.8418000000000001</v>
      </c>
      <c r="AD38" s="10">
        <v>2.9611999999999998</v>
      </c>
      <c r="AE38" s="10">
        <v>11.7326</v>
      </c>
      <c r="AF38" s="10">
        <v>5.1224999999999996</v>
      </c>
      <c r="AG38" s="10">
        <v>27.987500000000001</v>
      </c>
      <c r="AH38" s="10">
        <v>53.558500000000002</v>
      </c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>
        <v>66.742000000000004</v>
      </c>
      <c r="BF38" s="10"/>
      <c r="BG38" s="10"/>
      <c r="BH38" s="10"/>
      <c r="BI38" s="10"/>
    </row>
    <row r="39" spans="1:61" x14ac:dyDescent="0.2">
      <c r="A39" s="7" t="s">
        <v>213</v>
      </c>
      <c r="B39" s="11"/>
      <c r="C39" s="11">
        <v>0.49409999999999998</v>
      </c>
      <c r="D39" s="11"/>
      <c r="E39" s="11">
        <v>0.78280000000000005</v>
      </c>
      <c r="F39" s="11"/>
      <c r="G39" s="11">
        <v>0.41699999999999998</v>
      </c>
      <c r="H39" s="11"/>
      <c r="I39" s="11">
        <v>0.56479999999999997</v>
      </c>
      <c r="J39" s="11"/>
      <c r="K39" s="11">
        <v>0.24579999999999999</v>
      </c>
      <c r="L39" s="11"/>
      <c r="M39" s="11">
        <v>0.41670000000000001</v>
      </c>
      <c r="N39" s="11"/>
      <c r="O39" s="11">
        <v>0.15740000000000001</v>
      </c>
      <c r="P39" s="11"/>
      <c r="Q39" s="11">
        <v>0.29499999999999998</v>
      </c>
      <c r="R39" s="11"/>
      <c r="S39" s="11">
        <v>0.1072</v>
      </c>
      <c r="T39" s="11"/>
      <c r="U39" s="11">
        <v>0.24529999999999999</v>
      </c>
      <c r="V39" s="11"/>
      <c r="W39" s="11">
        <v>0.1183</v>
      </c>
      <c r="X39" s="11"/>
      <c r="Y39" s="11">
        <v>0.23980000000000001</v>
      </c>
      <c r="Z39" s="11"/>
      <c r="AA39" s="11">
        <v>0.111</v>
      </c>
      <c r="AB39" s="11"/>
      <c r="AC39" s="11">
        <v>0.28539999999999999</v>
      </c>
      <c r="AD39" s="11"/>
      <c r="AE39" s="11">
        <v>0.1278</v>
      </c>
      <c r="AF39" s="11"/>
      <c r="AG39" s="11">
        <v>8.48E-2</v>
      </c>
      <c r="AH39" s="11"/>
      <c r="AI39" s="11">
        <v>0.29480000000000001</v>
      </c>
      <c r="AJ39" s="11"/>
      <c r="AK39" s="11">
        <v>0.54259999999999997</v>
      </c>
      <c r="AL39" s="11"/>
      <c r="AM39" s="11">
        <v>0.22289999999999999</v>
      </c>
      <c r="AN39" s="11"/>
      <c r="AO39" s="11">
        <v>0.35</v>
      </c>
      <c r="AP39" s="11"/>
      <c r="AQ39" s="11">
        <v>6.6199999999999995E-2</v>
      </c>
      <c r="AR39" s="11"/>
      <c r="AS39" s="11">
        <v>0.2671</v>
      </c>
      <c r="AT39" s="11"/>
      <c r="AU39" s="11">
        <v>6.8000000000000005E-2</v>
      </c>
      <c r="AV39" s="11"/>
      <c r="AW39" s="11">
        <v>0.1527</v>
      </c>
      <c r="AX39" s="11"/>
      <c r="AY39" s="11">
        <v>0.26240000000000002</v>
      </c>
      <c r="AZ39" s="11"/>
      <c r="BA39" s="11">
        <v>1.6591</v>
      </c>
      <c r="BB39" s="11"/>
      <c r="BC39" s="11">
        <v>0.84899999999999998</v>
      </c>
      <c r="BD39" s="11"/>
      <c r="BE39" s="11">
        <v>0.79479999999999995</v>
      </c>
      <c r="BF39" s="11"/>
      <c r="BG39" s="11">
        <v>0.82640000000000002</v>
      </c>
      <c r="BH39" s="11">
        <v>0.56389999999999996</v>
      </c>
      <c r="BI39" s="11"/>
    </row>
    <row r="40" spans="1:61" x14ac:dyDescent="0.2">
      <c r="A40" s="7" t="s">
        <v>214</v>
      </c>
      <c r="B40" s="10">
        <v>0.46589999999999998</v>
      </c>
      <c r="C40" s="10">
        <v>0.30530000000000002</v>
      </c>
      <c r="D40" s="10">
        <v>0.22550000000000001</v>
      </c>
      <c r="E40" s="10">
        <v>0.36909999999999998</v>
      </c>
      <c r="F40" s="10">
        <v>0.156</v>
      </c>
      <c r="G40" s="10">
        <v>0.13289999999999999</v>
      </c>
      <c r="H40" s="10">
        <v>0.1144</v>
      </c>
      <c r="I40" s="10">
        <v>0.36259999999999998</v>
      </c>
      <c r="J40" s="10">
        <v>0.29360000000000003</v>
      </c>
      <c r="K40" s="10">
        <v>0.2984</v>
      </c>
      <c r="L40" s="10">
        <v>0.11070000000000001</v>
      </c>
      <c r="M40" s="10">
        <v>0.54569999999999996</v>
      </c>
      <c r="N40" s="10">
        <v>0.30769999999999997</v>
      </c>
      <c r="O40" s="10">
        <v>0.2462</v>
      </c>
      <c r="P40" s="10">
        <v>0.19620000000000001</v>
      </c>
      <c r="Q40" s="10">
        <v>0.1638</v>
      </c>
      <c r="R40" s="10">
        <v>6.1699999999999998E-2</v>
      </c>
      <c r="S40" s="10">
        <v>5.9999999999999995E-4</v>
      </c>
      <c r="T40" s="10">
        <v>-2.63E-2</v>
      </c>
      <c r="U40" s="10">
        <v>3.8999999999999998E-3</v>
      </c>
      <c r="V40" s="10">
        <v>-2.47E-2</v>
      </c>
      <c r="W40" s="10">
        <v>-4.19E-2</v>
      </c>
      <c r="X40" s="10">
        <v>-8.72E-2</v>
      </c>
      <c r="Y40" s="10">
        <v>0.15970000000000001</v>
      </c>
      <c r="Z40" s="10">
        <v>8.0199999999999994E-2</v>
      </c>
      <c r="AA40" s="10">
        <v>3.09E-2</v>
      </c>
      <c r="AB40" s="10">
        <v>-4.6100000000000002E-2</v>
      </c>
      <c r="AC40" s="10">
        <v>0.19980000000000001</v>
      </c>
      <c r="AD40" s="10">
        <v>0.09</v>
      </c>
      <c r="AE40" s="10">
        <v>5.8799999999999998E-2</v>
      </c>
      <c r="AF40" s="10">
        <v>-1.29E-2</v>
      </c>
      <c r="AG40" s="10">
        <v>1.09E-2</v>
      </c>
      <c r="AH40" s="10">
        <v>2.5000000000000001E-3</v>
      </c>
      <c r="AI40" s="10">
        <v>0.16220000000000001</v>
      </c>
      <c r="AJ40" s="10">
        <v>5.9900000000000002E-2</v>
      </c>
      <c r="AK40" s="10">
        <v>0.443</v>
      </c>
      <c r="AL40" s="10">
        <v>-0.84599999999999997</v>
      </c>
      <c r="AM40" s="10">
        <v>0.3412</v>
      </c>
      <c r="AN40" s="10">
        <v>1.61E-2</v>
      </c>
      <c r="AO40" s="10">
        <v>0.28970000000000001</v>
      </c>
      <c r="AP40" s="10">
        <v>0.13350000000000001</v>
      </c>
      <c r="AQ40" s="10">
        <v>0.16109999999999999</v>
      </c>
      <c r="AR40" s="10">
        <v>0.2263</v>
      </c>
      <c r="AS40" s="10">
        <v>8.2299999999999998E-2</v>
      </c>
      <c r="AT40" s="10">
        <v>5.62E-2</v>
      </c>
      <c r="AU40" s="10">
        <v>0.12909999999999999</v>
      </c>
      <c r="AV40" s="10">
        <v>2.41E-2</v>
      </c>
      <c r="AW40" s="10">
        <v>0.1716</v>
      </c>
      <c r="AX40" s="10">
        <v>0.3498</v>
      </c>
      <c r="AY40" s="10">
        <v>0.22409999999999999</v>
      </c>
      <c r="AZ40" s="10">
        <v>0.23150000000000001</v>
      </c>
      <c r="BA40" s="10">
        <v>-0.55630000000000002</v>
      </c>
      <c r="BB40" s="10">
        <v>-0.74439999999999995</v>
      </c>
      <c r="BC40" s="10">
        <v>-0.76770000000000005</v>
      </c>
      <c r="BD40" s="10">
        <v>-0.18110000000000001</v>
      </c>
      <c r="BE40" s="10">
        <v>0.38150000000000001</v>
      </c>
      <c r="BF40" s="10">
        <v>0.23849999999999999</v>
      </c>
      <c r="BG40" s="10">
        <v>0.495</v>
      </c>
      <c r="BH40" s="10">
        <v>0.51480000000000004</v>
      </c>
      <c r="BI40" s="10">
        <v>0.41439999999999999</v>
      </c>
    </row>
    <row r="41" spans="1:61" x14ac:dyDescent="0.2">
      <c r="A41" s="7" t="s">
        <v>215</v>
      </c>
      <c r="B41" s="11">
        <v>2.9561999999999999</v>
      </c>
      <c r="C41" s="11">
        <v>1.1378999999999999</v>
      </c>
      <c r="D41" s="11">
        <v>0.77549999999999997</v>
      </c>
      <c r="E41" s="11">
        <v>1.1722999999999999</v>
      </c>
      <c r="F41" s="11">
        <v>0.65510000000000002</v>
      </c>
      <c r="G41" s="11">
        <v>0.67849999999999999</v>
      </c>
      <c r="H41" s="11">
        <v>0.50239999999999996</v>
      </c>
      <c r="I41" s="11">
        <v>1.9824999999999999</v>
      </c>
      <c r="J41" s="11">
        <v>1.0888</v>
      </c>
      <c r="K41" s="11">
        <v>0.84630000000000005</v>
      </c>
      <c r="L41" s="11">
        <v>0.27150000000000002</v>
      </c>
      <c r="M41" s="11">
        <v>1.2422</v>
      </c>
      <c r="N41" s="11">
        <v>0.67620000000000002</v>
      </c>
      <c r="O41" s="11">
        <v>0.57240000000000002</v>
      </c>
      <c r="P41" s="11">
        <v>0.37919999999999998</v>
      </c>
      <c r="Q41" s="11">
        <v>0.31430000000000002</v>
      </c>
      <c r="R41" s="11">
        <v>0.10580000000000001</v>
      </c>
      <c r="S41" s="11">
        <v>1.1000000000000001E-3</v>
      </c>
      <c r="T41" s="11">
        <v>-5.7099999999999998E-2</v>
      </c>
      <c r="U41" s="11">
        <v>7.7000000000000002E-3</v>
      </c>
      <c r="V41" s="11">
        <v>-5.7000000000000002E-2</v>
      </c>
      <c r="W41" s="11">
        <v>-0.10299999999999999</v>
      </c>
      <c r="X41" s="11">
        <v>-0.191</v>
      </c>
      <c r="Y41" s="11">
        <v>0.40710000000000002</v>
      </c>
      <c r="Z41" s="11">
        <v>0.16339999999999999</v>
      </c>
      <c r="AA41" s="11">
        <v>5.6399999999999999E-2</v>
      </c>
      <c r="AB41" s="11">
        <v>-7.6700000000000004E-2</v>
      </c>
      <c r="AC41" s="11">
        <v>0.38329999999999997</v>
      </c>
      <c r="AD41" s="11">
        <v>0.1792</v>
      </c>
      <c r="AE41" s="11">
        <v>0.159</v>
      </c>
      <c r="AF41" s="11">
        <v>-4.4299999999999999E-2</v>
      </c>
      <c r="AG41" s="11">
        <v>4.0500000000000001E-2</v>
      </c>
      <c r="AH41" s="11">
        <v>7.4999999999999997E-3</v>
      </c>
      <c r="AI41" s="11">
        <v>1.3667</v>
      </c>
      <c r="AJ41" s="11">
        <v>0.56059999999999999</v>
      </c>
      <c r="AK41" s="11">
        <v>4.3337000000000003</v>
      </c>
      <c r="AL41" s="11"/>
      <c r="AM41" s="11"/>
      <c r="AN41" s="11"/>
      <c r="AO41" s="11"/>
      <c r="AP41" s="11"/>
      <c r="AQ41" s="11">
        <v>0.61450000000000005</v>
      </c>
      <c r="AR41" s="11">
        <v>0.82809999999999995</v>
      </c>
      <c r="AS41" s="11">
        <v>0.30380000000000001</v>
      </c>
      <c r="AT41" s="11">
        <v>0.35220000000000001</v>
      </c>
      <c r="AU41" s="11"/>
      <c r="AV41" s="11">
        <v>0.33050000000000002</v>
      </c>
      <c r="AW41" s="11">
        <v>1.855</v>
      </c>
      <c r="AX41" s="11"/>
      <c r="AY41" s="11"/>
      <c r="AZ41" s="11">
        <v>1.7804</v>
      </c>
      <c r="BA41" s="11"/>
      <c r="BB41" s="11"/>
      <c r="BC41" s="11"/>
      <c r="BD41" s="11">
        <v>-0.34570000000000001</v>
      </c>
      <c r="BE41" s="11">
        <v>0.82550000000000001</v>
      </c>
      <c r="BF41" s="11">
        <v>0.55600000000000005</v>
      </c>
      <c r="BG41" s="11">
        <v>1.6151</v>
      </c>
      <c r="BH41" s="11"/>
      <c r="BI41" s="11"/>
    </row>
    <row r="42" spans="1:61" x14ac:dyDescent="0.2">
      <c r="A42" s="7" t="s">
        <v>216</v>
      </c>
      <c r="B42" s="10">
        <v>0.59899999999999998</v>
      </c>
      <c r="C42" s="10">
        <v>0.40379999999999999</v>
      </c>
      <c r="D42" s="10">
        <v>0.28960000000000002</v>
      </c>
      <c r="E42" s="10">
        <v>0.48709999999999998</v>
      </c>
      <c r="F42" s="10">
        <v>0.18959999999999999</v>
      </c>
      <c r="G42" s="10">
        <v>0.17949999999999999</v>
      </c>
      <c r="H42" s="10">
        <v>0.14330000000000001</v>
      </c>
      <c r="I42" s="10">
        <v>0.43509999999999999</v>
      </c>
      <c r="J42" s="10">
        <v>0.3931</v>
      </c>
      <c r="K42" s="10">
        <v>0.40100000000000002</v>
      </c>
      <c r="L42" s="10">
        <v>0.14949999999999999</v>
      </c>
      <c r="M42" s="10">
        <v>0.75019999999999998</v>
      </c>
      <c r="N42" s="10">
        <v>0.45269999999999999</v>
      </c>
      <c r="O42" s="10">
        <v>0.32879999999999998</v>
      </c>
      <c r="P42" s="10">
        <v>0.32129999999999997</v>
      </c>
      <c r="Q42" s="10">
        <v>0.25669999999999998</v>
      </c>
      <c r="R42" s="10">
        <v>8.7400000000000005E-2</v>
      </c>
      <c r="S42" s="10">
        <v>1E-3</v>
      </c>
      <c r="T42" s="10">
        <v>-4.4499999999999998E-2</v>
      </c>
      <c r="U42" s="10">
        <v>5.7000000000000002E-3</v>
      </c>
      <c r="V42" s="10">
        <v>-3.3500000000000002E-2</v>
      </c>
      <c r="W42" s="10">
        <v>-5.2400000000000002E-2</v>
      </c>
      <c r="X42" s="10">
        <v>-0.1124</v>
      </c>
      <c r="Y42" s="10">
        <v>0.20150000000000001</v>
      </c>
      <c r="Z42" s="10">
        <v>0.1132</v>
      </c>
      <c r="AA42" s="10">
        <v>4.2599999999999999E-2</v>
      </c>
      <c r="AB42" s="10">
        <v>-5.3699999999999998E-2</v>
      </c>
      <c r="AC42" s="10">
        <v>0.23019999999999999</v>
      </c>
      <c r="AD42" s="10">
        <v>0.1048</v>
      </c>
      <c r="AE42" s="10">
        <v>7.85E-2</v>
      </c>
      <c r="AF42" s="10">
        <v>-1.9E-2</v>
      </c>
      <c r="AG42" s="10">
        <v>1.4E-2</v>
      </c>
      <c r="AH42" s="10">
        <v>3.0999999999999999E-3</v>
      </c>
      <c r="AI42" s="10">
        <v>0.18729999999999999</v>
      </c>
      <c r="AJ42" s="10">
        <v>6.8699999999999997E-2</v>
      </c>
      <c r="AK42" s="10">
        <v>0.50239999999999996</v>
      </c>
      <c r="AL42" s="10">
        <v>-1.0903</v>
      </c>
      <c r="AM42" s="10">
        <v>0.4375</v>
      </c>
      <c r="AN42" s="10">
        <v>2.0299999999999999E-2</v>
      </c>
      <c r="AO42" s="10">
        <v>0.4073</v>
      </c>
      <c r="AP42" s="10">
        <v>0.18779999999999999</v>
      </c>
      <c r="AQ42" s="10">
        <v>0.1953</v>
      </c>
      <c r="AR42" s="10">
        <v>0.32400000000000001</v>
      </c>
      <c r="AS42" s="10">
        <v>0.1216</v>
      </c>
      <c r="AT42" s="10">
        <v>0.156</v>
      </c>
      <c r="AU42" s="10">
        <v>0.44119999999999998</v>
      </c>
      <c r="AV42" s="10">
        <v>6.6799999999999998E-2</v>
      </c>
      <c r="AW42" s="10">
        <v>0.50360000000000005</v>
      </c>
      <c r="AX42" s="10">
        <v>0.96399999999999997</v>
      </c>
      <c r="AY42" s="10">
        <v>0.74539999999999995</v>
      </c>
      <c r="AZ42" s="10">
        <v>0.25319999999999998</v>
      </c>
      <c r="BA42" s="10">
        <v>-0.62760000000000005</v>
      </c>
      <c r="BB42" s="10">
        <v>-0.74439999999999995</v>
      </c>
      <c r="BC42" s="10">
        <v>-0.76770000000000005</v>
      </c>
      <c r="BD42" s="10">
        <v>-0.18110000000000001</v>
      </c>
      <c r="BE42" s="10">
        <v>0.38150000000000001</v>
      </c>
      <c r="BF42" s="10">
        <v>0.23849999999999999</v>
      </c>
      <c r="BG42" s="10">
        <v>0.495</v>
      </c>
      <c r="BH42" s="10">
        <v>0.51480000000000004</v>
      </c>
      <c r="BI42" s="10">
        <v>0.41439999999999999</v>
      </c>
    </row>
    <row r="43" spans="1:61" x14ac:dyDescent="0.2">
      <c r="A43" s="7" t="s">
        <v>217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0.16850000000000001</v>
      </c>
      <c r="S43" s="11">
        <v>1.8E-3</v>
      </c>
      <c r="T43" s="11">
        <v>-9.2200000000000004E-2</v>
      </c>
      <c r="U43" s="11">
        <v>1.89E-2</v>
      </c>
      <c r="V43" s="11">
        <v>-0.13270000000000001</v>
      </c>
      <c r="W43" s="11">
        <v>-0.3206</v>
      </c>
      <c r="X43" s="11">
        <v>-0.42480000000000001</v>
      </c>
      <c r="Y43" s="11">
        <v>3.5051999999999999</v>
      </c>
      <c r="Z43" s="11">
        <v>0.79410000000000003</v>
      </c>
      <c r="AA43" s="11"/>
      <c r="AB43" s="11"/>
      <c r="AC43" s="11">
        <v>0.9698</v>
      </c>
      <c r="AD43" s="11">
        <v>0.38190000000000002</v>
      </c>
      <c r="AE43" s="11">
        <v>1.1839</v>
      </c>
      <c r="AF43" s="11">
        <v>-0.11360000000000001</v>
      </c>
      <c r="AG43" s="11">
        <v>0.63949999999999996</v>
      </c>
      <c r="AH43" s="11">
        <v>0.2039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>
        <v>12.361700000000001</v>
      </c>
      <c r="BF43" s="11"/>
      <c r="BG43" s="11"/>
      <c r="BH43" s="11"/>
      <c r="BI43" s="11"/>
    </row>
    <row r="44" spans="1:61" x14ac:dyDescent="0.2">
      <c r="A44" s="7" t="s">
        <v>218</v>
      </c>
      <c r="B44" s="10">
        <v>2.0960999999999999</v>
      </c>
      <c r="C44" s="10">
        <v>1.2511000000000001</v>
      </c>
      <c r="D44" s="10">
        <v>1.018</v>
      </c>
      <c r="E44" s="10">
        <v>1.5243</v>
      </c>
      <c r="F44" s="10">
        <v>0.87780000000000002</v>
      </c>
      <c r="G44" s="10">
        <v>0.51200000000000001</v>
      </c>
      <c r="H44" s="10">
        <v>0.5675</v>
      </c>
      <c r="I44" s="10">
        <v>2.1762000000000001</v>
      </c>
      <c r="J44" s="10">
        <v>1.1599999999999999</v>
      </c>
      <c r="K44" s="10">
        <v>1.1662999999999999</v>
      </c>
      <c r="L44" s="10">
        <v>0.42709999999999998</v>
      </c>
      <c r="M44" s="10">
        <v>2.0011999999999999</v>
      </c>
      <c r="N44" s="10">
        <v>0.96050000000000002</v>
      </c>
      <c r="O44" s="10">
        <v>0.97940000000000005</v>
      </c>
      <c r="P44" s="10">
        <v>0.50380000000000003</v>
      </c>
      <c r="Q44" s="10">
        <v>0.4526</v>
      </c>
      <c r="R44" s="10">
        <v>0.2092</v>
      </c>
      <c r="S44" s="10">
        <v>1.9E-3</v>
      </c>
      <c r="T44" s="10">
        <v>-6.4299999999999996E-2</v>
      </c>
      <c r="U44" s="10">
        <v>1.17E-2</v>
      </c>
      <c r="V44" s="10">
        <v>-9.3799999999999994E-2</v>
      </c>
      <c r="W44" s="10">
        <v>-0.20830000000000001</v>
      </c>
      <c r="X44" s="10">
        <v>-0.38940000000000002</v>
      </c>
      <c r="Y44" s="10">
        <v>0.77070000000000005</v>
      </c>
      <c r="Z44" s="10">
        <v>0.27479999999999999</v>
      </c>
      <c r="AA44" s="10">
        <v>0.1123</v>
      </c>
      <c r="AB44" s="10">
        <v>-0.32519999999999999</v>
      </c>
      <c r="AC44" s="10">
        <v>1.5130999999999999</v>
      </c>
      <c r="AD44" s="10">
        <v>0.63319999999999999</v>
      </c>
      <c r="AE44" s="10">
        <v>0.2344</v>
      </c>
      <c r="AF44" s="10">
        <v>-4.0099999999999997E-2</v>
      </c>
      <c r="AG44" s="10">
        <v>4.8300000000000003E-2</v>
      </c>
      <c r="AH44" s="10">
        <v>1.21E-2</v>
      </c>
      <c r="AI44" s="10">
        <v>1.2132000000000001</v>
      </c>
      <c r="AJ44" s="10">
        <v>0.46539999999999998</v>
      </c>
      <c r="AK44" s="10">
        <v>3.7467999999999999</v>
      </c>
      <c r="AL44" s="10">
        <v>-3.7747000000000002</v>
      </c>
      <c r="AM44" s="10">
        <v>1.5504</v>
      </c>
      <c r="AN44" s="10">
        <v>7.9200000000000007E-2</v>
      </c>
      <c r="AO44" s="10">
        <v>1.0027999999999999</v>
      </c>
      <c r="AP44" s="10">
        <v>0.46189999999999998</v>
      </c>
      <c r="AQ44" s="10">
        <v>0.92090000000000005</v>
      </c>
      <c r="AR44" s="10">
        <v>0.75109999999999999</v>
      </c>
      <c r="AS44" s="10">
        <v>0.25409999999999999</v>
      </c>
      <c r="AT44" s="10">
        <v>8.7900000000000006E-2</v>
      </c>
      <c r="AU44" s="10">
        <v>0.1825</v>
      </c>
      <c r="AV44" s="10">
        <v>3.7699999999999997E-2</v>
      </c>
      <c r="AW44" s="10">
        <v>0.26019999999999999</v>
      </c>
      <c r="AX44" s="10">
        <v>0.54900000000000004</v>
      </c>
      <c r="AY44" s="10">
        <v>0.32040000000000002</v>
      </c>
      <c r="AZ44" s="10">
        <v>2.6936</v>
      </c>
      <c r="BA44" s="10">
        <v>-4.8982999999999999</v>
      </c>
      <c r="BB44" s="10"/>
      <c r="BC44" s="10"/>
      <c r="BD44" s="10"/>
      <c r="BE44" s="10"/>
      <c r="BF44" s="10"/>
      <c r="BG44" s="10"/>
      <c r="BH44" s="10"/>
      <c r="BI44" s="10"/>
    </row>
    <row r="45" spans="1:61" x14ac:dyDescent="0.2">
      <c r="A45" s="7" t="s">
        <v>219</v>
      </c>
      <c r="B45" s="11">
        <v>45.577599999999997</v>
      </c>
      <c r="C45" s="11">
        <v>31.651299999999999</v>
      </c>
      <c r="D45" s="11">
        <v>26.944700000000001</v>
      </c>
      <c r="E45" s="11">
        <v>3.4257</v>
      </c>
      <c r="F45" s="11">
        <v>-9.8335000000000008</v>
      </c>
      <c r="G45" s="11">
        <v>-4.3196000000000003</v>
      </c>
      <c r="H45" s="11">
        <v>-0.3382</v>
      </c>
      <c r="I45" s="11">
        <v>16.533899999999999</v>
      </c>
      <c r="J45" s="11">
        <v>37.478200000000001</v>
      </c>
      <c r="K45" s="11">
        <v>34.026800000000001</v>
      </c>
      <c r="L45" s="11">
        <v>30.611899999999999</v>
      </c>
      <c r="M45" s="11">
        <v>27.450700000000001</v>
      </c>
      <c r="N45" s="11">
        <v>6.2083000000000004</v>
      </c>
      <c r="O45" s="11">
        <v>-0.93200000000000005</v>
      </c>
      <c r="P45" s="11">
        <v>-17.4922</v>
      </c>
      <c r="Q45" s="11">
        <v>-12.819800000000001</v>
      </c>
      <c r="R45" s="11">
        <v>-19.727799999999998</v>
      </c>
      <c r="S45" s="11">
        <v>-20.4527</v>
      </c>
      <c r="T45" s="11">
        <v>-23.6891</v>
      </c>
      <c r="U45" s="11">
        <v>-22.5641</v>
      </c>
      <c r="V45" s="11">
        <v>-18.042400000000001</v>
      </c>
      <c r="W45" s="11">
        <v>-8.7210000000000001</v>
      </c>
      <c r="X45" s="11">
        <v>-20.4575</v>
      </c>
      <c r="Y45" s="11">
        <v>-48.4739</v>
      </c>
      <c r="Z45" s="11">
        <v>-63.459800000000001</v>
      </c>
      <c r="AA45" s="11">
        <v>-23.634</v>
      </c>
      <c r="AB45" s="11">
        <v>-11.4381</v>
      </c>
      <c r="AC45" s="11">
        <v>-0.4556</v>
      </c>
      <c r="AD45" s="11">
        <v>-6.0202</v>
      </c>
      <c r="AE45" s="11">
        <v>-2.1583999999999999</v>
      </c>
      <c r="AF45" s="11">
        <v>-12.879300000000001</v>
      </c>
      <c r="AG45" s="11">
        <v>-3.5626000000000002</v>
      </c>
      <c r="AH45" s="11">
        <v>-6.2714999999999996</v>
      </c>
      <c r="AI45" s="11">
        <v>64.150499999999994</v>
      </c>
      <c r="AJ45" s="11">
        <v>67.215299999999999</v>
      </c>
      <c r="AK45" s="11">
        <v>-69.523600000000002</v>
      </c>
      <c r="AL45" s="11">
        <v>-84.475800000000007</v>
      </c>
      <c r="AM45" s="11">
        <v>71.489199999999997</v>
      </c>
      <c r="AN45" s="11">
        <v>-28.035</v>
      </c>
      <c r="AO45" s="11">
        <v>143.99879999999999</v>
      </c>
      <c r="AP45" s="11">
        <v>131.39279999999999</v>
      </c>
      <c r="AQ45" s="11">
        <v>39.5471</v>
      </c>
      <c r="AR45" s="11">
        <v>23.320799999999998</v>
      </c>
      <c r="AS45" s="11">
        <v>-79.507400000000004</v>
      </c>
      <c r="AT45" s="11">
        <v>-52.822200000000002</v>
      </c>
      <c r="AU45" s="11">
        <v>-31.7135</v>
      </c>
      <c r="AV45" s="11">
        <v>-48.276699999999998</v>
      </c>
      <c r="AW45" s="11">
        <v>52.321800000000003</v>
      </c>
      <c r="AX45" s="11">
        <v>-61.582299999999996</v>
      </c>
      <c r="AY45" s="11">
        <v>-102.22839999999999</v>
      </c>
      <c r="AZ45" s="11">
        <v>13.5992</v>
      </c>
      <c r="BA45" s="11">
        <v>-1207.8244999999999</v>
      </c>
      <c r="BB45" s="11">
        <v>-142.1557</v>
      </c>
      <c r="BC45" s="11">
        <v>-124.5625</v>
      </c>
      <c r="BD45" s="11">
        <v>-29.469200000000001</v>
      </c>
      <c r="BE45" s="11">
        <v>-19.007200000000001</v>
      </c>
      <c r="BF45" s="11">
        <v>-10.774699999999999</v>
      </c>
      <c r="BG45" s="11">
        <v>-22.7575</v>
      </c>
      <c r="BH45" s="11">
        <v>32.640999999999998</v>
      </c>
      <c r="BI45" s="11">
        <v>30.906400000000001</v>
      </c>
    </row>
    <row r="46" spans="1:61" x14ac:dyDescent="0.2">
      <c r="A46" s="7" t="s">
        <v>220</v>
      </c>
      <c r="B46" s="10">
        <v>35.447699999999998</v>
      </c>
      <c r="C46" s="10">
        <v>23.9283</v>
      </c>
      <c r="D46" s="10">
        <v>20.976600000000001</v>
      </c>
      <c r="E46" s="10">
        <v>2.5962000000000001</v>
      </c>
      <c r="F46" s="10">
        <v>-8.0863999999999994</v>
      </c>
      <c r="G46" s="10">
        <v>-3.198</v>
      </c>
      <c r="H46" s="10">
        <v>-0.27</v>
      </c>
      <c r="I46" s="10">
        <v>13.7791</v>
      </c>
      <c r="J46" s="10">
        <v>27.9923</v>
      </c>
      <c r="K46" s="10">
        <v>25.3203</v>
      </c>
      <c r="L46" s="10">
        <v>22.675999999999998</v>
      </c>
      <c r="M46" s="10">
        <v>19.965699999999998</v>
      </c>
      <c r="N46" s="10">
        <v>4.2195</v>
      </c>
      <c r="O46" s="10">
        <v>-0.69769999999999999</v>
      </c>
      <c r="P46" s="10">
        <v>-10.6814</v>
      </c>
      <c r="Q46" s="10">
        <v>-8.1793999999999993</v>
      </c>
      <c r="R46" s="10">
        <v>-13.914199999999999</v>
      </c>
      <c r="S46" s="10">
        <v>-13.6485</v>
      </c>
      <c r="T46" s="10">
        <v>-13.9991</v>
      </c>
      <c r="U46" s="10">
        <v>-15.1386</v>
      </c>
      <c r="V46" s="10">
        <v>-13.2949</v>
      </c>
      <c r="W46" s="10">
        <v>-6.9672000000000001</v>
      </c>
      <c r="X46" s="10">
        <v>-15.876899999999999</v>
      </c>
      <c r="Y46" s="10">
        <v>-38.427300000000002</v>
      </c>
      <c r="Z46" s="10">
        <v>-44.945599999999999</v>
      </c>
      <c r="AA46" s="10">
        <v>-17.131599999999999</v>
      </c>
      <c r="AB46" s="10">
        <v>-9.8178999999999998</v>
      </c>
      <c r="AC46" s="10">
        <v>-0.39550000000000002</v>
      </c>
      <c r="AD46" s="10">
        <v>-5.165</v>
      </c>
      <c r="AE46" s="10">
        <v>-1.6168</v>
      </c>
      <c r="AF46" s="10">
        <v>-8.7364999999999995</v>
      </c>
      <c r="AG46" s="10">
        <v>-2.7599</v>
      </c>
      <c r="AH46" s="10">
        <v>-4.9877000000000002</v>
      </c>
      <c r="AI46" s="10">
        <v>55.571800000000003</v>
      </c>
      <c r="AJ46" s="10">
        <v>58.567</v>
      </c>
      <c r="AK46" s="10">
        <v>-61.303199999999997</v>
      </c>
      <c r="AL46" s="10">
        <v>-65.543099999999995</v>
      </c>
      <c r="AM46" s="10">
        <v>55.756500000000003</v>
      </c>
      <c r="AN46" s="10">
        <v>-22.320900000000002</v>
      </c>
      <c r="AO46" s="10">
        <v>102.4072</v>
      </c>
      <c r="AP46" s="10">
        <v>93.4054</v>
      </c>
      <c r="AQ46" s="10">
        <v>32.628500000000003</v>
      </c>
      <c r="AR46" s="10">
        <v>16.293199999999999</v>
      </c>
      <c r="AS46" s="10">
        <v>-53.769100000000002</v>
      </c>
      <c r="AT46" s="10">
        <v>-19.0381</v>
      </c>
      <c r="AU46" s="10">
        <v>-9.2803000000000004</v>
      </c>
      <c r="AV46" s="10">
        <v>-17.430800000000001</v>
      </c>
      <c r="AW46" s="10">
        <v>17.825099999999999</v>
      </c>
      <c r="AX46" s="10">
        <v>-22.3459</v>
      </c>
      <c r="AY46" s="10">
        <v>-30.733599999999999</v>
      </c>
      <c r="AZ46" s="10">
        <v>12.4306</v>
      </c>
      <c r="BA46" s="10">
        <v>-1070.655</v>
      </c>
      <c r="BB46" s="10">
        <v>-142.1557</v>
      </c>
      <c r="BC46" s="10">
        <v>-124.5625</v>
      </c>
      <c r="BD46" s="10">
        <v>-29.469200000000001</v>
      </c>
      <c r="BE46" s="10">
        <v>-19.007200000000001</v>
      </c>
      <c r="BF46" s="10">
        <v>-10.774699999999999</v>
      </c>
      <c r="BG46" s="10">
        <v>-22.7575</v>
      </c>
      <c r="BH46" s="10">
        <v>32.640999999999998</v>
      </c>
      <c r="BI46" s="10">
        <v>30.906400000000001</v>
      </c>
    </row>
    <row r="47" spans="1:61" x14ac:dyDescent="0.2">
      <c r="A47" s="7" t="s">
        <v>221</v>
      </c>
      <c r="B47" s="11">
        <v>200.8141</v>
      </c>
      <c r="C47" s="11"/>
      <c r="D47" s="11"/>
      <c r="E47" s="11"/>
      <c r="F47" s="11">
        <v>601.59939999999995</v>
      </c>
      <c r="G47" s="11"/>
      <c r="H47" s="11"/>
      <c r="I47" s="11"/>
      <c r="J47" s="11"/>
      <c r="K47" s="11"/>
      <c r="L47" s="11">
        <v>16.39</v>
      </c>
      <c r="M47" s="11">
        <v>53.407200000000003</v>
      </c>
      <c r="N47" s="11"/>
      <c r="O47" s="11">
        <v>32.384799999999998</v>
      </c>
      <c r="P47" s="11">
        <v>12.387499999999999</v>
      </c>
      <c r="Q47" s="11">
        <v>15.2706</v>
      </c>
      <c r="R47" s="11">
        <v>11.368499999999999</v>
      </c>
      <c r="S47" s="11">
        <v>13.215999999999999</v>
      </c>
      <c r="T47" s="11">
        <v>9.6827000000000005</v>
      </c>
      <c r="U47" s="11">
        <v>19.979099999999999</v>
      </c>
      <c r="V47" s="11">
        <v>21.9407</v>
      </c>
      <c r="W47" s="11">
        <v>14.523899999999999</v>
      </c>
      <c r="X47" s="11">
        <v>46.9148</v>
      </c>
      <c r="Y47" s="11">
        <v>19.003399999999999</v>
      </c>
      <c r="Z47" s="11">
        <v>387.57920000000001</v>
      </c>
      <c r="AA47" s="11">
        <v>18.395199999999999</v>
      </c>
      <c r="AB47" s="11">
        <v>9.2786000000000008</v>
      </c>
      <c r="AC47" s="11">
        <v>16.615200000000002</v>
      </c>
      <c r="AD47" s="11">
        <v>9.0069999999999997</v>
      </c>
      <c r="AE47" s="11">
        <v>18.8385</v>
      </c>
      <c r="AF47" s="11">
        <v>6.0194000000000001</v>
      </c>
      <c r="AG47" s="11">
        <v>14.4396</v>
      </c>
      <c r="AH47" s="11">
        <v>8.6118000000000006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>
        <v>2.2275</v>
      </c>
      <c r="AU47" s="11"/>
      <c r="AV47" s="11"/>
      <c r="AW47" s="11"/>
      <c r="AX47" s="11"/>
      <c r="AY47" s="11"/>
      <c r="AZ47" s="11"/>
      <c r="BA47" s="11"/>
      <c r="BB47" s="11">
        <v>42.7134</v>
      </c>
      <c r="BC47" s="11">
        <v>26.179099999999998</v>
      </c>
      <c r="BD47" s="11">
        <v>23.028600000000001</v>
      </c>
      <c r="BE47" s="11">
        <v>28.841799999999999</v>
      </c>
      <c r="BF47" s="11">
        <v>35.2196</v>
      </c>
      <c r="BG47" s="11">
        <v>66.650800000000004</v>
      </c>
      <c r="BH47" s="11">
        <v>856.28470000000004</v>
      </c>
      <c r="BI47" s="11"/>
    </row>
    <row r="48" spans="1:61" x14ac:dyDescent="0.2">
      <c r="A48" s="7" t="s">
        <v>222</v>
      </c>
      <c r="B48" s="10">
        <v>0.1497</v>
      </c>
      <c r="C48" s="10">
        <v>0.1678</v>
      </c>
      <c r="D48" s="10">
        <v>0.16220000000000001</v>
      </c>
      <c r="E48" s="10">
        <v>0.17749999999999999</v>
      </c>
      <c r="F48" s="10">
        <v>0.15390000000000001</v>
      </c>
      <c r="G48" s="10">
        <v>0.20269999999999999</v>
      </c>
      <c r="H48" s="10">
        <v>0.1305</v>
      </c>
      <c r="I48" s="10">
        <v>0.12529999999999999</v>
      </c>
      <c r="J48" s="10">
        <v>0.16289999999999999</v>
      </c>
      <c r="K48" s="10">
        <v>0.1391</v>
      </c>
      <c r="L48" s="10">
        <v>0.17549999999999999</v>
      </c>
      <c r="M48" s="10">
        <v>0.19350000000000001</v>
      </c>
      <c r="N48" s="10">
        <v>0.23219999999999999</v>
      </c>
      <c r="O48" s="10">
        <v>0.1971</v>
      </c>
      <c r="P48" s="10">
        <v>0.25390000000000001</v>
      </c>
      <c r="Q48" s="10">
        <v>0.26200000000000001</v>
      </c>
      <c r="R48" s="10">
        <v>0.45960000000000001</v>
      </c>
      <c r="S48" s="10">
        <v>0.50029999999999997</v>
      </c>
      <c r="T48" s="10">
        <v>0.51649999999999996</v>
      </c>
      <c r="U48" s="10">
        <v>0.4395</v>
      </c>
      <c r="V48" s="10">
        <v>0.38450000000000001</v>
      </c>
      <c r="W48" s="10">
        <v>0.32529999999999998</v>
      </c>
      <c r="X48" s="10">
        <v>0.26600000000000001</v>
      </c>
      <c r="Y48" s="10">
        <v>0.2334</v>
      </c>
      <c r="Z48" s="10">
        <v>0.26340000000000002</v>
      </c>
      <c r="AA48" s="10">
        <v>0.27100000000000002</v>
      </c>
      <c r="AB48" s="10">
        <v>0.1502</v>
      </c>
      <c r="AC48" s="10">
        <v>0.33800000000000002</v>
      </c>
      <c r="AD48" s="10">
        <v>0.3881</v>
      </c>
      <c r="AE48" s="10">
        <v>0.58040000000000003</v>
      </c>
      <c r="AF48" s="10">
        <v>0.66420000000000001</v>
      </c>
      <c r="AG48" s="10">
        <v>0.62990000000000002</v>
      </c>
      <c r="AH48" s="10">
        <v>0.43090000000000001</v>
      </c>
      <c r="AI48" s="10">
        <v>3.4799999999999998E-2</v>
      </c>
      <c r="AJ48" s="10">
        <v>3.73E-2</v>
      </c>
      <c r="AK48" s="10">
        <v>3.8199999999999998E-2</v>
      </c>
      <c r="AL48" s="10">
        <v>7.2700000000000001E-2</v>
      </c>
      <c r="AM48" s="10">
        <v>7.2599999999999998E-2</v>
      </c>
      <c r="AN48" s="10">
        <v>8.2600000000000007E-2</v>
      </c>
      <c r="AO48" s="10">
        <v>0.1177</v>
      </c>
      <c r="AP48" s="10">
        <v>9.35E-2</v>
      </c>
      <c r="AQ48" s="10">
        <v>0.1003</v>
      </c>
      <c r="AR48" s="10">
        <v>0.14929999999999999</v>
      </c>
      <c r="AS48" s="10">
        <v>0.15670000000000001</v>
      </c>
      <c r="AT48" s="10">
        <v>0.50580000000000003</v>
      </c>
      <c r="AU48" s="10">
        <v>0.48380000000000001</v>
      </c>
      <c r="AV48" s="10">
        <v>0.45490000000000003</v>
      </c>
      <c r="AW48" s="10">
        <v>0.4677</v>
      </c>
      <c r="AX48" s="10">
        <v>0.21060000000000001</v>
      </c>
      <c r="AY48" s="10">
        <v>0.21340000000000001</v>
      </c>
      <c r="AZ48" s="10">
        <v>7.1999999999999998E-3</v>
      </c>
      <c r="BA48" s="10">
        <v>7.4999999999999997E-3</v>
      </c>
      <c r="BB48" s="10">
        <v>0</v>
      </c>
      <c r="BC48" s="10">
        <v>0</v>
      </c>
      <c r="BD48" s="10"/>
      <c r="BE48" s="10"/>
      <c r="BF48" s="10"/>
      <c r="BG48" s="10"/>
      <c r="BH48" s="10"/>
      <c r="BI48" s="10"/>
    </row>
    <row r="49" spans="1:61" x14ac:dyDescent="0.2">
      <c r="A49" s="7" t="s">
        <v>223</v>
      </c>
      <c r="B49" s="11">
        <v>16.857099999999999</v>
      </c>
      <c r="C49" s="11">
        <v>17.785299999999999</v>
      </c>
      <c r="D49" s="11">
        <v>15.589499999999999</v>
      </c>
      <c r="E49" s="11">
        <v>17.332999999999998</v>
      </c>
      <c r="F49" s="11">
        <v>10.2829</v>
      </c>
      <c r="G49" s="11">
        <v>18.315899999999999</v>
      </c>
      <c r="H49" s="11">
        <v>10.2342</v>
      </c>
      <c r="I49" s="11">
        <v>6.4978999999999996</v>
      </c>
      <c r="J49" s="11">
        <v>16.564</v>
      </c>
      <c r="K49" s="11">
        <v>15.380699999999999</v>
      </c>
      <c r="L49" s="11">
        <v>14.8972</v>
      </c>
      <c r="M49" s="11">
        <v>15.505599999999999</v>
      </c>
      <c r="N49" s="11">
        <v>21.337299999999999</v>
      </c>
      <c r="O49" s="11">
        <v>14.9924</v>
      </c>
      <c r="P49" s="11">
        <v>27.451499999999999</v>
      </c>
      <c r="Q49" s="11">
        <v>25.427399999999999</v>
      </c>
      <c r="R49" s="11">
        <v>20.790800000000001</v>
      </c>
      <c r="S49" s="11">
        <v>24.4468</v>
      </c>
      <c r="T49" s="11">
        <v>30.378</v>
      </c>
      <c r="U49" s="11">
        <v>25.937100000000001</v>
      </c>
      <c r="V49" s="11">
        <v>19.7136</v>
      </c>
      <c r="W49" s="11">
        <v>14.334</v>
      </c>
      <c r="X49" s="11">
        <v>15.218400000000001</v>
      </c>
      <c r="Y49" s="11">
        <v>13.057700000000001</v>
      </c>
      <c r="Z49" s="11">
        <v>22.997</v>
      </c>
      <c r="AA49" s="11">
        <v>20.828399999999998</v>
      </c>
      <c r="AB49" s="11">
        <v>9.8684999999999992</v>
      </c>
      <c r="AC49" s="11">
        <v>8.1577000000000002</v>
      </c>
      <c r="AD49" s="11">
        <v>10.883900000000001</v>
      </c>
      <c r="AE49" s="11">
        <v>7.9310999999999998</v>
      </c>
      <c r="AF49" s="11">
        <v>14.39</v>
      </c>
      <c r="AG49" s="11">
        <v>6.3423999999999996</v>
      </c>
      <c r="AH49" s="11">
        <v>5.556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</row>
    <row r="50" spans="1:61" x14ac:dyDescent="0.2">
      <c r="A50" s="7" t="s">
        <v>224</v>
      </c>
      <c r="B50" s="10">
        <v>51.176200000000001</v>
      </c>
      <c r="C50" s="10">
        <v>53.524500000000003</v>
      </c>
      <c r="D50" s="10">
        <v>54.152999999999999</v>
      </c>
      <c r="E50" s="10">
        <v>53.2014</v>
      </c>
      <c r="F50" s="10">
        <v>57.492699999999999</v>
      </c>
      <c r="G50" s="10">
        <v>54.352699999999999</v>
      </c>
      <c r="H50" s="10">
        <v>43.552199999999999</v>
      </c>
      <c r="I50" s="10">
        <v>45.1083</v>
      </c>
      <c r="J50" s="10">
        <v>45.323300000000003</v>
      </c>
      <c r="K50" s="10">
        <v>37.371299999999998</v>
      </c>
      <c r="L50" s="10">
        <v>45.717399999999998</v>
      </c>
      <c r="M50" s="10">
        <v>47.569400000000002</v>
      </c>
      <c r="N50" s="10">
        <v>51.3001</v>
      </c>
      <c r="O50" s="10">
        <v>54.029400000000003</v>
      </c>
      <c r="P50" s="10">
        <v>49.683799999999998</v>
      </c>
      <c r="Q50" s="10">
        <v>55.006599999999999</v>
      </c>
      <c r="R50" s="10">
        <v>95.671599999999998</v>
      </c>
      <c r="S50" s="10">
        <v>100.3421</v>
      </c>
      <c r="T50" s="10">
        <v>89.828999999999994</v>
      </c>
      <c r="U50" s="10">
        <v>101.774</v>
      </c>
      <c r="V50" s="10">
        <v>105.621</v>
      </c>
      <c r="W50" s="10">
        <v>106.59399999999999</v>
      </c>
      <c r="X50" s="10">
        <v>79.370599999999996</v>
      </c>
      <c r="Y50" s="10">
        <v>74.944199999999995</v>
      </c>
      <c r="Z50" s="10">
        <v>67.645300000000006</v>
      </c>
      <c r="AA50" s="10">
        <v>75.920599999999993</v>
      </c>
      <c r="AB50" s="10">
        <v>72.233599999999996</v>
      </c>
      <c r="AC50" s="10">
        <v>126.3565</v>
      </c>
      <c r="AD50" s="10">
        <v>143.3612</v>
      </c>
      <c r="AE50" s="10">
        <v>171.53739999999999</v>
      </c>
      <c r="AF50" s="10">
        <v>171.9383</v>
      </c>
      <c r="AG50" s="10">
        <v>210.1859</v>
      </c>
      <c r="AH50" s="10">
        <v>153.9067</v>
      </c>
      <c r="AI50" s="10">
        <v>14.088100000000001</v>
      </c>
      <c r="AJ50" s="10">
        <v>15.207700000000001</v>
      </c>
      <c r="AK50" s="10">
        <v>16.768899999999999</v>
      </c>
      <c r="AL50" s="10">
        <v>16.986000000000001</v>
      </c>
      <c r="AM50" s="10">
        <v>17.119599999999998</v>
      </c>
      <c r="AN50" s="10">
        <v>19.488199999999999</v>
      </c>
      <c r="AO50" s="10">
        <v>21.515699999999999</v>
      </c>
      <c r="AP50" s="10">
        <v>17.490200000000002</v>
      </c>
      <c r="AQ50" s="10">
        <v>27.209800000000001</v>
      </c>
      <c r="AR50" s="10">
        <v>26.0639</v>
      </c>
      <c r="AS50" s="10">
        <v>26.401199999999999</v>
      </c>
      <c r="AT50" s="10">
        <v>55.445399999999999</v>
      </c>
      <c r="AU50" s="10">
        <v>50.668999999999997</v>
      </c>
      <c r="AV50" s="10">
        <v>58.781300000000002</v>
      </c>
      <c r="AW50" s="10">
        <v>65.000799999999998</v>
      </c>
      <c r="AX50" s="10">
        <v>28.023499999999999</v>
      </c>
      <c r="AY50" s="10">
        <v>25.7942</v>
      </c>
      <c r="AZ50" s="10">
        <v>6.2354000000000003</v>
      </c>
      <c r="BA50" s="10">
        <v>4.8548</v>
      </c>
      <c r="BB50" s="10">
        <v>5.8598999999999997</v>
      </c>
      <c r="BC50" s="10">
        <v>7.7519</v>
      </c>
      <c r="BD50" s="10">
        <v>15.546799999999999</v>
      </c>
      <c r="BE50" s="10">
        <v>48.555399999999999</v>
      </c>
      <c r="BF50" s="10">
        <v>61.980200000000004</v>
      </c>
      <c r="BG50" s="10">
        <v>51.563800000000001</v>
      </c>
      <c r="BH50" s="10">
        <v>89.691699999999997</v>
      </c>
      <c r="BI50" s="10">
        <v>79.592399999999998</v>
      </c>
    </row>
    <row r="51" spans="1:61" x14ac:dyDescent="0.2">
      <c r="A51" s="7" t="s">
        <v>225</v>
      </c>
      <c r="B51" s="11">
        <v>-0.52490000000000003</v>
      </c>
      <c r="C51" s="11">
        <v>-1.4525999999999999</v>
      </c>
      <c r="D51" s="11">
        <v>-2.1604999999999999</v>
      </c>
      <c r="E51" s="11">
        <v>-1.7044999999999999</v>
      </c>
      <c r="F51" s="11">
        <v>-1.3594999999999999</v>
      </c>
      <c r="G51" s="11">
        <v>-1.5268999999999999</v>
      </c>
      <c r="H51" s="11">
        <v>-1.8778999999999999</v>
      </c>
      <c r="I51" s="11">
        <v>-0.94820000000000004</v>
      </c>
      <c r="J51" s="11">
        <v>-0.92449999999999999</v>
      </c>
      <c r="K51" s="11">
        <v>-0.72609999999999997</v>
      </c>
      <c r="L51" s="11">
        <v>-1.8219000000000001</v>
      </c>
      <c r="M51" s="11">
        <v>-4.2892999999999999</v>
      </c>
      <c r="N51" s="11">
        <v>-4.4455999999999998</v>
      </c>
      <c r="O51" s="11">
        <v>-3.74</v>
      </c>
      <c r="P51" s="11">
        <v>-3.6738</v>
      </c>
      <c r="Q51" s="11">
        <v>3.3744000000000001</v>
      </c>
      <c r="R51" s="11">
        <v>4.6138000000000003</v>
      </c>
      <c r="S51" s="11">
        <v>4.1778000000000004</v>
      </c>
      <c r="T51" s="11">
        <v>4.5666000000000002</v>
      </c>
      <c r="U51" s="11">
        <v>0.44790000000000002</v>
      </c>
      <c r="V51" s="11">
        <v>0.45290000000000002</v>
      </c>
      <c r="W51" s="11">
        <v>0.36159999999999998</v>
      </c>
      <c r="X51" s="11">
        <v>0.42380000000000001</v>
      </c>
      <c r="Y51" s="11">
        <v>1.8284</v>
      </c>
      <c r="Z51" s="11">
        <v>2.3462000000000001</v>
      </c>
      <c r="AA51" s="11">
        <v>2.8052000000000001</v>
      </c>
      <c r="AB51" s="11">
        <v>2.5790999999999999</v>
      </c>
      <c r="AC51" s="11">
        <v>0.33429999999999999</v>
      </c>
      <c r="AD51" s="11">
        <v>0.31409999999999999</v>
      </c>
      <c r="AE51" s="11">
        <v>0.2273</v>
      </c>
      <c r="AF51" s="11">
        <v>0.1787</v>
      </c>
      <c r="AG51" s="11">
        <v>-0.22170000000000001</v>
      </c>
      <c r="AH51" s="11">
        <v>-0.26690000000000003</v>
      </c>
      <c r="AI51" s="11">
        <v>-0.69169999999999998</v>
      </c>
      <c r="AJ51" s="11">
        <v>-0.82950000000000002</v>
      </c>
      <c r="AK51" s="11">
        <v>-2.1846000000000001</v>
      </c>
      <c r="AL51" s="11">
        <v>-3.8258999999999999</v>
      </c>
      <c r="AM51" s="11">
        <v>-4.2066999999999997</v>
      </c>
      <c r="AN51" s="11">
        <v>-4.2066999999999997</v>
      </c>
      <c r="AO51" s="11">
        <v>-2.1739000000000002</v>
      </c>
      <c r="AP51" s="11">
        <v>-4.4061000000000003</v>
      </c>
      <c r="AQ51" s="11">
        <v>-2.2627999999999999</v>
      </c>
      <c r="AR51" s="11">
        <v>-3.7094</v>
      </c>
      <c r="AS51" s="11">
        <v>-9.5647000000000002</v>
      </c>
      <c r="AT51" s="11">
        <v>-9.2696000000000005</v>
      </c>
      <c r="AU51" s="11">
        <v>-11.066800000000001</v>
      </c>
      <c r="AV51" s="11">
        <v>-10.5116</v>
      </c>
      <c r="AW51" s="11">
        <v>-16.709599999999998</v>
      </c>
      <c r="AX51" s="11">
        <v>-20.715800000000002</v>
      </c>
      <c r="AY51" s="11">
        <v>-23.7866</v>
      </c>
      <c r="AZ51" s="11">
        <v>-23.6936</v>
      </c>
      <c r="BA51" s="11">
        <v>0.24399999999999999</v>
      </c>
      <c r="BB51" s="11">
        <v>0.26079999999999998</v>
      </c>
      <c r="BC51" s="11">
        <v>0.2006</v>
      </c>
      <c r="BD51" s="11"/>
      <c r="BE51" s="11"/>
      <c r="BF51" s="11"/>
      <c r="BG51" s="11"/>
      <c r="BH51" s="11"/>
      <c r="BI51" s="11"/>
    </row>
    <row r="52" spans="1:61" x14ac:dyDescent="0.2">
      <c r="A52" s="7" t="s">
        <v>226</v>
      </c>
      <c r="B52" s="10">
        <v>0.60189999999999999</v>
      </c>
      <c r="C52" s="10">
        <v>1.6657</v>
      </c>
      <c r="D52" s="10">
        <v>2.4773999999999998</v>
      </c>
      <c r="E52" s="10">
        <v>0.69099999999999995</v>
      </c>
      <c r="F52" s="10">
        <v>0.55110000000000003</v>
      </c>
      <c r="G52" s="10">
        <v>0.61899999999999999</v>
      </c>
      <c r="H52" s="10">
        <v>0.76129999999999998</v>
      </c>
      <c r="I52" s="10">
        <v>2.1749000000000001</v>
      </c>
      <c r="J52" s="10">
        <v>2.1206</v>
      </c>
      <c r="K52" s="10">
        <v>1.6655</v>
      </c>
      <c r="L52" s="10">
        <v>4.1790000000000003</v>
      </c>
      <c r="M52" s="10">
        <v>11.9445</v>
      </c>
      <c r="N52" s="10">
        <v>12.3796</v>
      </c>
      <c r="O52" s="10">
        <v>10.414899999999999</v>
      </c>
      <c r="P52" s="10">
        <v>10.230399999999999</v>
      </c>
      <c r="Q52" s="10">
        <v>8.3134999999999994</v>
      </c>
      <c r="R52" s="10">
        <v>11.3668</v>
      </c>
      <c r="S52" s="10">
        <v>10.2927</v>
      </c>
      <c r="T52" s="10">
        <v>11.2507</v>
      </c>
      <c r="U52" s="10">
        <v>3.8561000000000001</v>
      </c>
      <c r="V52" s="10">
        <v>3.899</v>
      </c>
      <c r="W52" s="10">
        <v>3.113</v>
      </c>
      <c r="X52" s="10">
        <v>3.6486999999999998</v>
      </c>
      <c r="Y52" s="10">
        <v>4.6254999999999997</v>
      </c>
      <c r="Z52" s="10">
        <v>5.9355000000000002</v>
      </c>
      <c r="AA52" s="10">
        <v>7.0968</v>
      </c>
      <c r="AB52" s="10">
        <v>6.5247999999999999</v>
      </c>
      <c r="AC52" s="10">
        <v>5.2820999999999998</v>
      </c>
      <c r="AD52" s="10">
        <v>4.9633000000000003</v>
      </c>
      <c r="AE52" s="10">
        <v>3.5918999999999999</v>
      </c>
      <c r="AF52" s="10">
        <v>2.8246000000000002</v>
      </c>
      <c r="AG52" s="10">
        <v>2.8199999999999999E-2</v>
      </c>
      <c r="AH52" s="10">
        <v>3.39E-2</v>
      </c>
      <c r="AI52" s="10">
        <v>8.7900000000000006E-2</v>
      </c>
      <c r="AJ52" s="10">
        <v>0.10539999999999999</v>
      </c>
      <c r="AK52" s="10">
        <v>0</v>
      </c>
      <c r="AL52" s="10">
        <v>0</v>
      </c>
      <c r="AM52" s="10">
        <v>0</v>
      </c>
      <c r="AN52" s="10">
        <v>0</v>
      </c>
      <c r="AO52" s="10">
        <v>0.6129</v>
      </c>
      <c r="AP52" s="10">
        <v>1.2422</v>
      </c>
      <c r="AQ52" s="10">
        <v>0.63800000000000001</v>
      </c>
      <c r="AR52" s="10">
        <v>1.0458000000000001</v>
      </c>
      <c r="AS52" s="10">
        <v>0.97509999999999997</v>
      </c>
      <c r="AT52" s="10">
        <v>0.94499999999999995</v>
      </c>
      <c r="AU52" s="10">
        <v>1.1282000000000001</v>
      </c>
      <c r="AV52" s="10">
        <v>1.0716000000000001</v>
      </c>
      <c r="AW52" s="10">
        <v>0</v>
      </c>
      <c r="AX52" s="10">
        <v>0</v>
      </c>
      <c r="AY52" s="10">
        <v>0</v>
      </c>
      <c r="AZ52" s="10">
        <v>0</v>
      </c>
      <c r="BA52" s="10">
        <v>3.6539000000000001</v>
      </c>
      <c r="BB52" s="10">
        <v>3.9060999999999999</v>
      </c>
      <c r="BC52" s="10">
        <v>3.0044</v>
      </c>
      <c r="BD52" s="10"/>
      <c r="BE52" s="10"/>
      <c r="BF52" s="10"/>
      <c r="BG52" s="10"/>
      <c r="BH52" s="10"/>
      <c r="BI52" s="10"/>
    </row>
    <row r="53" spans="1:61" x14ac:dyDescent="0.2">
      <c r="A53" s="7" t="s">
        <v>227</v>
      </c>
      <c r="B53" s="11"/>
      <c r="C53" s="11">
        <v>1.8419000000000001</v>
      </c>
      <c r="D53" s="11"/>
      <c r="E53" s="11">
        <v>2.4860000000000002</v>
      </c>
      <c r="F53" s="11"/>
      <c r="G53" s="11">
        <v>2.1284000000000001</v>
      </c>
      <c r="H53" s="11"/>
      <c r="I53" s="11">
        <v>3.0882999999999998</v>
      </c>
      <c r="J53" s="11"/>
      <c r="K53" s="11">
        <v>0.69699999999999995</v>
      </c>
      <c r="L53" s="11"/>
      <c r="M53" s="11">
        <v>0.9486</v>
      </c>
      <c r="N53" s="11"/>
      <c r="O53" s="11">
        <v>0.36599999999999999</v>
      </c>
      <c r="P53" s="11"/>
      <c r="Q53" s="11">
        <v>0.56589999999999996</v>
      </c>
      <c r="R53" s="11"/>
      <c r="S53" s="11">
        <v>0.17960000000000001</v>
      </c>
      <c r="T53" s="11"/>
      <c r="U53" s="11">
        <v>0.4879</v>
      </c>
      <c r="V53" s="11"/>
      <c r="W53" s="11">
        <v>0.29089999999999999</v>
      </c>
      <c r="X53" s="11"/>
      <c r="Y53" s="11">
        <v>0.61119999999999997</v>
      </c>
      <c r="Z53" s="11"/>
      <c r="AA53" s="11">
        <v>0.2026</v>
      </c>
      <c r="AB53" s="11"/>
      <c r="AC53" s="11">
        <v>0.54759999999999998</v>
      </c>
      <c r="AD53" s="11"/>
      <c r="AE53" s="11">
        <v>0.34549999999999997</v>
      </c>
      <c r="AF53" s="11"/>
      <c r="AG53" s="11">
        <v>0.31590000000000001</v>
      </c>
      <c r="AH53" s="11"/>
      <c r="AI53" s="11">
        <v>2.4834000000000001</v>
      </c>
      <c r="AJ53" s="11"/>
      <c r="AK53" s="11">
        <v>5.3079999999999998</v>
      </c>
      <c r="AL53" s="11"/>
      <c r="AM53" s="11"/>
      <c r="AN53" s="11"/>
      <c r="AO53" s="11"/>
      <c r="AP53" s="11"/>
      <c r="AQ53" s="11">
        <v>0.25230000000000002</v>
      </c>
      <c r="AR53" s="11"/>
      <c r="AS53" s="11">
        <v>0.98629999999999995</v>
      </c>
      <c r="AT53" s="11"/>
      <c r="AU53" s="11"/>
      <c r="AV53" s="11"/>
      <c r="AW53" s="11">
        <v>1.6512</v>
      </c>
      <c r="AX53" s="11"/>
      <c r="AY53" s="11"/>
      <c r="AZ53" s="11"/>
      <c r="BA53" s="11"/>
      <c r="BB53" s="11"/>
      <c r="BC53" s="11"/>
      <c r="BD53" s="11"/>
      <c r="BE53" s="11">
        <v>1.7201</v>
      </c>
      <c r="BF53" s="11"/>
      <c r="BG53" s="11">
        <v>2.6964000000000001</v>
      </c>
      <c r="BH53" s="11"/>
      <c r="BI53" s="11"/>
    </row>
    <row r="54" spans="1:61" x14ac:dyDescent="0.2">
      <c r="A54" s="7" t="s">
        <v>228</v>
      </c>
      <c r="B54" s="10"/>
      <c r="C54" s="10">
        <v>0.62280000000000002</v>
      </c>
      <c r="D54" s="10"/>
      <c r="E54" s="10">
        <v>0.4793</v>
      </c>
      <c r="F54" s="10"/>
      <c r="G54" s="10">
        <v>0.61260000000000003</v>
      </c>
      <c r="H54" s="10"/>
      <c r="I54" s="10">
        <v>0.42749999999999999</v>
      </c>
      <c r="J54" s="10"/>
      <c r="K54" s="10">
        <v>1.6422000000000001</v>
      </c>
      <c r="L54" s="10"/>
      <c r="M54" s="10">
        <v>1.1839</v>
      </c>
      <c r="N54" s="10"/>
      <c r="O54" s="10">
        <v>2.9828999999999999</v>
      </c>
      <c r="P54" s="10"/>
      <c r="Q54" s="10">
        <v>1.9281999999999999</v>
      </c>
      <c r="R54" s="10"/>
      <c r="S54" s="10">
        <v>5.9694000000000003</v>
      </c>
      <c r="T54" s="10"/>
      <c r="U54" s="10">
        <v>2.2694000000000001</v>
      </c>
      <c r="V54" s="10"/>
      <c r="W54" s="10">
        <v>4.4714999999999998</v>
      </c>
      <c r="X54" s="10"/>
      <c r="Y54" s="10">
        <v>1.8373999999999999</v>
      </c>
      <c r="Z54" s="10"/>
      <c r="AA54" s="10">
        <v>5.1721000000000004</v>
      </c>
      <c r="AB54" s="10"/>
      <c r="AC54" s="10">
        <v>1.9751000000000001</v>
      </c>
      <c r="AD54" s="10"/>
      <c r="AE54" s="10">
        <v>3.5066000000000002</v>
      </c>
      <c r="AF54" s="10"/>
      <c r="AG54" s="10">
        <v>4.0035999999999996</v>
      </c>
      <c r="AH54" s="10"/>
      <c r="AI54" s="10">
        <v>0.73350000000000004</v>
      </c>
      <c r="AJ54" s="10"/>
      <c r="AK54" s="10">
        <v>0.56869999999999998</v>
      </c>
      <c r="AL54" s="10"/>
      <c r="AM54" s="10">
        <v>0.80110000000000003</v>
      </c>
      <c r="AN54" s="10"/>
      <c r="AO54" s="10">
        <v>0.33400000000000002</v>
      </c>
      <c r="AP54" s="10"/>
      <c r="AQ54" s="10">
        <v>5.4469000000000003</v>
      </c>
      <c r="AR54" s="10"/>
      <c r="AS54" s="10">
        <v>1.4287000000000001</v>
      </c>
      <c r="AT54" s="10"/>
      <c r="AU54" s="10">
        <v>1.2050000000000001</v>
      </c>
      <c r="AV54" s="10"/>
      <c r="AW54" s="10">
        <v>1.1453</v>
      </c>
      <c r="AX54" s="10"/>
      <c r="AY54" s="10">
        <v>0.15570000000000001</v>
      </c>
      <c r="AZ54" s="10"/>
      <c r="BA54" s="10"/>
      <c r="BB54" s="10"/>
      <c r="BC54" s="10">
        <v>0</v>
      </c>
      <c r="BD54" s="10"/>
      <c r="BE54" s="10">
        <v>0.60860000000000003</v>
      </c>
      <c r="BF54" s="10"/>
      <c r="BG54" s="10">
        <v>0.501</v>
      </c>
      <c r="BH54" s="10">
        <v>6.93E-2</v>
      </c>
      <c r="BI54" s="10"/>
    </row>
    <row r="55" spans="1:61" x14ac:dyDescent="0.2">
      <c r="A55" s="7" t="s">
        <v>229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>
        <v>72.513499999999993</v>
      </c>
      <c r="N55" s="11"/>
      <c r="O55" s="11">
        <v>46.055900000000001</v>
      </c>
      <c r="P55" s="11"/>
      <c r="Q55" s="11">
        <v>21.757100000000001</v>
      </c>
      <c r="R55" s="11"/>
      <c r="S55" s="11">
        <v>19.956399999999999</v>
      </c>
      <c r="T55" s="11"/>
      <c r="U55" s="11">
        <v>26.522400000000001</v>
      </c>
      <c r="V55" s="11"/>
      <c r="W55" s="11">
        <v>19.4069</v>
      </c>
      <c r="X55" s="11"/>
      <c r="Y55" s="11">
        <v>26.687200000000001</v>
      </c>
      <c r="Z55" s="11"/>
      <c r="AA55" s="11">
        <v>27.065200000000001</v>
      </c>
      <c r="AB55" s="11"/>
      <c r="AC55" s="11">
        <v>21.183700000000002</v>
      </c>
      <c r="AD55" s="11"/>
      <c r="AE55" s="11">
        <v>23.461400000000001</v>
      </c>
      <c r="AF55" s="11"/>
      <c r="AG55" s="11">
        <v>21.068999999999999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>
        <v>30.3215</v>
      </c>
      <c r="BD55" s="11"/>
      <c r="BE55" s="11">
        <v>32.087899999999998</v>
      </c>
      <c r="BF55" s="11"/>
      <c r="BG55" s="11">
        <v>72.347099999999998</v>
      </c>
      <c r="BH55" s="11">
        <v>905.80430000000001</v>
      </c>
      <c r="BI55" s="11"/>
    </row>
  </sheetData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870F-9E9F-4D61-BC70-8F5920B54D07}">
  <dimension ref="A1:BI22"/>
  <sheetViews>
    <sheetView workbookViewId="0"/>
  </sheetViews>
  <sheetFormatPr defaultRowHeight="14.25" x14ac:dyDescent="0.2"/>
  <cols>
    <col min="1" max="1" width="46.375" bestFit="1" customWidth="1"/>
  </cols>
  <sheetData>
    <row r="1" spans="1:61" x14ac:dyDescent="0.2">
      <c r="A1" s="1" t="s">
        <v>0</v>
      </c>
      <c r="B1" s="3" t="s">
        <v>4</v>
      </c>
    </row>
    <row r="2" spans="1:61" x14ac:dyDescent="0.2">
      <c r="A2" s="1" t="s">
        <v>1</v>
      </c>
      <c r="B2" s="2" t="str">
        <f>[1]!S_INFO_NAME($B$1)</f>
        <v>中际旭创</v>
      </c>
    </row>
    <row r="3" spans="1:61" x14ac:dyDescent="0.2">
      <c r="A3" s="1" t="s">
        <v>2</v>
      </c>
      <c r="B3" s="3">
        <v>1988</v>
      </c>
    </row>
    <row r="4" spans="1:61" x14ac:dyDescent="0.2">
      <c r="A4" s="1" t="s">
        <v>3</v>
      </c>
      <c r="B4" s="3">
        <v>2026</v>
      </c>
    </row>
    <row r="5" spans="1:61" x14ac:dyDescent="0.2">
      <c r="A5" s="8" t="str">
        <f>[1]!WFR(B1,B3&amp;":"&amp;B4,"Func=Rpt.OperCapability20","rptType=1","singleSeason=0","unit=1","currencyType=ORIG","order=LEFT","rate=HISTORY","version=2","quarterindic=0","showcurrency=0","reportPeriod=31","cols=60;rows=16")</f>
        <v xml:space="preserve">                                                                                                              </v>
      </c>
    </row>
    <row r="6" spans="1:61" x14ac:dyDescent="0.2">
      <c r="A6" s="5" t="s">
        <v>111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x14ac:dyDescent="0.2">
      <c r="A7" s="6" t="s">
        <v>6</v>
      </c>
      <c r="B7" s="9">
        <v>45930</v>
      </c>
      <c r="C7" s="9">
        <v>45838</v>
      </c>
      <c r="D7" s="9">
        <v>45747</v>
      </c>
      <c r="E7" s="9">
        <v>45657</v>
      </c>
      <c r="F7" s="9">
        <v>45565</v>
      </c>
      <c r="G7" s="9">
        <v>45473</v>
      </c>
      <c r="H7" s="9">
        <v>45382</v>
      </c>
      <c r="I7" s="9">
        <v>45291</v>
      </c>
      <c r="J7" s="9">
        <v>45199</v>
      </c>
      <c r="K7" s="9">
        <v>45107</v>
      </c>
      <c r="L7" s="9">
        <v>45016</v>
      </c>
      <c r="M7" s="9">
        <v>44926</v>
      </c>
      <c r="N7" s="9">
        <v>44834</v>
      </c>
      <c r="O7" s="9">
        <v>44742</v>
      </c>
      <c r="P7" s="9">
        <v>44651</v>
      </c>
      <c r="Q7" s="9">
        <v>44561</v>
      </c>
      <c r="R7" s="9">
        <v>44469</v>
      </c>
      <c r="S7" s="9">
        <v>44377</v>
      </c>
      <c r="T7" s="9">
        <v>44286</v>
      </c>
      <c r="U7" s="9">
        <v>44196</v>
      </c>
      <c r="V7" s="9">
        <v>44104</v>
      </c>
      <c r="W7" s="9">
        <v>44012</v>
      </c>
      <c r="X7" s="9">
        <v>43921</v>
      </c>
      <c r="Y7" s="9">
        <v>43830</v>
      </c>
      <c r="Z7" s="9">
        <v>43738</v>
      </c>
      <c r="AA7" s="9">
        <v>43646</v>
      </c>
      <c r="AB7" s="9">
        <v>43555</v>
      </c>
      <c r="AC7" s="9">
        <v>43465</v>
      </c>
      <c r="AD7" s="9">
        <v>43373</v>
      </c>
      <c r="AE7" s="9">
        <v>43281</v>
      </c>
      <c r="AF7" s="9">
        <v>43190</v>
      </c>
      <c r="AG7" s="9">
        <v>43100</v>
      </c>
      <c r="AH7" s="9">
        <v>43008</v>
      </c>
      <c r="AI7" s="9">
        <v>42916</v>
      </c>
      <c r="AJ7" s="9">
        <v>42825</v>
      </c>
      <c r="AK7" s="9">
        <v>42735</v>
      </c>
      <c r="AL7" s="9">
        <v>42643</v>
      </c>
      <c r="AM7" s="9">
        <v>42551</v>
      </c>
      <c r="AN7" s="9">
        <v>42460</v>
      </c>
      <c r="AO7" s="9">
        <v>42369</v>
      </c>
      <c r="AP7" s="9">
        <v>42277</v>
      </c>
      <c r="AQ7" s="9">
        <v>42185</v>
      </c>
      <c r="AR7" s="9">
        <v>42094</v>
      </c>
      <c r="AS7" s="9">
        <v>42004</v>
      </c>
      <c r="AT7" s="9">
        <v>41912</v>
      </c>
      <c r="AU7" s="9">
        <v>41820</v>
      </c>
      <c r="AV7" s="9">
        <v>41729</v>
      </c>
      <c r="AW7" s="9">
        <v>41639</v>
      </c>
      <c r="AX7" s="9">
        <v>41547</v>
      </c>
      <c r="AY7" s="9">
        <v>41455</v>
      </c>
      <c r="AZ7" s="9">
        <v>41364</v>
      </c>
      <c r="BA7" s="9">
        <v>41274</v>
      </c>
      <c r="BB7" s="9">
        <v>41182</v>
      </c>
      <c r="BC7" s="9">
        <v>41090</v>
      </c>
      <c r="BD7" s="9">
        <v>40999</v>
      </c>
      <c r="BE7" s="9">
        <v>40908</v>
      </c>
      <c r="BF7" s="9">
        <v>40724</v>
      </c>
      <c r="BG7" s="9">
        <v>40543</v>
      </c>
      <c r="BH7" s="9">
        <v>40178</v>
      </c>
      <c r="BI7" s="9">
        <v>39813</v>
      </c>
    </row>
    <row r="8" spans="1:61" x14ac:dyDescent="0.2">
      <c r="A8" s="7" t="s">
        <v>7</v>
      </c>
      <c r="B8" s="10" t="s">
        <v>84</v>
      </c>
      <c r="C8" s="10" t="s">
        <v>109</v>
      </c>
      <c r="D8" s="10" t="s">
        <v>110</v>
      </c>
      <c r="E8" s="10" t="s">
        <v>82</v>
      </c>
      <c r="F8" s="10" t="s">
        <v>84</v>
      </c>
      <c r="G8" s="10" t="s">
        <v>109</v>
      </c>
      <c r="H8" s="10" t="s">
        <v>110</v>
      </c>
      <c r="I8" s="10" t="s">
        <v>82</v>
      </c>
      <c r="J8" s="10" t="s">
        <v>84</v>
      </c>
      <c r="K8" s="10" t="s">
        <v>109</v>
      </c>
      <c r="L8" s="10" t="s">
        <v>110</v>
      </c>
      <c r="M8" s="10" t="s">
        <v>82</v>
      </c>
      <c r="N8" s="10" t="s">
        <v>84</v>
      </c>
      <c r="O8" s="10" t="s">
        <v>109</v>
      </c>
      <c r="P8" s="10" t="s">
        <v>110</v>
      </c>
      <c r="Q8" s="10" t="s">
        <v>82</v>
      </c>
      <c r="R8" s="10" t="s">
        <v>84</v>
      </c>
      <c r="S8" s="10" t="s">
        <v>109</v>
      </c>
      <c r="T8" s="10" t="s">
        <v>110</v>
      </c>
      <c r="U8" s="10" t="s">
        <v>82</v>
      </c>
      <c r="V8" s="10" t="s">
        <v>84</v>
      </c>
      <c r="W8" s="10" t="s">
        <v>109</v>
      </c>
      <c r="X8" s="10" t="s">
        <v>110</v>
      </c>
      <c r="Y8" s="10" t="s">
        <v>82</v>
      </c>
      <c r="Z8" s="10" t="s">
        <v>84</v>
      </c>
      <c r="AA8" s="10" t="s">
        <v>109</v>
      </c>
      <c r="AB8" s="10" t="s">
        <v>110</v>
      </c>
      <c r="AC8" s="10" t="s">
        <v>82</v>
      </c>
      <c r="AD8" s="10" t="s">
        <v>84</v>
      </c>
      <c r="AE8" s="10" t="s">
        <v>109</v>
      </c>
      <c r="AF8" s="10" t="s">
        <v>110</v>
      </c>
      <c r="AG8" s="10" t="s">
        <v>82</v>
      </c>
      <c r="AH8" s="10" t="s">
        <v>84</v>
      </c>
      <c r="AI8" s="10" t="s">
        <v>109</v>
      </c>
      <c r="AJ8" s="10" t="s">
        <v>110</v>
      </c>
      <c r="AK8" s="10" t="s">
        <v>82</v>
      </c>
      <c r="AL8" s="10" t="s">
        <v>84</v>
      </c>
      <c r="AM8" s="10" t="s">
        <v>109</v>
      </c>
      <c r="AN8" s="10" t="s">
        <v>110</v>
      </c>
      <c r="AO8" s="10" t="s">
        <v>82</v>
      </c>
      <c r="AP8" s="10" t="s">
        <v>84</v>
      </c>
      <c r="AQ8" s="10" t="s">
        <v>109</v>
      </c>
      <c r="AR8" s="10" t="s">
        <v>110</v>
      </c>
      <c r="AS8" s="10" t="s">
        <v>82</v>
      </c>
      <c r="AT8" s="10" t="s">
        <v>84</v>
      </c>
      <c r="AU8" s="10" t="s">
        <v>109</v>
      </c>
      <c r="AV8" s="10" t="s">
        <v>110</v>
      </c>
      <c r="AW8" s="10" t="s">
        <v>82</v>
      </c>
      <c r="AX8" s="10" t="s">
        <v>84</v>
      </c>
      <c r="AY8" s="10" t="s">
        <v>109</v>
      </c>
      <c r="AZ8" s="10" t="s">
        <v>110</v>
      </c>
      <c r="BA8" s="10" t="s">
        <v>82</v>
      </c>
      <c r="BB8" s="10" t="s">
        <v>84</v>
      </c>
      <c r="BC8" s="10" t="s">
        <v>109</v>
      </c>
      <c r="BD8" s="10" t="s">
        <v>110</v>
      </c>
      <c r="BE8" s="10" t="s">
        <v>82</v>
      </c>
      <c r="BF8" s="10" t="s">
        <v>109</v>
      </c>
      <c r="BG8" s="10" t="s">
        <v>82</v>
      </c>
      <c r="BH8" s="10" t="s">
        <v>82</v>
      </c>
      <c r="BI8" s="10" t="s">
        <v>82</v>
      </c>
    </row>
    <row r="9" spans="1:61" x14ac:dyDescent="0.2">
      <c r="A9" s="7" t="s">
        <v>112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61" x14ac:dyDescent="0.2">
      <c r="A10" s="7" t="s">
        <v>113</v>
      </c>
      <c r="B10" s="10">
        <v>224.56469999999999</v>
      </c>
      <c r="C10" s="10">
        <v>229.31700000000001</v>
      </c>
      <c r="D10" s="10">
        <v>221.83770000000001</v>
      </c>
      <c r="E10" s="10">
        <v>183.49449999999999</v>
      </c>
      <c r="F10" s="10">
        <v>190.72229999999999</v>
      </c>
      <c r="G10" s="10">
        <v>185.12989999999999</v>
      </c>
      <c r="H10" s="10">
        <v>185.98269999999999</v>
      </c>
      <c r="I10" s="10">
        <v>273.7799</v>
      </c>
      <c r="J10" s="10">
        <v>286.4402</v>
      </c>
      <c r="K10" s="10">
        <v>296.82089999999999</v>
      </c>
      <c r="L10" s="10">
        <v>322.45260000000002</v>
      </c>
      <c r="M10" s="10">
        <v>268.48689999999999</v>
      </c>
      <c r="N10" s="10">
        <v>290.91210000000001</v>
      </c>
      <c r="O10" s="10">
        <v>307.9572</v>
      </c>
      <c r="P10" s="10">
        <v>290.80130000000003</v>
      </c>
      <c r="Q10" s="10">
        <v>320.15949999999998</v>
      </c>
      <c r="R10" s="10">
        <v>342.28390000000002</v>
      </c>
      <c r="S10" s="10">
        <v>362.8254</v>
      </c>
      <c r="T10" s="10">
        <v>398.86669999999998</v>
      </c>
      <c r="U10" s="10">
        <v>282.5505</v>
      </c>
      <c r="V10" s="10">
        <v>287.78649999999999</v>
      </c>
      <c r="W10" s="10">
        <v>298.73649999999998</v>
      </c>
      <c r="X10" s="10">
        <v>324.09539999999998</v>
      </c>
      <c r="Y10" s="10">
        <v>314.56909999999999</v>
      </c>
      <c r="Z10" s="10">
        <v>333.72570000000002</v>
      </c>
      <c r="AA10" s="10">
        <v>346.55560000000003</v>
      </c>
      <c r="AB10" s="10">
        <v>388.0779</v>
      </c>
      <c r="AC10" s="10">
        <v>260.90190000000001</v>
      </c>
      <c r="AD10" s="10">
        <v>239.40960000000001</v>
      </c>
      <c r="AE10" s="10">
        <v>235.2621</v>
      </c>
      <c r="AF10" s="10">
        <v>233.84549999999999</v>
      </c>
      <c r="AG10" s="10">
        <v>294.45850000000002</v>
      </c>
      <c r="AH10" s="10">
        <v>391.65949999999998</v>
      </c>
      <c r="AI10" s="10">
        <v>430.4169</v>
      </c>
      <c r="AJ10" s="10">
        <v>1011.2143</v>
      </c>
      <c r="AK10" s="10">
        <v>482.44990000000001</v>
      </c>
      <c r="AL10" s="10">
        <v>581.09590000000003</v>
      </c>
      <c r="AM10" s="10">
        <v>599.46410000000003</v>
      </c>
      <c r="AN10" s="10">
        <v>1788.5595000000001</v>
      </c>
      <c r="AO10" s="10">
        <v>525.04830000000004</v>
      </c>
      <c r="AP10" s="10">
        <v>697.27560000000005</v>
      </c>
      <c r="AQ10" s="10">
        <v>732.73620000000005</v>
      </c>
      <c r="AR10" s="10">
        <v>685.65210000000002</v>
      </c>
      <c r="AS10" s="10">
        <v>500.56270000000001</v>
      </c>
      <c r="AT10" s="10">
        <v>568.04200000000003</v>
      </c>
      <c r="AU10" s="10">
        <v>510.04950000000002</v>
      </c>
      <c r="AV10" s="10">
        <v>389.3913</v>
      </c>
      <c r="AW10" s="10">
        <v>633.26620000000003</v>
      </c>
      <c r="AX10" s="10">
        <v>724.00549999999998</v>
      </c>
      <c r="AY10" s="10">
        <v>748.43060000000003</v>
      </c>
      <c r="AZ10" s="10">
        <v>832.77589999999998</v>
      </c>
      <c r="BA10" s="10">
        <v>486.9819</v>
      </c>
      <c r="BB10" s="10">
        <v>419.3075</v>
      </c>
      <c r="BC10" s="10">
        <v>342.02120000000002</v>
      </c>
      <c r="BD10" s="10">
        <v>278.71319999999997</v>
      </c>
      <c r="BE10" s="10">
        <v>311.04730000000001</v>
      </c>
      <c r="BF10" s="10">
        <v>268.3175</v>
      </c>
      <c r="BG10" s="10">
        <v>326.66759999999999</v>
      </c>
      <c r="BH10" s="10">
        <v>441.64449999999999</v>
      </c>
      <c r="BI10" s="10">
        <v>489.26249999999999</v>
      </c>
    </row>
    <row r="11" spans="1:61" x14ac:dyDescent="0.2">
      <c r="A11" s="7" t="s">
        <v>114</v>
      </c>
      <c r="B11" s="11">
        <v>163.56700000000001</v>
      </c>
      <c r="C11" s="11">
        <v>162.68979999999999</v>
      </c>
      <c r="D11" s="11">
        <v>158.39490000000001</v>
      </c>
      <c r="E11" s="11">
        <v>129.29640000000001</v>
      </c>
      <c r="F11" s="11">
        <v>133.87540000000001</v>
      </c>
      <c r="G11" s="11">
        <v>130.42529999999999</v>
      </c>
      <c r="H11" s="11">
        <v>131.36770000000001</v>
      </c>
      <c r="I11" s="11">
        <v>205.08150000000001</v>
      </c>
      <c r="J11" s="11">
        <v>218.78290000000001</v>
      </c>
      <c r="K11" s="11">
        <v>230.71010000000001</v>
      </c>
      <c r="L11" s="11">
        <v>257.06939999999997</v>
      </c>
      <c r="M11" s="11">
        <v>203.02279999999999</v>
      </c>
      <c r="N11" s="11">
        <v>220.24629999999999</v>
      </c>
      <c r="O11" s="11">
        <v>233.1908</v>
      </c>
      <c r="P11" s="11">
        <v>220.64230000000001</v>
      </c>
      <c r="Q11" s="11">
        <v>238.01650000000001</v>
      </c>
      <c r="R11" s="11">
        <v>262.0342</v>
      </c>
      <c r="S11" s="11">
        <v>278.20710000000003</v>
      </c>
      <c r="T11" s="11">
        <v>309.8107</v>
      </c>
      <c r="U11" s="11">
        <v>214.9639</v>
      </c>
      <c r="V11" s="11">
        <v>213.92920000000001</v>
      </c>
      <c r="W11" s="11">
        <v>219.3784</v>
      </c>
      <c r="X11" s="11">
        <v>247.93389999999999</v>
      </c>
      <c r="Y11" s="11">
        <v>239.93600000000001</v>
      </c>
      <c r="Z11" s="11">
        <v>253.9503</v>
      </c>
      <c r="AA11" s="11">
        <v>265.95740000000001</v>
      </c>
      <c r="AB11" s="11">
        <v>302.82639999999998</v>
      </c>
      <c r="AC11" s="11">
        <v>196.22810000000001</v>
      </c>
      <c r="AD11" s="11">
        <v>173.36590000000001</v>
      </c>
      <c r="AE11" s="11">
        <v>167.80090000000001</v>
      </c>
      <c r="AF11" s="11">
        <v>173.24350000000001</v>
      </c>
      <c r="AG11" s="11">
        <v>212.86660000000001</v>
      </c>
      <c r="AH11" s="11">
        <v>278.55149999999998</v>
      </c>
      <c r="AI11" s="11">
        <v>286.66989999999998</v>
      </c>
      <c r="AJ11" s="11">
        <v>721.73220000000003</v>
      </c>
      <c r="AK11" s="11">
        <v>302.97930000000002</v>
      </c>
      <c r="AL11" s="11">
        <v>370.93009999999998</v>
      </c>
      <c r="AM11" s="11">
        <v>361.80900000000003</v>
      </c>
      <c r="AN11" s="11">
        <v>1137.8003000000001</v>
      </c>
      <c r="AO11" s="11">
        <v>320.76979999999998</v>
      </c>
      <c r="AP11" s="11">
        <v>456.69819999999999</v>
      </c>
      <c r="AQ11" s="11">
        <v>484.39179999999999</v>
      </c>
      <c r="AR11" s="11">
        <v>424.32810000000001</v>
      </c>
      <c r="AS11" s="11">
        <v>356.93040000000002</v>
      </c>
      <c r="AT11" s="11">
        <v>412.71780000000001</v>
      </c>
      <c r="AU11" s="11">
        <v>380.4692</v>
      </c>
      <c r="AV11" s="11">
        <v>286.16849999999999</v>
      </c>
      <c r="AW11" s="11">
        <v>482.37970000000001</v>
      </c>
      <c r="AX11" s="11">
        <v>546.11649999999997</v>
      </c>
      <c r="AY11" s="11">
        <v>563.90980000000002</v>
      </c>
      <c r="AZ11" s="11">
        <v>602.00670000000002</v>
      </c>
      <c r="BA11" s="11">
        <v>368.36180000000002</v>
      </c>
      <c r="BB11" s="11">
        <v>291.54520000000002</v>
      </c>
      <c r="BC11" s="11">
        <v>242.06559999999999</v>
      </c>
      <c r="BD11" s="11">
        <v>202.11089999999999</v>
      </c>
      <c r="BE11" s="11">
        <v>246.54159999999999</v>
      </c>
      <c r="BF11" s="11">
        <v>211.56559999999999</v>
      </c>
      <c r="BG11" s="11">
        <v>265.93779999999998</v>
      </c>
      <c r="BH11" s="11">
        <v>376.2149</v>
      </c>
      <c r="BI11" s="11">
        <v>424.5283</v>
      </c>
    </row>
    <row r="12" spans="1:61" x14ac:dyDescent="0.2">
      <c r="A12" s="7" t="s">
        <v>115</v>
      </c>
      <c r="B12" s="10">
        <v>60.997700000000002</v>
      </c>
      <c r="C12" s="10">
        <v>66.627200000000002</v>
      </c>
      <c r="D12" s="10">
        <v>63.442799999999998</v>
      </c>
      <c r="E12" s="10">
        <v>54.198099999999997</v>
      </c>
      <c r="F12" s="10">
        <v>56.846899999999998</v>
      </c>
      <c r="G12" s="10">
        <v>54.704599999999999</v>
      </c>
      <c r="H12" s="10">
        <v>54.615000000000002</v>
      </c>
      <c r="I12" s="10">
        <v>68.698400000000007</v>
      </c>
      <c r="J12" s="10">
        <v>67.657300000000006</v>
      </c>
      <c r="K12" s="10">
        <v>66.110799999999998</v>
      </c>
      <c r="L12" s="10">
        <v>65.383200000000002</v>
      </c>
      <c r="M12" s="10">
        <v>65.464100000000002</v>
      </c>
      <c r="N12" s="10">
        <v>70.665800000000004</v>
      </c>
      <c r="O12" s="10">
        <v>74.766400000000004</v>
      </c>
      <c r="P12" s="10">
        <v>70.159000000000006</v>
      </c>
      <c r="Q12" s="10">
        <v>82.143000000000001</v>
      </c>
      <c r="R12" s="10">
        <v>80.249700000000004</v>
      </c>
      <c r="S12" s="10">
        <v>84.618300000000005</v>
      </c>
      <c r="T12" s="10">
        <v>89.055999999999997</v>
      </c>
      <c r="U12" s="10">
        <v>67.586600000000004</v>
      </c>
      <c r="V12" s="10">
        <v>73.857299999999995</v>
      </c>
      <c r="W12" s="10">
        <v>79.358099999999993</v>
      </c>
      <c r="X12" s="10">
        <v>76.161500000000004</v>
      </c>
      <c r="Y12" s="10">
        <v>74.633099999999999</v>
      </c>
      <c r="Z12" s="10">
        <v>79.775400000000005</v>
      </c>
      <c r="AA12" s="10">
        <v>80.598200000000006</v>
      </c>
      <c r="AB12" s="10">
        <v>85.251499999999993</v>
      </c>
      <c r="AC12" s="10">
        <v>64.6738</v>
      </c>
      <c r="AD12" s="10">
        <v>66.043700000000001</v>
      </c>
      <c r="AE12" s="10">
        <v>67.461200000000005</v>
      </c>
      <c r="AF12" s="10">
        <v>60.601999999999997</v>
      </c>
      <c r="AG12" s="10">
        <v>81.591899999999995</v>
      </c>
      <c r="AH12" s="10">
        <v>113.108</v>
      </c>
      <c r="AI12" s="10">
        <v>143.74700000000001</v>
      </c>
      <c r="AJ12" s="10">
        <v>289.4821</v>
      </c>
      <c r="AK12" s="10">
        <v>179.47059999999999</v>
      </c>
      <c r="AL12" s="10">
        <v>210.16579999999999</v>
      </c>
      <c r="AM12" s="10">
        <v>237.6551</v>
      </c>
      <c r="AN12" s="10">
        <v>650.75919999999996</v>
      </c>
      <c r="AO12" s="10">
        <v>204.27850000000001</v>
      </c>
      <c r="AP12" s="10">
        <v>240.57740000000001</v>
      </c>
      <c r="AQ12" s="10">
        <v>248.34440000000001</v>
      </c>
      <c r="AR12" s="10">
        <v>261.32400000000001</v>
      </c>
      <c r="AS12" s="10">
        <v>143.63229999999999</v>
      </c>
      <c r="AT12" s="10">
        <v>155.32419999999999</v>
      </c>
      <c r="AU12" s="10">
        <v>129.58029999999999</v>
      </c>
      <c r="AV12" s="10">
        <v>103.22280000000001</v>
      </c>
      <c r="AW12" s="10">
        <v>150.88650000000001</v>
      </c>
      <c r="AX12" s="10">
        <v>177.88900000000001</v>
      </c>
      <c r="AY12" s="10">
        <v>184.52080000000001</v>
      </c>
      <c r="AZ12" s="10">
        <v>230.76920000000001</v>
      </c>
      <c r="BA12" s="10">
        <v>118.62009999999999</v>
      </c>
      <c r="BB12" s="10">
        <v>127.7623</v>
      </c>
      <c r="BC12" s="10">
        <v>99.955600000000004</v>
      </c>
      <c r="BD12" s="10">
        <v>76.6023</v>
      </c>
      <c r="BE12" s="10">
        <v>64.505700000000004</v>
      </c>
      <c r="BF12" s="10">
        <v>56.751899999999999</v>
      </c>
      <c r="BG12" s="10">
        <v>60.729799999999997</v>
      </c>
      <c r="BH12" s="10">
        <v>65.429599999999994</v>
      </c>
      <c r="BI12" s="10">
        <v>64.734200000000001</v>
      </c>
    </row>
    <row r="13" spans="1:61" x14ac:dyDescent="0.2">
      <c r="A13" s="7" t="s">
        <v>116</v>
      </c>
      <c r="B13" s="11">
        <v>1.6507000000000001</v>
      </c>
      <c r="C13" s="11">
        <v>1.1064000000000001</v>
      </c>
      <c r="D13" s="11">
        <v>0.56820000000000004</v>
      </c>
      <c r="E13" s="11">
        <v>2.7843</v>
      </c>
      <c r="F13" s="11">
        <v>2.0167999999999999</v>
      </c>
      <c r="G13" s="11">
        <v>1.3801000000000001</v>
      </c>
      <c r="H13" s="11">
        <v>0.68510000000000004</v>
      </c>
      <c r="I13" s="11">
        <v>1.7554000000000001</v>
      </c>
      <c r="J13" s="11">
        <v>1.2341</v>
      </c>
      <c r="K13" s="11">
        <v>0.7802</v>
      </c>
      <c r="L13" s="11">
        <v>0.35010000000000002</v>
      </c>
      <c r="M13" s="11">
        <v>1.7732000000000001</v>
      </c>
      <c r="N13" s="11">
        <v>1.2259</v>
      </c>
      <c r="O13" s="11">
        <v>0.77190000000000003</v>
      </c>
      <c r="P13" s="11">
        <v>0.40789999999999998</v>
      </c>
      <c r="Q13" s="11">
        <v>1.5125</v>
      </c>
      <c r="R13" s="11">
        <v>1.0304</v>
      </c>
      <c r="S13" s="11">
        <v>0.64700000000000002</v>
      </c>
      <c r="T13" s="11">
        <v>0.29049999999999998</v>
      </c>
      <c r="U13" s="11">
        <v>1.6747000000000001</v>
      </c>
      <c r="V13" s="11">
        <v>1.2621</v>
      </c>
      <c r="W13" s="11">
        <v>0.82050000000000001</v>
      </c>
      <c r="X13" s="11">
        <v>0.36299999999999999</v>
      </c>
      <c r="Y13" s="11">
        <v>1.5004</v>
      </c>
      <c r="Z13" s="11">
        <v>1.0631999999999999</v>
      </c>
      <c r="AA13" s="11">
        <v>0.67679999999999996</v>
      </c>
      <c r="AB13" s="11">
        <v>0.29720000000000002</v>
      </c>
      <c r="AC13" s="11">
        <v>1.8346</v>
      </c>
      <c r="AD13" s="11">
        <v>1.5573999999999999</v>
      </c>
      <c r="AE13" s="11">
        <v>1.0727</v>
      </c>
      <c r="AF13" s="11">
        <v>0.51949999999999996</v>
      </c>
      <c r="AG13" s="11">
        <v>1.6912</v>
      </c>
      <c r="AH13" s="11">
        <v>0.96930000000000005</v>
      </c>
      <c r="AI13" s="11">
        <v>0.62790000000000001</v>
      </c>
      <c r="AJ13" s="11">
        <v>0.12470000000000001</v>
      </c>
      <c r="AK13" s="11">
        <v>1.1881999999999999</v>
      </c>
      <c r="AL13" s="11">
        <v>0.72789999999999999</v>
      </c>
      <c r="AM13" s="11">
        <v>0.4975</v>
      </c>
      <c r="AN13" s="11">
        <v>7.9100000000000004E-2</v>
      </c>
      <c r="AO13" s="11">
        <v>1.1223000000000001</v>
      </c>
      <c r="AP13" s="11">
        <v>0.59119999999999995</v>
      </c>
      <c r="AQ13" s="11">
        <v>0.37159999999999999</v>
      </c>
      <c r="AR13" s="11">
        <v>0.21210000000000001</v>
      </c>
      <c r="AS13" s="11">
        <v>1.0085999999999999</v>
      </c>
      <c r="AT13" s="11">
        <v>0.6542</v>
      </c>
      <c r="AU13" s="11">
        <v>0.47310000000000002</v>
      </c>
      <c r="AV13" s="11">
        <v>0.3145</v>
      </c>
      <c r="AW13" s="11">
        <v>0.74629999999999996</v>
      </c>
      <c r="AX13" s="11">
        <v>0.49440000000000001</v>
      </c>
      <c r="AY13" s="11">
        <v>0.31919999999999998</v>
      </c>
      <c r="AZ13" s="11">
        <v>0.14949999999999999</v>
      </c>
      <c r="BA13" s="11">
        <v>0.97729999999999995</v>
      </c>
      <c r="BB13" s="11">
        <v>0.92610000000000003</v>
      </c>
      <c r="BC13" s="11">
        <v>0.74360000000000004</v>
      </c>
      <c r="BD13" s="11">
        <v>0.44529999999999997</v>
      </c>
      <c r="BE13" s="11">
        <v>1.4601999999999999</v>
      </c>
      <c r="BF13" s="11">
        <v>0.8508</v>
      </c>
      <c r="BG13" s="11">
        <v>1.3536999999999999</v>
      </c>
      <c r="BH13" s="11">
        <v>0.95689999999999997</v>
      </c>
      <c r="BI13" s="11">
        <v>0.84799999999999998</v>
      </c>
    </row>
    <row r="14" spans="1:61" x14ac:dyDescent="0.2">
      <c r="A14" s="7" t="s">
        <v>117</v>
      </c>
      <c r="B14" s="10">
        <v>4.4264000000000001</v>
      </c>
      <c r="C14" s="10">
        <v>2.7016</v>
      </c>
      <c r="D14" s="10">
        <v>1.4186000000000001</v>
      </c>
      <c r="E14" s="10">
        <v>6.6422999999999996</v>
      </c>
      <c r="F14" s="10">
        <v>4.7496</v>
      </c>
      <c r="G14" s="10">
        <v>3.2904</v>
      </c>
      <c r="H14" s="10">
        <v>1.6478999999999999</v>
      </c>
      <c r="I14" s="10">
        <v>5.2403000000000004</v>
      </c>
      <c r="J14" s="10">
        <v>3.9906999999999999</v>
      </c>
      <c r="K14" s="10">
        <v>2.7227000000000001</v>
      </c>
      <c r="L14" s="10">
        <v>1.3765000000000001</v>
      </c>
      <c r="M14" s="10">
        <v>5.4992000000000001</v>
      </c>
      <c r="N14" s="10">
        <v>3.8208000000000002</v>
      </c>
      <c r="O14" s="10">
        <v>2.4075000000000002</v>
      </c>
      <c r="P14" s="10">
        <v>1.2827999999999999</v>
      </c>
      <c r="Q14" s="10">
        <v>4.3826000000000001</v>
      </c>
      <c r="R14" s="10">
        <v>3.3645</v>
      </c>
      <c r="S14" s="10">
        <v>2.1272000000000002</v>
      </c>
      <c r="T14" s="10">
        <v>1.0105999999999999</v>
      </c>
      <c r="U14" s="10">
        <v>5.3265000000000002</v>
      </c>
      <c r="V14" s="10">
        <v>3.6556999999999999</v>
      </c>
      <c r="W14" s="10">
        <v>2.2682000000000002</v>
      </c>
      <c r="X14" s="10">
        <v>1.1817</v>
      </c>
      <c r="Y14" s="10">
        <v>4.8235999999999999</v>
      </c>
      <c r="Z14" s="10">
        <v>3.3845000000000001</v>
      </c>
      <c r="AA14" s="10">
        <v>2.2332999999999998</v>
      </c>
      <c r="AB14" s="10">
        <v>1.0557000000000001</v>
      </c>
      <c r="AC14" s="10">
        <v>5.5663999999999998</v>
      </c>
      <c r="AD14" s="10">
        <v>4.0881999999999996</v>
      </c>
      <c r="AE14" s="10">
        <v>2.6682000000000001</v>
      </c>
      <c r="AF14" s="10">
        <v>1.4851000000000001</v>
      </c>
      <c r="AG14" s="10">
        <v>4.4122000000000003</v>
      </c>
      <c r="AH14" s="10">
        <v>2.3871000000000002</v>
      </c>
      <c r="AI14" s="10">
        <v>1.2522</v>
      </c>
      <c r="AJ14" s="10">
        <v>0.31090000000000001</v>
      </c>
      <c r="AK14" s="10">
        <v>2.0059</v>
      </c>
      <c r="AL14" s="10">
        <v>1.2847</v>
      </c>
      <c r="AM14" s="10">
        <v>0.75739999999999996</v>
      </c>
      <c r="AN14" s="10">
        <v>0.13830000000000001</v>
      </c>
      <c r="AO14" s="10">
        <v>1.7623</v>
      </c>
      <c r="AP14" s="10">
        <v>1.1223000000000001</v>
      </c>
      <c r="AQ14" s="10">
        <v>0.7248</v>
      </c>
      <c r="AR14" s="10">
        <v>0.34439999999999998</v>
      </c>
      <c r="AS14" s="10">
        <v>2.5064000000000002</v>
      </c>
      <c r="AT14" s="10">
        <v>1.7383</v>
      </c>
      <c r="AU14" s="10">
        <v>1.3891</v>
      </c>
      <c r="AV14" s="10">
        <v>0.87190000000000001</v>
      </c>
      <c r="AW14" s="10">
        <v>2.3858999999999999</v>
      </c>
      <c r="AX14" s="10">
        <v>1.5178</v>
      </c>
      <c r="AY14" s="10">
        <v>0.97550000000000003</v>
      </c>
      <c r="AZ14" s="10">
        <v>0.39</v>
      </c>
      <c r="BA14" s="10">
        <v>3.0348999999999999</v>
      </c>
      <c r="BB14" s="10">
        <v>2.1133000000000002</v>
      </c>
      <c r="BC14" s="10">
        <v>1.8008</v>
      </c>
      <c r="BD14" s="10">
        <v>1.1749000000000001</v>
      </c>
      <c r="BE14" s="10">
        <v>5.5808999999999997</v>
      </c>
      <c r="BF14" s="10">
        <v>3.1717</v>
      </c>
      <c r="BG14" s="10">
        <v>5.9279000000000002</v>
      </c>
      <c r="BH14" s="10">
        <v>5.5021000000000004</v>
      </c>
      <c r="BI14" s="10">
        <v>5.5612000000000004</v>
      </c>
    </row>
    <row r="15" spans="1:61" x14ac:dyDescent="0.2">
      <c r="A15" s="7" t="s">
        <v>118</v>
      </c>
      <c r="B15" s="11">
        <v>1.119</v>
      </c>
      <c r="C15" s="11">
        <v>0.71279999999999999</v>
      </c>
      <c r="D15" s="11">
        <v>0.34429999999999999</v>
      </c>
      <c r="E15" s="11">
        <v>1.6169</v>
      </c>
      <c r="F15" s="11">
        <v>1.2365999999999999</v>
      </c>
      <c r="G15" s="11">
        <v>0.82940000000000003</v>
      </c>
      <c r="H15" s="11">
        <v>0.39300000000000002</v>
      </c>
      <c r="I15" s="11">
        <v>1.0253000000000001</v>
      </c>
      <c r="J15" s="11">
        <v>0.67300000000000004</v>
      </c>
      <c r="K15" s="11">
        <v>0.40870000000000001</v>
      </c>
      <c r="L15" s="11">
        <v>0.18740000000000001</v>
      </c>
      <c r="M15" s="11">
        <v>0.98340000000000005</v>
      </c>
      <c r="N15" s="11">
        <v>0.69179999999999997</v>
      </c>
      <c r="O15" s="11">
        <v>0.4224</v>
      </c>
      <c r="P15" s="11">
        <v>0.2104</v>
      </c>
      <c r="Q15" s="11">
        <v>0.85489999999999999</v>
      </c>
      <c r="R15" s="11">
        <v>0.67849999999999999</v>
      </c>
      <c r="S15" s="11">
        <v>0.4234</v>
      </c>
      <c r="T15" s="11">
        <v>0.19769999999999999</v>
      </c>
      <c r="U15" s="11">
        <v>1.0089999999999999</v>
      </c>
      <c r="V15" s="11">
        <v>0.75180000000000002</v>
      </c>
      <c r="W15" s="11">
        <v>0.4854</v>
      </c>
      <c r="X15" s="11">
        <v>0.215</v>
      </c>
      <c r="Y15" s="11">
        <v>0.9375</v>
      </c>
      <c r="Z15" s="11">
        <v>0.67459999999999998</v>
      </c>
      <c r="AA15" s="11">
        <v>0.41439999999999999</v>
      </c>
      <c r="AB15" s="11">
        <v>0.18060000000000001</v>
      </c>
      <c r="AC15" s="11">
        <v>1.2181</v>
      </c>
      <c r="AD15" s="11">
        <v>0.98650000000000004</v>
      </c>
      <c r="AE15" s="11">
        <v>0.64470000000000005</v>
      </c>
      <c r="AF15" s="11">
        <v>0.33710000000000001</v>
      </c>
      <c r="AG15" s="11">
        <v>1.0222</v>
      </c>
      <c r="AH15" s="11">
        <v>0.5111</v>
      </c>
      <c r="AI15" s="11">
        <v>0.23080000000000001</v>
      </c>
      <c r="AJ15" s="11">
        <v>4.8399999999999999E-2</v>
      </c>
      <c r="AK15" s="11">
        <v>0.43980000000000002</v>
      </c>
      <c r="AL15" s="11">
        <v>0.28160000000000002</v>
      </c>
      <c r="AM15" s="11">
        <v>0.1933</v>
      </c>
      <c r="AN15" s="11">
        <v>3.6400000000000002E-2</v>
      </c>
      <c r="AO15" s="11">
        <v>0.40579999999999999</v>
      </c>
      <c r="AP15" s="11">
        <v>0.23730000000000001</v>
      </c>
      <c r="AQ15" s="11">
        <v>0.14410000000000001</v>
      </c>
      <c r="AR15" s="11">
        <v>6.3700000000000007E-2</v>
      </c>
      <c r="AS15" s="11">
        <v>0.35310000000000002</v>
      </c>
      <c r="AT15" s="11">
        <v>0.23749999999999999</v>
      </c>
      <c r="AU15" s="11">
        <v>0.17599999999999999</v>
      </c>
      <c r="AV15" s="11">
        <v>0.1072</v>
      </c>
      <c r="AW15" s="11">
        <v>0.2412</v>
      </c>
      <c r="AX15" s="11">
        <v>0.16139999999999999</v>
      </c>
      <c r="AY15" s="11">
        <v>0.1011</v>
      </c>
      <c r="AZ15" s="11">
        <v>4.4999999999999998E-2</v>
      </c>
      <c r="BA15" s="11">
        <v>0.43409999999999999</v>
      </c>
      <c r="BB15" s="11">
        <v>0.38940000000000002</v>
      </c>
      <c r="BC15" s="11">
        <v>0.3085</v>
      </c>
      <c r="BD15" s="11">
        <v>0.16930000000000001</v>
      </c>
      <c r="BE15" s="11">
        <v>1.0888</v>
      </c>
      <c r="BF15" s="11">
        <v>0.58409999999999995</v>
      </c>
      <c r="BG15" s="11">
        <v>1.0223</v>
      </c>
      <c r="BH15" s="11">
        <v>0.85970000000000002</v>
      </c>
      <c r="BI15" s="11">
        <v>0.80049999999999999</v>
      </c>
    </row>
    <row r="16" spans="1:61" x14ac:dyDescent="0.2">
      <c r="A16" s="7" t="s">
        <v>119</v>
      </c>
      <c r="B16" s="10">
        <v>4.056</v>
      </c>
      <c r="C16" s="10">
        <v>2.4794</v>
      </c>
      <c r="D16" s="10">
        <v>1.1384000000000001</v>
      </c>
      <c r="E16" s="10">
        <v>4.8860000000000001</v>
      </c>
      <c r="F16" s="10">
        <v>3.8098000000000001</v>
      </c>
      <c r="G16" s="10">
        <v>2.4849999999999999</v>
      </c>
      <c r="H16" s="10">
        <v>1.18</v>
      </c>
      <c r="I16" s="10">
        <v>2.9918999999999998</v>
      </c>
      <c r="J16" s="10">
        <v>2.0606</v>
      </c>
      <c r="K16" s="10">
        <v>1.2139</v>
      </c>
      <c r="L16" s="10">
        <v>0.57279999999999998</v>
      </c>
      <c r="M16" s="10">
        <v>3.0278</v>
      </c>
      <c r="N16" s="10">
        <v>2.1404999999999998</v>
      </c>
      <c r="O16" s="10">
        <v>1.3351999999999999</v>
      </c>
      <c r="P16" s="10">
        <v>0.66439999999999999</v>
      </c>
      <c r="Q16" s="10">
        <v>2.6183999999999998</v>
      </c>
      <c r="R16" s="10">
        <v>1.7847</v>
      </c>
      <c r="S16" s="10">
        <v>1.1413</v>
      </c>
      <c r="T16" s="10">
        <v>0.50880000000000003</v>
      </c>
      <c r="U16" s="10">
        <v>3.0152000000000001</v>
      </c>
      <c r="V16" s="10">
        <v>2.2722000000000002</v>
      </c>
      <c r="W16" s="10">
        <v>1.4746999999999999</v>
      </c>
      <c r="X16" s="10">
        <v>0.64539999999999997</v>
      </c>
      <c r="Y16" s="10">
        <v>2.7608999999999999</v>
      </c>
      <c r="Z16" s="10">
        <v>2.0659999999999998</v>
      </c>
      <c r="AA16" s="10">
        <v>1.3152999999999999</v>
      </c>
      <c r="AB16" s="10">
        <v>0.5766</v>
      </c>
      <c r="AC16" s="10">
        <v>3.8788999999999998</v>
      </c>
      <c r="AD16" s="10">
        <v>3.2787999999999999</v>
      </c>
      <c r="AE16" s="10">
        <v>2.2808000000000002</v>
      </c>
      <c r="AF16" s="10">
        <v>1.1820999999999999</v>
      </c>
      <c r="AG16" s="10">
        <v>3.5026999999999999</v>
      </c>
      <c r="AH16" s="10">
        <v>1.7934000000000001</v>
      </c>
      <c r="AI16" s="10">
        <v>0.39240000000000003</v>
      </c>
      <c r="AJ16" s="10">
        <v>0.08</v>
      </c>
      <c r="AK16" s="10">
        <v>0.70940000000000003</v>
      </c>
      <c r="AL16" s="10">
        <v>0.44490000000000002</v>
      </c>
      <c r="AM16" s="10">
        <v>0.30280000000000001</v>
      </c>
      <c r="AN16" s="10">
        <v>5.4399999999999997E-2</v>
      </c>
      <c r="AO16" s="10">
        <v>0.76090000000000002</v>
      </c>
      <c r="AP16" s="10">
        <v>0.51729999999999998</v>
      </c>
      <c r="AQ16" s="10">
        <v>0.32550000000000001</v>
      </c>
      <c r="AR16" s="10">
        <v>0.14419999999999999</v>
      </c>
      <c r="AS16" s="10">
        <v>0.91890000000000005</v>
      </c>
      <c r="AT16" s="10">
        <v>0.63680000000000003</v>
      </c>
      <c r="AU16" s="10">
        <v>0.47120000000000001</v>
      </c>
      <c r="AV16" s="10">
        <v>0.30780000000000002</v>
      </c>
      <c r="AW16" s="10">
        <v>0.71250000000000002</v>
      </c>
      <c r="AX16" s="10">
        <v>0.48199999999999998</v>
      </c>
      <c r="AY16" s="10">
        <v>0.29380000000000001</v>
      </c>
      <c r="AZ16" s="10">
        <v>0.13700000000000001</v>
      </c>
      <c r="BA16" s="10">
        <v>1.0928</v>
      </c>
      <c r="BB16" s="10">
        <v>1.1500999999999999</v>
      </c>
      <c r="BC16" s="10">
        <v>0.96879999999999999</v>
      </c>
      <c r="BD16" s="10">
        <v>0.58640000000000003</v>
      </c>
      <c r="BE16" s="10">
        <v>2.4594</v>
      </c>
      <c r="BF16" s="10">
        <v>1.4281999999999999</v>
      </c>
      <c r="BG16" s="10">
        <v>2.8439999999999999</v>
      </c>
      <c r="BH16" s="10">
        <v>3.2551999999999999</v>
      </c>
      <c r="BI16" s="10">
        <v>6.1657000000000002</v>
      </c>
    </row>
    <row r="17" spans="1:61" x14ac:dyDescent="0.2">
      <c r="A17" s="7" t="s">
        <v>120</v>
      </c>
      <c r="B17" s="11">
        <v>0.72909999999999997</v>
      </c>
      <c r="C17" s="11">
        <v>0.4647</v>
      </c>
      <c r="D17" s="11">
        <v>0.2208</v>
      </c>
      <c r="E17" s="11">
        <v>0.97650000000000003</v>
      </c>
      <c r="F17" s="11">
        <v>0.73470000000000002</v>
      </c>
      <c r="G17" s="11">
        <v>0.48609999999999998</v>
      </c>
      <c r="H17" s="11">
        <v>0.22869999999999999</v>
      </c>
      <c r="I17" s="11">
        <v>0.58630000000000004</v>
      </c>
      <c r="J17" s="11">
        <v>0.39579999999999999</v>
      </c>
      <c r="K17" s="11">
        <v>0.23719999999999999</v>
      </c>
      <c r="L17" s="11">
        <v>0.1094</v>
      </c>
      <c r="M17" s="11">
        <v>0.58220000000000005</v>
      </c>
      <c r="N17" s="11">
        <v>0.41249999999999998</v>
      </c>
      <c r="O17" s="11">
        <v>0.254</v>
      </c>
      <c r="P17" s="11">
        <v>0.12659999999999999</v>
      </c>
      <c r="Q17" s="11">
        <v>0.51</v>
      </c>
      <c r="R17" s="11">
        <v>0.38019999999999998</v>
      </c>
      <c r="S17" s="11">
        <v>0.2387</v>
      </c>
      <c r="T17" s="11">
        <v>0.11</v>
      </c>
      <c r="U17" s="11">
        <v>0.58489999999999998</v>
      </c>
      <c r="V17" s="11">
        <v>0.43909999999999999</v>
      </c>
      <c r="W17" s="11">
        <v>0.28149999999999997</v>
      </c>
      <c r="X17" s="11">
        <v>0.12330000000000001</v>
      </c>
      <c r="Y17" s="11">
        <v>0.51239999999999997</v>
      </c>
      <c r="Z17" s="11">
        <v>0.36709999999999998</v>
      </c>
      <c r="AA17" s="11">
        <v>0.22869999999999999</v>
      </c>
      <c r="AB17" s="11">
        <v>9.9699999999999997E-2</v>
      </c>
      <c r="AC17" s="11">
        <v>0.64900000000000002</v>
      </c>
      <c r="AD17" s="11">
        <v>0.53239999999999998</v>
      </c>
      <c r="AE17" s="11">
        <v>0.35470000000000002</v>
      </c>
      <c r="AF17" s="11">
        <v>0.18140000000000001</v>
      </c>
      <c r="AG17" s="11">
        <v>0.55840000000000001</v>
      </c>
      <c r="AH17" s="11">
        <v>0.28029999999999999</v>
      </c>
      <c r="AI17" s="11">
        <v>0.1125</v>
      </c>
      <c r="AJ17" s="11">
        <v>2.3300000000000001E-2</v>
      </c>
      <c r="AK17" s="11">
        <v>0.20669999999999999</v>
      </c>
      <c r="AL17" s="11">
        <v>0.1305</v>
      </c>
      <c r="AM17" s="11">
        <v>8.9200000000000002E-2</v>
      </c>
      <c r="AN17" s="11">
        <v>1.6299999999999999E-2</v>
      </c>
      <c r="AO17" s="11">
        <v>0.18720000000000001</v>
      </c>
      <c r="AP17" s="11">
        <v>0.1094</v>
      </c>
      <c r="AQ17" s="11">
        <v>6.5799999999999997E-2</v>
      </c>
      <c r="AR17" s="11">
        <v>2.93E-2</v>
      </c>
      <c r="AS17" s="11">
        <v>0.17019999999999999</v>
      </c>
      <c r="AT17" s="11">
        <v>0.10979999999999999</v>
      </c>
      <c r="AU17" s="11">
        <v>8.1299999999999997E-2</v>
      </c>
      <c r="AV17" s="11">
        <v>5.2200000000000003E-2</v>
      </c>
      <c r="AW17" s="11">
        <v>0.1409</v>
      </c>
      <c r="AX17" s="11">
        <v>0.10249999999999999</v>
      </c>
      <c r="AY17" s="11">
        <v>6.3500000000000001E-2</v>
      </c>
      <c r="AZ17" s="11">
        <v>3.1800000000000002E-2</v>
      </c>
      <c r="BA17" s="11">
        <v>0.27829999999999999</v>
      </c>
      <c r="BB17" s="11">
        <v>0.25359999999999999</v>
      </c>
      <c r="BC17" s="11">
        <v>0.2019</v>
      </c>
      <c r="BD17" s="11">
        <v>0.1148</v>
      </c>
      <c r="BE17" s="11">
        <v>0.63019999999999998</v>
      </c>
      <c r="BF17" s="11">
        <v>0.34520000000000001</v>
      </c>
      <c r="BG17" s="11">
        <v>0.66169999999999995</v>
      </c>
      <c r="BH17" s="11">
        <v>0.63980000000000004</v>
      </c>
      <c r="BI17" s="11">
        <v>0.68120000000000003</v>
      </c>
    </row>
    <row r="18" spans="1:61" x14ac:dyDescent="0.2">
      <c r="A18" s="7" t="s">
        <v>121</v>
      </c>
      <c r="B18" s="10">
        <v>3.4363000000000001</v>
      </c>
      <c r="C18" s="10">
        <v>2.3742000000000001</v>
      </c>
      <c r="D18" s="10">
        <v>1.236</v>
      </c>
      <c r="E18" s="10">
        <v>6.5164999999999997</v>
      </c>
      <c r="F18" s="10">
        <v>4.3160999999999996</v>
      </c>
      <c r="G18" s="10">
        <v>2.8193000000000001</v>
      </c>
      <c r="H18" s="10">
        <v>1.4285000000000001</v>
      </c>
      <c r="I18" s="10">
        <v>4.7995000000000001</v>
      </c>
      <c r="J18" s="10">
        <v>3.4009</v>
      </c>
      <c r="K18" s="10">
        <v>2.8264</v>
      </c>
      <c r="L18" s="10">
        <v>1.3802000000000001</v>
      </c>
      <c r="M18" s="10">
        <v>5.8232999999999997</v>
      </c>
      <c r="N18" s="10">
        <v>3.7044999999999999</v>
      </c>
      <c r="O18" s="10">
        <v>2.1465000000000001</v>
      </c>
      <c r="P18" s="10">
        <v>1.3119000000000001</v>
      </c>
      <c r="Q18" s="10">
        <v>4.4531000000000001</v>
      </c>
      <c r="R18" s="10">
        <v>3.0245000000000002</v>
      </c>
      <c r="S18" s="10">
        <v>2.0766</v>
      </c>
      <c r="T18" s="10">
        <v>0.94259999999999999</v>
      </c>
      <c r="U18" s="10">
        <v>4.0026000000000002</v>
      </c>
      <c r="V18" s="10">
        <v>2.9944999999999999</v>
      </c>
      <c r="W18" s="10">
        <v>1.8672</v>
      </c>
      <c r="X18" s="10">
        <v>0.81020000000000003</v>
      </c>
      <c r="Y18" s="10">
        <v>3.3650000000000002</v>
      </c>
      <c r="Z18" s="10">
        <v>2.8121999999999998</v>
      </c>
      <c r="AA18" s="10">
        <v>1.8853</v>
      </c>
      <c r="AB18" s="10"/>
      <c r="AC18" s="10">
        <v>3.4009999999999998</v>
      </c>
      <c r="AD18" s="10"/>
      <c r="AE18" s="10">
        <v>1.8205</v>
      </c>
      <c r="AF18" s="10">
        <v>0.88590000000000002</v>
      </c>
      <c r="AG18" s="10">
        <v>2.4390999999999998</v>
      </c>
      <c r="AH18" s="10">
        <v>1.4266000000000001</v>
      </c>
      <c r="AI18" s="10">
        <v>4.1231</v>
      </c>
      <c r="AJ18" s="10">
        <v>0.81630000000000003</v>
      </c>
      <c r="AK18" s="10">
        <v>8.1168999999999993</v>
      </c>
      <c r="AL18" s="10">
        <v>4.9447999999999999</v>
      </c>
      <c r="AM18" s="10">
        <v>3.1671</v>
      </c>
      <c r="AN18" s="10">
        <v>0.71930000000000005</v>
      </c>
      <c r="AO18" s="10">
        <v>8.4553999999999991</v>
      </c>
      <c r="AP18" s="10">
        <v>5.2298999999999998</v>
      </c>
      <c r="AQ18" s="10">
        <v>2.8592</v>
      </c>
      <c r="AR18" s="10">
        <v>1.5863</v>
      </c>
      <c r="AS18" s="10">
        <v>5.9596999999999998</v>
      </c>
      <c r="AT18" s="10">
        <v>3.6221999999999999</v>
      </c>
      <c r="AU18" s="10">
        <v>2.2378</v>
      </c>
      <c r="AV18" s="10">
        <v>1.6119000000000001</v>
      </c>
      <c r="AW18" s="10">
        <v>4.2794999999999996</v>
      </c>
      <c r="AX18" s="10">
        <v>2.7606999999999999</v>
      </c>
      <c r="AY18" s="10">
        <v>2.4622000000000002</v>
      </c>
      <c r="AZ18" s="10">
        <v>1.1553</v>
      </c>
      <c r="BA18" s="10">
        <v>4.7826000000000004</v>
      </c>
      <c r="BB18" s="10">
        <v>4.0225999999999997</v>
      </c>
      <c r="BC18" s="10">
        <v>3.1703999999999999</v>
      </c>
      <c r="BD18" s="10">
        <v>1.7477</v>
      </c>
      <c r="BE18" s="10">
        <v>4.8986999999999998</v>
      </c>
      <c r="BF18" s="10">
        <v>2.4615999999999998</v>
      </c>
      <c r="BG18" s="10">
        <v>4.1813000000000002</v>
      </c>
      <c r="BH18" s="10">
        <v>4.3331999999999997</v>
      </c>
      <c r="BI18" s="10"/>
    </row>
    <row r="19" spans="1:61" x14ac:dyDescent="0.2">
      <c r="A19" s="7" t="s">
        <v>122</v>
      </c>
      <c r="B19" s="11">
        <v>78.573800000000006</v>
      </c>
      <c r="C19" s="11">
        <v>75.816299999999998</v>
      </c>
      <c r="D19" s="11">
        <v>72.817999999999998</v>
      </c>
      <c r="E19" s="11">
        <v>55.244199999999999</v>
      </c>
      <c r="F19" s="11">
        <v>62.556699999999999</v>
      </c>
      <c r="G19" s="11">
        <v>63.845999999999997</v>
      </c>
      <c r="H19" s="11">
        <v>63.002299999999998</v>
      </c>
      <c r="I19" s="11">
        <v>75.007300000000001</v>
      </c>
      <c r="J19" s="11">
        <v>79.389600000000002</v>
      </c>
      <c r="K19" s="11">
        <v>63.6858</v>
      </c>
      <c r="L19" s="11">
        <v>65.2102</v>
      </c>
      <c r="M19" s="11">
        <v>61.820999999999998</v>
      </c>
      <c r="N19" s="11">
        <v>72.883300000000006</v>
      </c>
      <c r="O19" s="11">
        <v>83.859399999999994</v>
      </c>
      <c r="P19" s="11">
        <v>68.602999999999994</v>
      </c>
      <c r="Q19" s="11">
        <v>80.843299999999999</v>
      </c>
      <c r="R19" s="11">
        <v>89.269900000000007</v>
      </c>
      <c r="S19" s="11">
        <v>86.679000000000002</v>
      </c>
      <c r="T19" s="11">
        <v>95.481300000000005</v>
      </c>
      <c r="U19" s="11">
        <v>89.941999999999993</v>
      </c>
      <c r="V19" s="11">
        <v>90.164299999999997</v>
      </c>
      <c r="W19" s="11">
        <v>96.403599999999997</v>
      </c>
      <c r="X19" s="11">
        <v>111.0882</v>
      </c>
      <c r="Y19" s="11">
        <v>106.9825</v>
      </c>
      <c r="Z19" s="11">
        <v>96.01</v>
      </c>
      <c r="AA19" s="11">
        <v>95.476699999999994</v>
      </c>
      <c r="AB19" s="11">
        <v>114.5966</v>
      </c>
      <c r="AC19" s="11">
        <v>105.85080000000001</v>
      </c>
      <c r="AD19" s="11">
        <v>121.9038</v>
      </c>
      <c r="AE19" s="11">
        <v>98.874200000000002</v>
      </c>
      <c r="AF19" s="11">
        <v>101.5886</v>
      </c>
      <c r="AG19" s="11">
        <v>147.59309999999999</v>
      </c>
      <c r="AH19" s="11">
        <v>189.2567</v>
      </c>
      <c r="AI19" s="11">
        <v>43.656700000000001</v>
      </c>
      <c r="AJ19" s="11">
        <v>110.2578</v>
      </c>
      <c r="AK19" s="11">
        <v>44.351999999999997</v>
      </c>
      <c r="AL19" s="11">
        <v>54.602600000000002</v>
      </c>
      <c r="AM19" s="11">
        <v>56.834099999999999</v>
      </c>
      <c r="AN19" s="11">
        <v>125.1237</v>
      </c>
      <c r="AO19" s="11">
        <v>42.576099999999997</v>
      </c>
      <c r="AP19" s="11">
        <v>51.6265</v>
      </c>
      <c r="AQ19" s="11">
        <v>62.9557</v>
      </c>
      <c r="AR19" s="11">
        <v>56.7346</v>
      </c>
      <c r="AS19" s="11">
        <v>60.405299999999997</v>
      </c>
      <c r="AT19" s="11">
        <v>74.541200000000003</v>
      </c>
      <c r="AU19" s="11">
        <v>80.436300000000003</v>
      </c>
      <c r="AV19" s="11">
        <v>55.834699999999998</v>
      </c>
      <c r="AW19" s="11">
        <v>84.121499999999997</v>
      </c>
      <c r="AX19" s="11">
        <v>97.802599999999998</v>
      </c>
      <c r="AY19" s="11">
        <v>73.105400000000003</v>
      </c>
      <c r="AZ19" s="11">
        <v>77.900099999999995</v>
      </c>
      <c r="BA19" s="11">
        <v>75.272099999999995</v>
      </c>
      <c r="BB19" s="11">
        <v>67.12</v>
      </c>
      <c r="BC19" s="11">
        <v>56.775599999999997</v>
      </c>
      <c r="BD19" s="11">
        <v>51.497199999999999</v>
      </c>
      <c r="BE19" s="11">
        <v>73.489000000000004</v>
      </c>
      <c r="BF19" s="11">
        <v>73.123400000000004</v>
      </c>
      <c r="BG19" s="11">
        <v>86.096999999999994</v>
      </c>
      <c r="BH19" s="11">
        <v>83.078699999999998</v>
      </c>
      <c r="BI19" s="11">
        <v>60.680300000000003</v>
      </c>
    </row>
    <row r="20" spans="1:61" x14ac:dyDescent="0.2">
      <c r="A20" s="7" t="s">
        <v>123</v>
      </c>
      <c r="B20" s="10">
        <v>145.99090000000001</v>
      </c>
      <c r="C20" s="10">
        <v>153.50069999999999</v>
      </c>
      <c r="D20" s="10">
        <v>149.0197</v>
      </c>
      <c r="E20" s="10">
        <v>128.25030000000001</v>
      </c>
      <c r="F20" s="10">
        <v>128.16560000000001</v>
      </c>
      <c r="G20" s="10">
        <v>121.2839</v>
      </c>
      <c r="H20" s="10">
        <v>122.9804</v>
      </c>
      <c r="I20" s="10">
        <v>198.77260000000001</v>
      </c>
      <c r="J20" s="10">
        <v>207.0506</v>
      </c>
      <c r="K20" s="10">
        <v>233.13509999999999</v>
      </c>
      <c r="L20" s="10">
        <v>257.24239999999998</v>
      </c>
      <c r="M20" s="10">
        <v>206.66589999999999</v>
      </c>
      <c r="N20" s="10">
        <v>218.02879999999999</v>
      </c>
      <c r="O20" s="10">
        <v>224.09780000000001</v>
      </c>
      <c r="P20" s="10">
        <v>222.19829999999999</v>
      </c>
      <c r="Q20" s="10">
        <v>239.31620000000001</v>
      </c>
      <c r="R20" s="10">
        <v>253.01400000000001</v>
      </c>
      <c r="S20" s="10">
        <v>276.14640000000003</v>
      </c>
      <c r="T20" s="10">
        <v>303.3854</v>
      </c>
      <c r="U20" s="10">
        <v>192.60849999999999</v>
      </c>
      <c r="V20" s="10">
        <v>197.62219999999999</v>
      </c>
      <c r="W20" s="10">
        <v>202.3329</v>
      </c>
      <c r="X20" s="10">
        <v>213.00720000000001</v>
      </c>
      <c r="Y20" s="10">
        <v>207.5866</v>
      </c>
      <c r="Z20" s="10">
        <v>237.7157</v>
      </c>
      <c r="AA20" s="10">
        <v>251.0789</v>
      </c>
      <c r="AB20" s="10">
        <v>273.48129999999998</v>
      </c>
      <c r="AC20" s="10">
        <v>155.05109999999999</v>
      </c>
      <c r="AD20" s="10">
        <v>117.50579999999999</v>
      </c>
      <c r="AE20" s="10">
        <v>136.3879</v>
      </c>
      <c r="AF20" s="10">
        <v>132.2569</v>
      </c>
      <c r="AG20" s="10">
        <v>146.86539999999999</v>
      </c>
      <c r="AH20" s="10">
        <v>202.40280000000001</v>
      </c>
      <c r="AI20" s="10">
        <v>386.7602</v>
      </c>
      <c r="AJ20" s="10">
        <v>900.95650000000001</v>
      </c>
      <c r="AK20" s="10">
        <v>438.09789999999998</v>
      </c>
      <c r="AL20" s="10">
        <v>526.49329999999998</v>
      </c>
      <c r="AM20" s="10">
        <v>542.63</v>
      </c>
      <c r="AN20" s="10">
        <v>1663.4358</v>
      </c>
      <c r="AO20" s="10">
        <v>482.47219999999999</v>
      </c>
      <c r="AP20" s="10">
        <v>645.64909999999998</v>
      </c>
      <c r="AQ20" s="10">
        <v>669.78049999999996</v>
      </c>
      <c r="AR20" s="10">
        <v>628.91750000000002</v>
      </c>
      <c r="AS20" s="10">
        <v>440.1574</v>
      </c>
      <c r="AT20" s="10">
        <v>493.50080000000003</v>
      </c>
      <c r="AU20" s="10">
        <v>429.61320000000001</v>
      </c>
      <c r="AV20" s="10">
        <v>333.5566</v>
      </c>
      <c r="AW20" s="10">
        <v>549.14469999999994</v>
      </c>
      <c r="AX20" s="10">
        <v>626.2029</v>
      </c>
      <c r="AY20" s="10">
        <v>675.3252</v>
      </c>
      <c r="AZ20" s="10">
        <v>754.87580000000003</v>
      </c>
      <c r="BA20" s="10">
        <v>411.70979999999997</v>
      </c>
      <c r="BB20" s="10">
        <v>352.1875</v>
      </c>
      <c r="BC20" s="10">
        <v>285.24560000000002</v>
      </c>
      <c r="BD20" s="10">
        <v>227.21600000000001</v>
      </c>
      <c r="BE20" s="10">
        <v>237.5583</v>
      </c>
      <c r="BF20" s="10">
        <v>195.19409999999999</v>
      </c>
      <c r="BG20" s="10">
        <v>240.57060000000001</v>
      </c>
      <c r="BH20" s="10">
        <v>358.56580000000002</v>
      </c>
      <c r="BI20" s="10">
        <v>428.5822</v>
      </c>
    </row>
    <row r="21" spans="1:61" x14ac:dyDescent="0.2">
      <c r="A21" s="7" t="s">
        <v>124</v>
      </c>
      <c r="B21" s="11">
        <v>1.7194</v>
      </c>
      <c r="C21" s="11">
        <v>1.0943000000000001</v>
      </c>
      <c r="D21" s="11">
        <v>0.53820000000000001</v>
      </c>
      <c r="E21" s="11">
        <v>2.5579000000000001</v>
      </c>
      <c r="F21" s="11">
        <v>2.0733000000000001</v>
      </c>
      <c r="G21" s="11">
        <v>1.3261000000000001</v>
      </c>
      <c r="H21" s="11">
        <v>0.61509999999999998</v>
      </c>
      <c r="I21" s="11">
        <v>1.6138999999999999</v>
      </c>
      <c r="J21" s="11">
        <v>1.0074000000000001</v>
      </c>
      <c r="K21" s="11">
        <v>0.59550000000000003</v>
      </c>
      <c r="L21" s="11">
        <v>0.28270000000000001</v>
      </c>
      <c r="M21" s="11">
        <v>1.4632000000000001</v>
      </c>
      <c r="N21" s="11">
        <v>1.0217000000000001</v>
      </c>
      <c r="O21" s="11">
        <v>0.64280000000000004</v>
      </c>
      <c r="P21" s="11">
        <v>0.30070000000000002</v>
      </c>
      <c r="Q21" s="11">
        <v>1.3908</v>
      </c>
      <c r="R21" s="11">
        <v>1.3508</v>
      </c>
      <c r="S21" s="11">
        <v>0.82440000000000002</v>
      </c>
      <c r="T21" s="11">
        <v>0.36049999999999999</v>
      </c>
      <c r="U21" s="11">
        <v>1.9117</v>
      </c>
      <c r="V21" s="11">
        <v>1.4983</v>
      </c>
      <c r="W21" s="11">
        <v>1.0165999999999999</v>
      </c>
      <c r="X21" s="11">
        <v>0.41020000000000001</v>
      </c>
      <c r="Y21" s="11">
        <v>2.1355</v>
      </c>
      <c r="Z21" s="11">
        <v>1.3995</v>
      </c>
      <c r="AA21" s="11">
        <v>0.88590000000000002</v>
      </c>
      <c r="AB21" s="11">
        <v>0.41799999999999998</v>
      </c>
      <c r="AC21" s="11">
        <v>3.8898000000000001</v>
      </c>
      <c r="AD21" s="11">
        <v>3.2075999999999998</v>
      </c>
      <c r="AE21" s="11">
        <v>1.8888</v>
      </c>
      <c r="AF21" s="11">
        <v>0.9254</v>
      </c>
      <c r="AG21" s="11">
        <v>2.9514</v>
      </c>
      <c r="AH21" s="11">
        <v>1.2727999999999999</v>
      </c>
      <c r="AI21" s="11">
        <v>0.28939999999999999</v>
      </c>
      <c r="AJ21" s="11">
        <v>6.1400000000000003E-2</v>
      </c>
      <c r="AK21" s="11">
        <v>0.56610000000000005</v>
      </c>
      <c r="AL21" s="11">
        <v>0.35780000000000001</v>
      </c>
      <c r="AM21" s="11">
        <v>0.2462</v>
      </c>
      <c r="AN21" s="11">
        <v>4.7500000000000001E-2</v>
      </c>
      <c r="AO21" s="11">
        <v>0.53100000000000003</v>
      </c>
      <c r="AP21" s="11">
        <v>0.3034</v>
      </c>
      <c r="AQ21" s="11">
        <v>0.2011</v>
      </c>
      <c r="AR21" s="11">
        <v>8.5199999999999998E-2</v>
      </c>
      <c r="AS21" s="11">
        <v>0.45169999999999999</v>
      </c>
      <c r="AT21" s="11">
        <v>0.29949999999999999</v>
      </c>
      <c r="AU21" s="11">
        <v>0.2152</v>
      </c>
      <c r="AV21" s="11">
        <v>0.13389999999999999</v>
      </c>
      <c r="AW21" s="11">
        <v>0.27529999999999999</v>
      </c>
      <c r="AX21" s="11">
        <v>0.17560000000000001</v>
      </c>
      <c r="AY21" s="11">
        <v>0.1086</v>
      </c>
      <c r="AZ21" s="11">
        <v>4.8000000000000001E-2</v>
      </c>
      <c r="BA21" s="11">
        <v>0.54290000000000005</v>
      </c>
      <c r="BB21" s="11">
        <v>0.49299999999999999</v>
      </c>
      <c r="BC21" s="11">
        <v>0.39779999999999999</v>
      </c>
      <c r="BD21" s="11">
        <v>0.2319</v>
      </c>
      <c r="BE21" s="11">
        <v>2.2218</v>
      </c>
      <c r="BF21" s="11">
        <v>1.2796000000000001</v>
      </c>
      <c r="BG21" s="11">
        <v>2.2481</v>
      </c>
      <c r="BH21" s="11">
        <v>2.0472999999999999</v>
      </c>
      <c r="BI21" s="11"/>
    </row>
    <row r="22" spans="1:61" x14ac:dyDescent="0.2">
      <c r="A22" s="7" t="s">
        <v>125</v>
      </c>
      <c r="B22" s="10">
        <v>2.0922000000000001</v>
      </c>
      <c r="C22" s="10">
        <v>1.335</v>
      </c>
      <c r="D22" s="10">
        <v>0.61580000000000001</v>
      </c>
      <c r="E22" s="10">
        <v>2.4653999999999998</v>
      </c>
      <c r="F22" s="10">
        <v>1.8098000000000001</v>
      </c>
      <c r="G22" s="10">
        <v>1.1742999999999999</v>
      </c>
      <c r="H22" s="10">
        <v>0.54710000000000003</v>
      </c>
      <c r="I22" s="10">
        <v>1.3691</v>
      </c>
      <c r="J22" s="10">
        <v>0.96099999999999997</v>
      </c>
      <c r="K22" s="10">
        <v>0.5655</v>
      </c>
      <c r="L22" s="10">
        <v>0.2631</v>
      </c>
      <c r="M22" s="10">
        <v>1.4271</v>
      </c>
      <c r="N22" s="10">
        <v>1.0217000000000001</v>
      </c>
      <c r="O22" s="10">
        <v>0.63700000000000001</v>
      </c>
      <c r="P22" s="10">
        <v>0.31809999999999999</v>
      </c>
      <c r="Q22" s="10">
        <v>1.2639</v>
      </c>
      <c r="R22" s="10">
        <v>0.8649</v>
      </c>
      <c r="S22" s="10">
        <v>0.54730000000000001</v>
      </c>
      <c r="T22" s="10">
        <v>0.2477</v>
      </c>
      <c r="U22" s="10">
        <v>1.3913</v>
      </c>
      <c r="V22" s="10">
        <v>1.0558000000000001</v>
      </c>
      <c r="W22" s="10">
        <v>0.67020000000000002</v>
      </c>
      <c r="X22" s="10">
        <v>0.28910000000000002</v>
      </c>
      <c r="Y22" s="10">
        <v>1.1297999999999999</v>
      </c>
      <c r="Z22" s="10">
        <v>0.80549999999999999</v>
      </c>
      <c r="AA22" s="10">
        <v>0.51019999999999999</v>
      </c>
      <c r="AB22" s="10">
        <v>0.22259999999999999</v>
      </c>
      <c r="AC22" s="10">
        <v>1.389</v>
      </c>
      <c r="AD22" s="10">
        <v>1.1564000000000001</v>
      </c>
      <c r="AE22" s="10">
        <v>0.78849999999999998</v>
      </c>
      <c r="AF22" s="10">
        <v>0.39279999999999998</v>
      </c>
      <c r="AG22" s="10">
        <v>1.2306999999999999</v>
      </c>
      <c r="AH22" s="10">
        <v>0.621</v>
      </c>
      <c r="AI22" s="10">
        <v>0.21940000000000001</v>
      </c>
      <c r="AJ22" s="10">
        <v>4.48E-2</v>
      </c>
      <c r="AK22" s="10">
        <v>0.3901</v>
      </c>
      <c r="AL22" s="10">
        <v>0.24310000000000001</v>
      </c>
      <c r="AM22" s="10">
        <v>0.16569999999999999</v>
      </c>
      <c r="AN22" s="10">
        <v>2.9499999999999998E-2</v>
      </c>
      <c r="AO22" s="10">
        <v>0.34749999999999998</v>
      </c>
      <c r="AP22" s="10">
        <v>0.2029</v>
      </c>
      <c r="AQ22" s="10">
        <v>0.121</v>
      </c>
      <c r="AR22" s="10">
        <v>5.4300000000000001E-2</v>
      </c>
      <c r="AS22" s="10">
        <v>0.32840000000000003</v>
      </c>
      <c r="AT22" s="10">
        <v>0.20430000000000001</v>
      </c>
      <c r="AU22" s="10">
        <v>0.15129999999999999</v>
      </c>
      <c r="AV22" s="10">
        <v>0.1016</v>
      </c>
      <c r="AW22" s="10">
        <v>0.33889999999999998</v>
      </c>
      <c r="AX22" s="10">
        <v>0.28070000000000001</v>
      </c>
      <c r="AY22" s="10">
        <v>0.1711</v>
      </c>
      <c r="AZ22" s="10">
        <v>0.1086</v>
      </c>
      <c r="BA22" s="10">
        <v>0.77569999999999995</v>
      </c>
      <c r="BB22" s="10">
        <v>0.72760000000000002</v>
      </c>
      <c r="BC22" s="10">
        <v>0.58450000000000002</v>
      </c>
      <c r="BD22" s="10">
        <v>0.35670000000000002</v>
      </c>
      <c r="BE22" s="10">
        <v>1.4959</v>
      </c>
      <c r="BF22" s="10">
        <v>0.84389999999999998</v>
      </c>
      <c r="BG22" s="10">
        <v>1.8762000000000001</v>
      </c>
      <c r="BH22" s="10">
        <v>2.5005999999999999</v>
      </c>
      <c r="BI22" s="10"/>
    </row>
  </sheetData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2C54-BEF2-4934-AE99-502B4372F79F}">
  <dimension ref="A1:BI24"/>
  <sheetViews>
    <sheetView workbookViewId="0"/>
  </sheetViews>
  <sheetFormatPr defaultRowHeight="14.25" x14ac:dyDescent="0.2"/>
  <cols>
    <col min="1" max="1" width="46.375" bestFit="1" customWidth="1"/>
  </cols>
  <sheetData>
    <row r="1" spans="1:61" x14ac:dyDescent="0.2">
      <c r="A1" s="1" t="s">
        <v>0</v>
      </c>
      <c r="B1" s="3" t="s">
        <v>4</v>
      </c>
    </row>
    <row r="2" spans="1:61" x14ac:dyDescent="0.2">
      <c r="A2" s="1" t="s">
        <v>1</v>
      </c>
      <c r="B2" s="2" t="str">
        <f>[1]!S_INFO_NAME($B$1)</f>
        <v>中际旭创</v>
      </c>
    </row>
    <row r="3" spans="1:61" x14ac:dyDescent="0.2">
      <c r="A3" s="1" t="s">
        <v>2</v>
      </c>
      <c r="B3" s="3">
        <v>1988</v>
      </c>
    </row>
    <row r="4" spans="1:61" x14ac:dyDescent="0.2">
      <c r="A4" s="1" t="s">
        <v>3</v>
      </c>
      <c r="B4" s="3">
        <v>2026</v>
      </c>
    </row>
    <row r="5" spans="1:61" x14ac:dyDescent="0.2">
      <c r="A5" s="8" t="str">
        <f>[1]!WFR(B1,B3&amp;":"&amp;B4,"Func=Rpt.GrowCapability20","rptType=1","singleSeason=0","unit=1","currencyType=ORIG","order=LEFT","rate=HISTORY","version=2","quarterindic=0","showcurrency=0","reportPeriod=31","cols=60;rows=18")</f>
        <v xml:space="preserve">                                                                                                              </v>
      </c>
    </row>
    <row r="6" spans="1:61" x14ac:dyDescent="0.2">
      <c r="A6" s="5" t="s">
        <v>165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x14ac:dyDescent="0.2">
      <c r="A7" s="6" t="s">
        <v>6</v>
      </c>
      <c r="B7" s="9">
        <v>45930</v>
      </c>
      <c r="C7" s="9">
        <v>45838</v>
      </c>
      <c r="D7" s="9">
        <v>45747</v>
      </c>
      <c r="E7" s="9">
        <v>45657</v>
      </c>
      <c r="F7" s="9">
        <v>45565</v>
      </c>
      <c r="G7" s="9">
        <v>45473</v>
      </c>
      <c r="H7" s="9">
        <v>45382</v>
      </c>
      <c r="I7" s="9">
        <v>45291</v>
      </c>
      <c r="J7" s="9">
        <v>45199</v>
      </c>
      <c r="K7" s="9">
        <v>45107</v>
      </c>
      <c r="L7" s="9">
        <v>45016</v>
      </c>
      <c r="M7" s="9">
        <v>44926</v>
      </c>
      <c r="N7" s="9">
        <v>44834</v>
      </c>
      <c r="O7" s="9">
        <v>44742</v>
      </c>
      <c r="P7" s="9">
        <v>44651</v>
      </c>
      <c r="Q7" s="9">
        <v>44561</v>
      </c>
      <c r="R7" s="9">
        <v>44469</v>
      </c>
      <c r="S7" s="9">
        <v>44377</v>
      </c>
      <c r="T7" s="9">
        <v>44286</v>
      </c>
      <c r="U7" s="9">
        <v>44196</v>
      </c>
      <c r="V7" s="9">
        <v>44104</v>
      </c>
      <c r="W7" s="9">
        <v>44012</v>
      </c>
      <c r="X7" s="9">
        <v>43921</v>
      </c>
      <c r="Y7" s="9">
        <v>43830</v>
      </c>
      <c r="Z7" s="9">
        <v>43738</v>
      </c>
      <c r="AA7" s="9">
        <v>43646</v>
      </c>
      <c r="AB7" s="9">
        <v>43555</v>
      </c>
      <c r="AC7" s="9">
        <v>43465</v>
      </c>
      <c r="AD7" s="9">
        <v>43373</v>
      </c>
      <c r="AE7" s="9">
        <v>43281</v>
      </c>
      <c r="AF7" s="9">
        <v>43190</v>
      </c>
      <c r="AG7" s="9">
        <v>43100</v>
      </c>
      <c r="AH7" s="9">
        <v>43008</v>
      </c>
      <c r="AI7" s="9">
        <v>42916</v>
      </c>
      <c r="AJ7" s="9">
        <v>42825</v>
      </c>
      <c r="AK7" s="9">
        <v>42735</v>
      </c>
      <c r="AL7" s="9">
        <v>42643</v>
      </c>
      <c r="AM7" s="9">
        <v>42551</v>
      </c>
      <c r="AN7" s="9">
        <v>42460</v>
      </c>
      <c r="AO7" s="9">
        <v>42369</v>
      </c>
      <c r="AP7" s="9">
        <v>42277</v>
      </c>
      <c r="AQ7" s="9">
        <v>42185</v>
      </c>
      <c r="AR7" s="9">
        <v>42094</v>
      </c>
      <c r="AS7" s="9">
        <v>42004</v>
      </c>
      <c r="AT7" s="9">
        <v>41912</v>
      </c>
      <c r="AU7" s="9">
        <v>41820</v>
      </c>
      <c r="AV7" s="9">
        <v>41729</v>
      </c>
      <c r="AW7" s="9">
        <v>41639</v>
      </c>
      <c r="AX7" s="9">
        <v>41547</v>
      </c>
      <c r="AY7" s="9">
        <v>41455</v>
      </c>
      <c r="AZ7" s="9">
        <v>41364</v>
      </c>
      <c r="BA7" s="9">
        <v>41274</v>
      </c>
      <c r="BB7" s="9">
        <v>41182</v>
      </c>
      <c r="BC7" s="9">
        <v>41090</v>
      </c>
      <c r="BD7" s="9">
        <v>40999</v>
      </c>
      <c r="BE7" s="9">
        <v>40908</v>
      </c>
      <c r="BF7" s="9">
        <v>40724</v>
      </c>
      <c r="BG7" s="9">
        <v>40543</v>
      </c>
      <c r="BH7" s="9">
        <v>40178</v>
      </c>
      <c r="BI7" s="9">
        <v>39813</v>
      </c>
    </row>
    <row r="8" spans="1:61" x14ac:dyDescent="0.2">
      <c r="A8" s="7" t="s">
        <v>7</v>
      </c>
      <c r="B8" s="10" t="s">
        <v>84</v>
      </c>
      <c r="C8" s="10" t="s">
        <v>109</v>
      </c>
      <c r="D8" s="10" t="s">
        <v>110</v>
      </c>
      <c r="E8" s="10" t="s">
        <v>82</v>
      </c>
      <c r="F8" s="10" t="s">
        <v>84</v>
      </c>
      <c r="G8" s="10" t="s">
        <v>109</v>
      </c>
      <c r="H8" s="10" t="s">
        <v>110</v>
      </c>
      <c r="I8" s="10" t="s">
        <v>82</v>
      </c>
      <c r="J8" s="10" t="s">
        <v>84</v>
      </c>
      <c r="K8" s="10" t="s">
        <v>109</v>
      </c>
      <c r="L8" s="10" t="s">
        <v>110</v>
      </c>
      <c r="M8" s="10" t="s">
        <v>82</v>
      </c>
      <c r="N8" s="10" t="s">
        <v>84</v>
      </c>
      <c r="O8" s="10" t="s">
        <v>109</v>
      </c>
      <c r="P8" s="10" t="s">
        <v>110</v>
      </c>
      <c r="Q8" s="10" t="s">
        <v>82</v>
      </c>
      <c r="R8" s="10" t="s">
        <v>84</v>
      </c>
      <c r="S8" s="10" t="s">
        <v>109</v>
      </c>
      <c r="T8" s="10" t="s">
        <v>110</v>
      </c>
      <c r="U8" s="10" t="s">
        <v>82</v>
      </c>
      <c r="V8" s="10" t="s">
        <v>84</v>
      </c>
      <c r="W8" s="10" t="s">
        <v>109</v>
      </c>
      <c r="X8" s="10" t="s">
        <v>110</v>
      </c>
      <c r="Y8" s="10" t="s">
        <v>82</v>
      </c>
      <c r="Z8" s="10" t="s">
        <v>84</v>
      </c>
      <c r="AA8" s="10" t="s">
        <v>109</v>
      </c>
      <c r="AB8" s="10" t="s">
        <v>110</v>
      </c>
      <c r="AC8" s="10" t="s">
        <v>82</v>
      </c>
      <c r="AD8" s="10" t="s">
        <v>84</v>
      </c>
      <c r="AE8" s="10" t="s">
        <v>109</v>
      </c>
      <c r="AF8" s="10" t="s">
        <v>110</v>
      </c>
      <c r="AG8" s="10" t="s">
        <v>82</v>
      </c>
      <c r="AH8" s="10" t="s">
        <v>84</v>
      </c>
      <c r="AI8" s="10" t="s">
        <v>109</v>
      </c>
      <c r="AJ8" s="10" t="s">
        <v>110</v>
      </c>
      <c r="AK8" s="10" t="s">
        <v>82</v>
      </c>
      <c r="AL8" s="10" t="s">
        <v>84</v>
      </c>
      <c r="AM8" s="10" t="s">
        <v>109</v>
      </c>
      <c r="AN8" s="10" t="s">
        <v>110</v>
      </c>
      <c r="AO8" s="10" t="s">
        <v>82</v>
      </c>
      <c r="AP8" s="10" t="s">
        <v>84</v>
      </c>
      <c r="AQ8" s="10" t="s">
        <v>109</v>
      </c>
      <c r="AR8" s="10" t="s">
        <v>110</v>
      </c>
      <c r="AS8" s="10" t="s">
        <v>82</v>
      </c>
      <c r="AT8" s="10" t="s">
        <v>84</v>
      </c>
      <c r="AU8" s="10" t="s">
        <v>109</v>
      </c>
      <c r="AV8" s="10" t="s">
        <v>110</v>
      </c>
      <c r="AW8" s="10" t="s">
        <v>82</v>
      </c>
      <c r="AX8" s="10" t="s">
        <v>84</v>
      </c>
      <c r="AY8" s="10" t="s">
        <v>109</v>
      </c>
      <c r="AZ8" s="10" t="s">
        <v>110</v>
      </c>
      <c r="BA8" s="10" t="s">
        <v>82</v>
      </c>
      <c r="BB8" s="10" t="s">
        <v>84</v>
      </c>
      <c r="BC8" s="10" t="s">
        <v>109</v>
      </c>
      <c r="BD8" s="10" t="s">
        <v>110</v>
      </c>
      <c r="BE8" s="10" t="s">
        <v>82</v>
      </c>
      <c r="BF8" s="10" t="s">
        <v>109</v>
      </c>
      <c r="BG8" s="10" t="s">
        <v>82</v>
      </c>
      <c r="BH8" s="10" t="s">
        <v>82</v>
      </c>
      <c r="BI8" s="10" t="s">
        <v>82</v>
      </c>
    </row>
    <row r="9" spans="1:61" x14ac:dyDescent="0.2">
      <c r="A9" s="7" t="s">
        <v>166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61" x14ac:dyDescent="0.2">
      <c r="A10" s="7" t="s">
        <v>167</v>
      </c>
      <c r="B10" s="10">
        <v>89.473699999999994</v>
      </c>
      <c r="C10" s="10">
        <v>68.518500000000003</v>
      </c>
      <c r="D10" s="10">
        <v>54.838700000000003</v>
      </c>
      <c r="E10" s="10">
        <v>136</v>
      </c>
      <c r="F10" s="10">
        <v>185</v>
      </c>
      <c r="G10" s="10">
        <v>293.50650000000002</v>
      </c>
      <c r="H10" s="10">
        <v>319.35480000000001</v>
      </c>
      <c r="I10" s="10">
        <v>81.818200000000004</v>
      </c>
      <c r="J10" s="10">
        <v>52.830199999999998</v>
      </c>
      <c r="K10" s="10">
        <v>26.229500000000002</v>
      </c>
      <c r="L10" s="10">
        <v>14.8148</v>
      </c>
      <c r="M10" s="10">
        <v>27.2727</v>
      </c>
      <c r="N10" s="10">
        <v>34.177199999999999</v>
      </c>
      <c r="O10" s="10">
        <v>27.083300000000001</v>
      </c>
      <c r="P10" s="10">
        <v>42.1053</v>
      </c>
      <c r="Q10" s="10">
        <v>-1.6259999999999999</v>
      </c>
      <c r="R10" s="10">
        <v>-5.9523999999999999</v>
      </c>
      <c r="S10" s="10">
        <v>-5.8823999999999996</v>
      </c>
      <c r="T10" s="10">
        <v>-5</v>
      </c>
      <c r="U10" s="10">
        <v>68.493200000000002</v>
      </c>
      <c r="V10" s="10">
        <v>68</v>
      </c>
      <c r="W10" s="10">
        <v>82.142899999999997</v>
      </c>
      <c r="X10" s="10">
        <v>-9.0908999999999995</v>
      </c>
      <c r="Y10" s="10">
        <v>-46.323500000000003</v>
      </c>
      <c r="Z10" s="10">
        <v>-50.494999999999997</v>
      </c>
      <c r="AA10" s="10">
        <v>-58.209000000000003</v>
      </c>
      <c r="AB10" s="10">
        <v>-29.032299999999999</v>
      </c>
      <c r="AC10" s="10">
        <v>172</v>
      </c>
      <c r="AD10" s="10">
        <v>114.89360000000001</v>
      </c>
      <c r="AE10" s="10">
        <v>3250</v>
      </c>
      <c r="AF10" s="10">
        <v>1650</v>
      </c>
      <c r="AG10" s="10">
        <v>900</v>
      </c>
      <c r="AH10" s="10">
        <v>2250</v>
      </c>
      <c r="AI10" s="10">
        <v>0</v>
      </c>
      <c r="AJ10" s="10">
        <v>33.333300000000001</v>
      </c>
      <c r="AK10" s="10">
        <v>66.666700000000006</v>
      </c>
      <c r="AL10" s="10">
        <v>200</v>
      </c>
      <c r="AM10" s="10">
        <v>200</v>
      </c>
      <c r="AN10" s="10">
        <v>-50</v>
      </c>
      <c r="AO10" s="10">
        <v>-25</v>
      </c>
      <c r="AP10" s="10">
        <v>-166.66669999999999</v>
      </c>
      <c r="AQ10" s="10">
        <v>0</v>
      </c>
      <c r="AR10" s="10">
        <v>-150</v>
      </c>
      <c r="AS10" s="10">
        <v>-66.666700000000006</v>
      </c>
      <c r="AT10" s="10">
        <v>-80</v>
      </c>
      <c r="AU10" s="10">
        <v>-108.6957</v>
      </c>
      <c r="AV10" s="10">
        <v>-80.952399999999997</v>
      </c>
      <c r="AW10" s="10">
        <v>-73.912999999999997</v>
      </c>
      <c r="AX10" s="10">
        <v>-37.5</v>
      </c>
      <c r="AY10" s="10">
        <v>-41.025599999999997</v>
      </c>
      <c r="AZ10" s="10">
        <v>-30</v>
      </c>
      <c r="BA10" s="10">
        <v>-54.902000000000001</v>
      </c>
      <c r="BB10" s="10">
        <v>-32.394399999999997</v>
      </c>
      <c r="BC10" s="10">
        <v>-17.0213</v>
      </c>
      <c r="BD10" s="10">
        <v>25</v>
      </c>
      <c r="BE10" s="10">
        <v>14.6067</v>
      </c>
      <c r="BF10" s="10"/>
      <c r="BG10" s="10">
        <v>28.985499999999998</v>
      </c>
      <c r="BH10" s="10">
        <v>1.4705999999999999</v>
      </c>
      <c r="BI10" s="10"/>
    </row>
    <row r="11" spans="1:61" x14ac:dyDescent="0.2">
      <c r="A11" s="7" t="s">
        <v>168</v>
      </c>
      <c r="B11" s="11">
        <v>89.614199999999997</v>
      </c>
      <c r="C11" s="11">
        <v>68.224299999999999</v>
      </c>
      <c r="D11" s="11">
        <v>57.142899999999997</v>
      </c>
      <c r="E11" s="11">
        <v>135.02539999999999</v>
      </c>
      <c r="F11" s="11">
        <v>180.83330000000001</v>
      </c>
      <c r="G11" s="11">
        <v>294.73680000000002</v>
      </c>
      <c r="H11" s="11">
        <v>312.90320000000003</v>
      </c>
      <c r="I11" s="11">
        <v>79.220799999999997</v>
      </c>
      <c r="J11" s="11">
        <v>51.886800000000001</v>
      </c>
      <c r="K11" s="11">
        <v>24.590199999999999</v>
      </c>
      <c r="L11" s="11">
        <v>14.8148</v>
      </c>
      <c r="M11" s="11">
        <v>27.2727</v>
      </c>
      <c r="N11" s="11">
        <v>34.177199999999999</v>
      </c>
      <c r="O11" s="11">
        <v>27.083300000000001</v>
      </c>
      <c r="P11" s="11">
        <v>42.1053</v>
      </c>
      <c r="Q11" s="11">
        <v>-0.81969999999999998</v>
      </c>
      <c r="R11" s="11">
        <v>-5.9523999999999999</v>
      </c>
      <c r="S11" s="11">
        <v>-5.8823999999999996</v>
      </c>
      <c r="T11" s="11">
        <v>-5</v>
      </c>
      <c r="U11" s="11">
        <v>67.1233</v>
      </c>
      <c r="V11" s="11">
        <v>68</v>
      </c>
      <c r="W11" s="11">
        <v>82.142899999999997</v>
      </c>
      <c r="X11" s="11">
        <v>-9.0908999999999995</v>
      </c>
      <c r="Y11" s="11">
        <v>-45.1128</v>
      </c>
      <c r="Z11" s="11">
        <v>-51.456299999999999</v>
      </c>
      <c r="AA11" s="11">
        <v>-58.209000000000003</v>
      </c>
      <c r="AB11" s="11">
        <v>-29.032299999999999</v>
      </c>
      <c r="AC11" s="11">
        <v>166</v>
      </c>
      <c r="AD11" s="11">
        <v>119.1489</v>
      </c>
      <c r="AE11" s="11">
        <v>3250</v>
      </c>
      <c r="AF11" s="11">
        <v>1650</v>
      </c>
      <c r="AG11" s="11">
        <v>900</v>
      </c>
      <c r="AH11" s="11">
        <v>2250</v>
      </c>
      <c r="AI11" s="11">
        <v>0</v>
      </c>
      <c r="AJ11" s="11">
        <v>33.333300000000001</v>
      </c>
      <c r="AK11" s="11">
        <v>66.666700000000006</v>
      </c>
      <c r="AL11" s="11">
        <v>200</v>
      </c>
      <c r="AM11" s="11">
        <v>200</v>
      </c>
      <c r="AN11" s="11">
        <v>-50</v>
      </c>
      <c r="AO11" s="11">
        <v>-25</v>
      </c>
      <c r="AP11" s="11">
        <v>-166.66669999999999</v>
      </c>
      <c r="AQ11" s="11">
        <v>0</v>
      </c>
      <c r="AR11" s="11">
        <v>-150</v>
      </c>
      <c r="AS11" s="11">
        <v>-66.666700000000006</v>
      </c>
      <c r="AT11" s="11">
        <v>-80</v>
      </c>
      <c r="AU11" s="11">
        <v>-108.6957</v>
      </c>
      <c r="AV11" s="11">
        <v>-80.952399999999997</v>
      </c>
      <c r="AW11" s="11">
        <v>-73.912999999999997</v>
      </c>
      <c r="AX11" s="11">
        <v>-37.5</v>
      </c>
      <c r="AY11" s="11">
        <v>-41.025599999999997</v>
      </c>
      <c r="AZ11" s="11">
        <v>-30</v>
      </c>
      <c r="BA11" s="11">
        <v>-54.902000000000001</v>
      </c>
      <c r="BB11" s="11">
        <v>-32.394399999999997</v>
      </c>
      <c r="BC11" s="11">
        <v>-17.0213</v>
      </c>
      <c r="BD11" s="11">
        <v>25</v>
      </c>
      <c r="BE11" s="11">
        <v>14.6067</v>
      </c>
      <c r="BF11" s="11"/>
      <c r="BG11" s="11">
        <v>28.985499999999998</v>
      </c>
      <c r="BH11" s="11">
        <v>1.4705999999999999</v>
      </c>
      <c r="BI11" s="11"/>
    </row>
    <row r="12" spans="1:61" x14ac:dyDescent="0.2">
      <c r="A12" s="7" t="s">
        <v>169</v>
      </c>
      <c r="B12" s="10">
        <v>318.27550000000002</v>
      </c>
      <c r="C12" s="10">
        <v>235.44880000000001</v>
      </c>
      <c r="D12" s="10">
        <v>141.79929999999999</v>
      </c>
      <c r="E12" s="10">
        <v>19.444800000000001</v>
      </c>
      <c r="F12" s="10">
        <v>-34.6892</v>
      </c>
      <c r="G12" s="10">
        <v>-40.009700000000002</v>
      </c>
      <c r="H12" s="10">
        <v>29.772600000000001</v>
      </c>
      <c r="I12" s="10">
        <v>-22.711400000000001</v>
      </c>
      <c r="J12" s="10">
        <v>-1.9263999999999999</v>
      </c>
      <c r="K12" s="10">
        <v>-5.4581</v>
      </c>
      <c r="L12" s="10">
        <v>-44.507599999999996</v>
      </c>
      <c r="M12" s="10">
        <v>200.99430000000001</v>
      </c>
      <c r="N12" s="10">
        <v>270.25659999999999</v>
      </c>
      <c r="O12" s="10">
        <v>29178.8462</v>
      </c>
      <c r="P12" s="10">
        <v>711.18960000000004</v>
      </c>
      <c r="Q12" s="10">
        <v>3241.4474</v>
      </c>
      <c r="R12" s="10">
        <v>358.83890000000002</v>
      </c>
      <c r="S12" s="10">
        <v>101.70099999999999</v>
      </c>
      <c r="T12" s="10">
        <v>61.589799999999997</v>
      </c>
      <c r="U12" s="10">
        <v>-96.192899999999995</v>
      </c>
      <c r="V12" s="10">
        <v>-155.4203</v>
      </c>
      <c r="W12" s="10">
        <v>-316.9624</v>
      </c>
      <c r="X12" s="10">
        <v>-72.534199999999998</v>
      </c>
      <c r="Y12" s="10">
        <v>-42.479500000000002</v>
      </c>
      <c r="Z12" s="10">
        <v>-47.012700000000002</v>
      </c>
      <c r="AA12" s="10">
        <v>-69.925299999999993</v>
      </c>
      <c r="AB12" s="10">
        <v>-197.43039999999999</v>
      </c>
      <c r="AC12" s="10">
        <v>1490.1488999999999</v>
      </c>
      <c r="AD12" s="10">
        <v>3707.6023</v>
      </c>
      <c r="AE12" s="10">
        <v>856.12239999999997</v>
      </c>
      <c r="AF12" s="10">
        <v>-589.00519999999995</v>
      </c>
      <c r="AG12" s="10">
        <v>-44.252899999999997</v>
      </c>
      <c r="AH12" s="10">
        <v>105.7595</v>
      </c>
      <c r="AI12" s="10">
        <v>-59.470599999999997</v>
      </c>
      <c r="AJ12" s="10">
        <v>208.06450000000001</v>
      </c>
      <c r="AK12" s="10">
        <v>25.480799999999999</v>
      </c>
      <c r="AL12" s="10">
        <v>-752.52750000000003</v>
      </c>
      <c r="AM12" s="10">
        <v>41.74</v>
      </c>
      <c r="AN12" s="10">
        <v>-94.608699999999999</v>
      </c>
      <c r="AO12" s="10">
        <v>195.7346</v>
      </c>
      <c r="AP12" s="10">
        <v>1</v>
      </c>
      <c r="AQ12" s="10">
        <v>-52.43</v>
      </c>
      <c r="AR12" s="10">
        <v>191.88</v>
      </c>
      <c r="AS12" s="10">
        <v>-85.98</v>
      </c>
      <c r="AT12" s="10">
        <v>-72.489999999999995</v>
      </c>
      <c r="AU12" s="10">
        <v>-4.12</v>
      </c>
      <c r="AV12" s="10">
        <v>-64.02</v>
      </c>
      <c r="AW12" s="10">
        <v>250</v>
      </c>
      <c r="AX12" s="10">
        <v>200</v>
      </c>
      <c r="AY12" s="10">
        <v>143.49</v>
      </c>
      <c r="AZ12" s="10">
        <v>152.13999999999999</v>
      </c>
      <c r="BA12" s="10">
        <v>-130.15</v>
      </c>
      <c r="BB12" s="10">
        <v>-186.49</v>
      </c>
      <c r="BC12" s="10">
        <v>-197.73</v>
      </c>
      <c r="BD12" s="10">
        <v>-362.5</v>
      </c>
      <c r="BE12" s="10">
        <v>1.5385</v>
      </c>
      <c r="BF12" s="10"/>
      <c r="BG12" s="10">
        <v>-80.182900000000004</v>
      </c>
      <c r="BH12" s="10">
        <v>49.090899999999998</v>
      </c>
      <c r="BI12" s="10"/>
    </row>
    <row r="13" spans="1:61" x14ac:dyDescent="0.2">
      <c r="A13" s="7" t="s">
        <v>170</v>
      </c>
      <c r="B13" s="11">
        <v>44.431199999999997</v>
      </c>
      <c r="C13" s="11">
        <v>36.953699999999998</v>
      </c>
      <c r="D13" s="11">
        <v>37.823700000000002</v>
      </c>
      <c r="E13" s="11">
        <v>122.6366</v>
      </c>
      <c r="F13" s="11">
        <v>146.25729999999999</v>
      </c>
      <c r="G13" s="11">
        <v>169.69640000000001</v>
      </c>
      <c r="H13" s="11">
        <v>163.5883</v>
      </c>
      <c r="I13" s="11">
        <v>11.1617</v>
      </c>
      <c r="J13" s="11">
        <v>2.4079000000000002</v>
      </c>
      <c r="K13" s="11">
        <v>-5.3666</v>
      </c>
      <c r="L13" s="11">
        <v>-12.0395</v>
      </c>
      <c r="M13" s="11">
        <v>25.292899999999999</v>
      </c>
      <c r="N13" s="11">
        <v>28.990500000000001</v>
      </c>
      <c r="O13" s="11">
        <v>28.296900000000001</v>
      </c>
      <c r="P13" s="11">
        <v>41.913400000000003</v>
      </c>
      <c r="Q13" s="11">
        <v>9.1609999999999996</v>
      </c>
      <c r="R13" s="11">
        <v>2.2536999999999998</v>
      </c>
      <c r="S13" s="11">
        <v>1.6389</v>
      </c>
      <c r="T13" s="11">
        <v>10.9848</v>
      </c>
      <c r="U13" s="11">
        <v>48.172899999999998</v>
      </c>
      <c r="V13" s="11">
        <v>58.493400000000001</v>
      </c>
      <c r="W13" s="11">
        <v>59.427700000000002</v>
      </c>
      <c r="X13" s="11">
        <v>51.441200000000002</v>
      </c>
      <c r="Y13" s="11">
        <v>-7.7309999999999999</v>
      </c>
      <c r="Z13" s="11">
        <v>-21.864100000000001</v>
      </c>
      <c r="AA13" s="11">
        <v>-27.971699999999998</v>
      </c>
      <c r="AB13" s="11">
        <v>-37.391100000000002</v>
      </c>
      <c r="AC13" s="11">
        <v>118.7582</v>
      </c>
      <c r="AD13" s="11">
        <v>268.839</v>
      </c>
      <c r="AE13" s="11">
        <v>3902.9088000000002</v>
      </c>
      <c r="AF13" s="11">
        <v>9502.7386999999999</v>
      </c>
      <c r="AG13" s="11">
        <v>1690.8195000000001</v>
      </c>
      <c r="AH13" s="11">
        <v>1278.8451</v>
      </c>
      <c r="AI13" s="11">
        <v>24.5197</v>
      </c>
      <c r="AJ13" s="11">
        <v>41.057899999999997</v>
      </c>
      <c r="AK13" s="11">
        <v>8.4099000000000004</v>
      </c>
      <c r="AL13" s="11">
        <v>19.2728</v>
      </c>
      <c r="AM13" s="11">
        <v>31.5977</v>
      </c>
      <c r="AN13" s="11">
        <v>-46.189100000000003</v>
      </c>
      <c r="AO13" s="11">
        <v>2.2431999999999999</v>
      </c>
      <c r="AP13" s="11">
        <v>-13.469900000000001</v>
      </c>
      <c r="AQ13" s="11">
        <v>-25.9664</v>
      </c>
      <c r="AR13" s="11">
        <v>-49.98</v>
      </c>
      <c r="AS13" s="11">
        <v>31.173400000000001</v>
      </c>
      <c r="AT13" s="11">
        <v>31.547699999999999</v>
      </c>
      <c r="AU13" s="11">
        <v>55.563800000000001</v>
      </c>
      <c r="AV13" s="11">
        <v>117.11920000000001</v>
      </c>
      <c r="AW13" s="11">
        <v>-22.401499999999999</v>
      </c>
      <c r="AX13" s="11">
        <v>-43.045299999999997</v>
      </c>
      <c r="AY13" s="11">
        <v>-56.170400000000001</v>
      </c>
      <c r="AZ13" s="11">
        <v>-65.396600000000007</v>
      </c>
      <c r="BA13" s="11">
        <v>-28.023099999999999</v>
      </c>
      <c r="BB13" s="11">
        <v>-16.638000000000002</v>
      </c>
      <c r="BC13" s="11">
        <v>0.185</v>
      </c>
      <c r="BD13" s="11">
        <v>30.973600000000001</v>
      </c>
      <c r="BE13" s="11">
        <v>31.188099999999999</v>
      </c>
      <c r="BF13" s="11"/>
      <c r="BG13" s="11">
        <v>36.706899999999997</v>
      </c>
      <c r="BH13" s="11">
        <v>2.0082</v>
      </c>
      <c r="BI13" s="11"/>
    </row>
    <row r="14" spans="1:61" x14ac:dyDescent="0.2">
      <c r="A14" s="7" t="s">
        <v>171</v>
      </c>
      <c r="B14" s="10">
        <v>44.431199999999997</v>
      </c>
      <c r="C14" s="10">
        <v>36.953699999999998</v>
      </c>
      <c r="D14" s="10">
        <v>37.823700000000002</v>
      </c>
      <c r="E14" s="10">
        <v>122.6366</v>
      </c>
      <c r="F14" s="10">
        <v>146.25729999999999</v>
      </c>
      <c r="G14" s="10">
        <v>169.69640000000001</v>
      </c>
      <c r="H14" s="10">
        <v>163.5883</v>
      </c>
      <c r="I14" s="10">
        <v>11.1617</v>
      </c>
      <c r="J14" s="10">
        <v>2.4079000000000002</v>
      </c>
      <c r="K14" s="10">
        <v>-5.3666</v>
      </c>
      <c r="L14" s="10">
        <v>-12.0395</v>
      </c>
      <c r="M14" s="10">
        <v>25.292899999999999</v>
      </c>
      <c r="N14" s="10">
        <v>28.990500000000001</v>
      </c>
      <c r="O14" s="10">
        <v>28.296900000000001</v>
      </c>
      <c r="P14" s="10">
        <v>41.913400000000003</v>
      </c>
      <c r="Q14" s="10">
        <v>9.1609999999999996</v>
      </c>
      <c r="R14" s="10">
        <v>2.2536999999999998</v>
      </c>
      <c r="S14" s="10">
        <v>1.6389</v>
      </c>
      <c r="T14" s="10">
        <v>10.9848</v>
      </c>
      <c r="U14" s="10">
        <v>48.172899999999998</v>
      </c>
      <c r="V14" s="10">
        <v>58.493400000000001</v>
      </c>
      <c r="W14" s="10">
        <v>59.427700000000002</v>
      </c>
      <c r="X14" s="10">
        <v>51.441200000000002</v>
      </c>
      <c r="Y14" s="10">
        <v>-7.7309999999999999</v>
      </c>
      <c r="Z14" s="10">
        <v>-21.864100000000001</v>
      </c>
      <c r="AA14" s="10">
        <v>-27.971699999999998</v>
      </c>
      <c r="AB14" s="10">
        <v>-37.391100000000002</v>
      </c>
      <c r="AC14" s="10">
        <v>118.7582</v>
      </c>
      <c r="AD14" s="10">
        <v>268.839</v>
      </c>
      <c r="AE14" s="10">
        <v>3902.9088000000002</v>
      </c>
      <c r="AF14" s="10">
        <v>9502.7386999999999</v>
      </c>
      <c r="AG14" s="10">
        <v>1690.8195000000001</v>
      </c>
      <c r="AH14" s="10">
        <v>1278.8451</v>
      </c>
      <c r="AI14" s="10">
        <v>24.5197</v>
      </c>
      <c r="AJ14" s="10">
        <v>41.057899999999997</v>
      </c>
      <c r="AK14" s="10">
        <v>8.4099000000000004</v>
      </c>
      <c r="AL14" s="10">
        <v>19.2728</v>
      </c>
      <c r="AM14" s="10">
        <v>31.5977</v>
      </c>
      <c r="AN14" s="10">
        <v>-46.189100000000003</v>
      </c>
      <c r="AO14" s="10">
        <v>2.2431999999999999</v>
      </c>
      <c r="AP14" s="10">
        <v>-13.469900000000001</v>
      </c>
      <c r="AQ14" s="10">
        <v>-25.9664</v>
      </c>
      <c r="AR14" s="10">
        <v>-49.98</v>
      </c>
      <c r="AS14" s="10">
        <v>31.173400000000001</v>
      </c>
      <c r="AT14" s="10">
        <v>31.547699999999999</v>
      </c>
      <c r="AU14" s="10">
        <v>55.563800000000001</v>
      </c>
      <c r="AV14" s="10">
        <v>117.11920000000001</v>
      </c>
      <c r="AW14" s="10">
        <v>-22.401499999999999</v>
      </c>
      <c r="AX14" s="10">
        <v>-43.045299999999997</v>
      </c>
      <c r="AY14" s="10">
        <v>-56.170400000000001</v>
      </c>
      <c r="AZ14" s="10">
        <v>-65.396600000000007</v>
      </c>
      <c r="BA14" s="10">
        <v>-28.023099999999999</v>
      </c>
      <c r="BB14" s="10">
        <v>-16.638000000000002</v>
      </c>
      <c r="BC14" s="10">
        <v>0.185</v>
      </c>
      <c r="BD14" s="10">
        <v>30.973600000000001</v>
      </c>
      <c r="BE14" s="10">
        <v>31.188099999999999</v>
      </c>
      <c r="BF14" s="10"/>
      <c r="BG14" s="10">
        <v>36.706899999999997</v>
      </c>
      <c r="BH14" s="10">
        <v>2.0082</v>
      </c>
      <c r="BI14" s="10"/>
    </row>
    <row r="15" spans="1:61" x14ac:dyDescent="0.2">
      <c r="A15" s="7" t="s">
        <v>172</v>
      </c>
      <c r="B15" s="11">
        <v>100.4064</v>
      </c>
      <c r="C15" s="11">
        <v>78.769800000000004</v>
      </c>
      <c r="D15" s="11">
        <v>70.012699999999995</v>
      </c>
      <c r="E15" s="11">
        <v>142.57060000000001</v>
      </c>
      <c r="F15" s="11">
        <v>200.26089999999999</v>
      </c>
      <c r="G15" s="11">
        <v>282.34980000000002</v>
      </c>
      <c r="H15" s="11">
        <v>333.40989999999999</v>
      </c>
      <c r="I15" s="11">
        <v>87.894199999999998</v>
      </c>
      <c r="J15" s="11">
        <v>57.206600000000002</v>
      </c>
      <c r="K15" s="11">
        <v>36.000500000000002</v>
      </c>
      <c r="L15" s="11">
        <v>15.785399999999999</v>
      </c>
      <c r="M15" s="11">
        <v>37.850999999999999</v>
      </c>
      <c r="N15" s="11">
        <v>52.4925</v>
      </c>
      <c r="O15" s="11">
        <v>41.271599999999999</v>
      </c>
      <c r="P15" s="11">
        <v>57.348700000000001</v>
      </c>
      <c r="Q15" s="11">
        <v>-2.7155</v>
      </c>
      <c r="R15" s="11">
        <v>-12.400399999999999</v>
      </c>
      <c r="S15" s="11">
        <v>-13.7498</v>
      </c>
      <c r="T15" s="11">
        <v>-14.577999999999999</v>
      </c>
      <c r="U15" s="11">
        <v>71.727800000000002</v>
      </c>
      <c r="V15" s="11">
        <v>79.906199999999998</v>
      </c>
      <c r="W15" s="11">
        <v>85.560400000000001</v>
      </c>
      <c r="X15" s="11">
        <v>48.261299999999999</v>
      </c>
      <c r="Y15" s="11">
        <v>-15.474399999999999</v>
      </c>
      <c r="Z15" s="11">
        <v>-28.231999999999999</v>
      </c>
      <c r="AA15" s="11">
        <v>-34.680799999999998</v>
      </c>
      <c r="AB15" s="11">
        <v>-26.068000000000001</v>
      </c>
      <c r="AC15" s="11">
        <v>231.22579999999999</v>
      </c>
      <c r="AD15" s="11">
        <v>268.77140000000003</v>
      </c>
      <c r="AE15" s="11">
        <v>9666.3101999999999</v>
      </c>
      <c r="AF15" s="11">
        <v>3143.3013000000001</v>
      </c>
      <c r="AG15" s="11">
        <v>2813.9834999999998</v>
      </c>
      <c r="AH15" s="11">
        <v>2051.4627999999998</v>
      </c>
      <c r="AI15" s="11">
        <v>153.0615</v>
      </c>
      <c r="AJ15" s="11">
        <v>23.797000000000001</v>
      </c>
      <c r="AK15" s="11">
        <v>-195.58500000000001</v>
      </c>
      <c r="AL15" s="11">
        <v>-18.7913</v>
      </c>
      <c r="AM15" s="11">
        <v>-21.945599999999999</v>
      </c>
      <c r="AN15" s="11">
        <v>-63.258699999999997</v>
      </c>
      <c r="AO15" s="11">
        <v>17.405200000000001</v>
      </c>
      <c r="AP15" s="11">
        <v>54.5627</v>
      </c>
      <c r="AQ15" s="11">
        <v>10.949299999999999</v>
      </c>
      <c r="AR15" s="11">
        <v>-278.1592</v>
      </c>
      <c r="AS15" s="11">
        <v>15.831099999999999</v>
      </c>
      <c r="AT15" s="11">
        <v>-288.35430000000002</v>
      </c>
      <c r="AU15" s="11">
        <v>-185.43899999999999</v>
      </c>
      <c r="AV15" s="11">
        <v>-27.087399999999999</v>
      </c>
      <c r="AW15" s="11">
        <v>-94.066699999999997</v>
      </c>
      <c r="AX15" s="11">
        <v>-75.330799999999996</v>
      </c>
      <c r="AY15" s="11">
        <v>-71.983999999999995</v>
      </c>
      <c r="AZ15" s="11">
        <v>-82.024500000000003</v>
      </c>
      <c r="BA15" s="11">
        <v>-46.165300000000002</v>
      </c>
      <c r="BB15" s="11">
        <v>-36.579599999999999</v>
      </c>
      <c r="BC15" s="11">
        <v>-15.991300000000001</v>
      </c>
      <c r="BD15" s="11">
        <v>26.633500000000002</v>
      </c>
      <c r="BE15" s="11">
        <v>19.348500000000001</v>
      </c>
      <c r="BF15" s="11"/>
      <c r="BG15" s="11">
        <v>38.519500000000001</v>
      </c>
      <c r="BH15" s="11">
        <v>2.5775000000000001</v>
      </c>
      <c r="BI15" s="11"/>
    </row>
    <row r="16" spans="1:61" x14ac:dyDescent="0.2">
      <c r="A16" s="7" t="s">
        <v>173</v>
      </c>
      <c r="B16" s="10">
        <v>100.3441</v>
      </c>
      <c r="C16" s="10">
        <v>78.8279</v>
      </c>
      <c r="D16" s="10">
        <v>69.295100000000005</v>
      </c>
      <c r="E16" s="10">
        <v>142.8295</v>
      </c>
      <c r="F16" s="10">
        <v>200.3835</v>
      </c>
      <c r="G16" s="10">
        <v>282.12790000000001</v>
      </c>
      <c r="H16" s="10">
        <v>335.15710000000001</v>
      </c>
      <c r="I16" s="10">
        <v>84.415000000000006</v>
      </c>
      <c r="J16" s="10">
        <v>57.545299999999997</v>
      </c>
      <c r="K16" s="10">
        <v>36.499099999999999</v>
      </c>
      <c r="L16" s="10">
        <v>15.7904</v>
      </c>
      <c r="M16" s="10">
        <v>40.798999999999999</v>
      </c>
      <c r="N16" s="10">
        <v>52.329799999999999</v>
      </c>
      <c r="O16" s="10">
        <v>41.438099999999999</v>
      </c>
      <c r="P16" s="10">
        <v>58.435299999999998</v>
      </c>
      <c r="Q16" s="10">
        <v>-2.7401</v>
      </c>
      <c r="R16" s="10">
        <v>-12.2813</v>
      </c>
      <c r="S16" s="10">
        <v>-13.7547</v>
      </c>
      <c r="T16" s="10">
        <v>-14.0124</v>
      </c>
      <c r="U16" s="10">
        <v>71.146000000000001</v>
      </c>
      <c r="V16" s="10">
        <v>79.319999999999993</v>
      </c>
      <c r="W16" s="10">
        <v>84.765199999999993</v>
      </c>
      <c r="X16" s="10">
        <v>46.290900000000001</v>
      </c>
      <c r="Y16" s="10">
        <v>-17.019300000000001</v>
      </c>
      <c r="Z16" s="10">
        <v>-29.255700000000001</v>
      </c>
      <c r="AA16" s="10">
        <v>-36.6982</v>
      </c>
      <c r="AB16" s="10">
        <v>-30.578199999999999</v>
      </c>
      <c r="AC16" s="10">
        <v>237.53120000000001</v>
      </c>
      <c r="AD16" s="10">
        <v>268.69929999999999</v>
      </c>
      <c r="AE16" s="10">
        <v>8271.3081999999995</v>
      </c>
      <c r="AF16" s="10">
        <v>3947.8314999999998</v>
      </c>
      <c r="AG16" s="10">
        <v>1787.0445999999999</v>
      </c>
      <c r="AH16" s="10">
        <v>3102.3071</v>
      </c>
      <c r="AI16" s="10">
        <v>-30.345500000000001</v>
      </c>
      <c r="AJ16" s="10">
        <v>32.5625</v>
      </c>
      <c r="AK16" s="10">
        <v>71.208600000000004</v>
      </c>
      <c r="AL16" s="10">
        <v>187.56479999999999</v>
      </c>
      <c r="AM16" s="10">
        <v>223.22030000000001</v>
      </c>
      <c r="AN16" s="10">
        <v>-69.494600000000005</v>
      </c>
      <c r="AO16" s="10">
        <v>-26.516200000000001</v>
      </c>
      <c r="AP16" s="10">
        <v>-234.58199999999999</v>
      </c>
      <c r="AQ16" s="10">
        <v>-65.935199999999995</v>
      </c>
      <c r="AR16" s="10">
        <v>-170.26830000000001</v>
      </c>
      <c r="AS16" s="10">
        <v>-46.506500000000003</v>
      </c>
      <c r="AT16" s="10">
        <v>-81.525599999999997</v>
      </c>
      <c r="AU16" s="10">
        <v>-115.03919999999999</v>
      </c>
      <c r="AV16" s="10">
        <v>-66.356499999999997</v>
      </c>
      <c r="AW16" s="10">
        <v>-51.808</v>
      </c>
      <c r="AX16" s="10">
        <v>-36.980699999999999</v>
      </c>
      <c r="AY16" s="10">
        <v>-22.900600000000001</v>
      </c>
      <c r="AZ16" s="10">
        <v>-9.4166000000000007</v>
      </c>
      <c r="BA16" s="10">
        <v>-43.649099999999997</v>
      </c>
      <c r="BB16" s="10">
        <v>-28.5672</v>
      </c>
      <c r="BC16" s="10">
        <v>-16.032699999999998</v>
      </c>
      <c r="BD16" s="10">
        <v>25.030799999999999</v>
      </c>
      <c r="BE16" s="10">
        <v>21.992999999999999</v>
      </c>
      <c r="BF16" s="10"/>
      <c r="BG16" s="10">
        <v>38.113599999999998</v>
      </c>
      <c r="BH16" s="10">
        <v>1.1778</v>
      </c>
      <c r="BI16" s="10"/>
    </row>
    <row r="17" spans="1:61" x14ac:dyDescent="0.2">
      <c r="A17" s="7" t="s">
        <v>174</v>
      </c>
      <c r="B17" s="11">
        <v>90.0501</v>
      </c>
      <c r="C17" s="11">
        <v>69.397900000000007</v>
      </c>
      <c r="D17" s="11">
        <v>56.834299999999999</v>
      </c>
      <c r="E17" s="11">
        <v>137.93049999999999</v>
      </c>
      <c r="F17" s="11">
        <v>189.5866</v>
      </c>
      <c r="G17" s="11">
        <v>284.26240000000001</v>
      </c>
      <c r="H17" s="11">
        <v>303.83530000000002</v>
      </c>
      <c r="I17" s="11">
        <v>77.577100000000002</v>
      </c>
      <c r="J17" s="11">
        <v>52.006500000000003</v>
      </c>
      <c r="K17" s="11">
        <v>24.6312</v>
      </c>
      <c r="L17" s="11">
        <v>14.9521</v>
      </c>
      <c r="M17" s="11">
        <v>39.569299999999998</v>
      </c>
      <c r="N17" s="11">
        <v>52.205599999999997</v>
      </c>
      <c r="O17" s="11">
        <v>44.490900000000003</v>
      </c>
      <c r="P17" s="11">
        <v>63.3825</v>
      </c>
      <c r="Q17" s="11">
        <v>1.3280000000000001</v>
      </c>
      <c r="R17" s="11">
        <v>-6.6300999999999997</v>
      </c>
      <c r="S17" s="11">
        <v>-6.6603000000000003</v>
      </c>
      <c r="T17" s="11">
        <v>-13.401</v>
      </c>
      <c r="U17" s="11">
        <v>68.550200000000004</v>
      </c>
      <c r="V17" s="11">
        <v>67.617099999999994</v>
      </c>
      <c r="W17" s="11">
        <v>76.129000000000005</v>
      </c>
      <c r="X17" s="11">
        <v>54.434100000000001</v>
      </c>
      <c r="Y17" s="11">
        <v>-17.593599999999999</v>
      </c>
      <c r="Z17" s="11">
        <v>-25.668900000000001</v>
      </c>
      <c r="AA17" s="11">
        <v>-34.581400000000002</v>
      </c>
      <c r="AB17" s="11">
        <v>-32.664099999999998</v>
      </c>
      <c r="AC17" s="11">
        <v>285.81740000000002</v>
      </c>
      <c r="AD17" s="11">
        <v>281.20260000000002</v>
      </c>
      <c r="AE17" s="11">
        <v>7884.9375</v>
      </c>
      <c r="AF17" s="11">
        <v>3472.4919</v>
      </c>
      <c r="AG17" s="11">
        <v>1506.3587</v>
      </c>
      <c r="AH17" s="11">
        <v>2943.6925000000001</v>
      </c>
      <c r="AI17" s="11">
        <v>-25.4239</v>
      </c>
      <c r="AJ17" s="11">
        <v>32.5625</v>
      </c>
      <c r="AK17" s="11">
        <v>79.7316</v>
      </c>
      <c r="AL17" s="11">
        <v>177.99379999999999</v>
      </c>
      <c r="AM17" s="11">
        <v>204.2492</v>
      </c>
      <c r="AN17" s="11">
        <v>-69.494600000000005</v>
      </c>
      <c r="AO17" s="11">
        <v>-31.492699999999999</v>
      </c>
      <c r="AP17" s="11">
        <v>-255.08240000000001</v>
      </c>
      <c r="AQ17" s="11">
        <v>-70.526600000000002</v>
      </c>
      <c r="AR17" s="11">
        <v>-182.66849999999999</v>
      </c>
      <c r="AS17" s="11">
        <v>-42.661700000000003</v>
      </c>
      <c r="AT17" s="11">
        <v>-81.138499999999993</v>
      </c>
      <c r="AU17" s="11">
        <v>-117.21680000000001</v>
      </c>
      <c r="AV17" s="11">
        <v>-66.356499999999997</v>
      </c>
      <c r="AW17" s="11">
        <v>-50.510899999999999</v>
      </c>
      <c r="AX17" s="11">
        <v>-37.696899999999999</v>
      </c>
      <c r="AY17" s="11">
        <v>-24.0185</v>
      </c>
      <c r="AZ17" s="11">
        <v>-9.4166000000000007</v>
      </c>
      <c r="BA17" s="11">
        <v>-43.808500000000002</v>
      </c>
      <c r="BB17" s="11">
        <v>-17.956399999999999</v>
      </c>
      <c r="BC17" s="11">
        <v>-3.1602999999999999</v>
      </c>
      <c r="BD17" s="11">
        <v>25.030799999999999</v>
      </c>
      <c r="BE17" s="11">
        <v>22.174299999999999</v>
      </c>
      <c r="BF17" s="11"/>
      <c r="BG17" s="11">
        <v>34.0383</v>
      </c>
      <c r="BH17" s="11">
        <v>2.605</v>
      </c>
      <c r="BI17" s="11"/>
    </row>
    <row r="18" spans="1:61" x14ac:dyDescent="0.2">
      <c r="A18" s="7" t="s">
        <v>175</v>
      </c>
      <c r="B18" s="10">
        <v>90.54</v>
      </c>
      <c r="C18" s="10">
        <v>70.400000000000006</v>
      </c>
      <c r="D18" s="10">
        <v>58.39</v>
      </c>
      <c r="E18" s="10">
        <v>138.66</v>
      </c>
      <c r="F18" s="10">
        <v>198.77</v>
      </c>
      <c r="G18" s="10">
        <v>300.07</v>
      </c>
      <c r="H18" s="10">
        <v>325.73</v>
      </c>
      <c r="I18" s="10">
        <v>104.71</v>
      </c>
      <c r="J18" s="10">
        <v>59.64</v>
      </c>
      <c r="K18" s="10">
        <v>31.55</v>
      </c>
      <c r="L18" s="10">
        <v>18.579999999999998</v>
      </c>
      <c r="M18" s="10">
        <v>42.54</v>
      </c>
      <c r="N18" s="10">
        <v>52.42</v>
      </c>
      <c r="O18" s="10">
        <v>43.9</v>
      </c>
      <c r="P18" s="10">
        <v>79.62</v>
      </c>
      <c r="Q18" s="10">
        <v>-4.78</v>
      </c>
      <c r="R18" s="10">
        <v>-1.72</v>
      </c>
      <c r="S18" s="10">
        <v>-8.11</v>
      </c>
      <c r="T18" s="10">
        <v>-19.100000000000001</v>
      </c>
      <c r="U18" s="10">
        <v>77.97</v>
      </c>
      <c r="V18" s="10">
        <v>58.33</v>
      </c>
      <c r="W18" s="10">
        <v>66.09</v>
      </c>
      <c r="X18" s="10">
        <v>37.28</v>
      </c>
      <c r="Y18" s="10">
        <v>-27.21</v>
      </c>
      <c r="Z18" s="10">
        <v>-33.22</v>
      </c>
      <c r="AA18" s="10">
        <v>-36.380000000000003</v>
      </c>
      <c r="AB18" s="10">
        <v>-32.39</v>
      </c>
      <c r="AC18" s="10">
        <v>122.94</v>
      </c>
      <c r="AD18" s="10">
        <v>301.83</v>
      </c>
      <c r="AE18" s="10">
        <v>13531.89</v>
      </c>
      <c r="AF18" s="10">
        <v>2774.18</v>
      </c>
      <c r="AG18" s="10">
        <v>58508.72</v>
      </c>
      <c r="AH18" s="10">
        <v>1954.24</v>
      </c>
      <c r="AI18" s="10">
        <v>138.22</v>
      </c>
      <c r="AJ18" s="10">
        <v>19.7</v>
      </c>
      <c r="AK18" s="10">
        <v>164.5</v>
      </c>
      <c r="AL18" s="10">
        <v>-6.8</v>
      </c>
      <c r="AM18" s="10">
        <v>-9.82</v>
      </c>
      <c r="AN18" s="10">
        <v>-63.72</v>
      </c>
      <c r="AO18" s="10">
        <v>-93.49</v>
      </c>
      <c r="AP18" s="10">
        <v>47.518700000000003</v>
      </c>
      <c r="AQ18" s="10">
        <v>3.07</v>
      </c>
      <c r="AR18" s="10">
        <v>-306.9991</v>
      </c>
      <c r="AS18" s="10">
        <v>28.6</v>
      </c>
      <c r="AT18" s="10">
        <v>-287.23559999999998</v>
      </c>
      <c r="AU18" s="10">
        <v>-191.08</v>
      </c>
      <c r="AV18" s="10">
        <v>-27.087399999999999</v>
      </c>
      <c r="AW18" s="10">
        <v>-92.38</v>
      </c>
      <c r="AX18" s="10">
        <v>-75.647499999999994</v>
      </c>
      <c r="AY18" s="10">
        <v>-72.39</v>
      </c>
      <c r="AZ18" s="10">
        <v>-82.024500000000003</v>
      </c>
      <c r="BA18" s="10">
        <v>-46.38</v>
      </c>
      <c r="BB18" s="10"/>
      <c r="BC18" s="10">
        <v>-3.02</v>
      </c>
      <c r="BD18" s="10"/>
      <c r="BE18" s="10">
        <v>19.550699999999999</v>
      </c>
      <c r="BF18" s="10"/>
      <c r="BG18" s="10">
        <v>34.423900000000003</v>
      </c>
      <c r="BH18" s="10">
        <v>4.0457000000000001</v>
      </c>
      <c r="BI18" s="10"/>
    </row>
    <row r="19" spans="1:61" x14ac:dyDescent="0.2">
      <c r="A19" s="7" t="s">
        <v>176</v>
      </c>
      <c r="B19" s="11">
        <v>314.54219999999998</v>
      </c>
      <c r="C19" s="11">
        <v>232.45099999999999</v>
      </c>
      <c r="D19" s="11">
        <v>232.73599999999999</v>
      </c>
      <c r="E19" s="11">
        <v>66.809200000000004</v>
      </c>
      <c r="F19" s="11">
        <v>-8.7927</v>
      </c>
      <c r="G19" s="11">
        <v>-16.2271</v>
      </c>
      <c r="H19" s="11">
        <v>30.062999999999999</v>
      </c>
      <c r="I19" s="11">
        <v>-22.532800000000002</v>
      </c>
      <c r="J19" s="11">
        <v>-1.7007000000000001</v>
      </c>
      <c r="K19" s="11">
        <v>-5.0833000000000004</v>
      </c>
      <c r="L19" s="11">
        <v>-44.414299999999997</v>
      </c>
      <c r="M19" s="11">
        <v>201.3115</v>
      </c>
      <c r="N19" s="11">
        <v>315.94349999999997</v>
      </c>
      <c r="O19" s="11">
        <v>32908.358099999998</v>
      </c>
      <c r="P19" s="11">
        <v>785.36059999999998</v>
      </c>
      <c r="Q19" s="11">
        <v>3647.4764</v>
      </c>
      <c r="R19" s="11">
        <v>358.78489999999999</v>
      </c>
      <c r="S19" s="11">
        <v>101.69159999999999</v>
      </c>
      <c r="T19" s="11">
        <v>61.595500000000001</v>
      </c>
      <c r="U19" s="11">
        <v>-96.191400000000002</v>
      </c>
      <c r="V19" s="11">
        <v>-155.3699</v>
      </c>
      <c r="W19" s="11">
        <v>-316.82319999999999</v>
      </c>
      <c r="X19" s="11">
        <v>-141.35040000000001</v>
      </c>
      <c r="Y19" s="11">
        <v>-13.7203</v>
      </c>
      <c r="Z19" s="11">
        <v>-20.455200000000001</v>
      </c>
      <c r="AA19" s="11">
        <v>-54.697800000000001</v>
      </c>
      <c r="AB19" s="11">
        <v>-219.89490000000001</v>
      </c>
      <c r="AC19" s="11">
        <v>1458.2118</v>
      </c>
      <c r="AD19" s="11">
        <v>3726.3559</v>
      </c>
      <c r="AE19" s="11">
        <v>1995.9108000000001</v>
      </c>
      <c r="AF19" s="11">
        <v>-1171.3626999999999</v>
      </c>
      <c r="AG19" s="11">
        <v>22.236799999999999</v>
      </c>
      <c r="AH19" s="11">
        <v>-77.446200000000005</v>
      </c>
      <c r="AI19" s="11">
        <v>-59.4482</v>
      </c>
      <c r="AJ19" s="11">
        <v>206.20679999999999</v>
      </c>
      <c r="AK19" s="11">
        <v>25.4574</v>
      </c>
      <c r="AL19" s="11">
        <v>-3.1585999999999999</v>
      </c>
      <c r="AM19" s="11">
        <v>41.682899999999997</v>
      </c>
      <c r="AN19" s="11">
        <v>-94.567599999999999</v>
      </c>
      <c r="AO19" s="11">
        <v>195.87819999999999</v>
      </c>
      <c r="AP19" s="11">
        <v>-6.9160000000000004</v>
      </c>
      <c r="AQ19" s="11">
        <v>-14.3492</v>
      </c>
      <c r="AR19" s="11">
        <v>424.81209999999999</v>
      </c>
      <c r="AS19" s="11">
        <v>-74.779499999999999</v>
      </c>
      <c r="AT19" s="11">
        <v>-72.512100000000004</v>
      </c>
      <c r="AU19" s="11">
        <v>-4.077</v>
      </c>
      <c r="AV19" s="11">
        <v>-35.147399999999998</v>
      </c>
      <c r="AW19" s="11">
        <v>372.25349999999997</v>
      </c>
      <c r="AX19" s="11">
        <v>279.15480000000002</v>
      </c>
      <c r="AY19" s="11">
        <v>177.66560000000001</v>
      </c>
      <c r="AZ19" s="11">
        <v>152.78210000000001</v>
      </c>
      <c r="BA19" s="11">
        <v>-140.20140000000001</v>
      </c>
      <c r="BB19" s="11">
        <v>-216.85560000000001</v>
      </c>
      <c r="BC19" s="11">
        <v>-229.88990000000001</v>
      </c>
      <c r="BD19" s="11">
        <v>-447.0951</v>
      </c>
      <c r="BE19" s="11">
        <v>2.2193999999999998</v>
      </c>
      <c r="BF19" s="11"/>
      <c r="BG19" s="11">
        <v>-5.6923000000000004</v>
      </c>
      <c r="BH19" s="11">
        <v>49.146500000000003</v>
      </c>
      <c r="BI19" s="11"/>
    </row>
    <row r="20" spans="1:61" x14ac:dyDescent="0.2">
      <c r="A20" s="7" t="s">
        <v>177</v>
      </c>
      <c r="B20" s="10">
        <v>27.216699999999999</v>
      </c>
      <c r="C20" s="10">
        <v>20.118500000000001</v>
      </c>
      <c r="D20" s="10">
        <v>18.9026</v>
      </c>
      <c r="E20" s="10">
        <v>77.336299999999994</v>
      </c>
      <c r="F20" s="10">
        <v>122.4584</v>
      </c>
      <c r="G20" s="10">
        <v>208.334</v>
      </c>
      <c r="H20" s="10">
        <v>218.31960000000001</v>
      </c>
      <c r="I20" s="10">
        <v>48.740900000000003</v>
      </c>
      <c r="J20" s="10">
        <v>32.595199999999998</v>
      </c>
      <c r="K20" s="10">
        <v>12.269</v>
      </c>
      <c r="L20" s="10">
        <v>8.8925000000000001</v>
      </c>
      <c r="M20" s="10">
        <v>34.238300000000002</v>
      </c>
      <c r="N20" s="10">
        <v>9.8946000000000005</v>
      </c>
      <c r="O20" s="10">
        <v>1.3374999999999999</v>
      </c>
      <c r="P20" s="10">
        <v>12.244899999999999</v>
      </c>
      <c r="Q20" s="10">
        <v>-30.420200000000001</v>
      </c>
      <c r="R20" s="10">
        <v>-17.0838</v>
      </c>
      <c r="S20" s="10">
        <v>-17.381799999999998</v>
      </c>
      <c r="T20" s="10">
        <v>-23.723400000000002</v>
      </c>
      <c r="U20" s="10">
        <v>47.975999999999999</v>
      </c>
      <c r="V20" s="10">
        <v>48.792700000000004</v>
      </c>
      <c r="W20" s="10">
        <v>56.835299999999997</v>
      </c>
      <c r="X20" s="10">
        <v>39.5092</v>
      </c>
      <c r="Y20" s="10">
        <v>-43.1706</v>
      </c>
      <c r="Z20" s="10">
        <v>-49.935200000000002</v>
      </c>
      <c r="AA20" s="10">
        <v>-55.990200000000002</v>
      </c>
      <c r="AB20" s="10">
        <v>-56.128300000000003</v>
      </c>
      <c r="AC20" s="10">
        <v>223.57079999999999</v>
      </c>
      <c r="AD20" s="10">
        <v>255.0042</v>
      </c>
      <c r="AE20" s="10">
        <v>924.19500000000005</v>
      </c>
      <c r="AF20" s="10">
        <v>545.27599999999995</v>
      </c>
      <c r="AG20" s="10">
        <v>122.87</v>
      </c>
      <c r="AH20" s="10">
        <v>295.89589999999998</v>
      </c>
      <c r="AI20" s="10">
        <v>-26.0916</v>
      </c>
      <c r="AJ20" s="10">
        <v>33.7941</v>
      </c>
      <c r="AK20" s="10">
        <v>77.281999999999996</v>
      </c>
      <c r="AL20" s="10">
        <v>176.2662</v>
      </c>
      <c r="AM20" s="10">
        <v>201.7687</v>
      </c>
      <c r="AN20" s="10">
        <v>-70.121300000000005</v>
      </c>
      <c r="AO20" s="10">
        <v>-31.898800000000001</v>
      </c>
      <c r="AP20" s="10">
        <v>-252.9768</v>
      </c>
      <c r="AQ20" s="10">
        <v>-65.510300000000001</v>
      </c>
      <c r="AR20" s="10">
        <v>-181.26300000000001</v>
      </c>
      <c r="AS20" s="10">
        <v>-44.305100000000003</v>
      </c>
      <c r="AT20" s="10">
        <v>-81.031800000000004</v>
      </c>
      <c r="AU20" s="10">
        <v>-117.4945</v>
      </c>
      <c r="AV20" s="10">
        <v>-66.300299999999993</v>
      </c>
      <c r="AW20" s="10">
        <v>-51.298099999999998</v>
      </c>
      <c r="AX20" s="10">
        <v>-39.189500000000002</v>
      </c>
      <c r="AY20" s="10">
        <v>-26.611899999999999</v>
      </c>
      <c r="AZ20" s="10">
        <v>-11.9945</v>
      </c>
      <c r="BA20" s="10">
        <v>-77.681399999999996</v>
      </c>
      <c r="BB20" s="10"/>
      <c r="BC20" s="10">
        <v>-66.222300000000004</v>
      </c>
      <c r="BD20" s="10"/>
      <c r="BE20" s="10">
        <v>-8.0649999999999995</v>
      </c>
      <c r="BF20" s="10"/>
      <c r="BG20" s="10">
        <v>-26.029</v>
      </c>
      <c r="BH20" s="10">
        <v>-10.8553</v>
      </c>
      <c r="BI20" s="10"/>
    </row>
    <row r="21" spans="1:61" x14ac:dyDescent="0.2">
      <c r="A21" s="7" t="s">
        <v>178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</row>
    <row r="22" spans="1:61" x14ac:dyDescent="0.2">
      <c r="A22" s="7" t="s">
        <v>179</v>
      </c>
      <c r="B22" s="10">
        <v>39.166499999999999</v>
      </c>
      <c r="C22" s="10">
        <v>20.334499999999998</v>
      </c>
      <c r="D22" s="10">
        <v>9.8744999999999994</v>
      </c>
      <c r="E22" s="10">
        <v>-3.9260000000000002</v>
      </c>
      <c r="F22" s="10">
        <v>-11.3035</v>
      </c>
      <c r="G22" s="10">
        <v>-18.756399999999999</v>
      </c>
      <c r="H22" s="10">
        <v>10.122999999999999</v>
      </c>
      <c r="I22" s="10">
        <v>19.109400000000001</v>
      </c>
      <c r="J22" s="10">
        <v>13.3368</v>
      </c>
      <c r="K22" s="10">
        <v>8.4366000000000003</v>
      </c>
      <c r="L22" s="10">
        <v>3.6316000000000002</v>
      </c>
      <c r="M22" s="10">
        <v>3.8588</v>
      </c>
      <c r="N22" s="10">
        <v>2.9178999999999999</v>
      </c>
      <c r="O22" s="10">
        <v>1.851</v>
      </c>
      <c r="P22" s="10">
        <v>2.1219000000000001</v>
      </c>
      <c r="Q22" s="10">
        <v>29.805700000000002</v>
      </c>
      <c r="R22" s="10">
        <v>8.3536000000000001</v>
      </c>
      <c r="S22" s="10">
        <v>3.9918999999999998</v>
      </c>
      <c r="T22" s="10">
        <v>2.137</v>
      </c>
      <c r="U22" s="10">
        <v>13.9046</v>
      </c>
      <c r="V22" s="10">
        <v>9.5790000000000006</v>
      </c>
      <c r="W22" s="10">
        <v>4.8228999999999997</v>
      </c>
      <c r="X22" s="10">
        <v>2.4496000000000002</v>
      </c>
      <c r="Y22" s="10">
        <v>-3.3267000000000002</v>
      </c>
      <c r="Z22" s="10">
        <v>-6.0430999999999999</v>
      </c>
      <c r="AA22" s="10">
        <v>-9.8406000000000002</v>
      </c>
      <c r="AB22" s="10">
        <v>25.152999999999999</v>
      </c>
      <c r="AC22" s="10">
        <v>18.8367</v>
      </c>
      <c r="AD22" s="10">
        <v>12.886699999999999</v>
      </c>
      <c r="AE22" s="10">
        <v>8.5725999999999996</v>
      </c>
      <c r="AF22" s="10">
        <v>4.2584999999999997</v>
      </c>
      <c r="AG22" s="10">
        <v>228.56700000000001</v>
      </c>
      <c r="AH22" s="10">
        <v>246.62049999999999</v>
      </c>
      <c r="AI22" s="10">
        <v>0.377</v>
      </c>
      <c r="AJ22" s="10">
        <v>-0.78510000000000002</v>
      </c>
      <c r="AK22" s="10">
        <v>1.3791</v>
      </c>
      <c r="AL22" s="10">
        <v>0.26790000000000003</v>
      </c>
      <c r="AM22" s="10">
        <v>0.85</v>
      </c>
      <c r="AN22" s="10">
        <v>-1.2529999999999999</v>
      </c>
      <c r="AO22" s="10">
        <v>0.59850000000000003</v>
      </c>
      <c r="AP22" s="10">
        <v>-1.37</v>
      </c>
      <c r="AQ22" s="10">
        <v>-0.96</v>
      </c>
      <c r="AR22" s="10">
        <v>-0.28999999999999998</v>
      </c>
      <c r="AS22" s="10">
        <v>-42.81</v>
      </c>
      <c r="AT22" s="10">
        <v>0.16</v>
      </c>
      <c r="AU22" s="10">
        <v>-1.04</v>
      </c>
      <c r="AV22" s="10">
        <v>0.92</v>
      </c>
      <c r="AW22" s="10">
        <v>-43.55</v>
      </c>
      <c r="AX22" s="10">
        <v>-43.11</v>
      </c>
      <c r="AY22" s="10">
        <v>-43.21</v>
      </c>
      <c r="AZ22" s="10">
        <v>2.75</v>
      </c>
      <c r="BA22" s="10">
        <v>88.82</v>
      </c>
      <c r="BB22" s="10">
        <v>88.65</v>
      </c>
      <c r="BC22" s="10">
        <v>86.23</v>
      </c>
      <c r="BD22" s="10">
        <v>88.41</v>
      </c>
      <c r="BE22" s="10">
        <v>32.895499999999998</v>
      </c>
      <c r="BF22" s="10">
        <v>15.1808</v>
      </c>
      <c r="BG22" s="10">
        <v>-62.191400000000002</v>
      </c>
      <c r="BH22" s="10">
        <v>15.099299999999999</v>
      </c>
      <c r="BI22" s="10"/>
    </row>
    <row r="23" spans="1:61" x14ac:dyDescent="0.2">
      <c r="A23" s="7" t="s">
        <v>180</v>
      </c>
      <c r="B23" s="11">
        <v>37.621499999999997</v>
      </c>
      <c r="C23" s="11">
        <v>20.509899999999998</v>
      </c>
      <c r="D23" s="11">
        <v>9.4109999999999996</v>
      </c>
      <c r="E23" s="11">
        <v>44.282699999999998</v>
      </c>
      <c r="F23" s="11">
        <v>35.575699999999998</v>
      </c>
      <c r="G23" s="11">
        <v>22.072600000000001</v>
      </c>
      <c r="H23" s="11">
        <v>11.664099999999999</v>
      </c>
      <c r="I23" s="11">
        <v>20.835699999999999</v>
      </c>
      <c r="J23" s="11">
        <v>14.5442</v>
      </c>
      <c r="K23" s="11">
        <v>3.8626999999999998</v>
      </c>
      <c r="L23" s="11">
        <v>2.7627000000000002</v>
      </c>
      <c r="M23" s="11">
        <v>-4.6399999999999997E-2</v>
      </c>
      <c r="N23" s="11">
        <v>0.93600000000000005</v>
      </c>
      <c r="O23" s="11">
        <v>1.1352</v>
      </c>
      <c r="P23" s="11">
        <v>-0.8427</v>
      </c>
      <c r="Q23" s="11">
        <v>21.6584</v>
      </c>
      <c r="R23" s="11">
        <v>5.6083999999999996</v>
      </c>
      <c r="S23" s="11">
        <v>2.9178000000000002</v>
      </c>
      <c r="T23" s="11">
        <v>-3.3818000000000001</v>
      </c>
      <c r="U23" s="11">
        <v>29.782800000000002</v>
      </c>
      <c r="V23" s="11">
        <v>25.956099999999999</v>
      </c>
      <c r="W23" s="11">
        <v>19.7242</v>
      </c>
      <c r="X23" s="11">
        <v>5.0034000000000001</v>
      </c>
      <c r="Y23" s="11">
        <v>29.837900000000001</v>
      </c>
      <c r="Z23" s="11">
        <v>21.3965</v>
      </c>
      <c r="AA23" s="11">
        <v>20.2913</v>
      </c>
      <c r="AB23" s="11">
        <v>17.382100000000001</v>
      </c>
      <c r="AC23" s="11">
        <v>3.4594</v>
      </c>
      <c r="AD23" s="11">
        <v>2.1682999999999999</v>
      </c>
      <c r="AE23" s="11">
        <v>4.0068000000000001</v>
      </c>
      <c r="AF23" s="11">
        <v>-2.5764</v>
      </c>
      <c r="AG23" s="11">
        <v>1135.4631999999999</v>
      </c>
      <c r="AH23" s="11">
        <v>1085.9293</v>
      </c>
      <c r="AI23" s="11">
        <v>-1.4256</v>
      </c>
      <c r="AJ23" s="11">
        <v>-1.8533999999999999</v>
      </c>
      <c r="AK23" s="11">
        <v>-1.4279999999999999</v>
      </c>
      <c r="AL23" s="11">
        <v>-2.4695</v>
      </c>
      <c r="AM23" s="11">
        <v>-1.8552</v>
      </c>
      <c r="AN23" s="11">
        <v>-2.5527000000000002</v>
      </c>
      <c r="AO23" s="11">
        <v>-2.2029000000000001</v>
      </c>
      <c r="AP23" s="11">
        <v>-6.8005000000000004</v>
      </c>
      <c r="AQ23" s="11">
        <v>-0.24790000000000001</v>
      </c>
      <c r="AR23" s="11">
        <v>-0.40300000000000002</v>
      </c>
      <c r="AS23" s="11">
        <v>-11.384399999999999</v>
      </c>
      <c r="AT23" s="11">
        <v>-2.9476</v>
      </c>
      <c r="AU23" s="11">
        <v>-6.6863999999999999</v>
      </c>
      <c r="AV23" s="11">
        <v>-1.2834000000000001</v>
      </c>
      <c r="AW23" s="11">
        <v>35.834899999999998</v>
      </c>
      <c r="AX23" s="11">
        <v>18.0472</v>
      </c>
      <c r="AY23" s="11">
        <v>16.084</v>
      </c>
      <c r="AZ23" s="11">
        <v>3.9946000000000002</v>
      </c>
      <c r="BA23" s="11">
        <v>85.637100000000004</v>
      </c>
      <c r="BB23" s="11">
        <v>87.161000000000001</v>
      </c>
      <c r="BC23" s="11">
        <v>88.010999999999996</v>
      </c>
      <c r="BD23" s="11">
        <v>103.14579999999999</v>
      </c>
      <c r="BE23" s="11">
        <v>32.821100000000001</v>
      </c>
      <c r="BF23" s="11">
        <v>23.368500000000001</v>
      </c>
      <c r="BG23" s="11">
        <v>44.920499999999997</v>
      </c>
      <c r="BH23" s="11">
        <v>17.218399999999999</v>
      </c>
      <c r="BI23" s="11"/>
    </row>
    <row r="24" spans="1:61" x14ac:dyDescent="0.2">
      <c r="A24" s="7" t="s">
        <v>181</v>
      </c>
      <c r="B24" s="10">
        <v>37.919600000000003</v>
      </c>
      <c r="C24" s="10">
        <v>19.256499999999999</v>
      </c>
      <c r="D24" s="10">
        <v>8.2614000000000001</v>
      </c>
      <c r="E24" s="10">
        <v>34.1691</v>
      </c>
      <c r="F24" s="10">
        <v>23.866700000000002</v>
      </c>
      <c r="G24" s="10">
        <v>13.458399999999999</v>
      </c>
      <c r="H24" s="10">
        <v>10.1226</v>
      </c>
      <c r="I24" s="10">
        <v>19.386900000000001</v>
      </c>
      <c r="J24" s="10">
        <v>13.600899999999999</v>
      </c>
      <c r="K24" s="10">
        <v>8.6892999999999994</v>
      </c>
      <c r="L24" s="10">
        <v>3.6316000000000002</v>
      </c>
      <c r="M24" s="10">
        <v>3.9712999999999998</v>
      </c>
      <c r="N24" s="10">
        <v>3.0293999999999999</v>
      </c>
      <c r="O24" s="10">
        <v>1.7967</v>
      </c>
      <c r="P24" s="10">
        <v>2.0672999999999999</v>
      </c>
      <c r="Q24" s="10">
        <v>45.628500000000003</v>
      </c>
      <c r="R24" s="10">
        <v>8.3312000000000008</v>
      </c>
      <c r="S24" s="10">
        <v>3.9704000000000002</v>
      </c>
      <c r="T24" s="10">
        <v>2.1160999999999999</v>
      </c>
      <c r="U24" s="10">
        <v>13.903700000000001</v>
      </c>
      <c r="V24" s="10">
        <v>9.5782000000000007</v>
      </c>
      <c r="W24" s="10">
        <v>4.8230000000000004</v>
      </c>
      <c r="X24" s="10">
        <v>2.4496000000000002</v>
      </c>
      <c r="Y24" s="10">
        <v>45.006700000000002</v>
      </c>
      <c r="Z24" s="10">
        <v>41.050699999999999</v>
      </c>
      <c r="AA24" s="10">
        <v>35.349699999999999</v>
      </c>
      <c r="AB24" s="10">
        <v>34.201599999999999</v>
      </c>
      <c r="AC24" s="10">
        <v>19.237400000000001</v>
      </c>
      <c r="AD24" s="10">
        <v>13.279199999999999</v>
      </c>
      <c r="AE24" s="10">
        <v>8.5721000000000007</v>
      </c>
      <c r="AF24" s="10">
        <v>4.2577999999999996</v>
      </c>
      <c r="AG24" s="10">
        <v>620.7604</v>
      </c>
      <c r="AH24" s="10">
        <v>660.35929999999996</v>
      </c>
      <c r="AI24" s="10">
        <v>0.37380000000000002</v>
      </c>
      <c r="AJ24" s="10">
        <v>-0.78480000000000005</v>
      </c>
      <c r="AK24" s="10">
        <v>1.3817999999999999</v>
      </c>
      <c r="AL24" s="10">
        <v>0.26719999999999999</v>
      </c>
      <c r="AM24" s="10">
        <v>0.84970000000000001</v>
      </c>
      <c r="AN24" s="10">
        <v>-1.2507999999999999</v>
      </c>
      <c r="AO24" s="10">
        <v>0.59630000000000005</v>
      </c>
      <c r="AP24" s="10">
        <v>-1.369</v>
      </c>
      <c r="AQ24" s="10">
        <v>-0.96289999999999998</v>
      </c>
      <c r="AR24" s="10">
        <v>-0.29470000000000002</v>
      </c>
      <c r="AS24" s="10">
        <v>2.9508000000000001</v>
      </c>
      <c r="AT24" s="10">
        <v>0.1628</v>
      </c>
      <c r="AU24" s="10">
        <v>-1.0398000000000001</v>
      </c>
      <c r="AV24" s="10">
        <v>0.9022</v>
      </c>
      <c r="AW24" s="10">
        <v>1.6163000000000001</v>
      </c>
      <c r="AX24" s="10">
        <v>2.3576999999999999</v>
      </c>
      <c r="AY24" s="10">
        <v>2.1816</v>
      </c>
      <c r="AZ24" s="10">
        <v>2.7042999999999999</v>
      </c>
      <c r="BA24" s="10">
        <v>151.7696</v>
      </c>
      <c r="BB24" s="10">
        <v>151.53149999999999</v>
      </c>
      <c r="BC24" s="10">
        <v>148.4813</v>
      </c>
      <c r="BD24" s="10">
        <v>151.21940000000001</v>
      </c>
      <c r="BE24" s="10">
        <v>32.892099999999999</v>
      </c>
      <c r="BF24" s="10">
        <v>15.177899999999999</v>
      </c>
      <c r="BG24" s="10">
        <v>81.203800000000001</v>
      </c>
      <c r="BH24" s="10">
        <v>15.099299999999999</v>
      </c>
      <c r="BI24" s="10"/>
    </row>
  </sheetData>
  <phoneticPr fontId="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7114-60F0-43AB-8DBA-0882055BA118}">
  <dimension ref="A1:BI25"/>
  <sheetViews>
    <sheetView workbookViewId="0"/>
  </sheetViews>
  <sheetFormatPr defaultRowHeight="14.25" x14ac:dyDescent="0.2"/>
  <cols>
    <col min="1" max="1" width="46.375" bestFit="1" customWidth="1"/>
  </cols>
  <sheetData>
    <row r="1" spans="1:61" x14ac:dyDescent="0.2">
      <c r="A1" s="1" t="s">
        <v>0</v>
      </c>
      <c r="B1" s="3" t="s">
        <v>4</v>
      </c>
    </row>
    <row r="2" spans="1:61" x14ac:dyDescent="0.2">
      <c r="A2" s="1" t="s">
        <v>1</v>
      </c>
      <c r="B2" s="2" t="str">
        <f>[1]!S_INFO_NAME($B$1)</f>
        <v>中际旭创</v>
      </c>
    </row>
    <row r="3" spans="1:61" x14ac:dyDescent="0.2">
      <c r="A3" s="1" t="s">
        <v>2</v>
      </c>
      <c r="B3" s="3">
        <v>1988</v>
      </c>
    </row>
    <row r="4" spans="1:61" x14ac:dyDescent="0.2">
      <c r="A4" s="1" t="s">
        <v>3</v>
      </c>
      <c r="B4" s="3">
        <v>2026</v>
      </c>
    </row>
    <row r="5" spans="1:61" x14ac:dyDescent="0.2">
      <c r="A5" s="8" t="str">
        <f>[1]!WFR(B1,B3&amp;":"&amp;B4,"Func=Rpt.CashFlow_S20","rptType=1","singleSeason=0","unit=1","currencyType=ORIG","order=LEFT","rate=HISTORY","version=2","quarterindic=0","showcurrency=0","reportPeriod=31","cols=60;rows=19")</f>
        <v xml:space="preserve">                                                                                                              </v>
      </c>
    </row>
    <row r="6" spans="1:61" x14ac:dyDescent="0.2">
      <c r="A6" s="5" t="s">
        <v>230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x14ac:dyDescent="0.2">
      <c r="A7" s="6" t="s">
        <v>6</v>
      </c>
      <c r="B7" s="9">
        <v>45930</v>
      </c>
      <c r="C7" s="9">
        <v>45838</v>
      </c>
      <c r="D7" s="9">
        <v>45747</v>
      </c>
      <c r="E7" s="9">
        <v>45657</v>
      </c>
      <c r="F7" s="9">
        <v>45565</v>
      </c>
      <c r="G7" s="9">
        <v>45473</v>
      </c>
      <c r="H7" s="9">
        <v>45382</v>
      </c>
      <c r="I7" s="9">
        <v>45291</v>
      </c>
      <c r="J7" s="9">
        <v>45199</v>
      </c>
      <c r="K7" s="9">
        <v>45107</v>
      </c>
      <c r="L7" s="9">
        <v>45016</v>
      </c>
      <c r="M7" s="9">
        <v>44926</v>
      </c>
      <c r="N7" s="9">
        <v>44834</v>
      </c>
      <c r="O7" s="9">
        <v>44742</v>
      </c>
      <c r="P7" s="9">
        <v>44651</v>
      </c>
      <c r="Q7" s="9">
        <v>44561</v>
      </c>
      <c r="R7" s="9">
        <v>44469</v>
      </c>
      <c r="S7" s="9">
        <v>44377</v>
      </c>
      <c r="T7" s="9">
        <v>44286</v>
      </c>
      <c r="U7" s="9">
        <v>44196</v>
      </c>
      <c r="V7" s="9">
        <v>44104</v>
      </c>
      <c r="W7" s="9">
        <v>44012</v>
      </c>
      <c r="X7" s="9">
        <v>43921</v>
      </c>
      <c r="Y7" s="9">
        <v>43830</v>
      </c>
      <c r="Z7" s="9">
        <v>43738</v>
      </c>
      <c r="AA7" s="9">
        <v>43646</v>
      </c>
      <c r="AB7" s="9">
        <v>43555</v>
      </c>
      <c r="AC7" s="9">
        <v>43465</v>
      </c>
      <c r="AD7" s="9">
        <v>43373</v>
      </c>
      <c r="AE7" s="9">
        <v>43281</v>
      </c>
      <c r="AF7" s="9">
        <v>43190</v>
      </c>
      <c r="AG7" s="9">
        <v>43100</v>
      </c>
      <c r="AH7" s="9">
        <v>43008</v>
      </c>
      <c r="AI7" s="9">
        <v>42916</v>
      </c>
      <c r="AJ7" s="9">
        <v>42825</v>
      </c>
      <c r="AK7" s="9">
        <v>42735</v>
      </c>
      <c r="AL7" s="9">
        <v>42643</v>
      </c>
      <c r="AM7" s="9">
        <v>42551</v>
      </c>
      <c r="AN7" s="9">
        <v>42460</v>
      </c>
      <c r="AO7" s="9">
        <v>42369</v>
      </c>
      <c r="AP7" s="9">
        <v>42277</v>
      </c>
      <c r="AQ7" s="9">
        <v>42185</v>
      </c>
      <c r="AR7" s="9">
        <v>42094</v>
      </c>
      <c r="AS7" s="9">
        <v>42004</v>
      </c>
      <c r="AT7" s="9">
        <v>41912</v>
      </c>
      <c r="AU7" s="9">
        <v>41820</v>
      </c>
      <c r="AV7" s="9">
        <v>41729</v>
      </c>
      <c r="AW7" s="9">
        <v>41639</v>
      </c>
      <c r="AX7" s="9">
        <v>41547</v>
      </c>
      <c r="AY7" s="9">
        <v>41455</v>
      </c>
      <c r="AZ7" s="9">
        <v>41364</v>
      </c>
      <c r="BA7" s="9">
        <v>41274</v>
      </c>
      <c r="BB7" s="9">
        <v>41182</v>
      </c>
      <c r="BC7" s="9">
        <v>41090</v>
      </c>
      <c r="BD7" s="9">
        <v>40999</v>
      </c>
      <c r="BE7" s="9">
        <v>40908</v>
      </c>
      <c r="BF7" s="9">
        <v>40724</v>
      </c>
      <c r="BG7" s="9">
        <v>40543</v>
      </c>
      <c r="BH7" s="9">
        <v>40178</v>
      </c>
      <c r="BI7" s="9">
        <v>39813</v>
      </c>
    </row>
    <row r="8" spans="1:61" x14ac:dyDescent="0.2">
      <c r="A8" s="7" t="s">
        <v>7</v>
      </c>
      <c r="B8" s="10" t="s">
        <v>84</v>
      </c>
      <c r="C8" s="10" t="s">
        <v>109</v>
      </c>
      <c r="D8" s="10" t="s">
        <v>110</v>
      </c>
      <c r="E8" s="10" t="s">
        <v>82</v>
      </c>
      <c r="F8" s="10" t="s">
        <v>84</v>
      </c>
      <c r="G8" s="10" t="s">
        <v>109</v>
      </c>
      <c r="H8" s="10" t="s">
        <v>110</v>
      </c>
      <c r="I8" s="10" t="s">
        <v>82</v>
      </c>
      <c r="J8" s="10" t="s">
        <v>84</v>
      </c>
      <c r="K8" s="10" t="s">
        <v>109</v>
      </c>
      <c r="L8" s="10" t="s">
        <v>110</v>
      </c>
      <c r="M8" s="10" t="s">
        <v>82</v>
      </c>
      <c r="N8" s="10" t="s">
        <v>84</v>
      </c>
      <c r="O8" s="10" t="s">
        <v>109</v>
      </c>
      <c r="P8" s="10" t="s">
        <v>110</v>
      </c>
      <c r="Q8" s="10" t="s">
        <v>82</v>
      </c>
      <c r="R8" s="10" t="s">
        <v>84</v>
      </c>
      <c r="S8" s="10" t="s">
        <v>109</v>
      </c>
      <c r="T8" s="10" t="s">
        <v>110</v>
      </c>
      <c r="U8" s="10" t="s">
        <v>82</v>
      </c>
      <c r="V8" s="10" t="s">
        <v>84</v>
      </c>
      <c r="W8" s="10" t="s">
        <v>109</v>
      </c>
      <c r="X8" s="10" t="s">
        <v>110</v>
      </c>
      <c r="Y8" s="10" t="s">
        <v>82</v>
      </c>
      <c r="Z8" s="10" t="s">
        <v>84</v>
      </c>
      <c r="AA8" s="10" t="s">
        <v>109</v>
      </c>
      <c r="AB8" s="10" t="s">
        <v>110</v>
      </c>
      <c r="AC8" s="10" t="s">
        <v>82</v>
      </c>
      <c r="AD8" s="10" t="s">
        <v>84</v>
      </c>
      <c r="AE8" s="10" t="s">
        <v>109</v>
      </c>
      <c r="AF8" s="10" t="s">
        <v>110</v>
      </c>
      <c r="AG8" s="10" t="s">
        <v>82</v>
      </c>
      <c r="AH8" s="10" t="s">
        <v>84</v>
      </c>
      <c r="AI8" s="10" t="s">
        <v>109</v>
      </c>
      <c r="AJ8" s="10" t="s">
        <v>110</v>
      </c>
      <c r="AK8" s="10" t="s">
        <v>82</v>
      </c>
      <c r="AL8" s="10" t="s">
        <v>84</v>
      </c>
      <c r="AM8" s="10" t="s">
        <v>109</v>
      </c>
      <c r="AN8" s="10" t="s">
        <v>110</v>
      </c>
      <c r="AO8" s="10" t="s">
        <v>82</v>
      </c>
      <c r="AP8" s="10" t="s">
        <v>84</v>
      </c>
      <c r="AQ8" s="10" t="s">
        <v>109</v>
      </c>
      <c r="AR8" s="10" t="s">
        <v>110</v>
      </c>
      <c r="AS8" s="10" t="s">
        <v>82</v>
      </c>
      <c r="AT8" s="10" t="s">
        <v>84</v>
      </c>
      <c r="AU8" s="10" t="s">
        <v>109</v>
      </c>
      <c r="AV8" s="10" t="s">
        <v>110</v>
      </c>
      <c r="AW8" s="10" t="s">
        <v>82</v>
      </c>
      <c r="AX8" s="10" t="s">
        <v>84</v>
      </c>
      <c r="AY8" s="10" t="s">
        <v>109</v>
      </c>
      <c r="AZ8" s="10" t="s">
        <v>110</v>
      </c>
      <c r="BA8" s="10" t="s">
        <v>82</v>
      </c>
      <c r="BB8" s="10" t="s">
        <v>84</v>
      </c>
      <c r="BC8" s="10" t="s">
        <v>109</v>
      </c>
      <c r="BD8" s="10" t="s">
        <v>110</v>
      </c>
      <c r="BE8" s="10" t="s">
        <v>82</v>
      </c>
      <c r="BF8" s="10" t="s">
        <v>109</v>
      </c>
      <c r="BG8" s="10" t="s">
        <v>82</v>
      </c>
      <c r="BH8" s="10" t="s">
        <v>82</v>
      </c>
      <c r="BI8" s="10" t="s">
        <v>82</v>
      </c>
    </row>
    <row r="9" spans="1:61" x14ac:dyDescent="0.2">
      <c r="A9" s="7" t="s">
        <v>231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61" x14ac:dyDescent="0.2">
      <c r="A10" s="7" t="s">
        <v>232</v>
      </c>
      <c r="B10" s="10">
        <v>92.35</v>
      </c>
      <c r="C10" s="10">
        <v>88.93</v>
      </c>
      <c r="D10" s="10">
        <v>97.57</v>
      </c>
      <c r="E10" s="10">
        <v>93.9</v>
      </c>
      <c r="F10" s="10">
        <v>88.63</v>
      </c>
      <c r="G10" s="10">
        <v>87.39</v>
      </c>
      <c r="H10" s="10">
        <v>100.21</v>
      </c>
      <c r="I10" s="10">
        <v>90.14</v>
      </c>
      <c r="J10" s="10">
        <v>93.83</v>
      </c>
      <c r="K10" s="10">
        <v>104.48</v>
      </c>
      <c r="L10" s="10">
        <v>104.25</v>
      </c>
      <c r="M10" s="10">
        <v>106.88</v>
      </c>
      <c r="N10" s="10">
        <v>106.52</v>
      </c>
      <c r="O10" s="10">
        <v>111.45</v>
      </c>
      <c r="P10" s="10">
        <v>130.37</v>
      </c>
      <c r="Q10" s="10">
        <v>99.2</v>
      </c>
      <c r="R10" s="10">
        <v>100.22</v>
      </c>
      <c r="S10" s="10">
        <v>100.06</v>
      </c>
      <c r="T10" s="10">
        <v>110.86</v>
      </c>
      <c r="U10" s="10">
        <v>101.34</v>
      </c>
      <c r="V10" s="10">
        <v>106.9</v>
      </c>
      <c r="W10" s="10">
        <v>112.1</v>
      </c>
      <c r="X10" s="10">
        <v>109.6</v>
      </c>
      <c r="Y10" s="10">
        <v>97.45</v>
      </c>
      <c r="Z10" s="10">
        <v>94.12</v>
      </c>
      <c r="AA10" s="10">
        <v>98.16</v>
      </c>
      <c r="AB10" s="10">
        <v>104.83</v>
      </c>
      <c r="AC10" s="10">
        <v>106.39</v>
      </c>
      <c r="AD10" s="10">
        <v>102.44</v>
      </c>
      <c r="AE10" s="10">
        <v>103.59</v>
      </c>
      <c r="AF10" s="10">
        <v>108.35</v>
      </c>
      <c r="AG10" s="10">
        <v>96.1</v>
      </c>
      <c r="AH10" s="10">
        <v>90.9</v>
      </c>
      <c r="AI10" s="10">
        <v>96.53</v>
      </c>
      <c r="AJ10" s="10">
        <v>248.57</v>
      </c>
      <c r="AK10" s="10">
        <v>112.73</v>
      </c>
      <c r="AL10" s="10">
        <v>127.97</v>
      </c>
      <c r="AM10" s="10">
        <v>98.72</v>
      </c>
      <c r="AN10" s="10">
        <v>279.99</v>
      </c>
      <c r="AO10" s="10">
        <v>113.12</v>
      </c>
      <c r="AP10" s="10">
        <v>128.86000000000001</v>
      </c>
      <c r="AQ10" s="10">
        <v>171.93</v>
      </c>
      <c r="AR10" s="10">
        <v>253.8</v>
      </c>
      <c r="AS10" s="10">
        <v>87.54</v>
      </c>
      <c r="AT10" s="10">
        <v>108.04</v>
      </c>
      <c r="AU10" s="10">
        <v>118.34</v>
      </c>
      <c r="AV10" s="10">
        <v>63.07</v>
      </c>
      <c r="AW10" s="10">
        <v>102.94</v>
      </c>
      <c r="AX10" s="10">
        <v>111.72</v>
      </c>
      <c r="AY10" s="10">
        <v>90.8</v>
      </c>
      <c r="AZ10" s="10">
        <v>63.71</v>
      </c>
      <c r="BA10" s="10">
        <v>58.6</v>
      </c>
      <c r="BB10" s="10">
        <v>42.5</v>
      </c>
      <c r="BC10" s="10">
        <v>31.33</v>
      </c>
      <c r="BD10" s="10">
        <v>32.69</v>
      </c>
      <c r="BE10" s="10">
        <v>86.39</v>
      </c>
      <c r="BF10" s="10">
        <v>92.81</v>
      </c>
      <c r="BG10" s="10">
        <v>76.33</v>
      </c>
      <c r="BH10" s="10">
        <v>76.81</v>
      </c>
      <c r="BI10" s="10">
        <v>78.3</v>
      </c>
    </row>
    <row r="11" spans="1:61" x14ac:dyDescent="0.2">
      <c r="A11" s="7" t="s">
        <v>233</v>
      </c>
      <c r="B11" s="11">
        <v>21.82</v>
      </c>
      <c r="C11" s="11">
        <v>21.76</v>
      </c>
      <c r="D11" s="11">
        <v>32.43</v>
      </c>
      <c r="E11" s="11">
        <v>13.26</v>
      </c>
      <c r="F11" s="11">
        <v>7.6</v>
      </c>
      <c r="G11" s="11">
        <v>8.9700000000000006</v>
      </c>
      <c r="H11" s="11">
        <v>13.43</v>
      </c>
      <c r="I11" s="11">
        <v>17.7</v>
      </c>
      <c r="J11" s="11">
        <v>20.52</v>
      </c>
      <c r="K11" s="11">
        <v>28.86</v>
      </c>
      <c r="L11" s="11">
        <v>27.22</v>
      </c>
      <c r="M11" s="11">
        <v>25.4</v>
      </c>
      <c r="N11" s="11">
        <v>21.38</v>
      </c>
      <c r="O11" s="11">
        <v>28.78</v>
      </c>
      <c r="P11" s="11">
        <v>43.08</v>
      </c>
      <c r="Q11" s="11">
        <v>10.56</v>
      </c>
      <c r="R11" s="11">
        <v>6.63</v>
      </c>
      <c r="S11" s="11">
        <v>0.11</v>
      </c>
      <c r="T11" s="11">
        <v>-8.92</v>
      </c>
      <c r="U11" s="11">
        <v>0.31</v>
      </c>
      <c r="V11" s="11">
        <v>-2.62</v>
      </c>
      <c r="W11" s="11">
        <v>-6.72</v>
      </c>
      <c r="X11" s="11">
        <v>-25.78</v>
      </c>
      <c r="Y11" s="11">
        <v>11.97</v>
      </c>
      <c r="Z11" s="11">
        <v>7.5</v>
      </c>
      <c r="AA11" s="11">
        <v>4.9400000000000004</v>
      </c>
      <c r="AB11" s="11">
        <v>-16.18</v>
      </c>
      <c r="AC11" s="11">
        <v>12.8</v>
      </c>
      <c r="AD11" s="11">
        <v>7.37</v>
      </c>
      <c r="AE11" s="11">
        <v>7.86</v>
      </c>
      <c r="AF11" s="11">
        <v>-3.17</v>
      </c>
      <c r="AG11" s="11">
        <v>1.75</v>
      </c>
      <c r="AH11" s="11">
        <v>0.71</v>
      </c>
      <c r="AI11" s="11">
        <v>15</v>
      </c>
      <c r="AJ11" s="11">
        <v>28.38</v>
      </c>
      <c r="AK11" s="11">
        <v>25.71</v>
      </c>
      <c r="AL11" s="11">
        <v>-77.599999999999994</v>
      </c>
      <c r="AM11" s="11">
        <v>46.07</v>
      </c>
      <c r="AN11" s="11">
        <v>13.07</v>
      </c>
      <c r="AO11" s="11">
        <v>22.21</v>
      </c>
      <c r="AP11" s="11">
        <v>14.2</v>
      </c>
      <c r="AQ11" s="11">
        <v>42.79</v>
      </c>
      <c r="AR11" s="11">
        <v>129.47999999999999</v>
      </c>
      <c r="AS11" s="11">
        <v>7.68</v>
      </c>
      <c r="AT11" s="11">
        <v>13.2</v>
      </c>
      <c r="AU11" s="11">
        <v>36.99</v>
      </c>
      <c r="AV11" s="11">
        <v>12.34</v>
      </c>
      <c r="AW11" s="11">
        <v>39.92</v>
      </c>
      <c r="AX11" s="11">
        <v>63.16</v>
      </c>
      <c r="AY11" s="11">
        <v>59.99</v>
      </c>
      <c r="AZ11" s="11">
        <v>41.32</v>
      </c>
      <c r="BA11" s="11">
        <v>-11.38</v>
      </c>
      <c r="BB11" s="11">
        <v>-20.079999999999998</v>
      </c>
      <c r="BC11" s="11">
        <v>-33.85</v>
      </c>
      <c r="BD11" s="11">
        <v>-27.09</v>
      </c>
      <c r="BE11" s="11">
        <v>20.37</v>
      </c>
      <c r="BF11" s="11">
        <v>26.11</v>
      </c>
      <c r="BG11" s="11">
        <v>26.15</v>
      </c>
      <c r="BH11" s="11">
        <v>37.9</v>
      </c>
      <c r="BI11" s="11">
        <v>25.92</v>
      </c>
    </row>
    <row r="12" spans="1:61" x14ac:dyDescent="0.2">
      <c r="A12" s="7" t="s">
        <v>234</v>
      </c>
      <c r="B12" s="10">
        <v>69.701899999999995</v>
      </c>
      <c r="C12" s="10">
        <v>66.044399999999996</v>
      </c>
      <c r="D12" s="10">
        <v>68.111699999999999</v>
      </c>
      <c r="E12" s="10">
        <v>52.307600000000001</v>
      </c>
      <c r="F12" s="10">
        <v>32.567999999999998</v>
      </c>
      <c r="G12" s="10">
        <v>37.917200000000001</v>
      </c>
      <c r="H12" s="10">
        <v>60.327399999999997</v>
      </c>
      <c r="I12" s="10">
        <v>76.064700000000002</v>
      </c>
      <c r="J12" s="10">
        <v>130.1885</v>
      </c>
      <c r="K12" s="10">
        <v>157.42869999999999</v>
      </c>
      <c r="L12" s="10">
        <v>150.22200000000001</v>
      </c>
      <c r="M12" s="10">
        <v>184.4924</v>
      </c>
      <c r="N12" s="10">
        <v>150.05950000000001</v>
      </c>
      <c r="O12" s="10">
        <v>181.56219999999999</v>
      </c>
      <c r="P12" s="10">
        <v>175.95750000000001</v>
      </c>
      <c r="Q12" s="10">
        <v>84.405900000000003</v>
      </c>
      <c r="R12" s="10">
        <v>56.573599999999999</v>
      </c>
      <c r="S12" s="10">
        <v>26.157900000000001</v>
      </c>
      <c r="T12" s="10">
        <v>24.079499999999999</v>
      </c>
      <c r="U12" s="10">
        <v>2.1911999999999998</v>
      </c>
      <c r="V12" s="10">
        <v>21.064599999999999</v>
      </c>
      <c r="W12" s="10">
        <v>32.370800000000003</v>
      </c>
      <c r="X12" s="10">
        <v>58.349200000000003</v>
      </c>
      <c r="Y12" s="10">
        <v>98.799800000000005</v>
      </c>
      <c r="Z12" s="10">
        <v>112.8051</v>
      </c>
      <c r="AA12" s="10">
        <v>96.402699999999996</v>
      </c>
      <c r="AB12" s="10">
        <v>87.8249</v>
      </c>
      <c r="AC12" s="10">
        <v>96.791200000000003</v>
      </c>
      <c r="AD12" s="10">
        <v>57.075099999999999</v>
      </c>
      <c r="AE12" s="10">
        <v>45.337800000000001</v>
      </c>
      <c r="AF12" s="10">
        <v>-1.9097999999999999</v>
      </c>
      <c r="AG12" s="10">
        <v>20.088999999999999</v>
      </c>
      <c r="AH12" s="10">
        <v>69.764300000000006</v>
      </c>
      <c r="AI12" s="10">
        <v>226.59800000000001</v>
      </c>
      <c r="AJ12" s="10">
        <v>-4633.2942000000003</v>
      </c>
      <c r="AK12" s="10">
        <v>-1401.6719000000001</v>
      </c>
      <c r="AL12" s="10">
        <v>-3521.5439000000001</v>
      </c>
      <c r="AM12" s="10">
        <v>2682.873</v>
      </c>
      <c r="AN12" s="10">
        <v>-2939.0151999999998</v>
      </c>
      <c r="AO12" s="10">
        <v>1067.9227000000001</v>
      </c>
      <c r="AP12" s="10">
        <v>85.895200000000003</v>
      </c>
      <c r="AQ12" s="10">
        <v>212.03550000000001</v>
      </c>
      <c r="AR12" s="10">
        <v>-668.23540000000003</v>
      </c>
      <c r="AS12" s="10">
        <v>423.75439999999998</v>
      </c>
      <c r="AT12" s="10">
        <v>-42.389400000000002</v>
      </c>
      <c r="AU12" s="10">
        <v>-297.39479999999998</v>
      </c>
      <c r="AV12" s="10">
        <v>3406.6107000000002</v>
      </c>
      <c r="AW12" s="10">
        <v>1946.1936000000001</v>
      </c>
      <c r="AX12" s="10">
        <v>536.77009999999996</v>
      </c>
      <c r="AY12" s="10">
        <v>309.05119999999999</v>
      </c>
      <c r="AZ12" s="10">
        <v>47.268500000000003</v>
      </c>
      <c r="BA12" s="10">
        <v>-42.413899999999998</v>
      </c>
      <c r="BB12" s="10">
        <v>-16.662400000000002</v>
      </c>
      <c r="BC12" s="10">
        <v>-34.098700000000001</v>
      </c>
      <c r="BD12" s="10">
        <v>24.564699999999998</v>
      </c>
      <c r="BE12" s="10">
        <v>56.797499999999999</v>
      </c>
      <c r="BF12" s="10">
        <v>66.315200000000004</v>
      </c>
      <c r="BG12" s="10">
        <v>66.315200000000004</v>
      </c>
      <c r="BH12" s="10">
        <v>97.403999999999996</v>
      </c>
      <c r="BI12" s="10">
        <v>66.990899999999996</v>
      </c>
    </row>
    <row r="13" spans="1:61" x14ac:dyDescent="0.2">
      <c r="A13" s="7" t="s">
        <v>235</v>
      </c>
      <c r="B13" s="11">
        <v>64.88</v>
      </c>
      <c r="C13" s="11">
        <v>67.25</v>
      </c>
      <c r="D13" s="11">
        <v>111.09</v>
      </c>
      <c r="E13" s="11">
        <v>53.24</v>
      </c>
      <c r="F13" s="11">
        <v>30.27</v>
      </c>
      <c r="G13" s="11">
        <v>36.08</v>
      </c>
      <c r="H13" s="11">
        <v>56.81</v>
      </c>
      <c r="I13" s="11">
        <v>89.77</v>
      </c>
      <c r="J13" s="11">
        <v>102.89</v>
      </c>
      <c r="K13" s="11">
        <v>170.83</v>
      </c>
      <c r="L13" s="11">
        <v>200.28</v>
      </c>
      <c r="M13" s="11">
        <v>230.12</v>
      </c>
      <c r="N13" s="11">
        <v>173.34</v>
      </c>
      <c r="O13" s="11">
        <v>260.70999999999998</v>
      </c>
      <c r="P13" s="11">
        <v>429.65</v>
      </c>
      <c r="Q13" s="11">
        <v>112.52</v>
      </c>
      <c r="R13" s="11">
        <v>67.540000000000006</v>
      </c>
      <c r="S13" s="11">
        <v>1.23</v>
      </c>
      <c r="T13" s="11">
        <v>-110.17</v>
      </c>
      <c r="U13" s="11">
        <v>3.33</v>
      </c>
      <c r="V13" s="11">
        <v>-22.65</v>
      </c>
      <c r="W13" s="11">
        <v>-55.58</v>
      </c>
      <c r="X13" s="11">
        <v>-229.04</v>
      </c>
      <c r="Y13" s="11">
        <v>134.24</v>
      </c>
      <c r="Z13" s="11">
        <v>70.14</v>
      </c>
      <c r="AA13" s="11">
        <v>45.02</v>
      </c>
      <c r="AB13" s="11">
        <v>-124.35</v>
      </c>
      <c r="AC13" s="11">
        <v>105.12</v>
      </c>
      <c r="AD13" s="11">
        <v>58.47</v>
      </c>
      <c r="AE13" s="11">
        <v>64.349999999999994</v>
      </c>
      <c r="AF13" s="11">
        <v>-28.59</v>
      </c>
      <c r="AG13" s="11">
        <v>14.27</v>
      </c>
      <c r="AH13" s="11">
        <v>5.69</v>
      </c>
      <c r="AI13" s="11">
        <v>1067.32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>
        <v>31943.13</v>
      </c>
      <c r="AT13" s="11"/>
      <c r="AU13" s="11"/>
      <c r="AV13" s="11">
        <v>201.83</v>
      </c>
      <c r="AW13" s="11">
        <v>1946.19</v>
      </c>
      <c r="AX13" s="11">
        <v>519.21</v>
      </c>
      <c r="AY13" s="11">
        <v>303.67</v>
      </c>
      <c r="AZ13" s="11">
        <v>226.91</v>
      </c>
      <c r="BA13" s="11">
        <v>-42.41</v>
      </c>
      <c r="BB13" s="11">
        <v>-71.489999999999995</v>
      </c>
      <c r="BC13" s="11">
        <v>-109.54</v>
      </c>
      <c r="BD13" s="11">
        <v>-77.28</v>
      </c>
      <c r="BE13" s="11">
        <v>56.8</v>
      </c>
      <c r="BF13" s="11">
        <v>70.849999999999994</v>
      </c>
      <c r="BG13" s="11">
        <v>66.319999999999993</v>
      </c>
      <c r="BH13" s="11">
        <v>97.4</v>
      </c>
      <c r="BI13" s="11">
        <v>66.989999999999995</v>
      </c>
    </row>
    <row r="14" spans="1:61" x14ac:dyDescent="0.2">
      <c r="A14" s="7" t="s">
        <v>236</v>
      </c>
      <c r="B14" s="10"/>
      <c r="C14" s="10">
        <v>2.3534000000000002</v>
      </c>
      <c r="D14" s="10"/>
      <c r="E14" s="10">
        <v>4.0186999999999999</v>
      </c>
      <c r="F14" s="10"/>
      <c r="G14" s="10">
        <v>3.8599000000000001</v>
      </c>
      <c r="H14" s="10"/>
      <c r="I14" s="10">
        <v>3.2435</v>
      </c>
      <c r="J14" s="10"/>
      <c r="K14" s="10">
        <v>1.3524</v>
      </c>
      <c r="L14" s="10"/>
      <c r="M14" s="10">
        <v>1.607</v>
      </c>
      <c r="N14" s="10"/>
      <c r="O14" s="10">
        <v>1.2262</v>
      </c>
      <c r="P14" s="10"/>
      <c r="Q14" s="10">
        <v>1.9242999999999999</v>
      </c>
      <c r="R14" s="10"/>
      <c r="S14" s="10">
        <v>1.7834000000000001</v>
      </c>
      <c r="T14" s="10"/>
      <c r="U14" s="10">
        <v>2.8098000000000001</v>
      </c>
      <c r="V14" s="10"/>
      <c r="W14" s="10">
        <v>3.2214</v>
      </c>
      <c r="X14" s="10"/>
      <c r="Y14" s="10">
        <v>3.0851000000000002</v>
      </c>
      <c r="Z14" s="10"/>
      <c r="AA14" s="10">
        <v>2.5497999999999998</v>
      </c>
      <c r="AB14" s="10"/>
      <c r="AC14" s="10">
        <v>2.9889999999999999</v>
      </c>
      <c r="AD14" s="10"/>
      <c r="AE14" s="10">
        <v>2.7643</v>
      </c>
      <c r="AF14" s="10"/>
      <c r="AG14" s="10">
        <v>4.1430999999999996</v>
      </c>
      <c r="AH14" s="10"/>
      <c r="AI14" s="10">
        <v>0.27210000000000001</v>
      </c>
      <c r="AJ14" s="10"/>
      <c r="AK14" s="10">
        <v>1.1345000000000001</v>
      </c>
      <c r="AL14" s="10"/>
      <c r="AM14" s="10">
        <v>1.3956999999999999</v>
      </c>
      <c r="AN14" s="10"/>
      <c r="AO14" s="10">
        <v>1.9282999999999999</v>
      </c>
      <c r="AP14" s="10"/>
      <c r="AQ14" s="10">
        <v>1.1083000000000001</v>
      </c>
      <c r="AR14" s="10"/>
      <c r="AS14" s="10">
        <v>2.5461</v>
      </c>
      <c r="AT14" s="10"/>
      <c r="AU14" s="10">
        <v>1.1548</v>
      </c>
      <c r="AV14" s="10"/>
      <c r="AW14" s="10">
        <v>4.3940999999999999</v>
      </c>
      <c r="AX14" s="10"/>
      <c r="AY14" s="10">
        <v>5.8022999999999998</v>
      </c>
      <c r="AZ14" s="10"/>
      <c r="BA14" s="10">
        <v>2.8054000000000001</v>
      </c>
      <c r="BB14" s="10"/>
      <c r="BC14" s="10">
        <v>4.1205999999999996</v>
      </c>
      <c r="BD14" s="10"/>
      <c r="BE14" s="10">
        <v>7.1791999999999998</v>
      </c>
      <c r="BF14" s="10"/>
      <c r="BG14" s="10">
        <v>11.117000000000001</v>
      </c>
      <c r="BH14" s="10">
        <v>6.1093000000000002</v>
      </c>
      <c r="BI14" s="10"/>
    </row>
    <row r="15" spans="1:61" x14ac:dyDescent="0.2">
      <c r="A15" s="7" t="s">
        <v>237</v>
      </c>
      <c r="B15" s="11">
        <v>21.815100000000001</v>
      </c>
      <c r="C15" s="11">
        <v>21.7624</v>
      </c>
      <c r="D15" s="11">
        <v>32.430399999999999</v>
      </c>
      <c r="E15" s="11">
        <v>13.261900000000001</v>
      </c>
      <c r="F15" s="11">
        <v>7.6006</v>
      </c>
      <c r="G15" s="11">
        <v>8.9650999999999996</v>
      </c>
      <c r="H15" s="11">
        <v>13.4331</v>
      </c>
      <c r="I15" s="11">
        <v>17.700399999999998</v>
      </c>
      <c r="J15" s="11">
        <v>20.5215</v>
      </c>
      <c r="K15" s="11">
        <v>28.861899999999999</v>
      </c>
      <c r="L15" s="11">
        <v>27.223800000000001</v>
      </c>
      <c r="M15" s="11">
        <v>25.3992</v>
      </c>
      <c r="N15" s="11">
        <v>21.379200000000001</v>
      </c>
      <c r="O15" s="11">
        <v>28.7758</v>
      </c>
      <c r="P15" s="11">
        <v>43.079700000000003</v>
      </c>
      <c r="Q15" s="11">
        <v>10.5616</v>
      </c>
      <c r="R15" s="11">
        <v>6.63</v>
      </c>
      <c r="S15" s="11">
        <v>0.1118</v>
      </c>
      <c r="T15" s="11">
        <v>-8.9202999999999992</v>
      </c>
      <c r="U15" s="11">
        <v>0.30769999999999997</v>
      </c>
      <c r="V15" s="11">
        <v>-2.6196999999999999</v>
      </c>
      <c r="W15" s="11">
        <v>-6.7201000000000004</v>
      </c>
      <c r="X15" s="11">
        <v>-25.778600000000001</v>
      </c>
      <c r="Y15" s="11">
        <v>11.969200000000001</v>
      </c>
      <c r="Z15" s="11">
        <v>7.4988000000000001</v>
      </c>
      <c r="AA15" s="11">
        <v>4.9412000000000003</v>
      </c>
      <c r="AB15" s="11">
        <v>-16.1754</v>
      </c>
      <c r="AC15" s="11">
        <v>12.8001</v>
      </c>
      <c r="AD15" s="11">
        <v>7.3659999999999997</v>
      </c>
      <c r="AE15" s="11">
        <v>7.8563000000000001</v>
      </c>
      <c r="AF15" s="11">
        <v>-3.1657999999999999</v>
      </c>
      <c r="AG15" s="11">
        <v>1.7545999999999999</v>
      </c>
      <c r="AH15" s="11">
        <v>0.71</v>
      </c>
      <c r="AI15" s="11">
        <v>15.0045</v>
      </c>
      <c r="AJ15" s="11">
        <v>28.375399999999999</v>
      </c>
      <c r="AK15" s="11">
        <v>25.705400000000001</v>
      </c>
      <c r="AL15" s="11">
        <v>-77.598200000000006</v>
      </c>
      <c r="AM15" s="11">
        <v>46.073399999999999</v>
      </c>
      <c r="AN15" s="11">
        <v>13.0715</v>
      </c>
      <c r="AO15" s="11">
        <v>22.212499999999999</v>
      </c>
      <c r="AP15" s="11">
        <v>14.196999999999999</v>
      </c>
      <c r="AQ15" s="11">
        <v>42.793799999999997</v>
      </c>
      <c r="AR15" s="11">
        <v>129.47919999999999</v>
      </c>
      <c r="AS15" s="11">
        <v>7.6757</v>
      </c>
      <c r="AT15" s="11">
        <v>13.1974</v>
      </c>
      <c r="AU15" s="11">
        <v>36.9895</v>
      </c>
      <c r="AV15" s="11">
        <v>12.3407</v>
      </c>
      <c r="AW15" s="11">
        <v>39.921999999999997</v>
      </c>
      <c r="AX15" s="11">
        <v>63.158299999999997</v>
      </c>
      <c r="AY15" s="11">
        <v>59.988100000000003</v>
      </c>
      <c r="AZ15" s="11">
        <v>41.315300000000001</v>
      </c>
      <c r="BA15" s="11">
        <v>-11.3787</v>
      </c>
      <c r="BB15" s="11">
        <v>-20.078499999999998</v>
      </c>
      <c r="BC15" s="11">
        <v>-33.853499999999997</v>
      </c>
      <c r="BD15" s="11">
        <v>-27.085899999999999</v>
      </c>
      <c r="BE15" s="11">
        <v>20.372499999999999</v>
      </c>
      <c r="BF15" s="11">
        <v>26.1114</v>
      </c>
      <c r="BG15" s="11">
        <v>26.146000000000001</v>
      </c>
      <c r="BH15" s="11">
        <v>37.900799999999997</v>
      </c>
      <c r="BI15" s="11">
        <v>25.9221</v>
      </c>
    </row>
    <row r="16" spans="1:61" x14ac:dyDescent="0.2">
      <c r="A16" s="7" t="s">
        <v>238</v>
      </c>
      <c r="B16" s="10">
        <v>0.72060000000000002</v>
      </c>
      <c r="C16" s="10">
        <v>0.75860000000000005</v>
      </c>
      <c r="D16" s="10">
        <v>1.2804</v>
      </c>
      <c r="E16" s="10">
        <v>0.58909999999999996</v>
      </c>
      <c r="F16" s="10">
        <v>0.33989999999999998</v>
      </c>
      <c r="G16" s="10">
        <v>0.4022</v>
      </c>
      <c r="H16" s="10">
        <v>0.63300000000000001</v>
      </c>
      <c r="I16" s="10">
        <v>0.85929999999999995</v>
      </c>
      <c r="J16" s="10">
        <v>1.0993999999999999</v>
      </c>
      <c r="K16" s="10">
        <v>1.7858000000000001</v>
      </c>
      <c r="L16" s="10">
        <v>2.0448</v>
      </c>
      <c r="M16" s="10">
        <v>1.9851000000000001</v>
      </c>
      <c r="N16" s="10">
        <v>1.7248000000000001</v>
      </c>
      <c r="O16" s="10">
        <v>2.4864999999999999</v>
      </c>
      <c r="P16" s="10">
        <v>4.1791999999999998</v>
      </c>
      <c r="Q16" s="10">
        <v>0.91679999999999995</v>
      </c>
      <c r="R16" s="10">
        <v>0.62380000000000002</v>
      </c>
      <c r="S16" s="10">
        <v>1.0699999999999999E-2</v>
      </c>
      <c r="T16" s="10">
        <v>-0.97270000000000001</v>
      </c>
      <c r="U16" s="10">
        <v>2.47E-2</v>
      </c>
      <c r="V16" s="10">
        <v>-0.22559999999999999</v>
      </c>
      <c r="W16" s="10">
        <v>-0.59550000000000003</v>
      </c>
      <c r="X16" s="10">
        <v>-2.2246999999999999</v>
      </c>
      <c r="Y16" s="10">
        <v>1.109</v>
      </c>
      <c r="Z16" s="10">
        <v>0.68810000000000004</v>
      </c>
      <c r="AA16" s="10">
        <v>0.48509999999999998</v>
      </c>
      <c r="AB16" s="10">
        <v>-1.4235</v>
      </c>
      <c r="AC16" s="10">
        <v>1.0591999999999999</v>
      </c>
      <c r="AD16" s="10">
        <v>0.64300000000000002</v>
      </c>
      <c r="AE16" s="10">
        <v>0.70050000000000001</v>
      </c>
      <c r="AF16" s="10">
        <v>-0.29959999999999998</v>
      </c>
      <c r="AG16" s="10">
        <v>0.25609999999999999</v>
      </c>
      <c r="AH16" s="10">
        <v>6.4100000000000004E-2</v>
      </c>
      <c r="AI16" s="10">
        <v>2.6686999999999999</v>
      </c>
      <c r="AJ16" s="10">
        <v>-0.94320000000000004</v>
      </c>
      <c r="AK16" s="10">
        <v>3.3651</v>
      </c>
      <c r="AL16" s="10">
        <v>-15.4534</v>
      </c>
      <c r="AM16" s="10">
        <v>4.9077999999999999</v>
      </c>
      <c r="AN16" s="10">
        <v>-0.2077</v>
      </c>
      <c r="AO16" s="10">
        <v>4.8209</v>
      </c>
      <c r="AP16" s="10">
        <v>-1.8488</v>
      </c>
      <c r="AQ16" s="10">
        <v>-3.6111</v>
      </c>
      <c r="AR16" s="10">
        <v>-6.4813000000000001</v>
      </c>
      <c r="AS16" s="10">
        <v>1.1162000000000001</v>
      </c>
      <c r="AT16" s="10">
        <v>3.0802</v>
      </c>
      <c r="AU16" s="10">
        <v>-7.1894999999999998</v>
      </c>
      <c r="AV16" s="10">
        <v>1.0208999999999999</v>
      </c>
      <c r="AW16" s="10">
        <v>2.5377000000000001</v>
      </c>
      <c r="AX16" s="10">
        <v>2.1135000000000002</v>
      </c>
      <c r="AY16" s="10">
        <v>1.2904</v>
      </c>
      <c r="AZ16" s="10">
        <v>0.52959999999999996</v>
      </c>
      <c r="BA16" s="10">
        <v>-0.46129999999999999</v>
      </c>
      <c r="BB16" s="10">
        <v>-0.73499999999999999</v>
      </c>
      <c r="BC16" s="10">
        <v>-1.2624</v>
      </c>
      <c r="BD16" s="10">
        <v>-0.90890000000000004</v>
      </c>
      <c r="BE16" s="10">
        <v>0.64480000000000004</v>
      </c>
      <c r="BF16" s="10">
        <v>0.94120000000000004</v>
      </c>
      <c r="BG16" s="10">
        <v>0.77070000000000005</v>
      </c>
      <c r="BH16" s="10">
        <v>1.0952999999999999</v>
      </c>
      <c r="BI16" s="10">
        <v>0.75349999999999995</v>
      </c>
    </row>
    <row r="17" spans="1:61" x14ac:dyDescent="0.2">
      <c r="A17" s="7" t="s">
        <v>239</v>
      </c>
      <c r="B17" s="11"/>
      <c r="C17" s="11">
        <v>0.69540000000000002</v>
      </c>
      <c r="D17" s="11"/>
      <c r="E17" s="11">
        <v>0.5131</v>
      </c>
      <c r="F17" s="11"/>
      <c r="G17" s="11">
        <v>0.35020000000000001</v>
      </c>
      <c r="H17" s="11"/>
      <c r="I17" s="11">
        <v>0.72399999999999998</v>
      </c>
      <c r="J17" s="11"/>
      <c r="K17" s="11">
        <v>1.2436</v>
      </c>
      <c r="L17" s="11"/>
      <c r="M17" s="11">
        <v>1.1987000000000001</v>
      </c>
      <c r="N17" s="11"/>
      <c r="O17" s="11">
        <v>1.5491999999999999</v>
      </c>
      <c r="P17" s="11"/>
      <c r="Q17" s="11">
        <v>0.61950000000000005</v>
      </c>
      <c r="R17" s="11"/>
      <c r="S17" s="11">
        <v>6.8999999999999999E-3</v>
      </c>
      <c r="T17" s="11"/>
      <c r="U17" s="11">
        <v>1.9599999999999999E-2</v>
      </c>
      <c r="V17" s="11"/>
      <c r="W17" s="11">
        <v>-0.35909999999999997</v>
      </c>
      <c r="X17" s="11"/>
      <c r="Y17" s="11">
        <v>0.63449999999999995</v>
      </c>
      <c r="Z17" s="11"/>
      <c r="AA17" s="11">
        <v>0.27850000000000003</v>
      </c>
      <c r="AB17" s="11"/>
      <c r="AC17" s="11">
        <v>0.67169999999999996</v>
      </c>
      <c r="AD17" s="11"/>
      <c r="AE17" s="11">
        <v>0.48080000000000001</v>
      </c>
      <c r="AF17" s="11"/>
      <c r="AG17" s="11">
        <v>0.10390000000000001</v>
      </c>
      <c r="AH17" s="11"/>
      <c r="AI17" s="11">
        <v>0.6038</v>
      </c>
      <c r="AJ17" s="11"/>
      <c r="AK17" s="11">
        <v>1.1425000000000001</v>
      </c>
      <c r="AL17" s="11"/>
      <c r="AM17" s="11">
        <v>1.6601999999999999</v>
      </c>
      <c r="AN17" s="11"/>
      <c r="AO17" s="11">
        <v>0.91639999999999999</v>
      </c>
      <c r="AP17" s="11"/>
      <c r="AQ17" s="11">
        <v>2.9611000000000001</v>
      </c>
      <c r="AR17" s="11"/>
      <c r="AS17" s="11">
        <v>0.31430000000000002</v>
      </c>
      <c r="AT17" s="11"/>
      <c r="AU17" s="11">
        <v>1.4437</v>
      </c>
      <c r="AV17" s="11"/>
      <c r="AW17" s="11">
        <v>1.0117</v>
      </c>
      <c r="AX17" s="11"/>
      <c r="AY17" s="11">
        <v>0.9395</v>
      </c>
      <c r="AZ17" s="11"/>
      <c r="BA17" s="11">
        <v>-0.36420000000000002</v>
      </c>
      <c r="BB17" s="11"/>
      <c r="BC17" s="11">
        <v>-0.95579999999999998</v>
      </c>
      <c r="BD17" s="11"/>
      <c r="BE17" s="11">
        <v>0.54069999999999996</v>
      </c>
      <c r="BF17" s="11"/>
      <c r="BG17" s="11">
        <v>0.67789999999999995</v>
      </c>
      <c r="BH17" s="11">
        <v>1.0728</v>
      </c>
      <c r="BI17" s="11"/>
    </row>
    <row r="18" spans="1:61" x14ac:dyDescent="0.2">
      <c r="A18" s="7" t="s">
        <v>240</v>
      </c>
      <c r="B18" s="10"/>
      <c r="C18" s="10">
        <v>0.86660000000000004</v>
      </c>
      <c r="D18" s="10"/>
      <c r="E18" s="10">
        <v>0.51880000000000004</v>
      </c>
      <c r="F18" s="10"/>
      <c r="G18" s="10">
        <v>0.27539999999999998</v>
      </c>
      <c r="H18" s="10"/>
      <c r="I18" s="10">
        <v>0.8296</v>
      </c>
      <c r="J18" s="10"/>
      <c r="K18" s="10">
        <v>-14.5898</v>
      </c>
      <c r="L18" s="10"/>
      <c r="M18" s="10">
        <v>1.9277</v>
      </c>
      <c r="N18" s="10"/>
      <c r="O18" s="10">
        <v>1.2799</v>
      </c>
      <c r="P18" s="10"/>
      <c r="Q18" s="10">
        <v>0.66920000000000002</v>
      </c>
      <c r="R18" s="10"/>
      <c r="S18" s="10">
        <v>5.5999999999999999E-3</v>
      </c>
      <c r="T18" s="10"/>
      <c r="U18" s="10">
        <v>9.4000000000000004E-3</v>
      </c>
      <c r="V18" s="10"/>
      <c r="W18" s="10">
        <v>-0.15409999999999999</v>
      </c>
      <c r="X18" s="10"/>
      <c r="Y18" s="10">
        <v>0.41589999999999999</v>
      </c>
      <c r="Z18" s="10"/>
      <c r="AA18" s="10">
        <v>0.19900000000000001</v>
      </c>
      <c r="AB18" s="10"/>
      <c r="AC18" s="10">
        <v>0.74419999999999997</v>
      </c>
      <c r="AD18" s="10"/>
      <c r="AE18" s="10">
        <v>0.88139999999999996</v>
      </c>
      <c r="AF18" s="10"/>
      <c r="AG18" s="10">
        <v>3.5400000000000001E-2</v>
      </c>
      <c r="AH18" s="10"/>
      <c r="AI18" s="10">
        <v>0.90059999999999996</v>
      </c>
      <c r="AJ18" s="10"/>
      <c r="AK18" s="10">
        <v>1.2185999999999999</v>
      </c>
      <c r="AL18" s="10"/>
      <c r="AM18" s="10"/>
      <c r="AN18" s="10"/>
      <c r="AO18" s="10">
        <v>0.42749999999999999</v>
      </c>
      <c r="AP18" s="10"/>
      <c r="AQ18" s="10">
        <v>-84.524600000000007</v>
      </c>
      <c r="AR18" s="10"/>
      <c r="AS18" s="10">
        <v>0.15429999999999999</v>
      </c>
      <c r="AT18" s="10"/>
      <c r="AU18" s="10">
        <v>1.0933999999999999</v>
      </c>
      <c r="AV18" s="10"/>
      <c r="AW18" s="10">
        <v>0.28599999999999998</v>
      </c>
      <c r="AX18" s="10"/>
      <c r="AY18" s="10">
        <v>0.32629999999999998</v>
      </c>
      <c r="AZ18" s="10"/>
      <c r="BA18" s="10">
        <v>-0.32869999999999999</v>
      </c>
      <c r="BB18" s="10"/>
      <c r="BC18" s="10">
        <v>-2.59</v>
      </c>
      <c r="BD18" s="10"/>
      <c r="BE18" s="10">
        <v>0.50490000000000002</v>
      </c>
      <c r="BF18" s="10"/>
      <c r="BG18" s="10">
        <v>0.33700000000000002</v>
      </c>
      <c r="BH18" s="10"/>
      <c r="BI18" s="10"/>
    </row>
    <row r="19" spans="1:61" x14ac:dyDescent="0.2">
      <c r="A19" s="7" t="s">
        <v>241</v>
      </c>
      <c r="B19" s="11">
        <v>13.731</v>
      </c>
      <c r="C19" s="11">
        <v>9.2520000000000007</v>
      </c>
      <c r="D19" s="11">
        <v>6.8532999999999999</v>
      </c>
      <c r="E19" s="11">
        <v>10.962899999999999</v>
      </c>
      <c r="F19" s="11">
        <v>4.8512000000000004</v>
      </c>
      <c r="G19" s="11">
        <v>3.9639000000000002</v>
      </c>
      <c r="H19" s="11">
        <v>2.9117999999999999</v>
      </c>
      <c r="I19" s="11">
        <v>9.4824000000000002</v>
      </c>
      <c r="J19" s="11">
        <v>7.6073000000000004</v>
      </c>
      <c r="K19" s="11">
        <v>6.7201000000000004</v>
      </c>
      <c r="L19" s="11">
        <v>2.9394999999999998</v>
      </c>
      <c r="M19" s="11">
        <v>14.791</v>
      </c>
      <c r="N19" s="11">
        <v>8.7781000000000002</v>
      </c>
      <c r="O19" s="11">
        <v>7.2675999999999998</v>
      </c>
      <c r="P19" s="11">
        <v>5.4779999999999998</v>
      </c>
      <c r="Q19" s="11">
        <v>4.9066000000000001</v>
      </c>
      <c r="R19" s="11">
        <v>2.4539</v>
      </c>
      <c r="S19" s="11">
        <v>2.63E-2</v>
      </c>
      <c r="T19" s="11">
        <v>-0.998</v>
      </c>
      <c r="U19" s="11">
        <v>0.1593</v>
      </c>
      <c r="V19" s="11">
        <v>-1.0318000000000001</v>
      </c>
      <c r="W19" s="11">
        <v>-1.736</v>
      </c>
      <c r="X19" s="11">
        <v>-3.1032000000000002</v>
      </c>
      <c r="Y19" s="11">
        <v>5.4279999999999999</v>
      </c>
      <c r="Z19" s="11">
        <v>2.5105</v>
      </c>
      <c r="AA19" s="11">
        <v>1.0346</v>
      </c>
      <c r="AB19" s="11">
        <v>-1.4933000000000001</v>
      </c>
      <c r="AC19" s="11">
        <v>8.1683000000000003</v>
      </c>
      <c r="AD19" s="11">
        <v>3.8797999999999999</v>
      </c>
      <c r="AE19" s="11">
        <v>2.7328000000000001</v>
      </c>
      <c r="AF19" s="11">
        <v>-0.58189999999999997</v>
      </c>
      <c r="AG19" s="11">
        <v>0.52949999999999997</v>
      </c>
      <c r="AH19" s="11">
        <v>0.1079</v>
      </c>
      <c r="AI19" s="11">
        <v>1.6997</v>
      </c>
      <c r="AJ19" s="11">
        <v>0.66610000000000003</v>
      </c>
      <c r="AK19" s="11">
        <v>5.3521000000000001</v>
      </c>
      <c r="AL19" s="11">
        <v>-10.2525</v>
      </c>
      <c r="AM19" s="11">
        <v>4.1496000000000004</v>
      </c>
      <c r="AN19" s="11">
        <v>0.216</v>
      </c>
      <c r="AO19" s="11">
        <v>4.2051999999999996</v>
      </c>
      <c r="AP19" s="11">
        <v>1.6094999999999999</v>
      </c>
      <c r="AQ19" s="11">
        <v>2.8180999999999998</v>
      </c>
      <c r="AR19" s="11">
        <v>3.8039999999999998</v>
      </c>
      <c r="AS19" s="11">
        <v>1.3898999999999999</v>
      </c>
      <c r="AT19" s="11">
        <v>1.4714</v>
      </c>
      <c r="AU19" s="11">
        <v>3.1168</v>
      </c>
      <c r="AV19" s="11">
        <v>0.64800000000000002</v>
      </c>
      <c r="AW19" s="11">
        <v>4.8837000000000002</v>
      </c>
      <c r="AX19" s="11">
        <v>5.9779</v>
      </c>
      <c r="AY19" s="11">
        <v>3.5478999999999998</v>
      </c>
      <c r="AZ19" s="11">
        <v>1.2884</v>
      </c>
      <c r="BA19" s="11">
        <v>-2.4365999999999999</v>
      </c>
      <c r="BB19" s="11">
        <v>-3.9068999999999998</v>
      </c>
      <c r="BC19" s="11">
        <v>-5.2359999999999998</v>
      </c>
      <c r="BD19" s="11">
        <v>-2.3197999999999999</v>
      </c>
      <c r="BE19" s="11">
        <v>11.2516</v>
      </c>
      <c r="BF19" s="11">
        <v>8.1597000000000008</v>
      </c>
      <c r="BG19" s="11">
        <v>14.62</v>
      </c>
      <c r="BH19" s="11">
        <v>22.4663</v>
      </c>
      <c r="BI19" s="11">
        <v>17.6569</v>
      </c>
    </row>
    <row r="20" spans="1:61" x14ac:dyDescent="0.2">
      <c r="A20" s="7" t="s">
        <v>242</v>
      </c>
      <c r="B20" s="10"/>
      <c r="C20" s="10">
        <v>5.7931999999999997</v>
      </c>
      <c r="D20" s="10"/>
      <c r="E20" s="10">
        <v>8.9123000000000001</v>
      </c>
      <c r="F20" s="10"/>
      <c r="G20" s="10">
        <v>2.7263999999999999</v>
      </c>
      <c r="H20" s="10"/>
      <c r="I20" s="10">
        <v>12.0627</v>
      </c>
      <c r="J20" s="10"/>
      <c r="K20" s="10">
        <v>-7.3479000000000001</v>
      </c>
      <c r="L20" s="10"/>
      <c r="M20" s="10">
        <v>14.025399999999999</v>
      </c>
      <c r="N20" s="10"/>
      <c r="O20" s="10">
        <v>6.9729000000000001</v>
      </c>
      <c r="P20" s="10"/>
      <c r="Q20" s="10">
        <v>9.4206000000000003</v>
      </c>
      <c r="R20" s="10"/>
      <c r="S20" s="10">
        <v>4.2799999999999998E-2</v>
      </c>
      <c r="T20" s="10"/>
      <c r="U20" s="10">
        <v>0.36199999999999999</v>
      </c>
      <c r="V20" s="10"/>
      <c r="W20" s="10">
        <v>-3.6398000000000001</v>
      </c>
      <c r="X20" s="10"/>
      <c r="Y20" s="10">
        <v>9.0808999999999997</v>
      </c>
      <c r="Z20" s="10"/>
      <c r="AA20" s="10">
        <v>1.6036999999999999</v>
      </c>
      <c r="AB20" s="10"/>
      <c r="AC20" s="10">
        <v>36.654000000000003</v>
      </c>
      <c r="AD20" s="10"/>
      <c r="AE20" s="10">
        <v>12.327999999999999</v>
      </c>
      <c r="AF20" s="10"/>
      <c r="AG20" s="10">
        <v>19.145900000000001</v>
      </c>
      <c r="AH20" s="10"/>
      <c r="AI20" s="10">
        <v>4.9032</v>
      </c>
      <c r="AJ20" s="10"/>
      <c r="AK20" s="10">
        <v>15.6629</v>
      </c>
      <c r="AL20" s="10"/>
      <c r="AM20" s="10"/>
      <c r="AN20" s="10"/>
      <c r="AO20" s="10">
        <v>12.4847</v>
      </c>
      <c r="AP20" s="10"/>
      <c r="AQ20" s="10"/>
      <c r="AR20" s="10"/>
      <c r="AS20" s="10">
        <v>3.4523000000000001</v>
      </c>
      <c r="AT20" s="10"/>
      <c r="AU20" s="10">
        <v>8.1519999999999992</v>
      </c>
      <c r="AV20" s="10"/>
      <c r="AW20" s="10">
        <v>5.4207000000000001</v>
      </c>
      <c r="AX20" s="10"/>
      <c r="AY20" s="10">
        <v>3.3654000000000002</v>
      </c>
      <c r="AZ20" s="10"/>
      <c r="BA20" s="10">
        <v>-0.99550000000000005</v>
      </c>
      <c r="BB20" s="10"/>
      <c r="BC20" s="10">
        <v>-2.1665999999999999</v>
      </c>
      <c r="BD20" s="10"/>
      <c r="BE20" s="10"/>
      <c r="BF20" s="10"/>
      <c r="BG20" s="10"/>
      <c r="BH20" s="10"/>
      <c r="BI20" s="10"/>
    </row>
    <row r="21" spans="1:61" x14ac:dyDescent="0.2">
      <c r="A21" s="7" t="s">
        <v>243</v>
      </c>
      <c r="B21" s="11">
        <v>194.3057</v>
      </c>
      <c r="C21" s="11">
        <v>149.2654</v>
      </c>
      <c r="D21" s="11">
        <v>104.64100000000001</v>
      </c>
      <c r="E21" s="11">
        <v>184.51750000000001</v>
      </c>
      <c r="F21" s="11">
        <v>936.04939999999999</v>
      </c>
      <c r="G21" s="11">
        <v>-13517.457200000001</v>
      </c>
      <c r="H21" s="11">
        <v>198.928</v>
      </c>
      <c r="I21" s="11">
        <v>468.35079999999999</v>
      </c>
      <c r="J21" s="11">
        <v>100.6168</v>
      </c>
      <c r="K21" s="11">
        <v>94.006399999999999</v>
      </c>
      <c r="L21" s="11">
        <v>31.127500000000001</v>
      </c>
      <c r="M21" s="11">
        <v>-328.60469999999998</v>
      </c>
      <c r="N21" s="11">
        <v>-153.43289999999999</v>
      </c>
      <c r="O21" s="11">
        <v>-130.21539999999999</v>
      </c>
      <c r="P21" s="11">
        <v>-129.50239999999999</v>
      </c>
      <c r="Q21" s="11">
        <v>43.728499999999997</v>
      </c>
      <c r="R21" s="11">
        <v>-80.234800000000007</v>
      </c>
      <c r="S21" s="11">
        <v>-1.1000000000000001</v>
      </c>
      <c r="T21" s="11">
        <v>16.3428</v>
      </c>
      <c r="U21" s="11">
        <v>4.8345000000000002</v>
      </c>
      <c r="V21" s="11">
        <v>-110.9619</v>
      </c>
      <c r="W21" s="11">
        <v>-121.291</v>
      </c>
      <c r="X21" s="11">
        <v>134.0248</v>
      </c>
      <c r="Y21" s="11">
        <v>304.13920000000002</v>
      </c>
      <c r="Z21" s="11">
        <v>166.80090000000001</v>
      </c>
      <c r="AA21" s="11">
        <v>10.789</v>
      </c>
      <c r="AB21" s="11">
        <v>-10.591900000000001</v>
      </c>
      <c r="AC21" s="11">
        <v>532.63729999999998</v>
      </c>
      <c r="AD21" s="11">
        <v>-2496.1642000000002</v>
      </c>
      <c r="AE21" s="11">
        <v>77.683199999999999</v>
      </c>
      <c r="AF21" s="11">
        <v>13.7311</v>
      </c>
      <c r="AG21" s="11">
        <v>4.7230999999999996</v>
      </c>
      <c r="AH21" s="11">
        <v>0.96879999999999999</v>
      </c>
      <c r="AI21" s="11">
        <v>31.043099999999999</v>
      </c>
      <c r="AJ21" s="11"/>
      <c r="AK21" s="11">
        <v>-69.075500000000005</v>
      </c>
      <c r="AL21" s="11">
        <v>98.317099999999996</v>
      </c>
      <c r="AM21" s="11">
        <v>91.716999999999999</v>
      </c>
      <c r="AN21" s="11"/>
      <c r="AO21" s="11">
        <v>43.396700000000003</v>
      </c>
      <c r="AP21" s="11">
        <v>44.2759</v>
      </c>
      <c r="AQ21" s="11">
        <v>79.805899999999994</v>
      </c>
      <c r="AR21" s="11">
        <v>142.71770000000001</v>
      </c>
      <c r="AS21" s="11">
        <v>-17.382200000000001</v>
      </c>
      <c r="AT21" s="11">
        <v>-22.502300000000002</v>
      </c>
      <c r="AU21" s="11">
        <v>-37.997999999999998</v>
      </c>
      <c r="AV21" s="11"/>
      <c r="AW21" s="11">
        <v>78.334699999999998</v>
      </c>
      <c r="AX21" s="11">
        <v>-122.8858</v>
      </c>
      <c r="AY21" s="11">
        <v>-59.837299999999999</v>
      </c>
      <c r="AZ21" s="11"/>
      <c r="BA21" s="11">
        <v>124.13079999999999</v>
      </c>
      <c r="BB21" s="11">
        <v>-10.528600000000001</v>
      </c>
      <c r="BC21" s="11">
        <v>-13.588800000000001</v>
      </c>
      <c r="BD21" s="11">
        <v>-4.8971999999999998</v>
      </c>
      <c r="BE21" s="11">
        <v>9810.2335999999996</v>
      </c>
      <c r="BF21" s="11">
        <v>262.3732</v>
      </c>
      <c r="BG21" s="11">
        <v>287.41660000000002</v>
      </c>
      <c r="BH21" s="11"/>
      <c r="BI21" s="11">
        <v>-937.89260000000002</v>
      </c>
    </row>
    <row r="22" spans="1:61" x14ac:dyDescent="0.2">
      <c r="A22" s="7" t="s">
        <v>244</v>
      </c>
      <c r="B22" s="10">
        <v>-46.462899999999998</v>
      </c>
      <c r="C22" s="10">
        <v>-32.266399999999997</v>
      </c>
      <c r="D22" s="10">
        <v>-7.2946999999999997</v>
      </c>
      <c r="E22" s="10">
        <v>-171.5395</v>
      </c>
      <c r="F22" s="10">
        <v>-1421.4086</v>
      </c>
      <c r="G22" s="10">
        <v>16769.5497</v>
      </c>
      <c r="H22" s="10">
        <v>-203.6216</v>
      </c>
      <c r="I22" s="10">
        <v>-290.3657</v>
      </c>
      <c r="J22" s="10">
        <v>-4.6858000000000004</v>
      </c>
      <c r="K22" s="10">
        <v>-14.244400000000001</v>
      </c>
      <c r="L22" s="10">
        <v>32.619500000000002</v>
      </c>
      <c r="M22" s="10">
        <v>208.36949999999999</v>
      </c>
      <c r="N22" s="10">
        <v>132.39070000000001</v>
      </c>
      <c r="O22" s="10">
        <v>133.90649999999999</v>
      </c>
      <c r="P22" s="10">
        <v>200.01499999999999</v>
      </c>
      <c r="Q22" s="10">
        <v>-65.563400000000001</v>
      </c>
      <c r="R22" s="10">
        <v>261.30529999999999</v>
      </c>
      <c r="S22" s="10">
        <v>233.18809999999999</v>
      </c>
      <c r="T22" s="10">
        <v>70.667000000000002</v>
      </c>
      <c r="U22" s="10">
        <v>-194.5599</v>
      </c>
      <c r="V22" s="10">
        <v>-487.01220000000001</v>
      </c>
      <c r="W22" s="10">
        <v>-80.467799999999997</v>
      </c>
      <c r="X22" s="10">
        <v>109.99590000000001</v>
      </c>
      <c r="Y22" s="10">
        <v>-1035.7899</v>
      </c>
      <c r="Z22" s="10">
        <v>-1101.9822999999999</v>
      </c>
      <c r="AA22" s="10">
        <v>-70.611400000000003</v>
      </c>
      <c r="AB22" s="10">
        <v>-11.9815</v>
      </c>
      <c r="AC22" s="10">
        <v>-543.18060000000003</v>
      </c>
      <c r="AD22" s="10">
        <v>3929.4232000000002</v>
      </c>
      <c r="AE22" s="10">
        <v>-99.034499999999994</v>
      </c>
      <c r="AF22" s="10">
        <v>79.264099999999999</v>
      </c>
      <c r="AG22" s="10">
        <v>-16.713699999999999</v>
      </c>
      <c r="AH22" s="10">
        <v>-20.504799999999999</v>
      </c>
      <c r="AI22" s="10">
        <v>75.2881</v>
      </c>
      <c r="AJ22" s="10"/>
      <c r="AK22" s="10">
        <v>164.66040000000001</v>
      </c>
      <c r="AL22" s="10">
        <v>-22.1448</v>
      </c>
      <c r="AM22" s="10">
        <v>58.162300000000002</v>
      </c>
      <c r="AN22" s="10"/>
      <c r="AO22" s="10">
        <v>110.03149999999999</v>
      </c>
      <c r="AP22" s="10">
        <v>265.43819999999999</v>
      </c>
      <c r="AQ22" s="10">
        <v>81.822500000000005</v>
      </c>
      <c r="AR22" s="10">
        <v>-39.984699999999997</v>
      </c>
      <c r="AS22" s="10">
        <v>130.9982</v>
      </c>
      <c r="AT22" s="10">
        <v>98.712999999999994</v>
      </c>
      <c r="AU22" s="10">
        <v>65.308999999999997</v>
      </c>
      <c r="AV22" s="10"/>
      <c r="AW22" s="10">
        <v>3.0592999999999999</v>
      </c>
      <c r="AX22" s="10">
        <v>201.38460000000001</v>
      </c>
      <c r="AY22" s="10">
        <v>141.89859999999999</v>
      </c>
      <c r="AZ22" s="10"/>
      <c r="BA22" s="10">
        <v>2264.9573</v>
      </c>
      <c r="BB22" s="10">
        <v>-9.5778999999999996</v>
      </c>
      <c r="BC22" s="10">
        <v>-8.4604999999999997</v>
      </c>
      <c r="BD22" s="10">
        <v>-3.0735999999999999</v>
      </c>
      <c r="BE22" s="10">
        <v>-14698.514999999999</v>
      </c>
      <c r="BF22" s="10">
        <v>-380.90690000000001</v>
      </c>
      <c r="BG22" s="10">
        <v>-419.55130000000003</v>
      </c>
      <c r="BH22" s="10"/>
      <c r="BI22" s="10">
        <v>238.43049999999999</v>
      </c>
    </row>
    <row r="23" spans="1:61" x14ac:dyDescent="0.2">
      <c r="A23" s="7" t="s">
        <v>245</v>
      </c>
      <c r="B23" s="11">
        <v>-47.842799999999997</v>
      </c>
      <c r="C23" s="11">
        <v>-16.998999999999999</v>
      </c>
      <c r="D23" s="11">
        <v>2.6537000000000002</v>
      </c>
      <c r="E23" s="11">
        <v>87.022099999999995</v>
      </c>
      <c r="F23" s="11">
        <v>585.35919999999999</v>
      </c>
      <c r="G23" s="11">
        <v>-3152.0925000000002</v>
      </c>
      <c r="H23" s="11">
        <v>104.6936</v>
      </c>
      <c r="I23" s="11">
        <v>-77.985200000000006</v>
      </c>
      <c r="J23" s="11">
        <v>4.069</v>
      </c>
      <c r="K23" s="11">
        <v>20.238099999999999</v>
      </c>
      <c r="L23" s="11">
        <v>36.253</v>
      </c>
      <c r="M23" s="11">
        <v>220.23509999999999</v>
      </c>
      <c r="N23" s="11">
        <v>121.04219999999999</v>
      </c>
      <c r="O23" s="11">
        <v>96.308999999999997</v>
      </c>
      <c r="P23" s="11">
        <v>29.487400000000001</v>
      </c>
      <c r="Q23" s="11">
        <v>121.8348</v>
      </c>
      <c r="R23" s="11">
        <v>-81.070400000000006</v>
      </c>
      <c r="S23" s="11">
        <v>-132.0881</v>
      </c>
      <c r="T23" s="11">
        <v>12.9902</v>
      </c>
      <c r="U23" s="11">
        <v>289.72539999999998</v>
      </c>
      <c r="V23" s="11">
        <v>697.97410000000002</v>
      </c>
      <c r="W23" s="11">
        <v>301.75869999999998</v>
      </c>
      <c r="X23" s="11">
        <v>-144.02070000000001</v>
      </c>
      <c r="Y23" s="11">
        <v>831.65070000000003</v>
      </c>
      <c r="Z23" s="11">
        <v>1035.1813</v>
      </c>
      <c r="AA23" s="11">
        <v>159.82239999999999</v>
      </c>
      <c r="AB23" s="11">
        <v>122.57340000000001</v>
      </c>
      <c r="AC23" s="11">
        <v>110.5433</v>
      </c>
      <c r="AD23" s="11">
        <v>-1333.259</v>
      </c>
      <c r="AE23" s="11">
        <v>121.35129999999999</v>
      </c>
      <c r="AF23" s="11">
        <v>7.0049000000000001</v>
      </c>
      <c r="AG23" s="11">
        <v>111.9906</v>
      </c>
      <c r="AH23" s="11">
        <v>119.536</v>
      </c>
      <c r="AI23" s="11">
        <v>-6.3312999999999997</v>
      </c>
      <c r="AJ23" s="11"/>
      <c r="AK23" s="11">
        <v>4.4150999999999998</v>
      </c>
      <c r="AL23" s="11">
        <v>23.8278</v>
      </c>
      <c r="AM23" s="11">
        <v>-49.879399999999997</v>
      </c>
      <c r="AN23" s="11"/>
      <c r="AO23" s="11">
        <v>-53.428100000000001</v>
      </c>
      <c r="AP23" s="11">
        <v>-209.7141</v>
      </c>
      <c r="AQ23" s="11">
        <v>-61.628399999999999</v>
      </c>
      <c r="AR23" s="11">
        <v>-2.7330000000000001</v>
      </c>
      <c r="AS23" s="11">
        <v>-13.616</v>
      </c>
      <c r="AT23" s="11">
        <v>23.789300000000001</v>
      </c>
      <c r="AU23" s="11">
        <v>72.688999999999993</v>
      </c>
      <c r="AV23" s="11"/>
      <c r="AW23" s="11">
        <v>18.606000000000002</v>
      </c>
      <c r="AX23" s="11">
        <v>21.501200000000001</v>
      </c>
      <c r="AY23" s="11">
        <v>17.938600000000001</v>
      </c>
      <c r="AZ23" s="11"/>
      <c r="BA23" s="11">
        <v>-2289.0880999999999</v>
      </c>
      <c r="BB23" s="11">
        <v>120.1065</v>
      </c>
      <c r="BC23" s="11">
        <v>122.0492</v>
      </c>
      <c r="BD23" s="11">
        <v>107.9708</v>
      </c>
      <c r="BE23" s="11">
        <v>4988.2813999999998</v>
      </c>
      <c r="BF23" s="11">
        <v>218.53370000000001</v>
      </c>
      <c r="BG23" s="11">
        <v>232.13470000000001</v>
      </c>
      <c r="BH23" s="11"/>
      <c r="BI23" s="11">
        <v>799.46220000000005</v>
      </c>
    </row>
    <row r="24" spans="1:61" x14ac:dyDescent="0.2">
      <c r="A24" s="7" t="s">
        <v>246</v>
      </c>
      <c r="B24" s="10">
        <v>3624162277.4819999</v>
      </c>
      <c r="C24" s="10">
        <v>1898311723.0962</v>
      </c>
      <c r="D24" s="10">
        <v>1391409147.2276001</v>
      </c>
      <c r="E24" s="10">
        <v>-1305919317.8778</v>
      </c>
      <c r="F24" s="10">
        <v>-2365631489.0405002</v>
      </c>
      <c r="G24" s="10">
        <v>-1427585073.2969</v>
      </c>
      <c r="H24" s="10">
        <v>-1401764183.4726</v>
      </c>
      <c r="I24" s="10">
        <v>656093140.5812</v>
      </c>
      <c r="J24" s="10">
        <v>830921340.72469997</v>
      </c>
      <c r="K24" s="10">
        <v>1293559256.0743999</v>
      </c>
      <c r="L24" s="10">
        <v>992115885.95599997</v>
      </c>
      <c r="M24" s="10">
        <v>1839132770.865</v>
      </c>
      <c r="N24" s="10">
        <v>613579269.80289996</v>
      </c>
      <c r="O24" s="10">
        <v>958633915.3484</v>
      </c>
      <c r="P24" s="10">
        <v>-609656393.09389997</v>
      </c>
      <c r="Q24" s="10">
        <v>-297616071.94309998</v>
      </c>
      <c r="R24" s="10">
        <v>-791950938.48409998</v>
      </c>
      <c r="S24" s="10">
        <v>-377783822.25779998</v>
      </c>
      <c r="T24" s="10">
        <v>-63619156.9542</v>
      </c>
      <c r="U24" s="10">
        <v>-911484657.5115</v>
      </c>
      <c r="V24" s="10">
        <v>-938463521.61319995</v>
      </c>
      <c r="W24" s="10">
        <v>-286519518.74159998</v>
      </c>
      <c r="X24" s="10">
        <v>-695998360.99419999</v>
      </c>
      <c r="Y24" s="10">
        <v>-1679387484.2093</v>
      </c>
      <c r="Z24" s="10">
        <v>-1757155154.6981001</v>
      </c>
      <c r="AA24" s="10">
        <v>-701920441.87849998</v>
      </c>
      <c r="AB24" s="10">
        <v>-921603578.14549994</v>
      </c>
      <c r="AC24" s="10">
        <v>226060360.76429999</v>
      </c>
      <c r="AD24" s="10">
        <v>-509425698.22350001</v>
      </c>
      <c r="AE24" s="10">
        <v>-163653564.23030001</v>
      </c>
      <c r="AF24" s="10">
        <v>-350095379.10680002</v>
      </c>
      <c r="AG24" s="10">
        <v>-1037167483.874</v>
      </c>
      <c r="AH24" s="10">
        <v>-1269780029.8543</v>
      </c>
      <c r="AI24" s="10">
        <v>-1612984.1142</v>
      </c>
      <c r="AJ24" s="10">
        <v>-12710979.27</v>
      </c>
      <c r="AK24" s="10">
        <v>-61880367.837099999</v>
      </c>
      <c r="AL24" s="10">
        <v>-22072565.4681</v>
      </c>
      <c r="AM24" s="10">
        <v>-11787299.752499999</v>
      </c>
      <c r="AN24" s="10">
        <v>-39243820.590000004</v>
      </c>
      <c r="AO24" s="10">
        <v>-22545528.109000001</v>
      </c>
      <c r="AP24" s="10">
        <v>-21799964.629999999</v>
      </c>
      <c r="AQ24" s="10">
        <v>21327125.449999999</v>
      </c>
      <c r="AR24" s="10">
        <v>10890563.720000001</v>
      </c>
      <c r="AS24" s="10">
        <v>-59144500.966499999</v>
      </c>
      <c r="AT24" s="10">
        <v>-45848195.592600003</v>
      </c>
      <c r="AU24" s="10">
        <v>-2738139.23</v>
      </c>
      <c r="AV24" s="10">
        <v>-32489759.315000001</v>
      </c>
      <c r="AW24" s="10">
        <v>-62426893.001900002</v>
      </c>
      <c r="AX24" s="10">
        <v>-63394630.265500002</v>
      </c>
      <c r="AY24" s="10">
        <v>-46565257.522699997</v>
      </c>
      <c r="AZ24" s="10">
        <v>-11457981.8916</v>
      </c>
      <c r="BA24" s="10">
        <v>-40129393.1536</v>
      </c>
      <c r="BB24" s="10">
        <v>-42814950.482699998</v>
      </c>
      <c r="BC24" s="10">
        <v>-28359851.702399999</v>
      </c>
      <c r="BD24" s="10">
        <v>-12722822.2313</v>
      </c>
      <c r="BE24" s="10">
        <v>-3093767.1022000001</v>
      </c>
      <c r="BF24" s="10">
        <v>956214.3983</v>
      </c>
      <c r="BG24" s="10">
        <v>-55811690.912199996</v>
      </c>
      <c r="BH24" s="10">
        <v>67141979.352599993</v>
      </c>
      <c r="BI24" s="10"/>
    </row>
    <row r="25" spans="1:61" x14ac:dyDescent="0.2">
      <c r="A25" s="7" t="s">
        <v>247</v>
      </c>
      <c r="B25" s="11">
        <v>2691755063.112</v>
      </c>
      <c r="C25" s="11">
        <v>1962687063.0962</v>
      </c>
      <c r="D25" s="11">
        <v>1463765647.2276001</v>
      </c>
      <c r="E25" s="11">
        <v>379245956.52219999</v>
      </c>
      <c r="F25" s="11">
        <v>-1291886124.6505001</v>
      </c>
      <c r="G25" s="11">
        <v>-952748533.29690003</v>
      </c>
      <c r="H25" s="11">
        <v>-1187168209.0225999</v>
      </c>
      <c r="I25" s="11">
        <v>132089100.5812</v>
      </c>
      <c r="J25" s="11">
        <v>-42956192.325300001</v>
      </c>
      <c r="K25" s="11">
        <v>649788856.07439995</v>
      </c>
      <c r="L25" s="11">
        <v>880975885.95599997</v>
      </c>
      <c r="M25" s="11">
        <v>1139897611.7750001</v>
      </c>
      <c r="N25" s="11">
        <v>102349119.9129</v>
      </c>
      <c r="O25" s="11">
        <v>438820941.95840001</v>
      </c>
      <c r="P25" s="11">
        <v>-795380454.1839</v>
      </c>
      <c r="Q25" s="11">
        <v>-556491346.09309995</v>
      </c>
      <c r="R25" s="11">
        <v>-292236122.14410001</v>
      </c>
      <c r="S25" s="11">
        <v>194882364.1322</v>
      </c>
      <c r="T25" s="11">
        <v>-157044041.8242</v>
      </c>
      <c r="U25" s="11">
        <v>509413511.80849999</v>
      </c>
      <c r="V25" s="11">
        <v>34624835.196800001</v>
      </c>
      <c r="W25" s="11">
        <v>350741928.06840003</v>
      </c>
      <c r="X25" s="11">
        <v>-320684003.13419998</v>
      </c>
      <c r="Y25" s="11">
        <v>-1519929756.3692999</v>
      </c>
      <c r="Z25" s="11">
        <v>-1630501354.6981001</v>
      </c>
      <c r="AA25" s="11">
        <v>-634282941.87849998</v>
      </c>
      <c r="AB25" s="11">
        <v>-787374378.14549994</v>
      </c>
      <c r="AC25" s="11">
        <v>376976408.41430002</v>
      </c>
      <c r="AD25" s="11">
        <v>-346386840.22350001</v>
      </c>
      <c r="AE25" s="11">
        <v>195742893.76969999</v>
      </c>
      <c r="AF25" s="11">
        <v>-356743979.10680002</v>
      </c>
      <c r="AG25" s="11">
        <v>-777493226.02400005</v>
      </c>
      <c r="AH25" s="11">
        <v>-1003064017.0843</v>
      </c>
      <c r="AI25" s="11">
        <v>-1612984.1142</v>
      </c>
      <c r="AJ25" s="11">
        <v>-12710979.27</v>
      </c>
      <c r="AK25" s="11">
        <v>-61880367.837099999</v>
      </c>
      <c r="AL25" s="11">
        <v>-22072565.4681</v>
      </c>
      <c r="AM25" s="11">
        <v>-11787299.752499999</v>
      </c>
      <c r="AN25" s="11">
        <v>-39243820.590000004</v>
      </c>
      <c r="AO25" s="11">
        <v>-52545528.108999997</v>
      </c>
      <c r="AP25" s="11">
        <v>-51799964.630000003</v>
      </c>
      <c r="AQ25" s="11">
        <v>21327125.449999999</v>
      </c>
      <c r="AR25" s="11">
        <v>10890563.720000001</v>
      </c>
      <c r="AS25" s="11">
        <v>-48627143.716499999</v>
      </c>
      <c r="AT25" s="11">
        <v>-35291993.382600002</v>
      </c>
      <c r="AU25" s="11">
        <v>-22181937.02</v>
      </c>
      <c r="AV25" s="11">
        <v>-32489759.315000001</v>
      </c>
      <c r="AW25" s="11">
        <v>-41884737.281900004</v>
      </c>
      <c r="AX25" s="11">
        <v>-63394630.265500002</v>
      </c>
      <c r="AY25" s="11">
        <v>-46565257.522699997</v>
      </c>
      <c r="AZ25" s="11">
        <v>-11457981.8916</v>
      </c>
      <c r="BA25" s="11">
        <v>-80129393.153600007</v>
      </c>
      <c r="BB25" s="11">
        <v>-82814950.482700005</v>
      </c>
      <c r="BC25" s="11">
        <v>-68359851.702399999</v>
      </c>
      <c r="BD25" s="11">
        <v>-12722822.2313</v>
      </c>
      <c r="BE25" s="11">
        <v>16906232.897799999</v>
      </c>
      <c r="BF25" s="11">
        <v>20956214.3983</v>
      </c>
      <c r="BG25" s="11">
        <v>-35811690.912199996</v>
      </c>
      <c r="BH25" s="11">
        <v>67141979.352599993</v>
      </c>
      <c r="BI25" s="11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中际旭创-财务摘要</vt:lpstr>
      <vt:lpstr>中际旭创-每股指标</vt:lpstr>
      <vt:lpstr>中际旭创-盈利能力与收益质量</vt:lpstr>
      <vt:lpstr>中际旭创-资本结构与偿债能力</vt:lpstr>
      <vt:lpstr>中际旭创-营运能力</vt:lpstr>
      <vt:lpstr>中际旭创-成长能力</vt:lpstr>
      <vt:lpstr>中际旭创-现金流量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hong lu</cp:lastModifiedBy>
  <dcterms:created xsi:type="dcterms:W3CDTF">2015-06-05T18:19:34Z</dcterms:created>
  <dcterms:modified xsi:type="dcterms:W3CDTF">2026-03-20T05:53:57Z</dcterms:modified>
</cp:coreProperties>
</file>