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工作文件\1产品-金股、视频号、研报海报\1产品-金股\"/>
    </mc:Choice>
  </mc:AlternateContent>
  <bookViews>
    <workbookView xWindow="8130" yWindow="0" windowWidth="11085" windowHeight="7545"/>
  </bookViews>
  <sheets>
    <sheet name="金股推荐逻辑" sheetId="1" r:id="rId1"/>
    <sheet name="简表" sheetId="7" r:id="rId2"/>
  </sheets>
  <definedNames>
    <definedName name="_xlnm._FilterDatabase" localSheetId="0" hidden="1">金股推荐逻辑!$B$1:$B$24</definedName>
  </definedNames>
  <calcPr calcId="152511"/>
</workbook>
</file>

<file path=xl/calcChain.xml><?xml version="1.0" encoding="utf-8"?>
<calcChain xmlns="http://schemas.openxmlformats.org/spreadsheetml/2006/main">
  <c r="A3" i="7" l="1"/>
  <c r="B3" i="7" l="1"/>
  <c r="B4" i="7"/>
  <c r="B5" i="7"/>
  <c r="B6" i="7"/>
  <c r="B7" i="7"/>
  <c r="B8" i="7"/>
  <c r="B9" i="7"/>
  <c r="B10" i="7"/>
  <c r="B11" i="7"/>
  <c r="B12" i="7"/>
  <c r="A12" i="7"/>
  <c r="A11" i="7"/>
  <c r="A10" i="7"/>
  <c r="A9" i="7"/>
  <c r="A8" i="7"/>
  <c r="A7" i="7"/>
  <c r="A6" i="7"/>
  <c r="A5" i="7"/>
  <c r="A4" i="7"/>
</calcChain>
</file>

<file path=xl/sharedStrings.xml><?xml version="1.0" encoding="utf-8"?>
<sst xmlns="http://schemas.openxmlformats.org/spreadsheetml/2006/main" count="63" uniqueCount="58">
  <si>
    <t>序号</t>
  </si>
  <si>
    <t>股票名称</t>
  </si>
  <si>
    <t>行业</t>
  </si>
  <si>
    <t>注：以上信息以华泰研究所最新发布的研报为准。</t>
  </si>
  <si>
    <t>4</t>
    <phoneticPr fontId="7" type="noConversion"/>
  </si>
  <si>
    <t>6</t>
    <phoneticPr fontId="7" type="noConversion"/>
  </si>
  <si>
    <t>7</t>
    <phoneticPr fontId="7" type="noConversion"/>
  </si>
  <si>
    <t>9</t>
    <phoneticPr fontId="7" type="noConversion"/>
  </si>
  <si>
    <t>1</t>
    <phoneticPr fontId="7" type="noConversion"/>
  </si>
  <si>
    <t>10</t>
    <phoneticPr fontId="7" type="noConversion"/>
  </si>
  <si>
    <t>2022E</t>
    <phoneticPr fontId="7" type="noConversion"/>
  </si>
  <si>
    <t>2023E</t>
    <phoneticPr fontId="7" type="noConversion"/>
  </si>
  <si>
    <t>深度咨询</t>
    <phoneticPr fontId="7" type="noConversion"/>
  </si>
  <si>
    <t>EPS</t>
    <phoneticPr fontId="7" type="noConversion"/>
  </si>
  <si>
    <t>PE</t>
    <phoneticPr fontId="7" type="noConversion"/>
  </si>
  <si>
    <t>华泰研究 · 金股组合</t>
    <phoneticPr fontId="7" type="noConversion"/>
  </si>
  <si>
    <t>5</t>
    <phoneticPr fontId="7" type="noConversion"/>
  </si>
  <si>
    <t>食品饮料</t>
    <phoneticPr fontId="7" type="noConversion"/>
  </si>
  <si>
    <t>龚源月 | 食品饮料首席 S0570520100001/BQL737
15021256686
gongyuanyue@htsc.com</t>
    <phoneticPr fontId="7" type="noConversion"/>
  </si>
  <si>
    <t>沈　娟 | 金融研究组联席负责人 S0570514040002/BPN843
18688799197
shenjuan@htsc.com</t>
    <phoneticPr fontId="7" type="noConversion"/>
  </si>
  <si>
    <t>保险</t>
    <phoneticPr fontId="7" type="noConversion"/>
  </si>
  <si>
    <t>2024E</t>
  </si>
  <si>
    <t>安琪酵母
600298</t>
    <phoneticPr fontId="7" type="noConversion"/>
  </si>
  <si>
    <t>代　雯 | 大健康研究组负责人、医药首席 S0570516120002/BFI915
18817874390
daiwen@htsc.com</t>
    <phoneticPr fontId="7" type="noConversion"/>
  </si>
  <si>
    <t>李　斌 | 有色首席 S0570517050001/BPN269
13681137607
libin@htsc.com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</si>
  <si>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成长空间与利润弹性兼备：1）中长期成长空间广阔，YE渗透率有望加速提升；2）利润率处于周期底部，具备向上弹性；3）中长期看利润率波动周期有望收窄，提振估值中枢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《成长空间及利润弹性兼具的酵母龙头》2022-11-14</t>
    </r>
    <phoneticPr fontId="7" type="noConversion"/>
  </si>
  <si>
    <t>中国人寿
601628</t>
    <phoneticPr fontId="7" type="noConversion"/>
  </si>
  <si>
    <t>李　健 | 金融研究组联席负责人 S0570521010001/AWF297 
198 9658 2889
lijian@htsc.com</t>
    <phoneticPr fontId="7" type="noConversion"/>
  </si>
  <si>
    <t>华泰研究所1月金股推荐</t>
    <phoneticPr fontId="7" type="noConversion"/>
  </si>
  <si>
    <t>2</t>
    <phoneticPr fontId="7" type="noConversion"/>
  </si>
  <si>
    <t>新产业
300832</t>
    <phoneticPr fontId="7" type="noConversion"/>
  </si>
  <si>
    <t>医药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</si>
  <si>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1）国内需求恢复支撑公司盈利修复。
2）预计行业飞机引进放缓，将带动行业供需持续改善。
3）公司在国内线具有规模和资源优势，叠加经济舱全价上调，将受益票价弹性释放。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基本面有望见底；盈利突破兑现可期 2022-12-16</t>
    </r>
    <phoneticPr fontId="7" type="noConversion"/>
  </si>
  <si>
    <t>南方航空
600029</t>
    <phoneticPr fontId="7" type="noConversion"/>
  </si>
  <si>
    <t>交运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</si>
  <si>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1）22年、23年业绩高增长确定性强；2）具备新的商业模式和新的业务增长点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财政IT政策助支付电子化龙头腾飞 2022-11-03</t>
    </r>
    <phoneticPr fontId="7" type="noConversion"/>
  </si>
  <si>
    <t>中科江南
301153</t>
    <phoneticPr fontId="7" type="noConversion"/>
  </si>
  <si>
    <t>计算机</t>
    <phoneticPr fontId="7" type="noConversion"/>
  </si>
  <si>
    <t>七一二
603712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</si>
  <si>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1）地面终端伴随新换装潮在23有望迎来放量，航空终端伴随陆航信息化快速增长 2）混改接近落地，有望激发公司经营动力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行业维持高景气，营收利润稳增长 2022-10-28</t>
    </r>
    <phoneticPr fontId="7" type="noConversion"/>
  </si>
  <si>
    <t>通信</t>
    <phoneticPr fontId="7" type="noConversion"/>
  </si>
  <si>
    <t>贵研铂业
600459</t>
    <phoneticPr fontId="7" type="noConversion"/>
  </si>
  <si>
    <t>有色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</si>
  <si>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铂族金属回收和新材料公司，公司受益贵金属价格上涨和产能扩张，公司21.12已完成股权激励。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产品需求向好，业务规模持续扩张 2022-04-15</t>
    </r>
    <phoneticPr fontId="7" type="noConversion"/>
  </si>
  <si>
    <t>平安银行
000001</t>
    <phoneticPr fontId="7" type="noConversion"/>
  </si>
  <si>
    <t>银行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</si>
  <si>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1)受益于地产政策修复: 2) 零售精品银行，信用卡+消费贷款占比超40%，疫后修复期有较大弹性v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对公生态助实体，银保协同显成效 2022-10-25</t>
    </r>
    <phoneticPr fontId="7" type="noConversion"/>
  </si>
  <si>
    <t>中国平安
 601318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</si>
  <si>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代理人规模下降收窄和产能提升有望帮助23年NBV增速转正，投资端弹性较好有望受益于股市回暖。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 xml:space="preserve">中国人寿A股全年表现亮眼 2022-12-20
</t>
    </r>
    <phoneticPr fontId="7" type="noConversion"/>
  </si>
  <si>
    <t>沈晓峰 | 新经济研究组负责人、交运首席 S0570516110001/BCG366
18616578663
shenxiaofeng@htsc.com</t>
    <phoneticPr fontId="7" type="noConversion"/>
  </si>
  <si>
    <t>谢春生 | 计算机首席 S0570519080006/BQZ938
13774410126
xiechunsheng@htsc.com</t>
    <phoneticPr fontId="7" type="noConversion"/>
  </si>
  <si>
    <t>朱　珺 | 传媒互联网首席 S0570520040004/BPX711
18603077109
zhujun016731@htsc.com</t>
    <phoneticPr fontId="7" type="noConversion"/>
  </si>
  <si>
    <t>余　熠 | 通信研究员 S0570520090002/BNC535
15827175844
yuyi@htsc.com</t>
    <phoneticPr fontId="7" type="noConversion"/>
  </si>
  <si>
    <t>传媒</t>
    <phoneticPr fontId="7" type="noConversion"/>
  </si>
  <si>
    <t xml:space="preserve">兆讯传媒
301102 </t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</si>
  <si>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寿险改革有望持续提升代理人产能，23年NBV有望增速转正，投资端有望受益于股市回暖。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估值强力修复，后续动能如何？2022-12-19</t>
    </r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</si>
  <si>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疫情防控优化，23年春运将是疫情三年后第一个大规模返乡春运，有望带动高铁广告恢复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高铁数字媒体龙头，布局裸眼3D大屏 2022-12-29</t>
    </r>
    <phoneticPr fontId="7" type="noConversion"/>
  </si>
  <si>
    <r>
      <t xml:space="preserve">推荐逻辑：
</t>
    </r>
    <r>
      <rPr>
        <sz val="10"/>
        <color rgb="FF000000"/>
        <rFont val="微软雅黑"/>
        <family val="2"/>
        <charset val="134"/>
      </rPr>
      <t>1）海外业务领先于国内竞争者，预计2022全年海外转机数量或达4500台，我们认为2022年大规模装机，将为2023年试剂大规模放量奠定基础；
2）我们认为国内诊疗量在2023年有望逐步恢复，作为IVD龙头，新产业在化学发光领域优势明显，或将收益于诊疗量的恢复。</t>
    </r>
    <r>
      <rPr>
        <b/>
        <sz val="10"/>
        <color rgb="FF000000"/>
        <rFont val="微软雅黑"/>
        <family val="2"/>
        <charset val="134"/>
      </rPr>
      <t xml:space="preserve">
相关研报：</t>
    </r>
    <r>
      <rPr>
        <sz val="10"/>
        <color rgb="FF000000"/>
        <rFont val="微软雅黑"/>
        <family val="2"/>
        <charset val="134"/>
      </rPr>
      <t>国内海外齐突破，3Q22同比高增长 2022-10-21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</si>
</sst>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.00_);[Red]\(0.00\)"/>
  </numFmts>
  <fonts count="14" x14ac:knownFonts="1">
    <font>
      <sz val="11"/>
      <color theme="1"/>
      <name val="等线"/>
      <charset val="134"/>
    </font>
    <font>
      <b/>
      <sz val="18"/>
      <color rgb="FFFFFFFF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</font>
    <font>
      <sz val="18"/>
      <color rgb="FFFFFFFF"/>
      <name val="微软雅黑"/>
      <family val="2"/>
      <charset val="134"/>
    </font>
    <font>
      <sz val="14"/>
      <color rgb="FFFFFFFF"/>
      <name val="微软雅黑"/>
      <family val="2"/>
      <charset val="134"/>
    </font>
    <font>
      <sz val="11"/>
      <color rgb="FF000000"/>
      <name val="思源黑体 CN Bold"/>
      <family val="2"/>
      <charset val="134"/>
    </font>
    <font>
      <sz val="20"/>
      <color theme="8" tint="-0.249977111117893"/>
      <name val="思源黑体 CN Heavy"/>
      <family val="2"/>
      <charset val="134"/>
    </font>
    <font>
      <sz val="20"/>
      <color theme="8" tint="-0.249977111117893"/>
      <name val="等线"/>
      <family val="3"/>
      <charset val="134"/>
    </font>
    <font>
      <sz val="11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E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176" fontId="8" fillId="5" borderId="0" xfId="0" applyNumberFormat="1" applyFont="1" applyFill="1" applyBorder="1" applyAlignment="1">
      <alignment horizontal="center" vertical="center"/>
    </xf>
    <xf numFmtId="176" fontId="9" fillId="5" borderId="0" xfId="0" applyNumberFormat="1" applyFont="1" applyFill="1" applyBorder="1" applyAlignment="1">
      <alignment horizontal="center" vertical="center"/>
    </xf>
    <xf numFmtId="176" fontId="10" fillId="5" borderId="0" xfId="0" applyNumberFormat="1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5" borderId="0" xfId="0" applyFill="1" applyBorder="1">
      <alignment vertical="center"/>
    </xf>
    <xf numFmtId="0" fontId="0" fillId="6" borderId="0" xfId="0" applyFill="1" applyBorder="1">
      <alignment vertical="center"/>
    </xf>
    <xf numFmtId="176" fontId="0" fillId="6" borderId="0" xfId="0" applyNumberFormat="1" applyFill="1" applyBorder="1">
      <alignment vertical="center"/>
    </xf>
    <xf numFmtId="177" fontId="2" fillId="0" borderId="4" xfId="0" applyNumberFormat="1" applyFont="1" applyBorder="1" applyAlignment="1">
      <alignment horizontal="center" vertical="center" wrapText="1"/>
    </xf>
    <xf numFmtId="177" fontId="3" fillId="3" borderId="4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49" fontId="13" fillId="0" borderId="0" xfId="0" applyNumberFormat="1" applyFont="1">
      <alignment vertical="center"/>
    </xf>
    <xf numFmtId="0" fontId="2" fillId="0" borderId="4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left" vertical="center" wrapText="1"/>
    </xf>
    <xf numFmtId="49" fontId="5" fillId="4" borderId="0" xfId="0" applyNumberFormat="1" applyFont="1" applyFill="1" applyBorder="1" applyAlignment="1">
      <alignment horizontal="left" vertical="center" wrapText="1"/>
    </xf>
    <xf numFmtId="49" fontId="5" fillId="4" borderId="6" xfId="0" applyNumberFormat="1" applyFont="1" applyFill="1" applyBorder="1" applyAlignment="1">
      <alignment horizontal="left" vertical="center" wrapText="1"/>
    </xf>
    <xf numFmtId="177" fontId="2" fillId="0" borderId="7" xfId="0" applyNumberFormat="1" applyFont="1" applyBorder="1" applyAlignment="1">
      <alignment horizontal="center" vertical="center" wrapText="1"/>
    </xf>
    <xf numFmtId="177" fontId="2" fillId="0" borderId="8" xfId="0" applyNumberFormat="1" applyFont="1" applyBorder="1" applyAlignment="1">
      <alignment horizontal="center" vertical="center" wrapText="1"/>
    </xf>
    <xf numFmtId="177" fontId="2" fillId="0" borderId="9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0" fontId="11" fillId="5" borderId="0" xfId="0" applyFont="1" applyFill="1" applyBorder="1" applyAlignment="1">
      <alignment horizontal="center"/>
    </xf>
    <xf numFmtId="0" fontId="12" fillId="5" borderId="0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8F3FE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25213</xdr:rowOff>
    </xdr:from>
    <xdr:to>
      <xdr:col>1</xdr:col>
      <xdr:colOff>1936750</xdr:colOff>
      <xdr:row>1</xdr:row>
      <xdr:rowOff>732364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xmlns="" id="{A632BE68-B760-49A9-91FD-3F6FDBF52A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99" b="14120"/>
        <a:stretch/>
      </xdr:blipFill>
      <xdr:spPr>
        <a:xfrm>
          <a:off x="0" y="698313"/>
          <a:ext cx="3888317" cy="707151"/>
        </a:xfrm>
        <a:prstGeom prst="rect">
          <a:avLst/>
        </a:prstGeom>
      </xdr:spPr>
    </xdr:pic>
    <xdr:clientData/>
  </xdr:twoCellAnchor>
  <xdr:twoCellAnchor>
    <xdr:from>
      <xdr:col>0</xdr:col>
      <xdr:colOff>984786</xdr:colOff>
      <xdr:row>1</xdr:row>
      <xdr:rowOff>266569</xdr:rowOff>
    </xdr:from>
    <xdr:to>
      <xdr:col>1</xdr:col>
      <xdr:colOff>926550</xdr:colOff>
      <xdr:row>1</xdr:row>
      <xdr:rowOff>556192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xmlns="" id="{CC515FB5-9236-4113-9029-309440E28370}"/>
            </a:ext>
          </a:extLst>
        </xdr:cNvPr>
        <xdr:cNvSpPr txBox="1"/>
      </xdr:nvSpPr>
      <xdr:spPr>
        <a:xfrm>
          <a:off x="984786" y="939669"/>
          <a:ext cx="1893331" cy="28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CN" sz="2000">
              <a:solidFill>
                <a:schemeClr val="accent5">
                  <a:lumMod val="75000"/>
                </a:schemeClr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</a:rPr>
            <a:t>2023</a:t>
          </a:r>
          <a:r>
            <a:rPr lang="zh-CN" altLang="en-US" sz="2000">
              <a:solidFill>
                <a:schemeClr val="accent5">
                  <a:lumMod val="75000"/>
                </a:schemeClr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</a:rPr>
            <a:t>年</a:t>
          </a:r>
          <a:r>
            <a:rPr lang="en-US" altLang="zh-CN" sz="2000">
              <a:solidFill>
                <a:schemeClr val="accent5">
                  <a:lumMod val="75000"/>
                </a:schemeClr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</a:rPr>
            <a:t>1</a:t>
          </a:r>
          <a:r>
            <a:rPr lang="zh-CN" altLang="en-US" sz="2000">
              <a:solidFill>
                <a:schemeClr val="accent5">
                  <a:lumMod val="75000"/>
                </a:schemeClr>
              </a:solidFill>
              <a:latin typeface="思源黑体 CN Heavy" panose="020B0A00000000000000" pitchFamily="34" charset="-122"/>
              <a:ea typeface="思源黑体 CN Heavy" panose="020B0A00000000000000" pitchFamily="34" charset="-122"/>
            </a:rPr>
            <a:t>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tabSelected="1" zoomScale="80" zoomScaleNormal="80" workbookViewId="0">
      <pane ySplit="3" topLeftCell="A4" activePane="bottomLeft" state="frozen"/>
      <selection pane="bottomLeft" activeCell="A7" sqref="A7:L7"/>
    </sheetView>
  </sheetViews>
  <sheetFormatPr defaultColWidth="9" defaultRowHeight="14.25" x14ac:dyDescent="0.2"/>
  <cols>
    <col min="1" max="1" width="7.25" style="1" customWidth="1"/>
    <col min="2" max="2" width="19.375" style="1" customWidth="1"/>
    <col min="3" max="3" width="15.375" style="1" customWidth="1"/>
    <col min="4" max="11" width="12.375" style="14" customWidth="1"/>
    <col min="12" max="12" width="65.375" style="1" customWidth="1"/>
    <col min="13" max="16384" width="9" style="1"/>
  </cols>
  <sheetData>
    <row r="1" spans="1:12" ht="33.75" customHeight="1" x14ac:dyDescent="0.2">
      <c r="A1" s="17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ht="18" customHeight="1" x14ac:dyDescent="0.2">
      <c r="A2" s="29" t="s">
        <v>0</v>
      </c>
      <c r="B2" s="29" t="s">
        <v>1</v>
      </c>
      <c r="C2" s="29" t="s">
        <v>2</v>
      </c>
      <c r="D2" s="23" t="s">
        <v>13</v>
      </c>
      <c r="E2" s="24"/>
      <c r="F2" s="24"/>
      <c r="G2" s="25"/>
      <c r="H2" s="23" t="s">
        <v>14</v>
      </c>
      <c r="I2" s="24"/>
      <c r="J2" s="24"/>
      <c r="K2" s="25"/>
      <c r="L2" s="30" t="s">
        <v>12</v>
      </c>
    </row>
    <row r="3" spans="1:12" ht="18" customHeight="1" x14ac:dyDescent="0.2">
      <c r="A3" s="29"/>
      <c r="B3" s="29"/>
      <c r="C3" s="29"/>
      <c r="D3" s="16">
        <v>2021</v>
      </c>
      <c r="E3" s="12" t="s">
        <v>10</v>
      </c>
      <c r="F3" s="12" t="s">
        <v>11</v>
      </c>
      <c r="G3" s="12" t="s">
        <v>21</v>
      </c>
      <c r="H3" s="16">
        <v>2021</v>
      </c>
      <c r="I3" s="12" t="s">
        <v>10</v>
      </c>
      <c r="J3" s="12" t="s">
        <v>11</v>
      </c>
      <c r="K3" s="12" t="s">
        <v>21</v>
      </c>
      <c r="L3" s="30"/>
    </row>
    <row r="4" spans="1:12" ht="51.95" customHeight="1" x14ac:dyDescent="0.2">
      <c r="A4" s="2" t="s">
        <v>8</v>
      </c>
      <c r="B4" s="3" t="s">
        <v>30</v>
      </c>
      <c r="C4" s="4" t="s">
        <v>31</v>
      </c>
      <c r="D4" s="13">
        <v>1.24</v>
      </c>
      <c r="E4" s="13">
        <v>1.55</v>
      </c>
      <c r="F4" s="13">
        <v>2.0099999999999998</v>
      </c>
      <c r="G4" s="13">
        <v>2.6</v>
      </c>
      <c r="H4" s="13">
        <v>47.88</v>
      </c>
      <c r="I4" s="13">
        <v>38.25</v>
      </c>
      <c r="J4" s="13">
        <v>29.56</v>
      </c>
      <c r="K4" s="13">
        <v>22.82</v>
      </c>
      <c r="L4" s="2" t="s">
        <v>23</v>
      </c>
    </row>
    <row r="5" spans="1:12" s="15" customFormat="1" ht="92.25" customHeight="1" x14ac:dyDescent="0.2">
      <c r="A5" s="20" t="s">
        <v>57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</row>
    <row r="6" spans="1:12" ht="51.95" customHeight="1" x14ac:dyDescent="0.2">
      <c r="A6" s="2" t="s">
        <v>29</v>
      </c>
      <c r="B6" s="3" t="s">
        <v>22</v>
      </c>
      <c r="C6" s="4" t="s">
        <v>17</v>
      </c>
      <c r="D6" s="13">
        <v>1.51</v>
      </c>
      <c r="E6" s="13">
        <v>1.5</v>
      </c>
      <c r="F6" s="13">
        <v>1.9</v>
      </c>
      <c r="G6" s="13">
        <v>2.29</v>
      </c>
      <c r="H6" s="13">
        <v>26.54</v>
      </c>
      <c r="I6" s="13">
        <v>26.71</v>
      </c>
      <c r="J6" s="13">
        <v>21.08</v>
      </c>
      <c r="K6" s="13">
        <v>17.48</v>
      </c>
      <c r="L6" s="2" t="s">
        <v>18</v>
      </c>
    </row>
    <row r="7" spans="1:12" ht="111.95" customHeight="1" x14ac:dyDescent="0.2">
      <c r="A7" s="20" t="s">
        <v>25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2"/>
    </row>
    <row r="8" spans="1:12" ht="51.95" customHeight="1" x14ac:dyDescent="0.2">
      <c r="A8" s="2">
        <v>3</v>
      </c>
      <c r="B8" s="3" t="s">
        <v>33</v>
      </c>
      <c r="C8" s="4" t="s">
        <v>34</v>
      </c>
      <c r="D8" s="13">
        <v>-0.67</v>
      </c>
      <c r="E8" s="13">
        <v>-1.32</v>
      </c>
      <c r="F8" s="13">
        <v>0.43</v>
      </c>
      <c r="G8" s="13">
        <v>1.01</v>
      </c>
      <c r="H8" s="13">
        <v>-11.6</v>
      </c>
      <c r="I8" s="13">
        <v>-5.86</v>
      </c>
      <c r="J8" s="13">
        <v>17.89</v>
      </c>
      <c r="K8" s="13">
        <v>7.67</v>
      </c>
      <c r="L8" s="2" t="s">
        <v>49</v>
      </c>
    </row>
    <row r="9" spans="1:12" ht="111" customHeight="1" x14ac:dyDescent="0.2">
      <c r="A9" s="20" t="s">
        <v>32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ht="51.95" customHeight="1" x14ac:dyDescent="0.2">
      <c r="A10" s="2" t="s">
        <v>4</v>
      </c>
      <c r="B10" s="3" t="s">
        <v>36</v>
      </c>
      <c r="C10" s="4" t="s">
        <v>37</v>
      </c>
      <c r="D10" s="13">
        <v>1.44</v>
      </c>
      <c r="E10" s="13">
        <v>2.2000000000000002</v>
      </c>
      <c r="F10" s="13">
        <v>2.93</v>
      </c>
      <c r="G10" s="13">
        <v>3.81</v>
      </c>
      <c r="H10" s="13">
        <v>62.92</v>
      </c>
      <c r="I10" s="13">
        <v>41.29</v>
      </c>
      <c r="J10" s="13">
        <v>31.05</v>
      </c>
      <c r="K10" s="13">
        <v>23.86</v>
      </c>
      <c r="L10" s="2" t="s">
        <v>50</v>
      </c>
    </row>
    <row r="11" spans="1:12" ht="108.75" customHeight="1" x14ac:dyDescent="0.2">
      <c r="A11" s="20" t="s">
        <v>35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ht="51.95" customHeight="1" x14ac:dyDescent="0.2">
      <c r="A12" s="2" t="s">
        <v>16</v>
      </c>
      <c r="B12" s="3" t="s">
        <v>54</v>
      </c>
      <c r="C12" s="4" t="s">
        <v>53</v>
      </c>
      <c r="D12" s="13">
        <v>1.2</v>
      </c>
      <c r="E12" s="13">
        <v>1.01</v>
      </c>
      <c r="F12" s="13">
        <v>1.81</v>
      </c>
      <c r="G12" s="13">
        <v>2.41</v>
      </c>
      <c r="H12" s="13">
        <v>29.1</v>
      </c>
      <c r="I12" s="13">
        <v>34.549999999999997</v>
      </c>
      <c r="J12" s="13">
        <v>19.36</v>
      </c>
      <c r="K12" s="13">
        <v>14.52</v>
      </c>
      <c r="L12" s="2" t="s">
        <v>51</v>
      </c>
    </row>
    <row r="13" spans="1:12" ht="107.45" customHeight="1" x14ac:dyDescent="0.2">
      <c r="A13" s="20" t="s">
        <v>56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ht="51.95" customHeight="1" x14ac:dyDescent="0.2">
      <c r="A14" s="2" t="s">
        <v>5</v>
      </c>
      <c r="B14" s="3" t="s">
        <v>38</v>
      </c>
      <c r="C14" s="4" t="s">
        <v>40</v>
      </c>
      <c r="D14" s="13">
        <v>0.89</v>
      </c>
      <c r="E14" s="13">
        <v>1.1200000000000001</v>
      </c>
      <c r="F14" s="13">
        <v>1.48</v>
      </c>
      <c r="G14" s="13">
        <v>1.88</v>
      </c>
      <c r="H14" s="13">
        <v>35.82</v>
      </c>
      <c r="I14" s="13">
        <v>28.56</v>
      </c>
      <c r="J14" s="13">
        <v>21.51</v>
      </c>
      <c r="K14" s="13">
        <v>17.010000000000002</v>
      </c>
      <c r="L14" s="2" t="s">
        <v>52</v>
      </c>
    </row>
    <row r="15" spans="1:12" ht="102.75" customHeight="1" x14ac:dyDescent="0.2">
      <c r="A15" s="20" t="s">
        <v>39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ht="51.95" customHeight="1" x14ac:dyDescent="0.2">
      <c r="A16" s="2" t="s">
        <v>6</v>
      </c>
      <c r="B16" s="3" t="s">
        <v>41</v>
      </c>
      <c r="C16" s="4" t="s">
        <v>42</v>
      </c>
      <c r="D16" s="13">
        <v>0.65</v>
      </c>
      <c r="E16" s="13">
        <v>0.95</v>
      </c>
      <c r="F16" s="13">
        <v>1.25</v>
      </c>
      <c r="G16" s="13">
        <v>1.61</v>
      </c>
      <c r="H16" s="13">
        <v>30.39</v>
      </c>
      <c r="I16" s="13">
        <v>20.89</v>
      </c>
      <c r="J16" s="13">
        <v>15.94</v>
      </c>
      <c r="K16" s="13">
        <v>12.36</v>
      </c>
      <c r="L16" s="2" t="s">
        <v>24</v>
      </c>
    </row>
    <row r="17" spans="1:12" ht="92.25" customHeight="1" x14ac:dyDescent="0.2">
      <c r="A17" s="20" t="s">
        <v>43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ht="51.95" customHeight="1" x14ac:dyDescent="0.2">
      <c r="A18" s="2">
        <v>8</v>
      </c>
      <c r="B18" s="3" t="s">
        <v>44</v>
      </c>
      <c r="C18" s="4" t="s">
        <v>45</v>
      </c>
      <c r="D18" s="13">
        <v>1.87</v>
      </c>
      <c r="E18" s="13">
        <v>2.34</v>
      </c>
      <c r="F18" s="13">
        <v>2.86</v>
      </c>
      <c r="G18" s="13">
        <v>3.45</v>
      </c>
      <c r="H18" s="13">
        <v>5.67</v>
      </c>
      <c r="I18" s="13">
        <v>4.54</v>
      </c>
      <c r="J18" s="13">
        <v>3.71</v>
      </c>
      <c r="K18" s="13">
        <v>3.08</v>
      </c>
      <c r="L18" s="2" t="s">
        <v>19</v>
      </c>
    </row>
    <row r="19" spans="1:12" ht="92.25" customHeight="1" x14ac:dyDescent="0.2">
      <c r="A19" s="20" t="s">
        <v>46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ht="51.95" customHeight="1" x14ac:dyDescent="0.2">
      <c r="A20" s="2" t="s">
        <v>7</v>
      </c>
      <c r="B20" s="3" t="s">
        <v>47</v>
      </c>
      <c r="C20" s="4" t="s">
        <v>20</v>
      </c>
      <c r="D20" s="13">
        <v>5.77</v>
      </c>
      <c r="E20" s="13">
        <v>5.8</v>
      </c>
      <c r="F20" s="13">
        <v>11.51</v>
      </c>
      <c r="G20" s="13">
        <v>13.14</v>
      </c>
      <c r="H20" s="13">
        <v>8.09</v>
      </c>
      <c r="I20" s="13">
        <v>8.0500000000000007</v>
      </c>
      <c r="J20" s="13">
        <v>4.0599999999999996</v>
      </c>
      <c r="K20" s="13">
        <v>3.55</v>
      </c>
      <c r="L20" s="2" t="s">
        <v>27</v>
      </c>
    </row>
    <row r="21" spans="1:12" ht="92.25" customHeight="1" x14ac:dyDescent="0.2">
      <c r="A21" s="20" t="s">
        <v>55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ht="51.95" customHeight="1" x14ac:dyDescent="0.2">
      <c r="A22" s="2" t="s">
        <v>9</v>
      </c>
      <c r="B22" s="3" t="s">
        <v>26</v>
      </c>
      <c r="C22" s="4" t="s">
        <v>20</v>
      </c>
      <c r="D22" s="13">
        <v>1.8</v>
      </c>
      <c r="E22" s="13">
        <v>1.18</v>
      </c>
      <c r="F22" s="13">
        <v>1.99</v>
      </c>
      <c r="G22" s="13">
        <v>2.23</v>
      </c>
      <c r="H22" s="13">
        <v>19.309999999999999</v>
      </c>
      <c r="I22" s="13">
        <v>29.5</v>
      </c>
      <c r="J22" s="13">
        <v>17.5</v>
      </c>
      <c r="K22" s="13">
        <v>15.61</v>
      </c>
      <c r="L22" s="2" t="s">
        <v>27</v>
      </c>
    </row>
    <row r="23" spans="1:12" ht="108" customHeight="1" x14ac:dyDescent="0.2">
      <c r="A23" s="20" t="s">
        <v>48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ht="21" customHeight="1" x14ac:dyDescent="0.2">
      <c r="A24" s="26" t="s">
        <v>3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</sheetData>
  <mergeCells count="18">
    <mergeCell ref="A21:L21"/>
    <mergeCell ref="A23:L23"/>
    <mergeCell ref="A24:L24"/>
    <mergeCell ref="A2:A3"/>
    <mergeCell ref="B2:B3"/>
    <mergeCell ref="C2:C3"/>
    <mergeCell ref="L2:L3"/>
    <mergeCell ref="A11:L11"/>
    <mergeCell ref="A13:L13"/>
    <mergeCell ref="A15:L15"/>
    <mergeCell ref="A17:L17"/>
    <mergeCell ref="A19:L19"/>
    <mergeCell ref="A1:L1"/>
    <mergeCell ref="A5:L5"/>
    <mergeCell ref="A7:L7"/>
    <mergeCell ref="A9:L9"/>
    <mergeCell ref="H2:K2"/>
    <mergeCell ref="D2:G2"/>
  </mergeCells>
  <phoneticPr fontId="7" type="noConversion"/>
  <pageMargins left="0.7" right="0.7" top="0.75" bottom="0.75" header="0.3" footer="0.3"/>
  <pageSetup paperSize="9"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zoomScale="150" zoomScaleNormal="150" workbookViewId="0">
      <selection activeCell="D2" sqref="D2"/>
    </sheetView>
  </sheetViews>
  <sheetFormatPr defaultColWidth="9" defaultRowHeight="14.25" x14ac:dyDescent="0.2"/>
  <cols>
    <col min="1" max="2" width="25.625" style="8" customWidth="1"/>
    <col min="3" max="3" width="9" style="10"/>
    <col min="4" max="16384" width="9" style="8"/>
  </cols>
  <sheetData>
    <row r="1" spans="1:37" ht="53.1" customHeight="1" x14ac:dyDescent="0.7">
      <c r="A1" s="31" t="s">
        <v>15</v>
      </c>
      <c r="B1" s="32"/>
    </row>
    <row r="2" spans="1:37" s="9" customFormat="1" ht="57.95" customHeight="1" x14ac:dyDescent="0.2">
      <c r="A2" s="5"/>
      <c r="B2" s="6"/>
      <c r="C2" s="10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37" ht="44.45" customHeight="1" x14ac:dyDescent="0.2">
      <c r="A3" s="7" t="str">
        <f>金股推荐逻辑!B4</f>
        <v>新产业
300832</v>
      </c>
      <c r="B3" s="7" t="str">
        <f>金股推荐逻辑!C4</f>
        <v>医药</v>
      </c>
      <c r="C3" s="11"/>
    </row>
    <row r="4" spans="1:37" ht="44.45" customHeight="1" x14ac:dyDescent="0.2">
      <c r="A4" s="7" t="str">
        <f>金股推荐逻辑!B6</f>
        <v>安琪酵母
600298</v>
      </c>
      <c r="B4" s="7" t="str">
        <f>金股推荐逻辑!C6</f>
        <v>食品饮料</v>
      </c>
      <c r="C4" s="11"/>
    </row>
    <row r="5" spans="1:37" ht="44.45" customHeight="1" x14ac:dyDescent="0.2">
      <c r="A5" s="7" t="str">
        <f>金股推荐逻辑!B8</f>
        <v>南方航空
600029</v>
      </c>
      <c r="B5" s="7" t="str">
        <f>金股推荐逻辑!C8</f>
        <v>交运</v>
      </c>
      <c r="C5" s="11"/>
    </row>
    <row r="6" spans="1:37" ht="44.45" customHeight="1" x14ac:dyDescent="0.2">
      <c r="A6" s="7" t="str">
        <f>金股推荐逻辑!B10</f>
        <v>中科江南
301153</v>
      </c>
      <c r="B6" s="7" t="str">
        <f>金股推荐逻辑!C10</f>
        <v>计算机</v>
      </c>
      <c r="C6" s="11"/>
    </row>
    <row r="7" spans="1:37" ht="44.45" customHeight="1" x14ac:dyDescent="0.2">
      <c r="A7" s="7" t="str">
        <f>金股推荐逻辑!B12</f>
        <v xml:space="preserve">兆讯传媒
301102 </v>
      </c>
      <c r="B7" s="7" t="str">
        <f>金股推荐逻辑!C12</f>
        <v>传媒</v>
      </c>
      <c r="C7" s="11"/>
    </row>
    <row r="8" spans="1:37" ht="44.45" customHeight="1" x14ac:dyDescent="0.2">
      <c r="A8" s="7" t="str">
        <f>金股推荐逻辑!B14</f>
        <v>七一二
603712</v>
      </c>
      <c r="B8" s="7" t="str">
        <f>金股推荐逻辑!C14</f>
        <v>通信</v>
      </c>
      <c r="C8" s="11"/>
    </row>
    <row r="9" spans="1:37" ht="44.45" customHeight="1" x14ac:dyDescent="0.2">
      <c r="A9" s="7" t="str">
        <f>金股推荐逻辑!B16</f>
        <v>贵研铂业
600459</v>
      </c>
      <c r="B9" s="7" t="str">
        <f>金股推荐逻辑!C16</f>
        <v>有色</v>
      </c>
      <c r="C9" s="11"/>
    </row>
    <row r="10" spans="1:37" ht="44.45" customHeight="1" x14ac:dyDescent="0.2">
      <c r="A10" s="7" t="str">
        <f>金股推荐逻辑!B18</f>
        <v>平安银行
000001</v>
      </c>
      <c r="B10" s="7" t="str">
        <f>金股推荐逻辑!C18</f>
        <v>银行</v>
      </c>
      <c r="C10" s="11"/>
    </row>
    <row r="11" spans="1:37" ht="44.45" customHeight="1" x14ac:dyDescent="0.2">
      <c r="A11" s="7" t="str">
        <f>金股推荐逻辑!B20</f>
        <v>中国平安
 601318</v>
      </c>
      <c r="B11" s="7" t="str">
        <f>金股推荐逻辑!C20</f>
        <v>保险</v>
      </c>
      <c r="C11" s="11"/>
    </row>
    <row r="12" spans="1:37" ht="44.45" customHeight="1" x14ac:dyDescent="0.2">
      <c r="A12" s="7" t="str">
        <f>金股推荐逻辑!B22</f>
        <v>中国人寿
601628</v>
      </c>
      <c r="B12" s="7" t="str">
        <f>金股推荐逻辑!C22</f>
        <v>保险</v>
      </c>
      <c r="C12" s="11"/>
    </row>
    <row r="13" spans="1:37" s="10" customFormat="1" x14ac:dyDescent="0.2">
      <c r="A13" s="9"/>
      <c r="B13" s="9"/>
    </row>
  </sheetData>
  <mergeCells count="1">
    <mergeCell ref="A1:B1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金股推荐逻辑</vt:lpstr>
      <vt:lpstr>简表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</dc:creator>
  <cp:lastModifiedBy>荆子钰</cp:lastModifiedBy>
  <cp:lastPrinted>2020-09-30T02:20:00Z</cp:lastPrinted>
  <dcterms:created xsi:type="dcterms:W3CDTF">2019-03-27T09:02:00Z</dcterms:created>
  <dcterms:modified xsi:type="dcterms:W3CDTF">2022-12-30T07:48:39Z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2052-10.8.2.7119</vt:lpwstr>
  </property>
</Properties>
</file>