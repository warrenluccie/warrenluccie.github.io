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工作文件\1产品-金股、视频号、研报海报\1产品-金股\"/>
    </mc:Choice>
  </mc:AlternateContent>
  <bookViews>
    <workbookView xWindow="8130" yWindow="0" windowWidth="11090" windowHeight="7550"/>
  </bookViews>
  <sheets>
    <sheet name="金股推荐逻辑" sheetId="1" r:id="rId1"/>
    <sheet name="简表" sheetId="7" r:id="rId2"/>
  </sheets>
  <definedNames>
    <definedName name="_xlnm._FilterDatabase" localSheetId="0" hidden="1">金股推荐逻辑!$B$1:$B$24</definedName>
  </definedNames>
  <calcPr calcId="152511"/>
</workbook>
</file>

<file path=xl/calcChain.xml><?xml version="1.0" encoding="utf-8"?>
<calcChain xmlns="http://schemas.openxmlformats.org/spreadsheetml/2006/main">
  <c r="A3" i="7" l="1"/>
  <c r="B3" i="7" l="1"/>
  <c r="B4" i="7"/>
  <c r="B5" i="7"/>
  <c r="B6" i="7"/>
  <c r="B7" i="7"/>
  <c r="B8" i="7"/>
  <c r="B9" i="7"/>
  <c r="B10" i="7"/>
  <c r="B11" i="7"/>
  <c r="B12" i="7"/>
  <c r="A12" i="7"/>
  <c r="A11" i="7"/>
  <c r="A10" i="7"/>
  <c r="A9" i="7"/>
  <c r="A8" i="7"/>
  <c r="A7" i="7"/>
  <c r="A6" i="7"/>
  <c r="A5" i="7"/>
  <c r="A4" i="7"/>
</calcChain>
</file>

<file path=xl/sharedStrings.xml><?xml version="1.0" encoding="utf-8"?>
<sst xmlns="http://schemas.openxmlformats.org/spreadsheetml/2006/main" count="63" uniqueCount="59">
  <si>
    <t>序号</t>
  </si>
  <si>
    <t>股票名称</t>
  </si>
  <si>
    <t>行业</t>
  </si>
  <si>
    <t>注：以上信息以华泰研究所最新发布的研报为准。</t>
  </si>
  <si>
    <t>4</t>
    <phoneticPr fontId="7" type="noConversion"/>
  </si>
  <si>
    <t>6</t>
    <phoneticPr fontId="7" type="noConversion"/>
  </si>
  <si>
    <t>7</t>
    <phoneticPr fontId="7" type="noConversion"/>
  </si>
  <si>
    <t>9</t>
    <phoneticPr fontId="7" type="noConversion"/>
  </si>
  <si>
    <t>1</t>
    <phoneticPr fontId="7" type="noConversion"/>
  </si>
  <si>
    <t>10</t>
    <phoneticPr fontId="7" type="noConversion"/>
  </si>
  <si>
    <t>2022E</t>
    <phoneticPr fontId="7" type="noConversion"/>
  </si>
  <si>
    <t>2023E</t>
    <phoneticPr fontId="7" type="noConversion"/>
  </si>
  <si>
    <t>深度咨询</t>
    <phoneticPr fontId="7" type="noConversion"/>
  </si>
  <si>
    <t>EPS</t>
    <phoneticPr fontId="7" type="noConversion"/>
  </si>
  <si>
    <t>PE</t>
    <phoneticPr fontId="7" type="noConversion"/>
  </si>
  <si>
    <t>华泰研究 · 金股组合</t>
    <phoneticPr fontId="7" type="noConversion"/>
  </si>
  <si>
    <t>5</t>
    <phoneticPr fontId="7" type="noConversion"/>
  </si>
  <si>
    <t>食品饮料</t>
    <phoneticPr fontId="7" type="noConversion"/>
  </si>
  <si>
    <t>龚源月 | 食品饮料首席 S0570520100001/BQL737
15021256686
gongyuanyue@htsc.com</t>
    <phoneticPr fontId="7" type="noConversion"/>
  </si>
  <si>
    <t>保险</t>
    <phoneticPr fontId="7" type="noConversion"/>
  </si>
  <si>
    <t>2024E</t>
  </si>
  <si>
    <t>代　雯 | 大健康研究组负责人、医药首席 S0570516120002/BFI915
18817874390
daiwen@htsc.com</t>
    <phoneticPr fontId="7" type="noConversion"/>
  </si>
  <si>
    <t>李　健 | 金融研究组联席负责人 S0570521010001/AWF297 
198 9658 2889
lijian@htsc.com</t>
    <phoneticPr fontId="7" type="noConversion"/>
  </si>
  <si>
    <t>2</t>
    <phoneticPr fontId="7" type="noConversion"/>
  </si>
  <si>
    <t>医药</t>
    <phoneticPr fontId="7" type="noConversion"/>
  </si>
  <si>
    <t>计算机</t>
    <phoneticPr fontId="7" type="noConversion"/>
  </si>
  <si>
    <t>中国平安
 601318</t>
    <phoneticPr fontId="7" type="noConversion"/>
  </si>
  <si>
    <t>谢春生 | 计算机首席 S0570519080006/BQZ938
13774410126
xiechunsheng@htsc.com</t>
    <phoneticPr fontId="7" type="noConversion"/>
  </si>
  <si>
    <t>朱　珺 | 传媒互联网首席 S0570520040004/BPX711
18603077109
zhujun016731@htsc.com</t>
    <phoneticPr fontId="7" type="noConversion"/>
  </si>
  <si>
    <t>华泰研究所2月金股推荐</t>
    <phoneticPr fontId="7" type="noConversion"/>
  </si>
  <si>
    <t>春立医疗
688236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</si>
  <si>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1）行业长期：我国关节置换手术量仅为欧美同期1/10，且集采后整体费用降低60-70%，需求旺盛。
2）行业短期：关节置换手术长期因为可择期，前期需求被压制，放开后诊疗有望明显恢复。同时集采影响已基本消化。
3）公司：国产关节龙头，集采中标结果较好，传统骨科稳定增长，PRP、运动医学、口腔等新业务发展迅速，且估值低于可比公司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集采影响短期业绩，看好明年增长 2022-10-27</t>
    </r>
    <phoneticPr fontId="7" type="noConversion"/>
  </si>
  <si>
    <t>五粮液
000858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</si>
  <si>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春节动销向好催化，奠定一季报稳健向好基础，行业基本面改善、上升周期阶段五粮液亦有望释放更强动能，结合当前估值性价比（23PE 26x，处于历史5年50%估值分位数)和公司机制体制改善预期，业绩估值双升可期。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受益景气度回升，价值回归可期 2023-01-17</t>
    </r>
    <phoneticPr fontId="7" type="noConversion"/>
  </si>
  <si>
    <t>岱美股份
603730</t>
    <phoneticPr fontId="7" type="noConversion"/>
  </si>
  <si>
    <t>汽车</t>
    <phoneticPr fontId="7" type="noConversion"/>
  </si>
  <si>
    <t>宋亭亭 | 汽车首席 S0570522110001  
18516590900
songtingting021619@htsc.com</t>
    <phoneticPr fontId="7" type="noConversion"/>
  </si>
  <si>
    <t>东方雨虹
002271</t>
    <phoneticPr fontId="7" type="noConversion"/>
  </si>
  <si>
    <t>建材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</si>
  <si>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Q4业绩已被市场消化，23年有望同比改善，Q1有望受益年初开工行情。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Q3业绩承压，份额与渠道优化并进 2022-10-26</t>
    </r>
    <phoneticPr fontId="7" type="noConversion"/>
  </si>
  <si>
    <t>方晏荷 | 建材首席 S0570517080007/BPW811
13918124864
fangyanhe@htsc.com</t>
    <phoneticPr fontId="7" type="noConversion"/>
  </si>
  <si>
    <t>长电科技
600584</t>
    <phoneticPr fontId="7" type="noConversion"/>
  </si>
  <si>
    <t>电子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</si>
  <si>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全球半导体行业1H23见底，封测环节业绩有望率先回升。在逆全球化背景下，长电发挥新加坡，韩国等海外布局优势，实现份额提升。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海外需求旺盛，营收环比明显改善 2022-10-28</t>
    </r>
    <phoneticPr fontId="7" type="noConversion"/>
  </si>
  <si>
    <t>黄乐平 | TMT研究组负责人、科技与电子首席 S0570521050001/AUZ066
14715372496
leping.huang@htsc.com</t>
    <phoneticPr fontId="7" type="noConversion"/>
  </si>
  <si>
    <t>科大讯飞
002230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</si>
  <si>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1、人工智能核心标的，业绩底已经出现。2、2023年收入和业绩有望触底反弹，迎来业绩和估值双击。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Q3营收增长环比加速，全年高增可期 2021-10-27</t>
    </r>
    <phoneticPr fontId="7" type="noConversion"/>
  </si>
  <si>
    <t>三七互娱
002555</t>
    <phoneticPr fontId="7" type="noConversion"/>
  </si>
  <si>
    <t>传媒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</si>
  <si>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2022年短期承压，新品上线内容较少；23Q1自研SLG《霸业》预期上线，多款储备产品已经取得或有望取得版号，叠加游戏市场需求有望复苏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3Q业绩基本符合预告,关注新品表现  2022-10-31</t>
    </r>
    <phoneticPr fontId="7" type="noConversion"/>
  </si>
  <si>
    <t>电子</t>
    <phoneticPr fontId="7" type="noConversion"/>
  </si>
  <si>
    <t>生益科技
600183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</si>
  <si>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1）估值处于历史低位；2）近期稼动率恢复至满产叠加消费修复，覆铜板涨价逻辑更加清晰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3Q需求疲软，4Q持续承压 2022-10-28</t>
    </r>
    <phoneticPr fontId="7" type="noConversion"/>
  </si>
  <si>
    <t>紫光国微
002049</t>
    <phoneticPr fontId="7" type="noConversion"/>
  </si>
  <si>
    <t>军工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</si>
  <si>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收益于下游装备放量、信息化渗透率提升和国产替代进程加速三重逻辑催化，四季度市场风格切换导致股价超跌，目前有较大修复空间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持续高景气，全年高增长可期 2022-10-28</t>
    </r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</si>
  <si>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寿险改革的成效预计将在2023年进一步显现，代理人产能持续有望持续提升，帮助2023年NBV实现正增长，投资端亦有望受益于股市回暖。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估值强力修复，后续动能如何？2022-12-19</t>
    </r>
    <phoneticPr fontId="7" type="noConversion"/>
  </si>
  <si>
    <t>李　聪 | 军工首席 S0570521020001/BRW518 
15712918365
licong017951@htsc.com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</si>
  <si>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1、特斯拉以价补量、福特下调其重点车型mustang mach-e价格以需求补贴并扩产能翻倍，美国新能源市场在主流车型带动下一季度销量有望翻倍。
2、岱美股份80%左右的收入来自美国，充分受益此市场的爆发。同时，公司在美国客户的产品配套单价将会从几百元提升到几千元，10倍增长。量价齐升，带来高业绩弹性，当前估值性价比高。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21年业绩稳增，海外盈利短期承压 2022-04-29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</si>
</sst>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_);[Red]\(0.00\)"/>
  </numFmts>
  <fonts count="14" x14ac:knownFonts="1">
    <font>
      <sz val="11"/>
      <color theme="1"/>
      <name val="等线"/>
      <charset val="134"/>
    </font>
    <font>
      <b/>
      <sz val="18"/>
      <color rgb="FFFFFFFF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</font>
    <font>
      <sz val="18"/>
      <color rgb="FFFFFFFF"/>
      <name val="微软雅黑"/>
      <family val="2"/>
      <charset val="134"/>
    </font>
    <font>
      <sz val="14"/>
      <color rgb="FFFFFFFF"/>
      <name val="微软雅黑"/>
      <family val="2"/>
      <charset val="134"/>
    </font>
    <font>
      <sz val="11"/>
      <color rgb="FF000000"/>
      <name val="思源黑体 CN Bold"/>
      <family val="2"/>
      <charset val="134"/>
    </font>
    <font>
      <sz val="20"/>
      <color theme="8" tint="-0.249977111117893"/>
      <name val="思源黑体 CN Heavy"/>
      <family val="2"/>
      <charset val="134"/>
    </font>
    <font>
      <sz val="20"/>
      <color theme="8" tint="-0.249977111117893"/>
      <name val="等线"/>
      <family val="3"/>
      <charset val="134"/>
    </font>
    <font>
      <sz val="11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E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176" fontId="8" fillId="5" borderId="0" xfId="0" applyNumberFormat="1" applyFont="1" applyFill="1" applyBorder="1" applyAlignment="1">
      <alignment horizontal="center" vertical="center"/>
    </xf>
    <xf numFmtId="176" fontId="9" fillId="5" borderId="0" xfId="0" applyNumberFormat="1" applyFont="1" applyFill="1" applyBorder="1" applyAlignment="1">
      <alignment horizontal="center" vertical="center"/>
    </xf>
    <xf numFmtId="176" fontId="10" fillId="5" borderId="0" xfId="0" applyNumberFormat="1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5" borderId="0" xfId="0" applyFill="1" applyBorder="1">
      <alignment vertical="center"/>
    </xf>
    <xf numFmtId="0" fontId="0" fillId="6" borderId="0" xfId="0" applyFill="1" applyBorder="1">
      <alignment vertical="center"/>
    </xf>
    <xf numFmtId="176" fontId="0" fillId="6" borderId="0" xfId="0" applyNumberFormat="1" applyFill="1" applyBorder="1">
      <alignment vertical="center"/>
    </xf>
    <xf numFmtId="177" fontId="2" fillId="0" borderId="4" xfId="0" applyNumberFormat="1" applyFont="1" applyBorder="1" applyAlignment="1">
      <alignment horizontal="center" vertical="center" wrapText="1"/>
    </xf>
    <xf numFmtId="177" fontId="3" fillId="3" borderId="4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49" fontId="13" fillId="0" borderId="0" xfId="0" applyNumberFormat="1" applyFont="1">
      <alignment vertical="center"/>
    </xf>
    <xf numFmtId="0" fontId="2" fillId="0" borderId="4" xfId="0" applyNumberFormat="1" applyFont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left" vertical="center" wrapText="1"/>
    </xf>
    <xf numFmtId="49" fontId="5" fillId="4" borderId="0" xfId="0" applyNumberFormat="1" applyFont="1" applyFill="1" applyBorder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49" fontId="6" fillId="0" borderId="7" xfId="0" applyNumberFormat="1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 wrapText="1"/>
    </xf>
    <xf numFmtId="177" fontId="2" fillId="0" borderId="8" xfId="0" applyNumberFormat="1" applyFont="1" applyBorder="1" applyAlignment="1">
      <alignment horizontal="center" vertical="center" wrapText="1"/>
    </xf>
    <xf numFmtId="177" fontId="2" fillId="0" borderId="9" xfId="0" applyNumberFormat="1" applyFont="1" applyBorder="1" applyAlignment="1">
      <alignment horizontal="center" vertical="center" wrapText="1"/>
    </xf>
    <xf numFmtId="0" fontId="11" fillId="5" borderId="0" xfId="0" applyFont="1" applyFill="1" applyBorder="1" applyAlignment="1">
      <alignment horizontal="center"/>
    </xf>
    <xf numFmtId="0" fontId="12" fillId="5" borderId="0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8F3FE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25213</xdr:rowOff>
    </xdr:from>
    <xdr:to>
      <xdr:col>1</xdr:col>
      <xdr:colOff>1936750</xdr:colOff>
      <xdr:row>1</xdr:row>
      <xdr:rowOff>732364</xdr:rowOff>
    </xdr:to>
    <xdr:pic>
      <xdr:nvPicPr>
        <xdr:cNvPr id="5" name="图片 4">
          <a:extLst>
            <a:ext uri="{FF2B5EF4-FFF2-40B4-BE49-F238E27FC236}">
              <a16:creationId xmlns="" xmlns:a16="http://schemas.microsoft.com/office/drawing/2014/main" id="{A632BE68-B760-49A9-91FD-3F6FDBF52A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99" b="14120"/>
        <a:stretch/>
      </xdr:blipFill>
      <xdr:spPr>
        <a:xfrm>
          <a:off x="0" y="698313"/>
          <a:ext cx="3888317" cy="707151"/>
        </a:xfrm>
        <a:prstGeom prst="rect">
          <a:avLst/>
        </a:prstGeom>
      </xdr:spPr>
    </xdr:pic>
    <xdr:clientData/>
  </xdr:twoCellAnchor>
  <xdr:twoCellAnchor>
    <xdr:from>
      <xdr:col>0</xdr:col>
      <xdr:colOff>984786</xdr:colOff>
      <xdr:row>1</xdr:row>
      <xdr:rowOff>266569</xdr:rowOff>
    </xdr:from>
    <xdr:to>
      <xdr:col>1</xdr:col>
      <xdr:colOff>926550</xdr:colOff>
      <xdr:row>1</xdr:row>
      <xdr:rowOff>556192</xdr:rowOff>
    </xdr:to>
    <xdr:sp macro="" textlink="">
      <xdr:nvSpPr>
        <xdr:cNvPr id="6" name="文本框 5">
          <a:extLst>
            <a:ext uri="{FF2B5EF4-FFF2-40B4-BE49-F238E27FC236}">
              <a16:creationId xmlns="" xmlns:a16="http://schemas.microsoft.com/office/drawing/2014/main" id="{CC515FB5-9236-4113-9029-309440E28370}"/>
            </a:ext>
          </a:extLst>
        </xdr:cNvPr>
        <xdr:cNvSpPr txBox="1"/>
      </xdr:nvSpPr>
      <xdr:spPr>
        <a:xfrm>
          <a:off x="984786" y="939669"/>
          <a:ext cx="1893331" cy="28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2000">
              <a:solidFill>
                <a:schemeClr val="accent5">
                  <a:lumMod val="75000"/>
                </a:schemeClr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</a:rPr>
            <a:t>2023</a:t>
          </a:r>
          <a:r>
            <a:rPr lang="zh-CN" altLang="en-US" sz="2000">
              <a:solidFill>
                <a:schemeClr val="accent5">
                  <a:lumMod val="75000"/>
                </a:schemeClr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</a:rPr>
            <a:t>年</a:t>
          </a:r>
          <a:r>
            <a:rPr lang="en-US" altLang="zh-CN" sz="2000">
              <a:solidFill>
                <a:schemeClr val="accent5">
                  <a:lumMod val="75000"/>
                </a:schemeClr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</a:rPr>
            <a:t>2</a:t>
          </a:r>
          <a:r>
            <a:rPr lang="zh-CN" altLang="en-US" sz="2000">
              <a:solidFill>
                <a:schemeClr val="accent5">
                  <a:lumMod val="75000"/>
                </a:schemeClr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</a:rPr>
            <a:t>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tabSelected="1" zoomScale="80" zoomScaleNormal="80" workbookViewId="0">
      <pane ySplit="3" topLeftCell="A7" activePane="bottomLeft" state="frozen"/>
      <selection pane="bottomLeft" activeCell="A11" sqref="A11:L11"/>
    </sheetView>
  </sheetViews>
  <sheetFormatPr defaultColWidth="9" defaultRowHeight="14" x14ac:dyDescent="0.3"/>
  <cols>
    <col min="1" max="1" width="7.25" style="1" customWidth="1"/>
    <col min="2" max="2" width="19.33203125" style="1" customWidth="1"/>
    <col min="3" max="3" width="15.33203125" style="1" customWidth="1"/>
    <col min="4" max="11" width="12.33203125" style="14" customWidth="1"/>
    <col min="12" max="12" width="65.33203125" style="1" customWidth="1"/>
    <col min="13" max="16384" width="9" style="1"/>
  </cols>
  <sheetData>
    <row r="1" spans="1:12" ht="33.75" customHeight="1" x14ac:dyDescent="0.3">
      <c r="A1" s="25" t="s">
        <v>29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ht="18" customHeight="1" x14ac:dyDescent="0.3">
      <c r="A2" s="23" t="s">
        <v>0</v>
      </c>
      <c r="B2" s="23" t="s">
        <v>1</v>
      </c>
      <c r="C2" s="23" t="s">
        <v>2</v>
      </c>
      <c r="D2" s="28" t="s">
        <v>13</v>
      </c>
      <c r="E2" s="29"/>
      <c r="F2" s="29"/>
      <c r="G2" s="30"/>
      <c r="H2" s="28" t="s">
        <v>14</v>
      </c>
      <c r="I2" s="29"/>
      <c r="J2" s="29"/>
      <c r="K2" s="30"/>
      <c r="L2" s="24" t="s">
        <v>12</v>
      </c>
    </row>
    <row r="3" spans="1:12" ht="18" customHeight="1" x14ac:dyDescent="0.3">
      <c r="A3" s="23"/>
      <c r="B3" s="23"/>
      <c r="C3" s="23"/>
      <c r="D3" s="16">
        <v>2021</v>
      </c>
      <c r="E3" s="12" t="s">
        <v>10</v>
      </c>
      <c r="F3" s="12" t="s">
        <v>11</v>
      </c>
      <c r="G3" s="12" t="s">
        <v>20</v>
      </c>
      <c r="H3" s="16">
        <v>2021</v>
      </c>
      <c r="I3" s="12" t="s">
        <v>10</v>
      </c>
      <c r="J3" s="12" t="s">
        <v>11</v>
      </c>
      <c r="K3" s="12" t="s">
        <v>20</v>
      </c>
      <c r="L3" s="24"/>
    </row>
    <row r="4" spans="1:12" ht="52" customHeight="1" x14ac:dyDescent="0.3">
      <c r="A4" s="2" t="s">
        <v>8</v>
      </c>
      <c r="B4" s="3" t="s">
        <v>30</v>
      </c>
      <c r="C4" s="4" t="s">
        <v>24</v>
      </c>
      <c r="D4" s="13">
        <v>0.84</v>
      </c>
      <c r="E4" s="13">
        <v>0.85</v>
      </c>
      <c r="F4" s="13">
        <v>1</v>
      </c>
      <c r="G4" s="13">
        <v>1.29</v>
      </c>
      <c r="H4" s="13">
        <v>31.83</v>
      </c>
      <c r="I4" s="13">
        <v>31.44</v>
      </c>
      <c r="J4" s="13">
        <v>26.82</v>
      </c>
      <c r="K4" s="13">
        <v>20.67</v>
      </c>
      <c r="L4" s="2" t="s">
        <v>21</v>
      </c>
    </row>
    <row r="5" spans="1:12" s="15" customFormat="1" ht="92.25" customHeight="1" x14ac:dyDescent="0.3">
      <c r="A5" s="17" t="s">
        <v>31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9"/>
    </row>
    <row r="6" spans="1:12" ht="52" customHeight="1" x14ac:dyDescent="0.3">
      <c r="A6" s="2" t="s">
        <v>23</v>
      </c>
      <c r="B6" s="3" t="s">
        <v>32</v>
      </c>
      <c r="C6" s="4" t="s">
        <v>17</v>
      </c>
      <c r="D6" s="13">
        <v>6.02</v>
      </c>
      <c r="E6" s="13">
        <v>6.91</v>
      </c>
      <c r="F6" s="13">
        <v>8.11</v>
      </c>
      <c r="G6" s="13">
        <v>9.44</v>
      </c>
      <c r="H6" s="13">
        <v>34.29</v>
      </c>
      <c r="I6" s="13">
        <v>29.87</v>
      </c>
      <c r="J6" s="13">
        <v>25.45</v>
      </c>
      <c r="K6" s="13">
        <v>21.87</v>
      </c>
      <c r="L6" s="2" t="s">
        <v>18</v>
      </c>
    </row>
    <row r="7" spans="1:12" ht="112" customHeight="1" x14ac:dyDescent="0.3">
      <c r="A7" s="17" t="s">
        <v>33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9"/>
    </row>
    <row r="8" spans="1:12" ht="52" customHeight="1" x14ac:dyDescent="0.3">
      <c r="A8" s="2">
        <v>3</v>
      </c>
      <c r="B8" s="3" t="s">
        <v>34</v>
      </c>
      <c r="C8" s="4" t="s">
        <v>35</v>
      </c>
      <c r="D8" s="13">
        <v>0.56999999999999995</v>
      </c>
      <c r="E8" s="13">
        <v>0.78</v>
      </c>
      <c r="F8" s="13">
        <v>0.95</v>
      </c>
      <c r="G8" s="13">
        <v>1.1100000000000001</v>
      </c>
      <c r="H8" s="13">
        <v>18.8</v>
      </c>
      <c r="I8" s="13">
        <v>13.89</v>
      </c>
      <c r="J8" s="13">
        <v>11.39</v>
      </c>
      <c r="K8" s="13">
        <v>9.73</v>
      </c>
      <c r="L8" s="2" t="s">
        <v>36</v>
      </c>
    </row>
    <row r="9" spans="1:12" ht="111" customHeight="1" x14ac:dyDescent="0.3">
      <c r="A9" s="17" t="s">
        <v>58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9"/>
    </row>
    <row r="10" spans="1:12" ht="52" customHeight="1" x14ac:dyDescent="0.3">
      <c r="A10" s="2" t="s">
        <v>4</v>
      </c>
      <c r="B10" s="3" t="s">
        <v>37</v>
      </c>
      <c r="C10" s="4" t="s">
        <v>38</v>
      </c>
      <c r="D10" s="13">
        <v>1.67</v>
      </c>
      <c r="E10" s="13">
        <v>1.19</v>
      </c>
      <c r="F10" s="13">
        <v>1.63</v>
      </c>
      <c r="G10" s="13">
        <v>2.12</v>
      </c>
      <c r="H10" s="13">
        <v>14.71</v>
      </c>
      <c r="I10" s="13">
        <v>20.56</v>
      </c>
      <c r="J10" s="13">
        <v>15.03</v>
      </c>
      <c r="K10" s="13">
        <v>11.58</v>
      </c>
      <c r="L10" s="2" t="s">
        <v>40</v>
      </c>
    </row>
    <row r="11" spans="1:12" ht="108.75" customHeight="1" x14ac:dyDescent="0.3">
      <c r="A11" s="17" t="s">
        <v>39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</row>
    <row r="12" spans="1:12" ht="52" customHeight="1" x14ac:dyDescent="0.3">
      <c r="A12" s="2" t="s">
        <v>16</v>
      </c>
      <c r="B12" s="3" t="s">
        <v>41</v>
      </c>
      <c r="C12" s="4" t="s">
        <v>42</v>
      </c>
      <c r="D12" s="13">
        <v>1.66</v>
      </c>
      <c r="E12" s="13">
        <v>1.83</v>
      </c>
      <c r="F12" s="13">
        <v>2</v>
      </c>
      <c r="G12" s="13">
        <v>2.4300000000000002</v>
      </c>
      <c r="H12" s="13">
        <v>14.05</v>
      </c>
      <c r="I12" s="13">
        <v>12.73</v>
      </c>
      <c r="J12" s="13">
        <v>11.66</v>
      </c>
      <c r="K12" s="13">
        <v>9.6199999999999992</v>
      </c>
      <c r="L12" s="2" t="s">
        <v>44</v>
      </c>
    </row>
    <row r="13" spans="1:12" ht="107.5" customHeight="1" x14ac:dyDescent="0.3">
      <c r="A13" s="17" t="s">
        <v>43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</row>
    <row r="14" spans="1:12" ht="52" customHeight="1" x14ac:dyDescent="0.3">
      <c r="A14" s="2" t="s">
        <v>5</v>
      </c>
      <c r="B14" s="3" t="s">
        <v>45</v>
      </c>
      <c r="C14" s="4" t="s">
        <v>25</v>
      </c>
      <c r="D14" s="13">
        <v>0.59</v>
      </c>
      <c r="E14" s="13">
        <v>0.88</v>
      </c>
      <c r="F14" s="13">
        <v>1.17</v>
      </c>
      <c r="G14" s="13">
        <v>1.63</v>
      </c>
      <c r="H14" s="13">
        <v>94.9</v>
      </c>
      <c r="I14" s="13">
        <v>63.95</v>
      </c>
      <c r="J14" s="13">
        <v>48.06</v>
      </c>
      <c r="K14" s="13">
        <v>34.520000000000003</v>
      </c>
      <c r="L14" s="2" t="s">
        <v>27</v>
      </c>
    </row>
    <row r="15" spans="1:12" ht="102.75" customHeight="1" x14ac:dyDescent="0.3">
      <c r="A15" s="17" t="s">
        <v>46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ht="52" customHeight="1" x14ac:dyDescent="0.3">
      <c r="A16" s="2" t="s">
        <v>6</v>
      </c>
      <c r="B16" s="3" t="s">
        <v>47</v>
      </c>
      <c r="C16" s="4" t="s">
        <v>48</v>
      </c>
      <c r="D16" s="13">
        <v>1.3</v>
      </c>
      <c r="E16" s="13">
        <v>1.31</v>
      </c>
      <c r="F16" s="13">
        <v>1.51</v>
      </c>
      <c r="G16" s="13">
        <v>1.73</v>
      </c>
      <c r="H16" s="13">
        <v>10.91</v>
      </c>
      <c r="I16" s="13">
        <v>10.8</v>
      </c>
      <c r="J16" s="13">
        <v>9.39</v>
      </c>
      <c r="K16" s="13">
        <v>8.19</v>
      </c>
      <c r="L16" s="2" t="s">
        <v>28</v>
      </c>
    </row>
    <row r="17" spans="1:12" ht="92.25" customHeight="1" x14ac:dyDescent="0.3">
      <c r="A17" s="17" t="s">
        <v>49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ht="52" customHeight="1" x14ac:dyDescent="0.3">
      <c r="A18" s="2">
        <v>8</v>
      </c>
      <c r="B18" s="3" t="s">
        <v>51</v>
      </c>
      <c r="C18" s="4" t="s">
        <v>50</v>
      </c>
      <c r="D18" s="13">
        <v>1.22</v>
      </c>
      <c r="E18" s="13">
        <v>0.61</v>
      </c>
      <c r="F18" s="13">
        <v>0.98</v>
      </c>
      <c r="G18" s="13">
        <v>1.19</v>
      </c>
      <c r="H18" s="13">
        <v>11.58</v>
      </c>
      <c r="I18" s="13">
        <v>23.19</v>
      </c>
      <c r="J18" s="13">
        <v>14.32</v>
      </c>
      <c r="K18" s="13">
        <v>11.88</v>
      </c>
      <c r="L18" s="2" t="s">
        <v>44</v>
      </c>
    </row>
    <row r="19" spans="1:12" ht="92.25" customHeight="1" x14ac:dyDescent="0.3">
      <c r="A19" s="17" t="s">
        <v>52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ht="52" customHeight="1" x14ac:dyDescent="0.3">
      <c r="A20" s="2" t="s">
        <v>7</v>
      </c>
      <c r="B20" s="3" t="s">
        <v>53</v>
      </c>
      <c r="C20" s="4" t="s">
        <v>54</v>
      </c>
      <c r="D20" s="13">
        <v>2.2999999999999998</v>
      </c>
      <c r="E20" s="13">
        <v>3.44</v>
      </c>
      <c r="F20" s="13">
        <v>4.84</v>
      </c>
      <c r="G20" s="13">
        <v>6.66</v>
      </c>
      <c r="H20" s="13">
        <v>71.010000000000005</v>
      </c>
      <c r="I20" s="13">
        <v>47.51</v>
      </c>
      <c r="J20" s="13">
        <v>33.74</v>
      </c>
      <c r="K20" s="13">
        <v>24.52</v>
      </c>
      <c r="L20" s="2" t="s">
        <v>57</v>
      </c>
    </row>
    <row r="21" spans="1:12" ht="92.25" customHeight="1" x14ac:dyDescent="0.3">
      <c r="A21" s="17" t="s">
        <v>55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ht="52" customHeight="1" x14ac:dyDescent="0.3">
      <c r="A22" s="2" t="s">
        <v>9</v>
      </c>
      <c r="B22" s="3" t="s">
        <v>26</v>
      </c>
      <c r="C22" s="4" t="s">
        <v>19</v>
      </c>
      <c r="D22" s="13">
        <v>5.77</v>
      </c>
      <c r="E22" s="13">
        <v>5.8</v>
      </c>
      <c r="F22" s="13">
        <v>11.51</v>
      </c>
      <c r="G22" s="13">
        <v>13.14</v>
      </c>
      <c r="H22" s="13">
        <v>8.09</v>
      </c>
      <c r="I22" s="13">
        <v>8.0500000000000007</v>
      </c>
      <c r="J22" s="13">
        <v>4.0599999999999996</v>
      </c>
      <c r="K22" s="13">
        <v>3.55</v>
      </c>
      <c r="L22" s="2" t="s">
        <v>22</v>
      </c>
    </row>
    <row r="23" spans="1:12" ht="108" customHeight="1" x14ac:dyDescent="0.3">
      <c r="A23" s="17" t="s">
        <v>56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ht="21" customHeight="1" x14ac:dyDescent="0.3">
      <c r="A24" s="20" t="s">
        <v>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2"/>
    </row>
  </sheetData>
  <mergeCells count="18">
    <mergeCell ref="A1:L1"/>
    <mergeCell ref="A5:L5"/>
    <mergeCell ref="A7:L7"/>
    <mergeCell ref="A9:L9"/>
    <mergeCell ref="H2:K2"/>
    <mergeCell ref="D2:G2"/>
    <mergeCell ref="A21:L21"/>
    <mergeCell ref="A23:L23"/>
    <mergeCell ref="A24:L24"/>
    <mergeCell ref="A2:A3"/>
    <mergeCell ref="B2:B3"/>
    <mergeCell ref="C2:C3"/>
    <mergeCell ref="L2:L3"/>
    <mergeCell ref="A11:L11"/>
    <mergeCell ref="A13:L13"/>
    <mergeCell ref="A15:L15"/>
    <mergeCell ref="A17:L17"/>
    <mergeCell ref="A19:L19"/>
  </mergeCells>
  <phoneticPr fontId="7" type="noConversion"/>
  <pageMargins left="0.7" right="0.7" top="0.75" bottom="0.75" header="0.3" footer="0.3"/>
  <pageSetup paperSize="9"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zoomScale="150" zoomScaleNormal="150" workbookViewId="0">
      <selection activeCell="C2" sqref="C2"/>
    </sheetView>
  </sheetViews>
  <sheetFormatPr defaultColWidth="9" defaultRowHeight="14" x14ac:dyDescent="0.3"/>
  <cols>
    <col min="1" max="2" width="25.58203125" style="8" customWidth="1"/>
    <col min="3" max="3" width="9" style="10"/>
    <col min="4" max="16384" width="9" style="8"/>
  </cols>
  <sheetData>
    <row r="1" spans="1:37" ht="53.15" customHeight="1" x14ac:dyDescent="1">
      <c r="A1" s="31" t="s">
        <v>15</v>
      </c>
      <c r="B1" s="32"/>
    </row>
    <row r="2" spans="1:37" s="9" customFormat="1" ht="58" customHeight="1" x14ac:dyDescent="0.3">
      <c r="A2" s="5"/>
      <c r="B2" s="6"/>
      <c r="C2" s="10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37" ht="44.5" customHeight="1" x14ac:dyDescent="0.3">
      <c r="A3" s="7" t="str">
        <f>金股推荐逻辑!B4</f>
        <v>春立医疗
688236</v>
      </c>
      <c r="B3" s="7" t="str">
        <f>金股推荐逻辑!C4</f>
        <v>医药</v>
      </c>
      <c r="C3" s="11"/>
    </row>
    <row r="4" spans="1:37" ht="44.5" customHeight="1" x14ac:dyDescent="0.3">
      <c r="A4" s="7" t="str">
        <f>金股推荐逻辑!B6</f>
        <v>五粮液
000858</v>
      </c>
      <c r="B4" s="7" t="str">
        <f>金股推荐逻辑!C6</f>
        <v>食品饮料</v>
      </c>
      <c r="C4" s="11"/>
    </row>
    <row r="5" spans="1:37" ht="44.5" customHeight="1" x14ac:dyDescent="0.3">
      <c r="A5" s="7" t="str">
        <f>金股推荐逻辑!B8</f>
        <v>岱美股份
603730</v>
      </c>
      <c r="B5" s="7" t="str">
        <f>金股推荐逻辑!C8</f>
        <v>汽车</v>
      </c>
      <c r="C5" s="11"/>
    </row>
    <row r="6" spans="1:37" ht="44.5" customHeight="1" x14ac:dyDescent="0.3">
      <c r="A6" s="7" t="str">
        <f>金股推荐逻辑!B10</f>
        <v>东方雨虹
002271</v>
      </c>
      <c r="B6" s="7" t="str">
        <f>金股推荐逻辑!C10</f>
        <v>建材</v>
      </c>
      <c r="C6" s="11"/>
    </row>
    <row r="7" spans="1:37" ht="44.5" customHeight="1" x14ac:dyDescent="0.3">
      <c r="A7" s="7" t="str">
        <f>金股推荐逻辑!B12</f>
        <v>长电科技
600584</v>
      </c>
      <c r="B7" s="7" t="str">
        <f>金股推荐逻辑!C12</f>
        <v>电子</v>
      </c>
      <c r="C7" s="11"/>
    </row>
    <row r="8" spans="1:37" ht="44.5" customHeight="1" x14ac:dyDescent="0.3">
      <c r="A8" s="7" t="str">
        <f>金股推荐逻辑!B14</f>
        <v>科大讯飞
002230</v>
      </c>
      <c r="B8" s="7" t="str">
        <f>金股推荐逻辑!C14</f>
        <v>计算机</v>
      </c>
      <c r="C8" s="11"/>
    </row>
    <row r="9" spans="1:37" ht="44.5" customHeight="1" x14ac:dyDescent="0.3">
      <c r="A9" s="7" t="str">
        <f>金股推荐逻辑!B16</f>
        <v>三七互娱
002555</v>
      </c>
      <c r="B9" s="7" t="str">
        <f>金股推荐逻辑!C16</f>
        <v>传媒</v>
      </c>
      <c r="C9" s="11"/>
    </row>
    <row r="10" spans="1:37" ht="44.5" customHeight="1" x14ac:dyDescent="0.3">
      <c r="A10" s="7" t="str">
        <f>金股推荐逻辑!B18</f>
        <v>生益科技
600183</v>
      </c>
      <c r="B10" s="7" t="str">
        <f>金股推荐逻辑!C18</f>
        <v>电子</v>
      </c>
      <c r="C10" s="11"/>
    </row>
    <row r="11" spans="1:37" ht="44.5" customHeight="1" x14ac:dyDescent="0.3">
      <c r="A11" s="7" t="str">
        <f>金股推荐逻辑!B20</f>
        <v>紫光国微
002049</v>
      </c>
      <c r="B11" s="7" t="str">
        <f>金股推荐逻辑!C20</f>
        <v>军工</v>
      </c>
      <c r="C11" s="11"/>
    </row>
    <row r="12" spans="1:37" ht="44.5" customHeight="1" x14ac:dyDescent="0.3">
      <c r="A12" s="7" t="str">
        <f>金股推荐逻辑!B22</f>
        <v>中国平安
 601318</v>
      </c>
      <c r="B12" s="7" t="str">
        <f>金股推荐逻辑!C22</f>
        <v>保险</v>
      </c>
      <c r="C12" s="11"/>
    </row>
    <row r="13" spans="1:37" s="10" customFormat="1" x14ac:dyDescent="0.3">
      <c r="A13" s="9"/>
      <c r="B13" s="9"/>
    </row>
  </sheetData>
  <mergeCells count="1">
    <mergeCell ref="A1:B1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金股推荐逻辑</vt:lpstr>
      <vt:lpstr>简表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</dc:creator>
  <cp:lastModifiedBy>荆子钰</cp:lastModifiedBy>
  <cp:lastPrinted>2020-09-30T02:20:00Z</cp:lastPrinted>
  <dcterms:created xsi:type="dcterms:W3CDTF">2019-03-27T09:02:00Z</dcterms:created>
  <dcterms:modified xsi:type="dcterms:W3CDTF">2023-01-31T01:03:24Z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2052-10.8.2.7119</vt:lpwstr>
  </property>
</Properties>
</file>