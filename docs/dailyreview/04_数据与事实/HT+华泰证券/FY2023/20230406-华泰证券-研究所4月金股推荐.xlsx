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图文产品\1产品-金股\"/>
    </mc:Choice>
  </mc:AlternateContent>
  <bookViews>
    <workbookView xWindow="8136" yWindow="0" windowWidth="11088" windowHeight="7548"/>
  </bookViews>
  <sheets>
    <sheet name="金股推荐逻辑" sheetId="1" r:id="rId1"/>
    <sheet name="简表" sheetId="7" r:id="rId2"/>
  </sheets>
  <definedNames>
    <definedName name="_xlnm._FilterDatabase" localSheetId="0" hidden="1">金股推荐逻辑!$B$1:$B$24</definedName>
  </definedNames>
  <calcPr calcId="152511"/>
</workbook>
</file>

<file path=xl/calcChain.xml><?xml version="1.0" encoding="utf-8"?>
<calcChain xmlns="http://schemas.openxmlformats.org/spreadsheetml/2006/main">
  <c r="A3" i="7" l="1"/>
  <c r="B3" i="7" l="1"/>
  <c r="B4" i="7"/>
  <c r="B5" i="7"/>
  <c r="B6" i="7"/>
  <c r="B7" i="7"/>
  <c r="B8" i="7"/>
  <c r="B9" i="7"/>
  <c r="B10" i="7"/>
  <c r="B11" i="7"/>
  <c r="B12" i="7"/>
  <c r="A12" i="7"/>
  <c r="A11" i="7"/>
  <c r="A10" i="7"/>
  <c r="A9" i="7"/>
  <c r="A8" i="7"/>
  <c r="A7" i="7"/>
  <c r="A6" i="7"/>
  <c r="A5" i="7"/>
  <c r="A4" i="7"/>
</calcChain>
</file>

<file path=xl/sharedStrings.xml><?xml version="1.0" encoding="utf-8"?>
<sst xmlns="http://schemas.openxmlformats.org/spreadsheetml/2006/main" count="63" uniqueCount="59">
  <si>
    <t>序号</t>
  </si>
  <si>
    <t>股票名称</t>
  </si>
  <si>
    <t>行业</t>
  </si>
  <si>
    <t>注：以上信息以华泰研究所最新发布的研报为准。</t>
  </si>
  <si>
    <t>4</t>
    <phoneticPr fontId="7" type="noConversion"/>
  </si>
  <si>
    <t>6</t>
    <phoneticPr fontId="7" type="noConversion"/>
  </si>
  <si>
    <t>7</t>
    <phoneticPr fontId="7" type="noConversion"/>
  </si>
  <si>
    <t>9</t>
    <phoneticPr fontId="7" type="noConversion"/>
  </si>
  <si>
    <t>1</t>
    <phoneticPr fontId="7" type="noConversion"/>
  </si>
  <si>
    <t>10</t>
    <phoneticPr fontId="7" type="noConversion"/>
  </si>
  <si>
    <t>2023E</t>
    <phoneticPr fontId="7" type="noConversion"/>
  </si>
  <si>
    <t>深度咨询</t>
    <phoneticPr fontId="7" type="noConversion"/>
  </si>
  <si>
    <t>EPS</t>
    <phoneticPr fontId="7" type="noConversion"/>
  </si>
  <si>
    <t>PE</t>
    <phoneticPr fontId="7" type="noConversion"/>
  </si>
  <si>
    <t>华泰研究 · 金股组合</t>
    <phoneticPr fontId="7" type="noConversion"/>
  </si>
  <si>
    <t>5</t>
    <phoneticPr fontId="7" type="noConversion"/>
  </si>
  <si>
    <t>2024E</t>
  </si>
  <si>
    <t>2</t>
    <phoneticPr fontId="7" type="noConversion"/>
  </si>
  <si>
    <t>余　熠 | 通信研究员 S0570520090002/BNC535
15827175844
yuyi@htsc.com</t>
    <phoneticPr fontId="7" type="noConversion"/>
  </si>
  <si>
    <t>谢春生 | 计算机首席 S0570519080006/BQZ938
13774410126
xiechunsheng@htsc.com</t>
    <phoneticPr fontId="7" type="noConversion"/>
  </si>
  <si>
    <t>庄汀洲 | 化工首席 S0570519040002/BQZ933
18800108341
zhuangtingzhou@htsc.com</t>
    <phoneticPr fontId="7" type="noConversion"/>
  </si>
  <si>
    <t>代　雯 | 大健康研究组负责人、医药首席 S0570516120002/BFI915
18817874390
daiwen@htsc.com</t>
    <phoneticPr fontId="7" type="noConversion"/>
  </si>
  <si>
    <t>代　雯 | 大健康研究组负责人、医药首席 S0570516120002/BFI915
18817874390
daiwen@htsc.com</t>
    <phoneticPr fontId="7" type="noConversion"/>
  </si>
  <si>
    <t>龚源月 | 食品饮料首席 S0570520100001/BQL737
15021256686
gongyuanyue@htsc.com</t>
    <phoneticPr fontId="7" type="noConversion"/>
  </si>
  <si>
    <t>方晏荷 | 建材首席 S0570517080007/BPW811
13918124864
fangyanhe@htsc.com</t>
    <phoneticPr fontId="7" type="noConversion"/>
  </si>
  <si>
    <t>电子</t>
    <phoneticPr fontId="7" type="noConversion"/>
  </si>
  <si>
    <t>通信</t>
    <phoneticPr fontId="7" type="noConversion"/>
  </si>
  <si>
    <t>计算机</t>
    <phoneticPr fontId="7" type="noConversion"/>
  </si>
  <si>
    <t>传媒</t>
    <phoneticPr fontId="7" type="noConversion"/>
  </si>
  <si>
    <t>化工</t>
    <phoneticPr fontId="7" type="noConversion"/>
  </si>
  <si>
    <t>医药</t>
    <phoneticPr fontId="7" type="noConversion"/>
  </si>
  <si>
    <t>食品饮料</t>
    <phoneticPr fontId="7" type="noConversion"/>
  </si>
  <si>
    <t>电新</t>
    <phoneticPr fontId="7" type="noConversion"/>
  </si>
  <si>
    <t>建材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</si>
  <si>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AI计算核心受益者，看好云服务设备业务成长。
1）近期头部企业加快对AI算力投资步伐，预计将带动GPU芯片和服务器等增长，公司是全球服务器存储器代工龙头，为微软、亚马逊、谷歌等多家第一梯队CSP的 AI 服务器与存储器供应商，直接受益于行业扩容和毛利率提升。
2）公司分红率超过54%，属于股息率稳健增长的行业龙头，估值水平处于消费电子板块均值，我们认为AI服务器催化下仍有估值提升空间。</t>
    </r>
    <r>
      <rPr>
        <b/>
        <sz val="10"/>
        <color rgb="FF000000"/>
        <rFont val="微软雅黑"/>
        <family val="2"/>
        <charset val="134"/>
      </rPr>
      <t xml:space="preserve">
相关研报：《受益AI大模型,看好云服务设备成长》2023-03-28</t>
    </r>
    <phoneticPr fontId="7" type="noConversion"/>
  </si>
  <si>
    <t>2022A/E</t>
    <phoneticPr fontId="7" type="noConversion"/>
  </si>
  <si>
    <t>华工科技
000988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</si>
  <si>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公司多板块业务稳健增长，其中800G光模块未来有望切入全球头部云厂商➕公司当前仍处于估值低位</t>
    </r>
    <r>
      <rPr>
        <b/>
        <sz val="10"/>
        <color rgb="FF000000"/>
        <rFont val="微软雅黑"/>
        <family val="2"/>
        <charset val="134"/>
      </rPr>
      <t xml:space="preserve">
相关研报：《主业持续成长，盈利能力改善》2023-03-01</t>
    </r>
    <phoneticPr fontId="7" type="noConversion"/>
  </si>
  <si>
    <t>恺英网络
002517</t>
    <phoneticPr fontId="7" type="noConversion"/>
  </si>
  <si>
    <t>康缘药业
600557</t>
    <phoneticPr fontId="7" type="noConversion"/>
  </si>
  <si>
    <t>东阿阿胶
000423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</si>
  <si>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公司基本面存在向上变化：1）华润系管理层履新，短中长期发展战略明晰；2）22年高质量报表（渠道库存恢复低位、减值风险出清，盈利能力修复），23年轻装上阵，业绩确定性高；3）维护价格带来渠道修复，23年营销将更加积极；4）23年存在外延并购、股权激励预期。</t>
    </r>
    <r>
      <rPr>
        <b/>
        <sz val="10"/>
        <color rgb="FF000000"/>
        <rFont val="微软雅黑"/>
        <family val="2"/>
        <charset val="134"/>
      </rPr>
      <t xml:space="preserve">
相关研报：《经营利润略增长，财务指标全面好转》2023-03-26</t>
    </r>
    <phoneticPr fontId="7" type="noConversion"/>
  </si>
  <si>
    <t>宁德时代
300750</t>
    <phoneticPr fontId="7" type="noConversion"/>
  </si>
  <si>
    <t>福莱特
601865</t>
    <phoneticPr fontId="7" type="noConversion"/>
  </si>
  <si>
    <t>华泰研究所4月金股推荐</t>
    <phoneticPr fontId="7" type="noConversion"/>
  </si>
  <si>
    <t>黄乐平 | TMT负责人、科技与电子首席 S0570521050001/AUZ066
14715372496
leping.huang@htsc.com</t>
    <phoneticPr fontId="7" type="noConversion"/>
  </si>
  <si>
    <t>工业富联
601138</t>
    <phoneticPr fontId="7" type="noConversion"/>
  </si>
  <si>
    <t>广联达
002410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</si>
  <si>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ChatGPT可能在以下方面对工业软件产生影响。1）信息搜索与归纳。内嵌或集成在工业软件中，实现网络信息的搜索、归纳、整理。2）软件需求分析和设计。用户输入需求信息，即可生成UML组件图，或帮助开发人员完成文档工作。3）优化工业软件设计和研发参数。利用ChatGPT的大模型技术，迁移训练出优化设计和研发参数的小模型。广联达具备AI+CAD技术积累，有望受益于产品力升级。</t>
    </r>
    <r>
      <rPr>
        <b/>
        <sz val="10"/>
        <color rgb="FF000000"/>
        <rFont val="微软雅黑"/>
        <family val="2"/>
        <charset val="134"/>
      </rPr>
      <t xml:space="preserve">
相关研报：《费控促利润高增，AI落地场景丰富》2023-03-26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</si>
  <si>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1)传奇/奇迹筑基，积极拓展品类，新品储备丰富，23年游戏行业复苏，公司业绩估值有望双升；2)VR领域抢先布局，游戏内容研发+硬件投资双轮驱动，VR产品有望年中上线。</t>
    </r>
    <r>
      <rPr>
        <b/>
        <sz val="10"/>
        <color rgb="FF000000"/>
        <rFont val="微软雅黑"/>
        <family val="2"/>
        <charset val="134"/>
      </rPr>
      <t xml:space="preserve">
相关研报：《传奇奇迹筑基，品类扩展+VR布局》2023-03-09</t>
    </r>
    <phoneticPr fontId="7" type="noConversion"/>
  </si>
  <si>
    <t>朱　珺 | 传媒互联网首席 S0570520040004/BPX711
18603077109
zhujun016731@htsc.com</t>
    <phoneticPr fontId="7" type="noConversion"/>
  </si>
  <si>
    <t>飞凯材料
300398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</si>
  <si>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中药创新药龙头之一，Q1业绩好，全年有望受益于呼吸疾病高发、创新中药放量、基药目录调整等多重催化。</t>
    </r>
    <r>
      <rPr>
        <b/>
        <sz val="10"/>
        <color rgb="FF000000"/>
        <rFont val="微软雅黑"/>
        <family val="2"/>
        <charset val="134"/>
      </rPr>
      <t xml:space="preserve">
相关研报：《创新成果丰硕，业绩量质齐升》2023-02-22</t>
    </r>
    <phoneticPr fontId="7" type="noConversion"/>
  </si>
  <si>
    <t>山西汾酒
600809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</si>
  <si>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当前股价压制因素已基本解除且悲观情绪已充分释放，建议加强配置：基本面改善趋势确立，市场秩序恢复、价格企稳回升、结构优化将渐次演绎，我们判断汾酒仍将实现超越同规模企业的发展速度。</t>
    </r>
    <r>
      <rPr>
        <b/>
        <sz val="10"/>
        <color rgb="FF000000"/>
        <rFont val="微软雅黑"/>
        <family val="2"/>
        <charset val="134"/>
      </rPr>
      <t xml:space="preserve">
相关研报：《调整之后再度迎来配置良机》2023-03-13</t>
    </r>
    <phoneticPr fontId="7" type="noConversion"/>
  </si>
  <si>
    <t>边文姣 | 电新组长 S0570518110004/BSJ399
13246620386
bianwenjiao@htsc.com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</si>
  <si>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动力储能电池龙头，技术成本优势领先，盈利能力同比改善，23年PE估值20倍出头</t>
    </r>
    <r>
      <rPr>
        <b/>
        <sz val="10"/>
        <color rgb="FF000000"/>
        <rFont val="微软雅黑"/>
        <family val="2"/>
        <charset val="134"/>
      </rPr>
      <t xml:space="preserve">
相关研报：《全球车储双龙头，业绩持续高增长》2023-03-10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</si>
  <si>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23Q1产能和销量增长较快，硅料跌价预期下装机需求有望高增长</t>
    </r>
    <r>
      <rPr>
        <b/>
        <sz val="10"/>
        <color rgb="FF000000"/>
        <rFont val="微软雅黑"/>
        <family val="2"/>
        <charset val="134"/>
      </rPr>
      <t xml:space="preserve">
相关研报：《Q4盈利环比改善, 规模稳步扩张》2023-03-28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</si>
  <si>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面板景气改善，半导体业务稳增</t>
    </r>
    <r>
      <rPr>
        <b/>
        <sz val="10"/>
        <color rgb="FF000000"/>
        <rFont val="微软雅黑"/>
        <family val="2"/>
        <charset val="134"/>
      </rPr>
      <t xml:space="preserve">
相关研报：《多元化新材料显优势，22年逆势增长》2023-3-31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</si>
</sst>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_);[Red]\(0.00\)"/>
  </numFmts>
  <fonts count="14" x14ac:knownFonts="1">
    <font>
      <sz val="11"/>
      <color theme="1"/>
      <name val="等线"/>
      <charset val="134"/>
    </font>
    <font>
      <b/>
      <sz val="18"/>
      <color rgb="FFFFFFFF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</font>
    <font>
      <sz val="18"/>
      <color rgb="FFFFFFFF"/>
      <name val="微软雅黑"/>
      <family val="2"/>
      <charset val="134"/>
    </font>
    <font>
      <sz val="14"/>
      <color rgb="FFFFFFFF"/>
      <name val="微软雅黑"/>
      <family val="2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176" fontId="0" fillId="6" borderId="0" xfId="0" applyNumberFormat="1" applyFill="1" applyBorder="1">
      <alignment vertical="center"/>
    </xf>
    <xf numFmtId="177" fontId="2" fillId="0" borderId="4" xfId="0" applyNumberFormat="1" applyFont="1" applyBorder="1" applyAlignment="1">
      <alignment horizontal="center" vertical="center" wrapText="1"/>
    </xf>
    <xf numFmtId="177" fontId="3" fillId="3" borderId="4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9" fontId="13" fillId="0" borderId="0" xfId="0" applyNumberFormat="1" applyFont="1">
      <alignment vertical="center"/>
    </xf>
    <xf numFmtId="0" fontId="2" fillId="0" borderId="4" xfId="0" applyNumberFormat="1" applyFont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25213</xdr:rowOff>
    </xdr:from>
    <xdr:to>
      <xdr:col>1</xdr:col>
      <xdr:colOff>1936750</xdr:colOff>
      <xdr:row>1</xdr:row>
      <xdr:rowOff>732364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A632BE68-B760-49A9-91FD-3F6FDBF52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99" b="14120"/>
        <a:stretch/>
      </xdr:blipFill>
      <xdr:spPr>
        <a:xfrm>
          <a:off x="0" y="698313"/>
          <a:ext cx="3888317" cy="707151"/>
        </a:xfrm>
        <a:prstGeom prst="rect">
          <a:avLst/>
        </a:prstGeom>
      </xdr:spPr>
    </xdr:pic>
    <xdr:clientData/>
  </xdr:twoCellAnchor>
  <xdr:twoCellAnchor>
    <xdr:from>
      <xdr:col>0</xdr:col>
      <xdr:colOff>984786</xdr:colOff>
      <xdr:row>1</xdr:row>
      <xdr:rowOff>266569</xdr:rowOff>
    </xdr:from>
    <xdr:to>
      <xdr:col>1</xdr:col>
      <xdr:colOff>926550</xdr:colOff>
      <xdr:row>1</xdr:row>
      <xdr:rowOff>556192</xdr:rowOff>
    </xdr:to>
    <xdr:sp macro="" textlink="">
      <xdr:nvSpPr>
        <xdr:cNvPr id="6" name="文本框 5">
          <a:extLst>
            <a:ext uri="{FF2B5EF4-FFF2-40B4-BE49-F238E27FC236}">
              <a16:creationId xmlns="" xmlns:a16="http://schemas.microsoft.com/office/drawing/2014/main" id="{CC515FB5-9236-4113-9029-309440E28370}"/>
            </a:ext>
          </a:extLst>
        </xdr:cNvPr>
        <xdr:cNvSpPr txBox="1"/>
      </xdr:nvSpPr>
      <xdr:spPr>
        <a:xfrm>
          <a:off x="984786" y="939669"/>
          <a:ext cx="1893331" cy="28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2023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年</a:t>
          </a:r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4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zoomScale="80" zoomScaleNormal="80" workbookViewId="0">
      <pane ySplit="3" topLeftCell="A10" activePane="bottomLeft" state="frozen"/>
      <selection pane="bottomLeft" activeCell="D12" sqref="D12:K12"/>
    </sheetView>
  </sheetViews>
  <sheetFormatPr defaultColWidth="9" defaultRowHeight="13.8" x14ac:dyDescent="0.25"/>
  <cols>
    <col min="1" max="1" width="7.21875" style="1" customWidth="1"/>
    <col min="2" max="2" width="14.44140625" style="1" customWidth="1"/>
    <col min="3" max="3" width="10.88671875" style="1" customWidth="1"/>
    <col min="4" max="11" width="10.88671875" style="14" customWidth="1"/>
    <col min="12" max="12" width="65.33203125" style="1" customWidth="1"/>
    <col min="13" max="16384" width="9" style="1"/>
  </cols>
  <sheetData>
    <row r="1" spans="1:12" ht="33.75" customHeight="1" x14ac:dyDescent="0.25">
      <c r="A1" s="25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8" customHeight="1" x14ac:dyDescent="0.25">
      <c r="A2" s="23" t="s">
        <v>0</v>
      </c>
      <c r="B2" s="23" t="s">
        <v>1</v>
      </c>
      <c r="C2" s="23" t="s">
        <v>2</v>
      </c>
      <c r="D2" s="28" t="s">
        <v>12</v>
      </c>
      <c r="E2" s="29"/>
      <c r="F2" s="29"/>
      <c r="G2" s="30"/>
      <c r="H2" s="28" t="s">
        <v>13</v>
      </c>
      <c r="I2" s="29"/>
      <c r="J2" s="29"/>
      <c r="K2" s="30"/>
      <c r="L2" s="24" t="s">
        <v>11</v>
      </c>
    </row>
    <row r="3" spans="1:12" ht="18" customHeight="1" x14ac:dyDescent="0.25">
      <c r="A3" s="23"/>
      <c r="B3" s="23"/>
      <c r="C3" s="23"/>
      <c r="D3" s="16">
        <v>2021</v>
      </c>
      <c r="E3" s="12" t="s">
        <v>35</v>
      </c>
      <c r="F3" s="12" t="s">
        <v>10</v>
      </c>
      <c r="G3" s="12" t="s">
        <v>16</v>
      </c>
      <c r="H3" s="16">
        <v>2021</v>
      </c>
      <c r="I3" s="12" t="s">
        <v>35</v>
      </c>
      <c r="J3" s="12" t="s">
        <v>10</v>
      </c>
      <c r="K3" s="12" t="s">
        <v>16</v>
      </c>
      <c r="L3" s="24"/>
    </row>
    <row r="4" spans="1:12" ht="52.05" customHeight="1" x14ac:dyDescent="0.25">
      <c r="A4" s="2" t="s">
        <v>8</v>
      </c>
      <c r="B4" s="3" t="s">
        <v>46</v>
      </c>
      <c r="C4" s="4" t="s">
        <v>25</v>
      </c>
      <c r="D4" s="13">
        <v>1.01</v>
      </c>
      <c r="E4" s="13">
        <v>1.01</v>
      </c>
      <c r="F4" s="13">
        <v>1.22</v>
      </c>
      <c r="G4" s="13">
        <v>1.31</v>
      </c>
      <c r="H4" s="13">
        <v>17.5</v>
      </c>
      <c r="I4" s="13">
        <v>17.440000000000001</v>
      </c>
      <c r="J4" s="13">
        <v>14.5</v>
      </c>
      <c r="K4" s="13">
        <v>13.51</v>
      </c>
      <c r="L4" s="2" t="s">
        <v>45</v>
      </c>
    </row>
    <row r="5" spans="1:12" s="15" customFormat="1" ht="92.25" customHeight="1" x14ac:dyDescent="0.25">
      <c r="A5" s="17" t="s">
        <v>34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9"/>
    </row>
    <row r="6" spans="1:12" ht="52.05" customHeight="1" x14ac:dyDescent="0.25">
      <c r="A6" s="2" t="s">
        <v>17</v>
      </c>
      <c r="B6" s="3" t="s">
        <v>36</v>
      </c>
      <c r="C6" s="4" t="s">
        <v>26</v>
      </c>
      <c r="D6" s="13">
        <v>0.76</v>
      </c>
      <c r="E6" s="13">
        <v>0.9</v>
      </c>
      <c r="F6" s="13">
        <v>1.2</v>
      </c>
      <c r="G6" s="13">
        <v>1.49</v>
      </c>
      <c r="H6" s="13">
        <v>27.77</v>
      </c>
      <c r="I6" s="13">
        <v>23.33</v>
      </c>
      <c r="J6" s="13">
        <v>17.510000000000002</v>
      </c>
      <c r="K6" s="13">
        <v>14.11</v>
      </c>
      <c r="L6" s="2" t="s">
        <v>18</v>
      </c>
    </row>
    <row r="7" spans="1:12" ht="112.05" customHeight="1" x14ac:dyDescent="0.25">
      <c r="A7" s="17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</row>
    <row r="8" spans="1:12" ht="52.05" customHeight="1" x14ac:dyDescent="0.25">
      <c r="A8" s="2">
        <v>3</v>
      </c>
      <c r="B8" s="3" t="s">
        <v>47</v>
      </c>
      <c r="C8" s="4" t="s">
        <v>27</v>
      </c>
      <c r="D8" s="13">
        <v>0.55000000000000004</v>
      </c>
      <c r="E8" s="13">
        <v>0.81</v>
      </c>
      <c r="F8" s="13">
        <v>1</v>
      </c>
      <c r="G8" s="13">
        <v>1.35</v>
      </c>
      <c r="H8" s="13">
        <v>117.16</v>
      </c>
      <c r="I8" s="13">
        <v>80.099999999999994</v>
      </c>
      <c r="J8" s="13">
        <v>64.959999999999994</v>
      </c>
      <c r="K8" s="13">
        <v>48.24</v>
      </c>
      <c r="L8" s="2" t="s">
        <v>19</v>
      </c>
    </row>
    <row r="9" spans="1:12" ht="111" customHeight="1" x14ac:dyDescent="0.25">
      <c r="A9" s="17" t="s">
        <v>48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2" ht="52.05" customHeight="1" x14ac:dyDescent="0.25">
      <c r="A10" s="2" t="s">
        <v>4</v>
      </c>
      <c r="B10" s="3" t="s">
        <v>38</v>
      </c>
      <c r="C10" s="4" t="s">
        <v>28</v>
      </c>
      <c r="D10" s="13">
        <v>0.27</v>
      </c>
      <c r="E10" s="13">
        <v>0.49</v>
      </c>
      <c r="F10" s="13">
        <v>0.64</v>
      </c>
      <c r="G10" s="13">
        <v>0.79</v>
      </c>
      <c r="H10" s="13">
        <v>32.729999999999997</v>
      </c>
      <c r="I10" s="13">
        <v>17.899999999999999</v>
      </c>
      <c r="J10" s="13">
        <v>13.62</v>
      </c>
      <c r="K10" s="13">
        <v>11.11</v>
      </c>
      <c r="L10" s="2" t="s">
        <v>50</v>
      </c>
    </row>
    <row r="11" spans="1:12" ht="108.75" customHeight="1" x14ac:dyDescent="0.25">
      <c r="A11" s="17" t="s">
        <v>49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t="52.05" customHeight="1" x14ac:dyDescent="0.25">
      <c r="A12" s="2" t="s">
        <v>15</v>
      </c>
      <c r="B12" s="3" t="s">
        <v>51</v>
      </c>
      <c r="C12" s="4" t="s">
        <v>29</v>
      </c>
      <c r="D12" s="13">
        <v>0.73</v>
      </c>
      <c r="E12" s="13">
        <v>0.82</v>
      </c>
      <c r="F12" s="13">
        <v>0.98</v>
      </c>
      <c r="G12" s="13">
        <v>1.18</v>
      </c>
      <c r="H12" s="13">
        <v>27.69</v>
      </c>
      <c r="I12" s="13">
        <v>24.59</v>
      </c>
      <c r="J12" s="13">
        <v>20.69</v>
      </c>
      <c r="K12" s="13">
        <v>17.11</v>
      </c>
      <c r="L12" s="2" t="s">
        <v>20</v>
      </c>
    </row>
    <row r="13" spans="1:12" ht="107.55" customHeight="1" x14ac:dyDescent="0.25">
      <c r="A13" s="17" t="s">
        <v>58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ht="52.05" customHeight="1" x14ac:dyDescent="0.25">
      <c r="A14" s="2" t="s">
        <v>5</v>
      </c>
      <c r="B14" s="3" t="s">
        <v>39</v>
      </c>
      <c r="C14" s="4" t="s">
        <v>30</v>
      </c>
      <c r="D14" s="13">
        <v>0.55000000000000004</v>
      </c>
      <c r="E14" s="13">
        <v>0.74</v>
      </c>
      <c r="F14" s="13">
        <v>0.93</v>
      </c>
      <c r="G14" s="13">
        <v>1.1599999999999999</v>
      </c>
      <c r="H14" s="13">
        <v>46.8</v>
      </c>
      <c r="I14" s="13">
        <v>34.53</v>
      </c>
      <c r="J14" s="13">
        <v>27.61</v>
      </c>
      <c r="K14" s="13">
        <v>22.09</v>
      </c>
      <c r="L14" s="2" t="s">
        <v>21</v>
      </c>
    </row>
    <row r="15" spans="1:12" ht="102.75" customHeight="1" x14ac:dyDescent="0.25">
      <c r="A15" s="17" t="s">
        <v>52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ht="52.05" customHeight="1" x14ac:dyDescent="0.25">
      <c r="A16" s="2" t="s">
        <v>6</v>
      </c>
      <c r="B16" s="3" t="s">
        <v>40</v>
      </c>
      <c r="C16" s="4" t="s">
        <v>30</v>
      </c>
      <c r="D16" s="13">
        <v>0.67</v>
      </c>
      <c r="E16" s="13">
        <v>1.19</v>
      </c>
      <c r="F16" s="13">
        <v>1.49</v>
      </c>
      <c r="G16" s="13">
        <v>1.79</v>
      </c>
      <c r="H16" s="13">
        <v>67.27</v>
      </c>
      <c r="I16" s="13">
        <v>37.979999999999997</v>
      </c>
      <c r="J16" s="13">
        <v>30.39</v>
      </c>
      <c r="K16" s="13">
        <v>25.24</v>
      </c>
      <c r="L16" s="2" t="s">
        <v>22</v>
      </c>
    </row>
    <row r="17" spans="1:12" ht="92.25" customHeight="1" x14ac:dyDescent="0.25">
      <c r="A17" s="17" t="s">
        <v>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ht="52.05" customHeight="1" x14ac:dyDescent="0.25">
      <c r="A18" s="2">
        <v>8</v>
      </c>
      <c r="B18" s="3" t="s">
        <v>53</v>
      </c>
      <c r="C18" s="4" t="s">
        <v>31</v>
      </c>
      <c r="D18" s="13">
        <v>4.3600000000000003</v>
      </c>
      <c r="E18" s="13">
        <v>6.48</v>
      </c>
      <c r="F18" s="13">
        <v>8.42</v>
      </c>
      <c r="G18" s="13">
        <v>10.62</v>
      </c>
      <c r="H18" s="13">
        <v>62.27</v>
      </c>
      <c r="I18" s="13">
        <v>41.88</v>
      </c>
      <c r="J18" s="13">
        <v>32.19</v>
      </c>
      <c r="K18" s="13">
        <v>25.54</v>
      </c>
      <c r="L18" s="2" t="s">
        <v>23</v>
      </c>
    </row>
    <row r="19" spans="1:12" ht="92.25" customHeight="1" x14ac:dyDescent="0.25">
      <c r="A19" s="17" t="s">
        <v>54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52.05" customHeight="1" x14ac:dyDescent="0.25">
      <c r="A20" s="2" t="s">
        <v>7</v>
      </c>
      <c r="B20" s="3" t="s">
        <v>42</v>
      </c>
      <c r="C20" s="4" t="s">
        <v>32</v>
      </c>
      <c r="D20" s="13">
        <v>6.52</v>
      </c>
      <c r="E20" s="13">
        <v>12.58</v>
      </c>
      <c r="F20" s="13">
        <v>18.55</v>
      </c>
      <c r="G20" s="13">
        <v>25.01</v>
      </c>
      <c r="H20" s="13">
        <v>60.87</v>
      </c>
      <c r="I20" s="13">
        <v>31.56</v>
      </c>
      <c r="J20" s="13">
        <v>21.4</v>
      </c>
      <c r="K20" s="13">
        <v>15.88</v>
      </c>
      <c r="L20" s="2" t="s">
        <v>55</v>
      </c>
    </row>
    <row r="21" spans="1:12" ht="92.25" customHeight="1" x14ac:dyDescent="0.25">
      <c r="A21" s="17" t="s">
        <v>56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ht="52.05" customHeight="1" x14ac:dyDescent="0.25">
      <c r="A22" s="2" t="s">
        <v>9</v>
      </c>
      <c r="B22" s="3" t="s">
        <v>43</v>
      </c>
      <c r="C22" s="4" t="s">
        <v>33</v>
      </c>
      <c r="D22" s="13">
        <v>0.99</v>
      </c>
      <c r="E22" s="13">
        <v>0.99</v>
      </c>
      <c r="F22" s="13">
        <v>1.37</v>
      </c>
      <c r="G22" s="13">
        <v>1.85</v>
      </c>
      <c r="H22" s="13">
        <v>33.08</v>
      </c>
      <c r="I22" s="13">
        <v>33.03</v>
      </c>
      <c r="J22" s="13">
        <v>23.9</v>
      </c>
      <c r="K22" s="13">
        <v>17.63</v>
      </c>
      <c r="L22" s="2" t="s">
        <v>24</v>
      </c>
    </row>
    <row r="23" spans="1:12" ht="108" customHeight="1" x14ac:dyDescent="0.25">
      <c r="A23" s="17" t="s">
        <v>57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21" customHeight="1" x14ac:dyDescent="0.25">
      <c r="A24" s="20" t="s">
        <v>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2"/>
    </row>
  </sheetData>
  <mergeCells count="18">
    <mergeCell ref="A1:L1"/>
    <mergeCell ref="A5:L5"/>
    <mergeCell ref="A7:L7"/>
    <mergeCell ref="A9:L9"/>
    <mergeCell ref="H2:K2"/>
    <mergeCell ref="D2:G2"/>
    <mergeCell ref="A21:L21"/>
    <mergeCell ref="A23:L23"/>
    <mergeCell ref="A24:L24"/>
    <mergeCell ref="A2:A3"/>
    <mergeCell ref="B2:B3"/>
    <mergeCell ref="C2:C3"/>
    <mergeCell ref="L2:L3"/>
    <mergeCell ref="A11:L11"/>
    <mergeCell ref="A13:L13"/>
    <mergeCell ref="A15:L15"/>
    <mergeCell ref="A17:L17"/>
    <mergeCell ref="A19:L19"/>
  </mergeCells>
  <phoneticPr fontId="7" type="noConversion"/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zoomScale="150" zoomScaleNormal="150" workbookViewId="0">
      <selection activeCell="D2" sqref="D2"/>
    </sheetView>
  </sheetViews>
  <sheetFormatPr defaultColWidth="9" defaultRowHeight="13.8" x14ac:dyDescent="0.25"/>
  <cols>
    <col min="1" max="2" width="25.5546875" style="8" customWidth="1"/>
    <col min="3" max="3" width="9" style="10"/>
    <col min="4" max="16384" width="9" style="8"/>
  </cols>
  <sheetData>
    <row r="1" spans="1:37" ht="53.1" customHeight="1" x14ac:dyDescent="0.85">
      <c r="A1" s="31" t="s">
        <v>14</v>
      </c>
      <c r="B1" s="32"/>
    </row>
    <row r="2" spans="1:37" s="9" customFormat="1" ht="58.05" customHeight="1" x14ac:dyDescent="0.25">
      <c r="A2" s="5"/>
      <c r="B2" s="6"/>
      <c r="C2" s="1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44.55" customHeight="1" x14ac:dyDescent="0.25">
      <c r="A3" s="7" t="str">
        <f>金股推荐逻辑!B4</f>
        <v>工业富联
601138</v>
      </c>
      <c r="B3" s="7" t="str">
        <f>金股推荐逻辑!C4</f>
        <v>电子</v>
      </c>
      <c r="C3" s="11"/>
    </row>
    <row r="4" spans="1:37" ht="44.55" customHeight="1" x14ac:dyDescent="0.25">
      <c r="A4" s="7" t="str">
        <f>金股推荐逻辑!B6</f>
        <v>华工科技
000988</v>
      </c>
      <c r="B4" s="7" t="str">
        <f>金股推荐逻辑!C6</f>
        <v>通信</v>
      </c>
      <c r="C4" s="11"/>
    </row>
    <row r="5" spans="1:37" ht="44.55" customHeight="1" x14ac:dyDescent="0.25">
      <c r="A5" s="7" t="str">
        <f>金股推荐逻辑!B8</f>
        <v>广联达
002410</v>
      </c>
      <c r="B5" s="7" t="str">
        <f>金股推荐逻辑!C8</f>
        <v>计算机</v>
      </c>
      <c r="C5" s="11"/>
    </row>
    <row r="6" spans="1:37" ht="44.55" customHeight="1" x14ac:dyDescent="0.25">
      <c r="A6" s="7" t="str">
        <f>金股推荐逻辑!B10</f>
        <v>恺英网络
002517</v>
      </c>
      <c r="B6" s="7" t="str">
        <f>金股推荐逻辑!C10</f>
        <v>传媒</v>
      </c>
      <c r="C6" s="11"/>
    </row>
    <row r="7" spans="1:37" ht="44.55" customHeight="1" x14ac:dyDescent="0.25">
      <c r="A7" s="7" t="str">
        <f>金股推荐逻辑!B12</f>
        <v>飞凯材料
300398</v>
      </c>
      <c r="B7" s="7" t="str">
        <f>金股推荐逻辑!C12</f>
        <v>化工</v>
      </c>
      <c r="C7" s="11"/>
    </row>
    <row r="8" spans="1:37" ht="44.55" customHeight="1" x14ac:dyDescent="0.25">
      <c r="A8" s="7" t="str">
        <f>金股推荐逻辑!B14</f>
        <v>康缘药业
600557</v>
      </c>
      <c r="B8" s="7" t="str">
        <f>金股推荐逻辑!C14</f>
        <v>医药</v>
      </c>
      <c r="C8" s="11"/>
    </row>
    <row r="9" spans="1:37" ht="44.55" customHeight="1" x14ac:dyDescent="0.25">
      <c r="A9" s="7" t="str">
        <f>金股推荐逻辑!B16</f>
        <v>东阿阿胶
000423</v>
      </c>
      <c r="B9" s="7" t="str">
        <f>金股推荐逻辑!C16</f>
        <v>医药</v>
      </c>
      <c r="C9" s="11"/>
    </row>
    <row r="10" spans="1:37" ht="44.55" customHeight="1" x14ac:dyDescent="0.25">
      <c r="A10" s="7" t="str">
        <f>金股推荐逻辑!B18</f>
        <v>山西汾酒
600809</v>
      </c>
      <c r="B10" s="7" t="str">
        <f>金股推荐逻辑!C18</f>
        <v>食品饮料</v>
      </c>
      <c r="C10" s="11"/>
    </row>
    <row r="11" spans="1:37" ht="44.55" customHeight="1" x14ac:dyDescent="0.25">
      <c r="A11" s="7" t="str">
        <f>金股推荐逻辑!B20</f>
        <v>宁德时代
300750</v>
      </c>
      <c r="B11" s="7" t="str">
        <f>金股推荐逻辑!C20</f>
        <v>电新</v>
      </c>
      <c r="C11" s="11"/>
    </row>
    <row r="12" spans="1:37" ht="44.55" customHeight="1" x14ac:dyDescent="0.25">
      <c r="A12" s="7" t="str">
        <f>金股推荐逻辑!B22</f>
        <v>福莱特
601865</v>
      </c>
      <c r="B12" s="7" t="str">
        <f>金股推荐逻辑!C22</f>
        <v>建材</v>
      </c>
      <c r="C12" s="11"/>
    </row>
    <row r="13" spans="1:37" s="10" customFormat="1" x14ac:dyDescent="0.25">
      <c r="A13" s="9"/>
      <c r="B13" s="9"/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金股推荐逻辑</vt:lpstr>
      <vt:lpstr>简表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2023-03-31T05:29:31Z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