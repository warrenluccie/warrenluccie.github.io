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hidePivotFieldList="1"/>
  <bookViews>
    <workbookView windowWidth="22400" windowHeight="10110"/>
  </bookViews>
  <sheets>
    <sheet name="美团系投资情况概览" sheetId="2" r:id="rId1"/>
    <sheet name="美团系投资_2020-2023" sheetId="5" r:id="rId2"/>
    <sheet name="美团系投资_Full" sheetId="1" r:id="rId3"/>
  </sheets>
  <definedNames>
    <definedName name="_xlnm._FilterDatabase" localSheetId="1" hidden="1">'美团系投资_2020-2023'!$B$1:$Y$508</definedName>
    <definedName name="_xlnm._FilterDatabase" localSheetId="2" hidden="1">美团系投资_Full!$B$1:$Y$508</definedName>
    <definedName name="_xlnm._FilterDatabase" localSheetId="0" hidden="1">美团系投资情况概览!$X$2:$X$62</definedName>
  </definedNames>
  <calcPr calcId="144525"/>
  <pivotCaches>
    <pivotCache cacheId="0" r:id="rId4"/>
  </pivotCaches>
</workbook>
</file>

<file path=xl/sharedStrings.xml><?xml version="1.0" encoding="utf-8"?>
<sst xmlns="http://schemas.openxmlformats.org/spreadsheetml/2006/main" count="7336" uniqueCount="2909">
  <si>
    <r>
      <rPr>
        <b/>
        <sz val="9"/>
        <color rgb="FF000000"/>
        <rFont val="楷体"/>
        <charset val="134"/>
      </rPr>
      <t>美团系</t>
    </r>
  </si>
  <si>
    <r>
      <rPr>
        <b/>
        <sz val="9"/>
        <color rgb="FF000000"/>
        <rFont val="楷体"/>
        <charset val="134"/>
      </rPr>
      <t>占比</t>
    </r>
  </si>
  <si>
    <r>
      <rPr>
        <b/>
        <sz val="9"/>
        <color rgb="FF000000"/>
        <rFont val="楷体"/>
        <charset val="134"/>
      </rPr>
      <t>美团</t>
    </r>
    <r>
      <rPr>
        <b/>
        <sz val="9"/>
        <color rgb="FF000000"/>
        <rFont val="Arial"/>
        <charset val="134"/>
      </rPr>
      <t>2020</t>
    </r>
    <r>
      <rPr>
        <b/>
        <sz val="9"/>
        <color rgb="FF000000"/>
        <rFont val="楷体"/>
        <charset val="134"/>
      </rPr>
      <t>年以来非上市企业投资案例分析</t>
    </r>
  </si>
  <si>
    <r>
      <rPr>
        <b/>
        <sz val="14"/>
        <color rgb="FFC00000"/>
        <rFont val="楷体"/>
        <charset val="134"/>
      </rPr>
      <t>【华泰互联网】美团系投资版图梳理</t>
    </r>
  </si>
  <si>
    <r>
      <rPr>
        <b/>
        <sz val="9"/>
        <color rgb="FF000000"/>
        <rFont val="楷体"/>
        <charset val="134"/>
      </rPr>
      <t>行业分布</t>
    </r>
  </si>
  <si>
    <r>
      <rPr>
        <b/>
        <sz val="9"/>
        <color rgb="FF000000"/>
        <rFont val="楷体"/>
        <charset val="134"/>
      </rPr>
      <t>时间分布</t>
    </r>
  </si>
  <si>
    <r>
      <rPr>
        <b/>
        <sz val="9"/>
        <color rgb="FF000000"/>
        <rFont val="楷体"/>
        <charset val="134"/>
      </rPr>
      <t>公司名称</t>
    </r>
  </si>
  <si>
    <r>
      <rPr>
        <b/>
        <sz val="9"/>
        <color rgb="FF000000"/>
        <rFont val="楷体"/>
        <charset val="134"/>
      </rPr>
      <t>行业</t>
    </r>
  </si>
  <si>
    <r>
      <rPr>
        <b/>
        <sz val="9"/>
        <color rgb="FF000000"/>
        <rFont val="楷体"/>
        <charset val="134"/>
      </rPr>
      <t>子行业</t>
    </r>
  </si>
  <si>
    <r>
      <rPr>
        <b/>
        <sz val="9"/>
        <color rgb="FF000000"/>
        <rFont val="楷体"/>
        <charset val="134"/>
      </rPr>
      <t>最新投资估值</t>
    </r>
  </si>
  <si>
    <r>
      <rPr>
        <sz val="9"/>
        <color rgb="FF000000"/>
        <rFont val="楷体"/>
        <charset val="134"/>
      </rPr>
      <t>本地生活</t>
    </r>
  </si>
  <si>
    <r>
      <t>2013</t>
    </r>
    <r>
      <rPr>
        <sz val="9"/>
        <color rgb="FF000000"/>
        <rFont val="楷体"/>
        <charset val="134"/>
      </rPr>
      <t>年及以前</t>
    </r>
  </si>
  <si>
    <r>
      <rPr>
        <sz val="9"/>
        <rFont val="楷体"/>
        <charset val="134"/>
      </rPr>
      <t>哗啦啦</t>
    </r>
  </si>
  <si>
    <r>
      <rPr>
        <sz val="9"/>
        <color rgb="FF000000"/>
        <rFont val="楷体"/>
        <charset val="134"/>
      </rPr>
      <t>本地生活</t>
    </r>
  </si>
  <si>
    <r>
      <rPr>
        <sz val="9"/>
        <color rgb="FF000000"/>
        <rFont val="楷体"/>
        <charset val="134"/>
      </rPr>
      <t>餐饮业</t>
    </r>
  </si>
  <si>
    <r>
      <rPr>
        <sz val="9"/>
        <color rgb="FF000000"/>
        <rFont val="楷体"/>
        <charset val="134"/>
      </rPr>
      <t>未透露</t>
    </r>
  </si>
  <si>
    <t>Row Labels</t>
  </si>
  <si>
    <r>
      <t xml:space="preserve">Count of </t>
    </r>
    <r>
      <rPr>
        <sz val="9"/>
        <color rgb="FF000000"/>
        <rFont val="楷体"/>
        <charset val="134"/>
      </rPr>
      <t>行业</t>
    </r>
  </si>
  <si>
    <r>
      <rPr>
        <b/>
        <sz val="9"/>
        <color theme="1"/>
        <rFont val="楷体"/>
        <charset val="134"/>
      </rPr>
      <t>夏路路</t>
    </r>
    <r>
      <rPr>
        <b/>
        <sz val="9"/>
        <color theme="1"/>
        <rFont val="Arial"/>
        <charset val="134"/>
      </rPr>
      <t>Jonos - SFC No. BTP154</t>
    </r>
  </si>
  <si>
    <r>
      <rPr>
        <sz val="9"/>
        <color rgb="FF000000"/>
        <rFont val="楷体"/>
        <charset val="134"/>
      </rPr>
      <t>先进制造</t>
    </r>
  </si>
  <si>
    <t>Swiggy</t>
  </si>
  <si>
    <r>
      <t>695.5</t>
    </r>
    <r>
      <rPr>
        <sz val="9"/>
        <color rgb="FF000000"/>
        <rFont val="楷体"/>
        <charset val="134"/>
      </rPr>
      <t>亿元</t>
    </r>
  </si>
  <si>
    <r>
      <rPr>
        <sz val="9"/>
        <color rgb="FFC00000"/>
        <rFont val="楷体"/>
        <charset val="134"/>
      </rPr>
      <t>本地生活</t>
    </r>
  </si>
  <si>
    <r>
      <rPr>
        <sz val="9"/>
        <color rgb="FF000000"/>
        <rFont val="楷体"/>
        <charset val="134"/>
      </rPr>
      <t>电商零售</t>
    </r>
  </si>
  <si>
    <r>
      <rPr>
        <sz val="9"/>
        <rFont val="楷体"/>
        <charset val="134"/>
      </rPr>
      <t>乐禾食品</t>
    </r>
  </si>
  <si>
    <r>
      <t>18</t>
    </r>
    <r>
      <rPr>
        <sz val="9"/>
        <color rgb="FF000000"/>
        <rFont val="楷体"/>
        <charset val="134"/>
      </rPr>
      <t>亿元</t>
    </r>
  </si>
  <si>
    <r>
      <rPr>
        <sz val="9"/>
        <color rgb="FFC00000"/>
        <rFont val="楷体"/>
        <charset val="134"/>
      </rPr>
      <t>电商零售</t>
    </r>
  </si>
  <si>
    <r>
      <rPr>
        <sz val="9"/>
        <color rgb="FF000000"/>
        <rFont val="楷体"/>
        <charset val="134"/>
      </rPr>
      <t>企业服务</t>
    </r>
  </si>
  <si>
    <r>
      <t>Manner</t>
    </r>
    <r>
      <rPr>
        <sz val="9"/>
        <color rgb="FF000000"/>
        <rFont val="楷体"/>
        <charset val="134"/>
      </rPr>
      <t>咖啡</t>
    </r>
  </si>
  <si>
    <r>
      <t>162.5</t>
    </r>
    <r>
      <rPr>
        <sz val="9"/>
        <color rgb="FF000000"/>
        <rFont val="楷体"/>
        <charset val="134"/>
      </rPr>
      <t>亿元</t>
    </r>
  </si>
  <si>
    <r>
      <rPr>
        <sz val="9"/>
        <rFont val="楷体"/>
        <charset val="134"/>
      </rPr>
      <t>企业服务</t>
    </r>
  </si>
  <si>
    <r>
      <t>2020</t>
    </r>
    <r>
      <rPr>
        <b/>
        <sz val="10"/>
        <color theme="1"/>
        <rFont val="楷体"/>
        <charset val="134"/>
      </rPr>
      <t>年以来美团投资非上市企业行业分布</t>
    </r>
  </si>
  <si>
    <r>
      <t>2020</t>
    </r>
    <r>
      <rPr>
        <b/>
        <sz val="10"/>
        <color theme="1"/>
        <rFont val="楷体"/>
        <charset val="134"/>
      </rPr>
      <t>年以来美团系投资数量时间分布</t>
    </r>
  </si>
  <si>
    <r>
      <rPr>
        <sz val="9"/>
        <color rgb="FF000000"/>
        <rFont val="楷体"/>
        <charset val="134"/>
      </rPr>
      <t>汽车交通</t>
    </r>
  </si>
  <si>
    <r>
      <rPr>
        <sz val="9"/>
        <color rgb="FF000000"/>
        <rFont val="楷体"/>
        <charset val="134"/>
      </rPr>
      <t>蜜雪冰城</t>
    </r>
  </si>
  <si>
    <r>
      <t>200</t>
    </r>
    <r>
      <rPr>
        <sz val="9"/>
        <color rgb="FF000000"/>
        <rFont val="楷体"/>
        <charset val="134"/>
      </rPr>
      <t>亿元</t>
    </r>
  </si>
  <si>
    <r>
      <rPr>
        <sz val="9"/>
        <rFont val="楷体"/>
        <charset val="134"/>
      </rPr>
      <t>汽车交通</t>
    </r>
  </si>
  <si>
    <r>
      <rPr>
        <sz val="9"/>
        <color rgb="FF000000"/>
        <rFont val="楷体"/>
        <charset val="134"/>
      </rPr>
      <t>文娱传媒</t>
    </r>
  </si>
  <si>
    <r>
      <rPr>
        <sz val="9"/>
        <color rgb="FF000000"/>
        <rFont val="楷体"/>
        <charset val="134"/>
      </rPr>
      <t>熊大爷</t>
    </r>
  </si>
  <si>
    <r>
      <t>1.5</t>
    </r>
    <r>
      <rPr>
        <sz val="9"/>
        <color rgb="FF000000"/>
        <rFont val="楷体"/>
        <charset val="134"/>
      </rPr>
      <t>亿元</t>
    </r>
  </si>
  <si>
    <r>
      <rPr>
        <sz val="9"/>
        <rFont val="楷体"/>
        <charset val="134"/>
      </rPr>
      <t>医疗健康</t>
    </r>
  </si>
  <si>
    <r>
      <rPr>
        <sz val="9"/>
        <color rgb="FF000000"/>
        <rFont val="楷体"/>
        <charset val="134"/>
      </rPr>
      <t>金融</t>
    </r>
  </si>
  <si>
    <r>
      <rPr>
        <sz val="9"/>
        <color rgb="FF000000"/>
        <rFont val="楷体"/>
        <charset val="134"/>
      </rPr>
      <t>顾思特汉堡</t>
    </r>
  </si>
  <si>
    <r>
      <rPr>
        <sz val="9"/>
        <rFont val="楷体"/>
        <charset val="134"/>
      </rPr>
      <t>房地产</t>
    </r>
  </si>
  <si>
    <r>
      <rPr>
        <sz val="9"/>
        <color rgb="FF000000"/>
        <rFont val="楷体"/>
        <charset val="134"/>
      </rPr>
      <t>医疗健康</t>
    </r>
  </si>
  <si>
    <r>
      <rPr>
        <sz val="9"/>
        <color rgb="FF000000"/>
        <rFont val="楷体"/>
        <charset val="134"/>
      </rPr>
      <t>易酒批</t>
    </r>
  </si>
  <si>
    <r>
      <rPr>
        <sz val="9"/>
        <color rgb="FF000000"/>
        <rFont val="楷体"/>
        <charset val="134"/>
      </rPr>
      <t>电商零售</t>
    </r>
  </si>
  <si>
    <r>
      <rPr>
        <sz val="9"/>
        <color rgb="FF000000"/>
        <rFont val="楷体"/>
        <charset val="134"/>
      </rPr>
      <t>食品饮料</t>
    </r>
  </si>
  <si>
    <r>
      <t>117</t>
    </r>
    <r>
      <rPr>
        <sz val="9"/>
        <color rgb="FF000000"/>
        <rFont val="楷体"/>
        <charset val="134"/>
      </rPr>
      <t>亿元</t>
    </r>
  </si>
  <si>
    <r>
      <rPr>
        <sz val="9"/>
        <color rgb="FFC00000"/>
        <rFont val="楷体"/>
        <charset val="134"/>
      </rPr>
      <t>先进制造</t>
    </r>
  </si>
  <si>
    <r>
      <rPr>
        <sz val="9"/>
        <color rgb="FF000000"/>
        <rFont val="楷体"/>
        <charset val="134"/>
      </rPr>
      <t>教育</t>
    </r>
  </si>
  <si>
    <r>
      <rPr>
        <sz val="9"/>
        <color rgb="FF000000"/>
        <rFont val="楷体"/>
        <charset val="134"/>
      </rPr>
      <t>飞鹅</t>
    </r>
  </si>
  <si>
    <r>
      <t>3C</t>
    </r>
    <r>
      <rPr>
        <sz val="9"/>
        <color rgb="FF000000"/>
        <rFont val="楷体"/>
        <charset val="134"/>
      </rPr>
      <t>电子</t>
    </r>
  </si>
  <si>
    <r>
      <rPr>
        <sz val="9"/>
        <color rgb="FF000000"/>
        <rFont val="楷体"/>
        <charset val="134"/>
      </rPr>
      <t>农业</t>
    </r>
  </si>
  <si>
    <r>
      <rPr>
        <sz val="9"/>
        <color rgb="FF000000"/>
        <rFont val="楷体"/>
        <charset val="134"/>
      </rPr>
      <t>旅游</t>
    </r>
  </si>
  <si>
    <r>
      <rPr>
        <sz val="9"/>
        <color rgb="FF000000"/>
        <rFont val="楷体"/>
        <charset val="134"/>
      </rPr>
      <t>认养一头牛</t>
    </r>
  </si>
  <si>
    <r>
      <rPr>
        <sz val="9"/>
        <color rgb="FF000000"/>
        <rFont val="楷体"/>
        <charset val="134"/>
      </rPr>
      <t>文娱传媒</t>
    </r>
  </si>
  <si>
    <r>
      <rPr>
        <sz val="9"/>
        <color rgb="FF000000"/>
        <rFont val="楷体"/>
        <charset val="134"/>
      </rPr>
      <t>农业</t>
    </r>
  </si>
  <si>
    <r>
      <rPr>
        <sz val="9"/>
        <color rgb="FF000000"/>
        <rFont val="楷体"/>
        <charset val="134"/>
      </rPr>
      <t>谊品生鲜</t>
    </r>
  </si>
  <si>
    <r>
      <rPr>
        <sz val="9"/>
        <color rgb="FF000000"/>
        <rFont val="楷体"/>
        <charset val="134"/>
      </rPr>
      <t>生鲜</t>
    </r>
  </si>
  <si>
    <r>
      <t>220</t>
    </r>
    <r>
      <rPr>
        <sz val="9"/>
        <color rgb="FF000000"/>
        <rFont val="楷体"/>
        <charset val="134"/>
      </rPr>
      <t>亿元</t>
    </r>
  </si>
  <si>
    <t>Grand Total</t>
  </si>
  <si>
    <r>
      <rPr>
        <sz val="9"/>
        <color rgb="FF000000"/>
        <rFont val="楷体"/>
        <charset val="134"/>
      </rPr>
      <t>房地产</t>
    </r>
  </si>
  <si>
    <r>
      <rPr>
        <sz val="9"/>
        <rFont val="楷体"/>
        <charset val="134"/>
      </rPr>
      <t>古茗茶饮</t>
    </r>
  </si>
  <si>
    <r>
      <rPr>
        <sz val="9"/>
        <color rgb="FF000000"/>
        <rFont val="楷体"/>
        <charset val="134"/>
      </rPr>
      <t>物流</t>
    </r>
  </si>
  <si>
    <r>
      <rPr>
        <sz val="9"/>
        <color rgb="FF000000"/>
        <rFont val="楷体"/>
        <charset val="134"/>
      </rPr>
      <t>怒喵科技</t>
    </r>
    <r>
      <rPr>
        <sz val="9"/>
        <color rgb="FF000000"/>
        <rFont val="Arial"/>
        <charset val="134"/>
      </rPr>
      <t>Angry Miao</t>
    </r>
  </si>
  <si>
    <r>
      <t>6.5</t>
    </r>
    <r>
      <rPr>
        <sz val="9"/>
        <color rgb="FF000000"/>
        <rFont val="楷体"/>
        <charset val="134"/>
      </rPr>
      <t>亿元</t>
    </r>
  </si>
  <si>
    <r>
      <rPr>
        <sz val="9"/>
        <rFont val="楷体"/>
        <charset val="134"/>
      </rPr>
      <t>墨茉点心局</t>
    </r>
  </si>
  <si>
    <r>
      <t>26</t>
    </r>
    <r>
      <rPr>
        <sz val="9"/>
        <color rgb="FF000000"/>
        <rFont val="楷体"/>
        <charset val="134"/>
      </rPr>
      <t>亿元</t>
    </r>
  </si>
  <si>
    <r>
      <rPr>
        <sz val="9"/>
        <color rgb="FF000000"/>
        <rFont val="楷体"/>
        <charset val="134"/>
      </rPr>
      <t>薛记炒货</t>
    </r>
  </si>
  <si>
    <r>
      <t>30</t>
    </r>
    <r>
      <rPr>
        <sz val="9"/>
        <color rgb="FF000000"/>
        <rFont val="楷体"/>
        <charset val="134"/>
      </rPr>
      <t>亿元</t>
    </r>
  </si>
  <si>
    <r>
      <rPr>
        <sz val="9"/>
        <rFont val="楷体"/>
        <charset val="134"/>
      </rPr>
      <t>东呈酒店</t>
    </r>
  </si>
  <si>
    <r>
      <rPr>
        <sz val="9"/>
        <color rgb="FF000000"/>
        <rFont val="楷体"/>
        <charset val="134"/>
      </rPr>
      <t>房地产</t>
    </r>
  </si>
  <si>
    <r>
      <rPr>
        <sz val="9"/>
        <color rgb="FF000000"/>
        <rFont val="楷体"/>
        <charset val="134"/>
      </rPr>
      <t>商业房产</t>
    </r>
  </si>
  <si>
    <r>
      <rPr>
        <sz val="9"/>
        <color rgb="FF000000"/>
        <rFont val="楷体"/>
        <charset val="134"/>
      </rPr>
      <t>变形积木</t>
    </r>
  </si>
  <si>
    <r>
      <rPr>
        <sz val="9"/>
        <color rgb="FF000000"/>
        <rFont val="楷体"/>
        <charset val="134"/>
      </rPr>
      <t>装修装饰</t>
    </r>
  </si>
  <si>
    <r>
      <t>5</t>
    </r>
    <r>
      <rPr>
        <sz val="9"/>
        <color rgb="FF000000"/>
        <rFont val="楷体"/>
        <charset val="134"/>
      </rPr>
      <t>亿元</t>
    </r>
  </si>
  <si>
    <r>
      <rPr>
        <sz val="9"/>
        <rFont val="楷体"/>
        <charset val="134"/>
      </rPr>
      <t>望家欢</t>
    </r>
  </si>
  <si>
    <r>
      <rPr>
        <sz val="9"/>
        <color rgb="FF000000"/>
        <rFont val="楷体"/>
        <charset val="134"/>
      </rPr>
      <t>农业</t>
    </r>
  </si>
  <si>
    <r>
      <rPr>
        <sz val="9"/>
        <color rgb="FF000000"/>
        <rFont val="楷体"/>
        <charset val="134"/>
      </rPr>
      <t>综合农业</t>
    </r>
  </si>
  <si>
    <r>
      <t>40</t>
    </r>
    <r>
      <rPr>
        <sz val="9"/>
        <color rgb="FF000000"/>
        <rFont val="楷体"/>
        <charset val="134"/>
      </rPr>
      <t>亿元</t>
    </r>
  </si>
  <si>
    <r>
      <rPr>
        <sz val="9"/>
        <color rgb="FF000000"/>
        <rFont val="楷体"/>
        <charset val="134"/>
      </rPr>
      <t>壹号食品</t>
    </r>
  </si>
  <si>
    <r>
      <rPr>
        <sz val="9"/>
        <color rgb="FF000000"/>
        <rFont val="楷体"/>
        <charset val="134"/>
      </rPr>
      <t>养殖业</t>
    </r>
  </si>
  <si>
    <r>
      <t>15</t>
    </r>
    <r>
      <rPr>
        <sz val="9"/>
        <color rgb="FF000000"/>
        <rFont val="楷体"/>
        <charset val="134"/>
      </rPr>
      <t>亿元</t>
    </r>
  </si>
  <si>
    <r>
      <rPr>
        <sz val="9"/>
        <color rgb="FF000000"/>
        <rFont val="楷体"/>
        <charset val="134"/>
      </rPr>
      <t>智谱</t>
    </r>
    <r>
      <rPr>
        <sz val="9"/>
        <color rgb="FF000000"/>
        <rFont val="Arial"/>
        <charset val="134"/>
      </rPr>
      <t>AI</t>
    </r>
  </si>
  <si>
    <r>
      <rPr>
        <sz val="9"/>
        <color rgb="FF000000"/>
        <rFont val="楷体"/>
        <charset val="134"/>
      </rPr>
      <t>企业服务</t>
    </r>
  </si>
  <si>
    <r>
      <rPr>
        <sz val="9"/>
        <color rgb="FF000000"/>
        <rFont val="楷体"/>
        <charset val="134"/>
      </rPr>
      <t>前沿技术</t>
    </r>
  </si>
  <si>
    <r>
      <t>35</t>
    </r>
    <r>
      <rPr>
        <sz val="9"/>
        <color rgb="FF000000"/>
        <rFont val="楷体"/>
        <charset val="134"/>
      </rPr>
      <t>亿元</t>
    </r>
  </si>
  <si>
    <r>
      <rPr>
        <i/>
        <sz val="8"/>
        <color theme="1"/>
        <rFont val="楷体"/>
        <charset val="134"/>
      </rPr>
      <t>数据来源：</t>
    </r>
    <r>
      <rPr>
        <i/>
        <sz val="8"/>
        <color theme="1"/>
        <rFont val="Arial"/>
        <charset val="134"/>
      </rPr>
      <t>IT</t>
    </r>
    <r>
      <rPr>
        <i/>
        <sz val="8"/>
        <color theme="1"/>
        <rFont val="楷体"/>
        <charset val="134"/>
      </rPr>
      <t>桔子</t>
    </r>
  </si>
  <si>
    <r>
      <rPr>
        <sz val="9"/>
        <color rgb="FF000000"/>
        <rFont val="楷体"/>
        <charset val="134"/>
      </rPr>
      <t>甄云科技</t>
    </r>
  </si>
  <si>
    <r>
      <rPr>
        <sz val="9"/>
        <color rgb="FF000000"/>
        <rFont val="楷体"/>
        <charset val="134"/>
      </rPr>
      <t>行业信息化及解决方案</t>
    </r>
  </si>
  <si>
    <r>
      <rPr>
        <i/>
        <sz val="8"/>
        <color theme="1"/>
        <rFont val="楷体"/>
        <charset val="134"/>
      </rPr>
      <t>注：上述数据截至</t>
    </r>
    <r>
      <rPr>
        <i/>
        <sz val="8"/>
        <color theme="1"/>
        <rFont val="Arial"/>
        <charset val="134"/>
      </rPr>
      <t>2023</t>
    </r>
    <r>
      <rPr>
        <i/>
        <sz val="8"/>
        <color theme="1"/>
        <rFont val="楷体"/>
        <charset val="134"/>
      </rPr>
      <t>年</t>
    </r>
    <r>
      <rPr>
        <i/>
        <sz val="8"/>
        <color theme="1"/>
        <rFont val="Arial"/>
        <charset val="134"/>
      </rPr>
      <t>7</t>
    </r>
    <r>
      <rPr>
        <i/>
        <sz val="8"/>
        <color theme="1"/>
        <rFont val="楷体"/>
        <charset val="134"/>
      </rPr>
      <t>月</t>
    </r>
    <r>
      <rPr>
        <i/>
        <sz val="8"/>
        <color theme="1"/>
        <rFont val="Arial"/>
        <charset val="134"/>
      </rPr>
      <t>28</t>
    </r>
    <r>
      <rPr>
        <i/>
        <sz val="8"/>
        <color theme="1"/>
        <rFont val="楷体"/>
        <charset val="134"/>
      </rPr>
      <t>日</t>
    </r>
  </si>
  <si>
    <r>
      <rPr>
        <sz val="9"/>
        <color rgb="FF000000"/>
        <rFont val="楷体"/>
        <charset val="134"/>
      </rPr>
      <t>嬴彻科技</t>
    </r>
  </si>
  <si>
    <r>
      <rPr>
        <sz val="9"/>
        <color rgb="FF000000"/>
        <rFont val="楷体"/>
        <charset val="134"/>
      </rPr>
      <t>汽车交通</t>
    </r>
  </si>
  <si>
    <r>
      <rPr>
        <sz val="9"/>
        <color rgb="FF000000"/>
        <rFont val="楷体"/>
        <charset val="134"/>
      </rPr>
      <t>自动</t>
    </r>
    <r>
      <rPr>
        <sz val="9"/>
        <color rgb="FF000000"/>
        <rFont val="Arial"/>
        <charset val="134"/>
      </rPr>
      <t>/</t>
    </r>
    <r>
      <rPr>
        <sz val="9"/>
        <color rgb="FF000000"/>
        <rFont val="楷体"/>
        <charset val="134"/>
      </rPr>
      <t>无人驾驶</t>
    </r>
  </si>
  <si>
    <r>
      <t>183.3</t>
    </r>
    <r>
      <rPr>
        <sz val="9"/>
        <color rgb="FF000000"/>
        <rFont val="楷体"/>
        <charset val="134"/>
      </rPr>
      <t>亿元</t>
    </r>
  </si>
  <si>
    <r>
      <rPr>
        <sz val="9"/>
        <color theme="0"/>
        <rFont val="楷体"/>
        <charset val="134"/>
      </rPr>
      <t>本资料由华泰证券研究所互联网团队制作（华泰证券股份有限公司已具备中国证监会批准的证券投资咨询业务资格）。本资料仅供本公司及其客户和其关联机构使用。本公司不因接收人收到本资料而视其为客户。</t>
    </r>
    <r>
      <rPr>
        <sz val="9"/>
        <color theme="0"/>
        <rFont val="Arial"/>
        <charset val="134"/>
      </rPr>
      <t xml:space="preserve"> </t>
    </r>
    <r>
      <rPr>
        <sz val="9"/>
        <color theme="0"/>
        <rFont val="楷体"/>
        <charset val="134"/>
      </rPr>
      <t>本资料基于本公司认为可靠的、已公开的信息编制，但本公司及其关联机构对该等信息的准确性及完整性不作任何保证。投资者应依赖自身独立的判断做出投资决策并自行承担投资风险。</t>
    </r>
  </si>
  <si>
    <r>
      <rPr>
        <sz val="9"/>
        <rFont val="楷体"/>
        <charset val="134"/>
      </rPr>
      <t>毫末智行</t>
    </r>
  </si>
  <si>
    <r>
      <t>80</t>
    </r>
    <r>
      <rPr>
        <sz val="9"/>
        <color rgb="FF000000"/>
        <rFont val="楷体"/>
        <charset val="134"/>
      </rPr>
      <t>亿元</t>
    </r>
  </si>
  <si>
    <r>
      <rPr>
        <sz val="9"/>
        <color theme="0"/>
        <rFont val="楷体"/>
        <charset val="134"/>
      </rPr>
      <t>先进制造</t>
    </r>
  </si>
  <si>
    <r>
      <rPr>
        <sz val="9"/>
        <color rgb="FF000000"/>
        <rFont val="楷体"/>
        <charset val="134"/>
      </rPr>
      <t>轻舟智航</t>
    </r>
  </si>
  <si>
    <r>
      <rPr>
        <sz val="9"/>
        <color theme="0"/>
        <rFont val="楷体"/>
        <charset val="134"/>
      </rPr>
      <t>电商零售</t>
    </r>
  </si>
  <si>
    <r>
      <rPr>
        <sz val="9"/>
        <color rgb="FF000000"/>
        <rFont val="楷体"/>
        <charset val="134"/>
      </rPr>
      <t>黄小兜</t>
    </r>
  </si>
  <si>
    <r>
      <rPr>
        <sz val="9"/>
        <color rgb="FF000000"/>
        <rFont val="楷体"/>
        <charset val="134"/>
      </rPr>
      <t>文娱传媒</t>
    </r>
  </si>
  <si>
    <r>
      <rPr>
        <sz val="9"/>
        <color rgb="FF000000"/>
        <rFont val="楷体"/>
        <charset val="134"/>
      </rPr>
      <t>视频</t>
    </r>
    <r>
      <rPr>
        <sz val="9"/>
        <color rgb="FF000000"/>
        <rFont val="Arial"/>
        <charset val="134"/>
      </rPr>
      <t>/</t>
    </r>
    <r>
      <rPr>
        <sz val="9"/>
        <color rgb="FF000000"/>
        <rFont val="楷体"/>
        <charset val="134"/>
      </rPr>
      <t>直播</t>
    </r>
  </si>
  <si>
    <r>
      <rPr>
        <sz val="9"/>
        <color theme="0"/>
        <rFont val="楷体"/>
        <charset val="134"/>
      </rPr>
      <t>本地生活</t>
    </r>
  </si>
  <si>
    <r>
      <rPr>
        <sz val="9"/>
        <rFont val="楷体"/>
        <charset val="134"/>
      </rPr>
      <t>高仙机器人</t>
    </r>
  </si>
  <si>
    <r>
      <rPr>
        <sz val="9"/>
        <color rgb="FF000000"/>
        <rFont val="楷体"/>
        <charset val="134"/>
      </rPr>
      <t>先进制造</t>
    </r>
  </si>
  <si>
    <r>
      <rPr>
        <sz val="9"/>
        <color rgb="FF000000"/>
        <rFont val="楷体"/>
        <charset val="134"/>
      </rPr>
      <t>机器人</t>
    </r>
  </si>
  <si>
    <r>
      <t>90</t>
    </r>
    <r>
      <rPr>
        <sz val="9"/>
        <color rgb="FF000000"/>
        <rFont val="楷体"/>
        <charset val="134"/>
      </rPr>
      <t>亿元</t>
    </r>
  </si>
  <si>
    <r>
      <rPr>
        <sz val="9"/>
        <color theme="0"/>
        <rFont val="楷体"/>
        <charset val="134"/>
      </rPr>
      <t>汽车交通</t>
    </r>
  </si>
  <si>
    <r>
      <rPr>
        <sz val="9"/>
        <color rgb="FF000000"/>
        <rFont val="楷体"/>
        <charset val="134"/>
      </rPr>
      <t>梅卡曼德机器人</t>
    </r>
  </si>
  <si>
    <r>
      <rPr>
        <sz val="9"/>
        <color theme="0"/>
        <rFont val="楷体"/>
        <charset val="134"/>
      </rPr>
      <t>企业服务</t>
    </r>
  </si>
  <si>
    <r>
      <rPr>
        <sz val="9"/>
        <color rgb="FF000000"/>
        <rFont val="楷体"/>
        <charset val="134"/>
      </rPr>
      <t>普渡科技</t>
    </r>
  </si>
  <si>
    <r>
      <t>70</t>
    </r>
    <r>
      <rPr>
        <sz val="9"/>
        <color rgb="FF000000"/>
        <rFont val="楷体"/>
        <charset val="134"/>
      </rPr>
      <t>亿元</t>
    </r>
  </si>
  <si>
    <r>
      <rPr>
        <sz val="9"/>
        <color theme="0"/>
        <rFont val="楷体"/>
        <charset val="134"/>
      </rPr>
      <t>医疗健康</t>
    </r>
  </si>
  <si>
    <r>
      <rPr>
        <sz val="9"/>
        <color rgb="FF000000"/>
        <rFont val="楷体"/>
        <charset val="134"/>
      </rPr>
      <t>史河科技</t>
    </r>
  </si>
  <si>
    <r>
      <t>4.875</t>
    </r>
    <r>
      <rPr>
        <sz val="9"/>
        <color rgb="FF000000"/>
        <rFont val="楷体"/>
        <charset val="134"/>
      </rPr>
      <t>亿元</t>
    </r>
  </si>
  <si>
    <r>
      <rPr>
        <sz val="9"/>
        <color theme="0"/>
        <rFont val="楷体"/>
        <charset val="134"/>
      </rPr>
      <t>房地产</t>
    </r>
  </si>
  <si>
    <r>
      <t>Flexiv</t>
    </r>
    <r>
      <rPr>
        <sz val="9"/>
        <color rgb="FF000000"/>
        <rFont val="楷体"/>
        <charset val="134"/>
      </rPr>
      <t>非夕</t>
    </r>
  </si>
  <si>
    <r>
      <t>65</t>
    </r>
    <r>
      <rPr>
        <sz val="9"/>
        <color rgb="FF000000"/>
        <rFont val="楷体"/>
        <charset val="134"/>
      </rPr>
      <t>亿元</t>
    </r>
  </si>
  <si>
    <r>
      <rPr>
        <sz val="9"/>
        <color theme="0"/>
        <rFont val="楷体"/>
        <charset val="134"/>
      </rPr>
      <t>农业</t>
    </r>
  </si>
  <si>
    <r>
      <rPr>
        <sz val="9"/>
        <color rgb="FF000000"/>
        <rFont val="楷体"/>
        <charset val="134"/>
      </rPr>
      <t>未来机器人</t>
    </r>
  </si>
  <si>
    <r>
      <t>32.5</t>
    </r>
    <r>
      <rPr>
        <sz val="9"/>
        <color rgb="FF000000"/>
        <rFont val="楷体"/>
        <charset val="134"/>
      </rPr>
      <t>亿元</t>
    </r>
  </si>
  <si>
    <r>
      <rPr>
        <sz val="9"/>
        <color theme="0"/>
        <rFont val="楷体"/>
        <charset val="134"/>
      </rPr>
      <t>文娱传媒</t>
    </r>
  </si>
  <si>
    <r>
      <rPr>
        <sz val="9"/>
        <color rgb="FF000000"/>
        <rFont val="楷体"/>
        <charset val="134"/>
      </rPr>
      <t>爱芯元智</t>
    </r>
  </si>
  <si>
    <r>
      <rPr>
        <sz val="9"/>
        <color rgb="FF000000"/>
        <rFont val="楷体"/>
        <charset val="134"/>
      </rPr>
      <t>集成电路</t>
    </r>
  </si>
  <si>
    <r>
      <t>36</t>
    </r>
    <r>
      <rPr>
        <sz val="9"/>
        <color rgb="FF000000"/>
        <rFont val="楷体"/>
        <charset val="134"/>
      </rPr>
      <t>亿元</t>
    </r>
  </si>
  <si>
    <r>
      <rPr>
        <sz val="9"/>
        <rFont val="楷体"/>
        <charset val="134"/>
      </rPr>
      <t>星云智联</t>
    </r>
  </si>
  <si>
    <r>
      <rPr>
        <sz val="9"/>
        <rFont val="楷体"/>
        <charset val="134"/>
      </rPr>
      <t>荣芯半导体</t>
    </r>
  </si>
  <si>
    <r>
      <rPr>
        <sz val="9"/>
        <rFont val="楷体"/>
        <charset val="134"/>
      </rPr>
      <t>欣旺达动力</t>
    </r>
    <r>
      <rPr>
        <sz val="9"/>
        <rFont val="Arial"/>
        <charset val="134"/>
      </rPr>
      <t>EVB</t>
    </r>
  </si>
  <si>
    <r>
      <rPr>
        <sz val="9"/>
        <color rgb="FF000000"/>
        <rFont val="楷体"/>
        <charset val="134"/>
      </rPr>
      <t>新能源</t>
    </r>
  </si>
  <si>
    <r>
      <t>355.6</t>
    </r>
    <r>
      <rPr>
        <sz val="9"/>
        <color rgb="FF000000"/>
        <rFont val="楷体"/>
        <charset val="134"/>
      </rPr>
      <t>亿元</t>
    </r>
  </si>
  <si>
    <r>
      <rPr>
        <sz val="9"/>
        <color rgb="FF000000"/>
        <rFont val="楷体"/>
        <charset val="134"/>
      </rPr>
      <t>超钠新能源</t>
    </r>
  </si>
  <si>
    <r>
      <rPr>
        <sz val="9"/>
        <rFont val="楷体"/>
        <charset val="134"/>
      </rPr>
      <t>晶湛半导体</t>
    </r>
  </si>
  <si>
    <r>
      <rPr>
        <sz val="9"/>
        <color rgb="FF000000"/>
        <rFont val="楷体"/>
        <charset val="134"/>
      </rPr>
      <t>灵明光子</t>
    </r>
  </si>
  <si>
    <r>
      <rPr>
        <sz val="9"/>
        <color rgb="FF000000"/>
        <rFont val="楷体"/>
        <charset val="134"/>
      </rPr>
      <t>传感设备</t>
    </r>
  </si>
  <si>
    <r>
      <rPr>
        <sz val="9"/>
        <color rgb="FF000000"/>
        <rFont val="楷体"/>
        <charset val="134"/>
      </rPr>
      <t>康诺思腾</t>
    </r>
  </si>
  <si>
    <r>
      <t>64</t>
    </r>
    <r>
      <rPr>
        <sz val="9"/>
        <color rgb="FF000000"/>
        <rFont val="楷体"/>
        <charset val="134"/>
      </rPr>
      <t>亿元</t>
    </r>
  </si>
  <si>
    <r>
      <rPr>
        <sz val="9"/>
        <rFont val="楷体"/>
        <charset val="134"/>
      </rPr>
      <t>长芯盛智连</t>
    </r>
  </si>
  <si>
    <r>
      <rPr>
        <sz val="9"/>
        <color rgb="FF000000"/>
        <rFont val="楷体"/>
        <charset val="134"/>
      </rPr>
      <t>通信制造</t>
    </r>
  </si>
  <si>
    <r>
      <rPr>
        <sz val="9"/>
        <rFont val="楷体"/>
        <charset val="134"/>
      </rPr>
      <t>法奥</t>
    </r>
    <r>
      <rPr>
        <sz val="9"/>
        <rFont val="Arial"/>
        <charset val="134"/>
      </rPr>
      <t>FAIR</t>
    </r>
  </si>
  <si>
    <r>
      <t>19.5</t>
    </r>
    <r>
      <rPr>
        <sz val="9"/>
        <color rgb="FF000000"/>
        <rFont val="楷体"/>
        <charset val="134"/>
      </rPr>
      <t>亿元</t>
    </r>
  </si>
  <si>
    <r>
      <rPr>
        <sz val="9"/>
        <color rgb="FF000000"/>
        <rFont val="楷体"/>
        <charset val="134"/>
      </rPr>
      <t>芯格诺微电子</t>
    </r>
  </si>
  <si>
    <r>
      <rPr>
        <sz val="9"/>
        <color rgb="FF000000"/>
        <rFont val="楷体"/>
        <charset val="134"/>
      </rPr>
      <t>细红线</t>
    </r>
    <r>
      <rPr>
        <sz val="9"/>
        <color rgb="FF000000"/>
        <rFont val="Arial"/>
        <charset val="134"/>
      </rPr>
      <t>Thin Red Line</t>
    </r>
  </si>
  <si>
    <r>
      <t>AR/VR</t>
    </r>
    <r>
      <rPr>
        <sz val="9"/>
        <color rgb="FF000000"/>
        <rFont val="楷体"/>
        <charset val="134"/>
      </rPr>
      <t>设备</t>
    </r>
  </si>
  <si>
    <r>
      <t>13</t>
    </r>
    <r>
      <rPr>
        <sz val="9"/>
        <color rgb="FF000000"/>
        <rFont val="楷体"/>
        <charset val="134"/>
      </rPr>
      <t>亿元</t>
    </r>
  </si>
  <si>
    <r>
      <rPr>
        <sz val="9"/>
        <rFont val="楷体"/>
        <charset val="134"/>
      </rPr>
      <t>齐碳科技</t>
    </r>
  </si>
  <si>
    <r>
      <rPr>
        <sz val="9"/>
        <color rgb="FF000000"/>
        <rFont val="楷体"/>
        <charset val="134"/>
      </rPr>
      <t>医疗健康</t>
    </r>
  </si>
  <si>
    <r>
      <rPr>
        <sz val="9"/>
        <color rgb="FF000000"/>
        <rFont val="楷体"/>
        <charset val="134"/>
      </rPr>
      <t>生物技术和制药</t>
    </r>
  </si>
  <si>
    <r>
      <t>42</t>
    </r>
    <r>
      <rPr>
        <sz val="9"/>
        <color rgb="FF000000"/>
        <rFont val="楷体"/>
        <charset val="134"/>
      </rPr>
      <t>亿元</t>
    </r>
  </si>
  <si>
    <r>
      <rPr>
        <sz val="9"/>
        <rFont val="楷体"/>
        <charset val="134"/>
      </rPr>
      <t>恩和生物</t>
    </r>
  </si>
  <si>
    <r>
      <t>39</t>
    </r>
    <r>
      <rPr>
        <sz val="9"/>
        <color rgb="FF000000"/>
        <rFont val="楷体"/>
        <charset val="134"/>
      </rPr>
      <t>亿元</t>
    </r>
  </si>
  <si>
    <r>
      <rPr>
        <b/>
        <sz val="9"/>
        <color rgb="FF000000"/>
        <rFont val="楷体"/>
        <charset val="134"/>
      </rPr>
      <t>投资主体</t>
    </r>
  </si>
  <si>
    <r>
      <rPr>
        <b/>
        <sz val="9"/>
        <color rgb="FF000000"/>
        <rFont val="楷体"/>
        <charset val="134"/>
      </rPr>
      <t>被投方最新融资期日</t>
    </r>
  </si>
  <si>
    <t>公司名称</t>
  </si>
  <si>
    <r>
      <rPr>
        <b/>
        <sz val="9"/>
        <color rgb="FF000000"/>
        <rFont val="楷体"/>
        <charset val="134"/>
      </rPr>
      <t>公司名称</t>
    </r>
  </si>
  <si>
    <r>
      <rPr>
        <b/>
        <sz val="9"/>
        <color rgb="FF000000"/>
        <rFont val="楷体"/>
        <charset val="134"/>
      </rPr>
      <t>公司简介</t>
    </r>
  </si>
  <si>
    <t>工商名称</t>
  </si>
  <si>
    <t>公司网址</t>
  </si>
  <si>
    <r>
      <rPr>
        <b/>
        <sz val="9"/>
        <color rgb="FF000000"/>
        <rFont val="楷体"/>
        <charset val="134"/>
      </rPr>
      <t>成立时间</t>
    </r>
  </si>
  <si>
    <r>
      <rPr>
        <b/>
        <sz val="9"/>
        <color rgb="FF000000"/>
        <rFont val="楷体"/>
        <charset val="134"/>
      </rPr>
      <t>地点</t>
    </r>
  </si>
  <si>
    <t>运营状态</t>
  </si>
  <si>
    <r>
      <rPr>
        <b/>
        <sz val="9"/>
        <color rgb="FF000000"/>
        <rFont val="楷体"/>
        <charset val="134"/>
      </rPr>
      <t>运营状态</t>
    </r>
  </si>
  <si>
    <r>
      <rPr>
        <b/>
        <sz val="9"/>
        <color rgb="FF000000"/>
        <rFont val="楷体"/>
        <charset val="134"/>
      </rPr>
      <t>行业</t>
    </r>
  </si>
  <si>
    <r>
      <rPr>
        <b/>
        <sz val="9"/>
        <color rgb="FF000000"/>
        <rFont val="楷体"/>
        <charset val="134"/>
      </rPr>
      <t>子行业</t>
    </r>
  </si>
  <si>
    <r>
      <rPr>
        <b/>
        <sz val="9"/>
        <color rgb="FF000000"/>
        <rFont val="楷体"/>
        <charset val="134"/>
      </rPr>
      <t>是否上市</t>
    </r>
    <r>
      <rPr>
        <b/>
        <sz val="9"/>
        <color rgb="FF000000"/>
        <rFont val="Arial"/>
        <charset val="134"/>
      </rPr>
      <t>/</t>
    </r>
    <r>
      <rPr>
        <b/>
        <sz val="9"/>
        <color rgb="FF000000"/>
        <rFont val="楷体"/>
        <charset val="134"/>
      </rPr>
      <t>并购</t>
    </r>
  </si>
  <si>
    <r>
      <rPr>
        <b/>
        <sz val="9"/>
        <color rgb="FF000000"/>
        <rFont val="楷体"/>
        <charset val="134"/>
      </rPr>
      <t>融资时间</t>
    </r>
  </si>
  <si>
    <r>
      <rPr>
        <b/>
        <sz val="9"/>
        <color rgb="FF000000"/>
        <rFont val="楷体"/>
        <charset val="134"/>
      </rPr>
      <t>轮次</t>
    </r>
  </si>
  <si>
    <r>
      <rPr>
        <b/>
        <sz val="9"/>
        <color rgb="FF000000"/>
        <rFont val="楷体"/>
        <charset val="134"/>
      </rPr>
      <t>融资金额</t>
    </r>
  </si>
  <si>
    <r>
      <rPr>
        <b/>
        <sz val="9"/>
        <color rgb="FF000000"/>
        <rFont val="楷体"/>
        <charset val="134"/>
      </rPr>
      <t>投资方</t>
    </r>
  </si>
  <si>
    <r>
      <rPr>
        <b/>
        <sz val="9"/>
        <color rgb="FF000000"/>
        <rFont val="楷体"/>
        <charset val="134"/>
      </rPr>
      <t>融资总额</t>
    </r>
    <r>
      <rPr>
        <b/>
        <sz val="9"/>
        <color rgb="FF000000"/>
        <rFont val="Arial"/>
        <charset val="134"/>
      </rPr>
      <t>(</t>
    </r>
    <r>
      <rPr>
        <b/>
        <sz val="9"/>
        <color rgb="FF000000"/>
        <rFont val="楷体"/>
        <charset val="134"/>
      </rPr>
      <t>人民币</t>
    </r>
    <r>
      <rPr>
        <b/>
        <sz val="9"/>
        <color rgb="FF000000"/>
        <rFont val="Arial"/>
        <charset val="134"/>
      </rPr>
      <t>)</t>
    </r>
  </si>
  <si>
    <r>
      <rPr>
        <b/>
        <sz val="9"/>
        <color rgb="FF000000"/>
        <rFont val="楷体"/>
        <charset val="134"/>
      </rPr>
      <t>估值</t>
    </r>
    <r>
      <rPr>
        <b/>
        <sz val="9"/>
        <color rgb="FF000000"/>
        <rFont val="Arial"/>
        <charset val="134"/>
      </rPr>
      <t>(</t>
    </r>
    <r>
      <rPr>
        <b/>
        <sz val="9"/>
        <color rgb="FF000000"/>
        <rFont val="楷体"/>
        <charset val="134"/>
      </rPr>
      <t>人民币</t>
    </r>
    <r>
      <rPr>
        <b/>
        <sz val="9"/>
        <color rgb="FF000000"/>
        <rFont val="Arial"/>
        <charset val="134"/>
      </rPr>
      <t>)</t>
    </r>
  </si>
  <si>
    <r>
      <rPr>
        <b/>
        <sz val="9"/>
        <color rgb="FF000000"/>
        <rFont val="楷体"/>
        <charset val="134"/>
      </rPr>
      <t>团队</t>
    </r>
  </si>
  <si>
    <t>详细地址</t>
  </si>
  <si>
    <t>公开电话</t>
  </si>
  <si>
    <t>公开邮箱</t>
  </si>
  <si>
    <t>美团</t>
  </si>
  <si>
    <t>2015-04-13</t>
  </si>
  <si>
    <t>遥控餐厅</t>
  </si>
  <si>
    <t>遥控餐厅（遥遥排队）是一款基于移动互联网，集排队、点菜、预订、优惠、营销、会员于一体的，由商家和客户共同参与的餐饮服务管理系统。北京我遥我控科技有限公司旗下产品。</t>
  </si>
  <si>
    <t>北京我遥我控科技有限公司</t>
  </si>
  <si>
    <t>http://yaokongcanting.com</t>
  </si>
  <si>
    <t>2012-10</t>
  </si>
  <si>
    <t>北京-海淀区</t>
  </si>
  <si>
    <t>运营中</t>
  </si>
  <si>
    <t>本地生活</t>
  </si>
  <si>
    <t>餐饮业</t>
  </si>
  <si>
    <t>并购</t>
  </si>
  <si>
    <t>未透露人民币</t>
  </si>
  <si>
    <t>300万</t>
  </si>
  <si>
    <t>未透露</t>
  </si>
  <si>
    <t>王哲:CEO</t>
  </si>
  <si>
    <t>北京市海淀区五道口华清嘉园10号楼1203室</t>
  </si>
  <si>
    <t>400-066-5150</t>
  </si>
  <si>
    <t>yaokongcanting@163.com</t>
  </si>
  <si>
    <t>天使轮</t>
  </si>
  <si>
    <t>数百万人民币</t>
  </si>
  <si>
    <t>联想之星</t>
  </si>
  <si>
    <t>2018-09-25</t>
  </si>
  <si>
    <t>智慧图</t>
  </si>
  <si>
    <t>智慧图是国内领先的实体商业数字化升级、数字化运营服务商，为购物中心、百货商场、机场等大型实体商业综合体提供完善的智慧商业解决方案，为广大消费者，创造线上线下一体化的全新购物体验。作为购百零售业数字化转型升级的“合伙人”/贴身伙伴，帮助实体商业实现用户数字化、场景数字化、商品数字化、运营数字化，打造线上线下一体化经营场景和运营体系。</t>
  </si>
  <si>
    <t>北京智慧图科技有限责任公司</t>
  </si>
  <si>
    <t>http://www.rtmap.com</t>
  </si>
  <si>
    <t>2011-10</t>
  </si>
  <si>
    <t>企业服务</t>
  </si>
  <si>
    <t>销售营销</t>
  </si>
  <si>
    <t>战略投资</t>
  </si>
  <si>
    <t>华金资本(力合股份),国投创业,腾讯云</t>
  </si>
  <si>
    <t>4.65亿</t>
  </si>
  <si>
    <t>欧阳:CEO,王蒙:COO,傅海波:联合创始人&amp;COO</t>
  </si>
  <si>
    <t>北京市海淀区知春路7号致真大厦C座10层</t>
  </si>
  <si>
    <t>cobra6106@126.com</t>
  </si>
  <si>
    <t>东方富海,美团</t>
  </si>
  <si>
    <t>2000万人民币</t>
  </si>
  <si>
    <t>辉煌科技</t>
  </si>
  <si>
    <t>C轮</t>
  </si>
  <si>
    <t>数千万人民币</t>
  </si>
  <si>
    <t>奇虎360,东方富海,北京中关村创投</t>
  </si>
  <si>
    <t>B轮</t>
  </si>
  <si>
    <t>数千万美元</t>
  </si>
  <si>
    <t>宽带资本CBC,云启资本</t>
  </si>
  <si>
    <t>A轮</t>
  </si>
  <si>
    <t>数百万美元</t>
  </si>
  <si>
    <t>经纬创投</t>
  </si>
  <si>
    <t>2018-03-30</t>
  </si>
  <si>
    <t>K米</t>
  </si>
  <si>
    <t>K米是一个KTV在线点歌及K歌直播服务平台，主要业务包括通过旗下的APP进行KTV点歌、K歌直播、包厢预订以及超市酒水食品购买等。并且用户可以通过K歌的方式在平台上进行社交。同时该公司还未商户提供智能娱乐终端等产品。</t>
  </si>
  <si>
    <t>福建凯米网络科技有限公司</t>
  </si>
  <si>
    <t>http://www.ktvme.com/</t>
  </si>
  <si>
    <t>2012-11</t>
  </si>
  <si>
    <t>福建-福州</t>
  </si>
  <si>
    <t>文娱传媒</t>
  </si>
  <si>
    <t>综合文娱</t>
  </si>
  <si>
    <t>1.2亿人民币</t>
  </si>
  <si>
    <t>腾讯投资,中科招商,美团,德屹资本,中科科创</t>
  </si>
  <si>
    <t>1.26亿</t>
  </si>
  <si>
    <t>6亿元</t>
  </si>
  <si>
    <t>林剑宇:CEO</t>
  </si>
  <si>
    <t>福建省福州市仓山区城门镇南江滨西大道198号福州海峡国际会展中心地下一层东区办公中心A-029号</t>
  </si>
  <si>
    <t>0591-28053888-6016</t>
  </si>
  <si>
    <t>huangrong@star-net.cn</t>
  </si>
  <si>
    <t>500万人民币</t>
  </si>
  <si>
    <t>谦石投资</t>
  </si>
  <si>
    <t>华创资本</t>
  </si>
  <si>
    <t>2020-01-16</t>
  </si>
  <si>
    <t>猫眼娱乐</t>
  </si>
  <si>
    <t>猫眼娱乐是中国提供创新互联网赋能娱乐服务的领先平台，提供在线娱乐票务服务、娱乐内容服务、娱乐电商服务、广告服务及其他。</t>
  </si>
  <si>
    <t>北京猫眼文化传媒有限公司</t>
  </si>
  <si>
    <t>http://maoyan.com/</t>
  </si>
  <si>
    <t>2015-11</t>
  </si>
  <si>
    <t>北京-东城区</t>
  </si>
  <si>
    <t>影视</t>
  </si>
  <si>
    <t>IPO上市后</t>
  </si>
  <si>
    <t>方源资本,郑志昊</t>
  </si>
  <si>
    <t>84.44亿</t>
  </si>
  <si>
    <t>郑志昊:执行董事兼首席执行官,施康平:首席财务官,康利:首席运营官,顾思斌:总裁,王牮:董事长</t>
  </si>
  <si>
    <t>北京市东城区和平里西街11号</t>
  </si>
  <si>
    <t>010-5611-4154</t>
  </si>
  <si>
    <t>pr@maoyan.com</t>
  </si>
  <si>
    <t>IPO上市</t>
  </si>
  <si>
    <t>16亿港元</t>
  </si>
  <si>
    <t>-</t>
  </si>
  <si>
    <t>10亿人民币</t>
  </si>
  <si>
    <t>腾讯投资</t>
  </si>
  <si>
    <t>合并</t>
  </si>
  <si>
    <t>微影时代</t>
  </si>
  <si>
    <t>光线传媒</t>
  </si>
  <si>
    <t>47.64亿人民币</t>
  </si>
  <si>
    <t>数亿人民币</t>
  </si>
  <si>
    <t>2020-06-09</t>
  </si>
  <si>
    <t>哗啦啦</t>
  </si>
  <si>
    <r>
      <rPr>
        <sz val="9"/>
        <color rgb="FF000000"/>
        <rFont val="楷体"/>
        <charset val="134"/>
      </rPr>
      <t>哗啦啦</t>
    </r>
  </si>
  <si>
    <r>
      <rPr>
        <sz val="9"/>
        <color rgb="FF000000"/>
        <rFont val="楷体"/>
        <charset val="134"/>
      </rPr>
      <t>哗啦啦是全国头部餐饮</t>
    </r>
    <r>
      <rPr>
        <sz val="9"/>
        <color rgb="FF000000"/>
        <rFont val="Arial"/>
        <charset val="134"/>
      </rPr>
      <t>SaaS</t>
    </r>
    <r>
      <rPr>
        <sz val="9"/>
        <color rgb="FF000000"/>
        <rFont val="楷体"/>
        <charset val="134"/>
      </rPr>
      <t>系统服务商，为客户提供有竞争力、安全可信赖的一体化、全链路餐饮</t>
    </r>
    <r>
      <rPr>
        <sz val="9"/>
        <color rgb="FF000000"/>
        <rFont val="Arial"/>
        <charset val="134"/>
      </rPr>
      <t>SaaS</t>
    </r>
    <r>
      <rPr>
        <sz val="9"/>
        <color rgb="FF000000"/>
        <rFont val="楷体"/>
        <charset val="134"/>
      </rPr>
      <t>系统数据服务。产品覆盖餐饮全业态、全业务环节，提升餐饮企业数据化、精细化、可视化的运营管理新模式。</t>
    </r>
  </si>
  <si>
    <t>北京多来点信息技术有限公司</t>
  </si>
  <si>
    <t>http://www.hualala.com/</t>
  </si>
  <si>
    <t>2009-10</t>
  </si>
  <si>
    <r>
      <rPr>
        <sz val="9"/>
        <color rgb="FF000000"/>
        <rFont val="楷体"/>
        <charset val="134"/>
      </rPr>
      <t>北京</t>
    </r>
    <r>
      <rPr>
        <sz val="9"/>
        <color rgb="FF000000"/>
        <rFont val="Arial"/>
        <charset val="134"/>
      </rPr>
      <t>-</t>
    </r>
    <r>
      <rPr>
        <sz val="9"/>
        <color rgb="FF000000"/>
        <rFont val="楷体"/>
        <charset val="134"/>
      </rPr>
      <t>门头沟区</t>
    </r>
  </si>
  <si>
    <r>
      <rPr>
        <sz val="9"/>
        <color rgb="FF000000"/>
        <rFont val="楷体"/>
        <charset val="134"/>
      </rPr>
      <t>运营中</t>
    </r>
  </si>
  <si>
    <r>
      <rPr>
        <sz val="9"/>
        <color rgb="FF000000"/>
        <rFont val="楷体"/>
        <charset val="134"/>
      </rPr>
      <t>餐饮业</t>
    </r>
  </si>
  <si>
    <r>
      <rPr>
        <sz val="9"/>
        <color rgb="FF000000"/>
        <rFont val="楷体"/>
        <charset val="134"/>
      </rPr>
      <t>战略投资</t>
    </r>
  </si>
  <si>
    <r>
      <rPr>
        <sz val="9"/>
        <color rgb="FF000000"/>
        <rFont val="楷体"/>
        <charset val="134"/>
      </rPr>
      <t>未透露人民币</t>
    </r>
  </si>
  <si>
    <r>
      <rPr>
        <sz val="9"/>
        <color rgb="FF000000"/>
        <rFont val="楷体"/>
        <charset val="134"/>
      </rPr>
      <t>大众点评网</t>
    </r>
    <r>
      <rPr>
        <sz val="9"/>
        <color rgb="FF000000"/>
        <rFont val="Arial"/>
        <charset val="134"/>
      </rPr>
      <t>,</t>
    </r>
    <r>
      <rPr>
        <sz val="9"/>
        <color rgb="FF000000"/>
        <rFont val="楷体"/>
        <charset val="134"/>
      </rPr>
      <t>美团</t>
    </r>
  </si>
  <si>
    <r>
      <t>1.5</t>
    </r>
    <r>
      <rPr>
        <sz val="9"/>
        <color rgb="FF000000"/>
        <rFont val="楷体"/>
        <charset val="134"/>
      </rPr>
      <t>亿</t>
    </r>
  </si>
  <si>
    <r>
      <rPr>
        <sz val="9"/>
        <color rgb="FF000000"/>
        <rFont val="楷体"/>
        <charset val="134"/>
      </rPr>
      <t>未透露</t>
    </r>
  </si>
  <si>
    <r>
      <rPr>
        <sz val="9"/>
        <color rgb="FF000000"/>
        <rFont val="楷体"/>
        <charset val="134"/>
      </rPr>
      <t>万颖彦</t>
    </r>
    <r>
      <rPr>
        <sz val="9"/>
        <color rgb="FF000000"/>
        <rFont val="Arial"/>
        <charset val="134"/>
      </rPr>
      <t>:</t>
    </r>
    <r>
      <rPr>
        <sz val="9"/>
        <color rgb="FF000000"/>
        <rFont val="楷体"/>
        <charset val="134"/>
      </rPr>
      <t>创始人</t>
    </r>
  </si>
  <si>
    <t>北京市门头沟区石龙经济开发区永安路20号3号楼B1</t>
  </si>
  <si>
    <t>010-8258-2132</t>
  </si>
  <si>
    <t>liuhuan@hualala.com</t>
  </si>
  <si>
    <t>美团,致璞基石信息</t>
  </si>
  <si>
    <t>友合天昱投资,华盛一泓,友道资产</t>
  </si>
  <si>
    <t>2016-09-26</t>
  </si>
  <si>
    <t>钱袋宝</t>
  </si>
  <si>
    <t>钱袋宝是北京钱袋宝支付技术有限公司旗下网站，为用户提供网络支付、手机支付等第三方支付解决方案，旗下运营产品包括钱袋宝小精灵、钱袋宝POS、钱袋宝MPOS等多种移动支付和移动POS机产品。</t>
  </si>
  <si>
    <t>北京钱袋宝支付技术有限公司</t>
  </si>
  <si>
    <t>http://www.qiandai.com/</t>
  </si>
  <si>
    <t>2008-10</t>
  </si>
  <si>
    <t>金融</t>
  </si>
  <si>
    <t>支付</t>
  </si>
  <si>
    <t>3亿</t>
  </si>
  <si>
    <t>孙江涛:执行董事,张敬华:首席运营官,魏中华:董事长</t>
  </si>
  <si>
    <t>北京市海淀区太月园1号楼泰跃商务中心5层</t>
  </si>
  <si>
    <t>400-6725-007</t>
  </si>
  <si>
    <t>help@qiandai.com</t>
  </si>
  <si>
    <t>IDG资本,高榕资本,海通开元</t>
  </si>
  <si>
    <t>2015-07-16</t>
  </si>
  <si>
    <t>酷讯旅游</t>
  </si>
  <si>
    <t>酷讯旅游网是一个专业的旅游垂直搜索和预订网站，提供国内外机票、酒店、火车票、度假和旅游线路的搜索、比较、预订服务，2015年7月被美团以数千万美元的价格收购。</t>
  </si>
  <si>
    <t>北京酷讯科技有限公司</t>
  </si>
  <si>
    <t>http://www.kuxun.cn</t>
  </si>
  <si>
    <t>2006-01</t>
  </si>
  <si>
    <t>旅游</t>
  </si>
  <si>
    <t>旅游综合服务</t>
  </si>
  <si>
    <t>未透露美元</t>
  </si>
  <si>
    <t>7800万</t>
  </si>
  <si>
    <t>张海军:CEO,陈华:联合创始人,吴世春:联合创始人</t>
  </si>
  <si>
    <t>TripAdvisor</t>
  </si>
  <si>
    <t>1000万美元</t>
  </si>
  <si>
    <t>策源创投,SIG海纳亚洲</t>
  </si>
  <si>
    <t>200万美元</t>
  </si>
  <si>
    <t>策源创投</t>
  </si>
  <si>
    <t>2016-01-12</t>
  </si>
  <si>
    <t>番茄来了</t>
  </si>
  <si>
    <t>成都番茄来了科技是一家中小酒店及客栈信息化服务商，主打产品为番茄来了客栈管理系统。</t>
  </si>
  <si>
    <t>成都番茄来了科技有限公司</t>
  </si>
  <si>
    <t>http://fanqiele.com</t>
  </si>
  <si>
    <t>2013-04</t>
  </si>
  <si>
    <t>四川-成都</t>
  </si>
  <si>
    <t>已关闭</t>
  </si>
  <si>
    <t>交通食宿</t>
  </si>
  <si>
    <t>9300万</t>
  </si>
  <si>
    <t>陈焰俊:创始人</t>
  </si>
  <si>
    <t>成都市高新区区世纪城南路599号6栋B1层28号</t>
  </si>
  <si>
    <t>jun@fanqiele.com;674389229@qq.com</t>
  </si>
  <si>
    <t>A+轮</t>
  </si>
  <si>
    <t>SIG海纳亚洲,美团</t>
  </si>
  <si>
    <t>2018-05-18</t>
  </si>
  <si>
    <t>天子星</t>
  </si>
  <si>
    <t>天子星是一个餐饮信息化服务管理平台，通过将餐饮企业生命周期数据化的方式，连接上下游合作厂商，为连锁餐饮企业提供“D+S”（Data Service）的服务模型，并提供微信营销平台、外卖管理平台等一站式服务解决方案，实现助力餐饮企业发展的目标。</t>
  </si>
  <si>
    <t>北京普照天星科技有限公司</t>
  </si>
  <si>
    <t>http://www.tzx.com.cn/</t>
  </si>
  <si>
    <t>2001-01</t>
  </si>
  <si>
    <t>北京-朝阳区</t>
  </si>
  <si>
    <t>商户服务及信息化</t>
  </si>
  <si>
    <t>奥琦玮</t>
  </si>
  <si>
    <t>5000万</t>
  </si>
  <si>
    <t>杨洪:创始人及董事长,张龙:CTO</t>
  </si>
  <si>
    <t>北京市朝阳区望京东路四号院恒电大厦B座8层</t>
  </si>
  <si>
    <t>400-010-8868</t>
  </si>
  <si>
    <t>domain@shafa.com</t>
  </si>
  <si>
    <t>2017-02-09</t>
  </si>
  <si>
    <t>爱鲜蜂</t>
  </si>
  <si>
    <t>爱鲜蜂是一家基于移动终端定位的生鲜加强版社区电商平台，致力于打造以共享经济为基础的1小时速达掌上便利店，专注于社区最后一公里配送，主打一小时闪电送达。</t>
  </si>
  <si>
    <t>北京众成汇通信息技术有限公司</t>
  </si>
  <si>
    <t>http://www.beequick.cn/</t>
  </si>
  <si>
    <t>2014-05</t>
  </si>
  <si>
    <t>电商零售</t>
  </si>
  <si>
    <t>生鲜</t>
  </si>
  <si>
    <t>中商惠民网</t>
  </si>
  <si>
    <t>9.2亿</t>
  </si>
  <si>
    <t>张颖:联合创始人,张小铭:联合创始人</t>
  </si>
  <si>
    <t>北京市朝阳区酒仙桥路甲16号新港大厦9层</t>
  </si>
  <si>
    <t>400-8484-842</t>
  </si>
  <si>
    <t>D轮</t>
  </si>
  <si>
    <t>7000万美元</t>
  </si>
  <si>
    <t>红杉资本中国,天图投资,钟鼎资本,中信资本,高瓴投资</t>
  </si>
  <si>
    <t>2000万美元</t>
  </si>
  <si>
    <t>红杉资本中国,天图投资,钟鼎资本,高瓴投资</t>
  </si>
  <si>
    <t>红杉资本中国,清流资本,钟鼎资本</t>
  </si>
  <si>
    <t>1000万人民币</t>
  </si>
  <si>
    <t>清流资本</t>
  </si>
  <si>
    <t>2014-12-02</t>
  </si>
  <si>
    <t>小博无线</t>
  </si>
  <si>
    <t>小博无线是国内领先的商用无线运营平台，拥有小博无线运营平台、推广平台、RippleOS固件等产品。自成立以来，一直致力于商用Wi-Fi产品研发与运营模式创新，为全国商业Wi-Fi运营团队提供全面的运营平台与技术服务。凭借扎实稳定的技术基础，小博无线运营平台已成为国内最大的商用Wi-Fi开放运营平台。</t>
  </si>
  <si>
    <t>成都瑞小博科技有限公司</t>
  </si>
  <si>
    <t>http://www.rippletek.com</t>
  </si>
  <si>
    <t>2014-03</t>
  </si>
  <si>
    <t>企业IT服务</t>
  </si>
  <si>
    <t>3000万</t>
  </si>
  <si>
    <t>1.5亿元</t>
  </si>
  <si>
    <t>徐放:创始人</t>
  </si>
  <si>
    <t>2016-06-16</t>
  </si>
  <si>
    <t>餐饮老板内参</t>
  </si>
  <si>
    <t>餐饮老板内参是一个专注于餐饮垂直行业的新媒体平台，主要为餐饮行业老板提供教育培训、互联网金融与创投孵化等服务，致力于打造餐饮产业链社交与服务平台。公司旗下有自媒体咖门、小灶课堂、好食记等。</t>
  </si>
  <si>
    <t>北京瓦特新媒网络科技有限公司</t>
  </si>
  <si>
    <t>http://www.watcn.cn/</t>
  </si>
  <si>
    <t>2015-02</t>
  </si>
  <si>
    <t>媒体及阅读</t>
  </si>
  <si>
    <t>5000万人民币</t>
  </si>
  <si>
    <t>源码资本,美团,字节跳动,千味央厨</t>
  </si>
  <si>
    <t>7300万</t>
  </si>
  <si>
    <t>2.5亿元</t>
  </si>
  <si>
    <t>秦朝:CEO</t>
  </si>
  <si>
    <t>Pre-A轮</t>
  </si>
  <si>
    <t>狮享家新媒体基金,云起资本</t>
  </si>
  <si>
    <t>微玺投资</t>
  </si>
  <si>
    <t>2018-05-23</t>
  </si>
  <si>
    <t>别样红云PMS</t>
  </si>
  <si>
    <t>别样红云PMS是一家为酒店提供SaaS+PaaS服务的解决方案服务商，上海别样红信息技术有限公司旗下产品。</t>
  </si>
  <si>
    <t>上海别样红信息技术有限公司</t>
  </si>
  <si>
    <t>http://www.beyondh.com</t>
  </si>
  <si>
    <t>2013-05</t>
  </si>
  <si>
    <t>上海-闵行区</t>
  </si>
  <si>
    <t>行业信息化及解决方案</t>
  </si>
  <si>
    <t>黄晓凌:CEO</t>
  </si>
  <si>
    <t>上海市闵行区秀文路898号西子国际中心1号楼12层</t>
  </si>
  <si>
    <t>pms@beyondh.com;yzhang@beyondh.com</t>
  </si>
  <si>
    <t>6000万人民币</t>
  </si>
  <si>
    <t>盈动资本</t>
  </si>
  <si>
    <t>2023-01-10</t>
  </si>
  <si>
    <t>高仙机器人</t>
  </si>
  <si>
    <t>高仙机器人GS-ROBOT是一家商用自动扫地机机器人开发商，主营自动导航搬运车、自动商用扫地机\服务式机器人等自动化商用产品。上海高仙自动化科技发展有限公司旗下产品。</t>
  </si>
  <si>
    <t>上海高仙自动化科技发展有限公司</t>
  </si>
  <si>
    <t>http://www.gs-robot.com/</t>
  </si>
  <si>
    <t>2013-10</t>
  </si>
  <si>
    <t>上海-浦东新区</t>
  </si>
  <si>
    <t>先进制造</t>
  </si>
  <si>
    <t>机器人</t>
  </si>
  <si>
    <t>金拓资本</t>
  </si>
  <si>
    <t>25.47亿</t>
  </si>
  <si>
    <t>90亿元</t>
  </si>
  <si>
    <t>程昊天:CEO</t>
  </si>
  <si>
    <t>上海市浦东新区盛夏路666号D幢10楼</t>
  </si>
  <si>
    <t>400-888-3065</t>
  </si>
  <si>
    <t>info@gs-robot.com</t>
  </si>
  <si>
    <r>
      <t>C</t>
    </r>
    <r>
      <rPr>
        <sz val="9"/>
        <color rgb="FF000000"/>
        <rFont val="楷体"/>
        <charset val="134"/>
      </rPr>
      <t>轮</t>
    </r>
  </si>
  <si>
    <r>
      <t>12</t>
    </r>
    <r>
      <rPr>
        <sz val="9"/>
        <color rgb="FF000000"/>
        <rFont val="楷体"/>
        <charset val="134"/>
      </rPr>
      <t>亿人民币</t>
    </r>
  </si>
  <si>
    <r>
      <rPr>
        <sz val="9"/>
        <color rgb="FF000000"/>
        <rFont val="楷体"/>
        <charset val="134"/>
      </rPr>
      <t>蓝驰创投</t>
    </r>
    <r>
      <rPr>
        <sz val="9"/>
        <color rgb="FF000000"/>
        <rFont val="Arial"/>
        <charset val="134"/>
      </rPr>
      <t>,</t>
    </r>
    <r>
      <rPr>
        <sz val="9"/>
        <color rgb="FF000000"/>
        <rFont val="楷体"/>
        <charset val="134"/>
      </rPr>
      <t>今日资本</t>
    </r>
    <r>
      <rPr>
        <sz val="9"/>
        <color rgb="FF000000"/>
        <rFont val="Arial"/>
        <charset val="134"/>
      </rPr>
      <t>,</t>
    </r>
    <r>
      <rPr>
        <sz val="9"/>
        <color rgb="FF000000"/>
        <rFont val="楷体"/>
        <charset val="134"/>
      </rPr>
      <t>远翼投资</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软银愿景基金</t>
    </r>
    <r>
      <rPr>
        <sz val="9"/>
        <color rgb="FF000000"/>
        <rFont val="Arial"/>
        <charset val="134"/>
      </rPr>
      <t>,</t>
    </r>
    <r>
      <rPr>
        <sz val="9"/>
        <color rgb="FF000000"/>
        <rFont val="楷体"/>
        <charset val="134"/>
      </rPr>
      <t>金镒资本</t>
    </r>
  </si>
  <si>
    <t>B+轮</t>
  </si>
  <si>
    <t>龙湖资本</t>
  </si>
  <si>
    <r>
      <rPr>
        <sz val="9"/>
        <color rgb="FF000000"/>
        <rFont val="楷体"/>
        <charset val="134"/>
      </rPr>
      <t>数亿人民币</t>
    </r>
  </si>
  <si>
    <r>
      <rPr>
        <sz val="9"/>
        <color rgb="FF000000"/>
        <rFont val="楷体"/>
        <charset val="134"/>
      </rPr>
      <t>腾讯投资</t>
    </r>
    <r>
      <rPr>
        <sz val="9"/>
        <color rgb="FF000000"/>
        <rFont val="Arial"/>
        <charset val="134"/>
      </rPr>
      <t>,</t>
    </r>
    <r>
      <rPr>
        <sz val="9"/>
        <color rgb="FF000000"/>
        <rFont val="楷体"/>
        <charset val="134"/>
      </rPr>
      <t>美团</t>
    </r>
  </si>
  <si>
    <t>1.5亿人民币</t>
  </si>
  <si>
    <t>蓝驰创投,KIP韩投伙伴,远翼投资,中信建投资本,博华资本,鹏博恒泰</t>
  </si>
  <si>
    <t>1亿人民币</t>
  </si>
  <si>
    <t>蓝驰创投,七海资本,远翼投资,博华资本</t>
  </si>
  <si>
    <t>蓝驰创投,七海资本</t>
  </si>
  <si>
    <t>创业接力,七海资本</t>
  </si>
  <si>
    <t>200万人民币</t>
  </si>
  <si>
    <t>创业接力</t>
  </si>
  <si>
    <t>2016-06-22</t>
  </si>
  <si>
    <t>美甲帮</t>
  </si>
  <si>
    <t>美甲帮是一个O2O模式的手机美甲应用及社区，美甲师可以开自己的微店、提供专业美甲服务，广州牧云网络科技有限公司旗下产品。</t>
  </si>
  <si>
    <t>广州牧云网络科技有限公司</t>
  </si>
  <si>
    <t>http://www.meijiabang.cn/</t>
  </si>
  <si>
    <t>2013-06</t>
  </si>
  <si>
    <t>广东-广州</t>
  </si>
  <si>
    <t>美业服务</t>
  </si>
  <si>
    <t>经纬创投,美团,点亮基金</t>
  </si>
  <si>
    <t>2.15亿</t>
  </si>
  <si>
    <t>9.75亿元</t>
  </si>
  <si>
    <t>余剑楠:CEO,张剑光:CTO</t>
  </si>
  <si>
    <t>2016-04-20</t>
  </si>
  <si>
    <t>宅米</t>
  </si>
  <si>
    <t>宅米是一个校园生活服务平台，主要面向高校大学生，通过在每栋寝室楼里找学生做楼长代理人，与楼长进行分成的模式完成备货、送货等流程，为用户提供零食日杂配送、早餐水果外卖、快递代取上门等服务，旗下夜猫超市为全天24小时营业。</t>
  </si>
  <si>
    <t>上海千叶网络科技有限公司</t>
  </si>
  <si>
    <t>http://zhai.me</t>
  </si>
  <si>
    <t>2014-10</t>
  </si>
  <si>
    <t>综合生活服务</t>
  </si>
  <si>
    <t>朗盛投资</t>
  </si>
  <si>
    <t>6.71亿</t>
  </si>
  <si>
    <t>11.999亿元</t>
  </si>
  <si>
    <t>孙高峰:CEO,李海波:CTO,贾瑞晖:CPO,戴文博:联合创始人</t>
  </si>
  <si>
    <t>3500万美元</t>
  </si>
  <si>
    <t>BAI资本,祥峰投资Vertex,联创永宣,高榕资本,美团</t>
  </si>
  <si>
    <t>BAI资本,分期乐</t>
  </si>
  <si>
    <t>祥峰投资Vertex</t>
  </si>
  <si>
    <t>惠泽天下创投</t>
  </si>
  <si>
    <t>任飞资本(任飞投资中心)</t>
  </si>
  <si>
    <t>2018-10-10</t>
  </si>
  <si>
    <t>美菜网</t>
  </si>
  <si>
    <t>美菜网是中国餐饮供应链杰出服务商，致力于用前卫的理念和先进的科技改变落后的中国农业市场，专注为全国近千万家餐厅，提供全品类、全程无忧的餐饮食材采购服务。</t>
  </si>
  <si>
    <t>北京云杉信息技术有限公司</t>
  </si>
  <si>
    <t>http://www.meicai.cn/</t>
  </si>
  <si>
    <t>F轮</t>
  </si>
  <si>
    <t>6亿美元</t>
  </si>
  <si>
    <t>高瓴投资,Tiger Global老虎海外</t>
  </si>
  <si>
    <t>101.95亿</t>
  </si>
  <si>
    <t>455亿元</t>
  </si>
  <si>
    <t>刘传军:CEO,徐薛胤:CTO,王灿:CFO</t>
  </si>
  <si>
    <t>北京市朝阳区安贞路安贞西里5区1号楼新华金融大厦3-4层</t>
  </si>
  <si>
    <t>4006-135-135</t>
  </si>
  <si>
    <t>hezuo@meicai.cn</t>
  </si>
  <si>
    <t>顺为资本</t>
  </si>
  <si>
    <t>E轮</t>
  </si>
  <si>
    <t>4.5亿美元</t>
  </si>
  <si>
    <t>Tiger Global老虎海外,CMC资本</t>
  </si>
  <si>
    <t>国开国际投资</t>
  </si>
  <si>
    <t>2亿美元</t>
  </si>
  <si>
    <t>厚朴基金</t>
  </si>
  <si>
    <t>H Capital,美团</t>
  </si>
  <si>
    <t>顺为资本,蓝湖资本</t>
  </si>
  <si>
    <t>蓝湖资本</t>
  </si>
  <si>
    <t>真格基金</t>
  </si>
  <si>
    <t>2018-06-14</t>
  </si>
  <si>
    <t>幻熊科技</t>
  </si>
  <si>
    <t>幻熊科技是基于SaaS的婚庆行业S2B2C平台，从传统婚庆门店销售系统切入，提供标准化、体验化、智能化的辅助销售工具及供应链服务聚合平台，并借助虚拟现实技术实时渲染呈现婚礼场景。</t>
  </si>
  <si>
    <t>杭州幻熊科技有限公司</t>
  </si>
  <si>
    <t>http://www.halobear.com</t>
  </si>
  <si>
    <t>2014-02</t>
  </si>
  <si>
    <t>上海-静安区</t>
  </si>
  <si>
    <t>婚礼婚庆</t>
  </si>
  <si>
    <t>口碑</t>
  </si>
  <si>
    <t>3.23亿</t>
  </si>
  <si>
    <t>15亿元</t>
  </si>
  <si>
    <t>上海市静安区江场路1377号绿地中央广场3号楼</t>
  </si>
  <si>
    <t>400-025-8717</t>
  </si>
  <si>
    <t>普华资本,浅石创投,美团</t>
  </si>
  <si>
    <t>曹国熊</t>
  </si>
  <si>
    <t>2023-02-10</t>
  </si>
  <si>
    <t>禾赛科技</t>
  </si>
  <si>
    <t>禾赛科技专注于开发激光传感器，目前产品线包括用于无人驾驶和机器人的激光雷达，以及用于能源行业安全巡检的激光遥测系统等。禾赛科技自主研发的激光雷达Pandar40已经装在了硅谷、底特律、匹兹堡及欧洲和祖国各地的数十家顶尖自动驾驶公司的无人车上。美国加州现有的52家获得无人车公开道路测试牌照的高科技公司中，超过1/3已经是禾赛Pandar40的付费客户。</t>
  </si>
  <si>
    <t>上海禾赛科技有限公司</t>
  </si>
  <si>
    <t>https://www.hesaitech.com/zh</t>
  </si>
  <si>
    <t>上海-青浦区</t>
  </si>
  <si>
    <t>汽车交通</t>
  </si>
  <si>
    <t>自动/无人驾驶</t>
  </si>
  <si>
    <t>1.9亿美元</t>
  </si>
  <si>
    <t>51.44亿</t>
  </si>
  <si>
    <t>156亿元</t>
  </si>
  <si>
    <t>李一帆:CEO,向少卿:CTO,孙恺:首席科学家</t>
  </si>
  <si>
    <t>上海市诸光路1588号虹桥世界中心L2栋</t>
  </si>
  <si>
    <t>400-805-1233</t>
  </si>
  <si>
    <t>info@hesaitech.com</t>
  </si>
  <si>
    <t>D+轮</t>
  </si>
  <si>
    <t>小米集团</t>
  </si>
  <si>
    <t>3亿美元</t>
  </si>
  <si>
    <t>启明创投,光速光合,小米集团,CPE源峰,Lightspeed Venture Partners光速全球,美团,华泰证券,高瓴创投</t>
  </si>
  <si>
    <t>1.73亿美元</t>
  </si>
  <si>
    <t>启明创投,光速光合,德同资本,博世中国,美国安森美半导体,新加坡Axiom</t>
  </si>
  <si>
    <t>2.5亿人民币</t>
  </si>
  <si>
    <t>真格基金,光速光合,百度</t>
  </si>
  <si>
    <t>1.1亿人民币</t>
  </si>
  <si>
    <t>磐谷创投,远瞻资本,鼎和高达,将门创投</t>
  </si>
  <si>
    <t>PreAngel,大米创投,远瞻资本</t>
  </si>
  <si>
    <t>2015-03-04</t>
  </si>
  <si>
    <t>光线传媒成立于1998年，是国内一家民营综合性文娱集团，主营业务包括电视节目制作与发行，电影投资、制作、宣发，电视剧投资、发行，艺人经纪，新媒体互联网、游戏等。公司于2011年8月3日在登陆深圳创业板。</t>
  </si>
  <si>
    <t>北京光线传媒股份有限公司</t>
  </si>
  <si>
    <t>http://www.ewang.com/</t>
  </si>
  <si>
    <t>1998-02</t>
  </si>
  <si>
    <t>24亿人民币</t>
  </si>
  <si>
    <t>阿里巴巴,美团</t>
  </si>
  <si>
    <t>38.4亿</t>
  </si>
  <si>
    <t>120亿元</t>
  </si>
  <si>
    <t>王长田:创始</t>
  </si>
  <si>
    <t>14.4亿人民币</t>
  </si>
  <si>
    <t>2020-02-11</t>
  </si>
  <si>
    <t>易酒批</t>
  </si>
  <si>
    <r>
      <rPr>
        <sz val="9"/>
        <color rgb="FF000000"/>
        <rFont val="楷体"/>
        <charset val="134"/>
      </rPr>
      <t>易酒批</t>
    </r>
  </si>
  <si>
    <r>
      <rPr>
        <sz val="9"/>
        <color rgb="FF000000"/>
        <rFont val="楷体"/>
        <charset val="134"/>
      </rPr>
      <t>易酒批是一家快消品产业互联网平台，始终秉持着</t>
    </r>
    <r>
      <rPr>
        <sz val="9"/>
        <color rgb="FF000000"/>
        <rFont val="Arial"/>
        <charset val="134"/>
      </rPr>
      <t>“</t>
    </r>
    <r>
      <rPr>
        <sz val="9"/>
        <color rgb="FF000000"/>
        <rFont val="楷体"/>
        <charset val="134"/>
      </rPr>
      <t>通过数字化改造、提升快消产业效率</t>
    </r>
    <r>
      <rPr>
        <sz val="9"/>
        <color rgb="FF000000"/>
        <rFont val="Arial"/>
        <charset val="134"/>
      </rPr>
      <t>”</t>
    </r>
    <r>
      <rPr>
        <sz val="9"/>
        <color rgb="FF000000"/>
        <rFont val="楷体"/>
        <charset val="134"/>
      </rPr>
      <t>的企业使命，提供酒水</t>
    </r>
    <r>
      <rPr>
        <sz val="9"/>
        <color rgb="FF000000"/>
        <rFont val="Arial"/>
        <charset val="134"/>
      </rPr>
      <t>B2B</t>
    </r>
    <r>
      <rPr>
        <sz val="9"/>
        <color rgb="FF000000"/>
        <rFont val="楷体"/>
        <charset val="134"/>
      </rPr>
      <t>电子商务平台。</t>
    </r>
  </si>
  <si>
    <t>北京易酒批电子商务有限公司</t>
  </si>
  <si>
    <t>http://www.yijiupi.com</t>
  </si>
  <si>
    <t>2014-09</t>
  </si>
  <si>
    <r>
      <rPr>
        <sz val="9"/>
        <color rgb="FF000000"/>
        <rFont val="楷体"/>
        <charset val="134"/>
      </rPr>
      <t>北京</t>
    </r>
    <r>
      <rPr>
        <sz val="9"/>
        <color rgb="FF000000"/>
        <rFont val="Arial"/>
        <charset val="134"/>
      </rPr>
      <t>-</t>
    </r>
    <r>
      <rPr>
        <sz val="9"/>
        <color rgb="FF000000"/>
        <rFont val="楷体"/>
        <charset val="134"/>
      </rPr>
      <t>朝阳区</t>
    </r>
  </si>
  <si>
    <r>
      <rPr>
        <sz val="9"/>
        <color rgb="FF000000"/>
        <rFont val="楷体"/>
        <charset val="134"/>
      </rPr>
      <t>食品饮料</t>
    </r>
  </si>
  <si>
    <r>
      <t>D+</t>
    </r>
    <r>
      <rPr>
        <sz val="9"/>
        <color rgb="FF000000"/>
        <rFont val="楷体"/>
        <charset val="134"/>
      </rPr>
      <t>轮</t>
    </r>
  </si>
  <si>
    <r>
      <rPr>
        <sz val="9"/>
        <color rgb="FF000000"/>
        <rFont val="楷体"/>
        <charset val="134"/>
      </rPr>
      <t>未透露美元</t>
    </r>
  </si>
  <si>
    <r>
      <rPr>
        <sz val="9"/>
        <color rgb="FF000000"/>
        <rFont val="楷体"/>
        <charset val="134"/>
      </rPr>
      <t>东方富海</t>
    </r>
    <r>
      <rPr>
        <sz val="9"/>
        <color rgb="FF000000"/>
        <rFont val="Arial"/>
        <charset val="134"/>
      </rPr>
      <t>,</t>
    </r>
    <r>
      <rPr>
        <sz val="9"/>
        <color rgb="FF000000"/>
        <rFont val="楷体"/>
        <charset val="134"/>
      </rPr>
      <t>汉能投资</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琢石投资</t>
    </r>
    <r>
      <rPr>
        <sz val="9"/>
        <color rgb="FF000000"/>
        <rFont val="Arial"/>
        <charset val="134"/>
      </rPr>
      <t>,</t>
    </r>
    <r>
      <rPr>
        <sz val="9"/>
        <color rgb="FF000000"/>
        <rFont val="楷体"/>
        <charset val="134"/>
      </rPr>
      <t>普洛斯</t>
    </r>
    <r>
      <rPr>
        <sz val="9"/>
        <color rgb="FF000000"/>
        <rFont val="Arial"/>
        <charset val="134"/>
      </rPr>
      <t>GLP,</t>
    </r>
    <r>
      <rPr>
        <sz val="9"/>
        <color rgb="FF000000"/>
        <rFont val="楷体"/>
        <charset val="134"/>
      </rPr>
      <t>隐山资本</t>
    </r>
    <r>
      <rPr>
        <sz val="9"/>
        <color rgb="FF000000"/>
        <rFont val="Arial"/>
        <charset val="134"/>
      </rPr>
      <t>,</t>
    </r>
    <r>
      <rPr>
        <sz val="9"/>
        <color rgb="FF000000"/>
        <rFont val="楷体"/>
        <charset val="134"/>
      </rPr>
      <t>美团龙珠</t>
    </r>
  </si>
  <si>
    <r>
      <t>44.9</t>
    </r>
    <r>
      <rPr>
        <sz val="9"/>
        <color rgb="FF000000"/>
        <rFont val="楷体"/>
        <charset val="134"/>
      </rPr>
      <t>亿</t>
    </r>
  </si>
  <si>
    <r>
      <t>117</t>
    </r>
    <r>
      <rPr>
        <sz val="9"/>
        <color rgb="FF000000"/>
        <rFont val="楷体"/>
        <charset val="134"/>
      </rPr>
      <t>亿元</t>
    </r>
  </si>
  <si>
    <r>
      <rPr>
        <sz val="9"/>
        <color rgb="FF000000"/>
        <rFont val="楷体"/>
        <charset val="134"/>
      </rPr>
      <t>陈晟强</t>
    </r>
    <r>
      <rPr>
        <sz val="9"/>
        <color rgb="FF000000"/>
        <rFont val="Arial"/>
        <charset val="134"/>
      </rPr>
      <t>:COO,</t>
    </r>
    <r>
      <rPr>
        <sz val="9"/>
        <color rgb="FF000000"/>
        <rFont val="楷体"/>
        <charset val="134"/>
      </rPr>
      <t>王朝成</t>
    </r>
    <r>
      <rPr>
        <sz val="9"/>
        <color rgb="FF000000"/>
        <rFont val="Arial"/>
        <charset val="134"/>
      </rPr>
      <t>:CEO</t>
    </r>
  </si>
  <si>
    <t>北京市朝阳区融科望京中心B座505</t>
  </si>
  <si>
    <t>400-019-9197</t>
  </si>
  <si>
    <t>ejiupi@yijiupi.com</t>
  </si>
  <si>
    <t>8000万美元</t>
  </si>
  <si>
    <t>1亿美元</t>
  </si>
  <si>
    <t>华平投资</t>
  </si>
  <si>
    <t>腾讯投资,源码资本,光大集团,美团</t>
  </si>
  <si>
    <t>景林投资,华盖资本,源码资本,光源资本,美团</t>
  </si>
  <si>
    <t>2亿人民币</t>
  </si>
  <si>
    <t>钟鼎资本,源码资本,光源资本,元生资本</t>
  </si>
  <si>
    <t>BAI资本,景林投资,源码资本,光源资本,雍创资本</t>
  </si>
  <si>
    <t>BAI资本,雍创资本</t>
  </si>
  <si>
    <t>2022-01-29</t>
  </si>
  <si>
    <t>Swiggy是印度一家外卖点餐速递平台，旗下拥有一个超过150人的快递团队，当用户点单之后，这些快递人员会前往各个饭店，把美食打包快速送到用户手上。</t>
  </si>
  <si>
    <t>http://www.swiggy.in/</t>
  </si>
  <si>
    <t>2014-08</t>
  </si>
  <si>
    <t>亚洲-印度</t>
  </si>
  <si>
    <t>7亿美元</t>
  </si>
  <si>
    <t>Prosus Ventures-Naspers,Smile Group,Kotak Mahindra Bank,Alpha Wave Global,IIFL,Qatar Investment Authority,Invesco,Baron Capital Group,Sumeru Venture,Axis Growth,Sixteenth Street Capital,Ghisallo,Segantii Capital,ARK Impact</t>
  </si>
  <si>
    <t>283.69亿</t>
  </si>
  <si>
    <t>695.5亿元</t>
  </si>
  <si>
    <t>Aakash Bhotika:Assitant Vice-President of Supply,Abhinav Vijayvargiya:Director, Finance,Alok Jain:Entrepreneur in Residence,Anuj Rathi:VP - Products,Asha Bhat:Director, Human Resources,Ashay Tamhane:Staff Data Scientist,Ashish Chaterjee:Vice President,Ashley DSouza:Head of Business Strategy and Planning,Ayush Gupta:Engineering Manager,Dale Vaz:Head of Engineering,Deepak Modak:Engineering Manager,Girish Menon:Head HR,Kranthi Mitra:Principal Data Scientist,Madhusudhan Rao:SVP ConsumerTech and FinTech,Mitali Kalra:Director, Ops Strategy,Nabhojit Ghosh:Head of Culinary Innovation,Nandan Reddy:Co-Founder,Naveen Jamal:Engineer,Ninad Karandikar:Cluster Head of New Supply,Phani Kishan Addepalli:Co-Founder,Rahul Bothra:Chief Financial Officer,Rahul Jaimini:Co-Founder,Rajesh Rebala:Business Head for Swiggy Stores,Rohit Kapoor:Chief Executive Officer - Food Marketplace,Samrat Shekhar:Senior Software Engineer,Sandeep Mina:Vice President,Shivangi Srivastava:New Initiatives,Shubham Singhal:Software Development Engineer - 1,Souparnika HP:Marketing Executive,Sriharsha Majety:Co-Founder and Chief Executive Officer,Srinath Rangamani:Head of Design,Srivats TS:Vice-President of Marketing,Vinit Bothra:Engineering Manager,Vishal Bhatia:CEO, Swiggy New Supply</t>
  </si>
  <si>
    <t>rahul@swiggy.in</t>
  </si>
  <si>
    <t>12.5亿美元</t>
  </si>
  <si>
    <t>高盛GoldmanSachs(国外),Prosus Ventures-Naspers,卡塔尔投资局QIA,软银愿景基金</t>
  </si>
  <si>
    <t>8亿美元</t>
  </si>
  <si>
    <t>Accel Partners,高盛GoldmanSachs(国外),Prosus Ventures-Naspers,Alpha Wave Global,Think Investments,Amansa Holdings,Carmignac</t>
  </si>
  <si>
    <t>4300万美元</t>
  </si>
  <si>
    <t xml:space="preserve">腾讯投资,Samsung Ventures三星,KIP韩投伙伴,Mirae Asset Capital Markets,Ark Impact </t>
  </si>
  <si>
    <r>
      <t>1.13</t>
    </r>
    <r>
      <rPr>
        <sz val="9"/>
        <color rgb="FF000000"/>
        <rFont val="楷体"/>
        <charset val="134"/>
      </rPr>
      <t>亿美元</t>
    </r>
  </si>
  <si>
    <r>
      <t>Wellington Management,Prosus Ventures-Naspers,</t>
    </r>
    <r>
      <rPr>
        <sz val="9"/>
        <color rgb="FF000000"/>
        <rFont val="楷体"/>
        <charset val="134"/>
      </rPr>
      <t>美团</t>
    </r>
  </si>
  <si>
    <t>H轮</t>
  </si>
  <si>
    <t>10亿美元</t>
  </si>
  <si>
    <t>腾讯投资,DST Global,高瓴投资,Wellington Management,Prosus Ventures-Naspers,Coatue Management,美团龙珠</t>
  </si>
  <si>
    <t>G轮</t>
  </si>
  <si>
    <t>2.1亿美元</t>
  </si>
  <si>
    <t>DST Global,Prosus Ventures-Naspers,Coatue Management,美团</t>
  </si>
  <si>
    <t>Prosus Ventures-Naspers,美团龙珠</t>
  </si>
  <si>
    <t>Prosus Ventures-Naspers</t>
  </si>
  <si>
    <t>1500万美元</t>
  </si>
  <si>
    <t>Bessemer Venture Partners</t>
  </si>
  <si>
    <t>赛富基金SAIF Partners,Accel Partners</t>
  </si>
  <si>
    <t>1650万美元</t>
  </si>
  <si>
    <t>Norwest Venture Partners</t>
  </si>
  <si>
    <t>2021-08-12</t>
  </si>
  <si>
    <t>理想汽车</t>
  </si>
  <si>
    <t>理想汽车（前身车和家）致力于打造全新智能电动交通工具，改变用户传统的出行体验。车和家将推出两款战略产品：小而美的SEV（Smart Electric Vehicle）将满足城市1～2人的短途出行，大而强的SUV则将满足家庭用户中长途的出行需要。同时，将通过先进的电动技术、智能驾驶技术和人机交互技术为用户提供全新的智能出行体验。</t>
  </si>
  <si>
    <t>北京车和家信息技术有限公司</t>
  </si>
  <si>
    <t>https://www.lixiang.com/</t>
  </si>
  <si>
    <t>2015-07</t>
  </si>
  <si>
    <t>汽车制造</t>
  </si>
  <si>
    <t>115.5亿港元</t>
  </si>
  <si>
    <t>312.61亿</t>
  </si>
  <si>
    <t>1920亿元</t>
  </si>
  <si>
    <t>李想:CEO,沈亚楠:联合创始人,马东辉:联合创始人,李铁:CFO,王凯:CTO,谢炎:CTO</t>
  </si>
  <si>
    <t>北京市朝阳区望京街10号院3号楼8层801室</t>
  </si>
  <si>
    <t>10.93亿美元</t>
  </si>
  <si>
    <t>基石轮</t>
  </si>
  <si>
    <t>3.8亿美元</t>
  </si>
  <si>
    <t>美团,字节跳动,王兴,王慧文</t>
  </si>
  <si>
    <t>5.5亿美元</t>
  </si>
  <si>
    <t>美团,李想</t>
  </si>
  <si>
    <t>5.3亿美元</t>
  </si>
  <si>
    <t>经纬创投,蓝驰创投,明势资本,字节跳动,王兴,李想,微木资本</t>
  </si>
  <si>
    <t>30亿人民币</t>
  </si>
  <si>
    <t>经纬创投,蓝驰创投,明势资本,梅花创投,源码资本,首钢基金(京西创投),泛城资本,银泰集团</t>
  </si>
  <si>
    <t>6.2亿人民币</t>
  </si>
  <si>
    <t>蓝驰创投,明势资本,Star VC,利欧集团股份,源码资本,元璟资本,中金甲子,李想,嘉源启航创投</t>
  </si>
  <si>
    <t>7.8亿人民币</t>
  </si>
  <si>
    <t>明势资本,华兴资本,利欧集团股份,梅花创投,源码资本,常州政府产业基金</t>
  </si>
  <si>
    <t>明势资本</t>
  </si>
  <si>
    <t>2023-05-09</t>
  </si>
  <si>
    <t>奥琦玮是一家餐饮信息化服务提供商，致力于帮助餐饮业投资者、管理者提高管理收益、降低运营成本、提高服务水平和拓宽营业渠道，旗下有餐行健、轩亚、品智、祥云、门铺集五大产品。</t>
  </si>
  <si>
    <t>奥琦玮信息科技（北京）有限公司</t>
  </si>
  <si>
    <t>http://www.acewill.cn/</t>
  </si>
  <si>
    <t>2006-11</t>
  </si>
  <si>
    <t>微盟</t>
  </si>
  <si>
    <t>9.6亿</t>
  </si>
  <si>
    <t>22.2亿元</t>
  </si>
  <si>
    <t>孔令博:CEO</t>
  </si>
  <si>
    <t>广发信德,千合资本,盛宇投资,北创投</t>
  </si>
  <si>
    <t>汇付天下</t>
  </si>
  <si>
    <t>红杉资本中国,美团</t>
  </si>
  <si>
    <t>红杉资本中国</t>
  </si>
  <si>
    <t>2021-05-17</t>
  </si>
  <si>
    <t>Gojek</t>
  </si>
  <si>
    <t>Go-Jek是一家印尼打车与租车服务提供商，起初为用户提供叫摩的与外卖配送的服务，后来将业务线延伸至共享出租车领域，整合闲置的私家车，把私家车与出行的用户连接在一起，为用户提供便捷的出行服务。</t>
  </si>
  <si>
    <t>http://go-jek.com/</t>
  </si>
  <si>
    <t>2011-05</t>
  </si>
  <si>
    <t>亚洲-印度尼西亚</t>
  </si>
  <si>
    <t>交通出行</t>
  </si>
  <si>
    <t>Tokopedia</t>
  </si>
  <si>
    <t>360.75亿</t>
  </si>
  <si>
    <t>Alexey Pakhomov:Head of Engineering,Antoine de Carbonnel:Chief Commercial Officer,Christopher Oentojo:VP of Product,Dewanto Prasetyo:District Merchant Manager,Giri Kuncoro:Senior System Engineer,Imre Nagi:Cloud Platform Engineer,Jyotsna Gupta:Senior Software Engineer,Kevin Aluwi:CEO,Lien Choong Luen:Singapore GM,Michaelangelo Moran:Co-Founder, Brand Director,Nadiem Makarim:Co-founder,Pratyush Prasanna:SVP of Merchant Payments,Praveen Prashant:Data Scientist,Riestra Rahmadhani:Talent Acquisition,Saurabh Shukul:Head of Engineering - Cartography,Scott Lee:COO,Severan Rault:Group CTO,Shahram Anver:Head of Data Science Platform &amp; Product Operations,Siddhant Srivastav:Software Development Engineer,Sidu Ponnappa Chonira:SVP Engineering, Internal Products,Sumit Raj:Interaction Designer,Timothy Trutna:Division Tech Lead, Marketplace,Yogesh Kumar Jha:Engineering Manager,Hian Goh:Series A Investor,Gurnoor Dhillon:Vice President: Head of Brand Partnerships &amp; Retail Innovation,Boris Hajduk:CISO</t>
  </si>
  <si>
    <t>Telkomsel</t>
  </si>
  <si>
    <t>1.5亿美元</t>
  </si>
  <si>
    <t>Meta,PayPal</t>
  </si>
  <si>
    <t>12亿美元</t>
  </si>
  <si>
    <t>Visa,天马创投Pegasus Tech Ventures,Mitsubishi Motors</t>
  </si>
  <si>
    <t>5000万美元</t>
  </si>
  <si>
    <t>Cool Japan Fund</t>
  </si>
  <si>
    <t>Visa</t>
  </si>
  <si>
    <t>三菱集团</t>
  </si>
  <si>
    <t>Astra</t>
  </si>
  <si>
    <t>腾讯投资,DST Global,华平投资,淡马锡Temasek,京东,Sequoia Capital红杉,Google谷歌,美团,Provident Capital,三菱公司</t>
  </si>
  <si>
    <t>15亿美元</t>
  </si>
  <si>
    <t>腾讯投资,淡马锡Temasek,GV,黑石集团Blackstone,新世界策略投资</t>
  </si>
  <si>
    <t>数亿美元</t>
  </si>
  <si>
    <t>腾讯投资,京东</t>
  </si>
  <si>
    <t>DST Global,Sequoia Capital红杉,KKR,Openspace Ventures</t>
  </si>
  <si>
    <t>Rakuten Ventures,Openspace Ventures</t>
  </si>
  <si>
    <t>Sequoia Capital红杉</t>
  </si>
  <si>
    <t>Openspace Ventures</t>
  </si>
  <si>
    <t>2021-12-29</t>
  </si>
  <si>
    <t>领健</t>
  </si>
  <si>
    <t>领健为口腔诊所、医美机构、生美机构提供经营管理一体化系统。提供了覆盖单店管理、连锁管理、健康档案/电子病历、客户关系管理、智能营销、B2B交易平台、进销存、保险支付、影像集成、BI商业智能等覆盖机构业务全流程的一体化SaaS软件。 同时通过开放平台连接产业上下游，与优质的第三方平台合作，为机构提供完整配套的一站式服务。</t>
  </si>
  <si>
    <t>上海领健信息技术有限公司</t>
  </si>
  <si>
    <t>http://www.linkedcare.cn</t>
  </si>
  <si>
    <t>2015-05</t>
  </si>
  <si>
    <t>医疗健康</t>
  </si>
  <si>
    <t>医疗信息化</t>
  </si>
  <si>
    <t>同创伟业,干嘉伟</t>
  </si>
  <si>
    <t>17.93亿</t>
  </si>
  <si>
    <t>58.5亿元</t>
  </si>
  <si>
    <t>吴志家:创始人,李锋:产品负责人</t>
  </si>
  <si>
    <t>浦东新区碧波路912弄华依创新园11号楼</t>
  </si>
  <si>
    <t>400-821-3720</t>
  </si>
  <si>
    <t>contact@linkedcare.cn</t>
  </si>
  <si>
    <t>经纬创投,光速光合,新氧,金鼎资本,Investcorp,盛业资本</t>
  </si>
  <si>
    <t>C+轮</t>
  </si>
  <si>
    <t>经纬创投,光速光合,新氧</t>
  </si>
  <si>
    <t>朗玛峰创投,泰康保险</t>
  </si>
  <si>
    <t>复星医药</t>
  </si>
  <si>
    <t>复星同浩</t>
  </si>
  <si>
    <t>经纬创投,丁香园</t>
  </si>
  <si>
    <t>2015-03-20</t>
  </si>
  <si>
    <t>同达快送</t>
  </si>
  <si>
    <t>同达快送（同达快递）是一家为大型连锁餐饮企业提供线下送餐服务的同城O2O配送品牌，客户包括麦当劳、肯德基、吉野家、永和大王、宏状元、汉堡王等，大连同达企业管理有限公司旗下产品。</t>
  </si>
  <si>
    <t>大连同达企业管理有限公司</t>
  </si>
  <si>
    <t>2013-07</t>
  </si>
  <si>
    <t>辽宁-大连</t>
  </si>
  <si>
    <t>物流</t>
  </si>
  <si>
    <t>同城物流</t>
  </si>
  <si>
    <t>谭志勇:CEO</t>
  </si>
  <si>
    <t>2018-05-16</t>
  </si>
  <si>
    <t>屏芯科技</t>
  </si>
  <si>
    <t>屏芯科技是餐饮云ERP服务商，服务中小餐饮企业，提供会员、排队、手机点餐、收银等多种餐饮企业提供信息化解决方案产品。</t>
  </si>
  <si>
    <t>北京屏芯科技有限公司</t>
  </si>
  <si>
    <t>http://www.passiontec.cn/</t>
  </si>
  <si>
    <t>2008-11</t>
  </si>
  <si>
    <t>6000万</t>
  </si>
  <si>
    <t>郭佳肃:创始人</t>
  </si>
  <si>
    <t>北京市海淀区中关村东路1号院8号楼D座11层</t>
  </si>
  <si>
    <t>400-060-0809</t>
  </si>
  <si>
    <t>zhangqingxia@passiontec.cn</t>
  </si>
  <si>
    <t>大众点评网</t>
  </si>
  <si>
    <t>磐霖资本</t>
  </si>
  <si>
    <t>2021-05-08</t>
  </si>
  <si>
    <t>水滴公司</t>
  </si>
  <si>
    <t>水滴公司是一家提供“筹款+互助+保险”业务的公司，通过水滴保险、水滴筹、水滴互助等产品，为广大网民提供事前保险保障的同时，也为中低收入人群提供患病后的医疗资金救助。北京纵情向前科技有限公司旗下产品。</t>
  </si>
  <si>
    <t>北京纵情向前科技有限公司</t>
  </si>
  <si>
    <t>https://www.shuidihuzhu.com/</t>
  </si>
  <si>
    <t>2016-04</t>
  </si>
  <si>
    <t>保险</t>
  </si>
  <si>
    <t>3.48亿美元</t>
  </si>
  <si>
    <t>78.07亿</t>
  </si>
  <si>
    <t>248.495亿元</t>
  </si>
  <si>
    <t>沈鹏:创始人兼CEO,邱慧:合伙人&amp;CTO</t>
  </si>
  <si>
    <t>北京市朝阳区望京科技园C座</t>
  </si>
  <si>
    <t>400-686-1266</t>
  </si>
  <si>
    <t>bd@shuidihuzhu.com</t>
  </si>
  <si>
    <t>厚朴基金,博裕资本,王慧文</t>
  </si>
  <si>
    <t>2.3亿美元</t>
  </si>
  <si>
    <t>IDG资本,腾讯投资,点亮基金,瑞士再保险</t>
  </si>
  <si>
    <t>腾讯投资,高榕资本,元钛基金,博裕资本,凯智资本,中金资本</t>
  </si>
  <si>
    <t>5亿人民币</t>
  </si>
  <si>
    <t>IDG资本,创新工场,蓝驰创投,腾讯投资,高榕资本,Yuri Milner,吴宵光</t>
  </si>
  <si>
    <t>1.6亿人民币</t>
  </si>
  <si>
    <t>IDG资本,创新工场,蓝驰创投,腾讯投资,高榕资本,美团,睿嘉资产,彤程新材</t>
  </si>
  <si>
    <t>IDG资本,真格基金,腾讯投资,高榕资本,初心资本,美团,点亮基金</t>
  </si>
  <si>
    <t>2016-06-03</t>
  </si>
  <si>
    <t>必去科技</t>
  </si>
  <si>
    <t>必去科技是一家基于航空公司官网直连的机票直销平台，只卖官网机票，不索要佣金、不收取费用，北京泰复航空服务有限公司旗下产品。</t>
  </si>
  <si>
    <t>北京泰复航空服务有限公司</t>
  </si>
  <si>
    <t>http://www.biqu365.com</t>
  </si>
  <si>
    <t>2013-09</t>
  </si>
  <si>
    <t>3300万</t>
  </si>
  <si>
    <t>马国华:CEO</t>
  </si>
  <si>
    <t>010-57489156</t>
  </si>
  <si>
    <t>xiedefang@panatrip.net</t>
  </si>
  <si>
    <t>2018-04-04</t>
  </si>
  <si>
    <t>摩拜单车</t>
  </si>
  <si>
    <t>摩拜单车是一家互联网短途出行解决方案，是无桩借还车模式的智能硬件，旨在让用户无需办卡，只需下载摩拜单车App完成注册、扫码解锁、支付、还车的全过程服务。2020年12月14日晚，摩拜App、摩拜微信小程序将停止服务和运营。目前，摩拜单车已接入美团App。</t>
  </si>
  <si>
    <t>北京摩拜科技有限公司</t>
  </si>
  <si>
    <t>http://www.mobike.com/</t>
  </si>
  <si>
    <t>2015-01</t>
  </si>
  <si>
    <t>27亿美元</t>
  </si>
  <si>
    <t>353.16亿</t>
  </si>
  <si>
    <t>877.5亿元</t>
  </si>
  <si>
    <t>王晓峰:CEO,胡玮炜:总裁,李斌:董事长,郑顺景:CMO,王兴:董事长,王慧文:总经理,夏一平:CTO</t>
  </si>
  <si>
    <t>北京市海淀区学院路甲5号2幢平房B北-3042室</t>
  </si>
  <si>
    <t>400-811-7799</t>
  </si>
  <si>
    <t>bd@mobike.com</t>
  </si>
  <si>
    <t>高通Qualcomm Ventures</t>
  </si>
  <si>
    <t>红杉资本中国,腾讯投资,高瓴投资,Farallon Capital法拉龙资本,交银国际,工银国际,TPG德太资本,弘卓资本</t>
  </si>
  <si>
    <t>淡马锡Temasek,高瓴投资</t>
  </si>
  <si>
    <t>富士康Foxconn</t>
  </si>
  <si>
    <t>2.15亿美元</t>
  </si>
  <si>
    <t>红杉资本中国,创新工场,启明创投,BAI资本,祥峰投资Vertex,腾讯投资,携程,华平投资,高瓴投资,鸿海集团Foxconn,熊猫资本,愉悦资本,永柏资本PGA Ventures,TPG德太资本,华住酒店集团,弘卓资本</t>
  </si>
  <si>
    <t>5500万美元</t>
  </si>
  <si>
    <t>红杉资本中国,启明创投,BAI资本,腾讯投资,华平投资,高瓴投资</t>
  </si>
  <si>
    <t>红杉资本中国,高瓴投资</t>
  </si>
  <si>
    <t>创新工场,祥峰投资Vertex</t>
  </si>
  <si>
    <t>创新工场,熊猫资本,愉悦资本</t>
  </si>
  <si>
    <t>300万美元</t>
  </si>
  <si>
    <t>愉悦资本</t>
  </si>
  <si>
    <t>146万人民币</t>
  </si>
  <si>
    <t>李斌</t>
  </si>
  <si>
    <t>2022-06-20</t>
  </si>
  <si>
    <t>梅卡曼德机器人</t>
  </si>
  <si>
    <t>梅卡曼德机器人是国内知名的AI+3D+智能工业机器人解决方案提供商，专注于3D视觉领域软硬件产品研发、生产及销售的高新技术企业。梅卡曼德的智能工业机器人解决方案已经在汽车、家电、钢铁厂、食品、物流仓、医药、金融等多个领域实际落地，应用范围涵盖拆码垛、货品拣选、上料、装配、涂胶、定位等。</t>
  </si>
  <si>
    <t>梅卡曼德（北京）机器人科技有限公司</t>
  </si>
  <si>
    <t>http://www.mech-mind.net/</t>
  </si>
  <si>
    <t>2016-10</t>
  </si>
  <si>
    <t>IDG资本</t>
  </si>
  <si>
    <t>17.33亿</t>
  </si>
  <si>
    <t>80亿元</t>
  </si>
  <si>
    <t>邵天兰:CEO,丁有爽:联合创始人,付翱:联合创始人,张建伟:顾问</t>
  </si>
  <si>
    <t>北京市海淀区创业路8号群英科技园4号楼</t>
  </si>
  <si>
    <t>info@mech-mind.net</t>
  </si>
  <si>
    <r>
      <t>C+</t>
    </r>
    <r>
      <rPr>
        <sz val="9"/>
        <color rgb="FF000000"/>
        <rFont val="楷体"/>
        <charset val="134"/>
      </rPr>
      <t>轮</t>
    </r>
  </si>
  <si>
    <r>
      <t>10</t>
    </r>
    <r>
      <rPr>
        <sz val="9"/>
        <color rgb="FF000000"/>
        <rFont val="楷体"/>
        <charset val="134"/>
      </rPr>
      <t>亿人民币</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</si>
  <si>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美团</t>
    </r>
  </si>
  <si>
    <r>
      <rPr>
        <sz val="9"/>
        <color rgb="FF000000"/>
        <rFont val="楷体"/>
        <charset val="134"/>
      </rPr>
      <t>红杉资本中国</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美团</t>
    </r>
  </si>
  <si>
    <t>红杉资本中国,源码资本</t>
  </si>
  <si>
    <t>英特尔投资Intel Capital</t>
  </si>
  <si>
    <t>启明创投</t>
  </si>
  <si>
    <t>德联资本</t>
  </si>
  <si>
    <t>华创资本,伽利略资本</t>
  </si>
  <si>
    <t>PreAngel,伽利略资本</t>
  </si>
  <si>
    <t>2022-01-06</t>
  </si>
  <si>
    <t>飞鹅</t>
  </si>
  <si>
    <r>
      <rPr>
        <sz val="9"/>
        <color rgb="FF000000"/>
        <rFont val="楷体"/>
        <charset val="134"/>
      </rPr>
      <t>飞鹅</t>
    </r>
  </si>
  <si>
    <r>
      <rPr>
        <sz val="9"/>
        <color rgb="FF000000"/>
        <rFont val="楷体"/>
        <charset val="134"/>
      </rPr>
      <t>大枣科技是一家无线小票打印机供应商，专注于为客户提供移动互联网</t>
    </r>
    <r>
      <rPr>
        <sz val="9"/>
        <color rgb="FF000000"/>
        <rFont val="Arial"/>
        <charset val="134"/>
      </rPr>
      <t>O2O</t>
    </r>
    <r>
      <rPr>
        <sz val="9"/>
        <color rgb="FF000000"/>
        <rFont val="楷体"/>
        <charset val="134"/>
      </rPr>
      <t>解决方案和服务。主要产品包括包括</t>
    </r>
    <r>
      <rPr>
        <sz val="9"/>
        <color rgb="FF000000"/>
        <rFont val="Arial"/>
        <charset val="134"/>
      </rPr>
      <t xml:space="preserve"> GPRS</t>
    </r>
    <r>
      <rPr>
        <sz val="9"/>
        <color rgb="FF000000"/>
        <rFont val="楷体"/>
        <charset val="134"/>
      </rPr>
      <t>无线小票打印机，</t>
    </r>
    <r>
      <rPr>
        <sz val="9"/>
        <color rgb="FF000000"/>
        <rFont val="Arial"/>
        <charset val="134"/>
      </rPr>
      <t>WIFI</t>
    </r>
    <r>
      <rPr>
        <sz val="9"/>
        <color rgb="FF000000"/>
        <rFont val="楷体"/>
        <charset val="134"/>
      </rPr>
      <t>无线小票打印机，针式打印机，便携打印机以及云打印服务。为各大微信第三方平台，服务窗平台，个人系统，电商网站等提供订单、票据、快递单的远程打印解决方案，有效帮助中小企业降低成本和提高效率。</t>
    </r>
  </si>
  <si>
    <t>广州市大枣信息科技有限公司</t>
  </si>
  <si>
    <t>http://www.feieyun.com</t>
  </si>
  <si>
    <r>
      <rPr>
        <sz val="9"/>
        <color rgb="FF000000"/>
        <rFont val="楷体"/>
        <charset val="134"/>
      </rPr>
      <t>广东</t>
    </r>
    <r>
      <rPr>
        <sz val="9"/>
        <color rgb="FF000000"/>
        <rFont val="Arial"/>
        <charset val="134"/>
      </rPr>
      <t>-</t>
    </r>
    <r>
      <rPr>
        <sz val="9"/>
        <color rgb="FF000000"/>
        <rFont val="楷体"/>
        <charset val="134"/>
      </rPr>
      <t>广州</t>
    </r>
  </si>
  <si>
    <r>
      <t>3C</t>
    </r>
    <r>
      <rPr>
        <sz val="9"/>
        <color rgb="FF000000"/>
        <rFont val="楷体"/>
        <charset val="134"/>
      </rPr>
      <t>电子</t>
    </r>
  </si>
  <si>
    <r>
      <rPr>
        <sz val="9"/>
        <color rgb="FF000000"/>
        <rFont val="楷体"/>
        <charset val="134"/>
      </rPr>
      <t>美团</t>
    </r>
  </si>
  <si>
    <r>
      <t>1</t>
    </r>
    <r>
      <rPr>
        <sz val="9"/>
        <color rgb="FF000000"/>
        <rFont val="楷体"/>
        <charset val="134"/>
      </rPr>
      <t>亿</t>
    </r>
  </si>
  <si>
    <r>
      <rPr>
        <sz val="9"/>
        <color rgb="FF000000"/>
        <rFont val="楷体"/>
        <charset val="134"/>
      </rPr>
      <t>潘练锋</t>
    </r>
    <r>
      <rPr>
        <sz val="9"/>
        <color rgb="FF000000"/>
        <rFont val="Arial"/>
        <charset val="134"/>
      </rPr>
      <t>:</t>
    </r>
    <r>
      <rPr>
        <sz val="9"/>
        <color rgb="FF000000"/>
        <rFont val="楷体"/>
        <charset val="134"/>
      </rPr>
      <t>执行董事兼经理</t>
    </r>
  </si>
  <si>
    <t>广东省广州市南沙区进港大道10号1516房</t>
  </si>
  <si>
    <t xml:space="preserve">020-3900-4606 </t>
  </si>
  <si>
    <t>feie@dzist.com</t>
  </si>
  <si>
    <t>2021-12-24</t>
  </si>
  <si>
    <t>钱到到菜么么</t>
  </si>
  <si>
    <t>无锡钱到到网络是一家SaaS云餐饮管理系统服务商，主打产品为菜么么(菜嬷嬷)餐饮SAAS系统，涵盖了餐饮企业前台收银、移动支付、会员营销、采购库存、物流管理等功能。</t>
  </si>
  <si>
    <t>无锡钱到到网络科技服务有限公司</t>
  </si>
  <si>
    <t>http://www.caimomo.com.cn/</t>
  </si>
  <si>
    <t>2015-06</t>
  </si>
  <si>
    <t>江苏-无锡</t>
  </si>
  <si>
    <t>6800万</t>
  </si>
  <si>
    <t>邱占成:CEO,孙亚民:CTO,孙利中:联合创始人</t>
  </si>
  <si>
    <t>0510-6606-7797</t>
  </si>
  <si>
    <t>1606809356@qq.com</t>
  </si>
  <si>
    <t>3500万人民币</t>
  </si>
  <si>
    <t>伯藜创投,和盟创投,同程旅游,苏大天宫创投,杭州金哲</t>
  </si>
  <si>
    <t>伯藜创投,和盟创投,立磐投资,金娱投资</t>
  </si>
  <si>
    <t>腾股创投</t>
  </si>
  <si>
    <t>2020-03-16</t>
  </si>
  <si>
    <t>网易味央</t>
  </si>
  <si>
    <t>网易味央是网易旗下农业品牌，专注于提供高品质肉类生产及行业解决方案，通过创新技术引领现代农业革新，为中国消费者提供安全、美味的优质食品。浙江味央科技有限公司旗下产品。</t>
  </si>
  <si>
    <t>浙江味央科技有限公司</t>
  </si>
  <si>
    <t>http://www.weiyang.cn</t>
  </si>
  <si>
    <t>2010-03</t>
  </si>
  <si>
    <t>浙江-杭州</t>
  </si>
  <si>
    <t>农业</t>
  </si>
  <si>
    <t>农业电商</t>
  </si>
  <si>
    <t>惠风金麟</t>
  </si>
  <si>
    <t>1.9亿</t>
  </si>
  <si>
    <t>丁磊:创始人</t>
  </si>
  <si>
    <t>杭州市滨江区长河街道江汉路1786号钱龙大厦918室</t>
  </si>
  <si>
    <t>400-6805-163</t>
  </si>
  <si>
    <t>shxin@corp.netease.com</t>
  </si>
  <si>
    <t>创新工场,京东,天堂硅谷,微光创投,风云资本,美团</t>
  </si>
  <si>
    <t>2023-05-05</t>
  </si>
  <si>
    <t>普渡科技</t>
  </si>
  <si>
    <t>普渡科技是一家集机器人研发、制造和销售为一体的智能配送机器人及低速无人驾驶解决方案商，旗下主要产品包括送餐机器人、配送机器人、消毒机器人、配送迎宾机器人等。</t>
  </si>
  <si>
    <t>深圳市普渡科技有限公司</t>
  </si>
  <si>
    <t>http://www.pudutech.com/</t>
  </si>
  <si>
    <t>2016-01</t>
  </si>
  <si>
    <t>广东-深圳</t>
  </si>
  <si>
    <t>阅度资本</t>
  </si>
  <si>
    <t>19.83亿</t>
  </si>
  <si>
    <t>70亿元</t>
  </si>
  <si>
    <t>张涛:CEO,蔡阳春:联合创始人</t>
  </si>
  <si>
    <t>深圳市南山区粤海街道科发路6号康泰生物2栋1楼106、108房</t>
  </si>
  <si>
    <t>0755-2690-9874</t>
  </si>
  <si>
    <t>hello@pudutech.com</t>
  </si>
  <si>
    <t>普华资本</t>
  </si>
  <si>
    <r>
      <rPr>
        <sz val="9"/>
        <color rgb="FF000000"/>
        <rFont val="楷体"/>
        <charset val="134"/>
      </rPr>
      <t>红杉资本中国</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深投控</t>
    </r>
  </si>
  <si>
    <t>深投控,大湾区共同家园发展基金</t>
  </si>
  <si>
    <r>
      <t>5</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</si>
  <si>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美团</t>
    </r>
  </si>
  <si>
    <r>
      <t>B+</t>
    </r>
    <r>
      <rPr>
        <sz val="9"/>
        <color rgb="FF000000"/>
        <rFont val="楷体"/>
        <charset val="134"/>
      </rPr>
      <t>轮</t>
    </r>
  </si>
  <si>
    <r>
      <t>1</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</si>
  <si>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启创资本</t>
    </r>
    <r>
      <rPr>
        <sz val="9"/>
        <color rgb="FF000000"/>
        <rFont val="Arial"/>
        <charset val="134"/>
      </rPr>
      <t>(</t>
    </r>
    <r>
      <rPr>
        <sz val="9"/>
        <color rgb="FF000000"/>
        <rFont val="楷体"/>
        <charset val="134"/>
      </rPr>
      <t>浙江天德创投</t>
    </r>
    <r>
      <rPr>
        <sz val="9"/>
        <color rgb="FF000000"/>
        <rFont val="Arial"/>
        <charset val="134"/>
      </rPr>
      <t>),</t>
    </r>
    <r>
      <rPr>
        <sz val="9"/>
        <color rgb="FF000000"/>
        <rFont val="楷体"/>
        <charset val="134"/>
      </rPr>
      <t>程铂瀚创投</t>
    </r>
    <r>
      <rPr>
        <sz val="9"/>
        <color rgb="FF000000"/>
        <rFont val="Arial"/>
        <charset val="134"/>
      </rPr>
      <t>,</t>
    </r>
    <r>
      <rPr>
        <sz val="9"/>
        <color rgb="FF000000"/>
        <rFont val="楷体"/>
        <charset val="134"/>
      </rPr>
      <t>长盈鑫投资</t>
    </r>
  </si>
  <si>
    <r>
      <t>B</t>
    </r>
    <r>
      <rPr>
        <sz val="9"/>
        <color rgb="FF000000"/>
        <rFont val="楷体"/>
        <charset val="134"/>
      </rPr>
      <t>轮</t>
    </r>
  </si>
  <si>
    <t>程铂瀚创投</t>
  </si>
  <si>
    <t>启创资本QC Capital,榕泉资本</t>
  </si>
  <si>
    <t>长盈精密</t>
  </si>
  <si>
    <t>2021-01-05</t>
  </si>
  <si>
    <t>东呈酒店</t>
  </si>
  <si>
    <r>
      <rPr>
        <sz val="9"/>
        <color rgb="FF000000"/>
        <rFont val="楷体"/>
        <charset val="134"/>
      </rPr>
      <t>东呈酒店</t>
    </r>
  </si>
  <si>
    <r>
      <rPr>
        <sz val="9"/>
        <color rgb="FF000000"/>
        <rFont val="楷体"/>
        <charset val="134"/>
      </rPr>
      <t>东呈酒店是一家酒店管理和运营服务商，主打城市精品酒店，目前有怡程酒店、宜尚酒店、柏曼酒店等</t>
    </r>
    <r>
      <rPr>
        <sz val="9"/>
        <color rgb="FF000000"/>
        <rFont val="Arial"/>
        <charset val="134"/>
      </rPr>
      <t>15</t>
    </r>
    <r>
      <rPr>
        <sz val="9"/>
        <color rgb="FF000000"/>
        <rFont val="楷体"/>
        <charset val="134"/>
      </rPr>
      <t>个酒店品牌。</t>
    </r>
  </si>
  <si>
    <t>广州东呈酒店投资管理集团有限公司</t>
  </si>
  <si>
    <t>http://www.dossenjm.com/</t>
  </si>
  <si>
    <r>
      <rPr>
        <sz val="9"/>
        <color rgb="FF000000"/>
        <rFont val="楷体"/>
        <charset val="134"/>
      </rPr>
      <t>商业房产</t>
    </r>
  </si>
  <si>
    <r>
      <rPr>
        <sz val="9"/>
        <color rgb="FF000000"/>
        <rFont val="楷体"/>
        <charset val="134"/>
      </rPr>
      <t>程新华</t>
    </r>
    <r>
      <rPr>
        <sz val="9"/>
        <color rgb="FF000000"/>
        <rFont val="Arial"/>
        <charset val="134"/>
      </rPr>
      <t>:CEO</t>
    </r>
  </si>
  <si>
    <t>广东省广州市白云区大金钟路61-65号第九层901号</t>
  </si>
  <si>
    <t>020-3742-6038</t>
  </si>
  <si>
    <t>shenrl@ccinn.cn</t>
  </si>
  <si>
    <t>2022-05-24</t>
  </si>
  <si>
    <t>史河科技</t>
  </si>
  <si>
    <r>
      <rPr>
        <sz val="9"/>
        <color rgb="FF000000"/>
        <rFont val="楷体"/>
        <charset val="134"/>
      </rPr>
      <t>史河科技</t>
    </r>
  </si>
  <si>
    <r>
      <rPr>
        <sz val="9"/>
        <color rgb="FF000000"/>
        <rFont val="楷体"/>
        <charset val="134"/>
      </rPr>
      <t>史河科技是国内第一家实现高空作业机器人产业化的公司。公司通过对船舶、化工、电力、能源等行业的深入探索，产品已实现在检测、探伤、清洗、除锈、喷涂、打磨等场景的成功应用。公司注重技术创新与积累，获评</t>
    </r>
    <r>
      <rPr>
        <sz val="9"/>
        <color rgb="FF000000"/>
        <rFont val="Arial"/>
        <charset val="134"/>
      </rPr>
      <t>“</t>
    </r>
    <r>
      <rPr>
        <sz val="9"/>
        <color rgb="FF000000"/>
        <rFont val="楷体"/>
        <charset val="134"/>
      </rPr>
      <t>国家高新技术企业</t>
    </r>
    <r>
      <rPr>
        <sz val="9"/>
        <color rgb="FF000000"/>
        <rFont val="Arial"/>
        <charset val="134"/>
      </rPr>
      <t>”</t>
    </r>
    <r>
      <rPr>
        <sz val="9"/>
        <color rgb="FF000000"/>
        <rFont val="楷体"/>
        <charset val="134"/>
      </rPr>
      <t>，核心成员具有清华、北航、人大等学习科研背景及世界</t>
    </r>
    <r>
      <rPr>
        <sz val="9"/>
        <color rgb="FF000000"/>
        <rFont val="Arial"/>
        <charset val="134"/>
      </rPr>
      <t>500</t>
    </r>
    <r>
      <rPr>
        <sz val="9"/>
        <color rgb="FF000000"/>
        <rFont val="楷体"/>
        <charset val="134"/>
      </rPr>
      <t>强的工作经历，拥有以清华大学教授为核心的科学家顾问团队。</t>
    </r>
  </si>
  <si>
    <t>北京史河科技有限公司</t>
  </si>
  <si>
    <t>http://www.robotplusplus.com.cn/</t>
  </si>
  <si>
    <t>2015-09</t>
  </si>
  <si>
    <r>
      <rPr>
        <sz val="9"/>
        <color rgb="FF000000"/>
        <rFont val="楷体"/>
        <charset val="134"/>
      </rPr>
      <t>北京</t>
    </r>
    <r>
      <rPr>
        <sz val="9"/>
        <color rgb="FF000000"/>
        <rFont val="Arial"/>
        <charset val="134"/>
      </rPr>
      <t>-</t>
    </r>
    <r>
      <rPr>
        <sz val="9"/>
        <color rgb="FF000000"/>
        <rFont val="楷体"/>
        <charset val="134"/>
      </rPr>
      <t>海淀区</t>
    </r>
  </si>
  <si>
    <r>
      <rPr>
        <sz val="9"/>
        <color rgb="FF000000"/>
        <rFont val="楷体"/>
        <charset val="134"/>
      </rPr>
      <t>机器人</t>
    </r>
  </si>
  <si>
    <r>
      <t>1500</t>
    </r>
    <r>
      <rPr>
        <sz val="9"/>
        <color rgb="FF000000"/>
        <rFont val="楷体"/>
        <charset val="134"/>
      </rPr>
      <t>万美元</t>
    </r>
  </si>
  <si>
    <r>
      <rPr>
        <sz val="9"/>
        <color rgb="FF000000"/>
        <rFont val="楷体"/>
        <charset val="134"/>
      </rPr>
      <t>复星锐正资本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智盈投资</t>
    </r>
  </si>
  <si>
    <r>
      <t>3.84</t>
    </r>
    <r>
      <rPr>
        <sz val="9"/>
        <color rgb="FF000000"/>
        <rFont val="楷体"/>
        <charset val="134"/>
      </rPr>
      <t>亿</t>
    </r>
  </si>
  <si>
    <r>
      <t>4.875</t>
    </r>
    <r>
      <rPr>
        <sz val="9"/>
        <color rgb="FF000000"/>
        <rFont val="楷体"/>
        <charset val="134"/>
      </rPr>
      <t>亿元</t>
    </r>
  </si>
  <si>
    <r>
      <rPr>
        <sz val="9"/>
        <color rgb="FF000000"/>
        <rFont val="楷体"/>
        <charset val="134"/>
      </rPr>
      <t>王志超</t>
    </r>
    <r>
      <rPr>
        <sz val="9"/>
        <color rgb="FF000000"/>
        <rFont val="Arial"/>
        <charset val="134"/>
      </rPr>
      <t>:</t>
    </r>
    <r>
      <rPr>
        <sz val="9"/>
        <color rgb="FF000000"/>
        <rFont val="楷体"/>
        <charset val="134"/>
      </rPr>
      <t>联合创始人兼</t>
    </r>
    <r>
      <rPr>
        <sz val="9"/>
        <color rgb="FF000000"/>
        <rFont val="Arial"/>
        <charset val="134"/>
      </rPr>
      <t>CTO,</t>
    </r>
    <r>
      <rPr>
        <sz val="9"/>
        <color rgb="FF000000"/>
        <rFont val="楷体"/>
        <charset val="134"/>
      </rPr>
      <t>许华旸</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姜雨</t>
    </r>
    <r>
      <rPr>
        <sz val="9"/>
        <color rgb="FF000000"/>
        <rFont val="Arial"/>
        <charset val="134"/>
      </rPr>
      <t>:</t>
    </r>
    <r>
      <rPr>
        <sz val="9"/>
        <color rgb="FF000000"/>
        <rFont val="楷体"/>
        <charset val="134"/>
      </rPr>
      <t>联合创始人兼</t>
    </r>
    <r>
      <rPr>
        <sz val="9"/>
        <color rgb="FF000000"/>
        <rFont val="Arial"/>
        <charset val="134"/>
      </rPr>
      <t>COO</t>
    </r>
  </si>
  <si>
    <t>北京市海淀区五道口HomeX加速器</t>
  </si>
  <si>
    <t>010-5247-8060</t>
  </si>
  <si>
    <t>bd@robotplusplus.cn</t>
  </si>
  <si>
    <t>荷塘创投,众为资本,启迪之星,百度风投</t>
  </si>
  <si>
    <t>鸿元投资</t>
  </si>
  <si>
    <t>盛世投资,科鑫资本,银盈资本,京信供销基金,中关村启航基金</t>
  </si>
  <si>
    <t>熊猫资本,百度风投,智能电网创投</t>
  </si>
  <si>
    <t>老鹰基金,熊猫资本,启迪之星</t>
  </si>
  <si>
    <t>种子轮</t>
  </si>
  <si>
    <t>泰有投资,启迪种子</t>
  </si>
  <si>
    <t>2022-06-29</t>
  </si>
  <si>
    <t>Flexiv非夕</t>
  </si>
  <si>
    <t>Flexiv非夕是一家通用智能机器人公司，专注于研发、生产集工业级力控、计算机视觉和人工智能技术于一体的自适应机器人产品，为不同行业的客户提供基于非夕机器人系统的整体、创新性的解决方案和服务。</t>
  </si>
  <si>
    <t>上海非夕机器人科技有限公司</t>
  </si>
  <si>
    <t>http://www.flexivrobotics.com/</t>
  </si>
  <si>
    <t>2016-11</t>
  </si>
  <si>
    <t>13.72亿</t>
  </si>
  <si>
    <t>65亿元</t>
  </si>
  <si>
    <t>王世全:联合创始人</t>
  </si>
  <si>
    <t>上海市徐汇区云锦路701号西岸国际人工智能中心 3302-3304室</t>
  </si>
  <si>
    <t>400-8888-105</t>
  </si>
  <si>
    <t>business@flexiv.com</t>
  </si>
  <si>
    <r>
      <t>1</t>
    </r>
    <r>
      <rPr>
        <sz val="9"/>
        <color rgb="FF000000"/>
        <rFont val="楷体"/>
        <charset val="134"/>
      </rPr>
      <t>亿美元</t>
    </r>
  </si>
  <si>
    <r>
      <rPr>
        <sz val="9"/>
        <color rgb="FF000000"/>
        <rFont val="楷体"/>
        <charset val="134"/>
      </rPr>
      <t>金沙江创投</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招商局资本</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新希望集团</t>
    </r>
    <r>
      <rPr>
        <sz val="9"/>
        <color rgb="FF000000"/>
        <rFont val="Arial"/>
        <charset val="134"/>
      </rPr>
      <t>,Longwood Fund,</t>
    </r>
    <r>
      <rPr>
        <sz val="9"/>
        <color rgb="FF000000"/>
        <rFont val="楷体"/>
        <charset val="134"/>
      </rPr>
      <t>珠江集团</t>
    </r>
  </si>
  <si>
    <t>真格基金,金沙江创投,顺为资本,高榕资本,魔量资本MFund</t>
  </si>
  <si>
    <t>100万美元</t>
  </si>
  <si>
    <t>2017-06-21</t>
  </si>
  <si>
    <t>亚食联</t>
  </si>
  <si>
    <t>亚食联是一个食材供应B2B电商平台，通过物流及市场服务体系为用户提供餐饮食材解决方案，旗下拥有亚洲渔港、亚渔雪龙、农夫年代等子品牌及众多产品线，用户根据需要选择所需产品，一键下单，货品即刻送门，隶属于亚食联发展（大连）有限公司。</t>
  </si>
  <si>
    <t>亚食联发展（大连）有限公司</t>
  </si>
  <si>
    <t>http://www.asae.cn/news</t>
  </si>
  <si>
    <t>2015-08</t>
  </si>
  <si>
    <t>食品饮料</t>
  </si>
  <si>
    <t>王慧文:董事长</t>
  </si>
  <si>
    <t>西岗区海达北街91号5层</t>
  </si>
  <si>
    <t>tongying@mtysl.com</t>
  </si>
  <si>
    <t>2017-05-16</t>
  </si>
  <si>
    <t>芯火互联网</t>
  </si>
  <si>
    <t>芯火互联网主要从事面向移动互联网的餐饮等服务业的线上线下互联互通的软件服务业务，实现线上用户和线下门店的无缝对接。</t>
  </si>
  <si>
    <t>上海芯火互联网科技有限公司</t>
  </si>
  <si>
    <t>2017-03</t>
  </si>
  <si>
    <t>上海-长宁区</t>
  </si>
  <si>
    <t>数十万人民币</t>
  </si>
  <si>
    <t>美团,艾云创投</t>
  </si>
  <si>
    <t>30万</t>
  </si>
  <si>
    <t>150万元</t>
  </si>
  <si>
    <t>徐光争 :CEO</t>
  </si>
  <si>
    <t>天山路641号2号楼（20幢）201A室</t>
  </si>
  <si>
    <t>2022-04-30</t>
  </si>
  <si>
    <t>未来机器人</t>
  </si>
  <si>
    <r>
      <rPr>
        <sz val="9"/>
        <color rgb="FF000000"/>
        <rFont val="楷体"/>
        <charset val="134"/>
      </rPr>
      <t>未来机器人</t>
    </r>
  </si>
  <si>
    <r>
      <rPr>
        <sz val="9"/>
        <color rgb="FF000000"/>
        <rFont val="楷体"/>
        <charset val="134"/>
      </rPr>
      <t>未来机器人由香港中文大学博士团队联合创办，是全球工业无人车辆领军企业。将人工智能、环境感知、深度学习、伺服控制等核心技术应用于工业无人驾驶领域，未来机器人打造全球领先的工业车辆无人驾驶通用技术平台，为企业实现物流无人化升级落地，推进物流管理的智能化、科学化，并明显提升企业物流效率和经济效益。</t>
    </r>
  </si>
  <si>
    <t>未来机器人（深圳）有限公司</t>
  </si>
  <si>
    <t>https://www.visionnav.cn/</t>
  </si>
  <si>
    <t>2016-02</t>
  </si>
  <si>
    <r>
      <rPr>
        <sz val="9"/>
        <color rgb="FF000000"/>
        <rFont val="楷体"/>
        <charset val="134"/>
      </rPr>
      <t>广东</t>
    </r>
    <r>
      <rPr>
        <sz val="9"/>
        <color rgb="FF000000"/>
        <rFont val="Arial"/>
        <charset val="134"/>
      </rPr>
      <t>-</t>
    </r>
    <r>
      <rPr>
        <sz val="9"/>
        <color rgb="FF000000"/>
        <rFont val="楷体"/>
        <charset val="134"/>
      </rPr>
      <t>深圳</t>
    </r>
  </si>
  <si>
    <r>
      <t>8000</t>
    </r>
    <r>
      <rPr>
        <sz val="9"/>
        <color rgb="FF000000"/>
        <rFont val="楷体"/>
        <charset val="134"/>
      </rPr>
      <t>万美元</t>
    </r>
  </si>
  <si>
    <r>
      <rPr>
        <sz val="9"/>
        <color rgb="FF000000"/>
        <rFont val="楷体"/>
        <charset val="134"/>
      </rPr>
      <t>五源资本</t>
    </r>
    <r>
      <rPr>
        <sz val="9"/>
        <color rgb="FF000000"/>
        <rFont val="Arial"/>
        <charset val="134"/>
      </rPr>
      <t>,</t>
    </r>
    <r>
      <rPr>
        <sz val="9"/>
        <color rgb="FF000000"/>
        <rFont val="楷体"/>
        <charset val="134"/>
      </rPr>
      <t>美团</t>
    </r>
  </si>
  <si>
    <r>
      <t>10.5</t>
    </r>
    <r>
      <rPr>
        <sz val="9"/>
        <color rgb="FF000000"/>
        <rFont val="楷体"/>
        <charset val="134"/>
      </rPr>
      <t>亿</t>
    </r>
  </si>
  <si>
    <r>
      <t>32.5</t>
    </r>
    <r>
      <rPr>
        <sz val="9"/>
        <color rgb="FF000000"/>
        <rFont val="楷体"/>
        <charset val="134"/>
      </rPr>
      <t>亿元</t>
    </r>
  </si>
  <si>
    <r>
      <rPr>
        <sz val="9"/>
        <color rgb="FF000000"/>
        <rFont val="楷体"/>
        <charset val="134"/>
      </rPr>
      <t>刘云辉</t>
    </r>
    <r>
      <rPr>
        <sz val="9"/>
        <color rgb="FF000000"/>
        <rFont val="Arial"/>
        <charset val="134"/>
      </rPr>
      <t>:</t>
    </r>
    <r>
      <rPr>
        <sz val="9"/>
        <color rgb="FF000000"/>
        <rFont val="楷体"/>
        <charset val="134"/>
      </rPr>
      <t>创始人兼董事长</t>
    </r>
    <r>
      <rPr>
        <sz val="9"/>
        <color rgb="FF000000"/>
        <rFont val="Arial"/>
        <charset val="134"/>
      </rPr>
      <t>,</t>
    </r>
    <r>
      <rPr>
        <sz val="9"/>
        <color rgb="FF000000"/>
        <rFont val="楷体"/>
        <charset val="134"/>
      </rPr>
      <t>李陆洋</t>
    </r>
    <r>
      <rPr>
        <sz val="9"/>
        <color rgb="FF000000"/>
        <rFont val="Arial"/>
        <charset val="134"/>
      </rPr>
      <t>:</t>
    </r>
    <r>
      <rPr>
        <sz val="9"/>
        <color rgb="FF000000"/>
        <rFont val="楷体"/>
        <charset val="134"/>
      </rPr>
      <t>联合创始人兼</t>
    </r>
    <r>
      <rPr>
        <sz val="9"/>
        <color rgb="FF000000"/>
        <rFont val="Arial"/>
        <charset val="134"/>
      </rPr>
      <t>CEO,</t>
    </r>
    <r>
      <rPr>
        <sz val="9"/>
        <color rgb="FF000000"/>
        <rFont val="楷体"/>
        <charset val="134"/>
      </rPr>
      <t>方牧</t>
    </r>
    <r>
      <rPr>
        <sz val="9"/>
        <color rgb="FF000000"/>
        <rFont val="Arial"/>
        <charset val="134"/>
      </rPr>
      <t>:</t>
    </r>
    <r>
      <rPr>
        <sz val="9"/>
        <color rgb="FF000000"/>
        <rFont val="楷体"/>
        <charset val="134"/>
      </rPr>
      <t>联合创始人</t>
    </r>
    <r>
      <rPr>
        <sz val="9"/>
        <color rgb="FF000000"/>
        <rFont val="Arial"/>
        <charset val="134"/>
      </rPr>
      <t>/CTO,</t>
    </r>
    <r>
      <rPr>
        <sz val="9"/>
        <color rgb="FF000000"/>
        <rFont val="楷体"/>
        <charset val="134"/>
      </rPr>
      <t>鲁豫杰</t>
    </r>
    <r>
      <rPr>
        <sz val="9"/>
        <color rgb="FF000000"/>
        <rFont val="Arial"/>
        <charset val="134"/>
      </rPr>
      <t>:</t>
    </r>
    <r>
      <rPr>
        <sz val="9"/>
        <color rgb="FF000000"/>
        <rFont val="楷体"/>
        <charset val="134"/>
      </rPr>
      <t>联合创始人</t>
    </r>
  </si>
  <si>
    <t>深圳市福田区福田保税区红柳道1号中科智宏大厦6楼</t>
  </si>
  <si>
    <t>0755-8525-6645</t>
  </si>
  <si>
    <t>Business@visionnav.com</t>
  </si>
  <si>
    <t>IDG资本,顺为资本,钟鼎资本,联通,联想创投,字节跳动</t>
  </si>
  <si>
    <t>IDG资本,钟鼎资本,联想创投,飞图创投</t>
  </si>
  <si>
    <t>钟鼎资本,联想创投,飞图创投</t>
  </si>
  <si>
    <t>钟鼎资本</t>
  </si>
  <si>
    <t>常春藤资本,可可资本</t>
  </si>
  <si>
    <t>2017-10-20</t>
  </si>
  <si>
    <t>大家来</t>
  </si>
  <si>
    <t>大家来是一家餐饮智能系统软件研发商，基于云端，主要为”腰部客户“提供点餐、收银、供应链等一站式管理服务，上海卓骥信息科技有限公司旗下。</t>
  </si>
  <si>
    <t>上海卓骥信息科技有限公司</t>
  </si>
  <si>
    <t>http://www.dajialai.cn/</t>
  </si>
  <si>
    <t>2015-03</t>
  </si>
  <si>
    <t>上海-杨浦区</t>
  </si>
  <si>
    <t>美团,TL Data</t>
  </si>
  <si>
    <t>3.2亿</t>
  </si>
  <si>
    <t>黄涛:创始人</t>
  </si>
  <si>
    <t>上海市杨浦区隆昌路588_1号25楼2502-14室</t>
  </si>
  <si>
    <t>021-6335-7058</t>
  </si>
  <si>
    <t>hr@dajialai.cn</t>
  </si>
  <si>
    <t>苏河汇,大众点评网</t>
  </si>
  <si>
    <t>2022-12-22</t>
  </si>
  <si>
    <t>齐碳科技</t>
  </si>
  <si>
    <r>
      <rPr>
        <sz val="9"/>
        <color rgb="FF000000"/>
        <rFont val="楷体"/>
        <charset val="134"/>
      </rPr>
      <t>齐碳科技</t>
    </r>
  </si>
  <si>
    <r>
      <rPr>
        <sz val="9"/>
        <color rgb="FF000000"/>
        <rFont val="楷体"/>
        <charset val="134"/>
      </rPr>
      <t>齐碳科技是一家基因测序技术领域的公司，公司的业务范围涉及无创产前检查、试管婴儿、液体活检、新生儿检查、遗传病罕见病研究、肿瘤分型等医学应用。致力于纳米孔基因测序仪及配套试剂耗材的自主研发、制造与应用。</t>
    </r>
  </si>
  <si>
    <t>成都齐碳科技有限公司</t>
  </si>
  <si>
    <t>http://www.qitantech.com/</t>
  </si>
  <si>
    <t>2016-09</t>
  </si>
  <si>
    <r>
      <rPr>
        <sz val="9"/>
        <color rgb="FF000000"/>
        <rFont val="楷体"/>
        <charset val="134"/>
      </rPr>
      <t>四川</t>
    </r>
    <r>
      <rPr>
        <sz val="9"/>
        <color rgb="FF000000"/>
        <rFont val="Arial"/>
        <charset val="134"/>
      </rPr>
      <t>-</t>
    </r>
    <r>
      <rPr>
        <sz val="9"/>
        <color rgb="FF000000"/>
        <rFont val="楷体"/>
        <charset val="134"/>
      </rPr>
      <t>成都</t>
    </r>
  </si>
  <si>
    <r>
      <rPr>
        <sz val="9"/>
        <color rgb="FF000000"/>
        <rFont val="楷体"/>
        <charset val="134"/>
      </rPr>
      <t>生物技术和制药</t>
    </r>
  </si>
  <si>
    <r>
      <t>7</t>
    </r>
    <r>
      <rPr>
        <sz val="9"/>
        <color rgb="FF000000"/>
        <rFont val="楷体"/>
        <charset val="134"/>
      </rPr>
      <t>亿人民币</t>
    </r>
  </si>
  <si>
    <r>
      <rPr>
        <sz val="9"/>
        <color rgb="FF000000"/>
        <rFont val="楷体"/>
        <charset val="134"/>
      </rPr>
      <t>华盖资本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雅惠投资</t>
    </r>
    <r>
      <rPr>
        <sz val="9"/>
        <color rgb="FF000000"/>
        <rFont val="Arial"/>
        <charset val="134"/>
      </rPr>
      <t>,</t>
    </r>
    <r>
      <rPr>
        <sz val="9"/>
        <color rgb="FF000000"/>
        <rFont val="楷体"/>
        <charset val="134"/>
      </rPr>
      <t>博远资本</t>
    </r>
  </si>
  <si>
    <r>
      <t>13</t>
    </r>
    <r>
      <rPr>
        <sz val="9"/>
        <color rgb="FF000000"/>
        <rFont val="楷体"/>
        <charset val="134"/>
      </rPr>
      <t>亿</t>
    </r>
  </si>
  <si>
    <r>
      <t>42</t>
    </r>
    <r>
      <rPr>
        <sz val="9"/>
        <color rgb="FF000000"/>
        <rFont val="楷体"/>
        <charset val="134"/>
      </rPr>
      <t>亿元</t>
    </r>
  </si>
  <si>
    <r>
      <rPr>
        <sz val="9"/>
        <color rgb="FF000000"/>
        <rFont val="楷体"/>
        <charset val="134"/>
      </rPr>
      <t>胡庚</t>
    </r>
    <r>
      <rPr>
        <sz val="9"/>
        <color rgb="FF000000"/>
        <rFont val="Arial"/>
        <charset val="134"/>
      </rPr>
      <t>:</t>
    </r>
    <r>
      <rPr>
        <sz val="9"/>
        <color rgb="FF000000"/>
        <rFont val="楷体"/>
        <charset val="134"/>
      </rPr>
      <t>联合创始人</t>
    </r>
    <r>
      <rPr>
        <sz val="9"/>
        <color rgb="FF000000"/>
        <rFont val="Arial"/>
        <charset val="134"/>
      </rPr>
      <t>&amp;</t>
    </r>
    <r>
      <rPr>
        <sz val="9"/>
        <color rgb="FF000000"/>
        <rFont val="楷体"/>
        <charset val="134"/>
      </rPr>
      <t>总经理</t>
    </r>
    <r>
      <rPr>
        <sz val="9"/>
        <color rgb="FF000000"/>
        <rFont val="Arial"/>
        <charset val="134"/>
      </rPr>
      <t>,</t>
    </r>
    <r>
      <rPr>
        <sz val="9"/>
        <color rgb="FF000000"/>
        <rFont val="楷体"/>
        <charset val="134"/>
      </rPr>
      <t>谢丹</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王琎</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白净卫</t>
    </r>
    <r>
      <rPr>
        <sz val="9"/>
        <color rgb="FF000000"/>
        <rFont val="Arial"/>
        <charset val="134"/>
      </rPr>
      <t>:</t>
    </r>
    <r>
      <rPr>
        <sz val="9"/>
        <color rgb="FF000000"/>
        <rFont val="楷体"/>
        <charset val="134"/>
      </rPr>
      <t>联合创始人</t>
    </r>
    <r>
      <rPr>
        <sz val="9"/>
        <color rgb="FF000000"/>
        <rFont val="Arial"/>
        <charset val="134"/>
      </rPr>
      <t>&amp;</t>
    </r>
    <r>
      <rPr>
        <sz val="9"/>
        <color rgb="FF000000"/>
        <rFont val="楷体"/>
        <charset val="134"/>
      </rPr>
      <t>首席科学家</t>
    </r>
  </si>
  <si>
    <t>成都市武侯区人民南路四段3号成都来福士广场办公楼塔2栋9层901</t>
  </si>
  <si>
    <t>028-6522-5131</t>
  </si>
  <si>
    <t>info@qitantech.com</t>
  </si>
  <si>
    <t>4亿人民币</t>
  </si>
  <si>
    <t>鼎晖投资,银杏谷资本,高榕资本,华盖资本,阳光融汇资本,中关村协同创新基金,雅惠投资,百度风投,博远资本,高瓴创投</t>
  </si>
  <si>
    <t>银杏谷资本,高榕资本,雅惠投资</t>
  </si>
  <si>
    <t>4000万人民币</t>
  </si>
  <si>
    <t>中关村协同创新基金,雅惠投资,百度风投</t>
  </si>
  <si>
    <t>乾明投资,百度风投</t>
  </si>
  <si>
    <t>合力投资,乾明投资,华控基金</t>
  </si>
  <si>
    <t>2019-06-12</t>
  </si>
  <si>
    <t>青萍</t>
  </si>
  <si>
    <t>青萍是一家智能电子产品研发商，公司致力于向用户交付优雅实用的智能电子产品，提升用户生活品质。青萍拥有国际水准的工业设计能力。工业设计副总裁王光源曾为国内顶尖工业设计公司的合伙人，个人作品曾获德国红点奖 4 枚、iF奖 5 枚、美国 IDEA 奖 3 枚。公司首个产品 Amber 即获德国 iF 设计奖，并入选美国 IDEA 2016 年决赛。已获得苹果 MFi 资质，拥有成熟的硬件生产制造和供应链能力，吸引了多名前富士康高级工程师及管理人员的加盟。青萍还拥有卓越的软件和云的开发能力，主要成员来自搜狗手机输入法、墨迹天气等知名互联网产品团队。</t>
  </si>
  <si>
    <t>青萍科技（北京）有限公司</t>
  </si>
  <si>
    <t>http://cleargrass.com</t>
  </si>
  <si>
    <t>家用电器</t>
  </si>
  <si>
    <t>美团,沃达股权投资</t>
  </si>
  <si>
    <t>姜洋:CEO</t>
  </si>
  <si>
    <t>北京市朝阳区望京街10号院2号楼4层401</t>
  </si>
  <si>
    <t>010-8476-6899</t>
  </si>
  <si>
    <t>bin.du@cleargrass.com</t>
  </si>
  <si>
    <t>顺为资本,小米集团,鼎翔资本</t>
  </si>
  <si>
    <t>2017-12-11</t>
  </si>
  <si>
    <t>超洁智联</t>
  </si>
  <si>
    <t>超洁智联是一家洗涤解决方案提供商，利用RFID物联网技术配合纺织品租赁的商业模式，为酒店（住宿）业提供毛巾、床上用品的洗涤和租赁服务。</t>
  </si>
  <si>
    <t>上海超洁智联科技有限公司</t>
  </si>
  <si>
    <t>http://www.cclean.cn/</t>
  </si>
  <si>
    <t>上海-宝山区</t>
  </si>
  <si>
    <t>家政服务</t>
  </si>
  <si>
    <t>美团,江苏海狮机械</t>
  </si>
  <si>
    <t>9000万</t>
  </si>
  <si>
    <t>王明:董事长</t>
  </si>
  <si>
    <t>上海市宝山区北外环信息产业园D栋303室</t>
  </si>
  <si>
    <t>189-6480-6635</t>
  </si>
  <si>
    <t>wangming@cclean.cn</t>
  </si>
  <si>
    <t>华住酒店集团</t>
  </si>
  <si>
    <t>首旅酒店</t>
  </si>
  <si>
    <t>2019-06-24</t>
  </si>
  <si>
    <t>掌单</t>
  </si>
  <si>
    <t>掌单是一家外卖代运营服务商，主要在商圈分析、策略效果追踪和菜单工程等维度提供标准化的产品解决方案，自主开发的工具产品能够对客单价的拉升、下单率等数据进行实时反馈，同时以天/周为单位来评估运营策略，并进行微调，以此降低用户的成本。</t>
  </si>
  <si>
    <t>上海哇咕信息科技有限公司</t>
  </si>
  <si>
    <t>http://www.orderhandler.com/</t>
  </si>
  <si>
    <t>2018-05</t>
  </si>
  <si>
    <t>上海-黄浦区</t>
  </si>
  <si>
    <t>DCM中国,曼图资本Mandra Capital</t>
  </si>
  <si>
    <t>1.65亿</t>
  </si>
  <si>
    <t>5亿元</t>
  </si>
  <si>
    <t>黄浦区大沽路288号4号楼</t>
  </si>
  <si>
    <t>400-821-9177</t>
  </si>
  <si>
    <t>business@orderhandler.com</t>
  </si>
  <si>
    <t>DCM中国,美团</t>
  </si>
  <si>
    <t>2021-02-22</t>
  </si>
  <si>
    <t>望家欢</t>
  </si>
  <si>
    <t>望家欢是一家全国性、集团型的农产品物流企业，业务涵盖农产品种植、物流配送、净菜加工、餐饮管理、电子商务、中央大厨房六大经营范围于一体的大型农产品集团公司。</t>
  </si>
  <si>
    <t>望家欢农产品集团有限公司</t>
  </si>
  <si>
    <t>http://www.wangjiahuan.net/</t>
  </si>
  <si>
    <t>2004-11</t>
  </si>
  <si>
    <t>综合农业</t>
  </si>
  <si>
    <t>8亿人民币</t>
  </si>
  <si>
    <t>CPE源峰,隐山资本,葆润控股集团,自明资本</t>
  </si>
  <si>
    <t>18亿</t>
  </si>
  <si>
    <t>40亿元</t>
  </si>
  <si>
    <t>高军:董事长</t>
  </si>
  <si>
    <t>深圳市福田区通业大厦南塔1606室</t>
  </si>
  <si>
    <t>0755-8315-1555</t>
  </si>
  <si>
    <t>2596552645@qq.com</t>
  </si>
  <si>
    <r>
      <t>6</t>
    </r>
    <r>
      <rPr>
        <sz val="9"/>
        <color rgb="FF000000"/>
        <rFont val="楷体"/>
        <charset val="134"/>
      </rPr>
      <t>亿人民币</t>
    </r>
  </si>
  <si>
    <r>
      <rPr>
        <sz val="9"/>
        <color rgb="FF000000"/>
        <rFont val="楷体"/>
        <charset val="134"/>
      </rPr>
      <t>美团</t>
    </r>
    <r>
      <rPr>
        <sz val="9"/>
        <color rgb="FF000000"/>
        <rFont val="Arial"/>
        <charset val="134"/>
      </rPr>
      <t>,</t>
    </r>
    <r>
      <rPr>
        <sz val="9"/>
        <color rgb="FF000000"/>
        <rFont val="楷体"/>
        <charset val="134"/>
      </rPr>
      <t>普洛斯</t>
    </r>
    <r>
      <rPr>
        <sz val="9"/>
        <color rgb="FF000000"/>
        <rFont val="Arial"/>
        <charset val="134"/>
      </rPr>
      <t>GLP,</t>
    </r>
    <r>
      <rPr>
        <sz val="9"/>
        <color rgb="FF000000"/>
        <rFont val="楷体"/>
        <charset val="134"/>
      </rPr>
      <t>隐山资本</t>
    </r>
  </si>
  <si>
    <t>普洛斯GLP,隐山资本</t>
  </si>
  <si>
    <t>2018-12-29</t>
  </si>
  <si>
    <t>WKUP单车</t>
  </si>
  <si>
    <t>WKUP单车是一家原创单车品牌，产品包括城市通勤单车Fundamental系列、城市休闲公路单车Hybrid系列以及折叠单车Mobility系列，隶属于上海五公里智能科技有限公司。</t>
  </si>
  <si>
    <t>上海五公里智能科技有限公司</t>
  </si>
  <si>
    <t>https://wkup.persona.co/</t>
  </si>
  <si>
    <t>2015-04</t>
  </si>
  <si>
    <t>美团,摩拜单车</t>
  </si>
  <si>
    <t>5000万元</t>
  </si>
  <si>
    <t>高庶三:创始人</t>
  </si>
  <si>
    <t>上海市黄浦区中山南路1420号二楼2356室</t>
  </si>
  <si>
    <t>021-60526830</t>
  </si>
  <si>
    <t>admin@wkup.bike</t>
  </si>
  <si>
    <t>魔量资本MFund</t>
  </si>
  <si>
    <t>2020-01-02</t>
  </si>
  <si>
    <t>壹号食品</t>
  </si>
  <si>
    <r>
      <rPr>
        <sz val="9"/>
        <color rgb="FF000000"/>
        <rFont val="楷体"/>
        <charset val="134"/>
      </rPr>
      <t>壹号食品</t>
    </r>
  </si>
  <si>
    <r>
      <rPr>
        <sz val="9"/>
        <color rgb="FF000000"/>
        <rFont val="楷体"/>
        <charset val="134"/>
      </rPr>
      <t>壹号食品是一家高端猪肉品牌，建立了集育种研发、养殖、屠宰、配送、零售为一体的全产业链经营体系，为消费者提供高品质土猪肉。以及推出</t>
    </r>
    <r>
      <rPr>
        <sz val="9"/>
        <color rgb="FF000000"/>
        <rFont val="Arial"/>
        <charset val="134"/>
      </rPr>
      <t>“</t>
    </r>
    <r>
      <rPr>
        <sz val="9"/>
        <color rgb="FF000000"/>
        <rFont val="楷体"/>
        <charset val="134"/>
      </rPr>
      <t>壹号土鸡</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壹号土鸡蛋</t>
    </r>
    <r>
      <rPr>
        <sz val="9"/>
        <color rgb="FF000000"/>
        <rFont val="Arial"/>
        <charset val="134"/>
      </rPr>
      <t>”</t>
    </r>
    <r>
      <rPr>
        <sz val="9"/>
        <color rgb="FF000000"/>
        <rFont val="楷体"/>
        <charset val="134"/>
      </rPr>
      <t>以及高端牛肉。</t>
    </r>
  </si>
  <si>
    <t>广东壹号食品股份有限公司</t>
  </si>
  <si>
    <t>http://www.gdyhsp.com/</t>
  </si>
  <si>
    <t>2004-09</t>
  </si>
  <si>
    <r>
      <rPr>
        <sz val="9"/>
        <color rgb="FF000000"/>
        <rFont val="楷体"/>
        <charset val="134"/>
      </rPr>
      <t>养殖业</t>
    </r>
  </si>
  <si>
    <r>
      <t>8</t>
    </r>
    <r>
      <rPr>
        <sz val="9"/>
        <color rgb="FF000000"/>
        <rFont val="楷体"/>
        <charset val="134"/>
      </rPr>
      <t>亿</t>
    </r>
  </si>
  <si>
    <r>
      <t>15</t>
    </r>
    <r>
      <rPr>
        <sz val="9"/>
        <color rgb="FF000000"/>
        <rFont val="楷体"/>
        <charset val="134"/>
      </rPr>
      <t>亿元</t>
    </r>
  </si>
  <si>
    <t>广州市天河区体育西路103号维多利广场A座30楼​</t>
  </si>
  <si>
    <t>020-3810-5666</t>
  </si>
  <si>
    <t>和智资本,国投创益</t>
  </si>
  <si>
    <t>2022-02-28</t>
  </si>
  <si>
    <t>嬴彻科技</t>
  </si>
  <si>
    <r>
      <rPr>
        <sz val="9"/>
        <color rgb="FF000000"/>
        <rFont val="楷体"/>
        <charset val="134"/>
      </rPr>
      <t>嬴彻科技</t>
    </r>
  </si>
  <si>
    <r>
      <rPr>
        <sz val="9"/>
        <color rgb="FF000000"/>
        <rFont val="楷体"/>
        <charset val="134"/>
      </rPr>
      <t>嬴彻科技是一家自动驾驶技术研发商，专注于从事城际公开道路中的</t>
    </r>
    <r>
      <rPr>
        <sz val="9"/>
        <color rgb="FF000000"/>
        <rFont val="Arial"/>
        <charset val="134"/>
      </rPr>
      <t>L3</t>
    </r>
    <r>
      <rPr>
        <sz val="9"/>
        <color rgb="FF000000"/>
        <rFont val="楷体"/>
        <charset val="134"/>
      </rPr>
      <t>与</t>
    </r>
    <r>
      <rPr>
        <sz val="9"/>
        <color rgb="FF000000"/>
        <rFont val="Arial"/>
        <charset val="134"/>
      </rPr>
      <t>L4</t>
    </r>
    <r>
      <rPr>
        <sz val="9"/>
        <color rgb="FF000000"/>
        <rFont val="楷体"/>
        <charset val="134"/>
      </rPr>
      <t>级自动驾驶落地物流运营业务，并提供多种模式的自动驾驶运输资产服务，致力于提高物流货车驾驶的安全性。</t>
    </r>
  </si>
  <si>
    <t>嬴彻科技（上海）有限公司</t>
  </si>
  <si>
    <t>http://www.inceptio.ai/</t>
  </si>
  <si>
    <t>2018-09</t>
  </si>
  <si>
    <r>
      <rPr>
        <sz val="9"/>
        <color rgb="FF000000"/>
        <rFont val="楷体"/>
        <charset val="134"/>
      </rPr>
      <t>上海</t>
    </r>
    <r>
      <rPr>
        <sz val="9"/>
        <color rgb="FF000000"/>
        <rFont val="Arial"/>
        <charset val="134"/>
      </rPr>
      <t>-</t>
    </r>
    <r>
      <rPr>
        <sz val="9"/>
        <color rgb="FF000000"/>
        <rFont val="楷体"/>
        <charset val="134"/>
      </rPr>
      <t>杨浦区</t>
    </r>
  </si>
  <si>
    <r>
      <rPr>
        <sz val="9"/>
        <color rgb="FF000000"/>
        <rFont val="楷体"/>
        <charset val="134"/>
      </rPr>
      <t>自动</t>
    </r>
    <r>
      <rPr>
        <sz val="9"/>
        <color rgb="FF000000"/>
        <rFont val="Arial"/>
        <charset val="134"/>
      </rPr>
      <t>/</t>
    </r>
    <r>
      <rPr>
        <sz val="9"/>
        <color rgb="FF000000"/>
        <rFont val="楷体"/>
        <charset val="134"/>
      </rPr>
      <t>无人驾驶</t>
    </r>
  </si>
  <si>
    <r>
      <t>1.88</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</si>
  <si>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周大福</t>
    </r>
    <r>
      <rPr>
        <sz val="9"/>
        <color rgb="FF000000"/>
        <rFont val="Arial"/>
        <charset val="134"/>
      </rPr>
      <t>VMS Legend Investment,</t>
    </r>
    <r>
      <rPr>
        <sz val="9"/>
        <color rgb="FF000000"/>
        <rFont val="楷体"/>
        <charset val="134"/>
      </rPr>
      <t>博华资本</t>
    </r>
    <r>
      <rPr>
        <sz val="9"/>
        <color rgb="FF000000"/>
        <rFont val="Arial"/>
        <charset val="134"/>
      </rPr>
      <t>,</t>
    </r>
    <r>
      <rPr>
        <sz val="9"/>
        <color rgb="FF000000"/>
        <rFont val="楷体"/>
        <charset val="134"/>
      </rPr>
      <t>沄柏资本</t>
    </r>
    <r>
      <rPr>
        <sz val="9"/>
        <color rgb="FF000000"/>
        <rFont val="Arial"/>
        <charset val="134"/>
      </rPr>
      <t>,</t>
    </r>
    <r>
      <rPr>
        <sz val="9"/>
        <color rgb="FF000000"/>
        <rFont val="楷体"/>
        <charset val="134"/>
      </rPr>
      <t>蔚来资本</t>
    </r>
    <r>
      <rPr>
        <sz val="9"/>
        <color rgb="FF000000"/>
        <rFont val="Arial"/>
        <charset val="134"/>
      </rPr>
      <t>,</t>
    </r>
    <r>
      <rPr>
        <sz val="9"/>
        <color rgb="FF000000"/>
        <rFont val="楷体"/>
        <charset val="134"/>
      </rPr>
      <t>昊辰资本</t>
    </r>
    <r>
      <rPr>
        <sz val="9"/>
        <color rgb="FF000000"/>
        <rFont val="Arial"/>
        <charset val="134"/>
      </rPr>
      <t>,</t>
    </r>
    <r>
      <rPr>
        <sz val="9"/>
        <color rgb="FF000000"/>
        <rFont val="楷体"/>
        <charset val="134"/>
      </rPr>
      <t>物产中大</t>
    </r>
  </si>
  <si>
    <r>
      <t>46.02</t>
    </r>
    <r>
      <rPr>
        <sz val="9"/>
        <color rgb="FF000000"/>
        <rFont val="楷体"/>
        <charset val="134"/>
      </rPr>
      <t>亿</t>
    </r>
  </si>
  <si>
    <r>
      <t>183.3</t>
    </r>
    <r>
      <rPr>
        <sz val="9"/>
        <color rgb="FF000000"/>
        <rFont val="楷体"/>
        <charset val="134"/>
      </rPr>
      <t>亿元</t>
    </r>
  </si>
  <si>
    <r>
      <rPr>
        <sz val="9"/>
        <color rgb="FF000000"/>
        <rFont val="楷体"/>
        <charset val="134"/>
      </rPr>
      <t>马喆人</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杨睿刚</t>
    </r>
    <r>
      <rPr>
        <sz val="9"/>
        <color rgb="FF000000"/>
        <rFont val="Arial"/>
        <charset val="134"/>
      </rPr>
      <t>:CTO</t>
    </r>
  </si>
  <si>
    <t>上海市杨浦区长阳路1687号长阳创谷D栋301</t>
  </si>
  <si>
    <t>021-6447-7878</t>
  </si>
  <si>
    <t>johnson.chen@hendersen.com</t>
  </si>
  <si>
    <r>
      <t>2.7</t>
    </r>
    <r>
      <rPr>
        <sz val="9"/>
        <color rgb="FF000000"/>
        <rFont val="楷体"/>
        <charset val="134"/>
      </rPr>
      <t>亿美元</t>
    </r>
  </si>
  <si>
    <r>
      <t>IDG</t>
    </r>
    <r>
      <rPr>
        <sz val="9"/>
        <color rgb="FF000000"/>
        <rFont val="楷体"/>
        <charset val="134"/>
      </rPr>
      <t>资本</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韩国未来资产</t>
    </r>
    <r>
      <rPr>
        <sz val="9"/>
        <color rgb="FF000000"/>
        <rFont val="Arial"/>
        <charset val="134"/>
      </rPr>
      <t>Mirae Asset Venture Investment,</t>
    </r>
    <r>
      <rPr>
        <sz val="9"/>
        <color rgb="FF000000"/>
        <rFont val="楷体"/>
        <charset val="134"/>
      </rPr>
      <t>美团</t>
    </r>
    <r>
      <rPr>
        <sz val="9"/>
        <color rgb="FF000000"/>
        <rFont val="Arial"/>
        <charset val="134"/>
      </rPr>
      <t>,</t>
    </r>
    <r>
      <rPr>
        <sz val="9"/>
        <color rgb="FF000000"/>
        <rFont val="楷体"/>
        <charset val="134"/>
      </rPr>
      <t>德邦快递</t>
    </r>
    <r>
      <rPr>
        <sz val="9"/>
        <color rgb="FF000000"/>
        <rFont val="Arial"/>
        <charset val="134"/>
      </rPr>
      <t>,</t>
    </r>
    <r>
      <rPr>
        <sz val="9"/>
        <color rgb="FF000000"/>
        <rFont val="楷体"/>
        <charset val="134"/>
      </rPr>
      <t>太盟投资集团</t>
    </r>
    <r>
      <rPr>
        <sz val="9"/>
        <color rgb="FF000000"/>
        <rFont val="Arial"/>
        <charset val="134"/>
      </rPr>
      <t>(PAG),</t>
    </r>
    <r>
      <rPr>
        <sz val="9"/>
        <color rgb="FF000000"/>
        <rFont val="楷体"/>
        <charset val="134"/>
      </rPr>
      <t>招银国际</t>
    </r>
    <r>
      <rPr>
        <sz val="9"/>
        <color rgb="FF000000"/>
        <rFont val="Arial"/>
        <charset val="134"/>
      </rPr>
      <t>,</t>
    </r>
    <r>
      <rPr>
        <sz val="9"/>
        <color rgb="FF000000"/>
        <rFont val="楷体"/>
        <charset val="134"/>
      </rPr>
      <t>博华资本</t>
    </r>
    <r>
      <rPr>
        <sz val="9"/>
        <color rgb="FF000000"/>
        <rFont val="Arial"/>
        <charset val="134"/>
      </rPr>
      <t>,</t>
    </r>
    <r>
      <rPr>
        <sz val="9"/>
        <color rgb="FF000000"/>
        <rFont val="楷体"/>
        <charset val="134"/>
      </rPr>
      <t>隐山资本</t>
    </r>
    <r>
      <rPr>
        <sz val="9"/>
        <color rgb="FF000000"/>
        <rFont val="Arial"/>
        <charset val="134"/>
      </rPr>
      <t>,</t>
    </r>
    <r>
      <rPr>
        <sz val="9"/>
        <color rgb="FF000000"/>
        <rFont val="楷体"/>
        <charset val="134"/>
      </rPr>
      <t>蔚来资本</t>
    </r>
    <r>
      <rPr>
        <sz val="9"/>
        <color rgb="FF000000"/>
        <rFont val="Arial"/>
        <charset val="134"/>
      </rPr>
      <t>,</t>
    </r>
    <r>
      <rPr>
        <sz val="9"/>
        <color rgb="FF000000"/>
        <rFont val="楷体"/>
        <charset val="134"/>
      </rPr>
      <t>国投招商</t>
    </r>
    <r>
      <rPr>
        <sz val="9"/>
        <color rgb="FF000000"/>
        <rFont val="Arial"/>
        <charset val="134"/>
      </rPr>
      <t>,</t>
    </r>
    <r>
      <rPr>
        <sz val="9"/>
        <color rgb="FF000000"/>
        <rFont val="楷体"/>
        <charset val="134"/>
      </rPr>
      <t>宁德时代</t>
    </r>
  </si>
  <si>
    <t>1.2亿美元</t>
  </si>
  <si>
    <t>普洛斯GLP,蔚来资本,G7汇通天下,宁德时代</t>
  </si>
  <si>
    <t>普洛斯GLP,蔚来资本,G7汇通天下</t>
  </si>
  <si>
    <t>2021-08-24</t>
  </si>
  <si>
    <t>OPay</t>
  </si>
  <si>
    <t>OPay是尼日利亚一家移动支付服务商，用户可通过APP进行账单支付、转账汇款、食品购买、现金提取等操作，致力于提供全方位的移动支付服务。</t>
  </si>
  <si>
    <t>https://operapay.com/</t>
  </si>
  <si>
    <t>2018-01</t>
  </si>
  <si>
    <t>非洲-尼日利亚</t>
  </si>
  <si>
    <t>4亿美元</t>
  </si>
  <si>
    <t>源码资本,软银愿景基金,三万资本,DragonBall Capital</t>
  </si>
  <si>
    <t>37.05亿</t>
  </si>
  <si>
    <t>130亿元</t>
  </si>
  <si>
    <t>周亚辉:董事长,Allen Qu:Chief Operating Officer,Awolowo Moses:Director of ORide Business,CHENGYANG WANG:Operation Director,Ebunoluwa Shipe:Senior Operations Manager,Olalere Ridwan:Senior Director of Operations for ORide,Yahui Zhou:Founder, CEO &amp; Chairman</t>
  </si>
  <si>
    <t>红杉资本中国,IDG资本,金沙江创投,Redpoint Ventures红点全球基金,BAI资本,高榕资本,源码资本,美团,软银中印,美团龙珠</t>
  </si>
  <si>
    <t>红杉资本中国,IDG资本,源码资本,Opera</t>
  </si>
  <si>
    <t>2023-06-29</t>
  </si>
  <si>
    <t>光年之外</t>
  </si>
  <si>
    <t>光年之外是一家由美团联合创始人王慧文创办的人工智能公司，致力于打造中国版OpenAl。</t>
  </si>
  <si>
    <t>北京光年之外科技有限公司</t>
  </si>
  <si>
    <t>2018-07</t>
  </si>
  <si>
    <t>前沿技术</t>
  </si>
  <si>
    <t>20.65亿人民币</t>
  </si>
  <si>
    <t>40.15亿</t>
  </si>
  <si>
    <t>103.25亿元</t>
  </si>
  <si>
    <t>王慧文:创始人</t>
  </si>
  <si>
    <t>北京市海淀区丰慧中路7号新材料创业大厦10层10层北侧办公1719号</t>
  </si>
  <si>
    <t>zhengzhao@meituan.com</t>
  </si>
  <si>
    <t>五源资本,腾讯投资,源码资本,宿华</t>
  </si>
  <si>
    <t>王兴</t>
  </si>
  <si>
    <t>王慧文</t>
  </si>
  <si>
    <t>2021-07-29</t>
  </si>
  <si>
    <t>恩和生物</t>
  </si>
  <si>
    <r>
      <rPr>
        <sz val="9"/>
        <color rgb="FF000000"/>
        <rFont val="楷体"/>
        <charset val="134"/>
      </rPr>
      <t>恩和生物</t>
    </r>
  </si>
  <si>
    <r>
      <rPr>
        <sz val="9"/>
        <color rgb="FF000000"/>
        <rFont val="楷体"/>
        <charset val="134"/>
      </rPr>
      <t>恩和生物是一家合成生物学技术开发商，公司基于合成生物学理念，通过利用标准化、自动化的高通量湿实验平台（</t>
    </r>
    <r>
      <rPr>
        <sz val="9"/>
        <color rgb="FF000000"/>
        <rFont val="Arial"/>
        <charset val="134"/>
      </rPr>
      <t>Bio-foundry</t>
    </r>
    <r>
      <rPr>
        <sz val="9"/>
        <color rgb="FF000000"/>
        <rFont val="楷体"/>
        <charset val="134"/>
      </rPr>
      <t>），结合生物信息计算和机器学习对生物体进行系统性、工程性编辑，致力于开发高效、绿色、低成本，且适用于大规模生产的工业生物制造技术，并为化工、食品、制药和农业等多种产业提供关键技术解决方案。公司主要业务在波士顿、加州、杭州并行。</t>
    </r>
  </si>
  <si>
    <t>杭州恩和生物科技有限公司</t>
  </si>
  <si>
    <t>2019-09</t>
  </si>
  <si>
    <r>
      <rPr>
        <sz val="9"/>
        <color rgb="FF000000"/>
        <rFont val="楷体"/>
        <charset val="134"/>
      </rPr>
      <t>浙江</t>
    </r>
    <r>
      <rPr>
        <sz val="9"/>
        <color rgb="FF000000"/>
        <rFont val="Arial"/>
        <charset val="134"/>
      </rPr>
      <t>-</t>
    </r>
    <r>
      <rPr>
        <sz val="9"/>
        <color rgb="FF000000"/>
        <rFont val="楷体"/>
        <charset val="134"/>
      </rPr>
      <t>杭州</t>
    </r>
  </si>
  <si>
    <r>
      <rPr>
        <sz val="9"/>
        <color rgb="FF000000"/>
        <rFont val="楷体"/>
        <charset val="134"/>
      </rPr>
      <t>红杉资本中国</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招银国际</t>
    </r>
    <r>
      <rPr>
        <sz val="9"/>
        <color rgb="FF000000"/>
        <rFont val="Arial"/>
        <charset val="134"/>
      </rPr>
      <t>,</t>
    </r>
    <r>
      <rPr>
        <sz val="9"/>
        <color rgb="FF000000"/>
        <rFont val="楷体"/>
        <charset val="134"/>
      </rPr>
      <t>夏尔巴投资</t>
    </r>
  </si>
  <si>
    <r>
      <t>9.62</t>
    </r>
    <r>
      <rPr>
        <sz val="9"/>
        <color rgb="FF000000"/>
        <rFont val="楷体"/>
        <charset val="134"/>
      </rPr>
      <t>亿</t>
    </r>
  </si>
  <si>
    <r>
      <t>39</t>
    </r>
    <r>
      <rPr>
        <sz val="9"/>
        <color rgb="FF000000"/>
        <rFont val="楷体"/>
        <charset val="134"/>
      </rPr>
      <t>亿元</t>
    </r>
  </si>
  <si>
    <r>
      <rPr>
        <sz val="9"/>
        <color rgb="FF000000"/>
        <rFont val="楷体"/>
        <charset val="134"/>
      </rPr>
      <t>崔好</t>
    </r>
    <r>
      <rPr>
        <sz val="9"/>
        <color rgb="FF000000"/>
        <rFont val="Arial"/>
        <charset val="134"/>
      </rPr>
      <t>:</t>
    </r>
    <r>
      <rPr>
        <sz val="9"/>
        <color rgb="FF000000"/>
        <rFont val="楷体"/>
        <charset val="134"/>
      </rPr>
      <t>创始人兼</t>
    </r>
    <r>
      <rPr>
        <sz val="9"/>
        <color rgb="FF000000"/>
        <rFont val="Arial"/>
        <charset val="134"/>
      </rPr>
      <t>CEO</t>
    </r>
  </si>
  <si>
    <t>浙江省杭州经济技术开发区白杨街道科技园路20号13幢3层</t>
  </si>
  <si>
    <t>BASF巴斯夫</t>
  </si>
  <si>
    <t>经纬创投,百度风投,夏尔巴投资</t>
  </si>
  <si>
    <t>巢生资本</t>
  </si>
  <si>
    <t>2022-04-11</t>
  </si>
  <si>
    <t>毫末智行</t>
  </si>
  <si>
    <t>毫末智行是一家自动驾驶技术研发商，脱胎于长城汽车技术中心的智能驾驶前瞻分部，此前一直在长城汽车内部负责ADAS系统研发，2019 年 11 月正式成立独立公司。毫末智行聚焦To C端乘用车高级别自动驾驶解决方案及To B端车规级 无人物流小车生产、销售、示范应用及推广，目前建立了两条产品线：一条是面向乘用车的自动驾驶系统，另一条是提供给物流、送餐领域的物流车。</t>
  </si>
  <si>
    <t>毫末智行科技有限公司</t>
  </si>
  <si>
    <t>http://www.haomo.ai/</t>
  </si>
  <si>
    <t>2019-11</t>
  </si>
  <si>
    <t>北京-丰台区</t>
  </si>
  <si>
    <t>中银投资,首程控股</t>
  </si>
  <si>
    <t>16亿</t>
  </si>
  <si>
    <t>顾维灏:CEO</t>
  </si>
  <si>
    <t>北京市丰台区广安路9号院3号楼18层1802</t>
  </si>
  <si>
    <t>0312-219-2056</t>
  </si>
  <si>
    <t>gejianyong@gwm.cn</t>
  </si>
  <si>
    <r>
      <t>A</t>
    </r>
    <r>
      <rPr>
        <sz val="9"/>
        <color rgb="FF000000"/>
        <rFont val="楷体"/>
        <charset val="134"/>
      </rPr>
      <t>轮</t>
    </r>
  </si>
  <si>
    <r>
      <rPr>
        <sz val="9"/>
        <color rgb="FF000000"/>
        <rFont val="楷体"/>
        <charset val="134"/>
      </rPr>
      <t>美团</t>
    </r>
    <r>
      <rPr>
        <sz val="9"/>
        <color rgb="FF000000"/>
        <rFont val="Arial"/>
        <charset val="134"/>
      </rPr>
      <t>,</t>
    </r>
    <r>
      <rPr>
        <sz val="9"/>
        <color rgb="FF000000"/>
        <rFont val="楷体"/>
        <charset val="134"/>
      </rPr>
      <t>高瓴创投</t>
    </r>
    <r>
      <rPr>
        <sz val="9"/>
        <color rgb="FF000000"/>
        <rFont val="Arial"/>
        <charset val="134"/>
      </rPr>
      <t>,</t>
    </r>
    <r>
      <rPr>
        <sz val="9"/>
        <color rgb="FF000000"/>
        <rFont val="楷体"/>
        <charset val="134"/>
      </rPr>
      <t>首程控股</t>
    </r>
  </si>
  <si>
    <r>
      <t>Pre-A</t>
    </r>
    <r>
      <rPr>
        <sz val="9"/>
        <color rgb="FF000000"/>
        <rFont val="楷体"/>
        <charset val="134"/>
      </rPr>
      <t>轮</t>
    </r>
  </si>
  <si>
    <r>
      <t>3</t>
    </r>
    <r>
      <rPr>
        <sz val="9"/>
        <color rgb="FF000000"/>
        <rFont val="楷体"/>
        <charset val="134"/>
      </rPr>
      <t>亿人民币</t>
    </r>
  </si>
  <si>
    <r>
      <rPr>
        <sz val="9"/>
        <color rgb="FF000000"/>
        <rFont val="楷体"/>
        <charset val="134"/>
      </rPr>
      <t>高瓴投资</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长城汽车</t>
    </r>
    <r>
      <rPr>
        <sz val="9"/>
        <color rgb="FF000000"/>
        <rFont val="Arial"/>
        <charset val="134"/>
      </rPr>
      <t>,</t>
    </r>
    <r>
      <rPr>
        <sz val="9"/>
        <color rgb="FF000000"/>
        <rFont val="楷体"/>
        <charset val="134"/>
      </rPr>
      <t>首钢股份</t>
    </r>
  </si>
  <si>
    <t>2022-01-17</t>
  </si>
  <si>
    <t>爱芯元智</t>
  </si>
  <si>
    <r>
      <rPr>
        <sz val="9"/>
        <color rgb="FF000000"/>
        <rFont val="楷体"/>
        <charset val="134"/>
      </rPr>
      <t>爱芯元智</t>
    </r>
  </si>
  <si>
    <r>
      <rPr>
        <sz val="9"/>
        <color rgb="FF000000"/>
        <rFont val="楷体"/>
        <charset val="134"/>
      </rPr>
      <t>爱芯元智是一家</t>
    </r>
    <r>
      <rPr>
        <sz val="9"/>
        <color rgb="FF000000"/>
        <rFont val="Arial"/>
        <charset val="134"/>
      </rPr>
      <t>AI</t>
    </r>
    <r>
      <rPr>
        <sz val="9"/>
        <color rgb="FF000000"/>
        <rFont val="楷体"/>
        <charset val="134"/>
      </rPr>
      <t>视觉芯片研发及基础算力平台。专注于高性能、低功耗的人工智能处理器芯片研发，并自主研发面向推理加速的神经网络处理器</t>
    </r>
    <r>
      <rPr>
        <sz val="9"/>
        <color rgb="FF000000"/>
        <rFont val="Arial"/>
        <charset val="134"/>
      </rPr>
      <t>IP</t>
    </r>
    <r>
      <rPr>
        <sz val="9"/>
        <color rgb="FF000000"/>
        <rFont val="楷体"/>
        <charset val="134"/>
      </rPr>
      <t>。通过神经网络提升画质，支持多种视觉任务开发。核心技术产品广泛适用于智慧城市、智能社区、智能驾驶、智慧零售、智能家居、智能穿戴等多个领域。基于算法、芯片、产品的垂直整合，爱芯元智为合作伙伴提供全栈式解决方案，帮助客户实现最新技术的快速落地。与此同时，公司制定了完善的产品路线图，覆盖高中低端市场，以满足客户不同场景的产品需求。</t>
    </r>
  </si>
  <si>
    <t>北京爱芯科技有限公司</t>
  </si>
  <si>
    <t>https://www.axera-tech.com/</t>
  </si>
  <si>
    <t>2019-05</t>
  </si>
  <si>
    <r>
      <rPr>
        <sz val="9"/>
        <color rgb="FF000000"/>
        <rFont val="楷体"/>
        <charset val="134"/>
      </rPr>
      <t>集成电路</t>
    </r>
  </si>
  <si>
    <r>
      <t>A+</t>
    </r>
    <r>
      <rPr>
        <sz val="9"/>
        <color rgb="FF000000"/>
        <rFont val="楷体"/>
        <charset val="134"/>
      </rPr>
      <t>轮</t>
    </r>
  </si>
  <si>
    <r>
      <t>8</t>
    </r>
    <r>
      <rPr>
        <sz val="9"/>
        <color rgb="FF000000"/>
        <rFont val="楷体"/>
        <charset val="134"/>
      </rPr>
      <t>亿人民币</t>
    </r>
  </si>
  <si>
    <r>
      <rPr>
        <sz val="9"/>
        <color rgb="FF000000"/>
        <rFont val="楷体"/>
        <charset val="134"/>
      </rPr>
      <t>启明创投</t>
    </r>
    <r>
      <rPr>
        <sz val="9"/>
        <color rgb="FF000000"/>
        <rFont val="Arial"/>
        <charset val="134"/>
      </rPr>
      <t>,GGV</t>
    </r>
    <r>
      <rPr>
        <sz val="9"/>
        <color rgb="FF000000"/>
        <rFont val="楷体"/>
        <charset val="134"/>
      </rPr>
      <t>纪源资本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联想之星</t>
    </r>
    <r>
      <rPr>
        <sz val="9"/>
        <color rgb="FF000000"/>
        <rFont val="Arial"/>
        <charset val="134"/>
      </rPr>
      <t>,</t>
    </r>
    <r>
      <rPr>
        <sz val="9"/>
        <color rgb="FF000000"/>
        <rFont val="楷体"/>
        <charset val="134"/>
      </rPr>
      <t>火眼资本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耀途资本</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和聚百川</t>
    </r>
    <r>
      <rPr>
        <sz val="9"/>
        <color rgb="FF000000"/>
        <rFont val="Arial"/>
        <charset val="134"/>
      </rPr>
      <t>,</t>
    </r>
    <r>
      <rPr>
        <sz val="9"/>
        <color rgb="FF000000"/>
        <rFont val="楷体"/>
        <charset val="134"/>
      </rPr>
      <t>韦豪创芯</t>
    </r>
  </si>
  <si>
    <r>
      <t>14.1</t>
    </r>
    <r>
      <rPr>
        <sz val="9"/>
        <color rgb="FF000000"/>
        <rFont val="楷体"/>
        <charset val="134"/>
      </rPr>
      <t>亿</t>
    </r>
  </si>
  <si>
    <r>
      <t>36</t>
    </r>
    <r>
      <rPr>
        <sz val="9"/>
        <color rgb="FF000000"/>
        <rFont val="楷体"/>
        <charset val="134"/>
      </rPr>
      <t>亿元</t>
    </r>
  </si>
  <si>
    <r>
      <rPr>
        <sz val="9"/>
        <color rgb="FF000000"/>
        <rFont val="楷体"/>
        <charset val="134"/>
      </rPr>
      <t>仇肖莘</t>
    </r>
    <r>
      <rPr>
        <sz val="9"/>
        <color rgb="FF000000"/>
        <rFont val="Arial"/>
        <charset val="134"/>
      </rPr>
      <t>:</t>
    </r>
    <r>
      <rPr>
        <sz val="9"/>
        <color rgb="FF000000"/>
        <rFont val="楷体"/>
        <charset val="134"/>
      </rPr>
      <t>创始人兼</t>
    </r>
    <r>
      <rPr>
        <sz val="9"/>
        <color rgb="FF000000"/>
        <rFont val="Arial"/>
        <charset val="134"/>
      </rPr>
      <t>CEO</t>
    </r>
  </si>
  <si>
    <t>北京市海淀区中关村海龙大厦H座16层</t>
  </si>
  <si>
    <t>021-6163-3969</t>
  </si>
  <si>
    <t>Business@axera-tech.com</t>
  </si>
  <si>
    <r>
      <t>GGV</t>
    </r>
    <r>
      <rPr>
        <sz val="9"/>
        <color rgb="FF000000"/>
        <rFont val="楷体"/>
        <charset val="134"/>
      </rPr>
      <t>纪源资本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耀途资本</t>
    </r>
    <r>
      <rPr>
        <sz val="9"/>
        <color rgb="FF000000"/>
        <rFont val="Arial"/>
        <charset val="134"/>
      </rPr>
      <t>,</t>
    </r>
    <r>
      <rPr>
        <sz val="9"/>
        <color rgb="FF000000"/>
        <rFont val="楷体"/>
        <charset val="134"/>
      </rPr>
      <t>天创资本</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成从武</t>
    </r>
    <r>
      <rPr>
        <sz val="9"/>
        <color rgb="FF000000"/>
        <rFont val="Arial"/>
        <charset val="134"/>
      </rPr>
      <t>,</t>
    </r>
    <r>
      <rPr>
        <sz val="9"/>
        <color rgb="FF000000"/>
        <rFont val="楷体"/>
        <charset val="134"/>
      </rPr>
      <t>和聚百川</t>
    </r>
    <r>
      <rPr>
        <sz val="9"/>
        <color rgb="FF000000"/>
        <rFont val="Arial"/>
        <charset val="134"/>
      </rPr>
      <t>,</t>
    </r>
    <r>
      <rPr>
        <sz val="9"/>
        <color rgb="FF000000"/>
        <rFont val="楷体"/>
        <charset val="134"/>
      </rPr>
      <t>韦豪创芯</t>
    </r>
    <r>
      <rPr>
        <sz val="9"/>
        <color rgb="FF000000"/>
        <rFont val="Arial"/>
        <charset val="134"/>
      </rPr>
      <t>,</t>
    </r>
    <r>
      <rPr>
        <sz val="9"/>
        <color rgb="FF000000"/>
        <rFont val="楷体"/>
        <charset val="134"/>
      </rPr>
      <t>冯源投资</t>
    </r>
    <r>
      <rPr>
        <sz val="9"/>
        <color rgb="FF000000"/>
        <rFont val="Arial"/>
        <charset val="134"/>
      </rPr>
      <t>,</t>
    </r>
    <r>
      <rPr>
        <sz val="9"/>
        <color rgb="FF000000"/>
        <rFont val="楷体"/>
        <charset val="134"/>
      </rPr>
      <t>石溪资本</t>
    </r>
    <r>
      <rPr>
        <sz val="9"/>
        <color rgb="FF000000"/>
        <rFont val="Arial"/>
        <charset val="134"/>
      </rPr>
      <t>,</t>
    </r>
    <r>
      <rPr>
        <sz val="9"/>
        <color rgb="FF000000"/>
        <rFont val="楷体"/>
        <charset val="134"/>
      </rPr>
      <t>元禾璞华</t>
    </r>
  </si>
  <si>
    <t>启明创投,联想之星,耀途资本,沄柏资本,和聚百川,万物资本</t>
  </si>
  <si>
    <t>启明创投,联想之星</t>
  </si>
  <si>
    <t>2022-02-15</t>
  </si>
  <si>
    <t>星云智联</t>
  </si>
  <si>
    <t>星云智联是一家DPU芯片研发商，专注于数据中心基础互联通信架构和DPU芯片研发，致力于构建数字世界算力的智能连接和开放生态，让云计算和数据中心成为构建未来数字社会的坚实基础。</t>
  </si>
  <si>
    <t>珠海星云智联科技有限公司</t>
  </si>
  <si>
    <t>http://www.nebula-matrix.com/</t>
  </si>
  <si>
    <t>2021-03</t>
  </si>
  <si>
    <t>广东-珠海</t>
  </si>
  <si>
    <t>集成电路</t>
  </si>
  <si>
    <t>百度</t>
  </si>
  <si>
    <t>10亿</t>
  </si>
  <si>
    <t>36亿元</t>
  </si>
  <si>
    <t>珠海市横琴新区宝华路6号105室</t>
  </si>
  <si>
    <t>BAI资本,鼎晖投资,松禾资本,华登国际,复星锐正资本,嘉御资本,金浦投资,沃赋资本,复星创富,高瓴创投,华金投资</t>
  </si>
  <si>
    <t>鼎晖投资,华登国际,高瓴创投</t>
  </si>
  <si>
    <t>2023-07-19</t>
  </si>
  <si>
    <t>智谱AI</t>
  </si>
  <si>
    <r>
      <rPr>
        <sz val="9"/>
        <color rgb="FF000000"/>
        <rFont val="楷体"/>
        <charset val="134"/>
      </rPr>
      <t>智谱</t>
    </r>
    <r>
      <rPr>
        <sz val="9"/>
        <color rgb="FF000000"/>
        <rFont val="Arial"/>
        <charset val="134"/>
      </rPr>
      <t>AI</t>
    </r>
  </si>
  <si>
    <r>
      <rPr>
        <sz val="9"/>
        <color rgb="FF000000"/>
        <rFont val="楷体"/>
        <charset val="134"/>
      </rPr>
      <t>智谱</t>
    </r>
    <r>
      <rPr>
        <sz val="9"/>
        <color rgb="FF000000"/>
        <rFont val="Arial"/>
        <charset val="134"/>
      </rPr>
      <t>AI</t>
    </r>
    <r>
      <rPr>
        <sz val="9"/>
        <color rgb="FF000000"/>
        <rFont val="楷体"/>
        <charset val="134"/>
      </rPr>
      <t>是由清华大学计算机系技术成果转化而来的公司，致力于打造新一代认知智能通用模型。公司合作研发了双语千亿级超大规模预训练模型</t>
    </r>
    <r>
      <rPr>
        <sz val="9"/>
        <color rgb="FF000000"/>
        <rFont val="Arial"/>
        <charset val="134"/>
      </rPr>
      <t>GLM-130B</t>
    </r>
    <r>
      <rPr>
        <sz val="9"/>
        <color rgb="FF000000"/>
        <rFont val="楷体"/>
        <charset val="134"/>
      </rPr>
      <t>，并构建了高精度通用知识图谱，形成数据与知识双轮驱动的认知引擎，基于此模型打造了</t>
    </r>
    <r>
      <rPr>
        <sz val="9"/>
        <color rgb="FF000000"/>
        <rFont val="Arial"/>
        <charset val="134"/>
      </rPr>
      <t>ChatGLM</t>
    </r>
    <r>
      <rPr>
        <sz val="9"/>
        <color rgb="FF000000"/>
        <rFont val="楷体"/>
        <charset val="134"/>
      </rPr>
      <t>（</t>
    </r>
    <r>
      <rPr>
        <sz val="9"/>
        <color rgb="FF000000"/>
        <rFont val="Arial"/>
        <charset val="134"/>
      </rPr>
      <t>chatglm.cn</t>
    </r>
    <r>
      <rPr>
        <sz val="9"/>
        <color rgb="FF000000"/>
        <rFont val="楷体"/>
        <charset val="134"/>
      </rPr>
      <t>）。此外，智谱</t>
    </r>
    <r>
      <rPr>
        <sz val="9"/>
        <color rgb="FF000000"/>
        <rFont val="Arial"/>
        <charset val="134"/>
      </rPr>
      <t>AI</t>
    </r>
    <r>
      <rPr>
        <sz val="9"/>
        <color rgb="FF000000"/>
        <rFont val="楷体"/>
        <charset val="134"/>
      </rPr>
      <t>还推出了认知大模型平台</t>
    </r>
    <r>
      <rPr>
        <sz val="9"/>
        <color rgb="FF000000"/>
        <rFont val="Arial"/>
        <charset val="134"/>
      </rPr>
      <t>Bigmodel.ai</t>
    </r>
    <r>
      <rPr>
        <sz val="9"/>
        <color rgb="FF000000"/>
        <rFont val="楷体"/>
        <charset val="134"/>
      </rPr>
      <t>，包括</t>
    </r>
    <r>
      <rPr>
        <sz val="9"/>
        <color rgb="FF000000"/>
        <rFont val="Arial"/>
        <charset val="134"/>
      </rPr>
      <t>CodeGeeX</t>
    </r>
    <r>
      <rPr>
        <sz val="9"/>
        <color rgb="FF000000"/>
        <rFont val="楷体"/>
        <charset val="134"/>
      </rPr>
      <t>和</t>
    </r>
    <r>
      <rPr>
        <sz val="9"/>
        <color rgb="FF000000"/>
        <rFont val="Arial"/>
        <charset val="134"/>
      </rPr>
      <t>CogView</t>
    </r>
    <r>
      <rPr>
        <sz val="9"/>
        <color rgb="FF000000"/>
        <rFont val="楷体"/>
        <charset val="134"/>
      </rPr>
      <t>等产品，提供智能</t>
    </r>
    <r>
      <rPr>
        <sz val="9"/>
        <color rgb="FF000000"/>
        <rFont val="Arial"/>
        <charset val="134"/>
      </rPr>
      <t>API</t>
    </r>
    <r>
      <rPr>
        <sz val="9"/>
        <color rgb="FF000000"/>
        <rFont val="楷体"/>
        <charset val="134"/>
      </rPr>
      <t>服务，链接物理世界的亿级用户、赋能元宇宙数字人、成为具身机器人的基座，赋予机器像人一样</t>
    </r>
    <r>
      <rPr>
        <sz val="9"/>
        <color rgb="FF000000"/>
        <rFont val="Arial"/>
        <charset val="134"/>
      </rPr>
      <t>“</t>
    </r>
    <r>
      <rPr>
        <sz val="9"/>
        <color rgb="FF000000"/>
        <rFont val="楷体"/>
        <charset val="134"/>
      </rPr>
      <t>思考</t>
    </r>
    <r>
      <rPr>
        <sz val="9"/>
        <color rgb="FF000000"/>
        <rFont val="Arial"/>
        <charset val="134"/>
      </rPr>
      <t>”</t>
    </r>
    <r>
      <rPr>
        <sz val="9"/>
        <color rgb="FF000000"/>
        <rFont val="楷体"/>
        <charset val="134"/>
      </rPr>
      <t>的能力。</t>
    </r>
  </si>
  <si>
    <t>北京智谱华章科技有限公司</t>
  </si>
  <si>
    <t>http://zphz.aminer.cn</t>
  </si>
  <si>
    <t>2019-06</t>
  </si>
  <si>
    <r>
      <rPr>
        <sz val="9"/>
        <color rgb="FF000000"/>
        <rFont val="楷体"/>
        <charset val="134"/>
      </rPr>
      <t>前沿技术</t>
    </r>
  </si>
  <si>
    <r>
      <t>9.3</t>
    </r>
    <r>
      <rPr>
        <sz val="9"/>
        <color rgb="FF000000"/>
        <rFont val="楷体"/>
        <charset val="134"/>
      </rPr>
      <t>亿</t>
    </r>
  </si>
  <si>
    <r>
      <t>35</t>
    </r>
    <r>
      <rPr>
        <sz val="9"/>
        <color rgb="FF000000"/>
        <rFont val="楷体"/>
        <charset val="134"/>
      </rPr>
      <t>亿元</t>
    </r>
  </si>
  <si>
    <r>
      <rPr>
        <sz val="9"/>
        <color rgb="FF000000"/>
        <rFont val="楷体"/>
        <charset val="134"/>
      </rPr>
      <t>唐杰</t>
    </r>
    <r>
      <rPr>
        <sz val="9"/>
        <color rgb="FF000000"/>
        <rFont val="Arial"/>
        <charset val="134"/>
      </rPr>
      <t>:</t>
    </r>
    <r>
      <rPr>
        <sz val="9"/>
        <color rgb="FF000000"/>
        <rFont val="楷体"/>
        <charset val="134"/>
      </rPr>
      <t>首席科学家</t>
    </r>
    <r>
      <rPr>
        <sz val="9"/>
        <color rgb="FF000000"/>
        <rFont val="Arial"/>
        <charset val="134"/>
      </rPr>
      <t>,</t>
    </r>
    <r>
      <rPr>
        <sz val="9"/>
        <color rgb="FF000000"/>
        <rFont val="楷体"/>
        <charset val="134"/>
      </rPr>
      <t>王绍兰</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张鹏</t>
    </r>
    <r>
      <rPr>
        <sz val="9"/>
        <color rgb="FF000000"/>
        <rFont val="Arial"/>
        <charset val="134"/>
      </rPr>
      <t>:CEO</t>
    </r>
  </si>
  <si>
    <t>北京市海淀区中关村东路1号院9号楼10层</t>
  </si>
  <si>
    <t>010-8215-2580</t>
  </si>
  <si>
    <t>service@zhipuai.cn</t>
  </si>
  <si>
    <t>君联资本,启明创投,华控基金</t>
  </si>
  <si>
    <t>达晨财智,华控基金,图灵创投,将门创投,凌云光,北京达凡,通智投资,枣庄通智,荣品投资</t>
  </si>
  <si>
    <t>清华控股,中科创星,清华产业基金</t>
  </si>
  <si>
    <t>2023-04-10</t>
  </si>
  <si>
    <t>荣芯半导体</t>
  </si>
  <si>
    <t>荣芯半导体是一家致力于成熟制程特色工艺的集成电路制造企业，聚焦产品于图像传感器、显示驱动、功率器件、电源管理、代码型闪存等，着重成熟制程特色工艺，为中国半导体行业提供优秀的技术开发能力和12寸晶圆制造产能。</t>
  </si>
  <si>
    <t>荣芯半导体（宁波）有限公司</t>
  </si>
  <si>
    <t>http://www.rongsemi.com/</t>
  </si>
  <si>
    <t>2021-04</t>
  </si>
  <si>
    <t>浙江-宁波</t>
  </si>
  <si>
    <t>华勤技术</t>
  </si>
  <si>
    <t>200亿元</t>
  </si>
  <si>
    <t>浙江省宁波市北仑区柴桥街道金水桥路28号4幢1号1层-1</t>
  </si>
  <si>
    <t>7亿人民币</t>
  </si>
  <si>
    <t>韦豪创芯</t>
  </si>
  <si>
    <t>元禾控股,盈富泰克,泰达科投</t>
  </si>
  <si>
    <r>
      <rPr>
        <sz val="9"/>
        <color rgb="FF000000"/>
        <rFont val="楷体"/>
        <charset val="134"/>
      </rPr>
      <t>红杉资本中国</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北京君正</t>
    </r>
    <r>
      <rPr>
        <sz val="9"/>
        <color rgb="FF000000"/>
        <rFont val="Arial"/>
        <charset val="134"/>
      </rPr>
      <t>,</t>
    </r>
    <r>
      <rPr>
        <sz val="9"/>
        <color rgb="FF000000"/>
        <rFont val="楷体"/>
        <charset val="134"/>
      </rPr>
      <t>清控银杏创投</t>
    </r>
    <r>
      <rPr>
        <sz val="9"/>
        <color rgb="FF000000"/>
        <rFont val="Arial"/>
        <charset val="134"/>
      </rPr>
      <t>,</t>
    </r>
    <r>
      <rPr>
        <sz val="9"/>
        <color rgb="FF000000"/>
        <rFont val="楷体"/>
        <charset val="134"/>
      </rPr>
      <t>兴橙资本</t>
    </r>
    <r>
      <rPr>
        <sz val="9"/>
        <color rgb="FF000000"/>
        <rFont val="Arial"/>
        <charset val="134"/>
      </rPr>
      <t>,</t>
    </r>
    <r>
      <rPr>
        <sz val="9"/>
        <color rgb="FF000000"/>
        <rFont val="楷体"/>
        <charset val="134"/>
      </rPr>
      <t>冯源投资</t>
    </r>
    <r>
      <rPr>
        <sz val="9"/>
        <color rgb="FF000000"/>
        <rFont val="Arial"/>
        <charset val="134"/>
      </rPr>
      <t>,</t>
    </r>
    <r>
      <rPr>
        <sz val="9"/>
        <color rgb="FF000000"/>
        <rFont val="楷体"/>
        <charset val="134"/>
      </rPr>
      <t>民和资本</t>
    </r>
    <r>
      <rPr>
        <sz val="9"/>
        <color rgb="FF000000"/>
        <rFont val="Arial"/>
        <charset val="134"/>
      </rPr>
      <t>,</t>
    </r>
    <r>
      <rPr>
        <sz val="9"/>
        <color rgb="FF000000"/>
        <rFont val="楷体"/>
        <charset val="134"/>
      </rPr>
      <t>鋆昊资本</t>
    </r>
    <r>
      <rPr>
        <sz val="9"/>
        <color rgb="FF000000"/>
        <rFont val="Arial"/>
        <charset val="134"/>
      </rPr>
      <t>,</t>
    </r>
    <r>
      <rPr>
        <sz val="9"/>
        <color rgb="FF000000"/>
        <rFont val="楷体"/>
        <charset val="134"/>
      </rPr>
      <t>元禾璞华</t>
    </r>
    <r>
      <rPr>
        <sz val="9"/>
        <color rgb="FF000000"/>
        <rFont val="Arial"/>
        <charset val="134"/>
      </rPr>
      <t>,</t>
    </r>
    <r>
      <rPr>
        <sz val="9"/>
        <color rgb="FF000000"/>
        <rFont val="楷体"/>
        <charset val="134"/>
      </rPr>
      <t>通商基金</t>
    </r>
  </si>
  <si>
    <t>2023-06-21</t>
  </si>
  <si>
    <t>欣旺达动力EVB</t>
  </si>
  <si>
    <t>欣旺达动力EVB是欣旺达电子股份有限公司子公司。致力于通过先进的锂电池集成技术，为中国乃至全球新能源车企提供电动汽车电池包解决方案。建立了电动汽车电池包领域完整的研发、制造能力，拥有完全自主知识产权的电池管理系统（BMS），高度自动化电芯分选、模组成组和电池包装配全自动化生产线。与众多知名汽车厂商建立了深度合作关系，为海内外整车纯电动/混动电池系统的研发及制造提供了整套解决方案。</t>
  </si>
  <si>
    <t>欣旺达动力科技股份有限公司</t>
  </si>
  <si>
    <t>http://www.sunwoda-evb.com/index.jhtml</t>
  </si>
  <si>
    <t>新能源</t>
  </si>
  <si>
    <t>16.5亿人民币</t>
  </si>
  <si>
    <t>国寿股权,中银投资,建信投资,华泰保险,中国石化,建信股权,重庆制造,华淳保信</t>
  </si>
  <si>
    <t>113.7亿</t>
  </si>
  <si>
    <t>355.6亿元</t>
  </si>
  <si>
    <t>王明旺:董事长</t>
  </si>
  <si>
    <t>深圳市宝安区石岩街道石龙社区颐和路2号</t>
  </si>
  <si>
    <t>0755-2951-6888</t>
  </si>
  <si>
    <t>sunwoda@sunwoda.com</t>
  </si>
  <si>
    <r>
      <t>9.9</t>
    </r>
    <r>
      <rPr>
        <sz val="9"/>
        <color rgb="FF000000"/>
        <rFont val="楷体"/>
        <charset val="134"/>
      </rPr>
      <t>亿人民币</t>
    </r>
  </si>
  <si>
    <r>
      <rPr>
        <sz val="9"/>
        <color rgb="FF000000"/>
        <rFont val="楷体"/>
        <charset val="134"/>
      </rPr>
      <t>中金公司</t>
    </r>
    <r>
      <rPr>
        <sz val="9"/>
        <color rgb="FF000000"/>
        <rFont val="Arial"/>
        <charset val="134"/>
      </rPr>
      <t>,</t>
    </r>
    <r>
      <rPr>
        <sz val="9"/>
        <color rgb="FF000000"/>
        <rFont val="楷体"/>
        <charset val="134"/>
      </rPr>
      <t>国开金融</t>
    </r>
    <r>
      <rPr>
        <sz val="9"/>
        <color rgb="FF000000"/>
        <rFont val="Arial"/>
        <charset val="134"/>
      </rPr>
      <t>,</t>
    </r>
    <r>
      <rPr>
        <sz val="9"/>
        <color rgb="FF000000"/>
        <rFont val="楷体"/>
        <charset val="134"/>
      </rPr>
      <t>绿动资本</t>
    </r>
    <r>
      <rPr>
        <sz val="9"/>
        <color rgb="FF000000"/>
        <rFont val="Arial"/>
        <charset val="134"/>
      </rPr>
      <t>—</t>
    </r>
    <r>
      <rPr>
        <sz val="9"/>
        <color rgb="FF000000"/>
        <rFont val="楷体"/>
        <charset val="134"/>
      </rPr>
      <t>中美绿色基金</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粤民投</t>
    </r>
    <r>
      <rPr>
        <sz val="9"/>
        <color rgb="FF000000"/>
        <rFont val="Arial"/>
        <charset val="134"/>
      </rPr>
      <t>,</t>
    </r>
    <r>
      <rPr>
        <sz val="9"/>
        <color rgb="FF000000"/>
        <rFont val="楷体"/>
        <charset val="134"/>
      </rPr>
      <t>深圳担保集团</t>
    </r>
    <r>
      <rPr>
        <sz val="9"/>
        <color rgb="FF000000"/>
        <rFont val="Arial"/>
        <charset val="134"/>
      </rPr>
      <t>,</t>
    </r>
    <r>
      <rPr>
        <sz val="9"/>
        <color rgb="FF000000"/>
        <rFont val="楷体"/>
        <charset val="134"/>
      </rPr>
      <t>鹏瑞地产</t>
    </r>
    <r>
      <rPr>
        <sz val="9"/>
        <color rgb="FF000000"/>
        <rFont val="Arial"/>
        <charset val="134"/>
      </rPr>
      <t>,</t>
    </r>
    <r>
      <rPr>
        <sz val="9"/>
        <color rgb="FF000000"/>
        <rFont val="楷体"/>
        <charset val="134"/>
      </rPr>
      <t>汉途投资</t>
    </r>
    <r>
      <rPr>
        <sz val="9"/>
        <color rgb="FF000000"/>
        <rFont val="Arial"/>
        <charset val="134"/>
      </rPr>
      <t>,</t>
    </r>
    <r>
      <rPr>
        <sz val="9"/>
        <color rgb="FF000000"/>
        <rFont val="楷体"/>
        <charset val="134"/>
      </rPr>
      <t>友博资本</t>
    </r>
    <r>
      <rPr>
        <sz val="9"/>
        <color rgb="FF000000"/>
        <rFont val="Arial"/>
        <charset val="134"/>
      </rPr>
      <t>,</t>
    </r>
    <r>
      <rPr>
        <sz val="9"/>
        <color rgb="FF000000"/>
        <rFont val="楷体"/>
        <charset val="134"/>
      </rPr>
      <t>核聚资产</t>
    </r>
  </si>
  <si>
    <r>
      <t>60</t>
    </r>
    <r>
      <rPr>
        <sz val="9"/>
        <color rgb="FF000000"/>
        <rFont val="楷体"/>
        <charset val="134"/>
      </rPr>
      <t>亿人民币</t>
    </r>
  </si>
  <si>
    <r>
      <t>IDG</t>
    </r>
    <r>
      <rPr>
        <sz val="9"/>
        <color rgb="FF000000"/>
        <rFont val="楷体"/>
        <charset val="134"/>
      </rPr>
      <t>资本</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基石资本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广汽集团</t>
    </r>
    <r>
      <rPr>
        <sz val="9"/>
        <color rgb="FF000000"/>
        <rFont val="Arial"/>
        <charset val="134"/>
      </rPr>
      <t>,</t>
    </r>
    <r>
      <rPr>
        <sz val="9"/>
        <color rgb="FF000000"/>
        <rFont val="楷体"/>
        <charset val="134"/>
      </rPr>
      <t>尚颀资本</t>
    </r>
    <r>
      <rPr>
        <sz val="9"/>
        <color rgb="FF000000"/>
        <rFont val="Arial"/>
        <charset val="134"/>
      </rPr>
      <t>,</t>
    </r>
    <r>
      <rPr>
        <sz val="9"/>
        <color rgb="FF000000"/>
        <rFont val="楷体"/>
        <charset val="134"/>
      </rPr>
      <t>盈科资本</t>
    </r>
    <r>
      <rPr>
        <sz val="9"/>
        <color rgb="FF000000"/>
        <rFont val="Arial"/>
        <charset val="134"/>
      </rPr>
      <t>,</t>
    </r>
    <r>
      <rPr>
        <sz val="9"/>
        <color rgb="FF000000"/>
        <rFont val="楷体"/>
        <charset val="134"/>
      </rPr>
      <t>博华资本</t>
    </r>
    <r>
      <rPr>
        <sz val="9"/>
        <color rgb="FF000000"/>
        <rFont val="Arial"/>
        <charset val="134"/>
      </rPr>
      <t>,</t>
    </r>
    <r>
      <rPr>
        <sz val="9"/>
        <color rgb="FF000000"/>
        <rFont val="楷体"/>
        <charset val="134"/>
      </rPr>
      <t>粤民投</t>
    </r>
    <r>
      <rPr>
        <sz val="9"/>
        <color rgb="FF000000"/>
        <rFont val="Arial"/>
        <charset val="134"/>
      </rPr>
      <t>,</t>
    </r>
    <r>
      <rPr>
        <sz val="9"/>
        <color rgb="FF000000"/>
        <rFont val="楷体"/>
        <charset val="134"/>
      </rPr>
      <t>诺延资本</t>
    </r>
  </si>
  <si>
    <t>交银国际</t>
  </si>
  <si>
    <t>24.3亿人民币</t>
  </si>
  <si>
    <t>IDG资本,深创投,广汽集团,尚颀资本,天壹资本,OPPO,华金资本(力合股份),蔚来资本,粤民投,碧桂园创投,恒旭资本,理想汽车,小鹏汽车,华友控股,鑫旺绿色新能源投资,东风资产,东风交银汽车基金</t>
  </si>
  <si>
    <t>2023-06-15</t>
  </si>
  <si>
    <t>超钠新能源</t>
  </si>
  <si>
    <t>超钠新能源是一家钠离子电池关键材料研发商，专注于新一代储能体系-钠离子电池关键材料及电池研发与生产。公司自主研发钠离子电池的关键材料，聚焦低成本、长寿命、高安全、高能量密度的钠离子电池产品，可应用于覆盖低速电动车、规模储能、电动汽车、国家安全等领域。</t>
  </si>
  <si>
    <t>湖州超钠新能源科技有限公司</t>
  </si>
  <si>
    <t>https://horizontal-na.com/</t>
  </si>
  <si>
    <t>2021-08</t>
  </si>
  <si>
    <t>浙江-湖州</t>
  </si>
  <si>
    <t>融和九智基金,中欣智汇基,禹泉资本</t>
  </si>
  <si>
    <t>1.21亿</t>
  </si>
  <si>
    <t>姜银珠:董事长</t>
  </si>
  <si>
    <t>浙江省湖州市龙溪街道西塞山路819号成业智能中心B2幢4层408-8室</t>
  </si>
  <si>
    <t>130-5990-8396</t>
  </si>
  <si>
    <t>1501566186@qq.com</t>
  </si>
  <si>
    <t>中赢投资,陶春风,禹泉投资</t>
  </si>
  <si>
    <t>2021-12-16</t>
  </si>
  <si>
    <t>美餐网</t>
  </si>
  <si>
    <t>美餐是一家针对企业级的订餐服务平台。目前覆盖北京、上海、广州、深圳、成都等城市，为上千家企业客户员工提供在线订餐、商务用餐以及团队自助餐等服务。在此之前，主要提供外卖详细菜单及个人订餐、企业订餐等服务。</t>
  </si>
  <si>
    <t>北京美餐巧达科技有限公司</t>
  </si>
  <si>
    <t>http://meican.com</t>
  </si>
  <si>
    <t>2011-08</t>
  </si>
  <si>
    <t>E+轮</t>
  </si>
  <si>
    <t>索迪斯</t>
  </si>
  <si>
    <t>27.97亿</t>
  </si>
  <si>
    <t>84.5亿元</t>
  </si>
  <si>
    <t>赵骁:创始人</t>
  </si>
  <si>
    <t>大钲资本</t>
  </si>
  <si>
    <t>索迪斯集团</t>
  </si>
  <si>
    <t>阳光保险</t>
  </si>
  <si>
    <t>高盛(中国)</t>
  </si>
  <si>
    <t>1.4亿人民币</t>
  </si>
  <si>
    <t>KPCB凯鹏华盈中国,挚信资本,诺基亚成长基金,大众点评网</t>
  </si>
  <si>
    <t>挚信资本</t>
  </si>
  <si>
    <t>KPCB凯鹏华盈中国,诺基亚成长基金</t>
  </si>
  <si>
    <t>KPCB凯鹏华盈中国</t>
  </si>
  <si>
    <t>真格基金,九合创投,徐小平</t>
  </si>
  <si>
    <t>2021-01-18</t>
  </si>
  <si>
    <t>美味不用等</t>
  </si>
  <si>
    <t>美味不用等是一家互联网餐厅整体解决方案提供商，通过排队等位、餐位预订、点菜收银、移动支付、会员管理等服务为商户提供互联网餐厅整体解决方案，帮助餐饮商户解决企业经营过程中遇到的效率、客流、资金、数据四大难题。</t>
  </si>
  <si>
    <t>美味不用等（上海）信息科技股份有限公司</t>
  </si>
  <si>
    <t>http://www.mwee.cn/</t>
  </si>
  <si>
    <t>2013-01</t>
  </si>
  <si>
    <t>阿里巴巴</t>
  </si>
  <si>
    <t>13.53亿</t>
  </si>
  <si>
    <t>郑国春:联合创始人,谢新法:创始人,陆瑞豪:联合创始人,杨佳佳:联合创始人</t>
  </si>
  <si>
    <t>携程,口碑</t>
  </si>
  <si>
    <t>蚂蚁集团,中视资本,海润国际并购基金</t>
  </si>
  <si>
    <t>经纬创投,百度,天图投资,大众点评网,中信资本,有成资本,安持资本,口碑</t>
  </si>
  <si>
    <t>经纬创投,天图投资,信天创投</t>
  </si>
  <si>
    <t>经纬创投,信天创投</t>
  </si>
  <si>
    <t>盛大资本</t>
  </si>
  <si>
    <t>2018-10-12</t>
  </si>
  <si>
    <t>饿了么</t>
  </si>
  <si>
    <t>饿了么是一个外卖订餐平台，通过整合线下餐饮品牌和线上网络资源，为用户提供各类中式、日式、西式、夜宵等优质美食，用户可通过手机APP、电脑端搜索周边餐厅在线订餐，用户起送价为菜品原价＋餐盒费的方式计算。同时在办公场所推出无人零售货架“e点便利”，为用户提供熟食生鲜、综合零食、日用品等商品。</t>
  </si>
  <si>
    <t>上海拉扎斯信息科技有限公司</t>
  </si>
  <si>
    <t>http://ele.me/</t>
  </si>
  <si>
    <t>2008-09</t>
  </si>
  <si>
    <t>上海-普陀区</t>
  </si>
  <si>
    <t>841.17亿</t>
  </si>
  <si>
    <t>张旭豪:CEO,康嘉:联合创始人,张雪峰:CTO,王磊:CEO</t>
  </si>
  <si>
    <t>上海市普陀区金沙江路1518弄近铁城市广场401室</t>
  </si>
  <si>
    <t>021- 8024-1717</t>
  </si>
  <si>
    <t>marketing_coop@ele.me</t>
  </si>
  <si>
    <t>95亿美元</t>
  </si>
  <si>
    <t>阿里巴巴,蚂蚁集团</t>
  </si>
  <si>
    <t>滴滴出行</t>
  </si>
  <si>
    <t>6.3亿美元</t>
  </si>
  <si>
    <t>红杉资本中国,腾讯投资,CPE源峰,京东,CMC资本,华联股份</t>
  </si>
  <si>
    <t>3.5亿美元</t>
  </si>
  <si>
    <t>红杉资本中国,腾讯投资,CPE源峰,京东,大众点评网</t>
  </si>
  <si>
    <t>2500万美元</t>
  </si>
  <si>
    <t>红杉资本中国,经纬创投,金沙江创投</t>
  </si>
  <si>
    <t>经纬创投,金沙江创投</t>
  </si>
  <si>
    <t>金沙江创投</t>
  </si>
  <si>
    <t>2015-12-29</t>
  </si>
  <si>
    <t>天财商龙</t>
  </si>
  <si>
    <t>天财商龙是一个餐饮业管理软件服务商，提供餐饮软件、点菜系统、无线及iPad点菜系统等，隶属于天津市神州商龙科技有限公司。</t>
  </si>
  <si>
    <t>天津市神州商龙科技股份有限公司</t>
  </si>
  <si>
    <t>http://www.tcsl.com.cn/</t>
  </si>
  <si>
    <t>1996-10</t>
  </si>
  <si>
    <t>天津-南开区</t>
  </si>
  <si>
    <t>新三板</t>
  </si>
  <si>
    <t>1.6亿</t>
  </si>
  <si>
    <t>糜新箭:执行总裁</t>
  </si>
  <si>
    <t>service@sofee.net;584619441@qq.com</t>
  </si>
  <si>
    <t>深创投</t>
  </si>
  <si>
    <t>2017-05-27</t>
  </si>
  <si>
    <t>WiWide迈外迪</t>
  </si>
  <si>
    <t>WiWide迈外迪于2007年在中国开展商业Wi-Fi网络综合服务，以智能终端、应用服务、智能云平台的产品技术创新和“后向运营”的商业模式创新，开创了中国商业Wi-Fi市场，并逐渐向商家提供智能商业化的智慧门店解决方案，现已成为国内领先的智能商业架构和运营服务提供商。</t>
  </si>
  <si>
    <t>上海迈外迪网络科技有限公司</t>
  </si>
  <si>
    <t>http://www.wiwide.com</t>
  </si>
  <si>
    <t>2007-09</t>
  </si>
  <si>
    <t>通信制造</t>
  </si>
  <si>
    <t>万达集团</t>
  </si>
  <si>
    <t>6.4亿</t>
  </si>
  <si>
    <t>张程:CEO</t>
  </si>
  <si>
    <t>北京市朝阳区官庄路云享客联合办公2-4层</t>
  </si>
  <si>
    <t>135-2100-0066</t>
  </si>
  <si>
    <t>shangwuzixun@wiwide.com</t>
  </si>
  <si>
    <t>3亿人民币</t>
  </si>
  <si>
    <t>腾讯投资,大众点评网</t>
  </si>
  <si>
    <t>景林投资</t>
  </si>
  <si>
    <t>2010-01-01</t>
  </si>
  <si>
    <t>智龙软件</t>
  </si>
  <si>
    <t>智龙软件是一家为企业提供行业IT应用解决方案的技术公司，包括餐饮行业移动营销解决方案、呼叫中心解决方案等。</t>
  </si>
  <si>
    <t>上海智龙企业管理有限公司</t>
  </si>
  <si>
    <t>http://www.wiselong.com</t>
  </si>
  <si>
    <t>2007-05</t>
  </si>
  <si>
    <t>2000万</t>
  </si>
  <si>
    <t>2017-06-02</t>
  </si>
  <si>
    <t>捷通无限</t>
  </si>
  <si>
    <t>网票网是一个主打电影票预订的网站，北京捷通无限科技有限公司旗下。</t>
  </si>
  <si>
    <t>北京捷通无限科技有限公司</t>
  </si>
  <si>
    <t>http://www.wangpiao.com</t>
  </si>
  <si>
    <t>2005-11</t>
  </si>
  <si>
    <t>1.31亿人民币</t>
  </si>
  <si>
    <t>3.22亿</t>
  </si>
  <si>
    <t>6.5365亿元</t>
  </si>
  <si>
    <t>姜春阳:创始人</t>
  </si>
  <si>
    <t>苏州街75号4号楼2层2205室</t>
  </si>
  <si>
    <t xml:space="preserve">400-678-2005 </t>
  </si>
  <si>
    <t>chenxj@eltc.cn;zengll@eltc.cn</t>
  </si>
  <si>
    <t>盛大资本,大众点评网</t>
  </si>
  <si>
    <t>3000万人民币</t>
  </si>
  <si>
    <t>2013-01-01</t>
  </si>
  <si>
    <t>爱评网iPeen</t>
  </si>
  <si>
    <t>爱评网（iPeen）是一家来自台湾的生活消费分享、点评服务网站，台湾红谷资讯股份有限公司旗下。</t>
  </si>
  <si>
    <t>红谷资讯股份有限公司</t>
  </si>
  <si>
    <t>http://www.ipeen.com.tw</t>
  </si>
  <si>
    <t>2006-02</t>
  </si>
  <si>
    <t>台湾-台北市</t>
  </si>
  <si>
    <t>2600万</t>
  </si>
  <si>
    <t>9750万元</t>
  </si>
  <si>
    <t>何吉弘:CEO</t>
  </si>
  <si>
    <t>CA创投</t>
  </si>
  <si>
    <t>2014-05-01</t>
  </si>
  <si>
    <t>大嘴巴</t>
  </si>
  <si>
    <t>大嘴巴是一个面向餐饮行业的自助点餐解决方案服务商，包括顾客版和商家版，顾客版为消费者提供了手机点菜、结帐、订位管理等功能；商家版则协助餐厅管理者服务顾客，上海通吃网络技术有限公司旗下产品。</t>
  </si>
  <si>
    <t>上海通吃网络技术有限公司</t>
  </si>
  <si>
    <t>http://www.dzb.cn</t>
  </si>
  <si>
    <t>5100万</t>
  </si>
  <si>
    <t>李琪:CEO</t>
  </si>
  <si>
    <t>2015-06-01</t>
  </si>
  <si>
    <t>我有外卖</t>
  </si>
  <si>
    <t>我有外卖是一家手机外卖订餐应用，3个月时间，线上外卖商家已经达到1000家，用户数量2万。目前集中在上海的市中心，主攻办公楼外卖即时服务。上海我有信息科技有限公司旗下产品。</t>
  </si>
  <si>
    <t>广东川田科技有限公司</t>
  </si>
  <si>
    <t>http://www.woyouwaimai.com</t>
  </si>
  <si>
    <t>2013-12</t>
  </si>
  <si>
    <t>小米集团,大众点评网</t>
  </si>
  <si>
    <t>1.13亿</t>
  </si>
  <si>
    <t>林喆:创始人,周小木:市场营销主管</t>
  </si>
  <si>
    <t>8000万人民币</t>
  </si>
  <si>
    <t>深创投,顺为资本</t>
  </si>
  <si>
    <t>暴龙资本</t>
  </si>
  <si>
    <t>2015-03-16</t>
  </si>
  <si>
    <t>孩子学啥</t>
  </si>
  <si>
    <t>孩子学啥是一家为孩子提供早教、课外辅导课程信息及报名的网站，是家长为孩子选购课程的好帮手，上海宜学网络技术有限公司旗下网站。</t>
  </si>
  <si>
    <t>上海喜艺网络技术有限公司</t>
  </si>
  <si>
    <t>http://www.haizixuesha.com</t>
  </si>
  <si>
    <t>2013-11</t>
  </si>
  <si>
    <t>上海-徐汇区</t>
  </si>
  <si>
    <t>教育</t>
  </si>
  <si>
    <t>儿童早教</t>
  </si>
  <si>
    <t>吕广渝:创始人</t>
  </si>
  <si>
    <t>阿米巴资本</t>
  </si>
  <si>
    <t>2017-07-21</t>
  </si>
  <si>
    <t>链农互动</t>
  </si>
  <si>
    <t>链农是一个B2B食材供应服务平台，按产品品类在全国原产地进行采购并在产区标准化包装，一站式到达餐厅，为用户节省时间，降低成本，并为用户提供货品采购、分拣、配送、补货、退换货等服务。</t>
  </si>
  <si>
    <t>北京链农互动科技有限公司</t>
  </si>
  <si>
    <t>http://www.farmlink.cn/</t>
  </si>
  <si>
    <t>三井物产环球投资</t>
  </si>
  <si>
    <t>2.87亿</t>
  </si>
  <si>
    <t>12亿元</t>
  </si>
  <si>
    <t>刘源:CEO</t>
  </si>
  <si>
    <t>北京市朝阳区住邦2000商务中心1号楼B座1608</t>
  </si>
  <si>
    <t>010-5607-8402</t>
  </si>
  <si>
    <t>service@farmlink.cn</t>
  </si>
  <si>
    <t>3000万美元</t>
  </si>
  <si>
    <t>红杉资本中国,大众点评网</t>
  </si>
  <si>
    <t>800万美元</t>
  </si>
  <si>
    <t>险峰</t>
  </si>
  <si>
    <t>2014-09-16</t>
  </si>
  <si>
    <t>上海石川科技</t>
  </si>
  <si>
    <t>上海石川科技是一家餐饮信息化技术服务提供商，产品有餐饮ERP管理解决方案、餐饮门店管理解决方案​​​、团膳餐饮解决方案、美食城广场解决方案等。</t>
  </si>
  <si>
    <t>上海石川科技有限公司</t>
  </si>
  <si>
    <t>http://www.shich.com</t>
  </si>
  <si>
    <t>2000-10</t>
  </si>
  <si>
    <t>3400万</t>
  </si>
  <si>
    <t>吴晓峰:创始人</t>
  </si>
  <si>
    <t>408613936@qq.com</t>
  </si>
  <si>
    <t>艾云创投</t>
  </si>
  <si>
    <t>2014-09-10</t>
  </si>
  <si>
    <t>大风吹</t>
  </si>
  <si>
    <t>大风吹是一个为用户提供预约、消费、优惠及社交圈子等服务的手机APP，专注于丽人、私教、娱乐等生活休闲领域。上海必吹网络旗下产品。目前已转型为"私教来了"。</t>
  </si>
  <si>
    <t>上海必吹网络技术有限公司</t>
  </si>
  <si>
    <t>http://www.dfc.cn</t>
  </si>
  <si>
    <t>上海-嘉定区</t>
  </si>
  <si>
    <t>100万</t>
  </si>
  <si>
    <t>李琪:CEO,赖毅强:联合创始人,aliva左手边的右手:产品总监</t>
  </si>
  <si>
    <t>2014-12-18</t>
  </si>
  <si>
    <t>食为天科技</t>
  </si>
  <si>
    <t>黑马软件是一家专注于餐饮企业的管理软件开发及服务提供商，产品有食为天系列软件等。</t>
  </si>
  <si>
    <t>广州市黑马软件科技有限公司</t>
  </si>
  <si>
    <t>http://www.himasoft.com</t>
  </si>
  <si>
    <t>1993-01</t>
  </si>
  <si>
    <t>1258538626@qq.com;zhengsuyun@himasoft.com</t>
  </si>
  <si>
    <t>2015-12-13</t>
  </si>
  <si>
    <t>私教来了</t>
  </si>
  <si>
    <t>私教来了是一个私教预约平台，旨在帮助都市丽人与白领精英利用线上资源预约各类私教，公司创始人员来自阿里、亚信等知名互联网公司。上海必吹网络技术有限公司旗下产品。</t>
  </si>
  <si>
    <t>http://www.dfc.cn/</t>
  </si>
  <si>
    <t>素质教育</t>
  </si>
  <si>
    <t>500万</t>
  </si>
  <si>
    <t>2500万元</t>
  </si>
  <si>
    <t>李琪:CEO,赖毅强:联合创始人</t>
  </si>
  <si>
    <t>2018-06-29</t>
  </si>
  <si>
    <t>袋鼠麻麻</t>
  </si>
  <si>
    <t>袋鼠麻麻是一家儿童托管连锁平台。面向2-10岁儿童，有针对3岁以下孩子的日托，和针对学龄儿童的晚托。解决了城市双职工家庭在每天特定时间段内不能陪伴孩子的难题。</t>
  </si>
  <si>
    <t>上海铭诗教育科技有限公司</t>
  </si>
  <si>
    <t>http://www.daishumm.net</t>
  </si>
  <si>
    <t>2016-03</t>
  </si>
  <si>
    <t>光速光合,双湖资本,张涛</t>
  </si>
  <si>
    <t>4300万</t>
  </si>
  <si>
    <t>索玛:创始人,陈小童:联合创始人兼COO</t>
  </si>
  <si>
    <t>上海市浦东新区博霞路22号210室</t>
  </si>
  <si>
    <t>400-088-6565</t>
  </si>
  <si>
    <t>info@daishumm.net</t>
  </si>
  <si>
    <t>900万人民币</t>
  </si>
  <si>
    <t>双湖资本,量创资本</t>
  </si>
  <si>
    <t>400万人民币</t>
  </si>
  <si>
    <t>2019-01-24</t>
  </si>
  <si>
    <t>商米科技</t>
  </si>
  <si>
    <t>商米科技是一家移动支付智能硬件研发商，专注为O2O互联网平台，软件开发商、中小型商户提供智能商用硬件设备，以及为实体商户提供移动互联网化的智能商用硬件解决方案。</t>
  </si>
  <si>
    <t>上海商米科技集团股份有限公司</t>
  </si>
  <si>
    <t>http://www.sunmi.com/</t>
  </si>
  <si>
    <t>蚂蚁集团,农银国际</t>
  </si>
  <si>
    <t>9.81亿</t>
  </si>
  <si>
    <t>30亿元</t>
  </si>
  <si>
    <t>David Protect:首席设计师兼CDO,李彬夷:联合创始人兼CMO,王震:联合创始人兼COO,林喆:创始人兼CEO</t>
  </si>
  <si>
    <t>上海市杨浦区淞沪路388号 创智天地7号楼605</t>
  </si>
  <si>
    <t>021-6107-9307</t>
  </si>
  <si>
    <t>mkt@sunmi.com</t>
  </si>
  <si>
    <t>知本投资(口袋购物)</t>
  </si>
  <si>
    <t>深创投,小米集团,大众点评网</t>
  </si>
  <si>
    <t>深创投,小米集团,胡泽民</t>
  </si>
  <si>
    <t>2017-03-06</t>
  </si>
  <si>
    <t>食为天信息</t>
  </si>
  <si>
    <t>食为天信息是一家餐饮企业管理软件开发及服务提供商，致力于为用户提供食为天餐饮管理软件、智能食堂管理软件、食膳云平台、云膳智能搜索引擎以及沐春芽儿童营养健康平台等产品及服务。</t>
  </si>
  <si>
    <t>广州食为天信息技术有限公司</t>
  </si>
  <si>
    <t>融数金服</t>
  </si>
  <si>
    <t>罗捷斯:	董事长</t>
  </si>
  <si>
    <t>广州市番禺区大石街石北工业路644号19栋501</t>
  </si>
  <si>
    <t>020-8759-5514</t>
  </si>
  <si>
    <t>914568394@QQ.com</t>
  </si>
  <si>
    <t>茂奎</t>
  </si>
  <si>
    <t>2021-10-11</t>
  </si>
  <si>
    <t>黄小兜</t>
  </si>
  <si>
    <r>
      <rPr>
        <sz val="9"/>
        <color rgb="FF000000"/>
        <rFont val="楷体"/>
        <charset val="134"/>
      </rPr>
      <t>黄小兜</t>
    </r>
  </si>
  <si>
    <r>
      <rPr>
        <sz val="9"/>
        <color rgb="FF000000"/>
        <rFont val="楷体"/>
        <charset val="134"/>
      </rPr>
      <t>黄小兜网络是一家手游交易及直播服务商，专注于手机游戏行业，为用户提供手游交易、手游充值、手游直播等服务。</t>
    </r>
  </si>
  <si>
    <t>深圳黄小兜网络科技有限公司</t>
  </si>
  <si>
    <t>2018-04</t>
  </si>
  <si>
    <r>
      <rPr>
        <sz val="9"/>
        <color rgb="FF000000"/>
        <rFont val="楷体"/>
        <charset val="134"/>
      </rPr>
      <t>视频</t>
    </r>
    <r>
      <rPr>
        <sz val="9"/>
        <color rgb="FF000000"/>
        <rFont val="Arial"/>
        <charset val="134"/>
      </rPr>
      <t>/</t>
    </r>
    <r>
      <rPr>
        <sz val="9"/>
        <color rgb="FF000000"/>
        <rFont val="楷体"/>
        <charset val="134"/>
      </rPr>
      <t>直播</t>
    </r>
  </si>
  <si>
    <r>
      <rPr>
        <sz val="9"/>
        <color rgb="FF000000"/>
        <rFont val="楷体"/>
        <charset val="134"/>
      </rPr>
      <t>大众点评网</t>
    </r>
  </si>
  <si>
    <t>深圳市龙华区民治街道北站社区汇隆商务中心2号楼1501</t>
  </si>
  <si>
    <t>156-6888-8777</t>
  </si>
  <si>
    <t>zhangy@rtworld.com</t>
  </si>
  <si>
    <t>美团龙珠</t>
  </si>
  <si>
    <t>2017-12-08</t>
  </si>
  <si>
    <t>甜心摇滚沙拉</t>
  </si>
  <si>
    <t>甜心摇滚沙拉是一个主打主食沙拉的O2O电商品牌，致力于为女性用户等提供办公室白领工作餐，北京甜心良品餐饮管理有限公司旗下网站。</t>
  </si>
  <si>
    <t>北京甜心良品网络科技有限公司</t>
  </si>
  <si>
    <t>http://www.tianxinfood.com.cn</t>
  </si>
  <si>
    <t>2014-04</t>
  </si>
  <si>
    <t>红杉资本中国,美团龙珠</t>
  </si>
  <si>
    <t>6300万</t>
  </si>
  <si>
    <t>吴婧然:CEO,于文璐:联合创始人,郄晓京:联合创始人</t>
  </si>
  <si>
    <t>华映资本,JJ比赛(竞技创投)</t>
  </si>
  <si>
    <t>小马蜂创投</t>
  </si>
  <si>
    <t>掌上快销</t>
  </si>
  <si>
    <t>掌上快销是中国领先的快消B2B平台，连接品牌商直达门店，为2-4线城市小店提供一流的供应链服务，创立以来迅速成长为华南最大的快消品TO B电商，服务10万家门店，并获得了美团点评，源码资本等一线风险投资的支持。</t>
  </si>
  <si>
    <t>广州市小蓝车网络科技有限公司</t>
  </si>
  <si>
    <t>http://www.zskuaixiao.com/</t>
  </si>
  <si>
    <t>2.28亿</t>
  </si>
  <si>
    <t>郑毓彬:CEO</t>
  </si>
  <si>
    <t>广东省广州市天河区中山大道华港商务大厦西塔1814号</t>
  </si>
  <si>
    <t>400-650-0609</t>
  </si>
  <si>
    <t>zyb@51laimi.com</t>
  </si>
  <si>
    <t>2.05亿人民币</t>
  </si>
  <si>
    <t>汉能投资,源码资本,普洛斯GLP,美团龙珠</t>
  </si>
  <si>
    <t>源码资本,美团龙珠</t>
  </si>
  <si>
    <t>东方富海,琢石投资</t>
  </si>
  <si>
    <t>2021-07-13</t>
  </si>
  <si>
    <t>喜茶HEYTEA</t>
  </si>
  <si>
    <t>喜茶HEYTEA是一家茶餐饮管理企业，以白领阶层、年轻势力为主流消费群体，以休闲、饮品为主打产品，致力于打造全新的饮品形态，将传统奶茶与健康茶文化溶合一体。</t>
  </si>
  <si>
    <t>深圳美西西餐饮管理有限公司</t>
  </si>
  <si>
    <t>http://www.heytea.com/</t>
  </si>
  <si>
    <t>2012-01</t>
  </si>
  <si>
    <t>5亿美元</t>
  </si>
  <si>
    <t>红杉资本中国,腾讯投资,淡马锡Temasek,高瓴投资,黑蚁资本,L Catterton,日初资本</t>
  </si>
  <si>
    <t>60亿</t>
  </si>
  <si>
    <t>617.5亿元</t>
  </si>
  <si>
    <t>聂云宸:创始人兼CEO,陈霈霖:CTO</t>
  </si>
  <si>
    <t>南山区航天科技广场B座602C</t>
  </si>
  <si>
    <t>pr@heytea.com</t>
  </si>
  <si>
    <t>高瓴投资,Coatue Management</t>
  </si>
  <si>
    <t>红杉资本中国,腾讯投资</t>
  </si>
  <si>
    <t>黑蚁资本,美团龙珠</t>
  </si>
  <si>
    <t>IDG资本,今日投资</t>
  </si>
  <si>
    <t>2021-12-20</t>
  </si>
  <si>
    <t>乐禾食品</t>
  </si>
  <si>
    <r>
      <rPr>
        <sz val="9"/>
        <color rgb="FF000000"/>
        <rFont val="楷体"/>
        <charset val="134"/>
      </rPr>
      <t>乐禾食品</t>
    </r>
  </si>
  <si>
    <r>
      <rPr>
        <sz val="9"/>
        <color rgb="FF000000"/>
        <rFont val="楷体"/>
        <charset val="134"/>
      </rPr>
      <t>乐禾食品是一家生</t>
    </r>
    <r>
      <rPr>
        <sz val="9"/>
        <color rgb="FF000000"/>
        <rFont val="Arial"/>
        <charset val="134"/>
      </rPr>
      <t>B2B</t>
    </r>
    <r>
      <rPr>
        <sz val="9"/>
        <color rgb="FF000000"/>
        <rFont val="楷体"/>
        <charset val="134"/>
      </rPr>
      <t>食材供应服务商，致力于打造完整的食品商业生态链，从供应链源头防范潜在的安全隐患，为广大客户提供安全、实惠、省心的健康食品。</t>
    </r>
  </si>
  <si>
    <t>乐禾食品集团股份有限公司</t>
  </si>
  <si>
    <t>http://www.le-he.com</t>
  </si>
  <si>
    <t>2013-03</t>
  </si>
  <si>
    <r>
      <t>E</t>
    </r>
    <r>
      <rPr>
        <sz val="9"/>
        <color rgb="FF000000"/>
        <rFont val="楷体"/>
        <charset val="134"/>
      </rPr>
      <t>轮</t>
    </r>
  </si>
  <si>
    <r>
      <rPr>
        <sz val="9"/>
        <color rgb="FF000000"/>
        <rFont val="楷体"/>
        <charset val="134"/>
      </rPr>
      <t>鼎晖投资</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兴投资本</t>
    </r>
  </si>
  <si>
    <r>
      <t>12.6</t>
    </r>
    <r>
      <rPr>
        <sz val="9"/>
        <color rgb="FF000000"/>
        <rFont val="楷体"/>
        <charset val="134"/>
      </rPr>
      <t>亿</t>
    </r>
  </si>
  <si>
    <r>
      <t>18</t>
    </r>
    <r>
      <rPr>
        <sz val="9"/>
        <color rgb="FF000000"/>
        <rFont val="楷体"/>
        <charset val="134"/>
      </rPr>
      <t>亿元</t>
    </r>
  </si>
  <si>
    <r>
      <rPr>
        <sz val="9"/>
        <color rgb="FF000000"/>
        <rFont val="楷体"/>
        <charset val="134"/>
      </rPr>
      <t>谭海军</t>
    </r>
    <r>
      <rPr>
        <sz val="9"/>
        <color rgb="FF000000"/>
        <rFont val="Arial"/>
        <charset val="134"/>
      </rPr>
      <t xml:space="preserve">: </t>
    </r>
    <r>
      <rPr>
        <sz val="9"/>
        <color rgb="FF000000"/>
        <rFont val="楷体"/>
        <charset val="134"/>
      </rPr>
      <t>执行董事兼总经理</t>
    </r>
  </si>
  <si>
    <t>广州市白云区金沙洲平乐中街18号乐禾中心</t>
  </si>
  <si>
    <t>400-889-3309</t>
  </si>
  <si>
    <t>lehe@lehemail.com</t>
  </si>
  <si>
    <r>
      <t>D</t>
    </r>
    <r>
      <rPr>
        <sz val="9"/>
        <color rgb="FF000000"/>
        <rFont val="楷体"/>
        <charset val="134"/>
      </rPr>
      <t>轮</t>
    </r>
  </si>
  <si>
    <r>
      <rPr>
        <sz val="9"/>
        <color rgb="FF000000"/>
        <rFont val="楷体"/>
        <charset val="134"/>
      </rPr>
      <t>鼎晖投资</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美团龙珠</t>
    </r>
  </si>
  <si>
    <r>
      <t>4</t>
    </r>
    <r>
      <rPr>
        <sz val="9"/>
        <color rgb="FF000000"/>
        <rFont val="楷体"/>
        <charset val="134"/>
      </rPr>
      <t>亿人民币</t>
    </r>
  </si>
  <si>
    <r>
      <rPr>
        <sz val="9"/>
        <color rgb="FF000000"/>
        <rFont val="楷体"/>
        <charset val="134"/>
      </rPr>
      <t>鼎晖投资</t>
    </r>
    <r>
      <rPr>
        <sz val="9"/>
        <color rgb="FF000000"/>
        <rFont val="Arial"/>
        <charset val="134"/>
      </rPr>
      <t>,</t>
    </r>
    <r>
      <rPr>
        <sz val="9"/>
        <color rgb="FF000000"/>
        <rFont val="楷体"/>
        <charset val="134"/>
      </rPr>
      <t>和智资本</t>
    </r>
    <r>
      <rPr>
        <sz val="9"/>
        <color rgb="FF000000"/>
        <rFont val="Arial"/>
        <charset val="134"/>
      </rPr>
      <t>,</t>
    </r>
    <r>
      <rPr>
        <sz val="9"/>
        <color rgb="FF000000"/>
        <rFont val="楷体"/>
        <charset val="134"/>
      </rPr>
      <t>美团龙珠</t>
    </r>
  </si>
  <si>
    <t>美团龙珠,和智投资</t>
  </si>
  <si>
    <t>和智投资</t>
  </si>
  <si>
    <t>新恒利达资本,大连君泰,无域资本</t>
  </si>
  <si>
    <t>2021-12-17</t>
  </si>
  <si>
    <t>认养一头牛</t>
  </si>
  <si>
    <r>
      <rPr>
        <sz val="9"/>
        <color rgb="FF000000"/>
        <rFont val="楷体"/>
        <charset val="134"/>
      </rPr>
      <t>认养一头牛</t>
    </r>
  </si>
  <si>
    <r>
      <rPr>
        <sz val="9"/>
        <color rgb="FF000000"/>
        <rFont val="楷体"/>
        <charset val="134"/>
      </rPr>
      <t>认养一头牛是一家生产乳制品的生态牧场，以</t>
    </r>
    <r>
      <rPr>
        <sz val="9"/>
        <color rgb="FF000000"/>
        <rFont val="Arial"/>
        <charset val="134"/>
      </rPr>
      <t>“</t>
    </r>
    <r>
      <rPr>
        <sz val="9"/>
        <color rgb="FF000000"/>
        <rFont val="楷体"/>
        <charset val="134"/>
      </rPr>
      <t>一杯好牛奶</t>
    </r>
    <r>
      <rPr>
        <sz val="9"/>
        <color rgb="FF000000"/>
        <rFont val="Arial"/>
        <charset val="134"/>
      </rPr>
      <t>=</t>
    </r>
    <r>
      <rPr>
        <sz val="9"/>
        <color rgb="FF000000"/>
        <rFont val="楷体"/>
        <charset val="134"/>
      </rPr>
      <t>优良的奶牛品种</t>
    </r>
    <r>
      <rPr>
        <sz val="9"/>
        <color rgb="FF000000"/>
        <rFont val="Arial"/>
        <charset val="134"/>
      </rPr>
      <t>+</t>
    </r>
    <r>
      <rPr>
        <sz val="9"/>
        <color rgb="FF000000"/>
        <rFont val="楷体"/>
        <charset val="134"/>
      </rPr>
      <t>黄金牧场地</t>
    </r>
    <r>
      <rPr>
        <sz val="9"/>
        <color rgb="FF000000"/>
        <rFont val="Arial"/>
        <charset val="134"/>
      </rPr>
      <t>+</t>
    </r>
    <r>
      <rPr>
        <sz val="9"/>
        <color rgb="FF000000"/>
        <rFont val="楷体"/>
        <charset val="134"/>
      </rPr>
      <t>顶尖的机械设备</t>
    </r>
    <r>
      <rPr>
        <sz val="9"/>
        <color rgb="FF000000"/>
        <rFont val="Arial"/>
        <charset val="134"/>
      </rPr>
      <t>+</t>
    </r>
    <r>
      <rPr>
        <sz val="9"/>
        <color rgb="FF000000"/>
        <rFont val="楷体"/>
        <charset val="134"/>
      </rPr>
      <t>一体化的生产与管理体系</t>
    </r>
    <r>
      <rPr>
        <sz val="9"/>
        <color rgb="FF000000"/>
        <rFont val="Arial"/>
        <charset val="134"/>
      </rPr>
      <t>”</t>
    </r>
    <r>
      <rPr>
        <sz val="9"/>
        <color rgb="FF000000"/>
        <rFont val="楷体"/>
        <charset val="134"/>
      </rPr>
      <t>为运营模式，致力于打造让消费者喝得放心的牛奶。</t>
    </r>
  </si>
  <si>
    <t>认养一头牛控股集团股份有限公司</t>
  </si>
  <si>
    <t>https://ryytn.tmall.com/</t>
  </si>
  <si>
    <t>2014-07</t>
  </si>
  <si>
    <r>
      <t>KKR,</t>
    </r>
    <r>
      <rPr>
        <sz val="9"/>
        <color rgb="FF000000"/>
        <rFont val="楷体"/>
        <charset val="134"/>
      </rPr>
      <t>美团龙珠</t>
    </r>
    <r>
      <rPr>
        <sz val="9"/>
        <color rgb="FF000000"/>
        <rFont val="Arial"/>
        <charset val="134"/>
      </rPr>
      <t>,</t>
    </r>
    <r>
      <rPr>
        <sz val="9"/>
        <color rgb="FF000000"/>
        <rFont val="楷体"/>
        <charset val="134"/>
      </rPr>
      <t>德弘资本</t>
    </r>
    <r>
      <rPr>
        <sz val="9"/>
        <color rgb="FF000000"/>
        <rFont val="Arial"/>
        <charset val="134"/>
      </rPr>
      <t>,</t>
    </r>
    <r>
      <rPr>
        <sz val="9"/>
        <color rgb="FF000000"/>
        <rFont val="楷体"/>
        <charset val="134"/>
      </rPr>
      <t>古茗茶饮</t>
    </r>
  </si>
  <si>
    <r>
      <t>3.63</t>
    </r>
    <r>
      <rPr>
        <sz val="9"/>
        <color rgb="FF000000"/>
        <rFont val="楷体"/>
        <charset val="134"/>
      </rPr>
      <t>亿</t>
    </r>
  </si>
  <si>
    <r>
      <rPr>
        <sz val="9"/>
        <color rgb="FF000000"/>
        <rFont val="楷体"/>
        <charset val="134"/>
      </rPr>
      <t>徐晓波</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孙仕军</t>
    </r>
    <r>
      <rPr>
        <sz val="9"/>
        <color rgb="FF000000"/>
        <rFont val="Arial"/>
        <charset val="134"/>
      </rPr>
      <t>:</t>
    </r>
    <r>
      <rPr>
        <sz val="9"/>
        <color rgb="FF000000"/>
        <rFont val="楷体"/>
        <charset val="134"/>
      </rPr>
      <t>联合创始人</t>
    </r>
  </si>
  <si>
    <t>浙江省杭州市余杭区仓前街道余杭塘路2636号</t>
  </si>
  <si>
    <t>0571-8765-3795</t>
  </si>
  <si>
    <t>panting@ryytn.net</t>
  </si>
  <si>
    <t>KKR,海邦投资,广和投资,德弘资本</t>
  </si>
  <si>
    <t>云集</t>
  </si>
  <si>
    <t>头头是道投资基金</t>
  </si>
  <si>
    <t>2021-03-03</t>
  </si>
  <si>
    <t>康品汇</t>
  </si>
  <si>
    <t>康品汇是一个社区生鲜品牌，以中高端社区实体店作为用户体验中心，围绕社区布局精选生鲜超市，并通过互联网平台实现门店三公里范围内约时配送。</t>
  </si>
  <si>
    <t>上海康品汇网络科技有限公司</t>
  </si>
  <si>
    <t>社区电商</t>
  </si>
  <si>
    <t>SBI投资(思佰益),棋盘投资,严明,陶云</t>
  </si>
  <si>
    <t>陶云:董事长</t>
  </si>
  <si>
    <t>上海市浦东新区浦三路3058号二（楼）269室</t>
  </si>
  <si>
    <t>150-2132-8959</t>
  </si>
  <si>
    <t>790325911@qq.com</t>
  </si>
  <si>
    <t>高榕资本</t>
  </si>
  <si>
    <t>JJ比赛(竞技创投),美团龙珠</t>
  </si>
  <si>
    <t>幸福西饼</t>
  </si>
  <si>
    <t>幸福西饼最初是线下烘焙连锁品牌，2013年转型做互联网蛋糕。通过线上下单，线下中央工厂和分布式工厂配合并自建配送团队送货上门的形式，服务用户，该模式能保证蛋糕新鲜现做，及时配送。</t>
  </si>
  <si>
    <t>深圳市幸福西饼食品有限公司</t>
  </si>
  <si>
    <t>http://www.xfxb.net/</t>
  </si>
  <si>
    <t>2010-04</t>
  </si>
  <si>
    <t>亚商资本,春涧资本,福杉投资</t>
  </si>
  <si>
    <t>9.06亿</t>
  </si>
  <si>
    <t>35亿元</t>
  </si>
  <si>
    <t>袁火洪:董事长</t>
  </si>
  <si>
    <t>深圳市 龙岗区 布龙路339号 鸿生源工业区A栋5层</t>
  </si>
  <si>
    <t>400-999-6666</t>
  </si>
  <si>
    <t>ceo@xfxb.net</t>
  </si>
  <si>
    <t>信中利资本,亚商资本,华兴新经济基金,璀璨资本,美团龙珠</t>
  </si>
  <si>
    <t>掌通家园,赛伯乐投资,璀璨资本</t>
  </si>
  <si>
    <t>9600万人民币</t>
  </si>
  <si>
    <t>璀璨资本,美团龙珠</t>
  </si>
  <si>
    <t>绝味网聚资本</t>
  </si>
  <si>
    <t>2021-06-16</t>
  </si>
  <si>
    <t>Manner咖啡</t>
  </si>
  <si>
    <t>Manner coffee是一个咖啡连锁品牌，主要为用户提供咖啡、茶饮、冰沙、果汁以及甜点等美食，同时提供咖啡机、咖啡杯、挂耳包等咖啡相关产品；旗下拥有MANNERLIFE系列品牌产品，包括Brewista手冲壶、Ringco咖啡随行杯等。</t>
  </si>
  <si>
    <t>上海茵赫实业有限公司</t>
  </si>
  <si>
    <t>https://www.wearemanner.com/</t>
  </si>
  <si>
    <t>2015-10</t>
  </si>
  <si>
    <t>字节跳动</t>
  </si>
  <si>
    <t>43.7亿</t>
  </si>
  <si>
    <t>162.5亿元</t>
  </si>
  <si>
    <t>韩玉龙:创始人,陆剑霞:联合创始人</t>
  </si>
  <si>
    <t>上海市静安区成都北路199号恒利国际大厦</t>
  </si>
  <si>
    <t>021-6339-0882</t>
  </si>
  <si>
    <t>yulong@mannercoffee.com</t>
  </si>
  <si>
    <r>
      <rPr>
        <sz val="9"/>
        <color rgb="FF000000"/>
        <rFont val="楷体"/>
        <charset val="134"/>
      </rPr>
      <t>数亿美元</t>
    </r>
  </si>
  <si>
    <r>
      <rPr>
        <sz val="9"/>
        <color rgb="FF000000"/>
        <rFont val="楷体"/>
        <charset val="134"/>
      </rPr>
      <t>美团龙珠</t>
    </r>
  </si>
  <si>
    <t>淡马锡Temasek</t>
  </si>
  <si>
    <t>今日资本,Coatue Management,H Capital</t>
  </si>
  <si>
    <t>今日资本</t>
  </si>
  <si>
    <t>2021-07-23</t>
  </si>
  <si>
    <t>谊品生鲜</t>
  </si>
  <si>
    <r>
      <rPr>
        <sz val="9"/>
        <color rgb="FF000000"/>
        <rFont val="楷体"/>
        <charset val="134"/>
      </rPr>
      <t>谊品生鲜</t>
    </r>
  </si>
  <si>
    <r>
      <rPr>
        <sz val="9"/>
        <color rgb="FF000000"/>
        <rFont val="楷体"/>
        <charset val="134"/>
      </rPr>
      <t>谊品生鲜拥有养殖基地、种植基地、海鲜批发平台、高档餐饮、谊品生鲜折扣店、谊品到家线上平台等业态。基于自有种养殖基地，为用户提供生鲜蔬果、酸奶、零食、鲜肉及家庭快消品等产品以及现场加工服务，</t>
    </r>
    <r>
      <rPr>
        <sz val="9"/>
        <color rgb="FF000000"/>
        <rFont val="Arial"/>
        <charset val="134"/>
      </rPr>
      <t>24</t>
    </r>
    <r>
      <rPr>
        <sz val="9"/>
        <color rgb="FF000000"/>
        <rFont val="楷体"/>
        <charset val="134"/>
      </rPr>
      <t>小时营业，主要开设在社区底商及购物中心内。</t>
    </r>
  </si>
  <si>
    <t>重庆谊品弘科技有限公司</t>
  </si>
  <si>
    <t>https://www.ypshengxian.com/</t>
  </si>
  <si>
    <t>2017-11</t>
  </si>
  <si>
    <r>
      <rPr>
        <sz val="9"/>
        <color rgb="FF000000"/>
        <rFont val="楷体"/>
        <charset val="134"/>
      </rPr>
      <t>重庆</t>
    </r>
    <r>
      <rPr>
        <sz val="9"/>
        <color rgb="FF000000"/>
        <rFont val="Arial"/>
        <charset val="134"/>
      </rPr>
      <t>-</t>
    </r>
    <r>
      <rPr>
        <sz val="9"/>
        <color rgb="FF000000"/>
        <rFont val="楷体"/>
        <charset val="134"/>
      </rPr>
      <t>南岸区</t>
    </r>
  </si>
  <si>
    <r>
      <rPr>
        <sz val="9"/>
        <color rgb="FF000000"/>
        <rFont val="楷体"/>
        <charset val="134"/>
      </rPr>
      <t>生鲜</t>
    </r>
  </si>
  <si>
    <r>
      <rPr>
        <sz val="9"/>
        <color rgb="FF000000"/>
        <rFont val="楷体"/>
        <charset val="134"/>
      </rPr>
      <t>腾讯投资</t>
    </r>
    <r>
      <rPr>
        <sz val="9"/>
        <color rgb="FF000000"/>
        <rFont val="Arial"/>
        <charset val="134"/>
      </rPr>
      <t>,</t>
    </r>
    <r>
      <rPr>
        <sz val="9"/>
        <color rgb="FF000000"/>
        <rFont val="楷体"/>
        <charset val="134"/>
      </rPr>
      <t>美团龙珠</t>
    </r>
  </si>
  <si>
    <r>
      <t>46.2</t>
    </r>
    <r>
      <rPr>
        <sz val="9"/>
        <color rgb="FF000000"/>
        <rFont val="楷体"/>
        <charset val="134"/>
      </rPr>
      <t>亿</t>
    </r>
  </si>
  <si>
    <r>
      <t>220</t>
    </r>
    <r>
      <rPr>
        <sz val="9"/>
        <color rgb="FF000000"/>
        <rFont val="楷体"/>
        <charset val="134"/>
      </rPr>
      <t>亿元</t>
    </r>
  </si>
  <si>
    <r>
      <rPr>
        <sz val="9"/>
        <color rgb="FF000000"/>
        <rFont val="楷体"/>
        <charset val="134"/>
      </rPr>
      <t>杨仕中</t>
    </r>
    <r>
      <rPr>
        <sz val="9"/>
        <color rgb="FF000000"/>
        <rFont val="Arial"/>
        <charset val="134"/>
      </rPr>
      <t>:CEO,</t>
    </r>
    <r>
      <rPr>
        <sz val="9"/>
        <color rgb="FF000000"/>
        <rFont val="楷体"/>
        <charset val="134"/>
      </rPr>
      <t>江建飞</t>
    </r>
    <r>
      <rPr>
        <sz val="9"/>
        <color rgb="FF000000"/>
        <rFont val="Arial"/>
        <charset val="134"/>
      </rPr>
      <t>:</t>
    </r>
    <r>
      <rPr>
        <sz val="9"/>
        <color rgb="FF000000"/>
        <rFont val="楷体"/>
        <charset val="134"/>
      </rPr>
      <t>创始人</t>
    </r>
  </si>
  <si>
    <t>重庆市南岸区玉马路8号科技创业中心融英楼</t>
  </si>
  <si>
    <t>138-9681-7035</t>
  </si>
  <si>
    <t>zheng_rb@ypshengxian.com</t>
  </si>
  <si>
    <t>25亿人民币</t>
  </si>
  <si>
    <t>今日资本,腾讯投资,钟鼎资本</t>
  </si>
  <si>
    <t>20亿人民币</t>
  </si>
  <si>
    <t>今日资本,腾讯投资,钟鼎资本,美团龙珠</t>
  </si>
  <si>
    <t>2021-11-26</t>
  </si>
  <si>
    <t>甄云科技</t>
  </si>
  <si>
    <r>
      <rPr>
        <sz val="9"/>
        <color rgb="FF000000"/>
        <rFont val="楷体"/>
        <charset val="134"/>
      </rPr>
      <t>甄云科技</t>
    </r>
  </si>
  <si>
    <r>
      <rPr>
        <sz val="9"/>
        <color rgb="FF000000"/>
        <rFont val="楷体"/>
        <charset val="134"/>
      </rPr>
      <t>甄云信息，国内领先的</t>
    </r>
    <r>
      <rPr>
        <sz val="9"/>
        <color rgb="FF000000"/>
        <rFont val="Arial"/>
        <charset val="134"/>
      </rPr>
      <t>IT</t>
    </r>
    <r>
      <rPr>
        <sz val="9"/>
        <color rgb="FF000000"/>
        <rFont val="楷体"/>
        <charset val="134"/>
      </rPr>
      <t>咨询公司</t>
    </r>
    <r>
      <rPr>
        <sz val="9"/>
        <color rgb="FF000000"/>
        <rFont val="Arial"/>
        <charset val="134"/>
      </rPr>
      <t>“</t>
    </r>
    <r>
      <rPr>
        <sz val="9"/>
        <color rgb="FF000000"/>
        <rFont val="楷体"/>
        <charset val="134"/>
      </rPr>
      <t>汉得信息</t>
    </r>
    <r>
      <rPr>
        <sz val="9"/>
        <color rgb="FF000000"/>
        <rFont val="Arial"/>
        <charset val="134"/>
      </rPr>
      <t>”</t>
    </r>
    <r>
      <rPr>
        <sz val="9"/>
        <color rgb="FF000000"/>
        <rFont val="楷体"/>
        <charset val="134"/>
      </rPr>
      <t>（股票代码：</t>
    </r>
    <r>
      <rPr>
        <sz val="9"/>
        <color rgb="FF000000"/>
        <rFont val="Arial"/>
        <charset val="134"/>
      </rPr>
      <t>300170</t>
    </r>
    <r>
      <rPr>
        <sz val="9"/>
        <color rgb="FF000000"/>
        <rFont val="楷体"/>
        <charset val="134"/>
      </rPr>
      <t>）子公司，是企业采购数字化转型综合解决方案提供商，为企业提供</t>
    </r>
    <r>
      <rPr>
        <sz val="9"/>
        <color rgb="FF000000"/>
        <rFont val="Arial"/>
        <charset val="134"/>
      </rPr>
      <t xml:space="preserve"> SaaS</t>
    </r>
    <r>
      <rPr>
        <sz val="9"/>
        <color rgb="FF000000"/>
        <rFont val="楷体"/>
        <charset val="134"/>
      </rPr>
      <t>与私有化部署的采购数字化管理平台。</t>
    </r>
  </si>
  <si>
    <t>上海甄云信息科技有限公司</t>
  </si>
  <si>
    <t>https://www.going-link.com/</t>
  </si>
  <si>
    <t>2017-06</t>
  </si>
  <si>
    <r>
      <rPr>
        <sz val="9"/>
        <color rgb="FF000000"/>
        <rFont val="楷体"/>
        <charset val="134"/>
      </rPr>
      <t>上海</t>
    </r>
    <r>
      <rPr>
        <sz val="9"/>
        <color rgb="FF000000"/>
        <rFont val="Arial"/>
        <charset val="134"/>
      </rPr>
      <t>-</t>
    </r>
    <r>
      <rPr>
        <sz val="9"/>
        <color rgb="FF000000"/>
        <rFont val="楷体"/>
        <charset val="134"/>
      </rPr>
      <t>青浦区</t>
    </r>
  </si>
  <si>
    <r>
      <rPr>
        <sz val="9"/>
        <color rgb="FF000000"/>
        <rFont val="楷体"/>
        <charset val="134"/>
      </rPr>
      <t>行业信息化及解决方案</t>
    </r>
  </si>
  <si>
    <r>
      <t>6.5</t>
    </r>
    <r>
      <rPr>
        <sz val="9"/>
        <color rgb="FF000000"/>
        <rFont val="楷体"/>
        <charset val="134"/>
      </rPr>
      <t>亿人民币</t>
    </r>
  </si>
  <si>
    <r>
      <rPr>
        <sz val="9"/>
        <color rgb="FF000000"/>
        <rFont val="楷体"/>
        <charset val="134"/>
      </rPr>
      <t>德同资本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蓝湖资本</t>
    </r>
    <r>
      <rPr>
        <sz val="9"/>
        <color rgb="FF000000"/>
        <rFont val="Arial"/>
        <charset val="134"/>
      </rPr>
      <t>,</t>
    </r>
    <r>
      <rPr>
        <sz val="9"/>
        <color rgb="FF000000"/>
        <rFont val="楷体"/>
        <charset val="134"/>
      </rPr>
      <t>众麟资本</t>
    </r>
    <r>
      <rPr>
        <sz val="9"/>
        <color rgb="FF000000"/>
        <rFont val="Arial"/>
        <charset val="134"/>
      </rPr>
      <t>,</t>
    </r>
    <r>
      <rPr>
        <sz val="9"/>
        <color rgb="FF000000"/>
        <rFont val="楷体"/>
        <charset val="134"/>
      </rPr>
      <t>独秀资本</t>
    </r>
    <r>
      <rPr>
        <sz val="9"/>
        <color rgb="FF000000"/>
        <rFont val="Arial"/>
        <charset val="134"/>
      </rPr>
      <t>,</t>
    </r>
    <r>
      <rPr>
        <sz val="9"/>
        <color rgb="FF000000"/>
        <rFont val="楷体"/>
        <charset val="134"/>
      </rPr>
      <t>红点中国</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元实资本</t>
    </r>
    <r>
      <rPr>
        <sz val="9"/>
        <color rgb="FF000000"/>
        <rFont val="Arial"/>
        <charset val="134"/>
      </rPr>
      <t>,</t>
    </r>
    <r>
      <rPr>
        <sz val="9"/>
        <color rgb="FF000000"/>
        <rFont val="楷体"/>
        <charset val="134"/>
      </rPr>
      <t>建发新兴投资</t>
    </r>
  </si>
  <si>
    <r>
      <t>11</t>
    </r>
    <r>
      <rPr>
        <sz val="9"/>
        <color rgb="FF000000"/>
        <rFont val="楷体"/>
        <charset val="134"/>
      </rPr>
      <t>亿</t>
    </r>
  </si>
  <si>
    <r>
      <t>30</t>
    </r>
    <r>
      <rPr>
        <sz val="9"/>
        <color rgb="FF000000"/>
        <rFont val="楷体"/>
        <charset val="134"/>
      </rPr>
      <t>亿元</t>
    </r>
  </si>
  <si>
    <r>
      <rPr>
        <sz val="9"/>
        <color rgb="FF000000"/>
        <rFont val="楷体"/>
        <charset val="134"/>
      </rPr>
      <t>黄益全</t>
    </r>
    <r>
      <rPr>
        <sz val="9"/>
        <color rgb="FF000000"/>
        <rFont val="Arial"/>
        <charset val="134"/>
      </rPr>
      <t>:</t>
    </r>
    <r>
      <rPr>
        <sz val="9"/>
        <color rgb="FF000000"/>
        <rFont val="楷体"/>
        <charset val="134"/>
      </rPr>
      <t>董事长</t>
    </r>
  </si>
  <si>
    <t>上海市青浦区工业园区郏一工业区7号3幢1层A区046室</t>
  </si>
  <si>
    <t>400-900-9298</t>
  </si>
  <si>
    <t>marketing@going-link.com</t>
  </si>
  <si>
    <t>德同资本,钟鼎资本,蓝湖资本,众麟资本,红点中国</t>
  </si>
  <si>
    <t>京东,众麟资本</t>
  </si>
  <si>
    <t>2022-12-08</t>
  </si>
  <si>
    <t>晶湛半导体</t>
  </si>
  <si>
    <r>
      <rPr>
        <sz val="9"/>
        <color rgb="FF000000"/>
        <rFont val="楷体"/>
        <charset val="134"/>
      </rPr>
      <t>晶湛半导体</t>
    </r>
  </si>
  <si>
    <r>
      <rPr>
        <sz val="9"/>
        <color rgb="FF000000"/>
        <rFont val="楷体"/>
        <charset val="134"/>
      </rPr>
      <t>晶湛半导体致力于为电力电子以及微显示等领域提供高品质氮化镓外延材料解决方案，主要产品有</t>
    </r>
    <r>
      <rPr>
        <sz val="9"/>
        <color rgb="FF000000"/>
        <rFont val="Arial"/>
        <charset val="134"/>
      </rPr>
      <t>GaN-on-Si</t>
    </r>
    <r>
      <rPr>
        <sz val="9"/>
        <color rgb="FF000000"/>
        <rFont val="楷体"/>
        <charset val="134"/>
      </rPr>
      <t>外延晶片、</t>
    </r>
    <r>
      <rPr>
        <sz val="9"/>
        <color rgb="FF000000"/>
        <rFont val="Arial"/>
        <charset val="134"/>
      </rPr>
      <t>GaN-on-Sapphire epi</t>
    </r>
    <r>
      <rPr>
        <sz val="9"/>
        <color rgb="FF000000"/>
        <rFont val="楷体"/>
        <charset val="134"/>
      </rPr>
      <t>晶圆及</t>
    </r>
    <r>
      <rPr>
        <sz val="9"/>
        <color rgb="FF000000"/>
        <rFont val="Arial"/>
        <charset val="134"/>
      </rPr>
      <t>GaN-SiC</t>
    </r>
    <r>
      <rPr>
        <sz val="9"/>
        <color rgb="FF000000"/>
        <rFont val="楷体"/>
        <charset val="134"/>
      </rPr>
      <t>外延晶片等，此外还提供定制晶圆服务，产品具有非常低的缓冲器泄漏和低缓冲特点，适用于基站中使用的无线通信。</t>
    </r>
  </si>
  <si>
    <t>苏州晶湛半导体有限公司</t>
  </si>
  <si>
    <t>http://www.enkris.com/</t>
  </si>
  <si>
    <t>2012-03</t>
  </si>
  <si>
    <r>
      <rPr>
        <sz val="9"/>
        <color rgb="FF000000"/>
        <rFont val="楷体"/>
        <charset val="134"/>
      </rPr>
      <t>江苏</t>
    </r>
    <r>
      <rPr>
        <sz val="9"/>
        <color rgb="FF000000"/>
        <rFont val="Arial"/>
        <charset val="134"/>
      </rPr>
      <t>-</t>
    </r>
    <r>
      <rPr>
        <sz val="9"/>
        <color rgb="FF000000"/>
        <rFont val="楷体"/>
        <charset val="134"/>
      </rPr>
      <t>苏州</t>
    </r>
  </si>
  <si>
    <r>
      <rPr>
        <sz val="9"/>
        <color rgb="FF000000"/>
        <rFont val="楷体"/>
        <charset val="134"/>
      </rPr>
      <t>三七互娱</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蔚来资本</t>
    </r>
    <r>
      <rPr>
        <sz val="9"/>
        <color rgb="FF000000"/>
        <rFont val="Arial"/>
        <charset val="134"/>
      </rPr>
      <t>,</t>
    </r>
    <r>
      <rPr>
        <sz val="9"/>
        <color rgb="FF000000"/>
        <rFont val="楷体"/>
        <charset val="134"/>
      </rPr>
      <t>欣柯资本</t>
    </r>
    <r>
      <rPr>
        <sz val="9"/>
        <color rgb="FF000000"/>
        <rFont val="Arial"/>
        <charset val="134"/>
      </rPr>
      <t>,</t>
    </r>
    <r>
      <rPr>
        <sz val="9"/>
        <color rgb="FF000000"/>
        <rFont val="楷体"/>
        <charset val="134"/>
      </rPr>
      <t>歌尔微电子</t>
    </r>
  </si>
  <si>
    <r>
      <t>6.71</t>
    </r>
    <r>
      <rPr>
        <sz val="9"/>
        <color rgb="FF000000"/>
        <rFont val="楷体"/>
        <charset val="134"/>
      </rPr>
      <t>亿</t>
    </r>
  </si>
  <si>
    <t>苏州市工业园区金鸡湖大道99号苏州纳米城西北区20栋517-A室</t>
  </si>
  <si>
    <t>0512-6270-6800</t>
  </si>
  <si>
    <t>info@enkris.com</t>
  </si>
  <si>
    <t>创新工场,元禾控股,三七互娱,湖杉资本,中信证券,惠友资本,高瓴创投,歌尔微电子,禾创致远,共青城军合,无限基金</t>
  </si>
  <si>
    <t>方正和生投资,高瓴创投,奥银湖杉资本,安徽和壮高新技术成果基金</t>
  </si>
  <si>
    <t>元禾控股,天合光能</t>
  </si>
  <si>
    <t>恒信华业</t>
  </si>
  <si>
    <t>苏州科技创投</t>
  </si>
  <si>
    <t>2021-01-13</t>
  </si>
  <si>
    <t>蜜雪冰城</t>
  </si>
  <si>
    <r>
      <rPr>
        <sz val="9"/>
        <color rgb="FF000000"/>
        <rFont val="楷体"/>
        <charset val="134"/>
      </rPr>
      <t>蜜雪冰城</t>
    </r>
  </si>
  <si>
    <r>
      <rPr>
        <sz val="9"/>
        <color rgb="FF000000"/>
        <rFont val="楷体"/>
        <charset val="134"/>
      </rPr>
      <t>蜜雪冰城是一个冰淇淋茶饮连锁品牌，集投资、连锁运营、品牌管理为一体，旗下拥有蜜雪冰城、</t>
    </r>
    <r>
      <rPr>
        <sz val="9"/>
        <color rgb="FF000000"/>
        <rFont val="Arial"/>
        <charset val="134"/>
      </rPr>
      <t>MY-share</t>
    </r>
    <r>
      <rPr>
        <sz val="9"/>
        <color rgb="FF000000"/>
        <rFont val="楷体"/>
        <charset val="134"/>
      </rPr>
      <t>、蜜雪冰城家常菜馆，幸运咖、极拉图等连锁品牌，采用印度红茶、新西兰奶源、非洲巧克力豆等作为原材料，为用户提供魔天脆脆、紫薯麦麦拿铁、蜂蜜柚子茶等产品。</t>
    </r>
  </si>
  <si>
    <t>蜜雪冰城股份有限公司</t>
  </si>
  <si>
    <t>http://www.mxbc.com</t>
  </si>
  <si>
    <t>2008-04</t>
  </si>
  <si>
    <r>
      <rPr>
        <sz val="9"/>
        <color rgb="FF000000"/>
        <rFont val="楷体"/>
        <charset val="134"/>
      </rPr>
      <t>河南</t>
    </r>
    <r>
      <rPr>
        <sz val="9"/>
        <color rgb="FF000000"/>
        <rFont val="Arial"/>
        <charset val="134"/>
      </rPr>
      <t>-</t>
    </r>
    <r>
      <rPr>
        <sz val="9"/>
        <color rgb="FF000000"/>
        <rFont val="楷体"/>
        <charset val="134"/>
      </rPr>
      <t>郑州</t>
    </r>
  </si>
  <si>
    <r>
      <t>20</t>
    </r>
    <r>
      <rPr>
        <sz val="9"/>
        <color rgb="FF000000"/>
        <rFont val="楷体"/>
        <charset val="134"/>
      </rPr>
      <t>亿人民币</t>
    </r>
  </si>
  <si>
    <r>
      <rPr>
        <sz val="9"/>
        <color rgb="FF000000"/>
        <rFont val="楷体"/>
        <charset val="134"/>
      </rPr>
      <t>高瓴投资</t>
    </r>
    <r>
      <rPr>
        <sz val="9"/>
        <color rgb="FF000000"/>
        <rFont val="Arial"/>
        <charset val="134"/>
      </rPr>
      <t>,</t>
    </r>
    <r>
      <rPr>
        <sz val="9"/>
        <color rgb="FF000000"/>
        <rFont val="楷体"/>
        <charset val="134"/>
      </rPr>
      <t>美团龙珠</t>
    </r>
  </si>
  <si>
    <r>
      <t>20</t>
    </r>
    <r>
      <rPr>
        <sz val="9"/>
        <color rgb="FF000000"/>
        <rFont val="楷体"/>
        <charset val="134"/>
      </rPr>
      <t>亿</t>
    </r>
  </si>
  <si>
    <r>
      <t>200</t>
    </r>
    <r>
      <rPr>
        <sz val="9"/>
        <color rgb="FF000000"/>
        <rFont val="楷体"/>
        <charset val="134"/>
      </rPr>
      <t>亿元</t>
    </r>
  </si>
  <si>
    <r>
      <rPr>
        <sz val="9"/>
        <color rgb="FF000000"/>
        <rFont val="楷体"/>
        <charset val="134"/>
      </rPr>
      <t>张红超</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张红甫</t>
    </r>
    <r>
      <rPr>
        <sz val="9"/>
        <color rgb="FF000000"/>
        <rFont val="Arial"/>
        <charset val="134"/>
      </rPr>
      <t>:</t>
    </r>
    <r>
      <rPr>
        <sz val="9"/>
        <color rgb="FF000000"/>
        <rFont val="楷体"/>
        <charset val="134"/>
      </rPr>
      <t>总经理</t>
    </r>
  </si>
  <si>
    <t>郑州市金水区北三环南、文化路东瀚海北金商业中心16004室</t>
  </si>
  <si>
    <t>0371-8991-6888</t>
  </si>
  <si>
    <t>10132710022@qq.com</t>
  </si>
  <si>
    <t>2019-12-31</t>
  </si>
  <si>
    <t>肉联帮</t>
  </si>
  <si>
    <t>肉联帮是一家生鲜零售连锁品牌，主营社区生鲜零售小店，主打特色为“肉好吃、菜便宜”，为消费者提供优质的餐桌食材和便捷的社区服务。</t>
  </si>
  <si>
    <t>广东肉联帮生鲜控股有限公司</t>
  </si>
  <si>
    <t>广东-清远</t>
  </si>
  <si>
    <t>黎小兵:董事长</t>
  </si>
  <si>
    <t>连山壮族瑶族自治县吉田镇鹿鸣东路</t>
  </si>
  <si>
    <t>2022-12-02</t>
  </si>
  <si>
    <t>轻舟智航</t>
  </si>
  <si>
    <t>轻舟智航是一家无人驾驶技术研发公司，致力于打造适应城市复杂交通环境的无人驾驶技术，将无人驾驶带进现实。基于大规模智能仿真系统和可自主学习决策规划框架，轻舟智航专注于为合作伙伴提供可量产的无人驾驶解决方案，全方位覆盖从低速到高速、从物流到出行、从商用车到乘用车等多个应用场景。</t>
  </si>
  <si>
    <t>北京轻舟智航智能技术有限公司</t>
  </si>
  <si>
    <t>http://www.qcraft.ai</t>
  </si>
  <si>
    <t>TCL创投,元生资本,中金资本</t>
  </si>
  <si>
    <t>26.4亿</t>
  </si>
  <si>
    <t>于骞:董事长</t>
  </si>
  <si>
    <t>北京市海淀区悦秀路99号6层1单元621-1</t>
  </si>
  <si>
    <r>
      <t>IDG</t>
    </r>
    <r>
      <rPr>
        <sz val="9"/>
        <color rgb="FF000000"/>
        <rFont val="楷体"/>
        <charset val="134"/>
      </rPr>
      <t>资本</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元生资本</t>
    </r>
    <r>
      <rPr>
        <sz val="9"/>
        <color rgb="FF000000"/>
        <rFont val="Arial"/>
        <charset val="134"/>
      </rPr>
      <t>,</t>
    </r>
    <r>
      <rPr>
        <sz val="9"/>
        <color rgb="FF000000"/>
        <rFont val="楷体"/>
        <charset val="134"/>
      </rPr>
      <t>美团龙珠</t>
    </r>
  </si>
  <si>
    <t>招商局创投</t>
  </si>
  <si>
    <t>联想创投</t>
  </si>
  <si>
    <t>IDG资本,元璟资本,Tide Capital</t>
  </si>
  <si>
    <t>灵明光子</t>
  </si>
  <si>
    <t>灵明光子是一家3D传感器芯片和解决方案提供商，主要研发高效率单光子探测器(SPAD)的大规模集成芯片，目前主要有两条产品业务线：适用于高性能激光雷达光子接收方案的硅光子倍增管(SiPM)和适用于消费级电子产品的SPAD成像传感器(SPADIS)及整体dToF解决方案。</t>
  </si>
  <si>
    <t>深圳市灵明光子科技有限公司</t>
  </si>
  <si>
    <t>http://www.adapsphotonics.com/</t>
  </si>
  <si>
    <t>传感设备</t>
  </si>
  <si>
    <t>基石资本,谷雨嘉禾</t>
  </si>
  <si>
    <t>7.21亿</t>
  </si>
  <si>
    <t>南山区新东路一号清华信息港科研楼4层410</t>
  </si>
  <si>
    <t>0755-2662-2799</t>
  </si>
  <si>
    <t>info@adaps-ph.com</t>
  </si>
  <si>
    <r>
      <rPr>
        <sz val="9"/>
        <color rgb="FF000000"/>
        <rFont val="楷体"/>
        <charset val="134"/>
      </rPr>
      <t>高榕资本</t>
    </r>
    <r>
      <rPr>
        <sz val="9"/>
        <color rgb="FF000000"/>
        <rFont val="Arial"/>
        <charset val="134"/>
      </rPr>
      <t>,</t>
    </r>
    <r>
      <rPr>
        <sz val="9"/>
        <color rgb="FF000000"/>
        <rFont val="楷体"/>
        <charset val="134"/>
      </rPr>
      <t>昆仲资本</t>
    </r>
    <r>
      <rPr>
        <sz val="9"/>
        <color rgb="FF000000"/>
        <rFont val="Arial"/>
        <charset val="134"/>
      </rPr>
      <t>,</t>
    </r>
    <r>
      <rPr>
        <sz val="9"/>
        <color rgb="FF000000"/>
        <rFont val="楷体"/>
        <charset val="134"/>
      </rPr>
      <t>美团龙珠</t>
    </r>
  </si>
  <si>
    <t>真格基金,高榕资本,昆仲资本,OPPO,欧菲和正投资</t>
  </si>
  <si>
    <t>真格基金,光速光合,联想之星,联想控股,昆仲资本,小米长江产业基金</t>
  </si>
  <si>
    <t>光速光合,欧菲控股</t>
  </si>
  <si>
    <t>光速光合</t>
  </si>
  <si>
    <t>联想之星,CPE源峰,联想控股,昆仲资本</t>
  </si>
  <si>
    <t>2021-01-28</t>
  </si>
  <si>
    <t>古茗茶饮</t>
  </si>
  <si>
    <t>古茗茶饮是一个奶茶连锁品牌，该公司原料均采用台湾、斯里兰卡等地茶园茶叶，同时以传统茶为核心，纯手工制作而成，以传统口味、经典口味为主，此外已经在全国拥有700多家分店。</t>
  </si>
  <si>
    <t>古茗科技集团有限公司</t>
  </si>
  <si>
    <t>https://www.gumingnc.com/</t>
  </si>
  <si>
    <t>2018-06</t>
  </si>
  <si>
    <t>Coatue Management</t>
  </si>
  <si>
    <t>1.2亿</t>
  </si>
  <si>
    <t>杭州市西湖区紫荆花路108号118室</t>
  </si>
  <si>
    <r>
      <rPr>
        <sz val="9"/>
        <color rgb="FF000000"/>
        <rFont val="楷体"/>
        <charset val="134"/>
      </rPr>
      <t>红杉资本中国</t>
    </r>
    <r>
      <rPr>
        <sz val="9"/>
        <color rgb="FF000000"/>
        <rFont val="Arial"/>
        <charset val="134"/>
      </rPr>
      <t>,</t>
    </r>
    <r>
      <rPr>
        <sz val="9"/>
        <color rgb="FF000000"/>
        <rFont val="楷体"/>
        <charset val="134"/>
      </rPr>
      <t>美团龙珠</t>
    </r>
  </si>
  <si>
    <t>2022-08-11</t>
  </si>
  <si>
    <t>怒喵科技Angry Miao</t>
  </si>
  <si>
    <t>怒喵科技是一家青年电子消费品牌商。由魅族前高级副总裁、CMO李楠成立。</t>
  </si>
  <si>
    <t>珠海市怒喵科技有限公司</t>
  </si>
  <si>
    <t>https://www.angrymiao.com/</t>
  </si>
  <si>
    <t>3C电子</t>
  </si>
  <si>
    <t>1.3亿</t>
  </si>
  <si>
    <t>6.5亿元</t>
  </si>
  <si>
    <t>李楠:创始人</t>
  </si>
  <si>
    <t>珠海市横琴新区环岛东路1889号</t>
  </si>
  <si>
    <r>
      <t>5000</t>
    </r>
    <r>
      <rPr>
        <sz val="9"/>
        <color rgb="FF000000"/>
        <rFont val="楷体"/>
        <charset val="134"/>
      </rPr>
      <t>万人民币</t>
    </r>
  </si>
  <si>
    <t>真格基金,美团龙珠</t>
  </si>
  <si>
    <t>2023-06-30</t>
  </si>
  <si>
    <t>康诺思腾</t>
  </si>
  <si>
    <r>
      <rPr>
        <sz val="9"/>
        <color rgb="FF000000"/>
        <rFont val="楷体"/>
        <charset val="134"/>
      </rPr>
      <t>康诺思腾</t>
    </r>
  </si>
  <si>
    <r>
      <rPr>
        <sz val="9"/>
        <color rgb="FF000000"/>
        <rFont val="楷体"/>
        <charset val="134"/>
      </rPr>
      <t>康诺思腾是一家手术机器人研发商，致力于打造安全高效的手术机器人平台，现已完成底层技术平台和产业化平台的搭建，掌握机械架构、电气架构、软件架构、复杂算法和视觉影像系统等核心技术的自主研发、自主可控，实现了软组织手术机器人及其他重大专科手术机器人的多管线布局。</t>
    </r>
  </si>
  <si>
    <t>深圳康诺思腾科技有限公司</t>
  </si>
  <si>
    <r>
      <rPr>
        <sz val="9"/>
        <color rgb="FF000000"/>
        <rFont val="楷体"/>
        <charset val="134"/>
      </rPr>
      <t>启明创投</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联想创投</t>
    </r>
    <r>
      <rPr>
        <sz val="9"/>
        <color rgb="FF000000"/>
        <rFont val="Arial"/>
        <charset val="134"/>
      </rPr>
      <t>,</t>
    </r>
    <r>
      <rPr>
        <sz val="9"/>
        <color rgb="FF000000"/>
        <rFont val="楷体"/>
        <charset val="134"/>
      </rPr>
      <t>礼来亚洲基金</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新世界集团</t>
    </r>
    <r>
      <rPr>
        <sz val="9"/>
        <color rgb="FF000000"/>
        <rFont val="Arial"/>
        <charset val="134"/>
      </rPr>
      <t>,</t>
    </r>
    <r>
      <rPr>
        <sz val="9"/>
        <color rgb="FF000000"/>
        <rFont val="楷体"/>
        <charset val="134"/>
      </rPr>
      <t>道合投资</t>
    </r>
    <r>
      <rPr>
        <sz val="9"/>
        <color rgb="FF000000"/>
        <rFont val="Arial"/>
        <charset val="134"/>
      </rPr>
      <t>,</t>
    </r>
    <r>
      <rPr>
        <sz val="9"/>
        <color rgb="FF000000"/>
        <rFont val="楷体"/>
        <charset val="134"/>
      </rPr>
      <t>清松资本</t>
    </r>
  </si>
  <si>
    <r>
      <t>13.2</t>
    </r>
    <r>
      <rPr>
        <sz val="9"/>
        <color rgb="FF000000"/>
        <rFont val="楷体"/>
        <charset val="134"/>
      </rPr>
      <t>亿</t>
    </r>
  </si>
  <si>
    <r>
      <t>64</t>
    </r>
    <r>
      <rPr>
        <sz val="9"/>
        <color rgb="FF000000"/>
        <rFont val="楷体"/>
        <charset val="134"/>
      </rPr>
      <t>亿元</t>
    </r>
  </si>
  <si>
    <t>深圳市南山区南山街道荔湾社区月亮湾大道2076号高科集团大楼7楼72035</t>
  </si>
  <si>
    <t>191-2845-8626</t>
  </si>
  <si>
    <t>zoie.zhang@csrbtx.com</t>
  </si>
  <si>
    <r>
      <rPr>
        <sz val="9"/>
        <color rgb="FF000000"/>
        <rFont val="楷体"/>
        <charset val="134"/>
      </rPr>
      <t>启明创投</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礼来亚洲基金</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新世界集团</t>
    </r>
    <r>
      <rPr>
        <sz val="9"/>
        <color rgb="FF000000"/>
        <rFont val="Arial"/>
        <charset val="134"/>
      </rPr>
      <t>,</t>
    </r>
    <r>
      <rPr>
        <sz val="9"/>
        <color rgb="FF000000"/>
        <rFont val="楷体"/>
        <charset val="134"/>
      </rPr>
      <t>清松资本</t>
    </r>
  </si>
  <si>
    <t>启明创投,险峰,高榕资本,清松资本</t>
  </si>
  <si>
    <t>2021-11-01</t>
  </si>
  <si>
    <t>变形积木</t>
  </si>
  <si>
    <r>
      <rPr>
        <sz val="9"/>
        <color rgb="FF000000"/>
        <rFont val="楷体"/>
        <charset val="134"/>
      </rPr>
      <t>变形积木</t>
    </r>
  </si>
  <si>
    <r>
      <rPr>
        <sz val="9"/>
        <color rgb="FF000000"/>
        <rFont val="楷体"/>
        <charset val="134"/>
      </rPr>
      <t>变形积木是一家装配式内装服务商，主要采用干式工法，将工厂生产的装修部品、设备及管线，在项目现场进行组合安装的装修，并将一个房屋的整体装修，拆分成顶部快装系统、地面快装系统、墙面快装系统、厨卫快装系统等多个系统，从而为装修业主提供全方位的服务。</t>
    </r>
  </si>
  <si>
    <t>变形积木（北京）科技有限公司</t>
  </si>
  <si>
    <t>2018-11</t>
  </si>
  <si>
    <r>
      <rPr>
        <sz val="9"/>
        <color rgb="FF000000"/>
        <rFont val="楷体"/>
        <charset val="134"/>
      </rPr>
      <t>装修装饰</t>
    </r>
  </si>
  <si>
    <r>
      <t>GGV</t>
    </r>
    <r>
      <rPr>
        <sz val="9"/>
        <color rgb="FF000000"/>
        <rFont val="楷体"/>
        <charset val="134"/>
      </rPr>
      <t>纪源资本</t>
    </r>
    <r>
      <rPr>
        <sz val="9"/>
        <color rgb="FF000000"/>
        <rFont val="Arial"/>
        <charset val="134"/>
      </rPr>
      <t>,</t>
    </r>
    <r>
      <rPr>
        <sz val="9"/>
        <color rgb="FF000000"/>
        <rFont val="楷体"/>
        <charset val="134"/>
      </rPr>
      <t>美团龙珠</t>
    </r>
  </si>
  <si>
    <r>
      <t>2.5</t>
    </r>
    <r>
      <rPr>
        <sz val="9"/>
        <color rgb="FF000000"/>
        <rFont val="楷体"/>
        <charset val="134"/>
      </rPr>
      <t>亿</t>
    </r>
  </si>
  <si>
    <r>
      <t>5</t>
    </r>
    <r>
      <rPr>
        <sz val="9"/>
        <color rgb="FF000000"/>
        <rFont val="楷体"/>
        <charset val="134"/>
      </rPr>
      <t>亿元</t>
    </r>
  </si>
  <si>
    <r>
      <rPr>
        <sz val="9"/>
        <color rgb="FF000000"/>
        <rFont val="楷体"/>
        <charset val="134"/>
      </rPr>
      <t>王子诚</t>
    </r>
    <r>
      <rPr>
        <sz val="9"/>
        <color rgb="FF000000"/>
        <rFont val="Arial"/>
        <charset val="134"/>
      </rPr>
      <t>:</t>
    </r>
    <r>
      <rPr>
        <sz val="9"/>
        <color rgb="FF000000"/>
        <rFont val="楷体"/>
        <charset val="134"/>
      </rPr>
      <t>联合创始人</t>
    </r>
  </si>
  <si>
    <t>北京市门头沟区石龙经济开发区永安路20号3号楼A-7051室</t>
  </si>
  <si>
    <t>13683329487@bianxingjimu.com</t>
  </si>
  <si>
    <t>金沙江创投,GGV纪源资本</t>
  </si>
  <si>
    <t>钟鼎资本,不惑创投</t>
  </si>
  <si>
    <t>不惑创投</t>
  </si>
  <si>
    <t>2021-08-10</t>
  </si>
  <si>
    <t>熊大爷</t>
  </si>
  <si>
    <r>
      <rPr>
        <sz val="9"/>
        <color rgb="FF000000"/>
        <rFont val="楷体"/>
        <charset val="134"/>
      </rPr>
      <t>熊大爷</t>
    </r>
  </si>
  <si>
    <r>
      <rPr>
        <sz val="9"/>
        <color rgb="FF000000"/>
        <rFont val="楷体"/>
        <charset val="134"/>
      </rPr>
      <t>熊大爷是一家经营饺子云吞连锁的品牌餐饮公司，主打广式手工水饺，味道可以通过多种调料来搭配，提供醋包、辣油包、蒜蓉包、酱油等，顾客可根据口味选择。</t>
    </r>
  </si>
  <si>
    <t>北京熊大爷餐饮管理有限公司</t>
  </si>
  <si>
    <t>https://www.xdychina.com/</t>
  </si>
  <si>
    <t>2020-07</t>
  </si>
  <si>
    <r>
      <rPr>
        <sz val="9"/>
        <color rgb="FF000000"/>
        <rFont val="楷体"/>
        <charset val="134"/>
      </rPr>
      <t>数千万人民币</t>
    </r>
  </si>
  <si>
    <r>
      <rPr>
        <sz val="9"/>
        <color rgb="FF000000"/>
        <rFont val="楷体"/>
        <charset val="134"/>
      </rPr>
      <t>番茄资本</t>
    </r>
    <r>
      <rPr>
        <sz val="9"/>
        <color rgb="FF000000"/>
        <rFont val="Arial"/>
        <charset val="134"/>
      </rPr>
      <t>,</t>
    </r>
    <r>
      <rPr>
        <sz val="9"/>
        <color rgb="FF000000"/>
        <rFont val="楷体"/>
        <charset val="134"/>
      </rPr>
      <t>美团龙珠</t>
    </r>
  </si>
  <si>
    <r>
      <t>3300</t>
    </r>
    <r>
      <rPr>
        <sz val="9"/>
        <color rgb="FF000000"/>
        <rFont val="楷体"/>
        <charset val="134"/>
      </rPr>
      <t>万</t>
    </r>
  </si>
  <si>
    <r>
      <t>1.5</t>
    </r>
    <r>
      <rPr>
        <sz val="9"/>
        <color rgb="FF000000"/>
        <rFont val="楷体"/>
        <charset val="134"/>
      </rPr>
      <t>亿元</t>
    </r>
  </si>
  <si>
    <t>北京市朝阳区朝阳北路甲27号7号楼一层118室</t>
  </si>
  <si>
    <t>400-058-9198</t>
  </si>
  <si>
    <t>源来资本,窄门学社</t>
  </si>
  <si>
    <t>2021-11-29</t>
  </si>
  <si>
    <t>长芯盛智连</t>
  </si>
  <si>
    <r>
      <rPr>
        <sz val="9"/>
        <color rgb="FF000000"/>
        <rFont val="楷体"/>
        <charset val="134"/>
      </rPr>
      <t>长芯盛智连</t>
    </r>
  </si>
  <si>
    <r>
      <rPr>
        <sz val="9"/>
        <color rgb="FF000000"/>
        <rFont val="楷体"/>
        <charset val="134"/>
      </rPr>
      <t>长芯盛智连是一家光电应用产品及综合解决方案提供商。专门从事光电芯片、光电模组、高速有源光缆（</t>
    </r>
    <r>
      <rPr>
        <sz val="9"/>
        <color rgb="FF000000"/>
        <rFont val="Arial"/>
        <charset val="134"/>
      </rPr>
      <t>AOC</t>
    </r>
    <r>
      <rPr>
        <sz val="9"/>
        <color rgb="FF000000"/>
        <rFont val="楷体"/>
        <charset val="134"/>
      </rPr>
      <t>）互联等产品研发、生产、销售，产品和解决方案主要用于超高清视频、虚拟现实、医疗系统、机器视觉、数据中心等领域，产品进入多个海外知名大型客户供应链。</t>
    </r>
  </si>
  <si>
    <t>长芯盛智连（武汉）科技有限公司</t>
  </si>
  <si>
    <r>
      <rPr>
        <sz val="9"/>
        <color rgb="FF000000"/>
        <rFont val="楷体"/>
        <charset val="134"/>
      </rPr>
      <t>通信制造</t>
    </r>
  </si>
  <si>
    <r>
      <rPr>
        <sz val="9"/>
        <color rgb="FF000000"/>
        <rFont val="楷体"/>
        <charset val="134"/>
      </rPr>
      <t>云锋基金</t>
    </r>
    <r>
      <rPr>
        <sz val="9"/>
        <color rgb="FF000000"/>
        <rFont val="Arial"/>
        <charset val="134"/>
      </rPr>
      <t>,</t>
    </r>
    <r>
      <rPr>
        <sz val="9"/>
        <color rgb="FF000000"/>
        <rFont val="楷体"/>
        <charset val="134"/>
      </rPr>
      <t>中银投资</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临芯投资</t>
    </r>
    <r>
      <rPr>
        <sz val="9"/>
        <color rgb="FF000000"/>
        <rFont val="Arial"/>
        <charset val="134"/>
      </rPr>
      <t>,</t>
    </r>
    <r>
      <rPr>
        <sz val="9"/>
        <color rgb="FF000000"/>
        <rFont val="楷体"/>
        <charset val="134"/>
      </rPr>
      <t>晨壹基金</t>
    </r>
    <r>
      <rPr>
        <sz val="9"/>
        <color rgb="FF000000"/>
        <rFont val="Arial"/>
        <charset val="134"/>
      </rPr>
      <t>,</t>
    </r>
    <r>
      <rPr>
        <sz val="9"/>
        <color rgb="FF000000"/>
        <rFont val="楷体"/>
        <charset val="134"/>
      </rPr>
      <t>武汉长江文创产业基金</t>
    </r>
  </si>
  <si>
    <r>
      <t>6</t>
    </r>
    <r>
      <rPr>
        <sz val="9"/>
        <color rgb="FF000000"/>
        <rFont val="楷体"/>
        <charset val="134"/>
      </rPr>
      <t>亿</t>
    </r>
  </si>
  <si>
    <r>
      <rPr>
        <sz val="9"/>
        <color rgb="FF000000"/>
        <rFont val="楷体"/>
        <charset val="134"/>
      </rPr>
      <t>庄丹</t>
    </r>
    <r>
      <rPr>
        <sz val="9"/>
        <color rgb="FF000000"/>
        <rFont val="Arial"/>
        <charset val="134"/>
      </rPr>
      <t>:</t>
    </r>
    <r>
      <rPr>
        <sz val="9"/>
        <color rgb="FF000000"/>
        <rFont val="楷体"/>
        <charset val="134"/>
      </rPr>
      <t>董事长</t>
    </r>
  </si>
  <si>
    <t>深圳市龙华区观澜街道桂花社区观光路1134号</t>
  </si>
  <si>
    <t>137-2897-6629</t>
  </si>
  <si>
    <t>zhuping@yofc.com</t>
  </si>
  <si>
    <t>临芯投资,昆桥资本</t>
  </si>
  <si>
    <t>2021-09-02</t>
  </si>
  <si>
    <t>墨茉点心局</t>
  </si>
  <si>
    <r>
      <rPr>
        <sz val="9"/>
        <color rgb="FF000000"/>
        <rFont val="楷体"/>
        <charset val="134"/>
      </rPr>
      <t>墨茉点心局</t>
    </r>
  </si>
  <si>
    <r>
      <rPr>
        <sz val="9"/>
        <color rgb="FF000000"/>
        <rFont val="楷体"/>
        <charset val="134"/>
      </rPr>
      <t>墨茉点心局是一家现烤点心品牌，该公司专注于烘焙面包点心领域，主要包括麦胚千层酥，剁椒小方吐司、雪花酥等产品。</t>
    </r>
  </si>
  <si>
    <t>长沙壹饼壹城餐饮管理有限公司</t>
  </si>
  <si>
    <t>2020-06</t>
  </si>
  <si>
    <r>
      <rPr>
        <sz val="9"/>
        <color rgb="FF000000"/>
        <rFont val="楷体"/>
        <charset val="134"/>
      </rPr>
      <t>湖南</t>
    </r>
    <r>
      <rPr>
        <sz val="9"/>
        <color rgb="FF000000"/>
        <rFont val="Arial"/>
        <charset val="134"/>
      </rPr>
      <t>-</t>
    </r>
    <r>
      <rPr>
        <sz val="9"/>
        <color rgb="FF000000"/>
        <rFont val="楷体"/>
        <charset val="134"/>
      </rPr>
      <t>长沙</t>
    </r>
  </si>
  <si>
    <r>
      <t>6.33</t>
    </r>
    <r>
      <rPr>
        <sz val="9"/>
        <color rgb="FF000000"/>
        <rFont val="楷体"/>
        <charset val="134"/>
      </rPr>
      <t>亿</t>
    </r>
  </si>
  <si>
    <r>
      <t>26</t>
    </r>
    <r>
      <rPr>
        <sz val="9"/>
        <color rgb="FF000000"/>
        <rFont val="楷体"/>
        <charset val="134"/>
      </rPr>
      <t>亿元</t>
    </r>
  </si>
  <si>
    <r>
      <rPr>
        <sz val="9"/>
        <color rgb="FF000000"/>
        <rFont val="楷体"/>
        <charset val="134"/>
      </rPr>
      <t>王丹</t>
    </r>
    <r>
      <rPr>
        <sz val="9"/>
        <color rgb="FF000000"/>
        <rFont val="Arial"/>
        <charset val="134"/>
      </rPr>
      <t xml:space="preserve"> :</t>
    </r>
    <r>
      <rPr>
        <sz val="9"/>
        <color rgb="FF000000"/>
        <rFont val="楷体"/>
        <charset val="134"/>
      </rPr>
      <t>创始人</t>
    </r>
  </si>
  <si>
    <t>湖南省长沙市芙蓉区定王台街道犁头后街034号</t>
  </si>
  <si>
    <t>腾讯投资,日初资本</t>
  </si>
  <si>
    <t>清流资本,元璟资本,番茄资本,源来资本,日初资本</t>
  </si>
  <si>
    <t>窄门学社,零拾孵化</t>
  </si>
  <si>
    <t>2022-03-09</t>
  </si>
  <si>
    <t>法奥FAIR</t>
  </si>
  <si>
    <r>
      <rPr>
        <sz val="9"/>
        <color rgb="FF000000"/>
        <rFont val="楷体"/>
        <charset val="134"/>
      </rPr>
      <t>法奥</t>
    </r>
    <r>
      <rPr>
        <sz val="9"/>
        <color rgb="FF000000"/>
        <rFont val="Arial"/>
        <charset val="134"/>
      </rPr>
      <t>FAIR</t>
    </r>
  </si>
  <si>
    <r>
      <rPr>
        <sz val="9"/>
        <color rgb="FF000000"/>
        <rFont val="楷体"/>
        <charset val="134"/>
      </rPr>
      <t>法奥</t>
    </r>
    <r>
      <rPr>
        <sz val="9"/>
        <color rgb="FF000000"/>
        <rFont val="Arial"/>
        <charset val="134"/>
      </rPr>
      <t>FAIR</t>
    </r>
    <r>
      <rPr>
        <sz val="9"/>
        <color rgb="FF000000"/>
        <rFont val="楷体"/>
        <charset val="134"/>
      </rPr>
      <t>是一家实现全核心零部件自主研发的协作机器人公司，致力于为行业提供极致便利的深度智能系统解决方案，公司设计的自研减速机、伺服电机等核心部件获得了</t>
    </r>
    <r>
      <rPr>
        <sz val="9"/>
        <color rgb="FF000000"/>
        <rFont val="Arial"/>
        <charset val="134"/>
      </rPr>
      <t>3C</t>
    </r>
    <r>
      <rPr>
        <sz val="9"/>
        <color rgb="FF000000"/>
        <rFont val="楷体"/>
        <charset val="134"/>
      </rPr>
      <t>制造、工业、医疗、食品医药、康养等行业头部客户的认可。</t>
    </r>
  </si>
  <si>
    <t>法奥意威（苏州）机器人系统有限公司</t>
  </si>
  <si>
    <t>http://www.frtech.fr/</t>
  </si>
  <si>
    <t>2019-04</t>
  </si>
  <si>
    <r>
      <t>5000</t>
    </r>
    <r>
      <rPr>
        <sz val="9"/>
        <color rgb="FF000000"/>
        <rFont val="楷体"/>
        <charset val="134"/>
      </rPr>
      <t>万美元</t>
    </r>
  </si>
  <si>
    <r>
      <rPr>
        <sz val="9"/>
        <color rgb="FF000000"/>
        <rFont val="楷体"/>
        <charset val="134"/>
      </rPr>
      <t>阿里巴巴</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高瓴创投</t>
    </r>
  </si>
  <si>
    <r>
      <t>6.5</t>
    </r>
    <r>
      <rPr>
        <sz val="9"/>
        <color rgb="FF000000"/>
        <rFont val="楷体"/>
        <charset val="134"/>
      </rPr>
      <t>亿</t>
    </r>
  </si>
  <si>
    <r>
      <t>19.5</t>
    </r>
    <r>
      <rPr>
        <sz val="9"/>
        <color rgb="FF000000"/>
        <rFont val="楷体"/>
        <charset val="134"/>
      </rPr>
      <t>亿元</t>
    </r>
  </si>
  <si>
    <r>
      <rPr>
        <sz val="9"/>
        <color rgb="FF000000"/>
        <rFont val="楷体"/>
        <charset val="134"/>
      </rPr>
      <t>巩相峰</t>
    </r>
    <r>
      <rPr>
        <sz val="9"/>
        <color rgb="FF000000"/>
        <rFont val="Arial"/>
        <charset val="134"/>
      </rPr>
      <t>:</t>
    </r>
    <r>
      <rPr>
        <sz val="9"/>
        <color rgb="FF000000"/>
        <rFont val="楷体"/>
        <charset val="134"/>
      </rPr>
      <t>创始人</t>
    </r>
  </si>
  <si>
    <t>苏州市高新区竹园路209号</t>
  </si>
  <si>
    <t>0512-6731-3593</t>
  </si>
  <si>
    <t>frtech@frtech.fr</t>
  </si>
  <si>
    <t>顺为资本,钟鼎资本,高瓴创投</t>
  </si>
  <si>
    <t>顾思特汉堡</t>
  </si>
  <si>
    <t xml:space="preserve">顾思特汉堡是一家汉堡快餐品牌，将以往高大上的汉堡与国人喜欢的快餐相结合，既有汉堡的浓郁风味，又有快餐的便捷和平价，还消除了汉堡的油腻感，备受食客追捧。
</t>
  </si>
  <si>
    <t>安徽洪玮餐饮管理有限公司</t>
  </si>
  <si>
    <t>2019-12</t>
  </si>
  <si>
    <t>安徽-合肥</t>
  </si>
  <si>
    <t>光伟资本</t>
  </si>
  <si>
    <t>安徽省合肥市庐阳区蒙城北路2003号骏杰嘉和大厦商业102-3</t>
  </si>
  <si>
    <t>139-6638-5900</t>
  </si>
  <si>
    <t>1206064119@qq.com</t>
  </si>
  <si>
    <r>
      <rPr>
        <sz val="9"/>
        <color rgb="FF000000"/>
        <rFont val="楷体"/>
        <charset val="134"/>
      </rPr>
      <t>天使轮</t>
    </r>
  </si>
  <si>
    <r>
      <t>3000</t>
    </r>
    <r>
      <rPr>
        <sz val="9"/>
        <color rgb="FF000000"/>
        <rFont val="楷体"/>
        <charset val="134"/>
      </rPr>
      <t>万人民币</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</si>
  <si>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光伟资本</t>
    </r>
  </si>
  <si>
    <t>2022-07-12</t>
  </si>
  <si>
    <t>芯格诺微电子</t>
  </si>
  <si>
    <r>
      <rPr>
        <sz val="9"/>
        <color rgb="FF000000"/>
        <rFont val="楷体"/>
        <charset val="134"/>
      </rPr>
      <t>芯格诺微电子</t>
    </r>
  </si>
  <si>
    <r>
      <rPr>
        <sz val="9"/>
        <color rgb="FF000000"/>
        <rFont val="楷体"/>
        <charset val="134"/>
      </rPr>
      <t>芯格诺微电子是一家高性能数模混合信号芯片设计和研发企业，主要产品为无刷直流电机（</t>
    </r>
    <r>
      <rPr>
        <sz val="9"/>
        <color rgb="FF000000"/>
        <rFont val="Arial"/>
        <charset val="134"/>
      </rPr>
      <t>BLDC</t>
    </r>
    <r>
      <rPr>
        <sz val="9"/>
        <color rgb="FF000000"/>
        <rFont val="楷体"/>
        <charset val="134"/>
      </rPr>
      <t>）</t>
    </r>
    <r>
      <rPr>
        <sz val="9"/>
        <color rgb="FF000000"/>
        <rFont val="Arial"/>
        <charset val="134"/>
      </rPr>
      <t>/</t>
    </r>
    <r>
      <rPr>
        <sz val="9"/>
        <color rgb="FF000000"/>
        <rFont val="楷体"/>
        <charset val="134"/>
      </rPr>
      <t>永磁同步（</t>
    </r>
    <r>
      <rPr>
        <sz val="9"/>
        <color rgb="FF000000"/>
        <rFont val="Arial"/>
        <charset val="134"/>
      </rPr>
      <t>PMSM</t>
    </r>
    <r>
      <rPr>
        <sz val="9"/>
        <color rgb="FF000000"/>
        <rFont val="楷体"/>
        <charset val="134"/>
      </rPr>
      <t>）电机的控制和驱动芯片及高性能数控电源芯片等，可用于单相、三相电机的各种应用，例如家电、电动工具、电动车、风扇、泵、无人机、工业机器人、机械臂等。</t>
    </r>
  </si>
  <si>
    <t>北京芯格诺微电子有限公司</t>
  </si>
  <si>
    <t>https://www.x-signal.com/</t>
  </si>
  <si>
    <t>2020-09</t>
  </si>
  <si>
    <r>
      <t>IDG</t>
    </r>
    <r>
      <rPr>
        <sz val="9"/>
        <color rgb="FF000000"/>
        <rFont val="楷体"/>
        <charset val="134"/>
      </rPr>
      <t>资本</t>
    </r>
    <r>
      <rPr>
        <sz val="9"/>
        <color rgb="FF000000"/>
        <rFont val="Arial"/>
        <charset val="134"/>
      </rPr>
      <t>,</t>
    </r>
    <r>
      <rPr>
        <sz val="9"/>
        <color rgb="FF000000"/>
        <rFont val="楷体"/>
        <charset val="134"/>
      </rPr>
      <t>朗玛峰创投</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国汽投资</t>
    </r>
  </si>
  <si>
    <r>
      <t>1.6</t>
    </r>
    <r>
      <rPr>
        <sz val="9"/>
        <color rgb="FF000000"/>
        <rFont val="楷体"/>
        <charset val="134"/>
      </rPr>
      <t>亿</t>
    </r>
  </si>
  <si>
    <r>
      <rPr>
        <sz val="9"/>
        <color rgb="FF000000"/>
        <rFont val="楷体"/>
        <charset val="134"/>
      </rPr>
      <t>张建良</t>
    </r>
    <r>
      <rPr>
        <sz val="9"/>
        <color rgb="FF000000"/>
        <rFont val="Arial"/>
        <charset val="134"/>
      </rPr>
      <t>:CEO,</t>
    </r>
    <r>
      <rPr>
        <sz val="9"/>
        <color rgb="FF000000"/>
        <rFont val="楷体"/>
        <charset val="134"/>
      </rPr>
      <t>王乃龙</t>
    </r>
    <r>
      <rPr>
        <sz val="9"/>
        <color rgb="FF000000"/>
        <rFont val="Arial"/>
        <charset val="134"/>
      </rPr>
      <t>:CTO</t>
    </r>
  </si>
  <si>
    <t>北京市海淀区知春路1号17层1707A</t>
  </si>
  <si>
    <t>010-82086826</t>
  </si>
  <si>
    <t>support@x-signal.com;info@x-signal.com</t>
  </si>
  <si>
    <t>小米长江产业基金</t>
  </si>
  <si>
    <r>
      <t>IDG</t>
    </r>
    <r>
      <rPr>
        <sz val="9"/>
        <color rgb="FF000000"/>
        <rFont val="楷体"/>
        <charset val="134"/>
      </rPr>
      <t>资本</t>
    </r>
    <r>
      <rPr>
        <sz val="9"/>
        <color rgb="FF000000"/>
        <rFont val="Arial"/>
        <charset val="134"/>
      </rPr>
      <t>,</t>
    </r>
    <r>
      <rPr>
        <sz val="9"/>
        <color rgb="FF000000"/>
        <rFont val="楷体"/>
        <charset val="134"/>
      </rPr>
      <t>美团龙珠</t>
    </r>
  </si>
  <si>
    <t>2022-11-23</t>
  </si>
  <si>
    <t>细红线Thin Red Line</t>
  </si>
  <si>
    <r>
      <rPr>
        <sz val="9"/>
        <color rgb="FF000000"/>
        <rFont val="楷体"/>
        <charset val="134"/>
      </rPr>
      <t>细红线</t>
    </r>
    <r>
      <rPr>
        <sz val="9"/>
        <color rgb="FF000000"/>
        <rFont val="Arial"/>
        <charset val="134"/>
      </rPr>
      <t>Thin Red Line</t>
    </r>
  </si>
  <si>
    <r>
      <rPr>
        <sz val="9"/>
        <color rgb="FF000000"/>
        <rFont val="楷体"/>
        <charset val="134"/>
      </rPr>
      <t>细红线</t>
    </r>
    <r>
      <rPr>
        <sz val="9"/>
        <color rgb="FF000000"/>
        <rFont val="Arial"/>
        <charset val="134"/>
      </rPr>
      <t>Thin Red Line</t>
    </r>
    <r>
      <rPr>
        <sz val="9"/>
        <color rgb="FF000000"/>
        <rFont val="楷体"/>
        <charset val="134"/>
      </rPr>
      <t>是罗永浩成立的新公司，致力于</t>
    </r>
    <r>
      <rPr>
        <sz val="9"/>
        <color rgb="FF000000"/>
        <rFont val="Arial"/>
        <charset val="134"/>
      </rPr>
      <t>AR</t>
    </r>
    <r>
      <rPr>
        <sz val="9"/>
        <color rgb="FF000000"/>
        <rFont val="楷体"/>
        <charset val="134"/>
      </rPr>
      <t>赛道的软硬件机会。</t>
    </r>
  </si>
  <si>
    <t>北京细红线科技有限公司</t>
  </si>
  <si>
    <t>https://www.thinredline.com.cn/</t>
  </si>
  <si>
    <r>
      <t>AR/VR</t>
    </r>
    <r>
      <rPr>
        <sz val="9"/>
        <color rgb="FF000000"/>
        <rFont val="楷体"/>
        <charset val="134"/>
      </rPr>
      <t>设备</t>
    </r>
  </si>
  <si>
    <r>
      <rPr>
        <sz val="9"/>
        <color rgb="FF000000"/>
        <rFont val="楷体"/>
        <charset val="134"/>
      </rPr>
      <t>经纬创投</t>
    </r>
    <r>
      <rPr>
        <sz val="9"/>
        <color rgb="FF000000"/>
        <rFont val="Arial"/>
        <charset val="134"/>
      </rPr>
      <t>,</t>
    </r>
    <r>
      <rPr>
        <sz val="9"/>
        <color rgb="FF000000"/>
        <rFont val="楷体"/>
        <charset val="134"/>
      </rPr>
      <t>蓝驰创投</t>
    </r>
    <r>
      <rPr>
        <sz val="9"/>
        <color rgb="FF000000"/>
        <rFont val="Arial"/>
        <charset val="134"/>
      </rPr>
      <t>,</t>
    </r>
    <r>
      <rPr>
        <sz val="9"/>
        <color rgb="FF000000"/>
        <rFont val="楷体"/>
        <charset val="134"/>
      </rPr>
      <t>联想创投</t>
    </r>
    <r>
      <rPr>
        <sz val="9"/>
        <color rgb="FF000000"/>
        <rFont val="Arial"/>
        <charset val="134"/>
      </rPr>
      <t>,</t>
    </r>
    <r>
      <rPr>
        <sz val="9"/>
        <color rgb="FF000000"/>
        <rFont val="楷体"/>
        <charset val="134"/>
      </rPr>
      <t>黎万强</t>
    </r>
    <r>
      <rPr>
        <sz val="9"/>
        <color rgb="FF000000"/>
        <rFont val="Arial"/>
        <charset val="134"/>
      </rPr>
      <t>,</t>
    </r>
    <r>
      <rPr>
        <sz val="9"/>
        <color rgb="FF000000"/>
        <rFont val="楷体"/>
        <charset val="134"/>
      </rPr>
      <t>美团龙珠</t>
    </r>
    <r>
      <rPr>
        <sz val="9"/>
        <color rgb="FF000000"/>
        <rFont val="Arial"/>
        <charset val="134"/>
      </rPr>
      <t>,ATM Capital</t>
    </r>
    <r>
      <rPr>
        <sz val="9"/>
        <color rgb="FF000000"/>
        <rFont val="楷体"/>
        <charset val="134"/>
      </rPr>
      <t>亚洲科技媒体基金</t>
    </r>
    <r>
      <rPr>
        <sz val="9"/>
        <color rgb="FF000000"/>
        <rFont val="Arial"/>
        <charset val="134"/>
      </rPr>
      <t>,</t>
    </r>
    <r>
      <rPr>
        <sz val="9"/>
        <color rgb="FF000000"/>
        <rFont val="楷体"/>
        <charset val="134"/>
      </rPr>
      <t>大疆创新</t>
    </r>
    <r>
      <rPr>
        <sz val="9"/>
        <color rgb="FF000000"/>
        <rFont val="Arial"/>
        <charset val="134"/>
      </rPr>
      <t>,</t>
    </r>
    <r>
      <rPr>
        <sz val="9"/>
        <color rgb="FF000000"/>
        <rFont val="楷体"/>
        <charset val="134"/>
      </rPr>
      <t>吴泳铭</t>
    </r>
  </si>
  <si>
    <r>
      <t>3.25</t>
    </r>
    <r>
      <rPr>
        <sz val="9"/>
        <color rgb="FF000000"/>
        <rFont val="楷体"/>
        <charset val="134"/>
      </rPr>
      <t>亿</t>
    </r>
  </si>
  <si>
    <r>
      <t>13</t>
    </r>
    <r>
      <rPr>
        <sz val="9"/>
        <color rgb="FF000000"/>
        <rFont val="楷体"/>
        <charset val="134"/>
      </rPr>
      <t>亿元</t>
    </r>
  </si>
  <si>
    <r>
      <rPr>
        <sz val="9"/>
        <color rgb="FF000000"/>
        <rFont val="楷体"/>
        <charset val="134"/>
      </rPr>
      <t>罗永浩</t>
    </r>
    <r>
      <rPr>
        <sz val="9"/>
        <color rgb="FF000000"/>
        <rFont val="Arial"/>
        <charset val="134"/>
      </rPr>
      <t>:</t>
    </r>
    <r>
      <rPr>
        <sz val="9"/>
        <color rgb="FF000000"/>
        <rFont val="楷体"/>
        <charset val="134"/>
      </rPr>
      <t>创始人</t>
    </r>
  </si>
  <si>
    <t>北京市海淀区永丰路9号院3号楼A座2层中段377号</t>
  </si>
  <si>
    <t>010-84430255</t>
  </si>
  <si>
    <t>hr@thinredline.com.cn</t>
  </si>
  <si>
    <t>2022-09-15</t>
  </si>
  <si>
    <t>薛记炒货</t>
  </si>
  <si>
    <r>
      <rPr>
        <sz val="9"/>
        <color rgb="FF000000"/>
        <rFont val="楷体"/>
        <charset val="134"/>
      </rPr>
      <t>薛记炒货</t>
    </r>
  </si>
  <si>
    <r>
      <rPr>
        <sz val="9"/>
        <color rgb="FF000000"/>
        <rFont val="楷体"/>
        <charset val="134"/>
      </rPr>
      <t>薛记炒货是一个集坚果炒货的产品研发、生产和销售为一体的连锁品牌，主要经营现烤坚果、瓜子花生、果蔬干、果脯蜜饯、膨化食品等特色炒货产品。</t>
    </r>
  </si>
  <si>
    <t>山东薛氏农业科技有限公司</t>
  </si>
  <si>
    <r>
      <rPr>
        <sz val="9"/>
        <color rgb="FF000000"/>
        <rFont val="楷体"/>
        <charset val="134"/>
      </rPr>
      <t>山东</t>
    </r>
    <r>
      <rPr>
        <sz val="9"/>
        <color rgb="FF000000"/>
        <rFont val="Arial"/>
        <charset val="134"/>
      </rPr>
      <t>-</t>
    </r>
    <r>
      <rPr>
        <sz val="9"/>
        <color rgb="FF000000"/>
        <rFont val="楷体"/>
        <charset val="134"/>
      </rPr>
      <t>济南</t>
    </r>
  </si>
  <si>
    <r>
      <rPr>
        <sz val="9"/>
        <color rgb="FF000000"/>
        <rFont val="楷体"/>
        <charset val="134"/>
      </rPr>
      <t>启承资本</t>
    </r>
    <r>
      <rPr>
        <sz val="9"/>
        <color rgb="FF000000"/>
        <rFont val="Arial"/>
        <charset val="134"/>
      </rPr>
      <t>,</t>
    </r>
    <r>
      <rPr>
        <sz val="9"/>
        <color rgb="FF000000"/>
        <rFont val="楷体"/>
        <charset val="134"/>
      </rPr>
      <t>美团龙珠</t>
    </r>
  </si>
  <si>
    <r>
      <rPr>
        <sz val="9"/>
        <color rgb="FF000000"/>
        <rFont val="楷体"/>
        <charset val="134"/>
      </rPr>
      <t>薛兴柱</t>
    </r>
    <r>
      <rPr>
        <sz val="9"/>
        <color rgb="FF000000"/>
        <rFont val="Arial"/>
        <charset val="134"/>
      </rPr>
      <t>:CEO</t>
    </r>
  </si>
  <si>
    <t>山东省济南市市中区二七中街商住楼底层</t>
  </si>
  <si>
    <t xml:space="preserve"> 053-18276-6663</t>
  </si>
  <si>
    <t>xuejichaohuo@qq.com</t>
  </si>
  <si>
    <t>2017-04-24</t>
  </si>
  <si>
    <t>UniBike由你单车</t>
  </si>
  <si>
    <t>UniBike由你单车是一家校园共享单车服务商，从每一位大学生最基本的校园骑行需求出发，深耕校园市场。厦门大象单车科技有限公司旗下产品。</t>
  </si>
  <si>
    <t>厦门大象单车科技有限公司</t>
  </si>
  <si>
    <t>http://www.unibike.me/</t>
  </si>
  <si>
    <t>2016-06</t>
  </si>
  <si>
    <t>福建-厦门</t>
  </si>
  <si>
    <t>1.05亿</t>
  </si>
  <si>
    <t>金吉晖 :创始人,金吉辉:创始人</t>
  </si>
  <si>
    <t>象屿路97号厦门国际航运中心D栋8层05单元X</t>
  </si>
  <si>
    <t>contact@unibike.me</t>
  </si>
  <si>
    <t>2018-03-01</t>
  </si>
  <si>
    <t>展卷科技</t>
  </si>
  <si>
    <t>展卷科技是一家为城市通勤提供解决方案的公司，公司致力于解决现代城市的交通问题，目前公司的主要业务为公共交通系统的研发及推广，公司产品有“何在”，一款提供公交实时数据的APP。</t>
  </si>
  <si>
    <t>上海展卷信息科技有限公司</t>
  </si>
  <si>
    <t>http://www.wakfo.com/</t>
  </si>
  <si>
    <t>2500万</t>
  </si>
  <si>
    <t>罗安:CEO</t>
  </si>
  <si>
    <t xml:space="preserve">朱枫公路3424号1幢2层P区210室 </t>
  </si>
  <si>
    <t>021-6353-6693</t>
  </si>
  <si>
    <t>1464973542@qq.com</t>
  </si>
  <si>
    <t>杭州超轶资产</t>
  </si>
  <si>
    <r>
      <rPr>
        <b/>
        <sz val="9"/>
        <color rgb="FF000000"/>
        <rFont val="楷体"/>
        <charset val="134"/>
      </rPr>
      <t>工商名称</t>
    </r>
  </si>
  <si>
    <r>
      <rPr>
        <b/>
        <sz val="9"/>
        <color rgb="FF000000"/>
        <rFont val="楷体"/>
        <charset val="134"/>
      </rPr>
      <t>公司网址</t>
    </r>
  </si>
  <si>
    <r>
      <rPr>
        <b/>
        <sz val="9"/>
        <color rgb="FF000000"/>
        <rFont val="楷体"/>
        <charset val="134"/>
      </rPr>
      <t>详细地址</t>
    </r>
  </si>
  <si>
    <r>
      <rPr>
        <b/>
        <sz val="9"/>
        <color rgb="FF000000"/>
        <rFont val="楷体"/>
        <charset val="134"/>
      </rPr>
      <t>公开电话</t>
    </r>
  </si>
  <si>
    <r>
      <rPr>
        <b/>
        <sz val="9"/>
        <color rgb="FF000000"/>
        <rFont val="楷体"/>
        <charset val="134"/>
      </rPr>
      <t>公开邮箱</t>
    </r>
  </si>
  <si>
    <r>
      <rPr>
        <sz val="9"/>
        <color rgb="FF000000"/>
        <rFont val="楷体"/>
        <charset val="134"/>
      </rPr>
      <t>遥控餐厅</t>
    </r>
  </si>
  <si>
    <r>
      <rPr>
        <sz val="9"/>
        <color rgb="FF000000"/>
        <rFont val="楷体"/>
        <charset val="134"/>
      </rPr>
      <t>遥控餐厅（遥遥排队）是一款基于移动互联网，集排队、点菜、预订、优惠、营销、会员于一体的，由商家和客户共同参与的餐饮服务管理系统。北京我遥我控科技有限公司旗下产品。</t>
    </r>
  </si>
  <si>
    <r>
      <rPr>
        <sz val="9"/>
        <color rgb="FF000000"/>
        <rFont val="楷体"/>
        <charset val="134"/>
      </rPr>
      <t>北京我遥我控科技有限公司</t>
    </r>
  </si>
  <si>
    <r>
      <rPr>
        <sz val="9"/>
        <color rgb="FF000000"/>
        <rFont val="楷体"/>
        <charset val="134"/>
      </rPr>
      <t>并购</t>
    </r>
  </si>
  <si>
    <r>
      <t>300</t>
    </r>
    <r>
      <rPr>
        <sz val="9"/>
        <color rgb="FF000000"/>
        <rFont val="楷体"/>
        <charset val="134"/>
      </rPr>
      <t>万</t>
    </r>
  </si>
  <si>
    <r>
      <rPr>
        <sz val="9"/>
        <color rgb="FF000000"/>
        <rFont val="楷体"/>
        <charset val="134"/>
      </rPr>
      <t>王哲</t>
    </r>
    <r>
      <rPr>
        <sz val="9"/>
        <color rgb="FF000000"/>
        <rFont val="Arial"/>
        <charset val="134"/>
      </rPr>
      <t>:CEO</t>
    </r>
  </si>
  <si>
    <r>
      <rPr>
        <sz val="9"/>
        <color rgb="FF000000"/>
        <rFont val="楷体"/>
        <charset val="134"/>
      </rPr>
      <t>北京市海淀区五道口华清嘉园</t>
    </r>
    <r>
      <rPr>
        <sz val="9"/>
        <color rgb="FF000000"/>
        <rFont val="Arial"/>
        <charset val="134"/>
      </rPr>
      <t>10</t>
    </r>
    <r>
      <rPr>
        <sz val="9"/>
        <color rgb="FF000000"/>
        <rFont val="楷体"/>
        <charset val="134"/>
      </rPr>
      <t>号楼</t>
    </r>
    <r>
      <rPr>
        <sz val="9"/>
        <color rgb="FF000000"/>
        <rFont val="Arial"/>
        <charset val="134"/>
      </rPr>
      <t>1203</t>
    </r>
    <r>
      <rPr>
        <sz val="9"/>
        <color rgb="FF000000"/>
        <rFont val="楷体"/>
        <charset val="134"/>
      </rPr>
      <t>室</t>
    </r>
  </si>
  <si>
    <r>
      <rPr>
        <sz val="9"/>
        <color rgb="FF000000"/>
        <rFont val="楷体"/>
        <charset val="134"/>
      </rPr>
      <t>数百万人民币</t>
    </r>
  </si>
  <si>
    <r>
      <rPr>
        <sz val="9"/>
        <color rgb="FF000000"/>
        <rFont val="楷体"/>
        <charset val="134"/>
      </rPr>
      <t>联想之星</t>
    </r>
  </si>
  <si>
    <r>
      <rPr>
        <sz val="9"/>
        <color rgb="FF000000"/>
        <rFont val="楷体"/>
        <charset val="134"/>
      </rPr>
      <t>智慧图</t>
    </r>
  </si>
  <si>
    <r>
      <rPr>
        <sz val="9"/>
        <color rgb="FF000000"/>
        <rFont val="楷体"/>
        <charset val="134"/>
      </rPr>
      <t>智慧图是国内领先的实体商业数字化升级、数字化运营服务商，为购物中心、百货商场、机场等大型实体商业综合体提供完善的智慧商业解决方案，为广大消费者，创造线上线下一体化的全新购物体验。作为购百零售业数字化转型升级的</t>
    </r>
    <r>
      <rPr>
        <sz val="9"/>
        <color rgb="FF000000"/>
        <rFont val="Arial"/>
        <charset val="134"/>
      </rPr>
      <t>“</t>
    </r>
    <r>
      <rPr>
        <sz val="9"/>
        <color rgb="FF000000"/>
        <rFont val="楷体"/>
        <charset val="134"/>
      </rPr>
      <t>合伙人</t>
    </r>
    <r>
      <rPr>
        <sz val="9"/>
        <color rgb="FF000000"/>
        <rFont val="Arial"/>
        <charset val="134"/>
      </rPr>
      <t>”/</t>
    </r>
    <r>
      <rPr>
        <sz val="9"/>
        <color rgb="FF000000"/>
        <rFont val="楷体"/>
        <charset val="134"/>
      </rPr>
      <t>贴身伙伴，帮助实体商业实现用户数字化、场景数字化、商品数字化、运营数字化，打造线上线下一体化经营场景和运营体系。</t>
    </r>
  </si>
  <si>
    <r>
      <rPr>
        <sz val="9"/>
        <color rgb="FF000000"/>
        <rFont val="楷体"/>
        <charset val="134"/>
      </rPr>
      <t>北京智慧图科技有限责任公司</t>
    </r>
  </si>
  <si>
    <r>
      <rPr>
        <sz val="9"/>
        <color rgb="FF000000"/>
        <rFont val="楷体"/>
        <charset val="134"/>
      </rPr>
      <t>销售营销</t>
    </r>
  </si>
  <si>
    <r>
      <rPr>
        <sz val="9"/>
        <color rgb="FF000000"/>
        <rFont val="楷体"/>
        <charset val="134"/>
      </rPr>
      <t>华金资本</t>
    </r>
    <r>
      <rPr>
        <sz val="9"/>
        <color rgb="FF000000"/>
        <rFont val="Arial"/>
        <charset val="134"/>
      </rPr>
      <t>(</t>
    </r>
    <r>
      <rPr>
        <sz val="9"/>
        <color rgb="FF000000"/>
        <rFont val="楷体"/>
        <charset val="134"/>
      </rPr>
      <t>力合股份</t>
    </r>
    <r>
      <rPr>
        <sz val="9"/>
        <color rgb="FF000000"/>
        <rFont val="Arial"/>
        <charset val="134"/>
      </rPr>
      <t>),</t>
    </r>
    <r>
      <rPr>
        <sz val="9"/>
        <color rgb="FF000000"/>
        <rFont val="楷体"/>
        <charset val="134"/>
      </rPr>
      <t>国投创业</t>
    </r>
    <r>
      <rPr>
        <sz val="9"/>
        <color rgb="FF000000"/>
        <rFont val="Arial"/>
        <charset val="134"/>
      </rPr>
      <t>,</t>
    </r>
    <r>
      <rPr>
        <sz val="9"/>
        <color rgb="FF000000"/>
        <rFont val="楷体"/>
        <charset val="134"/>
      </rPr>
      <t>腾讯云</t>
    </r>
  </si>
  <si>
    <r>
      <t>4.65</t>
    </r>
    <r>
      <rPr>
        <sz val="9"/>
        <color rgb="FF000000"/>
        <rFont val="楷体"/>
        <charset val="134"/>
      </rPr>
      <t>亿</t>
    </r>
  </si>
  <si>
    <r>
      <rPr>
        <sz val="9"/>
        <color rgb="FF000000"/>
        <rFont val="楷体"/>
        <charset val="134"/>
      </rPr>
      <t>欧阳</t>
    </r>
    <r>
      <rPr>
        <sz val="9"/>
        <color rgb="FF000000"/>
        <rFont val="Arial"/>
        <charset val="134"/>
      </rPr>
      <t>:CEO,</t>
    </r>
    <r>
      <rPr>
        <sz val="9"/>
        <color rgb="FF000000"/>
        <rFont val="楷体"/>
        <charset val="134"/>
      </rPr>
      <t>王蒙</t>
    </r>
    <r>
      <rPr>
        <sz val="9"/>
        <color rgb="FF000000"/>
        <rFont val="Arial"/>
        <charset val="134"/>
      </rPr>
      <t>:COO,</t>
    </r>
    <r>
      <rPr>
        <sz val="9"/>
        <color rgb="FF000000"/>
        <rFont val="楷体"/>
        <charset val="134"/>
      </rPr>
      <t>傅海波</t>
    </r>
    <r>
      <rPr>
        <sz val="9"/>
        <color rgb="FF000000"/>
        <rFont val="Arial"/>
        <charset val="134"/>
      </rPr>
      <t>:</t>
    </r>
    <r>
      <rPr>
        <sz val="9"/>
        <color rgb="FF000000"/>
        <rFont val="楷体"/>
        <charset val="134"/>
      </rPr>
      <t>联合创始人</t>
    </r>
    <r>
      <rPr>
        <sz val="9"/>
        <color rgb="FF000000"/>
        <rFont val="Arial"/>
        <charset val="134"/>
      </rPr>
      <t>&amp;COO</t>
    </r>
  </si>
  <si>
    <r>
      <rPr>
        <sz val="9"/>
        <color rgb="FF000000"/>
        <rFont val="楷体"/>
        <charset val="134"/>
      </rPr>
      <t>北京市海淀区知春路</t>
    </r>
    <r>
      <rPr>
        <sz val="9"/>
        <color rgb="FF000000"/>
        <rFont val="Arial"/>
        <charset val="134"/>
      </rPr>
      <t>7</t>
    </r>
    <r>
      <rPr>
        <sz val="9"/>
        <color rgb="FF000000"/>
        <rFont val="楷体"/>
        <charset val="134"/>
      </rPr>
      <t>号致真大厦</t>
    </r>
    <r>
      <rPr>
        <sz val="9"/>
        <color rgb="FF000000"/>
        <rFont val="Arial"/>
        <charset val="134"/>
      </rPr>
      <t>C</t>
    </r>
    <r>
      <rPr>
        <sz val="9"/>
        <color rgb="FF000000"/>
        <rFont val="楷体"/>
        <charset val="134"/>
      </rPr>
      <t>座</t>
    </r>
    <r>
      <rPr>
        <sz val="9"/>
        <color rgb="FF000000"/>
        <rFont val="Arial"/>
        <charset val="134"/>
      </rPr>
      <t>10</t>
    </r>
    <r>
      <rPr>
        <sz val="9"/>
        <color rgb="FF000000"/>
        <rFont val="楷体"/>
        <charset val="134"/>
      </rPr>
      <t>层</t>
    </r>
  </si>
  <si>
    <r>
      <rPr>
        <sz val="9"/>
        <color rgb="FF000000"/>
        <rFont val="楷体"/>
        <charset val="134"/>
      </rPr>
      <t>东方富海</t>
    </r>
    <r>
      <rPr>
        <sz val="9"/>
        <color rgb="FF000000"/>
        <rFont val="Arial"/>
        <charset val="134"/>
      </rPr>
      <t>,</t>
    </r>
    <r>
      <rPr>
        <sz val="9"/>
        <color rgb="FF000000"/>
        <rFont val="楷体"/>
        <charset val="134"/>
      </rPr>
      <t>美团</t>
    </r>
  </si>
  <si>
    <r>
      <t>2000</t>
    </r>
    <r>
      <rPr>
        <sz val="9"/>
        <color rgb="FF000000"/>
        <rFont val="楷体"/>
        <charset val="134"/>
      </rPr>
      <t>万人民币</t>
    </r>
  </si>
  <si>
    <r>
      <rPr>
        <sz val="9"/>
        <color rgb="FF000000"/>
        <rFont val="楷体"/>
        <charset val="134"/>
      </rPr>
      <t>辉煌科技</t>
    </r>
  </si>
  <si>
    <r>
      <rPr>
        <sz val="9"/>
        <color rgb="FF000000"/>
        <rFont val="楷体"/>
        <charset val="134"/>
      </rPr>
      <t>奇虎</t>
    </r>
    <r>
      <rPr>
        <sz val="9"/>
        <color rgb="FF000000"/>
        <rFont val="Arial"/>
        <charset val="134"/>
      </rPr>
      <t>360,</t>
    </r>
    <r>
      <rPr>
        <sz val="9"/>
        <color rgb="FF000000"/>
        <rFont val="楷体"/>
        <charset val="134"/>
      </rPr>
      <t>东方富海</t>
    </r>
    <r>
      <rPr>
        <sz val="9"/>
        <color rgb="FF000000"/>
        <rFont val="Arial"/>
        <charset val="134"/>
      </rPr>
      <t>,</t>
    </r>
    <r>
      <rPr>
        <sz val="9"/>
        <color rgb="FF000000"/>
        <rFont val="楷体"/>
        <charset val="134"/>
      </rPr>
      <t>北京中关村创投</t>
    </r>
  </si>
  <si>
    <r>
      <rPr>
        <sz val="9"/>
        <color rgb="FF000000"/>
        <rFont val="楷体"/>
        <charset val="134"/>
      </rPr>
      <t>数千万美元</t>
    </r>
  </si>
  <si>
    <r>
      <rPr>
        <sz val="9"/>
        <color rgb="FF000000"/>
        <rFont val="楷体"/>
        <charset val="134"/>
      </rPr>
      <t>宽带资本</t>
    </r>
    <r>
      <rPr>
        <sz val="9"/>
        <color rgb="FF000000"/>
        <rFont val="Arial"/>
        <charset val="134"/>
      </rPr>
      <t>CBC,</t>
    </r>
    <r>
      <rPr>
        <sz val="9"/>
        <color rgb="FF000000"/>
        <rFont val="楷体"/>
        <charset val="134"/>
      </rPr>
      <t>云启资本</t>
    </r>
  </si>
  <si>
    <r>
      <rPr>
        <sz val="9"/>
        <color rgb="FF000000"/>
        <rFont val="楷体"/>
        <charset val="134"/>
      </rPr>
      <t>数百万美元</t>
    </r>
  </si>
  <si>
    <r>
      <rPr>
        <sz val="9"/>
        <color rgb="FF000000"/>
        <rFont val="楷体"/>
        <charset val="134"/>
      </rPr>
      <t>经纬创投</t>
    </r>
  </si>
  <si>
    <r>
      <t>K</t>
    </r>
    <r>
      <rPr>
        <sz val="9"/>
        <color rgb="FF000000"/>
        <rFont val="楷体"/>
        <charset val="134"/>
      </rPr>
      <t>米</t>
    </r>
  </si>
  <si>
    <r>
      <t>K</t>
    </r>
    <r>
      <rPr>
        <sz val="9"/>
        <color rgb="FF000000"/>
        <rFont val="楷体"/>
        <charset val="134"/>
      </rPr>
      <t>米是一个</t>
    </r>
    <r>
      <rPr>
        <sz val="9"/>
        <color rgb="FF000000"/>
        <rFont val="Arial"/>
        <charset val="134"/>
      </rPr>
      <t>KTV</t>
    </r>
    <r>
      <rPr>
        <sz val="9"/>
        <color rgb="FF000000"/>
        <rFont val="楷体"/>
        <charset val="134"/>
      </rPr>
      <t>在线点歌及</t>
    </r>
    <r>
      <rPr>
        <sz val="9"/>
        <color rgb="FF000000"/>
        <rFont val="Arial"/>
        <charset val="134"/>
      </rPr>
      <t>K</t>
    </r>
    <r>
      <rPr>
        <sz val="9"/>
        <color rgb="FF000000"/>
        <rFont val="楷体"/>
        <charset val="134"/>
      </rPr>
      <t>歌直播服务平台，主要业务包括通过旗下的</t>
    </r>
    <r>
      <rPr>
        <sz val="9"/>
        <color rgb="FF000000"/>
        <rFont val="Arial"/>
        <charset val="134"/>
      </rPr>
      <t>APP</t>
    </r>
    <r>
      <rPr>
        <sz val="9"/>
        <color rgb="FF000000"/>
        <rFont val="楷体"/>
        <charset val="134"/>
      </rPr>
      <t>进行</t>
    </r>
    <r>
      <rPr>
        <sz val="9"/>
        <color rgb="FF000000"/>
        <rFont val="Arial"/>
        <charset val="134"/>
      </rPr>
      <t>KTV</t>
    </r>
    <r>
      <rPr>
        <sz val="9"/>
        <color rgb="FF000000"/>
        <rFont val="楷体"/>
        <charset val="134"/>
      </rPr>
      <t>点歌、</t>
    </r>
    <r>
      <rPr>
        <sz val="9"/>
        <color rgb="FF000000"/>
        <rFont val="Arial"/>
        <charset val="134"/>
      </rPr>
      <t>K</t>
    </r>
    <r>
      <rPr>
        <sz val="9"/>
        <color rgb="FF000000"/>
        <rFont val="楷体"/>
        <charset val="134"/>
      </rPr>
      <t>歌直播、包厢预订以及超市酒水食品购买等。并且用户可以通过</t>
    </r>
    <r>
      <rPr>
        <sz val="9"/>
        <color rgb="FF000000"/>
        <rFont val="Arial"/>
        <charset val="134"/>
      </rPr>
      <t>K</t>
    </r>
    <r>
      <rPr>
        <sz val="9"/>
        <color rgb="FF000000"/>
        <rFont val="楷体"/>
        <charset val="134"/>
      </rPr>
      <t>歌的方式在平台上进行社交。同时该公司还未商户提供智能娱乐终端等产品。</t>
    </r>
  </si>
  <si>
    <r>
      <rPr>
        <sz val="9"/>
        <color rgb="FF000000"/>
        <rFont val="楷体"/>
        <charset val="134"/>
      </rPr>
      <t>福建凯米网络科技有限公司</t>
    </r>
  </si>
  <si>
    <r>
      <rPr>
        <sz val="9"/>
        <color rgb="FF000000"/>
        <rFont val="楷体"/>
        <charset val="134"/>
      </rPr>
      <t>福建</t>
    </r>
    <r>
      <rPr>
        <sz val="9"/>
        <color rgb="FF000000"/>
        <rFont val="Arial"/>
        <charset val="134"/>
      </rPr>
      <t>-</t>
    </r>
    <r>
      <rPr>
        <sz val="9"/>
        <color rgb="FF000000"/>
        <rFont val="楷体"/>
        <charset val="134"/>
      </rPr>
      <t>福州</t>
    </r>
  </si>
  <si>
    <r>
      <rPr>
        <sz val="9"/>
        <color rgb="FF000000"/>
        <rFont val="楷体"/>
        <charset val="134"/>
      </rPr>
      <t>综合文娱</t>
    </r>
  </si>
  <si>
    <r>
      <t>1.2</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</si>
  <si>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中科招商</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德屹资本</t>
    </r>
    <r>
      <rPr>
        <sz val="9"/>
        <color rgb="FF000000"/>
        <rFont val="Arial"/>
        <charset val="134"/>
      </rPr>
      <t>,</t>
    </r>
    <r>
      <rPr>
        <sz val="9"/>
        <color rgb="FF000000"/>
        <rFont val="楷体"/>
        <charset val="134"/>
      </rPr>
      <t>中科科创</t>
    </r>
  </si>
  <si>
    <r>
      <t>1.26</t>
    </r>
    <r>
      <rPr>
        <sz val="9"/>
        <color rgb="FF000000"/>
        <rFont val="楷体"/>
        <charset val="134"/>
      </rPr>
      <t>亿</t>
    </r>
  </si>
  <si>
    <r>
      <t>6</t>
    </r>
    <r>
      <rPr>
        <sz val="9"/>
        <color rgb="FF000000"/>
        <rFont val="楷体"/>
        <charset val="134"/>
      </rPr>
      <t>亿元</t>
    </r>
  </si>
  <si>
    <r>
      <rPr>
        <sz val="9"/>
        <color rgb="FF000000"/>
        <rFont val="楷体"/>
        <charset val="134"/>
      </rPr>
      <t>林剑宇</t>
    </r>
    <r>
      <rPr>
        <sz val="9"/>
        <color rgb="FF000000"/>
        <rFont val="Arial"/>
        <charset val="134"/>
      </rPr>
      <t>:CEO</t>
    </r>
  </si>
  <si>
    <r>
      <rPr>
        <sz val="9"/>
        <color rgb="FF000000"/>
        <rFont val="楷体"/>
        <charset val="134"/>
      </rPr>
      <t>福建省福州市仓山区城门镇南江滨西大道</t>
    </r>
    <r>
      <rPr>
        <sz val="9"/>
        <color rgb="FF000000"/>
        <rFont val="Arial"/>
        <charset val="134"/>
      </rPr>
      <t>198</t>
    </r>
    <r>
      <rPr>
        <sz val="9"/>
        <color rgb="FF000000"/>
        <rFont val="楷体"/>
        <charset val="134"/>
      </rPr>
      <t>号福州海峡国际会展中心地下一层东区办公中心</t>
    </r>
    <r>
      <rPr>
        <sz val="9"/>
        <color rgb="FF000000"/>
        <rFont val="Arial"/>
        <charset val="134"/>
      </rPr>
      <t>A-029</t>
    </r>
    <r>
      <rPr>
        <sz val="9"/>
        <color rgb="FF000000"/>
        <rFont val="楷体"/>
        <charset val="134"/>
      </rPr>
      <t>号</t>
    </r>
  </si>
  <si>
    <r>
      <t>500</t>
    </r>
    <r>
      <rPr>
        <sz val="9"/>
        <color rgb="FF000000"/>
        <rFont val="楷体"/>
        <charset val="134"/>
      </rPr>
      <t>万人民币</t>
    </r>
  </si>
  <si>
    <r>
      <rPr>
        <sz val="9"/>
        <color rgb="FF000000"/>
        <rFont val="楷体"/>
        <charset val="134"/>
      </rPr>
      <t>谦石投资</t>
    </r>
  </si>
  <si>
    <r>
      <rPr>
        <sz val="9"/>
        <color rgb="FF000000"/>
        <rFont val="楷体"/>
        <charset val="134"/>
      </rPr>
      <t>华创资本</t>
    </r>
  </si>
  <si>
    <r>
      <rPr>
        <sz val="9"/>
        <color rgb="FF000000"/>
        <rFont val="楷体"/>
        <charset val="134"/>
      </rPr>
      <t>猫眼娱乐</t>
    </r>
  </si>
  <si>
    <r>
      <rPr>
        <sz val="9"/>
        <color rgb="FF000000"/>
        <rFont val="楷体"/>
        <charset val="134"/>
      </rPr>
      <t>猫眼娱乐是中国提供创新互联网赋能娱乐服务的领先平台，提供在线娱乐票务服务、娱乐内容服务、娱乐电商服务、广告服务及其他。</t>
    </r>
  </si>
  <si>
    <r>
      <rPr>
        <sz val="9"/>
        <color rgb="FF000000"/>
        <rFont val="楷体"/>
        <charset val="134"/>
      </rPr>
      <t>北京猫眼文化传媒有限公司</t>
    </r>
  </si>
  <si>
    <r>
      <rPr>
        <sz val="9"/>
        <color rgb="FF000000"/>
        <rFont val="楷体"/>
        <charset val="134"/>
      </rPr>
      <t>北京</t>
    </r>
    <r>
      <rPr>
        <sz val="9"/>
        <color rgb="FF000000"/>
        <rFont val="Arial"/>
        <charset val="134"/>
      </rPr>
      <t>-</t>
    </r>
    <r>
      <rPr>
        <sz val="9"/>
        <color rgb="FF000000"/>
        <rFont val="楷体"/>
        <charset val="134"/>
      </rPr>
      <t>东城区</t>
    </r>
  </si>
  <si>
    <r>
      <rPr>
        <sz val="9"/>
        <color rgb="FF000000"/>
        <rFont val="楷体"/>
        <charset val="134"/>
      </rPr>
      <t>影视</t>
    </r>
  </si>
  <si>
    <r>
      <t>IPO</t>
    </r>
    <r>
      <rPr>
        <sz val="9"/>
        <color rgb="FF000000"/>
        <rFont val="楷体"/>
        <charset val="134"/>
      </rPr>
      <t>上市后</t>
    </r>
  </si>
  <si>
    <r>
      <rPr>
        <sz val="9"/>
        <color rgb="FF000000"/>
        <rFont val="楷体"/>
        <charset val="134"/>
      </rPr>
      <t>方源资本</t>
    </r>
    <r>
      <rPr>
        <sz val="9"/>
        <color rgb="FF000000"/>
        <rFont val="Arial"/>
        <charset val="134"/>
      </rPr>
      <t>,</t>
    </r>
    <r>
      <rPr>
        <sz val="9"/>
        <color rgb="FF000000"/>
        <rFont val="楷体"/>
        <charset val="134"/>
      </rPr>
      <t>郑志昊</t>
    </r>
  </si>
  <si>
    <r>
      <t>84.44</t>
    </r>
    <r>
      <rPr>
        <sz val="9"/>
        <color rgb="FF000000"/>
        <rFont val="楷体"/>
        <charset val="134"/>
      </rPr>
      <t>亿</t>
    </r>
  </si>
  <si>
    <r>
      <rPr>
        <sz val="9"/>
        <color rgb="FF000000"/>
        <rFont val="楷体"/>
        <charset val="134"/>
      </rPr>
      <t>郑志昊</t>
    </r>
    <r>
      <rPr>
        <sz val="9"/>
        <color rgb="FF000000"/>
        <rFont val="Arial"/>
        <charset val="134"/>
      </rPr>
      <t>:</t>
    </r>
    <r>
      <rPr>
        <sz val="9"/>
        <color rgb="FF000000"/>
        <rFont val="楷体"/>
        <charset val="134"/>
      </rPr>
      <t>执行董事兼首席执行官</t>
    </r>
    <r>
      <rPr>
        <sz val="9"/>
        <color rgb="FF000000"/>
        <rFont val="Arial"/>
        <charset val="134"/>
      </rPr>
      <t>,</t>
    </r>
    <r>
      <rPr>
        <sz val="9"/>
        <color rgb="FF000000"/>
        <rFont val="楷体"/>
        <charset val="134"/>
      </rPr>
      <t>施康平</t>
    </r>
    <r>
      <rPr>
        <sz val="9"/>
        <color rgb="FF000000"/>
        <rFont val="Arial"/>
        <charset val="134"/>
      </rPr>
      <t>:</t>
    </r>
    <r>
      <rPr>
        <sz val="9"/>
        <color rgb="FF000000"/>
        <rFont val="楷体"/>
        <charset val="134"/>
      </rPr>
      <t>首席财务官</t>
    </r>
    <r>
      <rPr>
        <sz val="9"/>
        <color rgb="FF000000"/>
        <rFont val="Arial"/>
        <charset val="134"/>
      </rPr>
      <t>,</t>
    </r>
    <r>
      <rPr>
        <sz val="9"/>
        <color rgb="FF000000"/>
        <rFont val="楷体"/>
        <charset val="134"/>
      </rPr>
      <t>康利</t>
    </r>
    <r>
      <rPr>
        <sz val="9"/>
        <color rgb="FF000000"/>
        <rFont val="Arial"/>
        <charset val="134"/>
      </rPr>
      <t>:</t>
    </r>
    <r>
      <rPr>
        <sz val="9"/>
        <color rgb="FF000000"/>
        <rFont val="楷体"/>
        <charset val="134"/>
      </rPr>
      <t>首席运营官</t>
    </r>
    <r>
      <rPr>
        <sz val="9"/>
        <color rgb="FF000000"/>
        <rFont val="Arial"/>
        <charset val="134"/>
      </rPr>
      <t>,</t>
    </r>
    <r>
      <rPr>
        <sz val="9"/>
        <color rgb="FF000000"/>
        <rFont val="楷体"/>
        <charset val="134"/>
      </rPr>
      <t>顾思斌</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王牮</t>
    </r>
    <r>
      <rPr>
        <sz val="9"/>
        <color rgb="FF000000"/>
        <rFont val="Arial"/>
        <charset val="134"/>
      </rPr>
      <t>:</t>
    </r>
    <r>
      <rPr>
        <sz val="9"/>
        <color rgb="FF000000"/>
        <rFont val="楷体"/>
        <charset val="134"/>
      </rPr>
      <t>董事长</t>
    </r>
  </si>
  <si>
    <r>
      <rPr>
        <sz val="9"/>
        <color rgb="FF000000"/>
        <rFont val="楷体"/>
        <charset val="134"/>
      </rPr>
      <t>北京市东城区和平里西街</t>
    </r>
    <r>
      <rPr>
        <sz val="9"/>
        <color rgb="FF000000"/>
        <rFont val="Arial"/>
        <charset val="134"/>
      </rPr>
      <t>11</t>
    </r>
    <r>
      <rPr>
        <sz val="9"/>
        <color rgb="FF000000"/>
        <rFont val="楷体"/>
        <charset val="134"/>
      </rPr>
      <t>号</t>
    </r>
  </si>
  <si>
    <r>
      <t>IPO</t>
    </r>
    <r>
      <rPr>
        <sz val="9"/>
        <color rgb="FF000000"/>
        <rFont val="楷体"/>
        <charset val="134"/>
      </rPr>
      <t>上市</t>
    </r>
  </si>
  <si>
    <r>
      <t>16</t>
    </r>
    <r>
      <rPr>
        <sz val="9"/>
        <color rgb="FF000000"/>
        <rFont val="楷体"/>
        <charset val="134"/>
      </rPr>
      <t>亿港元</t>
    </r>
  </si>
  <si>
    <r>
      <rPr>
        <sz val="9"/>
        <color rgb="FF000000"/>
        <rFont val="楷体"/>
        <charset val="134"/>
      </rPr>
      <t>腾讯投资</t>
    </r>
  </si>
  <si>
    <r>
      <rPr>
        <sz val="9"/>
        <color rgb="FF000000"/>
        <rFont val="楷体"/>
        <charset val="134"/>
      </rPr>
      <t>合并</t>
    </r>
  </si>
  <si>
    <r>
      <rPr>
        <sz val="9"/>
        <color rgb="FF000000"/>
        <rFont val="楷体"/>
        <charset val="134"/>
      </rPr>
      <t>微影时代</t>
    </r>
  </si>
  <si>
    <r>
      <rPr>
        <sz val="9"/>
        <color rgb="FF000000"/>
        <rFont val="楷体"/>
        <charset val="134"/>
      </rPr>
      <t>光线传媒</t>
    </r>
  </si>
  <si>
    <r>
      <t>47.64</t>
    </r>
    <r>
      <rPr>
        <sz val="9"/>
        <color rgb="FF000000"/>
        <rFont val="楷体"/>
        <charset val="134"/>
      </rPr>
      <t>亿人民币</t>
    </r>
  </si>
  <si>
    <r>
      <rPr>
        <sz val="9"/>
        <color rgb="FF000000"/>
        <rFont val="楷体"/>
        <charset val="134"/>
      </rPr>
      <t>北京多来点信息技术有限公司</t>
    </r>
  </si>
  <si>
    <r>
      <rPr>
        <sz val="9"/>
        <color rgb="FF000000"/>
        <rFont val="楷体"/>
        <charset val="134"/>
      </rPr>
      <t>北京市门头沟区石龙经济开发区永安路</t>
    </r>
    <r>
      <rPr>
        <sz val="9"/>
        <color rgb="FF000000"/>
        <rFont val="Arial"/>
        <charset val="134"/>
      </rPr>
      <t>20</t>
    </r>
    <r>
      <rPr>
        <sz val="9"/>
        <color rgb="FF000000"/>
        <rFont val="楷体"/>
        <charset val="134"/>
      </rPr>
      <t>号</t>
    </r>
    <r>
      <rPr>
        <sz val="9"/>
        <color rgb="FF000000"/>
        <rFont val="Arial"/>
        <charset val="134"/>
      </rPr>
      <t>3</t>
    </r>
    <r>
      <rPr>
        <sz val="9"/>
        <color rgb="FF000000"/>
        <rFont val="楷体"/>
        <charset val="134"/>
      </rPr>
      <t>号楼</t>
    </r>
    <r>
      <rPr>
        <sz val="9"/>
        <color rgb="FF000000"/>
        <rFont val="Arial"/>
        <charset val="134"/>
      </rPr>
      <t>B1</t>
    </r>
  </si>
  <si>
    <r>
      <rPr>
        <sz val="9"/>
        <color rgb="FF000000"/>
        <rFont val="楷体"/>
        <charset val="134"/>
      </rPr>
      <t>美团</t>
    </r>
    <r>
      <rPr>
        <sz val="9"/>
        <color rgb="FF000000"/>
        <rFont val="Arial"/>
        <charset val="134"/>
      </rPr>
      <t>,</t>
    </r>
    <r>
      <rPr>
        <sz val="9"/>
        <color rgb="FF000000"/>
        <rFont val="楷体"/>
        <charset val="134"/>
      </rPr>
      <t>致璞基石信息</t>
    </r>
  </si>
  <si>
    <r>
      <rPr>
        <sz val="9"/>
        <color rgb="FF000000"/>
        <rFont val="楷体"/>
        <charset val="134"/>
      </rPr>
      <t>友合天昱投资</t>
    </r>
    <r>
      <rPr>
        <sz val="9"/>
        <color rgb="FF000000"/>
        <rFont val="Arial"/>
        <charset val="134"/>
      </rPr>
      <t>,</t>
    </r>
    <r>
      <rPr>
        <sz val="9"/>
        <color rgb="FF000000"/>
        <rFont val="楷体"/>
        <charset val="134"/>
      </rPr>
      <t>华盛一泓</t>
    </r>
    <r>
      <rPr>
        <sz val="9"/>
        <color rgb="FF000000"/>
        <rFont val="Arial"/>
        <charset val="134"/>
      </rPr>
      <t>,</t>
    </r>
    <r>
      <rPr>
        <sz val="9"/>
        <color rgb="FF000000"/>
        <rFont val="楷体"/>
        <charset val="134"/>
      </rPr>
      <t>友道资产</t>
    </r>
  </si>
  <si>
    <r>
      <rPr>
        <sz val="9"/>
        <color rgb="FF000000"/>
        <rFont val="楷体"/>
        <charset val="134"/>
      </rPr>
      <t>钱袋宝</t>
    </r>
  </si>
  <si>
    <r>
      <rPr>
        <sz val="9"/>
        <color rgb="FF000000"/>
        <rFont val="楷体"/>
        <charset val="134"/>
      </rPr>
      <t>钱袋宝是北京钱袋宝支付技术有限公司旗下网站，为用户提供网络支付、手机支付等第三方支付解决方案，旗下运营产品包括钱袋宝小精灵、钱袋宝</t>
    </r>
    <r>
      <rPr>
        <sz val="9"/>
        <color rgb="FF000000"/>
        <rFont val="Arial"/>
        <charset val="134"/>
      </rPr>
      <t>POS</t>
    </r>
    <r>
      <rPr>
        <sz val="9"/>
        <color rgb="FF000000"/>
        <rFont val="楷体"/>
        <charset val="134"/>
      </rPr>
      <t>、钱袋宝</t>
    </r>
    <r>
      <rPr>
        <sz val="9"/>
        <color rgb="FF000000"/>
        <rFont val="Arial"/>
        <charset val="134"/>
      </rPr>
      <t>MPOS</t>
    </r>
    <r>
      <rPr>
        <sz val="9"/>
        <color rgb="FF000000"/>
        <rFont val="楷体"/>
        <charset val="134"/>
      </rPr>
      <t>等多种移动支付和移动</t>
    </r>
    <r>
      <rPr>
        <sz val="9"/>
        <color rgb="FF000000"/>
        <rFont val="Arial"/>
        <charset val="134"/>
      </rPr>
      <t>POS</t>
    </r>
    <r>
      <rPr>
        <sz val="9"/>
        <color rgb="FF000000"/>
        <rFont val="楷体"/>
        <charset val="134"/>
      </rPr>
      <t>机产品。</t>
    </r>
  </si>
  <si>
    <r>
      <rPr>
        <sz val="9"/>
        <color rgb="FF000000"/>
        <rFont val="楷体"/>
        <charset val="134"/>
      </rPr>
      <t>北京钱袋宝支付技术有限公司</t>
    </r>
  </si>
  <si>
    <r>
      <rPr>
        <sz val="9"/>
        <color rgb="FF000000"/>
        <rFont val="楷体"/>
        <charset val="134"/>
      </rPr>
      <t>支付</t>
    </r>
  </si>
  <si>
    <r>
      <t>3</t>
    </r>
    <r>
      <rPr>
        <sz val="9"/>
        <color rgb="FF000000"/>
        <rFont val="楷体"/>
        <charset val="134"/>
      </rPr>
      <t>亿</t>
    </r>
  </si>
  <si>
    <r>
      <rPr>
        <sz val="9"/>
        <color rgb="FF000000"/>
        <rFont val="楷体"/>
        <charset val="134"/>
      </rPr>
      <t>孙江涛</t>
    </r>
    <r>
      <rPr>
        <sz val="9"/>
        <color rgb="FF000000"/>
        <rFont val="Arial"/>
        <charset val="134"/>
      </rPr>
      <t>:</t>
    </r>
    <r>
      <rPr>
        <sz val="9"/>
        <color rgb="FF000000"/>
        <rFont val="楷体"/>
        <charset val="134"/>
      </rPr>
      <t>执行董事</t>
    </r>
    <r>
      <rPr>
        <sz val="9"/>
        <color rgb="FF000000"/>
        <rFont val="Arial"/>
        <charset val="134"/>
      </rPr>
      <t>,</t>
    </r>
    <r>
      <rPr>
        <sz val="9"/>
        <color rgb="FF000000"/>
        <rFont val="楷体"/>
        <charset val="134"/>
      </rPr>
      <t>张敬华</t>
    </r>
    <r>
      <rPr>
        <sz val="9"/>
        <color rgb="FF000000"/>
        <rFont val="Arial"/>
        <charset val="134"/>
      </rPr>
      <t>:</t>
    </r>
    <r>
      <rPr>
        <sz val="9"/>
        <color rgb="FF000000"/>
        <rFont val="楷体"/>
        <charset val="134"/>
      </rPr>
      <t>首席运营官</t>
    </r>
    <r>
      <rPr>
        <sz val="9"/>
        <color rgb="FF000000"/>
        <rFont val="Arial"/>
        <charset val="134"/>
      </rPr>
      <t>,</t>
    </r>
    <r>
      <rPr>
        <sz val="9"/>
        <color rgb="FF000000"/>
        <rFont val="楷体"/>
        <charset val="134"/>
      </rPr>
      <t>魏中华</t>
    </r>
    <r>
      <rPr>
        <sz val="9"/>
        <color rgb="FF000000"/>
        <rFont val="Arial"/>
        <charset val="134"/>
      </rPr>
      <t>:</t>
    </r>
    <r>
      <rPr>
        <sz val="9"/>
        <color rgb="FF000000"/>
        <rFont val="楷体"/>
        <charset val="134"/>
      </rPr>
      <t>董事长</t>
    </r>
  </si>
  <si>
    <r>
      <rPr>
        <sz val="9"/>
        <color rgb="FF000000"/>
        <rFont val="楷体"/>
        <charset val="134"/>
      </rPr>
      <t>北京市海淀区太月园</t>
    </r>
    <r>
      <rPr>
        <sz val="9"/>
        <color rgb="FF000000"/>
        <rFont val="Arial"/>
        <charset val="134"/>
      </rPr>
      <t>1</t>
    </r>
    <r>
      <rPr>
        <sz val="9"/>
        <color rgb="FF000000"/>
        <rFont val="楷体"/>
        <charset val="134"/>
      </rPr>
      <t>号楼泰跃商务中心</t>
    </r>
    <r>
      <rPr>
        <sz val="9"/>
        <color rgb="FF000000"/>
        <rFont val="Arial"/>
        <charset val="134"/>
      </rPr>
      <t>5</t>
    </r>
    <r>
      <rPr>
        <sz val="9"/>
        <color rgb="FF000000"/>
        <rFont val="楷体"/>
        <charset val="134"/>
      </rPr>
      <t>层</t>
    </r>
  </si>
  <si>
    <r>
      <t>IDG</t>
    </r>
    <r>
      <rPr>
        <sz val="9"/>
        <color rgb="FF000000"/>
        <rFont val="楷体"/>
        <charset val="134"/>
      </rPr>
      <t>资本</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海通开元</t>
    </r>
  </si>
  <si>
    <r>
      <rPr>
        <sz val="9"/>
        <color rgb="FF000000"/>
        <rFont val="楷体"/>
        <charset val="134"/>
      </rPr>
      <t>酷讯旅游</t>
    </r>
  </si>
  <si>
    <r>
      <rPr>
        <sz val="9"/>
        <color rgb="FF000000"/>
        <rFont val="楷体"/>
        <charset val="134"/>
      </rPr>
      <t>酷讯旅游网是一个专业的旅游垂直搜索和预订网站，提供国内外机票、酒店、火车票、度假和旅游线路的搜索、比较、预订服务，</t>
    </r>
    <r>
      <rPr>
        <sz val="9"/>
        <color rgb="FF000000"/>
        <rFont val="Arial"/>
        <charset val="134"/>
      </rPr>
      <t>2015</t>
    </r>
    <r>
      <rPr>
        <sz val="9"/>
        <color rgb="FF000000"/>
        <rFont val="楷体"/>
        <charset val="134"/>
      </rPr>
      <t>年</t>
    </r>
    <r>
      <rPr>
        <sz val="9"/>
        <color rgb="FF000000"/>
        <rFont val="Arial"/>
        <charset val="134"/>
      </rPr>
      <t>7</t>
    </r>
    <r>
      <rPr>
        <sz val="9"/>
        <color rgb="FF000000"/>
        <rFont val="楷体"/>
        <charset val="134"/>
      </rPr>
      <t>月被美团以数千万美元的价格收购。</t>
    </r>
  </si>
  <si>
    <r>
      <rPr>
        <sz val="9"/>
        <color rgb="FF000000"/>
        <rFont val="楷体"/>
        <charset val="134"/>
      </rPr>
      <t>北京酷讯科技有限公司</t>
    </r>
  </si>
  <si>
    <r>
      <rPr>
        <sz val="9"/>
        <color rgb="FF000000"/>
        <rFont val="楷体"/>
        <charset val="134"/>
      </rPr>
      <t>旅游综合服务</t>
    </r>
  </si>
  <si>
    <r>
      <t>7800</t>
    </r>
    <r>
      <rPr>
        <sz val="9"/>
        <color rgb="FF000000"/>
        <rFont val="楷体"/>
        <charset val="134"/>
      </rPr>
      <t>万</t>
    </r>
  </si>
  <si>
    <r>
      <rPr>
        <sz val="9"/>
        <color rgb="FF000000"/>
        <rFont val="楷体"/>
        <charset val="134"/>
      </rPr>
      <t>张海军</t>
    </r>
    <r>
      <rPr>
        <sz val="9"/>
        <color rgb="FF000000"/>
        <rFont val="Arial"/>
        <charset val="134"/>
      </rPr>
      <t>:CEO,</t>
    </r>
    <r>
      <rPr>
        <sz val="9"/>
        <color rgb="FF000000"/>
        <rFont val="楷体"/>
        <charset val="134"/>
      </rPr>
      <t>陈华</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吴世春</t>
    </r>
    <r>
      <rPr>
        <sz val="9"/>
        <color rgb="FF000000"/>
        <rFont val="Arial"/>
        <charset val="134"/>
      </rPr>
      <t>:</t>
    </r>
    <r>
      <rPr>
        <sz val="9"/>
        <color rgb="FF000000"/>
        <rFont val="楷体"/>
        <charset val="134"/>
      </rPr>
      <t>联合创始人</t>
    </r>
  </si>
  <si>
    <r>
      <t>1000</t>
    </r>
    <r>
      <rPr>
        <sz val="9"/>
        <color rgb="FF000000"/>
        <rFont val="楷体"/>
        <charset val="134"/>
      </rPr>
      <t>万美元</t>
    </r>
  </si>
  <si>
    <r>
      <rPr>
        <sz val="9"/>
        <color rgb="FF000000"/>
        <rFont val="楷体"/>
        <charset val="134"/>
      </rPr>
      <t>策源创投</t>
    </r>
    <r>
      <rPr>
        <sz val="9"/>
        <color rgb="FF000000"/>
        <rFont val="Arial"/>
        <charset val="134"/>
      </rPr>
      <t>,SIG</t>
    </r>
    <r>
      <rPr>
        <sz val="9"/>
        <color rgb="FF000000"/>
        <rFont val="楷体"/>
        <charset val="134"/>
      </rPr>
      <t>海纳亚洲</t>
    </r>
  </si>
  <si>
    <r>
      <t>200</t>
    </r>
    <r>
      <rPr>
        <sz val="9"/>
        <color rgb="FF000000"/>
        <rFont val="楷体"/>
        <charset val="134"/>
      </rPr>
      <t>万美元</t>
    </r>
  </si>
  <si>
    <r>
      <rPr>
        <sz val="9"/>
        <color rgb="FF000000"/>
        <rFont val="楷体"/>
        <charset val="134"/>
      </rPr>
      <t>策源创投</t>
    </r>
  </si>
  <si>
    <r>
      <rPr>
        <sz val="9"/>
        <color rgb="FF000000"/>
        <rFont val="楷体"/>
        <charset val="134"/>
      </rPr>
      <t>番茄来了</t>
    </r>
  </si>
  <si>
    <r>
      <rPr>
        <sz val="9"/>
        <color rgb="FF000000"/>
        <rFont val="楷体"/>
        <charset val="134"/>
      </rPr>
      <t>成都番茄来了科技是一家中小酒店及客栈信息化服务商，主打产品为番茄来了客栈管理系统。</t>
    </r>
  </si>
  <si>
    <r>
      <rPr>
        <sz val="9"/>
        <color rgb="FF000000"/>
        <rFont val="楷体"/>
        <charset val="134"/>
      </rPr>
      <t>成都番茄来了科技有限公司</t>
    </r>
  </si>
  <si>
    <r>
      <rPr>
        <sz val="9"/>
        <color rgb="FF000000"/>
        <rFont val="楷体"/>
        <charset val="134"/>
      </rPr>
      <t>已关闭</t>
    </r>
  </si>
  <si>
    <r>
      <rPr>
        <sz val="9"/>
        <color rgb="FF000000"/>
        <rFont val="楷体"/>
        <charset val="134"/>
      </rPr>
      <t>交通食宿</t>
    </r>
  </si>
  <si>
    <r>
      <t>9300</t>
    </r>
    <r>
      <rPr>
        <sz val="9"/>
        <color rgb="FF000000"/>
        <rFont val="楷体"/>
        <charset val="134"/>
      </rPr>
      <t>万</t>
    </r>
  </si>
  <si>
    <r>
      <rPr>
        <sz val="9"/>
        <color rgb="FF000000"/>
        <rFont val="楷体"/>
        <charset val="134"/>
      </rPr>
      <t>陈焰俊</t>
    </r>
    <r>
      <rPr>
        <sz val="9"/>
        <color rgb="FF000000"/>
        <rFont val="Arial"/>
        <charset val="134"/>
      </rPr>
      <t>:</t>
    </r>
    <r>
      <rPr>
        <sz val="9"/>
        <color rgb="FF000000"/>
        <rFont val="楷体"/>
        <charset val="134"/>
      </rPr>
      <t>创始人</t>
    </r>
  </si>
  <si>
    <r>
      <rPr>
        <sz val="9"/>
        <color rgb="FF000000"/>
        <rFont val="楷体"/>
        <charset val="134"/>
      </rPr>
      <t>成都市高新区区世纪城南路</t>
    </r>
    <r>
      <rPr>
        <sz val="9"/>
        <color rgb="FF000000"/>
        <rFont val="Arial"/>
        <charset val="134"/>
      </rPr>
      <t>599</t>
    </r>
    <r>
      <rPr>
        <sz val="9"/>
        <color rgb="FF000000"/>
        <rFont val="楷体"/>
        <charset val="134"/>
      </rPr>
      <t>号</t>
    </r>
    <r>
      <rPr>
        <sz val="9"/>
        <color rgb="FF000000"/>
        <rFont val="Arial"/>
        <charset val="134"/>
      </rPr>
      <t>6</t>
    </r>
    <r>
      <rPr>
        <sz val="9"/>
        <color rgb="FF000000"/>
        <rFont val="楷体"/>
        <charset val="134"/>
      </rPr>
      <t>栋</t>
    </r>
    <r>
      <rPr>
        <sz val="9"/>
        <color rgb="FF000000"/>
        <rFont val="Arial"/>
        <charset val="134"/>
      </rPr>
      <t>B1</t>
    </r>
    <r>
      <rPr>
        <sz val="9"/>
        <color rgb="FF000000"/>
        <rFont val="楷体"/>
        <charset val="134"/>
      </rPr>
      <t>层</t>
    </r>
    <r>
      <rPr>
        <sz val="9"/>
        <color rgb="FF000000"/>
        <rFont val="Arial"/>
        <charset val="134"/>
      </rPr>
      <t>28</t>
    </r>
    <r>
      <rPr>
        <sz val="9"/>
        <color rgb="FF000000"/>
        <rFont val="楷体"/>
        <charset val="134"/>
      </rPr>
      <t>号</t>
    </r>
  </si>
  <si>
    <r>
      <t>SIG</t>
    </r>
    <r>
      <rPr>
        <sz val="9"/>
        <color rgb="FF000000"/>
        <rFont val="楷体"/>
        <charset val="134"/>
      </rPr>
      <t>海纳亚洲</t>
    </r>
    <r>
      <rPr>
        <sz val="9"/>
        <color rgb="FF000000"/>
        <rFont val="Arial"/>
        <charset val="134"/>
      </rPr>
      <t>,</t>
    </r>
    <r>
      <rPr>
        <sz val="9"/>
        <color rgb="FF000000"/>
        <rFont val="楷体"/>
        <charset val="134"/>
      </rPr>
      <t>美团</t>
    </r>
  </si>
  <si>
    <r>
      <rPr>
        <sz val="9"/>
        <color rgb="FF000000"/>
        <rFont val="楷体"/>
        <charset val="134"/>
      </rPr>
      <t>天子星</t>
    </r>
  </si>
  <si>
    <r>
      <rPr>
        <sz val="9"/>
        <color rgb="FF000000"/>
        <rFont val="楷体"/>
        <charset val="134"/>
      </rPr>
      <t>天子星是一个餐饮信息化服务管理平台，通过将餐饮企业生命周期数据化的方式，连接上下游合作厂商，为连锁餐饮企业提供</t>
    </r>
    <r>
      <rPr>
        <sz val="9"/>
        <color rgb="FF000000"/>
        <rFont val="Arial"/>
        <charset val="134"/>
      </rPr>
      <t>“D+S”</t>
    </r>
    <r>
      <rPr>
        <sz val="9"/>
        <color rgb="FF000000"/>
        <rFont val="楷体"/>
        <charset val="134"/>
      </rPr>
      <t>（</t>
    </r>
    <r>
      <rPr>
        <sz val="9"/>
        <color rgb="FF000000"/>
        <rFont val="Arial"/>
        <charset val="134"/>
      </rPr>
      <t>Data Service</t>
    </r>
    <r>
      <rPr>
        <sz val="9"/>
        <color rgb="FF000000"/>
        <rFont val="楷体"/>
        <charset val="134"/>
      </rPr>
      <t>）的服务模型，并提供微信营销平台、外卖管理平台等一站式服务解决方案，实现助力餐饮企业发展的目标。</t>
    </r>
  </si>
  <si>
    <r>
      <rPr>
        <sz val="9"/>
        <color rgb="FF000000"/>
        <rFont val="楷体"/>
        <charset val="134"/>
      </rPr>
      <t>北京普照天星科技有限公司</t>
    </r>
  </si>
  <si>
    <r>
      <rPr>
        <sz val="9"/>
        <color rgb="FF000000"/>
        <rFont val="楷体"/>
        <charset val="134"/>
      </rPr>
      <t>商户服务及信息化</t>
    </r>
  </si>
  <si>
    <r>
      <rPr>
        <sz val="9"/>
        <color rgb="FF000000"/>
        <rFont val="楷体"/>
        <charset val="134"/>
      </rPr>
      <t>奥琦玮</t>
    </r>
  </si>
  <si>
    <r>
      <t>5000</t>
    </r>
    <r>
      <rPr>
        <sz val="9"/>
        <color rgb="FF000000"/>
        <rFont val="楷体"/>
        <charset val="134"/>
      </rPr>
      <t>万</t>
    </r>
  </si>
  <si>
    <r>
      <rPr>
        <sz val="9"/>
        <color rgb="FF000000"/>
        <rFont val="楷体"/>
        <charset val="134"/>
      </rPr>
      <t>杨洪</t>
    </r>
    <r>
      <rPr>
        <sz val="9"/>
        <color rgb="FF000000"/>
        <rFont val="Arial"/>
        <charset val="134"/>
      </rPr>
      <t>:</t>
    </r>
    <r>
      <rPr>
        <sz val="9"/>
        <color rgb="FF000000"/>
        <rFont val="楷体"/>
        <charset val="134"/>
      </rPr>
      <t>创始人及董事长</t>
    </r>
    <r>
      <rPr>
        <sz val="9"/>
        <color rgb="FF000000"/>
        <rFont val="Arial"/>
        <charset val="134"/>
      </rPr>
      <t>,</t>
    </r>
    <r>
      <rPr>
        <sz val="9"/>
        <color rgb="FF000000"/>
        <rFont val="楷体"/>
        <charset val="134"/>
      </rPr>
      <t>张龙</t>
    </r>
    <r>
      <rPr>
        <sz val="9"/>
        <color rgb="FF000000"/>
        <rFont val="Arial"/>
        <charset val="134"/>
      </rPr>
      <t>:CTO</t>
    </r>
  </si>
  <si>
    <r>
      <rPr>
        <sz val="9"/>
        <color rgb="FF000000"/>
        <rFont val="楷体"/>
        <charset val="134"/>
      </rPr>
      <t>北京市朝阳区望京东路四号院恒电大厦</t>
    </r>
    <r>
      <rPr>
        <sz val="9"/>
        <color rgb="FF000000"/>
        <rFont val="Arial"/>
        <charset val="134"/>
      </rPr>
      <t>B</t>
    </r>
    <r>
      <rPr>
        <sz val="9"/>
        <color rgb="FF000000"/>
        <rFont val="楷体"/>
        <charset val="134"/>
      </rPr>
      <t>座</t>
    </r>
    <r>
      <rPr>
        <sz val="9"/>
        <color rgb="FF000000"/>
        <rFont val="Arial"/>
        <charset val="134"/>
      </rPr>
      <t>8</t>
    </r>
    <r>
      <rPr>
        <sz val="9"/>
        <color rgb="FF000000"/>
        <rFont val="楷体"/>
        <charset val="134"/>
      </rPr>
      <t>层</t>
    </r>
  </si>
  <si>
    <r>
      <rPr>
        <sz val="9"/>
        <color rgb="FF000000"/>
        <rFont val="楷体"/>
        <charset val="134"/>
      </rPr>
      <t>爱鲜蜂</t>
    </r>
  </si>
  <si>
    <r>
      <rPr>
        <sz val="9"/>
        <color rgb="FF000000"/>
        <rFont val="楷体"/>
        <charset val="134"/>
      </rPr>
      <t>爱鲜蜂是一家基于移动终端定位的生鲜加强版社区电商平台，致力于打造以共享经济为基础的</t>
    </r>
    <r>
      <rPr>
        <sz val="9"/>
        <color rgb="FF000000"/>
        <rFont val="Arial"/>
        <charset val="134"/>
      </rPr>
      <t>1</t>
    </r>
    <r>
      <rPr>
        <sz val="9"/>
        <color rgb="FF000000"/>
        <rFont val="楷体"/>
        <charset val="134"/>
      </rPr>
      <t>小时速达掌上便利店，专注于社区最后一公里配送，主打一小时闪电送达。</t>
    </r>
  </si>
  <si>
    <r>
      <rPr>
        <sz val="9"/>
        <color rgb="FF000000"/>
        <rFont val="楷体"/>
        <charset val="134"/>
      </rPr>
      <t>北京众成汇通信息技术有限公司</t>
    </r>
  </si>
  <si>
    <r>
      <rPr>
        <sz val="9"/>
        <color rgb="FF000000"/>
        <rFont val="楷体"/>
        <charset val="134"/>
      </rPr>
      <t>中商惠民网</t>
    </r>
  </si>
  <si>
    <r>
      <t>9.2</t>
    </r>
    <r>
      <rPr>
        <sz val="9"/>
        <color rgb="FF000000"/>
        <rFont val="楷体"/>
        <charset val="134"/>
      </rPr>
      <t>亿</t>
    </r>
  </si>
  <si>
    <r>
      <rPr>
        <sz val="9"/>
        <color rgb="FF000000"/>
        <rFont val="楷体"/>
        <charset val="134"/>
      </rPr>
      <t>张颖</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张小铭</t>
    </r>
    <r>
      <rPr>
        <sz val="9"/>
        <color rgb="FF000000"/>
        <rFont val="Arial"/>
        <charset val="134"/>
      </rPr>
      <t>:</t>
    </r>
    <r>
      <rPr>
        <sz val="9"/>
        <color rgb="FF000000"/>
        <rFont val="楷体"/>
        <charset val="134"/>
      </rPr>
      <t>联合创始人</t>
    </r>
  </si>
  <si>
    <r>
      <rPr>
        <sz val="9"/>
        <color rgb="FF000000"/>
        <rFont val="楷体"/>
        <charset val="134"/>
      </rPr>
      <t>北京市朝阳区酒仙桥路甲</t>
    </r>
    <r>
      <rPr>
        <sz val="9"/>
        <color rgb="FF000000"/>
        <rFont val="Arial"/>
        <charset val="134"/>
      </rPr>
      <t>16</t>
    </r>
    <r>
      <rPr>
        <sz val="9"/>
        <color rgb="FF000000"/>
        <rFont val="楷体"/>
        <charset val="134"/>
      </rPr>
      <t>号新港大厦</t>
    </r>
    <r>
      <rPr>
        <sz val="9"/>
        <color rgb="FF000000"/>
        <rFont val="Arial"/>
        <charset val="134"/>
      </rPr>
      <t>9</t>
    </r>
    <r>
      <rPr>
        <sz val="9"/>
        <color rgb="FF000000"/>
        <rFont val="楷体"/>
        <charset val="134"/>
      </rPr>
      <t>层</t>
    </r>
  </si>
  <si>
    <r>
      <t>7000</t>
    </r>
    <r>
      <rPr>
        <sz val="9"/>
        <color rgb="FF000000"/>
        <rFont val="楷体"/>
        <charset val="134"/>
      </rPr>
      <t>万美元</t>
    </r>
  </si>
  <si>
    <r>
      <rPr>
        <sz val="9"/>
        <color rgb="FF000000"/>
        <rFont val="楷体"/>
        <charset val="134"/>
      </rPr>
      <t>红杉资本中国</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高瓴投资</t>
    </r>
  </si>
  <si>
    <r>
      <t>2000</t>
    </r>
    <r>
      <rPr>
        <sz val="9"/>
        <color rgb="FF000000"/>
        <rFont val="楷体"/>
        <charset val="134"/>
      </rPr>
      <t>万美元</t>
    </r>
  </si>
  <si>
    <r>
      <rPr>
        <sz val="9"/>
        <color rgb="FF000000"/>
        <rFont val="楷体"/>
        <charset val="134"/>
      </rPr>
      <t>红杉资本中国</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高瓴投资</t>
    </r>
  </si>
  <si>
    <r>
      <rPr>
        <sz val="9"/>
        <color rgb="FF000000"/>
        <rFont val="楷体"/>
        <charset val="134"/>
      </rPr>
      <t>红杉资本中国</t>
    </r>
    <r>
      <rPr>
        <sz val="9"/>
        <color rgb="FF000000"/>
        <rFont val="Arial"/>
        <charset val="134"/>
      </rPr>
      <t>,</t>
    </r>
    <r>
      <rPr>
        <sz val="9"/>
        <color rgb="FF000000"/>
        <rFont val="楷体"/>
        <charset val="134"/>
      </rPr>
      <t>清流资本</t>
    </r>
    <r>
      <rPr>
        <sz val="9"/>
        <color rgb="FF000000"/>
        <rFont val="Arial"/>
        <charset val="134"/>
      </rPr>
      <t>,</t>
    </r>
    <r>
      <rPr>
        <sz val="9"/>
        <color rgb="FF000000"/>
        <rFont val="楷体"/>
        <charset val="134"/>
      </rPr>
      <t>钟鼎资本</t>
    </r>
  </si>
  <si>
    <r>
      <t>1000</t>
    </r>
    <r>
      <rPr>
        <sz val="9"/>
        <color rgb="FF000000"/>
        <rFont val="楷体"/>
        <charset val="134"/>
      </rPr>
      <t>万人民币</t>
    </r>
  </si>
  <si>
    <r>
      <rPr>
        <sz val="9"/>
        <color rgb="FF000000"/>
        <rFont val="楷体"/>
        <charset val="134"/>
      </rPr>
      <t>清流资本</t>
    </r>
  </si>
  <si>
    <r>
      <rPr>
        <sz val="9"/>
        <color rgb="FF000000"/>
        <rFont val="楷体"/>
        <charset val="134"/>
      </rPr>
      <t>小博无线</t>
    </r>
  </si>
  <si>
    <r>
      <rPr>
        <sz val="9"/>
        <color rgb="FF000000"/>
        <rFont val="楷体"/>
        <charset val="134"/>
      </rPr>
      <t>小博无线是国内领先的商用无线运营平台，拥有小博无线运营平台、推广平台、</t>
    </r>
    <r>
      <rPr>
        <sz val="9"/>
        <color rgb="FF000000"/>
        <rFont val="Arial"/>
        <charset val="134"/>
      </rPr>
      <t>RippleOS</t>
    </r>
    <r>
      <rPr>
        <sz val="9"/>
        <color rgb="FF000000"/>
        <rFont val="楷体"/>
        <charset val="134"/>
      </rPr>
      <t>固件等产品。自成立以来，一直致力于商用</t>
    </r>
    <r>
      <rPr>
        <sz val="9"/>
        <color rgb="FF000000"/>
        <rFont val="Arial"/>
        <charset val="134"/>
      </rPr>
      <t>Wi-Fi</t>
    </r>
    <r>
      <rPr>
        <sz val="9"/>
        <color rgb="FF000000"/>
        <rFont val="楷体"/>
        <charset val="134"/>
      </rPr>
      <t>产品研发与运营模式创新，为全国商业</t>
    </r>
    <r>
      <rPr>
        <sz val="9"/>
        <color rgb="FF000000"/>
        <rFont val="Arial"/>
        <charset val="134"/>
      </rPr>
      <t>Wi-Fi</t>
    </r>
    <r>
      <rPr>
        <sz val="9"/>
        <color rgb="FF000000"/>
        <rFont val="楷体"/>
        <charset val="134"/>
      </rPr>
      <t>运营团队提供全面的运营平台与技术服务。凭借扎实稳定的技术基础，小博无线运营平台已成为国内最大的商用</t>
    </r>
    <r>
      <rPr>
        <sz val="9"/>
        <color rgb="FF000000"/>
        <rFont val="Arial"/>
        <charset val="134"/>
      </rPr>
      <t>Wi-Fi</t>
    </r>
    <r>
      <rPr>
        <sz val="9"/>
        <color rgb="FF000000"/>
        <rFont val="楷体"/>
        <charset val="134"/>
      </rPr>
      <t>开放运营平台。</t>
    </r>
  </si>
  <si>
    <r>
      <rPr>
        <sz val="9"/>
        <color rgb="FF000000"/>
        <rFont val="楷体"/>
        <charset val="134"/>
      </rPr>
      <t>成都瑞小博科技有限公司</t>
    </r>
  </si>
  <si>
    <r>
      <rPr>
        <sz val="9"/>
        <color rgb="FF000000"/>
        <rFont val="楷体"/>
        <charset val="134"/>
      </rPr>
      <t>企业</t>
    </r>
    <r>
      <rPr>
        <sz val="9"/>
        <color rgb="FF000000"/>
        <rFont val="Arial"/>
        <charset val="134"/>
      </rPr>
      <t>IT</t>
    </r>
    <r>
      <rPr>
        <sz val="9"/>
        <color rgb="FF000000"/>
        <rFont val="楷体"/>
        <charset val="134"/>
      </rPr>
      <t>服务</t>
    </r>
  </si>
  <si>
    <r>
      <t>3000</t>
    </r>
    <r>
      <rPr>
        <sz val="9"/>
        <color rgb="FF000000"/>
        <rFont val="楷体"/>
        <charset val="134"/>
      </rPr>
      <t>万</t>
    </r>
  </si>
  <si>
    <r>
      <rPr>
        <sz val="9"/>
        <color rgb="FF000000"/>
        <rFont val="楷体"/>
        <charset val="134"/>
      </rPr>
      <t>徐放</t>
    </r>
    <r>
      <rPr>
        <sz val="9"/>
        <color rgb="FF000000"/>
        <rFont val="Arial"/>
        <charset val="134"/>
      </rPr>
      <t>:</t>
    </r>
    <r>
      <rPr>
        <sz val="9"/>
        <color rgb="FF000000"/>
        <rFont val="楷体"/>
        <charset val="134"/>
      </rPr>
      <t>创始人</t>
    </r>
  </si>
  <si>
    <r>
      <rPr>
        <sz val="9"/>
        <color rgb="FF000000"/>
        <rFont val="楷体"/>
        <charset val="134"/>
      </rPr>
      <t>餐饮老板内参</t>
    </r>
  </si>
  <si>
    <r>
      <rPr>
        <sz val="9"/>
        <color rgb="FF000000"/>
        <rFont val="楷体"/>
        <charset val="134"/>
      </rPr>
      <t>餐饮老板内参是一个专注于餐饮垂直行业的新媒体平台，主要为餐饮行业老板提供教育培训、互联网金融与创投孵化等服务，致力于打造餐饮产业链社交与服务平台。公司旗下有自媒体咖门、小灶课堂、好食记等。</t>
    </r>
  </si>
  <si>
    <r>
      <rPr>
        <sz val="9"/>
        <color rgb="FF000000"/>
        <rFont val="楷体"/>
        <charset val="134"/>
      </rPr>
      <t>北京瓦特新媒网络科技有限公司</t>
    </r>
  </si>
  <si>
    <r>
      <rPr>
        <sz val="9"/>
        <color rgb="FF000000"/>
        <rFont val="楷体"/>
        <charset val="134"/>
      </rPr>
      <t>媒体及阅读</t>
    </r>
  </si>
  <si>
    <r>
      <rPr>
        <sz val="9"/>
        <color rgb="FF000000"/>
        <rFont val="楷体"/>
        <charset val="134"/>
      </rPr>
      <t>源码资本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字节跳动</t>
    </r>
    <r>
      <rPr>
        <sz val="9"/>
        <color rgb="FF000000"/>
        <rFont val="Arial"/>
        <charset val="134"/>
      </rPr>
      <t>,</t>
    </r>
    <r>
      <rPr>
        <sz val="9"/>
        <color rgb="FF000000"/>
        <rFont val="楷体"/>
        <charset val="134"/>
      </rPr>
      <t>千味央厨</t>
    </r>
  </si>
  <si>
    <r>
      <t>7300</t>
    </r>
    <r>
      <rPr>
        <sz val="9"/>
        <color rgb="FF000000"/>
        <rFont val="楷体"/>
        <charset val="134"/>
      </rPr>
      <t>万</t>
    </r>
  </si>
  <si>
    <r>
      <t>2.5</t>
    </r>
    <r>
      <rPr>
        <sz val="9"/>
        <color rgb="FF000000"/>
        <rFont val="楷体"/>
        <charset val="134"/>
      </rPr>
      <t>亿元</t>
    </r>
  </si>
  <si>
    <r>
      <rPr>
        <sz val="9"/>
        <color rgb="FF000000"/>
        <rFont val="楷体"/>
        <charset val="134"/>
      </rPr>
      <t>秦朝</t>
    </r>
    <r>
      <rPr>
        <sz val="9"/>
        <color rgb="FF000000"/>
        <rFont val="Arial"/>
        <charset val="134"/>
      </rPr>
      <t>:CEO</t>
    </r>
  </si>
  <si>
    <r>
      <rPr>
        <sz val="9"/>
        <color rgb="FF000000"/>
        <rFont val="楷体"/>
        <charset val="134"/>
      </rPr>
      <t>狮享家新媒体基金</t>
    </r>
    <r>
      <rPr>
        <sz val="9"/>
        <color rgb="FF000000"/>
        <rFont val="Arial"/>
        <charset val="134"/>
      </rPr>
      <t>,</t>
    </r>
    <r>
      <rPr>
        <sz val="9"/>
        <color rgb="FF000000"/>
        <rFont val="楷体"/>
        <charset val="134"/>
      </rPr>
      <t>云起资本</t>
    </r>
  </si>
  <si>
    <r>
      <rPr>
        <sz val="9"/>
        <color rgb="FF000000"/>
        <rFont val="楷体"/>
        <charset val="134"/>
      </rPr>
      <t>微玺投资</t>
    </r>
  </si>
  <si>
    <r>
      <rPr>
        <sz val="9"/>
        <color rgb="FF000000"/>
        <rFont val="楷体"/>
        <charset val="134"/>
      </rPr>
      <t>别样红云</t>
    </r>
    <r>
      <rPr>
        <sz val="9"/>
        <color rgb="FF000000"/>
        <rFont val="Arial"/>
        <charset val="134"/>
      </rPr>
      <t>PMS</t>
    </r>
  </si>
  <si>
    <r>
      <rPr>
        <sz val="9"/>
        <color rgb="FF000000"/>
        <rFont val="楷体"/>
        <charset val="134"/>
      </rPr>
      <t>别样红云</t>
    </r>
    <r>
      <rPr>
        <sz val="9"/>
        <color rgb="FF000000"/>
        <rFont val="Arial"/>
        <charset val="134"/>
      </rPr>
      <t>PMS</t>
    </r>
    <r>
      <rPr>
        <sz val="9"/>
        <color rgb="FF000000"/>
        <rFont val="楷体"/>
        <charset val="134"/>
      </rPr>
      <t>是一家为酒店提供</t>
    </r>
    <r>
      <rPr>
        <sz val="9"/>
        <color rgb="FF000000"/>
        <rFont val="Arial"/>
        <charset val="134"/>
      </rPr>
      <t>SaaS+PaaS</t>
    </r>
    <r>
      <rPr>
        <sz val="9"/>
        <color rgb="FF000000"/>
        <rFont val="楷体"/>
        <charset val="134"/>
      </rPr>
      <t>服务的解决方案服务商，上海别样红信息技术有限公司旗下产品。</t>
    </r>
  </si>
  <si>
    <r>
      <rPr>
        <sz val="9"/>
        <color rgb="FF000000"/>
        <rFont val="楷体"/>
        <charset val="134"/>
      </rPr>
      <t>上海别样红信息技术有限公司</t>
    </r>
  </si>
  <si>
    <r>
      <rPr>
        <sz val="9"/>
        <color rgb="FF000000"/>
        <rFont val="楷体"/>
        <charset val="134"/>
      </rPr>
      <t>上海</t>
    </r>
    <r>
      <rPr>
        <sz val="9"/>
        <color rgb="FF000000"/>
        <rFont val="Arial"/>
        <charset val="134"/>
      </rPr>
      <t>-</t>
    </r>
    <r>
      <rPr>
        <sz val="9"/>
        <color rgb="FF000000"/>
        <rFont val="楷体"/>
        <charset val="134"/>
      </rPr>
      <t>闵行区</t>
    </r>
  </si>
  <si>
    <r>
      <rPr>
        <sz val="9"/>
        <color rgb="FF000000"/>
        <rFont val="楷体"/>
        <charset val="134"/>
      </rPr>
      <t>黄晓凌</t>
    </r>
    <r>
      <rPr>
        <sz val="9"/>
        <color rgb="FF000000"/>
        <rFont val="Arial"/>
        <charset val="134"/>
      </rPr>
      <t>:CEO</t>
    </r>
  </si>
  <si>
    <r>
      <rPr>
        <sz val="9"/>
        <color rgb="FF000000"/>
        <rFont val="楷体"/>
        <charset val="134"/>
      </rPr>
      <t>上海市闵行区秀文路</t>
    </r>
    <r>
      <rPr>
        <sz val="9"/>
        <color rgb="FF000000"/>
        <rFont val="Arial"/>
        <charset val="134"/>
      </rPr>
      <t>898</t>
    </r>
    <r>
      <rPr>
        <sz val="9"/>
        <color rgb="FF000000"/>
        <rFont val="楷体"/>
        <charset val="134"/>
      </rPr>
      <t>号西子国际中心</t>
    </r>
    <r>
      <rPr>
        <sz val="9"/>
        <color rgb="FF000000"/>
        <rFont val="Arial"/>
        <charset val="134"/>
      </rPr>
      <t>1</t>
    </r>
    <r>
      <rPr>
        <sz val="9"/>
        <color rgb="FF000000"/>
        <rFont val="楷体"/>
        <charset val="134"/>
      </rPr>
      <t>号楼</t>
    </r>
    <r>
      <rPr>
        <sz val="9"/>
        <color rgb="FF000000"/>
        <rFont val="Arial"/>
        <charset val="134"/>
      </rPr>
      <t>12</t>
    </r>
    <r>
      <rPr>
        <sz val="9"/>
        <color rgb="FF000000"/>
        <rFont val="楷体"/>
        <charset val="134"/>
      </rPr>
      <t>层</t>
    </r>
  </si>
  <si>
    <r>
      <t>6000</t>
    </r>
    <r>
      <rPr>
        <sz val="9"/>
        <color rgb="FF000000"/>
        <rFont val="楷体"/>
        <charset val="134"/>
      </rPr>
      <t>万人民币</t>
    </r>
  </si>
  <si>
    <r>
      <rPr>
        <sz val="9"/>
        <color rgb="FF000000"/>
        <rFont val="楷体"/>
        <charset val="134"/>
      </rPr>
      <t>盈动资本</t>
    </r>
  </si>
  <si>
    <r>
      <rPr>
        <sz val="9"/>
        <color rgb="FF000000"/>
        <rFont val="楷体"/>
        <charset val="134"/>
      </rPr>
      <t>高仙机器人</t>
    </r>
  </si>
  <si>
    <r>
      <rPr>
        <sz val="9"/>
        <color rgb="FF000000"/>
        <rFont val="楷体"/>
        <charset val="134"/>
      </rPr>
      <t>高仙机器人</t>
    </r>
    <r>
      <rPr>
        <sz val="9"/>
        <color rgb="FF000000"/>
        <rFont val="Arial"/>
        <charset val="134"/>
      </rPr>
      <t>GS-ROBOT</t>
    </r>
    <r>
      <rPr>
        <sz val="9"/>
        <color rgb="FF000000"/>
        <rFont val="楷体"/>
        <charset val="134"/>
      </rPr>
      <t>是一家商用自动扫地机机器人开发商，主营自动导航搬运车、自动商用扫地机</t>
    </r>
    <r>
      <rPr>
        <sz val="9"/>
        <color rgb="FF000000"/>
        <rFont val="Arial"/>
        <charset val="134"/>
      </rPr>
      <t>\</t>
    </r>
    <r>
      <rPr>
        <sz val="9"/>
        <color rgb="FF000000"/>
        <rFont val="楷体"/>
        <charset val="134"/>
      </rPr>
      <t>服务式机器人等自动化商用产品。上海高仙自动化科技发展有限公司旗下产品。</t>
    </r>
  </si>
  <si>
    <r>
      <rPr>
        <sz val="9"/>
        <color rgb="FF000000"/>
        <rFont val="楷体"/>
        <charset val="134"/>
      </rPr>
      <t>上海高仙自动化科技发展有限公司</t>
    </r>
  </si>
  <si>
    <r>
      <rPr>
        <sz val="9"/>
        <color rgb="FF000000"/>
        <rFont val="楷体"/>
        <charset val="134"/>
      </rPr>
      <t>上海</t>
    </r>
    <r>
      <rPr>
        <sz val="9"/>
        <color rgb="FF000000"/>
        <rFont val="Arial"/>
        <charset val="134"/>
      </rPr>
      <t>-</t>
    </r>
    <r>
      <rPr>
        <sz val="9"/>
        <color rgb="FF000000"/>
        <rFont val="楷体"/>
        <charset val="134"/>
      </rPr>
      <t>浦东新区</t>
    </r>
  </si>
  <si>
    <r>
      <rPr>
        <sz val="9"/>
        <color rgb="FF000000"/>
        <rFont val="楷体"/>
        <charset val="134"/>
      </rPr>
      <t>金拓资本</t>
    </r>
  </si>
  <si>
    <r>
      <t>25.47</t>
    </r>
    <r>
      <rPr>
        <sz val="9"/>
        <color rgb="FF000000"/>
        <rFont val="楷体"/>
        <charset val="134"/>
      </rPr>
      <t>亿</t>
    </r>
  </si>
  <si>
    <r>
      <t>90</t>
    </r>
    <r>
      <rPr>
        <sz val="9"/>
        <color rgb="FF000000"/>
        <rFont val="楷体"/>
        <charset val="134"/>
      </rPr>
      <t>亿元</t>
    </r>
  </si>
  <si>
    <r>
      <rPr>
        <sz val="9"/>
        <color rgb="FF000000"/>
        <rFont val="楷体"/>
        <charset val="134"/>
      </rPr>
      <t>程昊天</t>
    </r>
    <r>
      <rPr>
        <sz val="9"/>
        <color rgb="FF000000"/>
        <rFont val="Arial"/>
        <charset val="134"/>
      </rPr>
      <t>:CEO</t>
    </r>
  </si>
  <si>
    <r>
      <rPr>
        <sz val="9"/>
        <color rgb="FF000000"/>
        <rFont val="楷体"/>
        <charset val="134"/>
      </rPr>
      <t>上海市浦东新区盛夏路</t>
    </r>
    <r>
      <rPr>
        <sz val="9"/>
        <color rgb="FF000000"/>
        <rFont val="Arial"/>
        <charset val="134"/>
      </rPr>
      <t>666</t>
    </r>
    <r>
      <rPr>
        <sz val="9"/>
        <color rgb="FF000000"/>
        <rFont val="楷体"/>
        <charset val="134"/>
      </rPr>
      <t>号</t>
    </r>
    <r>
      <rPr>
        <sz val="9"/>
        <color rgb="FF000000"/>
        <rFont val="Arial"/>
        <charset val="134"/>
      </rPr>
      <t>D</t>
    </r>
    <r>
      <rPr>
        <sz val="9"/>
        <color rgb="FF000000"/>
        <rFont val="楷体"/>
        <charset val="134"/>
      </rPr>
      <t>幢</t>
    </r>
    <r>
      <rPr>
        <sz val="9"/>
        <color rgb="FF000000"/>
        <rFont val="Arial"/>
        <charset val="134"/>
      </rPr>
      <t>10</t>
    </r>
    <r>
      <rPr>
        <sz val="9"/>
        <color rgb="FF000000"/>
        <rFont val="楷体"/>
        <charset val="134"/>
      </rPr>
      <t>楼</t>
    </r>
  </si>
  <si>
    <r>
      <rPr>
        <sz val="9"/>
        <color rgb="FF000000"/>
        <rFont val="楷体"/>
        <charset val="134"/>
      </rPr>
      <t>龙湖资本</t>
    </r>
  </si>
  <si>
    <r>
      <t>1.5</t>
    </r>
    <r>
      <rPr>
        <sz val="9"/>
        <color rgb="FF000000"/>
        <rFont val="楷体"/>
        <charset val="134"/>
      </rPr>
      <t>亿人民币</t>
    </r>
  </si>
  <si>
    <r>
      <rPr>
        <sz val="9"/>
        <color rgb="FF000000"/>
        <rFont val="楷体"/>
        <charset val="134"/>
      </rPr>
      <t>蓝驰创投</t>
    </r>
    <r>
      <rPr>
        <sz val="9"/>
        <color rgb="FF000000"/>
        <rFont val="Arial"/>
        <charset val="134"/>
      </rPr>
      <t>,KIP</t>
    </r>
    <r>
      <rPr>
        <sz val="9"/>
        <color rgb="FF000000"/>
        <rFont val="楷体"/>
        <charset val="134"/>
      </rPr>
      <t>韩投伙伴</t>
    </r>
    <r>
      <rPr>
        <sz val="9"/>
        <color rgb="FF000000"/>
        <rFont val="Arial"/>
        <charset val="134"/>
      </rPr>
      <t>,</t>
    </r>
    <r>
      <rPr>
        <sz val="9"/>
        <color rgb="FF000000"/>
        <rFont val="楷体"/>
        <charset val="134"/>
      </rPr>
      <t>远翼投资</t>
    </r>
    <r>
      <rPr>
        <sz val="9"/>
        <color rgb="FF000000"/>
        <rFont val="Arial"/>
        <charset val="134"/>
      </rPr>
      <t>,</t>
    </r>
    <r>
      <rPr>
        <sz val="9"/>
        <color rgb="FF000000"/>
        <rFont val="楷体"/>
        <charset val="134"/>
      </rPr>
      <t>中信建投资本</t>
    </r>
    <r>
      <rPr>
        <sz val="9"/>
        <color rgb="FF000000"/>
        <rFont val="Arial"/>
        <charset val="134"/>
      </rPr>
      <t>,</t>
    </r>
    <r>
      <rPr>
        <sz val="9"/>
        <color rgb="FF000000"/>
        <rFont val="楷体"/>
        <charset val="134"/>
      </rPr>
      <t>博华资本</t>
    </r>
    <r>
      <rPr>
        <sz val="9"/>
        <color rgb="FF000000"/>
        <rFont val="Arial"/>
        <charset val="134"/>
      </rPr>
      <t>,</t>
    </r>
    <r>
      <rPr>
        <sz val="9"/>
        <color rgb="FF000000"/>
        <rFont val="楷体"/>
        <charset val="134"/>
      </rPr>
      <t>鹏博恒泰</t>
    </r>
  </si>
  <si>
    <r>
      <rPr>
        <sz val="9"/>
        <color rgb="FF000000"/>
        <rFont val="楷体"/>
        <charset val="134"/>
      </rPr>
      <t>蓝驰创投</t>
    </r>
    <r>
      <rPr>
        <sz val="9"/>
        <color rgb="FF000000"/>
        <rFont val="Arial"/>
        <charset val="134"/>
      </rPr>
      <t>,</t>
    </r>
    <r>
      <rPr>
        <sz val="9"/>
        <color rgb="FF000000"/>
        <rFont val="楷体"/>
        <charset val="134"/>
      </rPr>
      <t>七海资本</t>
    </r>
    <r>
      <rPr>
        <sz val="9"/>
        <color rgb="FF000000"/>
        <rFont val="Arial"/>
        <charset val="134"/>
      </rPr>
      <t>,</t>
    </r>
    <r>
      <rPr>
        <sz val="9"/>
        <color rgb="FF000000"/>
        <rFont val="楷体"/>
        <charset val="134"/>
      </rPr>
      <t>远翼投资</t>
    </r>
    <r>
      <rPr>
        <sz val="9"/>
        <color rgb="FF000000"/>
        <rFont val="Arial"/>
        <charset val="134"/>
      </rPr>
      <t>,</t>
    </r>
    <r>
      <rPr>
        <sz val="9"/>
        <color rgb="FF000000"/>
        <rFont val="楷体"/>
        <charset val="134"/>
      </rPr>
      <t>博华资本</t>
    </r>
  </si>
  <si>
    <r>
      <rPr>
        <sz val="9"/>
        <color rgb="FF000000"/>
        <rFont val="楷体"/>
        <charset val="134"/>
      </rPr>
      <t>蓝驰创投</t>
    </r>
    <r>
      <rPr>
        <sz val="9"/>
        <color rgb="FF000000"/>
        <rFont val="Arial"/>
        <charset val="134"/>
      </rPr>
      <t>,</t>
    </r>
    <r>
      <rPr>
        <sz val="9"/>
        <color rgb="FF000000"/>
        <rFont val="楷体"/>
        <charset val="134"/>
      </rPr>
      <t>七海资本</t>
    </r>
  </si>
  <si>
    <r>
      <rPr>
        <sz val="9"/>
        <color rgb="FF000000"/>
        <rFont val="楷体"/>
        <charset val="134"/>
      </rPr>
      <t>创业接力</t>
    </r>
    <r>
      <rPr>
        <sz val="9"/>
        <color rgb="FF000000"/>
        <rFont val="Arial"/>
        <charset val="134"/>
      </rPr>
      <t>,</t>
    </r>
    <r>
      <rPr>
        <sz val="9"/>
        <color rgb="FF000000"/>
        <rFont val="楷体"/>
        <charset val="134"/>
      </rPr>
      <t>七海资本</t>
    </r>
  </si>
  <si>
    <r>
      <t>200</t>
    </r>
    <r>
      <rPr>
        <sz val="9"/>
        <color rgb="FF000000"/>
        <rFont val="楷体"/>
        <charset val="134"/>
      </rPr>
      <t>万人民币</t>
    </r>
  </si>
  <si>
    <r>
      <rPr>
        <sz val="9"/>
        <color rgb="FF000000"/>
        <rFont val="楷体"/>
        <charset val="134"/>
      </rPr>
      <t>创业接力</t>
    </r>
  </si>
  <si>
    <r>
      <rPr>
        <sz val="9"/>
        <color rgb="FF000000"/>
        <rFont val="楷体"/>
        <charset val="134"/>
      </rPr>
      <t>美甲帮</t>
    </r>
  </si>
  <si>
    <r>
      <rPr>
        <sz val="9"/>
        <color rgb="FF000000"/>
        <rFont val="楷体"/>
        <charset val="134"/>
      </rPr>
      <t>美甲帮是一个</t>
    </r>
    <r>
      <rPr>
        <sz val="9"/>
        <color rgb="FF000000"/>
        <rFont val="Arial"/>
        <charset val="134"/>
      </rPr>
      <t>O2O</t>
    </r>
    <r>
      <rPr>
        <sz val="9"/>
        <color rgb="FF000000"/>
        <rFont val="楷体"/>
        <charset val="134"/>
      </rPr>
      <t>模式的手机美甲应用及社区，美甲师可以开自己的微店、提供专业美甲服务，广州牧云网络科技有限公司旗下产品。</t>
    </r>
  </si>
  <si>
    <r>
      <rPr>
        <sz val="9"/>
        <color rgb="FF000000"/>
        <rFont val="楷体"/>
        <charset val="134"/>
      </rPr>
      <t>广州牧云网络科技有限公司</t>
    </r>
  </si>
  <si>
    <r>
      <rPr>
        <sz val="9"/>
        <color rgb="FF000000"/>
        <rFont val="楷体"/>
        <charset val="134"/>
      </rPr>
      <t>美业服务</t>
    </r>
  </si>
  <si>
    <r>
      <rPr>
        <sz val="9"/>
        <color rgb="FF000000"/>
        <rFont val="楷体"/>
        <charset val="134"/>
      </rPr>
      <t>经纬创投</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点亮基金</t>
    </r>
  </si>
  <si>
    <r>
      <t>2.15</t>
    </r>
    <r>
      <rPr>
        <sz val="9"/>
        <color rgb="FF000000"/>
        <rFont val="楷体"/>
        <charset val="134"/>
      </rPr>
      <t>亿</t>
    </r>
  </si>
  <si>
    <r>
      <t>9.75</t>
    </r>
    <r>
      <rPr>
        <sz val="9"/>
        <color rgb="FF000000"/>
        <rFont val="楷体"/>
        <charset val="134"/>
      </rPr>
      <t>亿元</t>
    </r>
  </si>
  <si>
    <r>
      <rPr>
        <sz val="9"/>
        <color rgb="FF000000"/>
        <rFont val="楷体"/>
        <charset val="134"/>
      </rPr>
      <t>余剑楠</t>
    </r>
    <r>
      <rPr>
        <sz val="9"/>
        <color rgb="FF000000"/>
        <rFont val="Arial"/>
        <charset val="134"/>
      </rPr>
      <t>:CEO,</t>
    </r>
    <r>
      <rPr>
        <sz val="9"/>
        <color rgb="FF000000"/>
        <rFont val="楷体"/>
        <charset val="134"/>
      </rPr>
      <t>张剑光</t>
    </r>
    <r>
      <rPr>
        <sz val="9"/>
        <color rgb="FF000000"/>
        <rFont val="Arial"/>
        <charset val="134"/>
      </rPr>
      <t>:CTO</t>
    </r>
  </si>
  <si>
    <r>
      <rPr>
        <sz val="9"/>
        <color rgb="FF000000"/>
        <rFont val="楷体"/>
        <charset val="134"/>
      </rPr>
      <t>宅米</t>
    </r>
  </si>
  <si>
    <r>
      <rPr>
        <sz val="9"/>
        <color rgb="FF000000"/>
        <rFont val="楷体"/>
        <charset val="134"/>
      </rPr>
      <t>宅米是一个校园生活服务平台，主要面向高校大学生，通过在每栋寝室楼里找学生做楼长代理人，与楼长进行分成的模式完成备货、送货等流程，为用户提供零食日杂配送、早餐水果外卖、快递代取上门等服务，旗下夜猫超市为全天</t>
    </r>
    <r>
      <rPr>
        <sz val="9"/>
        <color rgb="FF000000"/>
        <rFont val="Arial"/>
        <charset val="134"/>
      </rPr>
      <t>24</t>
    </r>
    <r>
      <rPr>
        <sz val="9"/>
        <color rgb="FF000000"/>
        <rFont val="楷体"/>
        <charset val="134"/>
      </rPr>
      <t>小时营业。</t>
    </r>
  </si>
  <si>
    <r>
      <rPr>
        <sz val="9"/>
        <color rgb="FF000000"/>
        <rFont val="楷体"/>
        <charset val="134"/>
      </rPr>
      <t>上海千叶网络科技有限公司</t>
    </r>
  </si>
  <si>
    <r>
      <rPr>
        <sz val="9"/>
        <color rgb="FF000000"/>
        <rFont val="楷体"/>
        <charset val="134"/>
      </rPr>
      <t>综合生活服务</t>
    </r>
  </si>
  <si>
    <r>
      <rPr>
        <sz val="9"/>
        <color rgb="FF000000"/>
        <rFont val="楷体"/>
        <charset val="134"/>
      </rPr>
      <t>朗盛投资</t>
    </r>
  </si>
  <si>
    <r>
      <t>11.999</t>
    </r>
    <r>
      <rPr>
        <sz val="9"/>
        <color rgb="FF000000"/>
        <rFont val="楷体"/>
        <charset val="134"/>
      </rPr>
      <t>亿元</t>
    </r>
  </si>
  <si>
    <r>
      <rPr>
        <sz val="9"/>
        <color rgb="FF000000"/>
        <rFont val="楷体"/>
        <charset val="134"/>
      </rPr>
      <t>孙高峰</t>
    </r>
    <r>
      <rPr>
        <sz val="9"/>
        <color rgb="FF000000"/>
        <rFont val="Arial"/>
        <charset val="134"/>
      </rPr>
      <t>:CEO,</t>
    </r>
    <r>
      <rPr>
        <sz val="9"/>
        <color rgb="FF000000"/>
        <rFont val="楷体"/>
        <charset val="134"/>
      </rPr>
      <t>李海波</t>
    </r>
    <r>
      <rPr>
        <sz val="9"/>
        <color rgb="FF000000"/>
        <rFont val="Arial"/>
        <charset val="134"/>
      </rPr>
      <t>:CTO,</t>
    </r>
    <r>
      <rPr>
        <sz val="9"/>
        <color rgb="FF000000"/>
        <rFont val="楷体"/>
        <charset val="134"/>
      </rPr>
      <t>贾瑞晖</t>
    </r>
    <r>
      <rPr>
        <sz val="9"/>
        <color rgb="FF000000"/>
        <rFont val="Arial"/>
        <charset val="134"/>
      </rPr>
      <t>:CPO,</t>
    </r>
    <r>
      <rPr>
        <sz val="9"/>
        <color rgb="FF000000"/>
        <rFont val="楷体"/>
        <charset val="134"/>
      </rPr>
      <t>戴文博</t>
    </r>
    <r>
      <rPr>
        <sz val="9"/>
        <color rgb="FF000000"/>
        <rFont val="Arial"/>
        <charset val="134"/>
      </rPr>
      <t>:</t>
    </r>
    <r>
      <rPr>
        <sz val="9"/>
        <color rgb="FF000000"/>
        <rFont val="楷体"/>
        <charset val="134"/>
      </rPr>
      <t>联合创始人</t>
    </r>
  </si>
  <si>
    <r>
      <t>3500</t>
    </r>
    <r>
      <rPr>
        <sz val="9"/>
        <color rgb="FF000000"/>
        <rFont val="楷体"/>
        <charset val="134"/>
      </rPr>
      <t>万美元</t>
    </r>
  </si>
  <si>
    <r>
      <t>BAI</t>
    </r>
    <r>
      <rPr>
        <sz val="9"/>
        <color rgb="FF000000"/>
        <rFont val="楷体"/>
        <charset val="134"/>
      </rPr>
      <t>资本</t>
    </r>
    <r>
      <rPr>
        <sz val="9"/>
        <color rgb="FF000000"/>
        <rFont val="Arial"/>
        <charset val="134"/>
      </rPr>
      <t>,</t>
    </r>
    <r>
      <rPr>
        <sz val="9"/>
        <color rgb="FF000000"/>
        <rFont val="楷体"/>
        <charset val="134"/>
      </rPr>
      <t>祥峰投资</t>
    </r>
    <r>
      <rPr>
        <sz val="9"/>
        <color rgb="FF000000"/>
        <rFont val="Arial"/>
        <charset val="134"/>
      </rPr>
      <t>Vertex,</t>
    </r>
    <r>
      <rPr>
        <sz val="9"/>
        <color rgb="FF000000"/>
        <rFont val="楷体"/>
        <charset val="134"/>
      </rPr>
      <t>联创永宣</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美团</t>
    </r>
  </si>
  <si>
    <r>
      <t>BAI</t>
    </r>
    <r>
      <rPr>
        <sz val="9"/>
        <color rgb="FF000000"/>
        <rFont val="楷体"/>
        <charset val="134"/>
      </rPr>
      <t>资本</t>
    </r>
    <r>
      <rPr>
        <sz val="9"/>
        <color rgb="FF000000"/>
        <rFont val="Arial"/>
        <charset val="134"/>
      </rPr>
      <t>,</t>
    </r>
    <r>
      <rPr>
        <sz val="9"/>
        <color rgb="FF000000"/>
        <rFont val="楷体"/>
        <charset val="134"/>
      </rPr>
      <t>分期乐</t>
    </r>
  </si>
  <si>
    <r>
      <rPr>
        <sz val="9"/>
        <color rgb="FF000000"/>
        <rFont val="楷体"/>
        <charset val="134"/>
      </rPr>
      <t>祥峰投资</t>
    </r>
    <r>
      <rPr>
        <sz val="9"/>
        <color rgb="FF000000"/>
        <rFont val="Arial"/>
        <charset val="134"/>
      </rPr>
      <t>Vertex</t>
    </r>
  </si>
  <si>
    <r>
      <rPr>
        <sz val="9"/>
        <color rgb="FF000000"/>
        <rFont val="楷体"/>
        <charset val="134"/>
      </rPr>
      <t>惠泽天下创投</t>
    </r>
  </si>
  <si>
    <r>
      <rPr>
        <sz val="9"/>
        <color rgb="FF000000"/>
        <rFont val="楷体"/>
        <charset val="134"/>
      </rPr>
      <t>任飞资本</t>
    </r>
    <r>
      <rPr>
        <sz val="9"/>
        <color rgb="FF000000"/>
        <rFont val="Arial"/>
        <charset val="134"/>
      </rPr>
      <t>(</t>
    </r>
    <r>
      <rPr>
        <sz val="9"/>
        <color rgb="FF000000"/>
        <rFont val="楷体"/>
        <charset val="134"/>
      </rPr>
      <t>任飞投资中心</t>
    </r>
    <r>
      <rPr>
        <sz val="9"/>
        <color rgb="FF000000"/>
        <rFont val="Arial"/>
        <charset val="134"/>
      </rPr>
      <t>)</t>
    </r>
  </si>
  <si>
    <r>
      <rPr>
        <sz val="9"/>
        <color rgb="FF000000"/>
        <rFont val="楷体"/>
        <charset val="134"/>
      </rPr>
      <t>美菜网</t>
    </r>
  </si>
  <si>
    <r>
      <rPr>
        <sz val="9"/>
        <color rgb="FF000000"/>
        <rFont val="楷体"/>
        <charset val="134"/>
      </rPr>
      <t>美菜网是中国餐饮供应链杰出服务商，致力于用前卫的理念和先进的科技改变落后的中国农业市场，专注为全国近千万家餐厅，提供全品类、全程无忧的餐饮食材采购服务。</t>
    </r>
  </si>
  <si>
    <r>
      <rPr>
        <sz val="9"/>
        <color rgb="FF000000"/>
        <rFont val="楷体"/>
        <charset val="134"/>
      </rPr>
      <t>北京云杉信息技术有限公司</t>
    </r>
  </si>
  <si>
    <r>
      <t>F</t>
    </r>
    <r>
      <rPr>
        <sz val="9"/>
        <color rgb="FF000000"/>
        <rFont val="楷体"/>
        <charset val="134"/>
      </rPr>
      <t>轮</t>
    </r>
  </si>
  <si>
    <r>
      <t>6</t>
    </r>
    <r>
      <rPr>
        <sz val="9"/>
        <color rgb="FF000000"/>
        <rFont val="楷体"/>
        <charset val="134"/>
      </rPr>
      <t>亿美元</t>
    </r>
  </si>
  <si>
    <r>
      <rPr>
        <sz val="9"/>
        <color rgb="FF000000"/>
        <rFont val="楷体"/>
        <charset val="134"/>
      </rPr>
      <t>高瓴投资</t>
    </r>
    <r>
      <rPr>
        <sz val="9"/>
        <color rgb="FF000000"/>
        <rFont val="Arial"/>
        <charset val="134"/>
      </rPr>
      <t>,Tiger Global</t>
    </r>
    <r>
      <rPr>
        <sz val="9"/>
        <color rgb="FF000000"/>
        <rFont val="楷体"/>
        <charset val="134"/>
      </rPr>
      <t>老虎海外</t>
    </r>
  </si>
  <si>
    <r>
      <t>101.95</t>
    </r>
    <r>
      <rPr>
        <sz val="9"/>
        <color rgb="FF000000"/>
        <rFont val="楷体"/>
        <charset val="134"/>
      </rPr>
      <t>亿</t>
    </r>
  </si>
  <si>
    <r>
      <t>455</t>
    </r>
    <r>
      <rPr>
        <sz val="9"/>
        <color rgb="FF000000"/>
        <rFont val="楷体"/>
        <charset val="134"/>
      </rPr>
      <t>亿元</t>
    </r>
  </si>
  <si>
    <r>
      <rPr>
        <sz val="9"/>
        <color rgb="FF000000"/>
        <rFont val="楷体"/>
        <charset val="134"/>
      </rPr>
      <t>刘传军</t>
    </r>
    <r>
      <rPr>
        <sz val="9"/>
        <color rgb="FF000000"/>
        <rFont val="Arial"/>
        <charset val="134"/>
      </rPr>
      <t>:CEO,</t>
    </r>
    <r>
      <rPr>
        <sz val="9"/>
        <color rgb="FF000000"/>
        <rFont val="楷体"/>
        <charset val="134"/>
      </rPr>
      <t>徐薛胤</t>
    </r>
    <r>
      <rPr>
        <sz val="9"/>
        <color rgb="FF000000"/>
        <rFont val="Arial"/>
        <charset val="134"/>
      </rPr>
      <t>:CTO,</t>
    </r>
    <r>
      <rPr>
        <sz val="9"/>
        <color rgb="FF000000"/>
        <rFont val="楷体"/>
        <charset val="134"/>
      </rPr>
      <t>王灿</t>
    </r>
    <r>
      <rPr>
        <sz val="9"/>
        <color rgb="FF000000"/>
        <rFont val="Arial"/>
        <charset val="134"/>
      </rPr>
      <t>:CFO</t>
    </r>
  </si>
  <si>
    <r>
      <rPr>
        <sz val="9"/>
        <color rgb="FF000000"/>
        <rFont val="楷体"/>
        <charset val="134"/>
      </rPr>
      <t>北京市朝阳区安贞路安贞西里</t>
    </r>
    <r>
      <rPr>
        <sz val="9"/>
        <color rgb="FF000000"/>
        <rFont val="Arial"/>
        <charset val="134"/>
      </rPr>
      <t>5</t>
    </r>
    <r>
      <rPr>
        <sz val="9"/>
        <color rgb="FF000000"/>
        <rFont val="楷体"/>
        <charset val="134"/>
      </rPr>
      <t>区</t>
    </r>
    <r>
      <rPr>
        <sz val="9"/>
        <color rgb="FF000000"/>
        <rFont val="Arial"/>
        <charset val="134"/>
      </rPr>
      <t>1</t>
    </r>
    <r>
      <rPr>
        <sz val="9"/>
        <color rgb="FF000000"/>
        <rFont val="楷体"/>
        <charset val="134"/>
      </rPr>
      <t>号楼新华金融大厦</t>
    </r>
    <r>
      <rPr>
        <sz val="9"/>
        <color rgb="FF000000"/>
        <rFont val="Arial"/>
        <charset val="134"/>
      </rPr>
      <t>3-4</t>
    </r>
    <r>
      <rPr>
        <sz val="9"/>
        <color rgb="FF000000"/>
        <rFont val="楷体"/>
        <charset val="134"/>
      </rPr>
      <t>层</t>
    </r>
  </si>
  <si>
    <r>
      <rPr>
        <sz val="9"/>
        <color rgb="FF000000"/>
        <rFont val="楷体"/>
        <charset val="134"/>
      </rPr>
      <t>顺为资本</t>
    </r>
  </si>
  <si>
    <r>
      <t>4.5</t>
    </r>
    <r>
      <rPr>
        <sz val="9"/>
        <color rgb="FF000000"/>
        <rFont val="楷体"/>
        <charset val="134"/>
      </rPr>
      <t>亿美元</t>
    </r>
  </si>
  <si>
    <r>
      <t>Tiger Global</t>
    </r>
    <r>
      <rPr>
        <sz val="9"/>
        <color rgb="FF000000"/>
        <rFont val="楷体"/>
        <charset val="134"/>
      </rPr>
      <t>老虎海外</t>
    </r>
    <r>
      <rPr>
        <sz val="9"/>
        <color rgb="FF000000"/>
        <rFont val="Arial"/>
        <charset val="134"/>
      </rPr>
      <t>,CMC</t>
    </r>
    <r>
      <rPr>
        <sz val="9"/>
        <color rgb="FF000000"/>
        <rFont val="楷体"/>
        <charset val="134"/>
      </rPr>
      <t>资本</t>
    </r>
  </si>
  <si>
    <r>
      <rPr>
        <sz val="9"/>
        <color rgb="FF000000"/>
        <rFont val="楷体"/>
        <charset val="134"/>
      </rPr>
      <t>国开国际投资</t>
    </r>
  </si>
  <si>
    <r>
      <t>2</t>
    </r>
    <r>
      <rPr>
        <sz val="9"/>
        <color rgb="FF000000"/>
        <rFont val="楷体"/>
        <charset val="134"/>
      </rPr>
      <t>亿美元</t>
    </r>
  </si>
  <si>
    <r>
      <rPr>
        <sz val="9"/>
        <color rgb="FF000000"/>
        <rFont val="楷体"/>
        <charset val="134"/>
      </rPr>
      <t>厚朴基金</t>
    </r>
  </si>
  <si>
    <r>
      <t>H Capital,</t>
    </r>
    <r>
      <rPr>
        <sz val="9"/>
        <color rgb="FF000000"/>
        <rFont val="楷体"/>
        <charset val="134"/>
      </rPr>
      <t>美团</t>
    </r>
  </si>
  <si>
    <r>
      <rPr>
        <sz val="9"/>
        <color rgb="FF000000"/>
        <rFont val="楷体"/>
        <charset val="134"/>
      </rPr>
      <t>顺为资本</t>
    </r>
    <r>
      <rPr>
        <sz val="9"/>
        <color rgb="FF000000"/>
        <rFont val="Arial"/>
        <charset val="134"/>
      </rPr>
      <t>,</t>
    </r>
    <r>
      <rPr>
        <sz val="9"/>
        <color rgb="FF000000"/>
        <rFont val="楷体"/>
        <charset val="134"/>
      </rPr>
      <t>蓝湖资本</t>
    </r>
  </si>
  <si>
    <r>
      <rPr>
        <sz val="9"/>
        <color rgb="FF000000"/>
        <rFont val="楷体"/>
        <charset val="134"/>
      </rPr>
      <t>蓝湖资本</t>
    </r>
  </si>
  <si>
    <r>
      <rPr>
        <sz val="9"/>
        <color rgb="FF000000"/>
        <rFont val="楷体"/>
        <charset val="134"/>
      </rPr>
      <t>真格基金</t>
    </r>
  </si>
  <si>
    <r>
      <rPr>
        <sz val="9"/>
        <color rgb="FF000000"/>
        <rFont val="楷体"/>
        <charset val="134"/>
      </rPr>
      <t>幻熊科技</t>
    </r>
  </si>
  <si>
    <r>
      <rPr>
        <sz val="9"/>
        <color rgb="FF000000"/>
        <rFont val="楷体"/>
        <charset val="134"/>
      </rPr>
      <t>幻熊科技是基于</t>
    </r>
    <r>
      <rPr>
        <sz val="9"/>
        <color rgb="FF000000"/>
        <rFont val="Arial"/>
        <charset val="134"/>
      </rPr>
      <t>SaaS</t>
    </r>
    <r>
      <rPr>
        <sz val="9"/>
        <color rgb="FF000000"/>
        <rFont val="楷体"/>
        <charset val="134"/>
      </rPr>
      <t>的婚庆行业</t>
    </r>
    <r>
      <rPr>
        <sz val="9"/>
        <color rgb="FF000000"/>
        <rFont val="Arial"/>
        <charset val="134"/>
      </rPr>
      <t>S2B2C</t>
    </r>
    <r>
      <rPr>
        <sz val="9"/>
        <color rgb="FF000000"/>
        <rFont val="楷体"/>
        <charset val="134"/>
      </rPr>
      <t>平台，从传统婚庆门店销售系统切入，提供标准化、体验化、智能化的辅助销售工具及供应链服务聚合平台，并借助虚拟现实技术实时渲染呈现婚礼场景。</t>
    </r>
  </si>
  <si>
    <r>
      <rPr>
        <sz val="9"/>
        <color rgb="FF000000"/>
        <rFont val="楷体"/>
        <charset val="134"/>
      </rPr>
      <t>杭州幻熊科技有限公司</t>
    </r>
  </si>
  <si>
    <r>
      <rPr>
        <sz val="9"/>
        <color rgb="FF000000"/>
        <rFont val="楷体"/>
        <charset val="134"/>
      </rPr>
      <t>上海</t>
    </r>
    <r>
      <rPr>
        <sz val="9"/>
        <color rgb="FF000000"/>
        <rFont val="Arial"/>
        <charset val="134"/>
      </rPr>
      <t>-</t>
    </r>
    <r>
      <rPr>
        <sz val="9"/>
        <color rgb="FF000000"/>
        <rFont val="楷体"/>
        <charset val="134"/>
      </rPr>
      <t>静安区</t>
    </r>
  </si>
  <si>
    <r>
      <rPr>
        <sz val="9"/>
        <color rgb="FF000000"/>
        <rFont val="楷体"/>
        <charset val="134"/>
      </rPr>
      <t>婚礼婚庆</t>
    </r>
  </si>
  <si>
    <r>
      <rPr>
        <sz val="9"/>
        <color rgb="FF000000"/>
        <rFont val="楷体"/>
        <charset val="134"/>
      </rPr>
      <t>口碑</t>
    </r>
  </si>
  <si>
    <r>
      <t>3.23</t>
    </r>
    <r>
      <rPr>
        <sz val="9"/>
        <color rgb="FF000000"/>
        <rFont val="楷体"/>
        <charset val="134"/>
      </rPr>
      <t>亿</t>
    </r>
  </si>
  <si>
    <r>
      <rPr>
        <sz val="9"/>
        <color rgb="FF000000"/>
        <rFont val="楷体"/>
        <charset val="134"/>
      </rPr>
      <t>上海市静安区江场路</t>
    </r>
    <r>
      <rPr>
        <sz val="9"/>
        <color rgb="FF000000"/>
        <rFont val="Arial"/>
        <charset val="134"/>
      </rPr>
      <t>1377</t>
    </r>
    <r>
      <rPr>
        <sz val="9"/>
        <color rgb="FF000000"/>
        <rFont val="楷体"/>
        <charset val="134"/>
      </rPr>
      <t>号绿地中央广场</t>
    </r>
    <r>
      <rPr>
        <sz val="9"/>
        <color rgb="FF000000"/>
        <rFont val="Arial"/>
        <charset val="134"/>
      </rPr>
      <t>3</t>
    </r>
    <r>
      <rPr>
        <sz val="9"/>
        <color rgb="FF000000"/>
        <rFont val="楷体"/>
        <charset val="134"/>
      </rPr>
      <t>号楼</t>
    </r>
  </si>
  <si>
    <r>
      <rPr>
        <sz val="9"/>
        <color rgb="FF000000"/>
        <rFont val="楷体"/>
        <charset val="134"/>
      </rPr>
      <t>普华资本</t>
    </r>
    <r>
      <rPr>
        <sz val="9"/>
        <color rgb="FF000000"/>
        <rFont val="Arial"/>
        <charset val="134"/>
      </rPr>
      <t>,</t>
    </r>
    <r>
      <rPr>
        <sz val="9"/>
        <color rgb="FF000000"/>
        <rFont val="楷体"/>
        <charset val="134"/>
      </rPr>
      <t>浅石创投</t>
    </r>
    <r>
      <rPr>
        <sz val="9"/>
        <color rgb="FF000000"/>
        <rFont val="Arial"/>
        <charset val="134"/>
      </rPr>
      <t>,</t>
    </r>
    <r>
      <rPr>
        <sz val="9"/>
        <color rgb="FF000000"/>
        <rFont val="楷体"/>
        <charset val="134"/>
      </rPr>
      <t>美团</t>
    </r>
  </si>
  <si>
    <r>
      <rPr>
        <sz val="9"/>
        <color rgb="FF000000"/>
        <rFont val="楷体"/>
        <charset val="134"/>
      </rPr>
      <t>曹国熊</t>
    </r>
  </si>
  <si>
    <r>
      <rPr>
        <sz val="9"/>
        <color rgb="FF000000"/>
        <rFont val="楷体"/>
        <charset val="134"/>
      </rPr>
      <t>禾赛科技</t>
    </r>
  </si>
  <si>
    <r>
      <rPr>
        <sz val="9"/>
        <color rgb="FF000000"/>
        <rFont val="楷体"/>
        <charset val="134"/>
      </rPr>
      <t>禾赛科技专注于开发激光传感器，目前产品线包括用于无人驾驶和机器人的激光雷达，以及用于能源行业安全巡检的激光遥测系统等。禾赛科技自主研发的激光雷达</t>
    </r>
    <r>
      <rPr>
        <sz val="9"/>
        <color rgb="FF000000"/>
        <rFont val="Arial"/>
        <charset val="134"/>
      </rPr>
      <t>Pandar40</t>
    </r>
    <r>
      <rPr>
        <sz val="9"/>
        <color rgb="FF000000"/>
        <rFont val="楷体"/>
        <charset val="134"/>
      </rPr>
      <t>已经装在了硅谷、底特律、匹兹堡及欧洲和祖国各地的数十家顶尖自动驾驶公司的无人车上。美国加州现有的</t>
    </r>
    <r>
      <rPr>
        <sz val="9"/>
        <color rgb="FF000000"/>
        <rFont val="Arial"/>
        <charset val="134"/>
      </rPr>
      <t>52</t>
    </r>
    <r>
      <rPr>
        <sz val="9"/>
        <color rgb="FF000000"/>
        <rFont val="楷体"/>
        <charset val="134"/>
      </rPr>
      <t>家获得无人车公开道路测试牌照的高科技公司中，超过</t>
    </r>
    <r>
      <rPr>
        <sz val="9"/>
        <color rgb="FF000000"/>
        <rFont val="Arial"/>
        <charset val="134"/>
      </rPr>
      <t>1/3</t>
    </r>
    <r>
      <rPr>
        <sz val="9"/>
        <color rgb="FF000000"/>
        <rFont val="楷体"/>
        <charset val="134"/>
      </rPr>
      <t>已经是禾赛</t>
    </r>
    <r>
      <rPr>
        <sz val="9"/>
        <color rgb="FF000000"/>
        <rFont val="Arial"/>
        <charset val="134"/>
      </rPr>
      <t>Pandar40</t>
    </r>
    <r>
      <rPr>
        <sz val="9"/>
        <color rgb="FF000000"/>
        <rFont val="楷体"/>
        <charset val="134"/>
      </rPr>
      <t>的付费客户。</t>
    </r>
  </si>
  <si>
    <r>
      <rPr>
        <sz val="9"/>
        <color rgb="FF000000"/>
        <rFont val="楷体"/>
        <charset val="134"/>
      </rPr>
      <t>上海禾赛科技有限公司</t>
    </r>
  </si>
  <si>
    <r>
      <t>1.9</t>
    </r>
    <r>
      <rPr>
        <sz val="9"/>
        <color rgb="FF000000"/>
        <rFont val="楷体"/>
        <charset val="134"/>
      </rPr>
      <t>亿美元</t>
    </r>
  </si>
  <si>
    <r>
      <t>51.44</t>
    </r>
    <r>
      <rPr>
        <sz val="9"/>
        <color rgb="FF000000"/>
        <rFont val="楷体"/>
        <charset val="134"/>
      </rPr>
      <t>亿</t>
    </r>
  </si>
  <si>
    <r>
      <t>156</t>
    </r>
    <r>
      <rPr>
        <sz val="9"/>
        <color rgb="FF000000"/>
        <rFont val="楷体"/>
        <charset val="134"/>
      </rPr>
      <t>亿元</t>
    </r>
  </si>
  <si>
    <r>
      <rPr>
        <sz val="9"/>
        <color rgb="FF000000"/>
        <rFont val="楷体"/>
        <charset val="134"/>
      </rPr>
      <t>李一帆</t>
    </r>
    <r>
      <rPr>
        <sz val="9"/>
        <color rgb="FF000000"/>
        <rFont val="Arial"/>
        <charset val="134"/>
      </rPr>
      <t>:CEO,</t>
    </r>
    <r>
      <rPr>
        <sz val="9"/>
        <color rgb="FF000000"/>
        <rFont val="楷体"/>
        <charset val="134"/>
      </rPr>
      <t>向少卿</t>
    </r>
    <r>
      <rPr>
        <sz val="9"/>
        <color rgb="FF000000"/>
        <rFont val="Arial"/>
        <charset val="134"/>
      </rPr>
      <t>:CTO,</t>
    </r>
    <r>
      <rPr>
        <sz val="9"/>
        <color rgb="FF000000"/>
        <rFont val="楷体"/>
        <charset val="134"/>
      </rPr>
      <t>孙恺</t>
    </r>
    <r>
      <rPr>
        <sz val="9"/>
        <color rgb="FF000000"/>
        <rFont val="Arial"/>
        <charset val="134"/>
      </rPr>
      <t>:</t>
    </r>
    <r>
      <rPr>
        <sz val="9"/>
        <color rgb="FF000000"/>
        <rFont val="楷体"/>
        <charset val="134"/>
      </rPr>
      <t>首席科学家</t>
    </r>
  </si>
  <si>
    <r>
      <rPr>
        <sz val="9"/>
        <color rgb="FF000000"/>
        <rFont val="楷体"/>
        <charset val="134"/>
      </rPr>
      <t>上海市诸光路</t>
    </r>
    <r>
      <rPr>
        <sz val="9"/>
        <color rgb="FF000000"/>
        <rFont val="Arial"/>
        <charset val="134"/>
      </rPr>
      <t>1588</t>
    </r>
    <r>
      <rPr>
        <sz val="9"/>
        <color rgb="FF000000"/>
        <rFont val="楷体"/>
        <charset val="134"/>
      </rPr>
      <t>号虹桥世界中心</t>
    </r>
    <r>
      <rPr>
        <sz val="9"/>
        <color rgb="FF000000"/>
        <rFont val="Arial"/>
        <charset val="134"/>
      </rPr>
      <t>L2</t>
    </r>
    <r>
      <rPr>
        <sz val="9"/>
        <color rgb="FF000000"/>
        <rFont val="楷体"/>
        <charset val="134"/>
      </rPr>
      <t>栋</t>
    </r>
  </si>
  <si>
    <r>
      <rPr>
        <sz val="9"/>
        <color rgb="FF000000"/>
        <rFont val="楷体"/>
        <charset val="134"/>
      </rPr>
      <t>小米集团</t>
    </r>
  </si>
  <si>
    <r>
      <t>3</t>
    </r>
    <r>
      <rPr>
        <sz val="9"/>
        <color rgb="FF000000"/>
        <rFont val="楷体"/>
        <charset val="134"/>
      </rPr>
      <t>亿美元</t>
    </r>
  </si>
  <si>
    <r>
      <rPr>
        <sz val="9"/>
        <color rgb="FF000000"/>
        <rFont val="楷体"/>
        <charset val="134"/>
      </rPr>
      <t>启明创投</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小米集团</t>
    </r>
    <r>
      <rPr>
        <sz val="9"/>
        <color rgb="FF000000"/>
        <rFont val="Arial"/>
        <charset val="134"/>
      </rPr>
      <t>,CPE</t>
    </r>
    <r>
      <rPr>
        <sz val="9"/>
        <color rgb="FF000000"/>
        <rFont val="楷体"/>
        <charset val="134"/>
      </rPr>
      <t>源峰</t>
    </r>
    <r>
      <rPr>
        <sz val="9"/>
        <color rgb="FF000000"/>
        <rFont val="Arial"/>
        <charset val="134"/>
      </rPr>
      <t>,Lightspeed Venture Partners</t>
    </r>
    <r>
      <rPr>
        <sz val="9"/>
        <color rgb="FF000000"/>
        <rFont val="楷体"/>
        <charset val="134"/>
      </rPr>
      <t>光速全球</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华泰证券</t>
    </r>
    <r>
      <rPr>
        <sz val="9"/>
        <color rgb="FF000000"/>
        <rFont val="Arial"/>
        <charset val="134"/>
      </rPr>
      <t>,</t>
    </r>
    <r>
      <rPr>
        <sz val="9"/>
        <color rgb="FF000000"/>
        <rFont val="楷体"/>
        <charset val="134"/>
      </rPr>
      <t>高瓴创投</t>
    </r>
  </si>
  <si>
    <r>
      <t>1.73</t>
    </r>
    <r>
      <rPr>
        <sz val="9"/>
        <color rgb="FF000000"/>
        <rFont val="楷体"/>
        <charset val="134"/>
      </rPr>
      <t>亿美元</t>
    </r>
  </si>
  <si>
    <r>
      <rPr>
        <sz val="9"/>
        <color rgb="FF000000"/>
        <rFont val="楷体"/>
        <charset val="134"/>
      </rPr>
      <t>启明创投</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德同资本</t>
    </r>
    <r>
      <rPr>
        <sz val="9"/>
        <color rgb="FF000000"/>
        <rFont val="Arial"/>
        <charset val="134"/>
      </rPr>
      <t>,</t>
    </r>
    <r>
      <rPr>
        <sz val="9"/>
        <color rgb="FF000000"/>
        <rFont val="楷体"/>
        <charset val="134"/>
      </rPr>
      <t>博世中国</t>
    </r>
    <r>
      <rPr>
        <sz val="9"/>
        <color rgb="FF000000"/>
        <rFont val="Arial"/>
        <charset val="134"/>
      </rPr>
      <t>,</t>
    </r>
    <r>
      <rPr>
        <sz val="9"/>
        <color rgb="FF000000"/>
        <rFont val="楷体"/>
        <charset val="134"/>
      </rPr>
      <t>美国安森美半导体</t>
    </r>
    <r>
      <rPr>
        <sz val="9"/>
        <color rgb="FF000000"/>
        <rFont val="Arial"/>
        <charset val="134"/>
      </rPr>
      <t>,</t>
    </r>
    <r>
      <rPr>
        <sz val="9"/>
        <color rgb="FF000000"/>
        <rFont val="楷体"/>
        <charset val="134"/>
      </rPr>
      <t>新加坡</t>
    </r>
    <r>
      <rPr>
        <sz val="9"/>
        <color rgb="FF000000"/>
        <rFont val="Arial"/>
        <charset val="134"/>
      </rPr>
      <t>Axiom</t>
    </r>
  </si>
  <si>
    <r>
      <t>2.5</t>
    </r>
    <r>
      <rPr>
        <sz val="9"/>
        <color rgb="FF000000"/>
        <rFont val="楷体"/>
        <charset val="134"/>
      </rPr>
      <t>亿人民币</t>
    </r>
  </si>
  <si>
    <r>
      <rPr>
        <sz val="9"/>
        <color rgb="FF000000"/>
        <rFont val="楷体"/>
        <charset val="134"/>
      </rPr>
      <t>真格基金</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百度</t>
    </r>
  </si>
  <si>
    <r>
      <t>1.1</t>
    </r>
    <r>
      <rPr>
        <sz val="9"/>
        <color rgb="FF000000"/>
        <rFont val="楷体"/>
        <charset val="134"/>
      </rPr>
      <t>亿人民币</t>
    </r>
  </si>
  <si>
    <r>
      <rPr>
        <sz val="9"/>
        <color rgb="FF000000"/>
        <rFont val="楷体"/>
        <charset val="134"/>
      </rPr>
      <t>磐谷创投</t>
    </r>
    <r>
      <rPr>
        <sz val="9"/>
        <color rgb="FF000000"/>
        <rFont val="Arial"/>
        <charset val="134"/>
      </rPr>
      <t>,</t>
    </r>
    <r>
      <rPr>
        <sz val="9"/>
        <color rgb="FF000000"/>
        <rFont val="楷体"/>
        <charset val="134"/>
      </rPr>
      <t>远瞻资本</t>
    </r>
    <r>
      <rPr>
        <sz val="9"/>
        <color rgb="FF000000"/>
        <rFont val="Arial"/>
        <charset val="134"/>
      </rPr>
      <t>,</t>
    </r>
    <r>
      <rPr>
        <sz val="9"/>
        <color rgb="FF000000"/>
        <rFont val="楷体"/>
        <charset val="134"/>
      </rPr>
      <t>鼎和高达</t>
    </r>
    <r>
      <rPr>
        <sz val="9"/>
        <color rgb="FF000000"/>
        <rFont val="Arial"/>
        <charset val="134"/>
      </rPr>
      <t>,</t>
    </r>
    <r>
      <rPr>
        <sz val="9"/>
        <color rgb="FF000000"/>
        <rFont val="楷体"/>
        <charset val="134"/>
      </rPr>
      <t>将门创投</t>
    </r>
  </si>
  <si>
    <r>
      <t>PreAngel,</t>
    </r>
    <r>
      <rPr>
        <sz val="9"/>
        <color rgb="FF000000"/>
        <rFont val="楷体"/>
        <charset val="134"/>
      </rPr>
      <t>大米创投</t>
    </r>
    <r>
      <rPr>
        <sz val="9"/>
        <color rgb="FF000000"/>
        <rFont val="Arial"/>
        <charset val="134"/>
      </rPr>
      <t>,</t>
    </r>
    <r>
      <rPr>
        <sz val="9"/>
        <color rgb="FF000000"/>
        <rFont val="楷体"/>
        <charset val="134"/>
      </rPr>
      <t>远瞻资本</t>
    </r>
  </si>
  <si>
    <r>
      <rPr>
        <sz val="9"/>
        <color rgb="FF000000"/>
        <rFont val="楷体"/>
        <charset val="134"/>
      </rPr>
      <t>光线传媒成立于</t>
    </r>
    <r>
      <rPr>
        <sz val="9"/>
        <color rgb="FF000000"/>
        <rFont val="Arial"/>
        <charset val="134"/>
      </rPr>
      <t>1998</t>
    </r>
    <r>
      <rPr>
        <sz val="9"/>
        <color rgb="FF000000"/>
        <rFont val="楷体"/>
        <charset val="134"/>
      </rPr>
      <t>年，是国内一家民营综合性文娱集团，主营业务包括电视节目制作与发行，电影投资、制作、宣发，电视剧投资、发行，艺人经纪，新媒体互联网、游戏等。公司于</t>
    </r>
    <r>
      <rPr>
        <sz val="9"/>
        <color rgb="FF000000"/>
        <rFont val="Arial"/>
        <charset val="134"/>
      </rPr>
      <t>2011</t>
    </r>
    <r>
      <rPr>
        <sz val="9"/>
        <color rgb="FF000000"/>
        <rFont val="楷体"/>
        <charset val="134"/>
      </rPr>
      <t>年</t>
    </r>
    <r>
      <rPr>
        <sz val="9"/>
        <color rgb="FF000000"/>
        <rFont val="Arial"/>
        <charset val="134"/>
      </rPr>
      <t>8</t>
    </r>
    <r>
      <rPr>
        <sz val="9"/>
        <color rgb="FF000000"/>
        <rFont val="楷体"/>
        <charset val="134"/>
      </rPr>
      <t>月</t>
    </r>
    <r>
      <rPr>
        <sz val="9"/>
        <color rgb="FF000000"/>
        <rFont val="Arial"/>
        <charset val="134"/>
      </rPr>
      <t>3</t>
    </r>
    <r>
      <rPr>
        <sz val="9"/>
        <color rgb="FF000000"/>
        <rFont val="楷体"/>
        <charset val="134"/>
      </rPr>
      <t>日在登陆深圳创业板。</t>
    </r>
  </si>
  <si>
    <r>
      <rPr>
        <sz val="9"/>
        <color rgb="FF000000"/>
        <rFont val="楷体"/>
        <charset val="134"/>
      </rPr>
      <t>北京光线传媒股份有限公司</t>
    </r>
  </si>
  <si>
    <r>
      <t>24</t>
    </r>
    <r>
      <rPr>
        <sz val="9"/>
        <color rgb="FF000000"/>
        <rFont val="楷体"/>
        <charset val="134"/>
      </rPr>
      <t>亿人民币</t>
    </r>
  </si>
  <si>
    <r>
      <rPr>
        <sz val="9"/>
        <color rgb="FF000000"/>
        <rFont val="楷体"/>
        <charset val="134"/>
      </rPr>
      <t>阿里巴巴</t>
    </r>
    <r>
      <rPr>
        <sz val="9"/>
        <color rgb="FF000000"/>
        <rFont val="Arial"/>
        <charset val="134"/>
      </rPr>
      <t>,</t>
    </r>
    <r>
      <rPr>
        <sz val="9"/>
        <color rgb="FF000000"/>
        <rFont val="楷体"/>
        <charset val="134"/>
      </rPr>
      <t>美团</t>
    </r>
  </si>
  <si>
    <r>
      <t>38.4</t>
    </r>
    <r>
      <rPr>
        <sz val="9"/>
        <color rgb="FF000000"/>
        <rFont val="楷体"/>
        <charset val="134"/>
      </rPr>
      <t>亿</t>
    </r>
  </si>
  <si>
    <r>
      <t>120</t>
    </r>
    <r>
      <rPr>
        <sz val="9"/>
        <color rgb="FF000000"/>
        <rFont val="楷体"/>
        <charset val="134"/>
      </rPr>
      <t>亿元</t>
    </r>
  </si>
  <si>
    <r>
      <rPr>
        <sz val="9"/>
        <color rgb="FF000000"/>
        <rFont val="楷体"/>
        <charset val="134"/>
      </rPr>
      <t>王长田</t>
    </r>
    <r>
      <rPr>
        <sz val="9"/>
        <color rgb="FF000000"/>
        <rFont val="Arial"/>
        <charset val="134"/>
      </rPr>
      <t>:</t>
    </r>
    <r>
      <rPr>
        <sz val="9"/>
        <color rgb="FF000000"/>
        <rFont val="楷体"/>
        <charset val="134"/>
      </rPr>
      <t>创始</t>
    </r>
  </si>
  <si>
    <r>
      <t>14.4</t>
    </r>
    <r>
      <rPr>
        <sz val="9"/>
        <color rgb="FF000000"/>
        <rFont val="楷体"/>
        <charset val="134"/>
      </rPr>
      <t>亿人民币</t>
    </r>
  </si>
  <si>
    <r>
      <rPr>
        <sz val="9"/>
        <color rgb="FF000000"/>
        <rFont val="楷体"/>
        <charset val="134"/>
      </rPr>
      <t>北京易酒批电子商务有限公司</t>
    </r>
  </si>
  <si>
    <r>
      <rPr>
        <sz val="9"/>
        <color rgb="FF000000"/>
        <rFont val="楷体"/>
        <charset val="134"/>
      </rPr>
      <t>北京市朝阳区融科望京中心</t>
    </r>
    <r>
      <rPr>
        <sz val="9"/>
        <color rgb="FF000000"/>
        <rFont val="Arial"/>
        <charset val="134"/>
      </rPr>
      <t>B</t>
    </r>
    <r>
      <rPr>
        <sz val="9"/>
        <color rgb="FF000000"/>
        <rFont val="楷体"/>
        <charset val="134"/>
      </rPr>
      <t>座</t>
    </r>
    <r>
      <rPr>
        <sz val="9"/>
        <color rgb="FF000000"/>
        <rFont val="Arial"/>
        <charset val="134"/>
      </rPr>
      <t>505</t>
    </r>
  </si>
  <si>
    <r>
      <rPr>
        <sz val="9"/>
        <color rgb="FF000000"/>
        <rFont val="楷体"/>
        <charset val="134"/>
      </rPr>
      <t>华平投资</t>
    </r>
  </si>
  <si>
    <r>
      <rPr>
        <sz val="9"/>
        <color rgb="FF000000"/>
        <rFont val="楷体"/>
        <charset val="134"/>
      </rPr>
      <t>腾讯投资</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光大集团</t>
    </r>
    <r>
      <rPr>
        <sz val="9"/>
        <color rgb="FF000000"/>
        <rFont val="Arial"/>
        <charset val="134"/>
      </rPr>
      <t>,</t>
    </r>
    <r>
      <rPr>
        <sz val="9"/>
        <color rgb="FF000000"/>
        <rFont val="楷体"/>
        <charset val="134"/>
      </rPr>
      <t>美团</t>
    </r>
  </si>
  <si>
    <r>
      <rPr>
        <sz val="9"/>
        <color rgb="FF000000"/>
        <rFont val="楷体"/>
        <charset val="134"/>
      </rPr>
      <t>景林投资</t>
    </r>
    <r>
      <rPr>
        <sz val="9"/>
        <color rgb="FF000000"/>
        <rFont val="Arial"/>
        <charset val="134"/>
      </rPr>
      <t>,</t>
    </r>
    <r>
      <rPr>
        <sz val="9"/>
        <color rgb="FF000000"/>
        <rFont val="楷体"/>
        <charset val="134"/>
      </rPr>
      <t>华盖资本</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光源资本</t>
    </r>
    <r>
      <rPr>
        <sz val="9"/>
        <color rgb="FF000000"/>
        <rFont val="Arial"/>
        <charset val="134"/>
      </rPr>
      <t>,</t>
    </r>
    <r>
      <rPr>
        <sz val="9"/>
        <color rgb="FF000000"/>
        <rFont val="楷体"/>
        <charset val="134"/>
      </rPr>
      <t>美团</t>
    </r>
  </si>
  <si>
    <r>
      <t>2</t>
    </r>
    <r>
      <rPr>
        <sz val="9"/>
        <color rgb="FF000000"/>
        <rFont val="楷体"/>
        <charset val="134"/>
      </rPr>
      <t>亿人民币</t>
    </r>
  </si>
  <si>
    <r>
      <rPr>
        <sz val="9"/>
        <color rgb="FF000000"/>
        <rFont val="楷体"/>
        <charset val="134"/>
      </rPr>
      <t>钟鼎资本</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光源资本</t>
    </r>
    <r>
      <rPr>
        <sz val="9"/>
        <color rgb="FF000000"/>
        <rFont val="Arial"/>
        <charset val="134"/>
      </rPr>
      <t>,</t>
    </r>
    <r>
      <rPr>
        <sz val="9"/>
        <color rgb="FF000000"/>
        <rFont val="楷体"/>
        <charset val="134"/>
      </rPr>
      <t>元生资本</t>
    </r>
  </si>
  <si>
    <r>
      <t>BAI</t>
    </r>
    <r>
      <rPr>
        <sz val="9"/>
        <color rgb="FF000000"/>
        <rFont val="楷体"/>
        <charset val="134"/>
      </rPr>
      <t>资本</t>
    </r>
    <r>
      <rPr>
        <sz val="9"/>
        <color rgb="FF000000"/>
        <rFont val="Arial"/>
        <charset val="134"/>
      </rPr>
      <t>,</t>
    </r>
    <r>
      <rPr>
        <sz val="9"/>
        <color rgb="FF000000"/>
        <rFont val="楷体"/>
        <charset val="134"/>
      </rPr>
      <t>景林投资</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光源资本</t>
    </r>
    <r>
      <rPr>
        <sz val="9"/>
        <color rgb="FF000000"/>
        <rFont val="Arial"/>
        <charset val="134"/>
      </rPr>
      <t>,</t>
    </r>
    <r>
      <rPr>
        <sz val="9"/>
        <color rgb="FF000000"/>
        <rFont val="楷体"/>
        <charset val="134"/>
      </rPr>
      <t>雍创资本</t>
    </r>
  </si>
  <si>
    <r>
      <t>BAI</t>
    </r>
    <r>
      <rPr>
        <sz val="9"/>
        <color rgb="FF000000"/>
        <rFont val="楷体"/>
        <charset val="134"/>
      </rPr>
      <t>资本</t>
    </r>
    <r>
      <rPr>
        <sz val="9"/>
        <color rgb="FF000000"/>
        <rFont val="Arial"/>
        <charset val="134"/>
      </rPr>
      <t>,</t>
    </r>
    <r>
      <rPr>
        <sz val="9"/>
        <color rgb="FF000000"/>
        <rFont val="楷体"/>
        <charset val="134"/>
      </rPr>
      <t>雍创资本</t>
    </r>
  </si>
  <si>
    <r>
      <t>Swiggy</t>
    </r>
    <r>
      <rPr>
        <sz val="9"/>
        <color rgb="FF000000"/>
        <rFont val="楷体"/>
        <charset val="134"/>
      </rPr>
      <t>是印度一家外卖点餐速递平台，旗下拥有一个超过</t>
    </r>
    <r>
      <rPr>
        <sz val="9"/>
        <color rgb="FF000000"/>
        <rFont val="Arial"/>
        <charset val="134"/>
      </rPr>
      <t>150</t>
    </r>
    <r>
      <rPr>
        <sz val="9"/>
        <color rgb="FF000000"/>
        <rFont val="楷体"/>
        <charset val="134"/>
      </rPr>
      <t>人的快递团队，当用户点单之后，这些快递人员会前往各个饭店，把美食打包快速送到用户手上。</t>
    </r>
  </si>
  <si>
    <r>
      <rPr>
        <sz val="9"/>
        <color rgb="FF000000"/>
        <rFont val="楷体"/>
        <charset val="134"/>
      </rPr>
      <t>亚洲</t>
    </r>
    <r>
      <rPr>
        <sz val="9"/>
        <color rgb="FF000000"/>
        <rFont val="Arial"/>
        <charset val="134"/>
      </rPr>
      <t>-</t>
    </r>
    <r>
      <rPr>
        <sz val="9"/>
        <color rgb="FF000000"/>
        <rFont val="楷体"/>
        <charset val="134"/>
      </rPr>
      <t>印度</t>
    </r>
  </si>
  <si>
    <r>
      <t>7</t>
    </r>
    <r>
      <rPr>
        <sz val="9"/>
        <color rgb="FF000000"/>
        <rFont val="楷体"/>
        <charset val="134"/>
      </rPr>
      <t>亿美元</t>
    </r>
  </si>
  <si>
    <r>
      <t>283.69</t>
    </r>
    <r>
      <rPr>
        <sz val="9"/>
        <color rgb="FF000000"/>
        <rFont val="楷体"/>
        <charset val="134"/>
      </rPr>
      <t>亿</t>
    </r>
  </si>
  <si>
    <r>
      <t>695.5</t>
    </r>
    <r>
      <rPr>
        <sz val="9"/>
        <color rgb="FF000000"/>
        <rFont val="楷体"/>
        <charset val="134"/>
      </rPr>
      <t>亿元</t>
    </r>
  </si>
  <si>
    <r>
      <t>12.5</t>
    </r>
    <r>
      <rPr>
        <sz val="9"/>
        <color rgb="FF000000"/>
        <rFont val="楷体"/>
        <charset val="134"/>
      </rPr>
      <t>亿美元</t>
    </r>
  </si>
  <si>
    <r>
      <rPr>
        <sz val="9"/>
        <color rgb="FF000000"/>
        <rFont val="楷体"/>
        <charset val="134"/>
      </rPr>
      <t>高盛</t>
    </r>
    <r>
      <rPr>
        <sz val="9"/>
        <color rgb="FF000000"/>
        <rFont val="Arial"/>
        <charset val="134"/>
      </rPr>
      <t>GoldmanSachs(</t>
    </r>
    <r>
      <rPr>
        <sz val="9"/>
        <color rgb="FF000000"/>
        <rFont val="楷体"/>
        <charset val="134"/>
      </rPr>
      <t>国外</t>
    </r>
    <r>
      <rPr>
        <sz val="9"/>
        <color rgb="FF000000"/>
        <rFont val="Arial"/>
        <charset val="134"/>
      </rPr>
      <t>),Prosus Ventures-Naspers,</t>
    </r>
    <r>
      <rPr>
        <sz val="9"/>
        <color rgb="FF000000"/>
        <rFont val="楷体"/>
        <charset val="134"/>
      </rPr>
      <t>卡塔尔投资局</t>
    </r>
    <r>
      <rPr>
        <sz val="9"/>
        <color rgb="FF000000"/>
        <rFont val="Arial"/>
        <charset val="134"/>
      </rPr>
      <t>QIA,</t>
    </r>
    <r>
      <rPr>
        <sz val="9"/>
        <color rgb="FF000000"/>
        <rFont val="楷体"/>
        <charset val="134"/>
      </rPr>
      <t>软银愿景基金</t>
    </r>
  </si>
  <si>
    <r>
      <t>8</t>
    </r>
    <r>
      <rPr>
        <sz val="9"/>
        <color rgb="FF000000"/>
        <rFont val="楷体"/>
        <charset val="134"/>
      </rPr>
      <t>亿美元</t>
    </r>
  </si>
  <si>
    <r>
      <t>Accel Partners,</t>
    </r>
    <r>
      <rPr>
        <sz val="9"/>
        <color rgb="FF000000"/>
        <rFont val="楷体"/>
        <charset val="134"/>
      </rPr>
      <t>高盛</t>
    </r>
    <r>
      <rPr>
        <sz val="9"/>
        <color rgb="FF000000"/>
        <rFont val="Arial"/>
        <charset val="134"/>
      </rPr>
      <t>GoldmanSachs(</t>
    </r>
    <r>
      <rPr>
        <sz val="9"/>
        <color rgb="FF000000"/>
        <rFont val="楷体"/>
        <charset val="134"/>
      </rPr>
      <t>国外</t>
    </r>
    <r>
      <rPr>
        <sz val="9"/>
        <color rgb="FF000000"/>
        <rFont val="Arial"/>
        <charset val="134"/>
      </rPr>
      <t>),Prosus Ventures-Naspers,Alpha Wave Global,Think Investments,Amansa Holdings,Carmignac</t>
    </r>
  </si>
  <si>
    <r>
      <t>4300</t>
    </r>
    <r>
      <rPr>
        <sz val="9"/>
        <color rgb="FF000000"/>
        <rFont val="楷体"/>
        <charset val="134"/>
      </rPr>
      <t>万美元</t>
    </r>
  </si>
  <si>
    <r>
      <rPr>
        <sz val="9"/>
        <color rgb="FF000000"/>
        <rFont val="楷体"/>
        <charset val="134"/>
      </rPr>
      <t>腾讯投资</t>
    </r>
    <r>
      <rPr>
        <sz val="9"/>
        <color rgb="FF000000"/>
        <rFont val="Arial"/>
        <charset val="134"/>
      </rPr>
      <t>,Samsung Ventures</t>
    </r>
    <r>
      <rPr>
        <sz val="9"/>
        <color rgb="FF000000"/>
        <rFont val="楷体"/>
        <charset val="134"/>
      </rPr>
      <t>三星</t>
    </r>
    <r>
      <rPr>
        <sz val="9"/>
        <color rgb="FF000000"/>
        <rFont val="Arial"/>
        <charset val="134"/>
      </rPr>
      <t>,KIP</t>
    </r>
    <r>
      <rPr>
        <sz val="9"/>
        <color rgb="FF000000"/>
        <rFont val="楷体"/>
        <charset val="134"/>
      </rPr>
      <t>韩投伙伴</t>
    </r>
    <r>
      <rPr>
        <sz val="9"/>
        <color rgb="FF000000"/>
        <rFont val="Arial"/>
        <charset val="134"/>
      </rPr>
      <t xml:space="preserve">,Mirae Asset Capital Markets,Ark Impact </t>
    </r>
  </si>
  <si>
    <r>
      <t>H</t>
    </r>
    <r>
      <rPr>
        <sz val="9"/>
        <color rgb="FF000000"/>
        <rFont val="楷体"/>
        <charset val="134"/>
      </rPr>
      <t>轮</t>
    </r>
  </si>
  <si>
    <r>
      <t>10</t>
    </r>
    <r>
      <rPr>
        <sz val="9"/>
        <color rgb="FF000000"/>
        <rFont val="楷体"/>
        <charset val="134"/>
      </rPr>
      <t>亿美元</t>
    </r>
  </si>
  <si>
    <r>
      <rPr>
        <sz val="9"/>
        <color rgb="FF000000"/>
        <rFont val="楷体"/>
        <charset val="134"/>
      </rPr>
      <t>腾讯投资</t>
    </r>
    <r>
      <rPr>
        <sz val="9"/>
        <color rgb="FF000000"/>
        <rFont val="Arial"/>
        <charset val="134"/>
      </rPr>
      <t>,DST Global,</t>
    </r>
    <r>
      <rPr>
        <sz val="9"/>
        <color rgb="FF000000"/>
        <rFont val="楷体"/>
        <charset val="134"/>
      </rPr>
      <t>高瓴投资</t>
    </r>
    <r>
      <rPr>
        <sz val="9"/>
        <color rgb="FF000000"/>
        <rFont val="Arial"/>
        <charset val="134"/>
      </rPr>
      <t>,Wellington Management,Prosus Ventures-Naspers,Coatue Management,</t>
    </r>
    <r>
      <rPr>
        <sz val="9"/>
        <color rgb="FF000000"/>
        <rFont val="楷体"/>
        <charset val="134"/>
      </rPr>
      <t>美团龙珠</t>
    </r>
  </si>
  <si>
    <r>
      <t>G</t>
    </r>
    <r>
      <rPr>
        <sz val="9"/>
        <color rgb="FF000000"/>
        <rFont val="楷体"/>
        <charset val="134"/>
      </rPr>
      <t>轮</t>
    </r>
  </si>
  <si>
    <r>
      <t>2.1</t>
    </r>
    <r>
      <rPr>
        <sz val="9"/>
        <color rgb="FF000000"/>
        <rFont val="楷体"/>
        <charset val="134"/>
      </rPr>
      <t>亿美元</t>
    </r>
  </si>
  <si>
    <r>
      <t>DST Global,Prosus Ventures-Naspers,Coatue Management,</t>
    </r>
    <r>
      <rPr>
        <sz val="9"/>
        <color rgb="FF000000"/>
        <rFont val="楷体"/>
        <charset val="134"/>
      </rPr>
      <t>美团</t>
    </r>
  </si>
  <si>
    <r>
      <t>Prosus Ventures-Naspers,</t>
    </r>
    <r>
      <rPr>
        <sz val="9"/>
        <color rgb="FF000000"/>
        <rFont val="楷体"/>
        <charset val="134"/>
      </rPr>
      <t>美团龙珠</t>
    </r>
  </si>
  <si>
    <r>
      <rPr>
        <sz val="9"/>
        <color rgb="FF000000"/>
        <rFont val="楷体"/>
        <charset val="134"/>
      </rPr>
      <t>赛富基金</t>
    </r>
    <r>
      <rPr>
        <sz val="9"/>
        <color rgb="FF000000"/>
        <rFont val="Arial"/>
        <charset val="134"/>
      </rPr>
      <t>SAIF Partners,Accel Partners</t>
    </r>
  </si>
  <si>
    <r>
      <t>1650</t>
    </r>
    <r>
      <rPr>
        <sz val="9"/>
        <color rgb="FF000000"/>
        <rFont val="楷体"/>
        <charset val="134"/>
      </rPr>
      <t>万美元</t>
    </r>
  </si>
  <si>
    <r>
      <rPr>
        <sz val="9"/>
        <color rgb="FF000000"/>
        <rFont val="楷体"/>
        <charset val="134"/>
      </rPr>
      <t>理想汽车</t>
    </r>
  </si>
  <si>
    <r>
      <rPr>
        <sz val="9"/>
        <color rgb="FF000000"/>
        <rFont val="楷体"/>
        <charset val="134"/>
      </rPr>
      <t>理想汽车（前身车和家）致力于打造全新智能电动交通工具，改变用户传统的出行体验。车和家将推出两款战略产品：小而美的</t>
    </r>
    <r>
      <rPr>
        <sz val="9"/>
        <color rgb="FF000000"/>
        <rFont val="Arial"/>
        <charset val="134"/>
      </rPr>
      <t>SEV</t>
    </r>
    <r>
      <rPr>
        <sz val="9"/>
        <color rgb="FF000000"/>
        <rFont val="楷体"/>
        <charset val="134"/>
      </rPr>
      <t>（</t>
    </r>
    <r>
      <rPr>
        <sz val="9"/>
        <color rgb="FF000000"/>
        <rFont val="Arial"/>
        <charset val="134"/>
      </rPr>
      <t>Smart Electric Vehicle</t>
    </r>
    <r>
      <rPr>
        <sz val="9"/>
        <color rgb="FF000000"/>
        <rFont val="楷体"/>
        <charset val="134"/>
      </rPr>
      <t>）将满足城市</t>
    </r>
    <r>
      <rPr>
        <sz val="9"/>
        <color rgb="FF000000"/>
        <rFont val="Arial"/>
        <charset val="134"/>
      </rPr>
      <t>1</t>
    </r>
    <r>
      <rPr>
        <sz val="9"/>
        <color rgb="FF000000"/>
        <rFont val="楷体"/>
        <charset val="134"/>
      </rPr>
      <t>～</t>
    </r>
    <r>
      <rPr>
        <sz val="9"/>
        <color rgb="FF000000"/>
        <rFont val="Arial"/>
        <charset val="134"/>
      </rPr>
      <t>2</t>
    </r>
    <r>
      <rPr>
        <sz val="9"/>
        <color rgb="FF000000"/>
        <rFont val="楷体"/>
        <charset val="134"/>
      </rPr>
      <t>人的短途出行，大而强的</t>
    </r>
    <r>
      <rPr>
        <sz val="9"/>
        <color rgb="FF000000"/>
        <rFont val="Arial"/>
        <charset val="134"/>
      </rPr>
      <t>SUV</t>
    </r>
    <r>
      <rPr>
        <sz val="9"/>
        <color rgb="FF000000"/>
        <rFont val="楷体"/>
        <charset val="134"/>
      </rPr>
      <t>则将满足家庭用户中长途的出行需要。同时，将通过先进的电动技术、智能驾驶技术和人机交互技术为用户提供全新的智能出行体验。</t>
    </r>
  </si>
  <si>
    <r>
      <rPr>
        <sz val="9"/>
        <color rgb="FF000000"/>
        <rFont val="楷体"/>
        <charset val="134"/>
      </rPr>
      <t>北京车和家信息技术有限公司</t>
    </r>
  </si>
  <si>
    <r>
      <rPr>
        <sz val="9"/>
        <color rgb="FF000000"/>
        <rFont val="楷体"/>
        <charset val="134"/>
      </rPr>
      <t>汽车制造</t>
    </r>
  </si>
  <si>
    <r>
      <t>115.5</t>
    </r>
    <r>
      <rPr>
        <sz val="9"/>
        <color rgb="FF000000"/>
        <rFont val="楷体"/>
        <charset val="134"/>
      </rPr>
      <t>亿港元</t>
    </r>
  </si>
  <si>
    <r>
      <t>312.61</t>
    </r>
    <r>
      <rPr>
        <sz val="9"/>
        <color rgb="FF000000"/>
        <rFont val="楷体"/>
        <charset val="134"/>
      </rPr>
      <t>亿</t>
    </r>
  </si>
  <si>
    <r>
      <t>1920</t>
    </r>
    <r>
      <rPr>
        <sz val="9"/>
        <color rgb="FF000000"/>
        <rFont val="楷体"/>
        <charset val="134"/>
      </rPr>
      <t>亿元</t>
    </r>
  </si>
  <si>
    <r>
      <rPr>
        <sz val="9"/>
        <color rgb="FF000000"/>
        <rFont val="楷体"/>
        <charset val="134"/>
      </rPr>
      <t>李想</t>
    </r>
    <r>
      <rPr>
        <sz val="9"/>
        <color rgb="FF000000"/>
        <rFont val="Arial"/>
        <charset val="134"/>
      </rPr>
      <t>:CEO,</t>
    </r>
    <r>
      <rPr>
        <sz val="9"/>
        <color rgb="FF000000"/>
        <rFont val="楷体"/>
        <charset val="134"/>
      </rPr>
      <t>沈亚楠</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马东辉</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李铁</t>
    </r>
    <r>
      <rPr>
        <sz val="9"/>
        <color rgb="FF000000"/>
        <rFont val="Arial"/>
        <charset val="134"/>
      </rPr>
      <t>:CFO,</t>
    </r>
    <r>
      <rPr>
        <sz val="9"/>
        <color rgb="FF000000"/>
        <rFont val="楷体"/>
        <charset val="134"/>
      </rPr>
      <t>王凯</t>
    </r>
    <r>
      <rPr>
        <sz val="9"/>
        <color rgb="FF000000"/>
        <rFont val="Arial"/>
        <charset val="134"/>
      </rPr>
      <t>:CTO,</t>
    </r>
    <r>
      <rPr>
        <sz val="9"/>
        <color rgb="FF000000"/>
        <rFont val="楷体"/>
        <charset val="134"/>
      </rPr>
      <t>谢炎</t>
    </r>
    <r>
      <rPr>
        <sz val="9"/>
        <color rgb="FF000000"/>
        <rFont val="Arial"/>
        <charset val="134"/>
      </rPr>
      <t>:CTO</t>
    </r>
  </si>
  <si>
    <r>
      <rPr>
        <sz val="9"/>
        <color rgb="FF000000"/>
        <rFont val="楷体"/>
        <charset val="134"/>
      </rPr>
      <t>北京市朝阳区望京街</t>
    </r>
    <r>
      <rPr>
        <sz val="9"/>
        <color rgb="FF000000"/>
        <rFont val="Arial"/>
        <charset val="134"/>
      </rPr>
      <t>10</t>
    </r>
    <r>
      <rPr>
        <sz val="9"/>
        <color rgb="FF000000"/>
        <rFont val="楷体"/>
        <charset val="134"/>
      </rPr>
      <t>号院</t>
    </r>
    <r>
      <rPr>
        <sz val="9"/>
        <color rgb="FF000000"/>
        <rFont val="Arial"/>
        <charset val="134"/>
      </rPr>
      <t>3</t>
    </r>
    <r>
      <rPr>
        <sz val="9"/>
        <color rgb="FF000000"/>
        <rFont val="楷体"/>
        <charset val="134"/>
      </rPr>
      <t>号楼</t>
    </r>
    <r>
      <rPr>
        <sz val="9"/>
        <color rgb="FF000000"/>
        <rFont val="Arial"/>
        <charset val="134"/>
      </rPr>
      <t>8</t>
    </r>
    <r>
      <rPr>
        <sz val="9"/>
        <color rgb="FF000000"/>
        <rFont val="楷体"/>
        <charset val="134"/>
      </rPr>
      <t>层</t>
    </r>
    <r>
      <rPr>
        <sz val="9"/>
        <color rgb="FF000000"/>
        <rFont val="Arial"/>
        <charset val="134"/>
      </rPr>
      <t>801</t>
    </r>
    <r>
      <rPr>
        <sz val="9"/>
        <color rgb="FF000000"/>
        <rFont val="楷体"/>
        <charset val="134"/>
      </rPr>
      <t>室</t>
    </r>
  </si>
  <si>
    <r>
      <t>10.93</t>
    </r>
    <r>
      <rPr>
        <sz val="9"/>
        <color rgb="FF000000"/>
        <rFont val="楷体"/>
        <charset val="134"/>
      </rPr>
      <t>亿美元</t>
    </r>
  </si>
  <si>
    <r>
      <rPr>
        <sz val="9"/>
        <color rgb="FF000000"/>
        <rFont val="楷体"/>
        <charset val="134"/>
      </rPr>
      <t>基石轮</t>
    </r>
  </si>
  <si>
    <r>
      <t>3.8</t>
    </r>
    <r>
      <rPr>
        <sz val="9"/>
        <color rgb="FF000000"/>
        <rFont val="楷体"/>
        <charset val="134"/>
      </rPr>
      <t>亿美元</t>
    </r>
  </si>
  <si>
    <r>
      <rPr>
        <sz val="9"/>
        <color rgb="FF000000"/>
        <rFont val="楷体"/>
        <charset val="134"/>
      </rPr>
      <t>美团</t>
    </r>
    <r>
      <rPr>
        <sz val="9"/>
        <color rgb="FF000000"/>
        <rFont val="Arial"/>
        <charset val="134"/>
      </rPr>
      <t>,</t>
    </r>
    <r>
      <rPr>
        <sz val="9"/>
        <color rgb="FF000000"/>
        <rFont val="楷体"/>
        <charset val="134"/>
      </rPr>
      <t>字节跳动</t>
    </r>
    <r>
      <rPr>
        <sz val="9"/>
        <color rgb="FF000000"/>
        <rFont val="Arial"/>
        <charset val="134"/>
      </rPr>
      <t>,</t>
    </r>
    <r>
      <rPr>
        <sz val="9"/>
        <color rgb="FF000000"/>
        <rFont val="楷体"/>
        <charset val="134"/>
      </rPr>
      <t>王兴</t>
    </r>
    <r>
      <rPr>
        <sz val="9"/>
        <color rgb="FF000000"/>
        <rFont val="Arial"/>
        <charset val="134"/>
      </rPr>
      <t>,</t>
    </r>
    <r>
      <rPr>
        <sz val="9"/>
        <color rgb="FF000000"/>
        <rFont val="楷体"/>
        <charset val="134"/>
      </rPr>
      <t>王慧文</t>
    </r>
  </si>
  <si>
    <r>
      <t>5.5</t>
    </r>
    <r>
      <rPr>
        <sz val="9"/>
        <color rgb="FF000000"/>
        <rFont val="楷体"/>
        <charset val="134"/>
      </rPr>
      <t>亿美元</t>
    </r>
  </si>
  <si>
    <r>
      <rPr>
        <sz val="9"/>
        <color rgb="FF000000"/>
        <rFont val="楷体"/>
        <charset val="134"/>
      </rPr>
      <t>美团</t>
    </r>
    <r>
      <rPr>
        <sz val="9"/>
        <color rgb="FF000000"/>
        <rFont val="Arial"/>
        <charset val="134"/>
      </rPr>
      <t>,</t>
    </r>
    <r>
      <rPr>
        <sz val="9"/>
        <color rgb="FF000000"/>
        <rFont val="楷体"/>
        <charset val="134"/>
      </rPr>
      <t>李想</t>
    </r>
  </si>
  <si>
    <r>
      <t>5.3</t>
    </r>
    <r>
      <rPr>
        <sz val="9"/>
        <color rgb="FF000000"/>
        <rFont val="楷体"/>
        <charset val="134"/>
      </rPr>
      <t>亿美元</t>
    </r>
  </si>
  <si>
    <r>
      <rPr>
        <sz val="9"/>
        <color rgb="FF000000"/>
        <rFont val="楷体"/>
        <charset val="134"/>
      </rPr>
      <t>经纬创投</t>
    </r>
    <r>
      <rPr>
        <sz val="9"/>
        <color rgb="FF000000"/>
        <rFont val="Arial"/>
        <charset val="134"/>
      </rPr>
      <t>,</t>
    </r>
    <r>
      <rPr>
        <sz val="9"/>
        <color rgb="FF000000"/>
        <rFont val="楷体"/>
        <charset val="134"/>
      </rPr>
      <t>蓝驰创投</t>
    </r>
    <r>
      <rPr>
        <sz val="9"/>
        <color rgb="FF000000"/>
        <rFont val="Arial"/>
        <charset val="134"/>
      </rPr>
      <t>,</t>
    </r>
    <r>
      <rPr>
        <sz val="9"/>
        <color rgb="FF000000"/>
        <rFont val="楷体"/>
        <charset val="134"/>
      </rPr>
      <t>明势资本</t>
    </r>
    <r>
      <rPr>
        <sz val="9"/>
        <color rgb="FF000000"/>
        <rFont val="Arial"/>
        <charset val="134"/>
      </rPr>
      <t>,</t>
    </r>
    <r>
      <rPr>
        <sz val="9"/>
        <color rgb="FF000000"/>
        <rFont val="楷体"/>
        <charset val="134"/>
      </rPr>
      <t>字节跳动</t>
    </r>
    <r>
      <rPr>
        <sz val="9"/>
        <color rgb="FF000000"/>
        <rFont val="Arial"/>
        <charset val="134"/>
      </rPr>
      <t>,</t>
    </r>
    <r>
      <rPr>
        <sz val="9"/>
        <color rgb="FF000000"/>
        <rFont val="楷体"/>
        <charset val="134"/>
      </rPr>
      <t>王兴</t>
    </r>
    <r>
      <rPr>
        <sz val="9"/>
        <color rgb="FF000000"/>
        <rFont val="Arial"/>
        <charset val="134"/>
      </rPr>
      <t>,</t>
    </r>
    <r>
      <rPr>
        <sz val="9"/>
        <color rgb="FF000000"/>
        <rFont val="楷体"/>
        <charset val="134"/>
      </rPr>
      <t>李想</t>
    </r>
    <r>
      <rPr>
        <sz val="9"/>
        <color rgb="FF000000"/>
        <rFont val="Arial"/>
        <charset val="134"/>
      </rPr>
      <t>,</t>
    </r>
    <r>
      <rPr>
        <sz val="9"/>
        <color rgb="FF000000"/>
        <rFont val="楷体"/>
        <charset val="134"/>
      </rPr>
      <t>微木资本</t>
    </r>
  </si>
  <si>
    <r>
      <t>30</t>
    </r>
    <r>
      <rPr>
        <sz val="9"/>
        <color rgb="FF000000"/>
        <rFont val="楷体"/>
        <charset val="134"/>
      </rPr>
      <t>亿人民币</t>
    </r>
  </si>
  <si>
    <r>
      <rPr>
        <sz val="9"/>
        <color rgb="FF000000"/>
        <rFont val="楷体"/>
        <charset val="134"/>
      </rPr>
      <t>经纬创投</t>
    </r>
    <r>
      <rPr>
        <sz val="9"/>
        <color rgb="FF000000"/>
        <rFont val="Arial"/>
        <charset val="134"/>
      </rPr>
      <t>,</t>
    </r>
    <r>
      <rPr>
        <sz val="9"/>
        <color rgb="FF000000"/>
        <rFont val="楷体"/>
        <charset val="134"/>
      </rPr>
      <t>蓝驰创投</t>
    </r>
    <r>
      <rPr>
        <sz val="9"/>
        <color rgb="FF000000"/>
        <rFont val="Arial"/>
        <charset val="134"/>
      </rPr>
      <t>,</t>
    </r>
    <r>
      <rPr>
        <sz val="9"/>
        <color rgb="FF000000"/>
        <rFont val="楷体"/>
        <charset val="134"/>
      </rPr>
      <t>明势资本</t>
    </r>
    <r>
      <rPr>
        <sz val="9"/>
        <color rgb="FF000000"/>
        <rFont val="Arial"/>
        <charset val="134"/>
      </rPr>
      <t>,</t>
    </r>
    <r>
      <rPr>
        <sz val="9"/>
        <color rgb="FF000000"/>
        <rFont val="楷体"/>
        <charset val="134"/>
      </rPr>
      <t>梅花创投</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首钢基金</t>
    </r>
    <r>
      <rPr>
        <sz val="9"/>
        <color rgb="FF000000"/>
        <rFont val="Arial"/>
        <charset val="134"/>
      </rPr>
      <t>(</t>
    </r>
    <r>
      <rPr>
        <sz val="9"/>
        <color rgb="FF000000"/>
        <rFont val="楷体"/>
        <charset val="134"/>
      </rPr>
      <t>京西创投</t>
    </r>
    <r>
      <rPr>
        <sz val="9"/>
        <color rgb="FF000000"/>
        <rFont val="Arial"/>
        <charset val="134"/>
      </rPr>
      <t>),</t>
    </r>
    <r>
      <rPr>
        <sz val="9"/>
        <color rgb="FF000000"/>
        <rFont val="楷体"/>
        <charset val="134"/>
      </rPr>
      <t>泛城资本</t>
    </r>
    <r>
      <rPr>
        <sz val="9"/>
        <color rgb="FF000000"/>
        <rFont val="Arial"/>
        <charset val="134"/>
      </rPr>
      <t>,</t>
    </r>
    <r>
      <rPr>
        <sz val="9"/>
        <color rgb="FF000000"/>
        <rFont val="楷体"/>
        <charset val="134"/>
      </rPr>
      <t>银泰集团</t>
    </r>
  </si>
  <si>
    <r>
      <t>6.2</t>
    </r>
    <r>
      <rPr>
        <sz val="9"/>
        <color rgb="FF000000"/>
        <rFont val="楷体"/>
        <charset val="134"/>
      </rPr>
      <t>亿人民币</t>
    </r>
  </si>
  <si>
    <r>
      <rPr>
        <sz val="9"/>
        <color rgb="FF000000"/>
        <rFont val="楷体"/>
        <charset val="134"/>
      </rPr>
      <t>蓝驰创投</t>
    </r>
    <r>
      <rPr>
        <sz val="9"/>
        <color rgb="FF000000"/>
        <rFont val="Arial"/>
        <charset val="134"/>
      </rPr>
      <t>,</t>
    </r>
    <r>
      <rPr>
        <sz val="9"/>
        <color rgb="FF000000"/>
        <rFont val="楷体"/>
        <charset val="134"/>
      </rPr>
      <t>明势资本</t>
    </r>
    <r>
      <rPr>
        <sz val="9"/>
        <color rgb="FF000000"/>
        <rFont val="Arial"/>
        <charset val="134"/>
      </rPr>
      <t>,Star VC,</t>
    </r>
    <r>
      <rPr>
        <sz val="9"/>
        <color rgb="FF000000"/>
        <rFont val="楷体"/>
        <charset val="134"/>
      </rPr>
      <t>利欧集团股份</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元璟资本</t>
    </r>
    <r>
      <rPr>
        <sz val="9"/>
        <color rgb="FF000000"/>
        <rFont val="Arial"/>
        <charset val="134"/>
      </rPr>
      <t>,</t>
    </r>
    <r>
      <rPr>
        <sz val="9"/>
        <color rgb="FF000000"/>
        <rFont val="楷体"/>
        <charset val="134"/>
      </rPr>
      <t>中金甲子</t>
    </r>
    <r>
      <rPr>
        <sz val="9"/>
        <color rgb="FF000000"/>
        <rFont val="Arial"/>
        <charset val="134"/>
      </rPr>
      <t>,</t>
    </r>
    <r>
      <rPr>
        <sz val="9"/>
        <color rgb="FF000000"/>
        <rFont val="楷体"/>
        <charset val="134"/>
      </rPr>
      <t>李想</t>
    </r>
    <r>
      <rPr>
        <sz val="9"/>
        <color rgb="FF000000"/>
        <rFont val="Arial"/>
        <charset val="134"/>
      </rPr>
      <t>,</t>
    </r>
    <r>
      <rPr>
        <sz val="9"/>
        <color rgb="FF000000"/>
        <rFont val="楷体"/>
        <charset val="134"/>
      </rPr>
      <t>嘉源启航创投</t>
    </r>
  </si>
  <si>
    <r>
      <t>7.8</t>
    </r>
    <r>
      <rPr>
        <sz val="9"/>
        <color rgb="FF000000"/>
        <rFont val="楷体"/>
        <charset val="134"/>
      </rPr>
      <t>亿人民币</t>
    </r>
  </si>
  <si>
    <r>
      <rPr>
        <sz val="9"/>
        <color rgb="FF000000"/>
        <rFont val="楷体"/>
        <charset val="134"/>
      </rPr>
      <t>明势资本</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利欧集团股份</t>
    </r>
    <r>
      <rPr>
        <sz val="9"/>
        <color rgb="FF000000"/>
        <rFont val="Arial"/>
        <charset val="134"/>
      </rPr>
      <t>,</t>
    </r>
    <r>
      <rPr>
        <sz val="9"/>
        <color rgb="FF000000"/>
        <rFont val="楷体"/>
        <charset val="134"/>
      </rPr>
      <t>梅花创投</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常州政府产业基金</t>
    </r>
  </si>
  <si>
    <r>
      <rPr>
        <sz val="9"/>
        <color rgb="FF000000"/>
        <rFont val="楷体"/>
        <charset val="134"/>
      </rPr>
      <t>明势资本</t>
    </r>
  </si>
  <si>
    <r>
      <rPr>
        <sz val="9"/>
        <color rgb="FF000000"/>
        <rFont val="楷体"/>
        <charset val="134"/>
      </rPr>
      <t>奥琦玮是一家餐饮信息化服务提供商，致力于帮助餐饮业投资者、管理者提高管理收益、降低运营成本、提高服务水平和拓宽营业渠道，旗下有餐行健、轩亚、品智、祥云、门铺集五大产品。</t>
    </r>
  </si>
  <si>
    <r>
      <rPr>
        <sz val="9"/>
        <color rgb="FF000000"/>
        <rFont val="楷体"/>
        <charset val="134"/>
      </rPr>
      <t>奥琦玮信息科技（北京）有限公司</t>
    </r>
  </si>
  <si>
    <r>
      <rPr>
        <sz val="9"/>
        <color rgb="FF000000"/>
        <rFont val="楷体"/>
        <charset val="134"/>
      </rPr>
      <t>微盟</t>
    </r>
  </si>
  <si>
    <r>
      <t>9.6</t>
    </r>
    <r>
      <rPr>
        <sz val="9"/>
        <color rgb="FF000000"/>
        <rFont val="楷体"/>
        <charset val="134"/>
      </rPr>
      <t>亿</t>
    </r>
  </si>
  <si>
    <r>
      <t>22.2</t>
    </r>
    <r>
      <rPr>
        <sz val="9"/>
        <color rgb="FF000000"/>
        <rFont val="楷体"/>
        <charset val="134"/>
      </rPr>
      <t>亿元</t>
    </r>
  </si>
  <si>
    <r>
      <rPr>
        <sz val="9"/>
        <color rgb="FF000000"/>
        <rFont val="楷体"/>
        <charset val="134"/>
      </rPr>
      <t>孔令博</t>
    </r>
    <r>
      <rPr>
        <sz val="9"/>
        <color rgb="FF000000"/>
        <rFont val="Arial"/>
        <charset val="134"/>
      </rPr>
      <t>:CEO</t>
    </r>
  </si>
  <si>
    <r>
      <rPr>
        <sz val="9"/>
        <color rgb="FF000000"/>
        <rFont val="楷体"/>
        <charset val="134"/>
      </rPr>
      <t>广发信德</t>
    </r>
    <r>
      <rPr>
        <sz val="9"/>
        <color rgb="FF000000"/>
        <rFont val="Arial"/>
        <charset val="134"/>
      </rPr>
      <t>,</t>
    </r>
    <r>
      <rPr>
        <sz val="9"/>
        <color rgb="FF000000"/>
        <rFont val="楷体"/>
        <charset val="134"/>
      </rPr>
      <t>千合资本</t>
    </r>
    <r>
      <rPr>
        <sz val="9"/>
        <color rgb="FF000000"/>
        <rFont val="Arial"/>
        <charset val="134"/>
      </rPr>
      <t>,</t>
    </r>
    <r>
      <rPr>
        <sz val="9"/>
        <color rgb="FF000000"/>
        <rFont val="楷体"/>
        <charset val="134"/>
      </rPr>
      <t>盛宇投资</t>
    </r>
    <r>
      <rPr>
        <sz val="9"/>
        <color rgb="FF000000"/>
        <rFont val="Arial"/>
        <charset val="134"/>
      </rPr>
      <t>,</t>
    </r>
    <r>
      <rPr>
        <sz val="9"/>
        <color rgb="FF000000"/>
        <rFont val="楷体"/>
        <charset val="134"/>
      </rPr>
      <t>北创投</t>
    </r>
  </si>
  <si>
    <r>
      <rPr>
        <sz val="9"/>
        <color rgb="FF000000"/>
        <rFont val="楷体"/>
        <charset val="134"/>
      </rPr>
      <t>汇付天下</t>
    </r>
  </si>
  <si>
    <r>
      <rPr>
        <sz val="9"/>
        <color rgb="FF000000"/>
        <rFont val="楷体"/>
        <charset val="134"/>
      </rPr>
      <t>红杉资本中国</t>
    </r>
    <r>
      <rPr>
        <sz val="9"/>
        <color rgb="FF000000"/>
        <rFont val="Arial"/>
        <charset val="134"/>
      </rPr>
      <t>,</t>
    </r>
    <r>
      <rPr>
        <sz val="9"/>
        <color rgb="FF000000"/>
        <rFont val="楷体"/>
        <charset val="134"/>
      </rPr>
      <t>美团</t>
    </r>
  </si>
  <si>
    <r>
      <rPr>
        <sz val="9"/>
        <color rgb="FF000000"/>
        <rFont val="楷体"/>
        <charset val="134"/>
      </rPr>
      <t>红杉资本中国</t>
    </r>
  </si>
  <si>
    <r>
      <t>Go-Jek</t>
    </r>
    <r>
      <rPr>
        <sz val="9"/>
        <color rgb="FF000000"/>
        <rFont val="楷体"/>
        <charset val="134"/>
      </rPr>
      <t>是一家印尼打车与租车服务提供商，起初为用户提供叫摩的与外卖配送的服务，后来将业务线延伸至共享出租车领域，整合闲置的私家车，把私家车与出行的用户连接在一起，为用户提供便捷的出行服务。</t>
    </r>
  </si>
  <si>
    <r>
      <rPr>
        <sz val="9"/>
        <color rgb="FF000000"/>
        <rFont val="楷体"/>
        <charset val="134"/>
      </rPr>
      <t>亚洲</t>
    </r>
    <r>
      <rPr>
        <sz val="9"/>
        <color rgb="FF000000"/>
        <rFont val="Arial"/>
        <charset val="134"/>
      </rPr>
      <t>-</t>
    </r>
    <r>
      <rPr>
        <sz val="9"/>
        <color rgb="FF000000"/>
        <rFont val="楷体"/>
        <charset val="134"/>
      </rPr>
      <t>印度尼西亚</t>
    </r>
  </si>
  <si>
    <r>
      <rPr>
        <sz val="9"/>
        <color rgb="FF000000"/>
        <rFont val="楷体"/>
        <charset val="134"/>
      </rPr>
      <t>交通出行</t>
    </r>
  </si>
  <si>
    <r>
      <t>360.75</t>
    </r>
    <r>
      <rPr>
        <sz val="9"/>
        <color rgb="FF000000"/>
        <rFont val="楷体"/>
        <charset val="134"/>
      </rPr>
      <t>亿</t>
    </r>
  </si>
  <si>
    <r>
      <t>1.5</t>
    </r>
    <r>
      <rPr>
        <sz val="9"/>
        <color rgb="FF000000"/>
        <rFont val="楷体"/>
        <charset val="134"/>
      </rPr>
      <t>亿美元</t>
    </r>
  </si>
  <si>
    <r>
      <t>12</t>
    </r>
    <r>
      <rPr>
        <sz val="9"/>
        <color rgb="FF000000"/>
        <rFont val="楷体"/>
        <charset val="134"/>
      </rPr>
      <t>亿美元</t>
    </r>
  </si>
  <si>
    <r>
      <t>Visa,</t>
    </r>
    <r>
      <rPr>
        <sz val="9"/>
        <color rgb="FF000000"/>
        <rFont val="楷体"/>
        <charset val="134"/>
      </rPr>
      <t>天马创投</t>
    </r>
    <r>
      <rPr>
        <sz val="9"/>
        <color rgb="FF000000"/>
        <rFont val="Arial"/>
        <charset val="134"/>
      </rPr>
      <t>Pegasus Tech Ventures,Mitsubishi Motors</t>
    </r>
  </si>
  <si>
    <r>
      <rPr>
        <sz val="9"/>
        <color rgb="FF000000"/>
        <rFont val="楷体"/>
        <charset val="134"/>
      </rPr>
      <t>三菱集团</t>
    </r>
  </si>
  <si>
    <r>
      <rPr>
        <sz val="9"/>
        <color rgb="FF000000"/>
        <rFont val="楷体"/>
        <charset val="134"/>
      </rPr>
      <t>腾讯投资</t>
    </r>
    <r>
      <rPr>
        <sz val="9"/>
        <color rgb="FF000000"/>
        <rFont val="Arial"/>
        <charset val="134"/>
      </rPr>
      <t>,DST Global,</t>
    </r>
    <r>
      <rPr>
        <sz val="9"/>
        <color rgb="FF000000"/>
        <rFont val="楷体"/>
        <charset val="134"/>
      </rPr>
      <t>华平投资</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京东</t>
    </r>
    <r>
      <rPr>
        <sz val="9"/>
        <color rgb="FF000000"/>
        <rFont val="Arial"/>
        <charset val="134"/>
      </rPr>
      <t>,Sequoia Capital</t>
    </r>
    <r>
      <rPr>
        <sz val="9"/>
        <color rgb="FF000000"/>
        <rFont val="楷体"/>
        <charset val="134"/>
      </rPr>
      <t>红杉</t>
    </r>
    <r>
      <rPr>
        <sz val="9"/>
        <color rgb="FF000000"/>
        <rFont val="Arial"/>
        <charset val="134"/>
      </rPr>
      <t>,Google</t>
    </r>
    <r>
      <rPr>
        <sz val="9"/>
        <color rgb="FF000000"/>
        <rFont val="楷体"/>
        <charset val="134"/>
      </rPr>
      <t>谷歌</t>
    </r>
    <r>
      <rPr>
        <sz val="9"/>
        <color rgb="FF000000"/>
        <rFont val="Arial"/>
        <charset val="134"/>
      </rPr>
      <t>,</t>
    </r>
    <r>
      <rPr>
        <sz val="9"/>
        <color rgb="FF000000"/>
        <rFont val="楷体"/>
        <charset val="134"/>
      </rPr>
      <t>美团</t>
    </r>
    <r>
      <rPr>
        <sz val="9"/>
        <color rgb="FF000000"/>
        <rFont val="Arial"/>
        <charset val="134"/>
      </rPr>
      <t>,Provident Capital,</t>
    </r>
    <r>
      <rPr>
        <sz val="9"/>
        <color rgb="FF000000"/>
        <rFont val="楷体"/>
        <charset val="134"/>
      </rPr>
      <t>三菱公司</t>
    </r>
  </si>
  <si>
    <r>
      <t>15</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</si>
  <si>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Temasek,GV,</t>
    </r>
    <r>
      <rPr>
        <sz val="9"/>
        <color rgb="FF000000"/>
        <rFont val="楷体"/>
        <charset val="134"/>
      </rPr>
      <t>黑石集团</t>
    </r>
    <r>
      <rPr>
        <sz val="9"/>
        <color rgb="FF000000"/>
        <rFont val="Arial"/>
        <charset val="134"/>
      </rPr>
      <t>Blackstone,</t>
    </r>
    <r>
      <rPr>
        <sz val="9"/>
        <color rgb="FF000000"/>
        <rFont val="楷体"/>
        <charset val="134"/>
      </rPr>
      <t>新世界策略投资</t>
    </r>
  </si>
  <si>
    <r>
      <rPr>
        <sz val="9"/>
        <color rgb="FF000000"/>
        <rFont val="楷体"/>
        <charset val="134"/>
      </rPr>
      <t>腾讯投资</t>
    </r>
    <r>
      <rPr>
        <sz val="9"/>
        <color rgb="FF000000"/>
        <rFont val="Arial"/>
        <charset val="134"/>
      </rPr>
      <t>,</t>
    </r>
    <r>
      <rPr>
        <sz val="9"/>
        <color rgb="FF000000"/>
        <rFont val="楷体"/>
        <charset val="134"/>
      </rPr>
      <t>京东</t>
    </r>
  </si>
  <si>
    <r>
      <t>DST Global,Sequoia Capital</t>
    </r>
    <r>
      <rPr>
        <sz val="9"/>
        <color rgb="FF000000"/>
        <rFont val="楷体"/>
        <charset val="134"/>
      </rPr>
      <t>红杉</t>
    </r>
    <r>
      <rPr>
        <sz val="9"/>
        <color rgb="FF000000"/>
        <rFont val="Arial"/>
        <charset val="134"/>
      </rPr>
      <t>,KKR,Openspace Ventures</t>
    </r>
  </si>
  <si>
    <r>
      <t>Sequoia Capital</t>
    </r>
    <r>
      <rPr>
        <sz val="9"/>
        <color rgb="FF000000"/>
        <rFont val="楷体"/>
        <charset val="134"/>
      </rPr>
      <t>红杉</t>
    </r>
  </si>
  <si>
    <r>
      <rPr>
        <sz val="9"/>
        <color rgb="FF000000"/>
        <rFont val="楷体"/>
        <charset val="134"/>
      </rPr>
      <t>领健</t>
    </r>
  </si>
  <si>
    <r>
      <rPr>
        <sz val="9"/>
        <color rgb="FF000000"/>
        <rFont val="楷体"/>
        <charset val="134"/>
      </rPr>
      <t>领健为口腔诊所、医美机构、生美机构提供经营管理一体化系统。提供了覆盖单店管理、连锁管理、健康档案</t>
    </r>
    <r>
      <rPr>
        <sz val="9"/>
        <color rgb="FF000000"/>
        <rFont val="Arial"/>
        <charset val="134"/>
      </rPr>
      <t>/</t>
    </r>
    <r>
      <rPr>
        <sz val="9"/>
        <color rgb="FF000000"/>
        <rFont val="楷体"/>
        <charset val="134"/>
      </rPr>
      <t>电子病历、客户关系管理、智能营销、</t>
    </r>
    <r>
      <rPr>
        <sz val="9"/>
        <color rgb="FF000000"/>
        <rFont val="Arial"/>
        <charset val="134"/>
      </rPr>
      <t>B2B</t>
    </r>
    <r>
      <rPr>
        <sz val="9"/>
        <color rgb="FF000000"/>
        <rFont val="楷体"/>
        <charset val="134"/>
      </rPr>
      <t>交易平台、进销存、保险支付、影像集成、</t>
    </r>
    <r>
      <rPr>
        <sz val="9"/>
        <color rgb="FF000000"/>
        <rFont val="Arial"/>
        <charset val="134"/>
      </rPr>
      <t>BI</t>
    </r>
    <r>
      <rPr>
        <sz val="9"/>
        <color rgb="FF000000"/>
        <rFont val="楷体"/>
        <charset val="134"/>
      </rPr>
      <t>商业智能等覆盖机构业务全流程的一体化</t>
    </r>
    <r>
      <rPr>
        <sz val="9"/>
        <color rgb="FF000000"/>
        <rFont val="Arial"/>
        <charset val="134"/>
      </rPr>
      <t>SaaS</t>
    </r>
    <r>
      <rPr>
        <sz val="9"/>
        <color rgb="FF000000"/>
        <rFont val="楷体"/>
        <charset val="134"/>
      </rPr>
      <t>软件。</t>
    </r>
    <r>
      <rPr>
        <sz val="9"/>
        <color rgb="FF000000"/>
        <rFont val="Arial"/>
        <charset val="134"/>
      </rPr>
      <t xml:space="preserve"> </t>
    </r>
    <r>
      <rPr>
        <sz val="9"/>
        <color rgb="FF000000"/>
        <rFont val="楷体"/>
        <charset val="134"/>
      </rPr>
      <t>同时通过开放平台连接产业上下游，与优质的第三方平台合作，为机构提供完整配套的一站式服务。</t>
    </r>
  </si>
  <si>
    <r>
      <rPr>
        <sz val="9"/>
        <color rgb="FF000000"/>
        <rFont val="楷体"/>
        <charset val="134"/>
      </rPr>
      <t>上海领健信息技术有限公司</t>
    </r>
  </si>
  <si>
    <r>
      <rPr>
        <sz val="9"/>
        <color rgb="FF000000"/>
        <rFont val="楷体"/>
        <charset val="134"/>
      </rPr>
      <t>医疗信息化</t>
    </r>
  </si>
  <si>
    <r>
      <rPr>
        <sz val="9"/>
        <color rgb="FF000000"/>
        <rFont val="楷体"/>
        <charset val="134"/>
      </rPr>
      <t>同创伟业</t>
    </r>
    <r>
      <rPr>
        <sz val="9"/>
        <color rgb="FF000000"/>
        <rFont val="Arial"/>
        <charset val="134"/>
      </rPr>
      <t>,</t>
    </r>
    <r>
      <rPr>
        <sz val="9"/>
        <color rgb="FF000000"/>
        <rFont val="楷体"/>
        <charset val="134"/>
      </rPr>
      <t>干嘉伟</t>
    </r>
  </si>
  <si>
    <r>
      <t>17.93</t>
    </r>
    <r>
      <rPr>
        <sz val="9"/>
        <color rgb="FF000000"/>
        <rFont val="楷体"/>
        <charset val="134"/>
      </rPr>
      <t>亿</t>
    </r>
  </si>
  <si>
    <r>
      <t>58.5</t>
    </r>
    <r>
      <rPr>
        <sz val="9"/>
        <color rgb="FF000000"/>
        <rFont val="楷体"/>
        <charset val="134"/>
      </rPr>
      <t>亿元</t>
    </r>
  </si>
  <si>
    <r>
      <rPr>
        <sz val="9"/>
        <color rgb="FF000000"/>
        <rFont val="楷体"/>
        <charset val="134"/>
      </rPr>
      <t>吴志家</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李锋</t>
    </r>
    <r>
      <rPr>
        <sz val="9"/>
        <color rgb="FF000000"/>
        <rFont val="Arial"/>
        <charset val="134"/>
      </rPr>
      <t>:</t>
    </r>
    <r>
      <rPr>
        <sz val="9"/>
        <color rgb="FF000000"/>
        <rFont val="楷体"/>
        <charset val="134"/>
      </rPr>
      <t>产品负责人</t>
    </r>
  </si>
  <si>
    <r>
      <rPr>
        <sz val="9"/>
        <color rgb="FF000000"/>
        <rFont val="楷体"/>
        <charset val="134"/>
      </rPr>
      <t>浦东新区碧波路</t>
    </r>
    <r>
      <rPr>
        <sz val="9"/>
        <color rgb="FF000000"/>
        <rFont val="Arial"/>
        <charset val="134"/>
      </rPr>
      <t>912</t>
    </r>
    <r>
      <rPr>
        <sz val="9"/>
        <color rgb="FF000000"/>
        <rFont val="楷体"/>
        <charset val="134"/>
      </rPr>
      <t>弄华依创新园</t>
    </r>
    <r>
      <rPr>
        <sz val="9"/>
        <color rgb="FF000000"/>
        <rFont val="Arial"/>
        <charset val="134"/>
      </rPr>
      <t>11</t>
    </r>
    <r>
      <rPr>
        <sz val="9"/>
        <color rgb="FF000000"/>
        <rFont val="楷体"/>
        <charset val="134"/>
      </rPr>
      <t>号楼</t>
    </r>
  </si>
  <si>
    <r>
      <rPr>
        <sz val="9"/>
        <color rgb="FF000000"/>
        <rFont val="楷体"/>
        <charset val="134"/>
      </rPr>
      <t>经纬创投</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新氧</t>
    </r>
    <r>
      <rPr>
        <sz val="9"/>
        <color rgb="FF000000"/>
        <rFont val="Arial"/>
        <charset val="134"/>
      </rPr>
      <t>,</t>
    </r>
    <r>
      <rPr>
        <sz val="9"/>
        <color rgb="FF000000"/>
        <rFont val="楷体"/>
        <charset val="134"/>
      </rPr>
      <t>金鼎资本</t>
    </r>
    <r>
      <rPr>
        <sz val="9"/>
        <color rgb="FF000000"/>
        <rFont val="Arial"/>
        <charset val="134"/>
      </rPr>
      <t>,Investcorp,</t>
    </r>
    <r>
      <rPr>
        <sz val="9"/>
        <color rgb="FF000000"/>
        <rFont val="楷体"/>
        <charset val="134"/>
      </rPr>
      <t>盛业资本</t>
    </r>
  </si>
  <si>
    <r>
      <rPr>
        <sz val="9"/>
        <color rgb="FF000000"/>
        <rFont val="楷体"/>
        <charset val="134"/>
      </rPr>
      <t>经纬创投</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新氧</t>
    </r>
  </si>
  <si>
    <r>
      <rPr>
        <sz val="9"/>
        <color rgb="FF000000"/>
        <rFont val="楷体"/>
        <charset val="134"/>
      </rPr>
      <t>朗玛峰创投</t>
    </r>
    <r>
      <rPr>
        <sz val="9"/>
        <color rgb="FF000000"/>
        <rFont val="Arial"/>
        <charset val="134"/>
      </rPr>
      <t>,</t>
    </r>
    <r>
      <rPr>
        <sz val="9"/>
        <color rgb="FF000000"/>
        <rFont val="楷体"/>
        <charset val="134"/>
      </rPr>
      <t>泰康保险</t>
    </r>
  </si>
  <si>
    <r>
      <rPr>
        <sz val="9"/>
        <color rgb="FF000000"/>
        <rFont val="楷体"/>
        <charset val="134"/>
      </rPr>
      <t>复星医药</t>
    </r>
  </si>
  <si>
    <r>
      <rPr>
        <sz val="9"/>
        <color rgb="FF000000"/>
        <rFont val="楷体"/>
        <charset val="134"/>
      </rPr>
      <t>复星同浩</t>
    </r>
  </si>
  <si>
    <r>
      <rPr>
        <sz val="9"/>
        <color rgb="FF000000"/>
        <rFont val="楷体"/>
        <charset val="134"/>
      </rPr>
      <t>经纬创投</t>
    </r>
    <r>
      <rPr>
        <sz val="9"/>
        <color rgb="FF000000"/>
        <rFont val="Arial"/>
        <charset val="134"/>
      </rPr>
      <t>,</t>
    </r>
    <r>
      <rPr>
        <sz val="9"/>
        <color rgb="FF000000"/>
        <rFont val="楷体"/>
        <charset val="134"/>
      </rPr>
      <t>丁香园</t>
    </r>
  </si>
  <si>
    <r>
      <rPr>
        <sz val="9"/>
        <color rgb="FF000000"/>
        <rFont val="楷体"/>
        <charset val="134"/>
      </rPr>
      <t>同达快送</t>
    </r>
  </si>
  <si>
    <r>
      <rPr>
        <sz val="9"/>
        <color rgb="FF000000"/>
        <rFont val="楷体"/>
        <charset val="134"/>
      </rPr>
      <t>同达快送（同达快递）是一家为大型连锁餐饮企业提供线下送餐服务的同城</t>
    </r>
    <r>
      <rPr>
        <sz val="9"/>
        <color rgb="FF000000"/>
        <rFont val="Arial"/>
        <charset val="134"/>
      </rPr>
      <t>O2O</t>
    </r>
    <r>
      <rPr>
        <sz val="9"/>
        <color rgb="FF000000"/>
        <rFont val="楷体"/>
        <charset val="134"/>
      </rPr>
      <t>配送品牌，客户包括麦当劳、肯德基、吉野家、永和大王、宏状元、汉堡王等，大连同达企业管理有限公司旗下产品。</t>
    </r>
  </si>
  <si>
    <r>
      <rPr>
        <sz val="9"/>
        <color rgb="FF000000"/>
        <rFont val="楷体"/>
        <charset val="134"/>
      </rPr>
      <t>大连同达企业管理有限公司</t>
    </r>
  </si>
  <si>
    <r>
      <rPr>
        <sz val="9"/>
        <color rgb="FF000000"/>
        <rFont val="楷体"/>
        <charset val="134"/>
      </rPr>
      <t>辽宁</t>
    </r>
    <r>
      <rPr>
        <sz val="9"/>
        <color rgb="FF000000"/>
        <rFont val="Arial"/>
        <charset val="134"/>
      </rPr>
      <t>-</t>
    </r>
    <r>
      <rPr>
        <sz val="9"/>
        <color rgb="FF000000"/>
        <rFont val="楷体"/>
        <charset val="134"/>
      </rPr>
      <t>大连</t>
    </r>
  </si>
  <si>
    <r>
      <rPr>
        <sz val="9"/>
        <color rgb="FF000000"/>
        <rFont val="楷体"/>
        <charset val="134"/>
      </rPr>
      <t>同城物流</t>
    </r>
  </si>
  <si>
    <r>
      <rPr>
        <sz val="9"/>
        <color rgb="FF000000"/>
        <rFont val="楷体"/>
        <charset val="134"/>
      </rPr>
      <t>谭志勇</t>
    </r>
    <r>
      <rPr>
        <sz val="9"/>
        <color rgb="FF000000"/>
        <rFont val="Arial"/>
        <charset val="134"/>
      </rPr>
      <t>:CEO</t>
    </r>
  </si>
  <si>
    <r>
      <rPr>
        <sz val="9"/>
        <color rgb="FF000000"/>
        <rFont val="楷体"/>
        <charset val="134"/>
      </rPr>
      <t>屏芯科技</t>
    </r>
  </si>
  <si>
    <r>
      <rPr>
        <sz val="9"/>
        <color rgb="FF000000"/>
        <rFont val="楷体"/>
        <charset val="134"/>
      </rPr>
      <t>屏芯科技是餐饮云</t>
    </r>
    <r>
      <rPr>
        <sz val="9"/>
        <color rgb="FF000000"/>
        <rFont val="Arial"/>
        <charset val="134"/>
      </rPr>
      <t>ERP</t>
    </r>
    <r>
      <rPr>
        <sz val="9"/>
        <color rgb="FF000000"/>
        <rFont val="楷体"/>
        <charset val="134"/>
      </rPr>
      <t>服务商，服务中小餐饮企业，提供会员、排队、手机点餐、收银等多种餐饮企业提供信息化解决方案产品。</t>
    </r>
  </si>
  <si>
    <r>
      <rPr>
        <sz val="9"/>
        <color rgb="FF000000"/>
        <rFont val="楷体"/>
        <charset val="134"/>
      </rPr>
      <t>北京屏芯科技有限公司</t>
    </r>
  </si>
  <si>
    <r>
      <t>6000</t>
    </r>
    <r>
      <rPr>
        <sz val="9"/>
        <color rgb="FF000000"/>
        <rFont val="楷体"/>
        <charset val="134"/>
      </rPr>
      <t>万</t>
    </r>
  </si>
  <si>
    <r>
      <rPr>
        <sz val="9"/>
        <color rgb="FF000000"/>
        <rFont val="楷体"/>
        <charset val="134"/>
      </rPr>
      <t>郭佳肃</t>
    </r>
    <r>
      <rPr>
        <sz val="9"/>
        <color rgb="FF000000"/>
        <rFont val="Arial"/>
        <charset val="134"/>
      </rPr>
      <t>:</t>
    </r>
    <r>
      <rPr>
        <sz val="9"/>
        <color rgb="FF000000"/>
        <rFont val="楷体"/>
        <charset val="134"/>
      </rPr>
      <t>创始人</t>
    </r>
  </si>
  <si>
    <r>
      <rPr>
        <sz val="9"/>
        <color rgb="FF000000"/>
        <rFont val="楷体"/>
        <charset val="134"/>
      </rPr>
      <t>北京市海淀区中关村东路</t>
    </r>
    <r>
      <rPr>
        <sz val="9"/>
        <color rgb="FF000000"/>
        <rFont val="Arial"/>
        <charset val="134"/>
      </rPr>
      <t>1</t>
    </r>
    <r>
      <rPr>
        <sz val="9"/>
        <color rgb="FF000000"/>
        <rFont val="楷体"/>
        <charset val="134"/>
      </rPr>
      <t>号院</t>
    </r>
    <r>
      <rPr>
        <sz val="9"/>
        <color rgb="FF000000"/>
        <rFont val="Arial"/>
        <charset val="134"/>
      </rPr>
      <t>8</t>
    </r>
    <r>
      <rPr>
        <sz val="9"/>
        <color rgb="FF000000"/>
        <rFont val="楷体"/>
        <charset val="134"/>
      </rPr>
      <t>号楼</t>
    </r>
    <r>
      <rPr>
        <sz val="9"/>
        <color rgb="FF000000"/>
        <rFont val="Arial"/>
        <charset val="134"/>
      </rPr>
      <t>D</t>
    </r>
    <r>
      <rPr>
        <sz val="9"/>
        <color rgb="FF000000"/>
        <rFont val="楷体"/>
        <charset val="134"/>
      </rPr>
      <t>座</t>
    </r>
    <r>
      <rPr>
        <sz val="9"/>
        <color rgb="FF000000"/>
        <rFont val="Arial"/>
        <charset val="134"/>
      </rPr>
      <t>11</t>
    </r>
    <r>
      <rPr>
        <sz val="9"/>
        <color rgb="FF000000"/>
        <rFont val="楷体"/>
        <charset val="134"/>
      </rPr>
      <t>层</t>
    </r>
  </si>
  <si>
    <r>
      <rPr>
        <sz val="9"/>
        <color rgb="FF000000"/>
        <rFont val="楷体"/>
        <charset val="134"/>
      </rPr>
      <t>磐霖资本</t>
    </r>
  </si>
  <si>
    <r>
      <rPr>
        <sz val="9"/>
        <color rgb="FF000000"/>
        <rFont val="楷体"/>
        <charset val="134"/>
      </rPr>
      <t>水滴公司</t>
    </r>
  </si>
  <si>
    <r>
      <rPr>
        <sz val="9"/>
        <color rgb="FF000000"/>
        <rFont val="楷体"/>
        <charset val="134"/>
      </rPr>
      <t>水滴公司是一家提供</t>
    </r>
    <r>
      <rPr>
        <sz val="9"/>
        <color rgb="FF000000"/>
        <rFont val="Arial"/>
        <charset val="134"/>
      </rPr>
      <t>“</t>
    </r>
    <r>
      <rPr>
        <sz val="9"/>
        <color rgb="FF000000"/>
        <rFont val="楷体"/>
        <charset val="134"/>
      </rPr>
      <t>筹款</t>
    </r>
    <r>
      <rPr>
        <sz val="9"/>
        <color rgb="FF000000"/>
        <rFont val="Arial"/>
        <charset val="134"/>
      </rPr>
      <t>+</t>
    </r>
    <r>
      <rPr>
        <sz val="9"/>
        <color rgb="FF000000"/>
        <rFont val="楷体"/>
        <charset val="134"/>
      </rPr>
      <t>互助</t>
    </r>
    <r>
      <rPr>
        <sz val="9"/>
        <color rgb="FF000000"/>
        <rFont val="Arial"/>
        <charset val="134"/>
      </rPr>
      <t>+</t>
    </r>
    <r>
      <rPr>
        <sz val="9"/>
        <color rgb="FF000000"/>
        <rFont val="楷体"/>
        <charset val="134"/>
      </rPr>
      <t>保险</t>
    </r>
    <r>
      <rPr>
        <sz val="9"/>
        <color rgb="FF000000"/>
        <rFont val="Arial"/>
        <charset val="134"/>
      </rPr>
      <t>”</t>
    </r>
    <r>
      <rPr>
        <sz val="9"/>
        <color rgb="FF000000"/>
        <rFont val="楷体"/>
        <charset val="134"/>
      </rPr>
      <t>业务的公司，通过水滴保险、水滴筹、水滴互助等产品，为广大网民提供事前保险保障的同时，也为中低收入人群提供患病后的医疗资金救助。北京纵情向前科技有限公司旗下产品。</t>
    </r>
  </si>
  <si>
    <r>
      <rPr>
        <sz val="9"/>
        <color rgb="FF000000"/>
        <rFont val="楷体"/>
        <charset val="134"/>
      </rPr>
      <t>北京纵情向前科技有限公司</t>
    </r>
  </si>
  <si>
    <r>
      <rPr>
        <sz val="9"/>
        <color rgb="FF000000"/>
        <rFont val="楷体"/>
        <charset val="134"/>
      </rPr>
      <t>保险</t>
    </r>
  </si>
  <si>
    <r>
      <t>3.48</t>
    </r>
    <r>
      <rPr>
        <sz val="9"/>
        <color rgb="FF000000"/>
        <rFont val="楷体"/>
        <charset val="134"/>
      </rPr>
      <t>亿美元</t>
    </r>
  </si>
  <si>
    <r>
      <t>78.07</t>
    </r>
    <r>
      <rPr>
        <sz val="9"/>
        <color rgb="FF000000"/>
        <rFont val="楷体"/>
        <charset val="134"/>
      </rPr>
      <t>亿</t>
    </r>
  </si>
  <si>
    <r>
      <t>248.495</t>
    </r>
    <r>
      <rPr>
        <sz val="9"/>
        <color rgb="FF000000"/>
        <rFont val="楷体"/>
        <charset val="134"/>
      </rPr>
      <t>亿元</t>
    </r>
  </si>
  <si>
    <r>
      <rPr>
        <sz val="9"/>
        <color rgb="FF000000"/>
        <rFont val="楷体"/>
        <charset val="134"/>
      </rPr>
      <t>沈鹏</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邱慧</t>
    </r>
    <r>
      <rPr>
        <sz val="9"/>
        <color rgb="FF000000"/>
        <rFont val="Arial"/>
        <charset val="134"/>
      </rPr>
      <t>:</t>
    </r>
    <r>
      <rPr>
        <sz val="9"/>
        <color rgb="FF000000"/>
        <rFont val="楷体"/>
        <charset val="134"/>
      </rPr>
      <t>合伙人</t>
    </r>
    <r>
      <rPr>
        <sz val="9"/>
        <color rgb="FF000000"/>
        <rFont val="Arial"/>
        <charset val="134"/>
      </rPr>
      <t>&amp;CTO</t>
    </r>
  </si>
  <si>
    <r>
      <rPr>
        <sz val="9"/>
        <color rgb="FF000000"/>
        <rFont val="楷体"/>
        <charset val="134"/>
      </rPr>
      <t>北京市朝阳区望京科技园</t>
    </r>
    <r>
      <rPr>
        <sz val="9"/>
        <color rgb="FF000000"/>
        <rFont val="Arial"/>
        <charset val="134"/>
      </rPr>
      <t>C</t>
    </r>
    <r>
      <rPr>
        <sz val="9"/>
        <color rgb="FF000000"/>
        <rFont val="楷体"/>
        <charset val="134"/>
      </rPr>
      <t>座</t>
    </r>
  </si>
  <si>
    <r>
      <rPr>
        <sz val="9"/>
        <color rgb="FF000000"/>
        <rFont val="楷体"/>
        <charset val="134"/>
      </rPr>
      <t>厚朴基金</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王慧文</t>
    </r>
  </si>
  <si>
    <r>
      <t>2.3</t>
    </r>
    <r>
      <rPr>
        <sz val="9"/>
        <color rgb="FF000000"/>
        <rFont val="楷体"/>
        <charset val="134"/>
      </rPr>
      <t>亿美元</t>
    </r>
  </si>
  <si>
    <r>
      <t>IDG</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点亮基金</t>
    </r>
    <r>
      <rPr>
        <sz val="9"/>
        <color rgb="FF000000"/>
        <rFont val="Arial"/>
        <charset val="134"/>
      </rPr>
      <t>,</t>
    </r>
    <r>
      <rPr>
        <sz val="9"/>
        <color rgb="FF000000"/>
        <rFont val="楷体"/>
        <charset val="134"/>
      </rPr>
      <t>瑞士再保险</t>
    </r>
  </si>
  <si>
    <r>
      <rPr>
        <sz val="9"/>
        <color rgb="FF000000"/>
        <rFont val="楷体"/>
        <charset val="134"/>
      </rPr>
      <t>腾讯投资</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元钛基金</t>
    </r>
    <r>
      <rPr>
        <sz val="9"/>
        <color rgb="FF000000"/>
        <rFont val="Arial"/>
        <charset val="134"/>
      </rPr>
      <t>,</t>
    </r>
    <r>
      <rPr>
        <sz val="9"/>
        <color rgb="FF000000"/>
        <rFont val="楷体"/>
        <charset val="134"/>
      </rPr>
      <t>博裕资本</t>
    </r>
    <r>
      <rPr>
        <sz val="9"/>
        <color rgb="FF000000"/>
        <rFont val="Arial"/>
        <charset val="134"/>
      </rPr>
      <t>,</t>
    </r>
    <r>
      <rPr>
        <sz val="9"/>
        <color rgb="FF000000"/>
        <rFont val="楷体"/>
        <charset val="134"/>
      </rPr>
      <t>凯智资本</t>
    </r>
    <r>
      <rPr>
        <sz val="9"/>
        <color rgb="FF000000"/>
        <rFont val="Arial"/>
        <charset val="134"/>
      </rPr>
      <t>,</t>
    </r>
    <r>
      <rPr>
        <sz val="9"/>
        <color rgb="FF000000"/>
        <rFont val="楷体"/>
        <charset val="134"/>
      </rPr>
      <t>中金资本</t>
    </r>
  </si>
  <si>
    <r>
      <t>IDG</t>
    </r>
    <r>
      <rPr>
        <sz val="9"/>
        <color rgb="FF000000"/>
        <rFont val="楷体"/>
        <charset val="134"/>
      </rPr>
      <t>资本</t>
    </r>
    <r>
      <rPr>
        <sz val="9"/>
        <color rgb="FF000000"/>
        <rFont val="Arial"/>
        <charset val="134"/>
      </rPr>
      <t>,</t>
    </r>
    <r>
      <rPr>
        <sz val="9"/>
        <color rgb="FF000000"/>
        <rFont val="楷体"/>
        <charset val="134"/>
      </rPr>
      <t>创新工场</t>
    </r>
    <r>
      <rPr>
        <sz val="9"/>
        <color rgb="FF000000"/>
        <rFont val="Arial"/>
        <charset val="134"/>
      </rPr>
      <t>,</t>
    </r>
    <r>
      <rPr>
        <sz val="9"/>
        <color rgb="FF000000"/>
        <rFont val="楷体"/>
        <charset val="134"/>
      </rPr>
      <t>蓝驰创投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高榕资本</t>
    </r>
    <r>
      <rPr>
        <sz val="9"/>
        <color rgb="FF000000"/>
        <rFont val="Arial"/>
        <charset val="134"/>
      </rPr>
      <t>,Yuri Milner,</t>
    </r>
    <r>
      <rPr>
        <sz val="9"/>
        <color rgb="FF000000"/>
        <rFont val="楷体"/>
        <charset val="134"/>
      </rPr>
      <t>吴宵光</t>
    </r>
  </si>
  <si>
    <r>
      <t>1.6</t>
    </r>
    <r>
      <rPr>
        <sz val="9"/>
        <color rgb="FF000000"/>
        <rFont val="楷体"/>
        <charset val="134"/>
      </rPr>
      <t>亿人民币</t>
    </r>
  </si>
  <si>
    <r>
      <t>IDG</t>
    </r>
    <r>
      <rPr>
        <sz val="9"/>
        <color rgb="FF000000"/>
        <rFont val="楷体"/>
        <charset val="134"/>
      </rPr>
      <t>资本</t>
    </r>
    <r>
      <rPr>
        <sz val="9"/>
        <color rgb="FF000000"/>
        <rFont val="Arial"/>
        <charset val="134"/>
      </rPr>
      <t>,</t>
    </r>
    <r>
      <rPr>
        <sz val="9"/>
        <color rgb="FF000000"/>
        <rFont val="楷体"/>
        <charset val="134"/>
      </rPr>
      <t>创新工场</t>
    </r>
    <r>
      <rPr>
        <sz val="9"/>
        <color rgb="FF000000"/>
        <rFont val="Arial"/>
        <charset val="134"/>
      </rPr>
      <t>,</t>
    </r>
    <r>
      <rPr>
        <sz val="9"/>
        <color rgb="FF000000"/>
        <rFont val="楷体"/>
        <charset val="134"/>
      </rPr>
      <t>蓝驰创投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睿嘉资产</t>
    </r>
    <r>
      <rPr>
        <sz val="9"/>
        <color rgb="FF000000"/>
        <rFont val="Arial"/>
        <charset val="134"/>
      </rPr>
      <t>,</t>
    </r>
    <r>
      <rPr>
        <sz val="9"/>
        <color rgb="FF000000"/>
        <rFont val="楷体"/>
        <charset val="134"/>
      </rPr>
      <t>彤程新材</t>
    </r>
  </si>
  <si>
    <r>
      <t>IDG</t>
    </r>
    <r>
      <rPr>
        <sz val="9"/>
        <color rgb="FF000000"/>
        <rFont val="楷体"/>
        <charset val="134"/>
      </rPr>
      <t>资本</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初心资本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点亮基金</t>
    </r>
  </si>
  <si>
    <r>
      <rPr>
        <sz val="9"/>
        <color rgb="FF000000"/>
        <rFont val="楷体"/>
        <charset val="134"/>
      </rPr>
      <t>必去科技</t>
    </r>
  </si>
  <si>
    <r>
      <rPr>
        <sz val="9"/>
        <color rgb="FF000000"/>
        <rFont val="楷体"/>
        <charset val="134"/>
      </rPr>
      <t>必去科技是一家基于航空公司官网直连的机票直销平台，只卖官网机票，不索要佣金、不收取费用，北京泰复航空服务有限公司旗下产品。</t>
    </r>
  </si>
  <si>
    <r>
      <rPr>
        <sz val="9"/>
        <color rgb="FF000000"/>
        <rFont val="楷体"/>
        <charset val="134"/>
      </rPr>
      <t>北京泰复航空服务有限公司</t>
    </r>
  </si>
  <si>
    <r>
      <rPr>
        <sz val="9"/>
        <color rgb="FF000000"/>
        <rFont val="楷体"/>
        <charset val="134"/>
      </rPr>
      <t>马国华</t>
    </r>
    <r>
      <rPr>
        <sz val="9"/>
        <color rgb="FF000000"/>
        <rFont val="Arial"/>
        <charset val="134"/>
      </rPr>
      <t>:CEO</t>
    </r>
  </si>
  <si>
    <r>
      <rPr>
        <sz val="9"/>
        <color rgb="FF000000"/>
        <rFont val="楷体"/>
        <charset val="134"/>
      </rPr>
      <t>摩拜单车</t>
    </r>
  </si>
  <si>
    <r>
      <rPr>
        <sz val="9"/>
        <color rgb="FF000000"/>
        <rFont val="楷体"/>
        <charset val="134"/>
      </rPr>
      <t>摩拜单车是一家互联网短途出行解决方案，是无桩借还车模式的智能硬件，旨在让用户无需办卡，只需下载摩拜单车</t>
    </r>
    <r>
      <rPr>
        <sz val="9"/>
        <color rgb="FF000000"/>
        <rFont val="Arial"/>
        <charset val="134"/>
      </rPr>
      <t>App</t>
    </r>
    <r>
      <rPr>
        <sz val="9"/>
        <color rgb="FF000000"/>
        <rFont val="楷体"/>
        <charset val="134"/>
      </rPr>
      <t>完成注册、扫码解锁、支付、还车的全过程服务。</t>
    </r>
    <r>
      <rPr>
        <sz val="9"/>
        <color rgb="FF000000"/>
        <rFont val="Arial"/>
        <charset val="134"/>
      </rPr>
      <t>2020</t>
    </r>
    <r>
      <rPr>
        <sz val="9"/>
        <color rgb="FF000000"/>
        <rFont val="楷体"/>
        <charset val="134"/>
      </rPr>
      <t>年</t>
    </r>
    <r>
      <rPr>
        <sz val="9"/>
        <color rgb="FF000000"/>
        <rFont val="Arial"/>
        <charset val="134"/>
      </rPr>
      <t>12</t>
    </r>
    <r>
      <rPr>
        <sz val="9"/>
        <color rgb="FF000000"/>
        <rFont val="楷体"/>
        <charset val="134"/>
      </rPr>
      <t>月</t>
    </r>
    <r>
      <rPr>
        <sz val="9"/>
        <color rgb="FF000000"/>
        <rFont val="Arial"/>
        <charset val="134"/>
      </rPr>
      <t>14</t>
    </r>
    <r>
      <rPr>
        <sz val="9"/>
        <color rgb="FF000000"/>
        <rFont val="楷体"/>
        <charset val="134"/>
      </rPr>
      <t>日晚，摩拜</t>
    </r>
    <r>
      <rPr>
        <sz val="9"/>
        <color rgb="FF000000"/>
        <rFont val="Arial"/>
        <charset val="134"/>
      </rPr>
      <t>App</t>
    </r>
    <r>
      <rPr>
        <sz val="9"/>
        <color rgb="FF000000"/>
        <rFont val="楷体"/>
        <charset val="134"/>
      </rPr>
      <t>、摩拜微信小程序将停止服务和运营。目前，摩拜单车已接入美团</t>
    </r>
    <r>
      <rPr>
        <sz val="9"/>
        <color rgb="FF000000"/>
        <rFont val="Arial"/>
        <charset val="134"/>
      </rPr>
      <t>App</t>
    </r>
    <r>
      <rPr>
        <sz val="9"/>
        <color rgb="FF000000"/>
        <rFont val="楷体"/>
        <charset val="134"/>
      </rPr>
      <t>。</t>
    </r>
  </si>
  <si>
    <r>
      <rPr>
        <sz val="9"/>
        <color rgb="FF000000"/>
        <rFont val="楷体"/>
        <charset val="134"/>
      </rPr>
      <t>北京摩拜科技有限公司</t>
    </r>
  </si>
  <si>
    <r>
      <t>27</t>
    </r>
    <r>
      <rPr>
        <sz val="9"/>
        <color rgb="FF000000"/>
        <rFont val="楷体"/>
        <charset val="134"/>
      </rPr>
      <t>亿美元</t>
    </r>
  </si>
  <si>
    <r>
      <t>353.16</t>
    </r>
    <r>
      <rPr>
        <sz val="9"/>
        <color rgb="FF000000"/>
        <rFont val="楷体"/>
        <charset val="134"/>
      </rPr>
      <t>亿</t>
    </r>
  </si>
  <si>
    <r>
      <t>877.5</t>
    </r>
    <r>
      <rPr>
        <sz val="9"/>
        <color rgb="FF000000"/>
        <rFont val="楷体"/>
        <charset val="134"/>
      </rPr>
      <t>亿元</t>
    </r>
  </si>
  <si>
    <r>
      <rPr>
        <sz val="9"/>
        <color rgb="FF000000"/>
        <rFont val="楷体"/>
        <charset val="134"/>
      </rPr>
      <t>王晓峰</t>
    </r>
    <r>
      <rPr>
        <sz val="9"/>
        <color rgb="FF000000"/>
        <rFont val="Arial"/>
        <charset val="134"/>
      </rPr>
      <t>:CEO,</t>
    </r>
    <r>
      <rPr>
        <sz val="9"/>
        <color rgb="FF000000"/>
        <rFont val="楷体"/>
        <charset val="134"/>
      </rPr>
      <t>胡玮炜</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李斌</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郑顺景</t>
    </r>
    <r>
      <rPr>
        <sz val="9"/>
        <color rgb="FF000000"/>
        <rFont val="Arial"/>
        <charset val="134"/>
      </rPr>
      <t>:CMO,</t>
    </r>
    <r>
      <rPr>
        <sz val="9"/>
        <color rgb="FF000000"/>
        <rFont val="楷体"/>
        <charset val="134"/>
      </rPr>
      <t>王兴</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王慧文</t>
    </r>
    <r>
      <rPr>
        <sz val="9"/>
        <color rgb="FF000000"/>
        <rFont val="Arial"/>
        <charset val="134"/>
      </rPr>
      <t>:</t>
    </r>
    <r>
      <rPr>
        <sz val="9"/>
        <color rgb="FF000000"/>
        <rFont val="楷体"/>
        <charset val="134"/>
      </rPr>
      <t>总经理</t>
    </r>
    <r>
      <rPr>
        <sz val="9"/>
        <color rgb="FF000000"/>
        <rFont val="Arial"/>
        <charset val="134"/>
      </rPr>
      <t>,</t>
    </r>
    <r>
      <rPr>
        <sz val="9"/>
        <color rgb="FF000000"/>
        <rFont val="楷体"/>
        <charset val="134"/>
      </rPr>
      <t>夏一平</t>
    </r>
    <r>
      <rPr>
        <sz val="9"/>
        <color rgb="FF000000"/>
        <rFont val="Arial"/>
        <charset val="134"/>
      </rPr>
      <t>:CTO</t>
    </r>
  </si>
  <si>
    <r>
      <rPr>
        <sz val="9"/>
        <color rgb="FF000000"/>
        <rFont val="楷体"/>
        <charset val="134"/>
      </rPr>
      <t>北京市海淀区学院路甲</t>
    </r>
    <r>
      <rPr>
        <sz val="9"/>
        <color rgb="FF000000"/>
        <rFont val="Arial"/>
        <charset val="134"/>
      </rPr>
      <t>5</t>
    </r>
    <r>
      <rPr>
        <sz val="9"/>
        <color rgb="FF000000"/>
        <rFont val="楷体"/>
        <charset val="134"/>
      </rPr>
      <t>号</t>
    </r>
    <r>
      <rPr>
        <sz val="9"/>
        <color rgb="FF000000"/>
        <rFont val="Arial"/>
        <charset val="134"/>
      </rPr>
      <t>2</t>
    </r>
    <r>
      <rPr>
        <sz val="9"/>
        <color rgb="FF000000"/>
        <rFont val="楷体"/>
        <charset val="134"/>
      </rPr>
      <t>幢平房</t>
    </r>
    <r>
      <rPr>
        <sz val="9"/>
        <color rgb="FF000000"/>
        <rFont val="Arial"/>
        <charset val="134"/>
      </rPr>
      <t>B</t>
    </r>
    <r>
      <rPr>
        <sz val="9"/>
        <color rgb="FF000000"/>
        <rFont val="楷体"/>
        <charset val="134"/>
      </rPr>
      <t>北</t>
    </r>
    <r>
      <rPr>
        <sz val="9"/>
        <color rgb="FF000000"/>
        <rFont val="Arial"/>
        <charset val="134"/>
      </rPr>
      <t>-3042</t>
    </r>
    <r>
      <rPr>
        <sz val="9"/>
        <color rgb="FF000000"/>
        <rFont val="楷体"/>
        <charset val="134"/>
      </rPr>
      <t>室</t>
    </r>
  </si>
  <si>
    <r>
      <rPr>
        <sz val="9"/>
        <color rgb="FF000000"/>
        <rFont val="楷体"/>
        <charset val="134"/>
      </rPr>
      <t>高通</t>
    </r>
    <r>
      <rPr>
        <sz val="9"/>
        <color rgb="FF000000"/>
        <rFont val="Arial"/>
        <charset val="134"/>
      </rPr>
      <t>Qualcomm Ventures</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</si>
  <si>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高瓴投资</t>
    </r>
    <r>
      <rPr>
        <sz val="9"/>
        <color rgb="FF000000"/>
        <rFont val="Arial"/>
        <charset val="134"/>
      </rPr>
      <t>,Farallon Capital</t>
    </r>
    <r>
      <rPr>
        <sz val="9"/>
        <color rgb="FF000000"/>
        <rFont val="楷体"/>
        <charset val="134"/>
      </rPr>
      <t>法拉龙资本</t>
    </r>
    <r>
      <rPr>
        <sz val="9"/>
        <color rgb="FF000000"/>
        <rFont val="Arial"/>
        <charset val="134"/>
      </rPr>
      <t>,</t>
    </r>
    <r>
      <rPr>
        <sz val="9"/>
        <color rgb="FF000000"/>
        <rFont val="楷体"/>
        <charset val="134"/>
      </rPr>
      <t>交银国际</t>
    </r>
    <r>
      <rPr>
        <sz val="9"/>
        <color rgb="FF000000"/>
        <rFont val="Arial"/>
        <charset val="134"/>
      </rPr>
      <t>,</t>
    </r>
    <r>
      <rPr>
        <sz val="9"/>
        <color rgb="FF000000"/>
        <rFont val="楷体"/>
        <charset val="134"/>
      </rPr>
      <t>工银国际</t>
    </r>
    <r>
      <rPr>
        <sz val="9"/>
        <color rgb="FF000000"/>
        <rFont val="Arial"/>
        <charset val="134"/>
      </rPr>
      <t>,TPG</t>
    </r>
    <r>
      <rPr>
        <sz val="9"/>
        <color rgb="FF000000"/>
        <rFont val="楷体"/>
        <charset val="134"/>
      </rPr>
      <t>德太资本</t>
    </r>
    <r>
      <rPr>
        <sz val="9"/>
        <color rgb="FF000000"/>
        <rFont val="Arial"/>
        <charset val="134"/>
      </rPr>
      <t>,</t>
    </r>
    <r>
      <rPr>
        <sz val="9"/>
        <color rgb="FF000000"/>
        <rFont val="楷体"/>
        <charset val="134"/>
      </rPr>
      <t>弘卓资本</t>
    </r>
  </si>
  <si>
    <r>
      <rPr>
        <sz val="9"/>
        <color rgb="FF000000"/>
        <rFont val="楷体"/>
        <charset val="134"/>
      </rPr>
      <t>淡马锡</t>
    </r>
    <r>
      <rPr>
        <sz val="9"/>
        <color rgb="FF000000"/>
        <rFont val="Arial"/>
        <charset val="134"/>
      </rPr>
      <t>Temasek,</t>
    </r>
    <r>
      <rPr>
        <sz val="9"/>
        <color rgb="FF000000"/>
        <rFont val="楷体"/>
        <charset val="134"/>
      </rPr>
      <t>高瓴投资</t>
    </r>
  </si>
  <si>
    <r>
      <rPr>
        <sz val="9"/>
        <color rgb="FF000000"/>
        <rFont val="楷体"/>
        <charset val="134"/>
      </rPr>
      <t>富士康</t>
    </r>
    <r>
      <rPr>
        <sz val="9"/>
        <color rgb="FF000000"/>
        <rFont val="Arial"/>
        <charset val="134"/>
      </rPr>
      <t>Foxconn</t>
    </r>
  </si>
  <si>
    <r>
      <t>2.15</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</si>
  <si>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创新工场</t>
    </r>
    <r>
      <rPr>
        <sz val="9"/>
        <color rgb="FF000000"/>
        <rFont val="Arial"/>
        <charset val="134"/>
      </rPr>
      <t>,</t>
    </r>
    <r>
      <rPr>
        <sz val="9"/>
        <color rgb="FF000000"/>
        <rFont val="楷体"/>
        <charset val="134"/>
      </rPr>
      <t>启明创投</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祥峰投资</t>
    </r>
    <r>
      <rPr>
        <sz val="9"/>
        <color rgb="FF000000"/>
        <rFont val="Arial"/>
        <charset val="134"/>
      </rPr>
      <t>Vertex,</t>
    </r>
    <r>
      <rPr>
        <sz val="9"/>
        <color rgb="FF000000"/>
        <rFont val="楷体"/>
        <charset val="134"/>
      </rPr>
      <t>腾讯投资</t>
    </r>
    <r>
      <rPr>
        <sz val="9"/>
        <color rgb="FF000000"/>
        <rFont val="Arial"/>
        <charset val="134"/>
      </rPr>
      <t>,</t>
    </r>
    <r>
      <rPr>
        <sz val="9"/>
        <color rgb="FF000000"/>
        <rFont val="楷体"/>
        <charset val="134"/>
      </rPr>
      <t>携程</t>
    </r>
    <r>
      <rPr>
        <sz val="9"/>
        <color rgb="FF000000"/>
        <rFont val="Arial"/>
        <charset val="134"/>
      </rPr>
      <t>,</t>
    </r>
    <r>
      <rPr>
        <sz val="9"/>
        <color rgb="FF000000"/>
        <rFont val="楷体"/>
        <charset val="134"/>
      </rPr>
      <t>华平投资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鸿海集团</t>
    </r>
    <r>
      <rPr>
        <sz val="9"/>
        <color rgb="FF000000"/>
        <rFont val="Arial"/>
        <charset val="134"/>
      </rPr>
      <t>Foxconn,</t>
    </r>
    <r>
      <rPr>
        <sz val="9"/>
        <color rgb="FF000000"/>
        <rFont val="楷体"/>
        <charset val="134"/>
      </rPr>
      <t>熊猫资本</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永柏资本</t>
    </r>
    <r>
      <rPr>
        <sz val="9"/>
        <color rgb="FF000000"/>
        <rFont val="Arial"/>
        <charset val="134"/>
      </rPr>
      <t>PGA Ventures,TPG</t>
    </r>
    <r>
      <rPr>
        <sz val="9"/>
        <color rgb="FF000000"/>
        <rFont val="楷体"/>
        <charset val="134"/>
      </rPr>
      <t>德太资本</t>
    </r>
    <r>
      <rPr>
        <sz val="9"/>
        <color rgb="FF000000"/>
        <rFont val="Arial"/>
        <charset val="134"/>
      </rPr>
      <t>,</t>
    </r>
    <r>
      <rPr>
        <sz val="9"/>
        <color rgb="FF000000"/>
        <rFont val="楷体"/>
        <charset val="134"/>
      </rPr>
      <t>华住酒店集团</t>
    </r>
    <r>
      <rPr>
        <sz val="9"/>
        <color rgb="FF000000"/>
        <rFont val="Arial"/>
        <charset val="134"/>
      </rPr>
      <t>,</t>
    </r>
    <r>
      <rPr>
        <sz val="9"/>
        <color rgb="FF000000"/>
        <rFont val="楷体"/>
        <charset val="134"/>
      </rPr>
      <t>弘卓资本</t>
    </r>
  </si>
  <si>
    <r>
      <t>5500</t>
    </r>
    <r>
      <rPr>
        <sz val="9"/>
        <color rgb="FF000000"/>
        <rFont val="楷体"/>
        <charset val="134"/>
      </rPr>
      <t>万美元</t>
    </r>
  </si>
  <si>
    <r>
      <rPr>
        <sz val="9"/>
        <color rgb="FF000000"/>
        <rFont val="楷体"/>
        <charset val="134"/>
      </rPr>
      <t>红杉资本中国</t>
    </r>
    <r>
      <rPr>
        <sz val="9"/>
        <color rgb="FF000000"/>
        <rFont val="Arial"/>
        <charset val="134"/>
      </rPr>
      <t>,</t>
    </r>
    <r>
      <rPr>
        <sz val="9"/>
        <color rgb="FF000000"/>
        <rFont val="楷体"/>
        <charset val="134"/>
      </rPr>
      <t>启明创投</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华平投资</t>
    </r>
    <r>
      <rPr>
        <sz val="9"/>
        <color rgb="FF000000"/>
        <rFont val="Arial"/>
        <charset val="134"/>
      </rPr>
      <t>,</t>
    </r>
    <r>
      <rPr>
        <sz val="9"/>
        <color rgb="FF000000"/>
        <rFont val="楷体"/>
        <charset val="134"/>
      </rPr>
      <t>高瓴投资</t>
    </r>
  </si>
  <si>
    <r>
      <rPr>
        <sz val="9"/>
        <color rgb="FF000000"/>
        <rFont val="楷体"/>
        <charset val="134"/>
      </rPr>
      <t>红杉资本中国</t>
    </r>
    <r>
      <rPr>
        <sz val="9"/>
        <color rgb="FF000000"/>
        <rFont val="Arial"/>
        <charset val="134"/>
      </rPr>
      <t>,</t>
    </r>
    <r>
      <rPr>
        <sz val="9"/>
        <color rgb="FF000000"/>
        <rFont val="楷体"/>
        <charset val="134"/>
      </rPr>
      <t>高瓴投资</t>
    </r>
  </si>
  <si>
    <r>
      <rPr>
        <sz val="9"/>
        <color rgb="FF000000"/>
        <rFont val="楷体"/>
        <charset val="134"/>
      </rPr>
      <t>创新工场</t>
    </r>
    <r>
      <rPr>
        <sz val="9"/>
        <color rgb="FF000000"/>
        <rFont val="Arial"/>
        <charset val="134"/>
      </rPr>
      <t>,</t>
    </r>
    <r>
      <rPr>
        <sz val="9"/>
        <color rgb="FF000000"/>
        <rFont val="楷体"/>
        <charset val="134"/>
      </rPr>
      <t>祥峰投资</t>
    </r>
    <r>
      <rPr>
        <sz val="9"/>
        <color rgb="FF000000"/>
        <rFont val="Arial"/>
        <charset val="134"/>
      </rPr>
      <t>Vertex</t>
    </r>
  </si>
  <si>
    <r>
      <rPr>
        <sz val="9"/>
        <color rgb="FF000000"/>
        <rFont val="楷体"/>
        <charset val="134"/>
      </rPr>
      <t>创新工场</t>
    </r>
    <r>
      <rPr>
        <sz val="9"/>
        <color rgb="FF000000"/>
        <rFont val="Arial"/>
        <charset val="134"/>
      </rPr>
      <t>,</t>
    </r>
    <r>
      <rPr>
        <sz val="9"/>
        <color rgb="FF000000"/>
        <rFont val="楷体"/>
        <charset val="134"/>
      </rPr>
      <t>熊猫资本</t>
    </r>
    <r>
      <rPr>
        <sz val="9"/>
        <color rgb="FF000000"/>
        <rFont val="Arial"/>
        <charset val="134"/>
      </rPr>
      <t>,</t>
    </r>
    <r>
      <rPr>
        <sz val="9"/>
        <color rgb="FF000000"/>
        <rFont val="楷体"/>
        <charset val="134"/>
      </rPr>
      <t>愉悦资本</t>
    </r>
  </si>
  <si>
    <r>
      <t>300</t>
    </r>
    <r>
      <rPr>
        <sz val="9"/>
        <color rgb="FF000000"/>
        <rFont val="楷体"/>
        <charset val="134"/>
      </rPr>
      <t>万美元</t>
    </r>
  </si>
  <si>
    <r>
      <rPr>
        <sz val="9"/>
        <color rgb="FF000000"/>
        <rFont val="楷体"/>
        <charset val="134"/>
      </rPr>
      <t>愉悦资本</t>
    </r>
  </si>
  <si>
    <r>
      <t>146</t>
    </r>
    <r>
      <rPr>
        <sz val="9"/>
        <color rgb="FF000000"/>
        <rFont val="楷体"/>
        <charset val="134"/>
      </rPr>
      <t>万人民币</t>
    </r>
  </si>
  <si>
    <r>
      <rPr>
        <sz val="9"/>
        <color rgb="FF000000"/>
        <rFont val="楷体"/>
        <charset val="134"/>
      </rPr>
      <t>李斌</t>
    </r>
  </si>
  <si>
    <r>
      <rPr>
        <sz val="9"/>
        <color rgb="FF000000"/>
        <rFont val="楷体"/>
        <charset val="134"/>
      </rPr>
      <t>梅卡曼德机器人</t>
    </r>
  </si>
  <si>
    <r>
      <rPr>
        <sz val="9"/>
        <color rgb="FF000000"/>
        <rFont val="楷体"/>
        <charset val="134"/>
      </rPr>
      <t>梅卡曼德机器人是国内知名的</t>
    </r>
    <r>
      <rPr>
        <sz val="9"/>
        <color rgb="FF000000"/>
        <rFont val="Arial"/>
        <charset val="134"/>
      </rPr>
      <t>AI+3D+</t>
    </r>
    <r>
      <rPr>
        <sz val="9"/>
        <color rgb="FF000000"/>
        <rFont val="楷体"/>
        <charset val="134"/>
      </rPr>
      <t>智能工业机器人解决方案提供商，专注于</t>
    </r>
    <r>
      <rPr>
        <sz val="9"/>
        <color rgb="FF000000"/>
        <rFont val="Arial"/>
        <charset val="134"/>
      </rPr>
      <t>3D</t>
    </r>
    <r>
      <rPr>
        <sz val="9"/>
        <color rgb="FF000000"/>
        <rFont val="楷体"/>
        <charset val="134"/>
      </rPr>
      <t>视觉领域软硬件产品研发、生产及销售的高新技术企业。梅卡曼德的智能工业机器人解决方案已经在汽车、家电、钢铁厂、食品、物流仓、医药、金融等多个领域实际落地，应用范围涵盖拆码垛、货品拣选、上料、装配、涂胶、定位等。</t>
    </r>
  </si>
  <si>
    <r>
      <rPr>
        <sz val="9"/>
        <color rgb="FF000000"/>
        <rFont val="楷体"/>
        <charset val="134"/>
      </rPr>
      <t>梅卡曼德（北京）机器人科技有限公司</t>
    </r>
  </si>
  <si>
    <r>
      <t>IDG</t>
    </r>
    <r>
      <rPr>
        <sz val="9"/>
        <color rgb="FF000000"/>
        <rFont val="楷体"/>
        <charset val="134"/>
      </rPr>
      <t>资本</t>
    </r>
  </si>
  <si>
    <r>
      <t>17.33</t>
    </r>
    <r>
      <rPr>
        <sz val="9"/>
        <color rgb="FF000000"/>
        <rFont val="楷体"/>
        <charset val="134"/>
      </rPr>
      <t>亿</t>
    </r>
  </si>
  <si>
    <r>
      <t>80</t>
    </r>
    <r>
      <rPr>
        <sz val="9"/>
        <color rgb="FF000000"/>
        <rFont val="楷体"/>
        <charset val="134"/>
      </rPr>
      <t>亿元</t>
    </r>
  </si>
  <si>
    <r>
      <rPr>
        <sz val="9"/>
        <color rgb="FF000000"/>
        <rFont val="楷体"/>
        <charset val="134"/>
      </rPr>
      <t>邵天兰</t>
    </r>
    <r>
      <rPr>
        <sz val="9"/>
        <color rgb="FF000000"/>
        <rFont val="Arial"/>
        <charset val="134"/>
      </rPr>
      <t>:CEO,</t>
    </r>
    <r>
      <rPr>
        <sz val="9"/>
        <color rgb="FF000000"/>
        <rFont val="楷体"/>
        <charset val="134"/>
      </rPr>
      <t>丁有爽</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付翱</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张建伟</t>
    </r>
    <r>
      <rPr>
        <sz val="9"/>
        <color rgb="FF000000"/>
        <rFont val="Arial"/>
        <charset val="134"/>
      </rPr>
      <t>:</t>
    </r>
    <r>
      <rPr>
        <sz val="9"/>
        <color rgb="FF000000"/>
        <rFont val="楷体"/>
        <charset val="134"/>
      </rPr>
      <t>顾问</t>
    </r>
  </si>
  <si>
    <r>
      <rPr>
        <sz val="9"/>
        <color rgb="FF000000"/>
        <rFont val="楷体"/>
        <charset val="134"/>
      </rPr>
      <t>北京市海淀区创业路</t>
    </r>
    <r>
      <rPr>
        <sz val="9"/>
        <color rgb="FF000000"/>
        <rFont val="Arial"/>
        <charset val="134"/>
      </rPr>
      <t>8</t>
    </r>
    <r>
      <rPr>
        <sz val="9"/>
        <color rgb="FF000000"/>
        <rFont val="楷体"/>
        <charset val="134"/>
      </rPr>
      <t>号群英科技园</t>
    </r>
    <r>
      <rPr>
        <sz val="9"/>
        <color rgb="FF000000"/>
        <rFont val="Arial"/>
        <charset val="134"/>
      </rPr>
      <t>4</t>
    </r>
    <r>
      <rPr>
        <sz val="9"/>
        <color rgb="FF000000"/>
        <rFont val="楷体"/>
        <charset val="134"/>
      </rPr>
      <t>号楼</t>
    </r>
  </si>
  <si>
    <r>
      <rPr>
        <sz val="9"/>
        <color rgb="FF000000"/>
        <rFont val="楷体"/>
        <charset val="134"/>
      </rPr>
      <t>红杉资本中国</t>
    </r>
    <r>
      <rPr>
        <sz val="9"/>
        <color rgb="FF000000"/>
        <rFont val="Arial"/>
        <charset val="134"/>
      </rPr>
      <t>,</t>
    </r>
    <r>
      <rPr>
        <sz val="9"/>
        <color rgb="FF000000"/>
        <rFont val="楷体"/>
        <charset val="134"/>
      </rPr>
      <t>源码资本</t>
    </r>
  </si>
  <si>
    <r>
      <rPr>
        <sz val="9"/>
        <color rgb="FF000000"/>
        <rFont val="楷体"/>
        <charset val="134"/>
      </rPr>
      <t>英特尔投资</t>
    </r>
    <r>
      <rPr>
        <sz val="9"/>
        <color rgb="FF000000"/>
        <rFont val="Arial"/>
        <charset val="134"/>
      </rPr>
      <t>Intel Capital</t>
    </r>
  </si>
  <si>
    <r>
      <rPr>
        <sz val="9"/>
        <color rgb="FF000000"/>
        <rFont val="楷体"/>
        <charset val="134"/>
      </rPr>
      <t>启明创投</t>
    </r>
  </si>
  <si>
    <r>
      <rPr>
        <sz val="9"/>
        <color rgb="FF000000"/>
        <rFont val="楷体"/>
        <charset val="134"/>
      </rPr>
      <t>德联资本</t>
    </r>
  </si>
  <si>
    <r>
      <rPr>
        <sz val="9"/>
        <color rgb="FF000000"/>
        <rFont val="楷体"/>
        <charset val="134"/>
      </rPr>
      <t>华创资本</t>
    </r>
    <r>
      <rPr>
        <sz val="9"/>
        <color rgb="FF000000"/>
        <rFont val="Arial"/>
        <charset val="134"/>
      </rPr>
      <t>,</t>
    </r>
    <r>
      <rPr>
        <sz val="9"/>
        <color rgb="FF000000"/>
        <rFont val="楷体"/>
        <charset val="134"/>
      </rPr>
      <t>伽利略资本</t>
    </r>
  </si>
  <si>
    <r>
      <t>PreAngel,</t>
    </r>
    <r>
      <rPr>
        <sz val="9"/>
        <color rgb="FF000000"/>
        <rFont val="楷体"/>
        <charset val="134"/>
      </rPr>
      <t>伽利略资本</t>
    </r>
  </si>
  <si>
    <r>
      <rPr>
        <sz val="9"/>
        <color rgb="FF000000"/>
        <rFont val="楷体"/>
        <charset val="134"/>
      </rPr>
      <t>广州市大枣信息科技有限公司</t>
    </r>
  </si>
  <si>
    <r>
      <rPr>
        <sz val="9"/>
        <color rgb="FF000000"/>
        <rFont val="楷体"/>
        <charset val="134"/>
      </rPr>
      <t>广东省广州市南沙区进港大道</t>
    </r>
    <r>
      <rPr>
        <sz val="9"/>
        <color rgb="FF000000"/>
        <rFont val="Arial"/>
        <charset val="134"/>
      </rPr>
      <t>10</t>
    </r>
    <r>
      <rPr>
        <sz val="9"/>
        <color rgb="FF000000"/>
        <rFont val="楷体"/>
        <charset val="134"/>
      </rPr>
      <t>号</t>
    </r>
    <r>
      <rPr>
        <sz val="9"/>
        <color rgb="FF000000"/>
        <rFont val="Arial"/>
        <charset val="134"/>
      </rPr>
      <t>1516</t>
    </r>
    <r>
      <rPr>
        <sz val="9"/>
        <color rgb="FF000000"/>
        <rFont val="楷体"/>
        <charset val="134"/>
      </rPr>
      <t>房</t>
    </r>
  </si>
  <si>
    <r>
      <rPr>
        <sz val="9"/>
        <color rgb="FF000000"/>
        <rFont val="楷体"/>
        <charset val="134"/>
      </rPr>
      <t>钱到到菜么么</t>
    </r>
  </si>
  <si>
    <r>
      <rPr>
        <sz val="9"/>
        <color rgb="FF000000"/>
        <rFont val="楷体"/>
        <charset val="134"/>
      </rPr>
      <t>无锡钱到到网络是一家</t>
    </r>
    <r>
      <rPr>
        <sz val="9"/>
        <color rgb="FF000000"/>
        <rFont val="Arial"/>
        <charset val="134"/>
      </rPr>
      <t>SaaS</t>
    </r>
    <r>
      <rPr>
        <sz val="9"/>
        <color rgb="FF000000"/>
        <rFont val="楷体"/>
        <charset val="134"/>
      </rPr>
      <t>云餐饮管理系统服务商，主打产品为菜么么</t>
    </r>
    <r>
      <rPr>
        <sz val="9"/>
        <color rgb="FF000000"/>
        <rFont val="Arial"/>
        <charset val="134"/>
      </rPr>
      <t>(</t>
    </r>
    <r>
      <rPr>
        <sz val="9"/>
        <color rgb="FF000000"/>
        <rFont val="楷体"/>
        <charset val="134"/>
      </rPr>
      <t>菜嬷嬷</t>
    </r>
    <r>
      <rPr>
        <sz val="9"/>
        <color rgb="FF000000"/>
        <rFont val="Arial"/>
        <charset val="134"/>
      </rPr>
      <t>)</t>
    </r>
    <r>
      <rPr>
        <sz val="9"/>
        <color rgb="FF000000"/>
        <rFont val="楷体"/>
        <charset val="134"/>
      </rPr>
      <t>餐饮</t>
    </r>
    <r>
      <rPr>
        <sz val="9"/>
        <color rgb="FF000000"/>
        <rFont val="Arial"/>
        <charset val="134"/>
      </rPr>
      <t>SAAS</t>
    </r>
    <r>
      <rPr>
        <sz val="9"/>
        <color rgb="FF000000"/>
        <rFont val="楷体"/>
        <charset val="134"/>
      </rPr>
      <t>系统，涵盖了餐饮企业前台收银、移动支付、会员营销、采购库存、物流管理等功能。</t>
    </r>
  </si>
  <si>
    <r>
      <rPr>
        <sz val="9"/>
        <color rgb="FF000000"/>
        <rFont val="楷体"/>
        <charset val="134"/>
      </rPr>
      <t>无锡钱到到网络科技服务有限公司</t>
    </r>
  </si>
  <si>
    <r>
      <rPr>
        <sz val="9"/>
        <color rgb="FF000000"/>
        <rFont val="楷体"/>
        <charset val="134"/>
      </rPr>
      <t>江苏</t>
    </r>
    <r>
      <rPr>
        <sz val="9"/>
        <color rgb="FF000000"/>
        <rFont val="Arial"/>
        <charset val="134"/>
      </rPr>
      <t>-</t>
    </r>
    <r>
      <rPr>
        <sz val="9"/>
        <color rgb="FF000000"/>
        <rFont val="楷体"/>
        <charset val="134"/>
      </rPr>
      <t>无锡</t>
    </r>
  </si>
  <si>
    <r>
      <t>6800</t>
    </r>
    <r>
      <rPr>
        <sz val="9"/>
        <color rgb="FF000000"/>
        <rFont val="楷体"/>
        <charset val="134"/>
      </rPr>
      <t>万</t>
    </r>
  </si>
  <si>
    <r>
      <rPr>
        <sz val="9"/>
        <color rgb="FF000000"/>
        <rFont val="楷体"/>
        <charset val="134"/>
      </rPr>
      <t>邱占成</t>
    </r>
    <r>
      <rPr>
        <sz val="9"/>
        <color rgb="FF000000"/>
        <rFont val="Arial"/>
        <charset val="134"/>
      </rPr>
      <t>:CEO,</t>
    </r>
    <r>
      <rPr>
        <sz val="9"/>
        <color rgb="FF000000"/>
        <rFont val="楷体"/>
        <charset val="134"/>
      </rPr>
      <t>孙亚民</t>
    </r>
    <r>
      <rPr>
        <sz val="9"/>
        <color rgb="FF000000"/>
        <rFont val="Arial"/>
        <charset val="134"/>
      </rPr>
      <t>:CTO,</t>
    </r>
    <r>
      <rPr>
        <sz val="9"/>
        <color rgb="FF000000"/>
        <rFont val="楷体"/>
        <charset val="134"/>
      </rPr>
      <t>孙利中</t>
    </r>
    <r>
      <rPr>
        <sz val="9"/>
        <color rgb="FF000000"/>
        <rFont val="Arial"/>
        <charset val="134"/>
      </rPr>
      <t>:</t>
    </r>
    <r>
      <rPr>
        <sz val="9"/>
        <color rgb="FF000000"/>
        <rFont val="楷体"/>
        <charset val="134"/>
      </rPr>
      <t>联合创始人</t>
    </r>
  </si>
  <si>
    <r>
      <t>3500</t>
    </r>
    <r>
      <rPr>
        <sz val="9"/>
        <color rgb="FF000000"/>
        <rFont val="楷体"/>
        <charset val="134"/>
      </rPr>
      <t>万人民币</t>
    </r>
  </si>
  <si>
    <r>
      <rPr>
        <sz val="9"/>
        <color rgb="FF000000"/>
        <rFont val="楷体"/>
        <charset val="134"/>
      </rPr>
      <t>伯藜创投</t>
    </r>
    <r>
      <rPr>
        <sz val="9"/>
        <color rgb="FF000000"/>
        <rFont val="Arial"/>
        <charset val="134"/>
      </rPr>
      <t>,</t>
    </r>
    <r>
      <rPr>
        <sz val="9"/>
        <color rgb="FF000000"/>
        <rFont val="楷体"/>
        <charset val="134"/>
      </rPr>
      <t>和盟创投</t>
    </r>
    <r>
      <rPr>
        <sz val="9"/>
        <color rgb="FF000000"/>
        <rFont val="Arial"/>
        <charset val="134"/>
      </rPr>
      <t>,</t>
    </r>
    <r>
      <rPr>
        <sz val="9"/>
        <color rgb="FF000000"/>
        <rFont val="楷体"/>
        <charset val="134"/>
      </rPr>
      <t>同程旅游</t>
    </r>
    <r>
      <rPr>
        <sz val="9"/>
        <color rgb="FF000000"/>
        <rFont val="Arial"/>
        <charset val="134"/>
      </rPr>
      <t>,</t>
    </r>
    <r>
      <rPr>
        <sz val="9"/>
        <color rgb="FF000000"/>
        <rFont val="楷体"/>
        <charset val="134"/>
      </rPr>
      <t>苏大天宫创投</t>
    </r>
    <r>
      <rPr>
        <sz val="9"/>
        <color rgb="FF000000"/>
        <rFont val="Arial"/>
        <charset val="134"/>
      </rPr>
      <t>,</t>
    </r>
    <r>
      <rPr>
        <sz val="9"/>
        <color rgb="FF000000"/>
        <rFont val="楷体"/>
        <charset val="134"/>
      </rPr>
      <t>杭州金哲</t>
    </r>
  </si>
  <si>
    <r>
      <rPr>
        <sz val="9"/>
        <color rgb="FF000000"/>
        <rFont val="楷体"/>
        <charset val="134"/>
      </rPr>
      <t>伯藜创投</t>
    </r>
    <r>
      <rPr>
        <sz val="9"/>
        <color rgb="FF000000"/>
        <rFont val="Arial"/>
        <charset val="134"/>
      </rPr>
      <t>,</t>
    </r>
    <r>
      <rPr>
        <sz val="9"/>
        <color rgb="FF000000"/>
        <rFont val="楷体"/>
        <charset val="134"/>
      </rPr>
      <t>和盟创投</t>
    </r>
    <r>
      <rPr>
        <sz val="9"/>
        <color rgb="FF000000"/>
        <rFont val="Arial"/>
        <charset val="134"/>
      </rPr>
      <t>,</t>
    </r>
    <r>
      <rPr>
        <sz val="9"/>
        <color rgb="FF000000"/>
        <rFont val="楷体"/>
        <charset val="134"/>
      </rPr>
      <t>立磐投资</t>
    </r>
    <r>
      <rPr>
        <sz val="9"/>
        <color rgb="FF000000"/>
        <rFont val="Arial"/>
        <charset val="134"/>
      </rPr>
      <t>,</t>
    </r>
    <r>
      <rPr>
        <sz val="9"/>
        <color rgb="FF000000"/>
        <rFont val="楷体"/>
        <charset val="134"/>
      </rPr>
      <t>金娱投资</t>
    </r>
  </si>
  <si>
    <r>
      <rPr>
        <sz val="9"/>
        <color rgb="FF000000"/>
        <rFont val="楷体"/>
        <charset val="134"/>
      </rPr>
      <t>腾股创投</t>
    </r>
  </si>
  <si>
    <r>
      <rPr>
        <sz val="9"/>
        <color rgb="FF000000"/>
        <rFont val="楷体"/>
        <charset val="134"/>
      </rPr>
      <t>网易味央</t>
    </r>
  </si>
  <si>
    <r>
      <rPr>
        <sz val="9"/>
        <color rgb="FF000000"/>
        <rFont val="楷体"/>
        <charset val="134"/>
      </rPr>
      <t>网易味央是网易旗下农业品牌，专注于提供高品质肉类生产及行业解决方案，通过创新技术引领现代农业革新，为中国消费者提供安全、美味的优质食品。浙江味央科技有限公司旗下产品。</t>
    </r>
  </si>
  <si>
    <r>
      <rPr>
        <sz val="9"/>
        <color rgb="FF000000"/>
        <rFont val="楷体"/>
        <charset val="134"/>
      </rPr>
      <t>浙江味央科技有限公司</t>
    </r>
  </si>
  <si>
    <r>
      <rPr>
        <sz val="9"/>
        <color rgb="FF000000"/>
        <rFont val="楷体"/>
        <charset val="134"/>
      </rPr>
      <t>农业电商</t>
    </r>
  </si>
  <si>
    <r>
      <rPr>
        <sz val="9"/>
        <color rgb="FF000000"/>
        <rFont val="楷体"/>
        <charset val="134"/>
      </rPr>
      <t>惠风金麟</t>
    </r>
  </si>
  <si>
    <r>
      <t>1.9</t>
    </r>
    <r>
      <rPr>
        <sz val="9"/>
        <color rgb="FF000000"/>
        <rFont val="楷体"/>
        <charset val="134"/>
      </rPr>
      <t>亿</t>
    </r>
  </si>
  <si>
    <r>
      <rPr>
        <sz val="9"/>
        <color rgb="FF000000"/>
        <rFont val="楷体"/>
        <charset val="134"/>
      </rPr>
      <t>丁磊</t>
    </r>
    <r>
      <rPr>
        <sz val="9"/>
        <color rgb="FF000000"/>
        <rFont val="Arial"/>
        <charset val="134"/>
      </rPr>
      <t>:</t>
    </r>
    <r>
      <rPr>
        <sz val="9"/>
        <color rgb="FF000000"/>
        <rFont val="楷体"/>
        <charset val="134"/>
      </rPr>
      <t>创始人</t>
    </r>
  </si>
  <si>
    <r>
      <rPr>
        <sz val="9"/>
        <color rgb="FF000000"/>
        <rFont val="楷体"/>
        <charset val="134"/>
      </rPr>
      <t>杭州市滨江区长河街道江汉路</t>
    </r>
    <r>
      <rPr>
        <sz val="9"/>
        <color rgb="FF000000"/>
        <rFont val="Arial"/>
        <charset val="134"/>
      </rPr>
      <t>1786</t>
    </r>
    <r>
      <rPr>
        <sz val="9"/>
        <color rgb="FF000000"/>
        <rFont val="楷体"/>
        <charset val="134"/>
      </rPr>
      <t>号钱龙大厦</t>
    </r>
    <r>
      <rPr>
        <sz val="9"/>
        <color rgb="FF000000"/>
        <rFont val="Arial"/>
        <charset val="134"/>
      </rPr>
      <t>918</t>
    </r>
    <r>
      <rPr>
        <sz val="9"/>
        <color rgb="FF000000"/>
        <rFont val="楷体"/>
        <charset val="134"/>
      </rPr>
      <t>室</t>
    </r>
  </si>
  <si>
    <r>
      <rPr>
        <sz val="9"/>
        <color rgb="FF000000"/>
        <rFont val="楷体"/>
        <charset val="134"/>
      </rPr>
      <t>创新工场</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天堂硅谷</t>
    </r>
    <r>
      <rPr>
        <sz val="9"/>
        <color rgb="FF000000"/>
        <rFont val="Arial"/>
        <charset val="134"/>
      </rPr>
      <t>,</t>
    </r>
    <r>
      <rPr>
        <sz val="9"/>
        <color rgb="FF000000"/>
        <rFont val="楷体"/>
        <charset val="134"/>
      </rPr>
      <t>微光创投</t>
    </r>
    <r>
      <rPr>
        <sz val="9"/>
        <color rgb="FF000000"/>
        <rFont val="Arial"/>
        <charset val="134"/>
      </rPr>
      <t>,</t>
    </r>
    <r>
      <rPr>
        <sz val="9"/>
        <color rgb="FF000000"/>
        <rFont val="楷体"/>
        <charset val="134"/>
      </rPr>
      <t>风云资本</t>
    </r>
    <r>
      <rPr>
        <sz val="9"/>
        <color rgb="FF000000"/>
        <rFont val="Arial"/>
        <charset val="134"/>
      </rPr>
      <t>,</t>
    </r>
    <r>
      <rPr>
        <sz val="9"/>
        <color rgb="FF000000"/>
        <rFont val="楷体"/>
        <charset val="134"/>
      </rPr>
      <t>美团</t>
    </r>
  </si>
  <si>
    <r>
      <rPr>
        <sz val="9"/>
        <color rgb="FF000000"/>
        <rFont val="楷体"/>
        <charset val="134"/>
      </rPr>
      <t>普渡科技</t>
    </r>
  </si>
  <si>
    <r>
      <rPr>
        <sz val="9"/>
        <color rgb="FF000000"/>
        <rFont val="楷体"/>
        <charset val="134"/>
      </rPr>
      <t>普渡科技是一家集机器人研发、制造和销售为一体的智能配送机器人及低速无人驾驶解决方案商，旗下主要产品包括送餐机器人、配送机器人、消毒机器人、配送迎宾机器人等。</t>
    </r>
  </si>
  <si>
    <r>
      <rPr>
        <sz val="9"/>
        <color rgb="FF000000"/>
        <rFont val="楷体"/>
        <charset val="134"/>
      </rPr>
      <t>深圳市普渡科技有限公司</t>
    </r>
  </si>
  <si>
    <r>
      <rPr>
        <sz val="9"/>
        <color rgb="FF000000"/>
        <rFont val="楷体"/>
        <charset val="134"/>
      </rPr>
      <t>阅度资本</t>
    </r>
  </si>
  <si>
    <r>
      <t>19.83</t>
    </r>
    <r>
      <rPr>
        <sz val="9"/>
        <color rgb="FF000000"/>
        <rFont val="楷体"/>
        <charset val="134"/>
      </rPr>
      <t>亿</t>
    </r>
  </si>
  <si>
    <r>
      <t>70</t>
    </r>
    <r>
      <rPr>
        <sz val="9"/>
        <color rgb="FF000000"/>
        <rFont val="楷体"/>
        <charset val="134"/>
      </rPr>
      <t>亿元</t>
    </r>
  </si>
  <si>
    <r>
      <rPr>
        <sz val="9"/>
        <color rgb="FF000000"/>
        <rFont val="楷体"/>
        <charset val="134"/>
      </rPr>
      <t>张涛</t>
    </r>
    <r>
      <rPr>
        <sz val="9"/>
        <color rgb="FF000000"/>
        <rFont val="Arial"/>
        <charset val="134"/>
      </rPr>
      <t>:CEO,</t>
    </r>
    <r>
      <rPr>
        <sz val="9"/>
        <color rgb="FF000000"/>
        <rFont val="楷体"/>
        <charset val="134"/>
      </rPr>
      <t>蔡阳春</t>
    </r>
    <r>
      <rPr>
        <sz val="9"/>
        <color rgb="FF000000"/>
        <rFont val="Arial"/>
        <charset val="134"/>
      </rPr>
      <t>:</t>
    </r>
    <r>
      <rPr>
        <sz val="9"/>
        <color rgb="FF000000"/>
        <rFont val="楷体"/>
        <charset val="134"/>
      </rPr>
      <t>联合创始人</t>
    </r>
  </si>
  <si>
    <r>
      <rPr>
        <sz val="9"/>
        <color rgb="FF000000"/>
        <rFont val="楷体"/>
        <charset val="134"/>
      </rPr>
      <t>深圳市南山区粤海街道科发路</t>
    </r>
    <r>
      <rPr>
        <sz val="9"/>
        <color rgb="FF000000"/>
        <rFont val="Arial"/>
        <charset val="134"/>
      </rPr>
      <t>6</t>
    </r>
    <r>
      <rPr>
        <sz val="9"/>
        <color rgb="FF000000"/>
        <rFont val="楷体"/>
        <charset val="134"/>
      </rPr>
      <t>号康泰生物</t>
    </r>
    <r>
      <rPr>
        <sz val="9"/>
        <color rgb="FF000000"/>
        <rFont val="Arial"/>
        <charset val="134"/>
      </rPr>
      <t>2</t>
    </r>
    <r>
      <rPr>
        <sz val="9"/>
        <color rgb="FF000000"/>
        <rFont val="楷体"/>
        <charset val="134"/>
      </rPr>
      <t>栋</t>
    </r>
    <r>
      <rPr>
        <sz val="9"/>
        <color rgb="FF000000"/>
        <rFont val="Arial"/>
        <charset val="134"/>
      </rPr>
      <t>1</t>
    </r>
    <r>
      <rPr>
        <sz val="9"/>
        <color rgb="FF000000"/>
        <rFont val="楷体"/>
        <charset val="134"/>
      </rPr>
      <t>楼</t>
    </r>
    <r>
      <rPr>
        <sz val="9"/>
        <color rgb="FF000000"/>
        <rFont val="Arial"/>
        <charset val="134"/>
      </rPr>
      <t>106</t>
    </r>
    <r>
      <rPr>
        <sz val="9"/>
        <color rgb="FF000000"/>
        <rFont val="楷体"/>
        <charset val="134"/>
      </rPr>
      <t>、</t>
    </r>
    <r>
      <rPr>
        <sz val="9"/>
        <color rgb="FF000000"/>
        <rFont val="Arial"/>
        <charset val="134"/>
      </rPr>
      <t>108</t>
    </r>
    <r>
      <rPr>
        <sz val="9"/>
        <color rgb="FF000000"/>
        <rFont val="楷体"/>
        <charset val="134"/>
      </rPr>
      <t>房</t>
    </r>
  </si>
  <si>
    <r>
      <rPr>
        <sz val="9"/>
        <color rgb="FF000000"/>
        <rFont val="楷体"/>
        <charset val="134"/>
      </rPr>
      <t>普华资本</t>
    </r>
  </si>
  <si>
    <r>
      <rPr>
        <sz val="9"/>
        <color rgb="FF000000"/>
        <rFont val="楷体"/>
        <charset val="134"/>
      </rPr>
      <t>深投控</t>
    </r>
    <r>
      <rPr>
        <sz val="9"/>
        <color rgb="FF000000"/>
        <rFont val="Arial"/>
        <charset val="134"/>
      </rPr>
      <t>,</t>
    </r>
    <r>
      <rPr>
        <sz val="9"/>
        <color rgb="FF000000"/>
        <rFont val="楷体"/>
        <charset val="134"/>
      </rPr>
      <t>大湾区共同家园发展基金</t>
    </r>
  </si>
  <si>
    <r>
      <rPr>
        <sz val="9"/>
        <color rgb="FF000000"/>
        <rFont val="楷体"/>
        <charset val="134"/>
      </rPr>
      <t>程铂瀚创投</t>
    </r>
  </si>
  <si>
    <r>
      <rPr>
        <sz val="9"/>
        <color rgb="FF000000"/>
        <rFont val="楷体"/>
        <charset val="134"/>
      </rPr>
      <t>启创资本</t>
    </r>
    <r>
      <rPr>
        <sz val="9"/>
        <color rgb="FF000000"/>
        <rFont val="Arial"/>
        <charset val="134"/>
      </rPr>
      <t>QC Capital,</t>
    </r>
    <r>
      <rPr>
        <sz val="9"/>
        <color rgb="FF000000"/>
        <rFont val="楷体"/>
        <charset val="134"/>
      </rPr>
      <t>榕泉资本</t>
    </r>
  </si>
  <si>
    <r>
      <rPr>
        <sz val="9"/>
        <color rgb="FF000000"/>
        <rFont val="楷体"/>
        <charset val="134"/>
      </rPr>
      <t>长盈精密</t>
    </r>
  </si>
  <si>
    <r>
      <rPr>
        <sz val="9"/>
        <color rgb="FF000000"/>
        <rFont val="楷体"/>
        <charset val="134"/>
      </rPr>
      <t>广州东呈酒店投资管理集团有限公司</t>
    </r>
  </si>
  <si>
    <r>
      <rPr>
        <sz val="9"/>
        <color rgb="FF000000"/>
        <rFont val="楷体"/>
        <charset val="134"/>
      </rPr>
      <t>广东省广州市白云区大金钟路</t>
    </r>
    <r>
      <rPr>
        <sz val="9"/>
        <color rgb="FF000000"/>
        <rFont val="Arial"/>
        <charset val="134"/>
      </rPr>
      <t>61-65</t>
    </r>
    <r>
      <rPr>
        <sz val="9"/>
        <color rgb="FF000000"/>
        <rFont val="楷体"/>
        <charset val="134"/>
      </rPr>
      <t>号第九层</t>
    </r>
    <r>
      <rPr>
        <sz val="9"/>
        <color rgb="FF000000"/>
        <rFont val="Arial"/>
        <charset val="134"/>
      </rPr>
      <t>901</t>
    </r>
    <r>
      <rPr>
        <sz val="9"/>
        <color rgb="FF000000"/>
        <rFont val="楷体"/>
        <charset val="134"/>
      </rPr>
      <t>号</t>
    </r>
  </si>
  <si>
    <r>
      <rPr>
        <sz val="9"/>
        <color rgb="FF000000"/>
        <rFont val="楷体"/>
        <charset val="134"/>
      </rPr>
      <t>北京史河科技有限公司</t>
    </r>
  </si>
  <si>
    <r>
      <rPr>
        <sz val="9"/>
        <color rgb="FF000000"/>
        <rFont val="楷体"/>
        <charset val="134"/>
      </rPr>
      <t>北京市海淀区五道口</t>
    </r>
    <r>
      <rPr>
        <sz val="9"/>
        <color rgb="FF000000"/>
        <rFont val="Arial"/>
        <charset val="134"/>
      </rPr>
      <t>HomeX</t>
    </r>
    <r>
      <rPr>
        <sz val="9"/>
        <color rgb="FF000000"/>
        <rFont val="楷体"/>
        <charset val="134"/>
      </rPr>
      <t>加速器</t>
    </r>
  </si>
  <si>
    <r>
      <rPr>
        <sz val="9"/>
        <color rgb="FF000000"/>
        <rFont val="楷体"/>
        <charset val="134"/>
      </rPr>
      <t>荷塘创投</t>
    </r>
    <r>
      <rPr>
        <sz val="9"/>
        <color rgb="FF000000"/>
        <rFont val="Arial"/>
        <charset val="134"/>
      </rPr>
      <t>,</t>
    </r>
    <r>
      <rPr>
        <sz val="9"/>
        <color rgb="FF000000"/>
        <rFont val="楷体"/>
        <charset val="134"/>
      </rPr>
      <t>众为资本</t>
    </r>
    <r>
      <rPr>
        <sz val="9"/>
        <color rgb="FF000000"/>
        <rFont val="Arial"/>
        <charset val="134"/>
      </rPr>
      <t>,</t>
    </r>
    <r>
      <rPr>
        <sz val="9"/>
        <color rgb="FF000000"/>
        <rFont val="楷体"/>
        <charset val="134"/>
      </rPr>
      <t>启迪之星</t>
    </r>
    <r>
      <rPr>
        <sz val="9"/>
        <color rgb="FF000000"/>
        <rFont val="Arial"/>
        <charset val="134"/>
      </rPr>
      <t>,</t>
    </r>
    <r>
      <rPr>
        <sz val="9"/>
        <color rgb="FF000000"/>
        <rFont val="楷体"/>
        <charset val="134"/>
      </rPr>
      <t>百度风投</t>
    </r>
  </si>
  <si>
    <r>
      <rPr>
        <sz val="9"/>
        <color rgb="FF000000"/>
        <rFont val="楷体"/>
        <charset val="134"/>
      </rPr>
      <t>鸿元投资</t>
    </r>
  </si>
  <si>
    <r>
      <rPr>
        <sz val="9"/>
        <color rgb="FF000000"/>
        <rFont val="楷体"/>
        <charset val="134"/>
      </rPr>
      <t>盛世投资</t>
    </r>
    <r>
      <rPr>
        <sz val="9"/>
        <color rgb="FF000000"/>
        <rFont val="Arial"/>
        <charset val="134"/>
      </rPr>
      <t>,</t>
    </r>
    <r>
      <rPr>
        <sz val="9"/>
        <color rgb="FF000000"/>
        <rFont val="楷体"/>
        <charset val="134"/>
      </rPr>
      <t>科鑫资本</t>
    </r>
    <r>
      <rPr>
        <sz val="9"/>
        <color rgb="FF000000"/>
        <rFont val="Arial"/>
        <charset val="134"/>
      </rPr>
      <t>,</t>
    </r>
    <r>
      <rPr>
        <sz val="9"/>
        <color rgb="FF000000"/>
        <rFont val="楷体"/>
        <charset val="134"/>
      </rPr>
      <t>银盈资本</t>
    </r>
    <r>
      <rPr>
        <sz val="9"/>
        <color rgb="FF000000"/>
        <rFont val="Arial"/>
        <charset val="134"/>
      </rPr>
      <t>,</t>
    </r>
    <r>
      <rPr>
        <sz val="9"/>
        <color rgb="FF000000"/>
        <rFont val="楷体"/>
        <charset val="134"/>
      </rPr>
      <t>京信供销基金</t>
    </r>
    <r>
      <rPr>
        <sz val="9"/>
        <color rgb="FF000000"/>
        <rFont val="Arial"/>
        <charset val="134"/>
      </rPr>
      <t>,</t>
    </r>
    <r>
      <rPr>
        <sz val="9"/>
        <color rgb="FF000000"/>
        <rFont val="楷体"/>
        <charset val="134"/>
      </rPr>
      <t>中关村启航基金</t>
    </r>
  </si>
  <si>
    <r>
      <rPr>
        <sz val="9"/>
        <color rgb="FF000000"/>
        <rFont val="楷体"/>
        <charset val="134"/>
      </rPr>
      <t>熊猫资本</t>
    </r>
    <r>
      <rPr>
        <sz val="9"/>
        <color rgb="FF000000"/>
        <rFont val="Arial"/>
        <charset val="134"/>
      </rPr>
      <t>,</t>
    </r>
    <r>
      <rPr>
        <sz val="9"/>
        <color rgb="FF000000"/>
        <rFont val="楷体"/>
        <charset val="134"/>
      </rPr>
      <t>百度风投</t>
    </r>
    <r>
      <rPr>
        <sz val="9"/>
        <color rgb="FF000000"/>
        <rFont val="Arial"/>
        <charset val="134"/>
      </rPr>
      <t>,</t>
    </r>
    <r>
      <rPr>
        <sz val="9"/>
        <color rgb="FF000000"/>
        <rFont val="楷体"/>
        <charset val="134"/>
      </rPr>
      <t>智能电网创投</t>
    </r>
  </si>
  <si>
    <r>
      <rPr>
        <sz val="9"/>
        <color rgb="FF000000"/>
        <rFont val="楷体"/>
        <charset val="134"/>
      </rPr>
      <t>老鹰基金</t>
    </r>
    <r>
      <rPr>
        <sz val="9"/>
        <color rgb="FF000000"/>
        <rFont val="Arial"/>
        <charset val="134"/>
      </rPr>
      <t>,</t>
    </r>
    <r>
      <rPr>
        <sz val="9"/>
        <color rgb="FF000000"/>
        <rFont val="楷体"/>
        <charset val="134"/>
      </rPr>
      <t>熊猫资本</t>
    </r>
    <r>
      <rPr>
        <sz val="9"/>
        <color rgb="FF000000"/>
        <rFont val="Arial"/>
        <charset val="134"/>
      </rPr>
      <t>,</t>
    </r>
    <r>
      <rPr>
        <sz val="9"/>
        <color rgb="FF000000"/>
        <rFont val="楷体"/>
        <charset val="134"/>
      </rPr>
      <t>启迪之星</t>
    </r>
  </si>
  <si>
    <r>
      <rPr>
        <sz val="9"/>
        <color rgb="FF000000"/>
        <rFont val="楷体"/>
        <charset val="134"/>
      </rPr>
      <t>种子轮</t>
    </r>
  </si>
  <si>
    <r>
      <rPr>
        <sz val="9"/>
        <color rgb="FF000000"/>
        <rFont val="楷体"/>
        <charset val="134"/>
      </rPr>
      <t>泰有投资</t>
    </r>
    <r>
      <rPr>
        <sz val="9"/>
        <color rgb="FF000000"/>
        <rFont val="Arial"/>
        <charset val="134"/>
      </rPr>
      <t>,</t>
    </r>
    <r>
      <rPr>
        <sz val="9"/>
        <color rgb="FF000000"/>
        <rFont val="楷体"/>
        <charset val="134"/>
      </rPr>
      <t>启迪种子</t>
    </r>
  </si>
  <si>
    <r>
      <t>Flexiv</t>
    </r>
    <r>
      <rPr>
        <sz val="9"/>
        <color rgb="FF000000"/>
        <rFont val="楷体"/>
        <charset val="134"/>
      </rPr>
      <t>非夕</t>
    </r>
  </si>
  <si>
    <r>
      <t>Flexiv</t>
    </r>
    <r>
      <rPr>
        <sz val="9"/>
        <color rgb="FF000000"/>
        <rFont val="楷体"/>
        <charset val="134"/>
      </rPr>
      <t>非夕是一家通用智能机器人公司，专注于研发、生产集工业级力控、计算机视觉和人工智能技术于一体的自适应机器人产品，为不同行业的客户提供基于非夕机器人系统的整体、创新性的解决方案和服务。</t>
    </r>
  </si>
  <si>
    <r>
      <rPr>
        <sz val="9"/>
        <color rgb="FF000000"/>
        <rFont val="楷体"/>
        <charset val="134"/>
      </rPr>
      <t>上海非夕机器人科技有限公司</t>
    </r>
  </si>
  <si>
    <r>
      <t>13.72</t>
    </r>
    <r>
      <rPr>
        <sz val="9"/>
        <color rgb="FF000000"/>
        <rFont val="楷体"/>
        <charset val="134"/>
      </rPr>
      <t>亿</t>
    </r>
  </si>
  <si>
    <r>
      <t>65</t>
    </r>
    <r>
      <rPr>
        <sz val="9"/>
        <color rgb="FF000000"/>
        <rFont val="楷体"/>
        <charset val="134"/>
      </rPr>
      <t>亿元</t>
    </r>
  </si>
  <si>
    <r>
      <rPr>
        <sz val="9"/>
        <color rgb="FF000000"/>
        <rFont val="楷体"/>
        <charset val="134"/>
      </rPr>
      <t>王世全</t>
    </r>
    <r>
      <rPr>
        <sz val="9"/>
        <color rgb="FF000000"/>
        <rFont val="Arial"/>
        <charset val="134"/>
      </rPr>
      <t>:</t>
    </r>
    <r>
      <rPr>
        <sz val="9"/>
        <color rgb="FF000000"/>
        <rFont val="楷体"/>
        <charset val="134"/>
      </rPr>
      <t>联合创始人</t>
    </r>
  </si>
  <si>
    <r>
      <rPr>
        <sz val="9"/>
        <color rgb="FF000000"/>
        <rFont val="楷体"/>
        <charset val="134"/>
      </rPr>
      <t>上海市徐汇区云锦路</t>
    </r>
    <r>
      <rPr>
        <sz val="9"/>
        <color rgb="FF000000"/>
        <rFont val="Arial"/>
        <charset val="134"/>
      </rPr>
      <t>701</t>
    </r>
    <r>
      <rPr>
        <sz val="9"/>
        <color rgb="FF000000"/>
        <rFont val="楷体"/>
        <charset val="134"/>
      </rPr>
      <t>号西岸国际人工智能中心</t>
    </r>
    <r>
      <rPr>
        <sz val="9"/>
        <color rgb="FF000000"/>
        <rFont val="Arial"/>
        <charset val="134"/>
      </rPr>
      <t xml:space="preserve"> 3302-3304</t>
    </r>
    <r>
      <rPr>
        <sz val="9"/>
        <color rgb="FF000000"/>
        <rFont val="楷体"/>
        <charset val="134"/>
      </rPr>
      <t>室</t>
    </r>
  </si>
  <si>
    <r>
      <rPr>
        <sz val="9"/>
        <color rgb="FF000000"/>
        <rFont val="楷体"/>
        <charset val="134"/>
      </rPr>
      <t>真格基金</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魔量资本</t>
    </r>
    <r>
      <rPr>
        <sz val="9"/>
        <color rgb="FF000000"/>
        <rFont val="Arial"/>
        <charset val="134"/>
      </rPr>
      <t>MFund</t>
    </r>
  </si>
  <si>
    <r>
      <t>100</t>
    </r>
    <r>
      <rPr>
        <sz val="9"/>
        <color rgb="FF000000"/>
        <rFont val="楷体"/>
        <charset val="134"/>
      </rPr>
      <t>万美元</t>
    </r>
  </si>
  <si>
    <r>
      <rPr>
        <sz val="9"/>
        <color rgb="FF000000"/>
        <rFont val="楷体"/>
        <charset val="134"/>
      </rPr>
      <t>亚食联</t>
    </r>
  </si>
  <si>
    <r>
      <rPr>
        <sz val="9"/>
        <color rgb="FF000000"/>
        <rFont val="楷体"/>
        <charset val="134"/>
      </rPr>
      <t>亚食联是一个食材供应</t>
    </r>
    <r>
      <rPr>
        <sz val="9"/>
        <color rgb="FF000000"/>
        <rFont val="Arial"/>
        <charset val="134"/>
      </rPr>
      <t>B2B</t>
    </r>
    <r>
      <rPr>
        <sz val="9"/>
        <color rgb="FF000000"/>
        <rFont val="楷体"/>
        <charset val="134"/>
      </rPr>
      <t>电商平台，通过物流及市场服务体系为用户提供餐饮食材解决方案，旗下拥有亚洲渔港、亚渔雪龙、农夫年代等子品牌及众多产品线，用户根据需要选择所需产品，一键下单，货品即刻送门，隶属于亚食联发展（大连）有限公司。</t>
    </r>
  </si>
  <si>
    <r>
      <rPr>
        <sz val="9"/>
        <color rgb="FF000000"/>
        <rFont val="楷体"/>
        <charset val="134"/>
      </rPr>
      <t>亚食联发展（大连）有限公司</t>
    </r>
  </si>
  <si>
    <r>
      <rPr>
        <sz val="9"/>
        <color rgb="FF000000"/>
        <rFont val="楷体"/>
        <charset val="134"/>
      </rPr>
      <t>王慧文</t>
    </r>
    <r>
      <rPr>
        <sz val="9"/>
        <color rgb="FF000000"/>
        <rFont val="Arial"/>
        <charset val="134"/>
      </rPr>
      <t>:</t>
    </r>
    <r>
      <rPr>
        <sz val="9"/>
        <color rgb="FF000000"/>
        <rFont val="楷体"/>
        <charset val="134"/>
      </rPr>
      <t>董事长</t>
    </r>
  </si>
  <si>
    <r>
      <rPr>
        <sz val="9"/>
        <color rgb="FF000000"/>
        <rFont val="楷体"/>
        <charset val="134"/>
      </rPr>
      <t>西岗区海达北街</t>
    </r>
    <r>
      <rPr>
        <sz val="9"/>
        <color rgb="FF000000"/>
        <rFont val="Arial"/>
        <charset val="134"/>
      </rPr>
      <t>91</t>
    </r>
    <r>
      <rPr>
        <sz val="9"/>
        <color rgb="FF000000"/>
        <rFont val="楷体"/>
        <charset val="134"/>
      </rPr>
      <t>号</t>
    </r>
    <r>
      <rPr>
        <sz val="9"/>
        <color rgb="FF000000"/>
        <rFont val="Arial"/>
        <charset val="134"/>
      </rPr>
      <t>5</t>
    </r>
    <r>
      <rPr>
        <sz val="9"/>
        <color rgb="FF000000"/>
        <rFont val="楷体"/>
        <charset val="134"/>
      </rPr>
      <t>层</t>
    </r>
  </si>
  <si>
    <r>
      <rPr>
        <sz val="9"/>
        <color rgb="FF000000"/>
        <rFont val="楷体"/>
        <charset val="134"/>
      </rPr>
      <t>芯火互联网</t>
    </r>
  </si>
  <si>
    <r>
      <rPr>
        <sz val="9"/>
        <color rgb="FF000000"/>
        <rFont val="楷体"/>
        <charset val="134"/>
      </rPr>
      <t>芯火互联网主要从事面向移动互联网的餐饮等服务业的线上线下互联互通的软件服务业务，实现线上用户和线下门店的无缝对接。</t>
    </r>
  </si>
  <si>
    <r>
      <rPr>
        <sz val="9"/>
        <color rgb="FF000000"/>
        <rFont val="楷体"/>
        <charset val="134"/>
      </rPr>
      <t>上海芯火互联网科技有限公司</t>
    </r>
  </si>
  <si>
    <r>
      <rPr>
        <sz val="9"/>
        <color rgb="FF000000"/>
        <rFont val="楷体"/>
        <charset val="134"/>
      </rPr>
      <t>上海</t>
    </r>
    <r>
      <rPr>
        <sz val="9"/>
        <color rgb="FF000000"/>
        <rFont val="Arial"/>
        <charset val="134"/>
      </rPr>
      <t>-</t>
    </r>
    <r>
      <rPr>
        <sz val="9"/>
        <color rgb="FF000000"/>
        <rFont val="楷体"/>
        <charset val="134"/>
      </rPr>
      <t>长宁区</t>
    </r>
  </si>
  <si>
    <r>
      <rPr>
        <sz val="9"/>
        <color rgb="FF000000"/>
        <rFont val="楷体"/>
        <charset val="134"/>
      </rPr>
      <t>数十万人民币</t>
    </r>
  </si>
  <si>
    <r>
      <rPr>
        <sz val="9"/>
        <color rgb="FF000000"/>
        <rFont val="楷体"/>
        <charset val="134"/>
      </rPr>
      <t>美团</t>
    </r>
    <r>
      <rPr>
        <sz val="9"/>
        <color rgb="FF000000"/>
        <rFont val="Arial"/>
        <charset val="134"/>
      </rPr>
      <t>,</t>
    </r>
    <r>
      <rPr>
        <sz val="9"/>
        <color rgb="FF000000"/>
        <rFont val="楷体"/>
        <charset val="134"/>
      </rPr>
      <t>艾云创投</t>
    </r>
  </si>
  <si>
    <r>
      <t>30</t>
    </r>
    <r>
      <rPr>
        <sz val="9"/>
        <color rgb="FF000000"/>
        <rFont val="楷体"/>
        <charset val="134"/>
      </rPr>
      <t>万</t>
    </r>
  </si>
  <si>
    <r>
      <t>150</t>
    </r>
    <r>
      <rPr>
        <sz val="9"/>
        <color rgb="FF000000"/>
        <rFont val="楷体"/>
        <charset val="134"/>
      </rPr>
      <t>万元</t>
    </r>
  </si>
  <si>
    <r>
      <rPr>
        <sz val="9"/>
        <color rgb="FF000000"/>
        <rFont val="楷体"/>
        <charset val="134"/>
      </rPr>
      <t>徐光争</t>
    </r>
    <r>
      <rPr>
        <sz val="9"/>
        <color rgb="FF000000"/>
        <rFont val="Arial"/>
        <charset val="134"/>
      </rPr>
      <t xml:space="preserve"> :CEO</t>
    </r>
  </si>
  <si>
    <r>
      <rPr>
        <sz val="9"/>
        <color rgb="FF000000"/>
        <rFont val="楷体"/>
        <charset val="134"/>
      </rPr>
      <t>天山路</t>
    </r>
    <r>
      <rPr>
        <sz val="9"/>
        <color rgb="FF000000"/>
        <rFont val="Arial"/>
        <charset val="134"/>
      </rPr>
      <t>641</t>
    </r>
    <r>
      <rPr>
        <sz val="9"/>
        <color rgb="FF000000"/>
        <rFont val="楷体"/>
        <charset val="134"/>
      </rPr>
      <t>号</t>
    </r>
    <r>
      <rPr>
        <sz val="9"/>
        <color rgb="FF000000"/>
        <rFont val="Arial"/>
        <charset val="134"/>
      </rPr>
      <t>2</t>
    </r>
    <r>
      <rPr>
        <sz val="9"/>
        <color rgb="FF000000"/>
        <rFont val="楷体"/>
        <charset val="134"/>
      </rPr>
      <t>号楼（</t>
    </r>
    <r>
      <rPr>
        <sz val="9"/>
        <color rgb="FF000000"/>
        <rFont val="Arial"/>
        <charset val="134"/>
      </rPr>
      <t>20</t>
    </r>
    <r>
      <rPr>
        <sz val="9"/>
        <color rgb="FF000000"/>
        <rFont val="楷体"/>
        <charset val="134"/>
      </rPr>
      <t>幢）</t>
    </r>
    <r>
      <rPr>
        <sz val="9"/>
        <color rgb="FF000000"/>
        <rFont val="Arial"/>
        <charset val="134"/>
      </rPr>
      <t>201A</t>
    </r>
    <r>
      <rPr>
        <sz val="9"/>
        <color rgb="FF000000"/>
        <rFont val="楷体"/>
        <charset val="134"/>
      </rPr>
      <t>室</t>
    </r>
  </si>
  <si>
    <r>
      <rPr>
        <sz val="9"/>
        <color rgb="FF000000"/>
        <rFont val="楷体"/>
        <charset val="134"/>
      </rPr>
      <t>未来机器人（深圳）有限公司</t>
    </r>
  </si>
  <si>
    <r>
      <rPr>
        <sz val="9"/>
        <color rgb="FF000000"/>
        <rFont val="楷体"/>
        <charset val="134"/>
      </rPr>
      <t>深圳市福田区福田保税区红柳道</t>
    </r>
    <r>
      <rPr>
        <sz val="9"/>
        <color rgb="FF000000"/>
        <rFont val="Arial"/>
        <charset val="134"/>
      </rPr>
      <t>1</t>
    </r>
    <r>
      <rPr>
        <sz val="9"/>
        <color rgb="FF000000"/>
        <rFont val="楷体"/>
        <charset val="134"/>
      </rPr>
      <t>号中科智宏大厦</t>
    </r>
    <r>
      <rPr>
        <sz val="9"/>
        <color rgb="FF000000"/>
        <rFont val="Arial"/>
        <charset val="134"/>
      </rPr>
      <t>6</t>
    </r>
    <r>
      <rPr>
        <sz val="9"/>
        <color rgb="FF000000"/>
        <rFont val="楷体"/>
        <charset val="134"/>
      </rPr>
      <t>楼</t>
    </r>
  </si>
  <si>
    <r>
      <t>IDG</t>
    </r>
    <r>
      <rPr>
        <sz val="9"/>
        <color rgb="FF000000"/>
        <rFont val="楷体"/>
        <charset val="134"/>
      </rPr>
      <t>资本</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联通</t>
    </r>
    <r>
      <rPr>
        <sz val="9"/>
        <color rgb="FF000000"/>
        <rFont val="Arial"/>
        <charset val="134"/>
      </rPr>
      <t>,</t>
    </r>
    <r>
      <rPr>
        <sz val="9"/>
        <color rgb="FF000000"/>
        <rFont val="楷体"/>
        <charset val="134"/>
      </rPr>
      <t>联想创投</t>
    </r>
    <r>
      <rPr>
        <sz val="9"/>
        <color rgb="FF000000"/>
        <rFont val="Arial"/>
        <charset val="134"/>
      </rPr>
      <t>,</t>
    </r>
    <r>
      <rPr>
        <sz val="9"/>
        <color rgb="FF000000"/>
        <rFont val="楷体"/>
        <charset val="134"/>
      </rPr>
      <t>字节跳动</t>
    </r>
  </si>
  <si>
    <r>
      <t>IDG</t>
    </r>
    <r>
      <rPr>
        <sz val="9"/>
        <color rgb="FF000000"/>
        <rFont val="楷体"/>
        <charset val="134"/>
      </rPr>
      <t>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联想创投</t>
    </r>
    <r>
      <rPr>
        <sz val="9"/>
        <color rgb="FF000000"/>
        <rFont val="Arial"/>
        <charset val="134"/>
      </rPr>
      <t>,</t>
    </r>
    <r>
      <rPr>
        <sz val="9"/>
        <color rgb="FF000000"/>
        <rFont val="楷体"/>
        <charset val="134"/>
      </rPr>
      <t>飞图创投</t>
    </r>
  </si>
  <si>
    <r>
      <rPr>
        <sz val="9"/>
        <color rgb="FF000000"/>
        <rFont val="楷体"/>
        <charset val="134"/>
      </rPr>
      <t>钟鼎资本</t>
    </r>
    <r>
      <rPr>
        <sz val="9"/>
        <color rgb="FF000000"/>
        <rFont val="Arial"/>
        <charset val="134"/>
      </rPr>
      <t>,</t>
    </r>
    <r>
      <rPr>
        <sz val="9"/>
        <color rgb="FF000000"/>
        <rFont val="楷体"/>
        <charset val="134"/>
      </rPr>
      <t>联想创投</t>
    </r>
    <r>
      <rPr>
        <sz val="9"/>
        <color rgb="FF000000"/>
        <rFont val="Arial"/>
        <charset val="134"/>
      </rPr>
      <t>,</t>
    </r>
    <r>
      <rPr>
        <sz val="9"/>
        <color rgb="FF000000"/>
        <rFont val="楷体"/>
        <charset val="134"/>
      </rPr>
      <t>飞图创投</t>
    </r>
  </si>
  <si>
    <r>
      <rPr>
        <sz val="9"/>
        <color rgb="FF000000"/>
        <rFont val="楷体"/>
        <charset val="134"/>
      </rPr>
      <t>钟鼎资本</t>
    </r>
  </si>
  <si>
    <r>
      <rPr>
        <sz val="9"/>
        <color rgb="FF000000"/>
        <rFont val="楷体"/>
        <charset val="134"/>
      </rPr>
      <t>常春藤资本</t>
    </r>
    <r>
      <rPr>
        <sz val="9"/>
        <color rgb="FF000000"/>
        <rFont val="Arial"/>
        <charset val="134"/>
      </rPr>
      <t>,</t>
    </r>
    <r>
      <rPr>
        <sz val="9"/>
        <color rgb="FF000000"/>
        <rFont val="楷体"/>
        <charset val="134"/>
      </rPr>
      <t>可可资本</t>
    </r>
  </si>
  <si>
    <r>
      <rPr>
        <sz val="9"/>
        <color rgb="FF000000"/>
        <rFont val="楷体"/>
        <charset val="134"/>
      </rPr>
      <t>大家来</t>
    </r>
  </si>
  <si>
    <r>
      <rPr>
        <sz val="9"/>
        <color rgb="FF000000"/>
        <rFont val="楷体"/>
        <charset val="134"/>
      </rPr>
      <t>大家来是一家餐饮智能系统软件研发商，基于云端，主要为</t>
    </r>
    <r>
      <rPr>
        <sz val="9"/>
        <color rgb="FF000000"/>
        <rFont val="Arial"/>
        <charset val="134"/>
      </rPr>
      <t>”</t>
    </r>
    <r>
      <rPr>
        <sz val="9"/>
        <color rgb="FF000000"/>
        <rFont val="楷体"/>
        <charset val="134"/>
      </rPr>
      <t>腰部客户</t>
    </r>
    <r>
      <rPr>
        <sz val="9"/>
        <color rgb="FF000000"/>
        <rFont val="Arial"/>
        <charset val="134"/>
      </rPr>
      <t>“</t>
    </r>
    <r>
      <rPr>
        <sz val="9"/>
        <color rgb="FF000000"/>
        <rFont val="楷体"/>
        <charset val="134"/>
      </rPr>
      <t>提供点餐、收银、供应链等一站式管理服务，上海卓骥信息科技有限公司旗下。</t>
    </r>
  </si>
  <si>
    <r>
      <rPr>
        <sz val="9"/>
        <color rgb="FF000000"/>
        <rFont val="楷体"/>
        <charset val="134"/>
      </rPr>
      <t>上海卓骥信息科技有限公司</t>
    </r>
  </si>
  <si>
    <r>
      <rPr>
        <sz val="9"/>
        <color rgb="FF000000"/>
        <rFont val="楷体"/>
        <charset val="134"/>
      </rPr>
      <t>美团</t>
    </r>
    <r>
      <rPr>
        <sz val="9"/>
        <color rgb="FF000000"/>
        <rFont val="Arial"/>
        <charset val="134"/>
      </rPr>
      <t>,TL Data</t>
    </r>
  </si>
  <si>
    <r>
      <t>3.2</t>
    </r>
    <r>
      <rPr>
        <sz val="9"/>
        <color rgb="FF000000"/>
        <rFont val="楷体"/>
        <charset val="134"/>
      </rPr>
      <t>亿</t>
    </r>
  </si>
  <si>
    <r>
      <rPr>
        <sz val="9"/>
        <color rgb="FF000000"/>
        <rFont val="楷体"/>
        <charset val="134"/>
      </rPr>
      <t>黄涛</t>
    </r>
    <r>
      <rPr>
        <sz val="9"/>
        <color rgb="FF000000"/>
        <rFont val="Arial"/>
        <charset val="134"/>
      </rPr>
      <t>:</t>
    </r>
    <r>
      <rPr>
        <sz val="9"/>
        <color rgb="FF000000"/>
        <rFont val="楷体"/>
        <charset val="134"/>
      </rPr>
      <t>创始人</t>
    </r>
  </si>
  <si>
    <r>
      <rPr>
        <sz val="9"/>
        <color rgb="FF000000"/>
        <rFont val="楷体"/>
        <charset val="134"/>
      </rPr>
      <t>上海市杨浦区隆昌路</t>
    </r>
    <r>
      <rPr>
        <sz val="9"/>
        <color rgb="FF000000"/>
        <rFont val="Arial"/>
        <charset val="134"/>
      </rPr>
      <t>588_1</t>
    </r>
    <r>
      <rPr>
        <sz val="9"/>
        <color rgb="FF000000"/>
        <rFont val="楷体"/>
        <charset val="134"/>
      </rPr>
      <t>号</t>
    </r>
    <r>
      <rPr>
        <sz val="9"/>
        <color rgb="FF000000"/>
        <rFont val="Arial"/>
        <charset val="134"/>
      </rPr>
      <t>25</t>
    </r>
    <r>
      <rPr>
        <sz val="9"/>
        <color rgb="FF000000"/>
        <rFont val="楷体"/>
        <charset val="134"/>
      </rPr>
      <t>楼</t>
    </r>
    <r>
      <rPr>
        <sz val="9"/>
        <color rgb="FF000000"/>
        <rFont val="Arial"/>
        <charset val="134"/>
      </rPr>
      <t>2502-14</t>
    </r>
    <r>
      <rPr>
        <sz val="9"/>
        <color rgb="FF000000"/>
        <rFont val="楷体"/>
        <charset val="134"/>
      </rPr>
      <t>室</t>
    </r>
  </si>
  <si>
    <r>
      <rPr>
        <sz val="9"/>
        <color rgb="FF000000"/>
        <rFont val="楷体"/>
        <charset val="134"/>
      </rPr>
      <t>苏河汇</t>
    </r>
    <r>
      <rPr>
        <sz val="9"/>
        <color rgb="FF000000"/>
        <rFont val="Arial"/>
        <charset val="134"/>
      </rPr>
      <t>,</t>
    </r>
    <r>
      <rPr>
        <sz val="9"/>
        <color rgb="FF000000"/>
        <rFont val="楷体"/>
        <charset val="134"/>
      </rPr>
      <t>大众点评网</t>
    </r>
  </si>
  <si>
    <r>
      <rPr>
        <sz val="9"/>
        <color rgb="FF000000"/>
        <rFont val="楷体"/>
        <charset val="134"/>
      </rPr>
      <t>成都齐碳科技有限公司</t>
    </r>
  </si>
  <si>
    <r>
      <rPr>
        <sz val="9"/>
        <color rgb="FF000000"/>
        <rFont val="楷体"/>
        <charset val="134"/>
      </rPr>
      <t>成都市武侯区人民南路四段</t>
    </r>
    <r>
      <rPr>
        <sz val="9"/>
        <color rgb="FF000000"/>
        <rFont val="Arial"/>
        <charset val="134"/>
      </rPr>
      <t>3</t>
    </r>
    <r>
      <rPr>
        <sz val="9"/>
        <color rgb="FF000000"/>
        <rFont val="楷体"/>
        <charset val="134"/>
      </rPr>
      <t>号成都来福士广场办公楼塔</t>
    </r>
    <r>
      <rPr>
        <sz val="9"/>
        <color rgb="FF000000"/>
        <rFont val="Arial"/>
        <charset val="134"/>
      </rPr>
      <t>2</t>
    </r>
    <r>
      <rPr>
        <sz val="9"/>
        <color rgb="FF000000"/>
        <rFont val="楷体"/>
        <charset val="134"/>
      </rPr>
      <t>栋</t>
    </r>
    <r>
      <rPr>
        <sz val="9"/>
        <color rgb="FF000000"/>
        <rFont val="Arial"/>
        <charset val="134"/>
      </rPr>
      <t>9</t>
    </r>
    <r>
      <rPr>
        <sz val="9"/>
        <color rgb="FF000000"/>
        <rFont val="楷体"/>
        <charset val="134"/>
      </rPr>
      <t>层</t>
    </r>
    <r>
      <rPr>
        <sz val="9"/>
        <color rgb="FF000000"/>
        <rFont val="Arial"/>
        <charset val="134"/>
      </rPr>
      <t>901</t>
    </r>
  </si>
  <si>
    <r>
      <rPr>
        <sz val="9"/>
        <color rgb="FF000000"/>
        <rFont val="楷体"/>
        <charset val="134"/>
      </rPr>
      <t>鼎晖投资</t>
    </r>
    <r>
      <rPr>
        <sz val="9"/>
        <color rgb="FF000000"/>
        <rFont val="Arial"/>
        <charset val="134"/>
      </rPr>
      <t>,</t>
    </r>
    <r>
      <rPr>
        <sz val="9"/>
        <color rgb="FF000000"/>
        <rFont val="楷体"/>
        <charset val="134"/>
      </rPr>
      <t>银杏谷资本</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华盖资本</t>
    </r>
    <r>
      <rPr>
        <sz val="9"/>
        <color rgb="FF000000"/>
        <rFont val="Arial"/>
        <charset val="134"/>
      </rPr>
      <t>,</t>
    </r>
    <r>
      <rPr>
        <sz val="9"/>
        <color rgb="FF000000"/>
        <rFont val="楷体"/>
        <charset val="134"/>
      </rPr>
      <t>阳光融汇资本</t>
    </r>
    <r>
      <rPr>
        <sz val="9"/>
        <color rgb="FF000000"/>
        <rFont val="Arial"/>
        <charset val="134"/>
      </rPr>
      <t>,</t>
    </r>
    <r>
      <rPr>
        <sz val="9"/>
        <color rgb="FF000000"/>
        <rFont val="楷体"/>
        <charset val="134"/>
      </rPr>
      <t>中关村协同创新基金</t>
    </r>
    <r>
      <rPr>
        <sz val="9"/>
        <color rgb="FF000000"/>
        <rFont val="Arial"/>
        <charset val="134"/>
      </rPr>
      <t>,</t>
    </r>
    <r>
      <rPr>
        <sz val="9"/>
        <color rgb="FF000000"/>
        <rFont val="楷体"/>
        <charset val="134"/>
      </rPr>
      <t>雅惠投资</t>
    </r>
    <r>
      <rPr>
        <sz val="9"/>
        <color rgb="FF000000"/>
        <rFont val="Arial"/>
        <charset val="134"/>
      </rPr>
      <t>,</t>
    </r>
    <r>
      <rPr>
        <sz val="9"/>
        <color rgb="FF000000"/>
        <rFont val="楷体"/>
        <charset val="134"/>
      </rPr>
      <t>百度风投</t>
    </r>
    <r>
      <rPr>
        <sz val="9"/>
        <color rgb="FF000000"/>
        <rFont val="Arial"/>
        <charset val="134"/>
      </rPr>
      <t>,</t>
    </r>
    <r>
      <rPr>
        <sz val="9"/>
        <color rgb="FF000000"/>
        <rFont val="楷体"/>
        <charset val="134"/>
      </rPr>
      <t>博远资本</t>
    </r>
    <r>
      <rPr>
        <sz val="9"/>
        <color rgb="FF000000"/>
        <rFont val="Arial"/>
        <charset val="134"/>
      </rPr>
      <t>,</t>
    </r>
    <r>
      <rPr>
        <sz val="9"/>
        <color rgb="FF000000"/>
        <rFont val="楷体"/>
        <charset val="134"/>
      </rPr>
      <t>高瓴创投</t>
    </r>
  </si>
  <si>
    <r>
      <rPr>
        <sz val="9"/>
        <color rgb="FF000000"/>
        <rFont val="楷体"/>
        <charset val="134"/>
      </rPr>
      <t>银杏谷资本</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雅惠投资</t>
    </r>
  </si>
  <si>
    <r>
      <t>4000</t>
    </r>
    <r>
      <rPr>
        <sz val="9"/>
        <color rgb="FF000000"/>
        <rFont val="楷体"/>
        <charset val="134"/>
      </rPr>
      <t>万人民币</t>
    </r>
  </si>
  <si>
    <r>
      <rPr>
        <sz val="9"/>
        <color rgb="FF000000"/>
        <rFont val="楷体"/>
        <charset val="134"/>
      </rPr>
      <t>中关村协同创新基金</t>
    </r>
    <r>
      <rPr>
        <sz val="9"/>
        <color rgb="FF000000"/>
        <rFont val="Arial"/>
        <charset val="134"/>
      </rPr>
      <t>,</t>
    </r>
    <r>
      <rPr>
        <sz val="9"/>
        <color rgb="FF000000"/>
        <rFont val="楷体"/>
        <charset val="134"/>
      </rPr>
      <t>雅惠投资</t>
    </r>
    <r>
      <rPr>
        <sz val="9"/>
        <color rgb="FF000000"/>
        <rFont val="Arial"/>
        <charset val="134"/>
      </rPr>
      <t>,</t>
    </r>
    <r>
      <rPr>
        <sz val="9"/>
        <color rgb="FF000000"/>
        <rFont val="楷体"/>
        <charset val="134"/>
      </rPr>
      <t>百度风投</t>
    </r>
  </si>
  <si>
    <r>
      <rPr>
        <sz val="9"/>
        <color rgb="FF000000"/>
        <rFont val="楷体"/>
        <charset val="134"/>
      </rPr>
      <t>乾明投资</t>
    </r>
    <r>
      <rPr>
        <sz val="9"/>
        <color rgb="FF000000"/>
        <rFont val="Arial"/>
        <charset val="134"/>
      </rPr>
      <t>,</t>
    </r>
    <r>
      <rPr>
        <sz val="9"/>
        <color rgb="FF000000"/>
        <rFont val="楷体"/>
        <charset val="134"/>
      </rPr>
      <t>百度风投</t>
    </r>
  </si>
  <si>
    <r>
      <rPr>
        <sz val="9"/>
        <color rgb="FF000000"/>
        <rFont val="楷体"/>
        <charset val="134"/>
      </rPr>
      <t>合力投资</t>
    </r>
    <r>
      <rPr>
        <sz val="9"/>
        <color rgb="FF000000"/>
        <rFont val="Arial"/>
        <charset val="134"/>
      </rPr>
      <t>,</t>
    </r>
    <r>
      <rPr>
        <sz val="9"/>
        <color rgb="FF000000"/>
        <rFont val="楷体"/>
        <charset val="134"/>
      </rPr>
      <t>乾明投资</t>
    </r>
    <r>
      <rPr>
        <sz val="9"/>
        <color rgb="FF000000"/>
        <rFont val="Arial"/>
        <charset val="134"/>
      </rPr>
      <t>,</t>
    </r>
    <r>
      <rPr>
        <sz val="9"/>
        <color rgb="FF000000"/>
        <rFont val="楷体"/>
        <charset val="134"/>
      </rPr>
      <t>华控基金</t>
    </r>
  </si>
  <si>
    <r>
      <rPr>
        <sz val="9"/>
        <color rgb="FF000000"/>
        <rFont val="楷体"/>
        <charset val="134"/>
      </rPr>
      <t>青萍</t>
    </r>
  </si>
  <si>
    <r>
      <rPr>
        <sz val="9"/>
        <color rgb="FF000000"/>
        <rFont val="楷体"/>
        <charset val="134"/>
      </rPr>
      <t>青萍是一家智能电子产品研发商，公司致力于向用户交付优雅实用的智能电子产品，提升用户生活品质。青萍拥有国际水准的工业设计能力。工业设计副总裁王光源曾为国内顶尖工业设计公司的合伙人，个人作品曾获德国红点奖</t>
    </r>
    <r>
      <rPr>
        <sz val="9"/>
        <color rgb="FF000000"/>
        <rFont val="Arial"/>
        <charset val="134"/>
      </rPr>
      <t xml:space="preserve"> 4 </t>
    </r>
    <r>
      <rPr>
        <sz val="9"/>
        <color rgb="FF000000"/>
        <rFont val="楷体"/>
        <charset val="134"/>
      </rPr>
      <t>枚、</t>
    </r>
    <r>
      <rPr>
        <sz val="9"/>
        <color rgb="FF000000"/>
        <rFont val="Arial"/>
        <charset val="134"/>
      </rPr>
      <t>iF</t>
    </r>
    <r>
      <rPr>
        <sz val="9"/>
        <color rgb="FF000000"/>
        <rFont val="楷体"/>
        <charset val="134"/>
      </rPr>
      <t>奖</t>
    </r>
    <r>
      <rPr>
        <sz val="9"/>
        <color rgb="FF000000"/>
        <rFont val="Arial"/>
        <charset val="134"/>
      </rPr>
      <t xml:space="preserve"> 5 </t>
    </r>
    <r>
      <rPr>
        <sz val="9"/>
        <color rgb="FF000000"/>
        <rFont val="楷体"/>
        <charset val="134"/>
      </rPr>
      <t>枚、美国</t>
    </r>
    <r>
      <rPr>
        <sz val="9"/>
        <color rgb="FF000000"/>
        <rFont val="Arial"/>
        <charset val="134"/>
      </rPr>
      <t xml:space="preserve"> IDEA </t>
    </r>
    <r>
      <rPr>
        <sz val="9"/>
        <color rgb="FF000000"/>
        <rFont val="楷体"/>
        <charset val="134"/>
      </rPr>
      <t>奖</t>
    </r>
    <r>
      <rPr>
        <sz val="9"/>
        <color rgb="FF000000"/>
        <rFont val="Arial"/>
        <charset val="134"/>
      </rPr>
      <t xml:space="preserve"> 3 </t>
    </r>
    <r>
      <rPr>
        <sz val="9"/>
        <color rgb="FF000000"/>
        <rFont val="楷体"/>
        <charset val="134"/>
      </rPr>
      <t>枚。公司首个产品</t>
    </r>
    <r>
      <rPr>
        <sz val="9"/>
        <color rgb="FF000000"/>
        <rFont val="Arial"/>
        <charset val="134"/>
      </rPr>
      <t xml:space="preserve"> Amber </t>
    </r>
    <r>
      <rPr>
        <sz val="9"/>
        <color rgb="FF000000"/>
        <rFont val="楷体"/>
        <charset val="134"/>
      </rPr>
      <t>即获德国</t>
    </r>
    <r>
      <rPr>
        <sz val="9"/>
        <color rgb="FF000000"/>
        <rFont val="Arial"/>
        <charset val="134"/>
      </rPr>
      <t xml:space="preserve"> iF </t>
    </r>
    <r>
      <rPr>
        <sz val="9"/>
        <color rgb="FF000000"/>
        <rFont val="楷体"/>
        <charset val="134"/>
      </rPr>
      <t>设计奖，并入选美国</t>
    </r>
    <r>
      <rPr>
        <sz val="9"/>
        <color rgb="FF000000"/>
        <rFont val="Arial"/>
        <charset val="134"/>
      </rPr>
      <t xml:space="preserve"> IDEA 2016 </t>
    </r>
    <r>
      <rPr>
        <sz val="9"/>
        <color rgb="FF000000"/>
        <rFont val="楷体"/>
        <charset val="134"/>
      </rPr>
      <t>年决赛。已获得苹果</t>
    </r>
    <r>
      <rPr>
        <sz val="9"/>
        <color rgb="FF000000"/>
        <rFont val="Arial"/>
        <charset val="134"/>
      </rPr>
      <t xml:space="preserve"> MFi </t>
    </r>
    <r>
      <rPr>
        <sz val="9"/>
        <color rgb="FF000000"/>
        <rFont val="楷体"/>
        <charset val="134"/>
      </rPr>
      <t>资质，拥有成熟的硬件生产制造和供应链能力，吸引了多名前富士康高级工程师及管理人员的加盟。青萍还拥有卓越的软件和云的开发能力，主要成员来自搜狗手机输入法、墨迹天气等知名互联网产品团队。</t>
    </r>
  </si>
  <si>
    <r>
      <rPr>
        <sz val="9"/>
        <color rgb="FF000000"/>
        <rFont val="楷体"/>
        <charset val="134"/>
      </rPr>
      <t>青萍科技（北京）有限公司</t>
    </r>
  </si>
  <si>
    <r>
      <rPr>
        <sz val="9"/>
        <color rgb="FF000000"/>
        <rFont val="楷体"/>
        <charset val="134"/>
      </rPr>
      <t>家用电器</t>
    </r>
  </si>
  <si>
    <r>
      <rPr>
        <sz val="9"/>
        <color rgb="FF000000"/>
        <rFont val="楷体"/>
        <charset val="134"/>
      </rPr>
      <t>美团</t>
    </r>
    <r>
      <rPr>
        <sz val="9"/>
        <color rgb="FF000000"/>
        <rFont val="Arial"/>
        <charset val="134"/>
      </rPr>
      <t>,</t>
    </r>
    <r>
      <rPr>
        <sz val="9"/>
        <color rgb="FF000000"/>
        <rFont val="楷体"/>
        <charset val="134"/>
      </rPr>
      <t>沃达股权投资</t>
    </r>
  </si>
  <si>
    <r>
      <rPr>
        <sz val="9"/>
        <color rgb="FF000000"/>
        <rFont val="楷体"/>
        <charset val="134"/>
      </rPr>
      <t>姜洋</t>
    </r>
    <r>
      <rPr>
        <sz val="9"/>
        <color rgb="FF000000"/>
        <rFont val="Arial"/>
        <charset val="134"/>
      </rPr>
      <t>:CEO</t>
    </r>
  </si>
  <si>
    <r>
      <rPr>
        <sz val="9"/>
        <color rgb="FF000000"/>
        <rFont val="楷体"/>
        <charset val="134"/>
      </rPr>
      <t>北京市朝阳区望京街</t>
    </r>
    <r>
      <rPr>
        <sz val="9"/>
        <color rgb="FF000000"/>
        <rFont val="Arial"/>
        <charset val="134"/>
      </rPr>
      <t>10</t>
    </r>
    <r>
      <rPr>
        <sz val="9"/>
        <color rgb="FF000000"/>
        <rFont val="楷体"/>
        <charset val="134"/>
      </rPr>
      <t>号院</t>
    </r>
    <r>
      <rPr>
        <sz val="9"/>
        <color rgb="FF000000"/>
        <rFont val="Arial"/>
        <charset val="134"/>
      </rPr>
      <t>2</t>
    </r>
    <r>
      <rPr>
        <sz val="9"/>
        <color rgb="FF000000"/>
        <rFont val="楷体"/>
        <charset val="134"/>
      </rPr>
      <t>号楼</t>
    </r>
    <r>
      <rPr>
        <sz val="9"/>
        <color rgb="FF000000"/>
        <rFont val="Arial"/>
        <charset val="134"/>
      </rPr>
      <t>4</t>
    </r>
    <r>
      <rPr>
        <sz val="9"/>
        <color rgb="FF000000"/>
        <rFont val="楷体"/>
        <charset val="134"/>
      </rPr>
      <t>层</t>
    </r>
    <r>
      <rPr>
        <sz val="9"/>
        <color rgb="FF000000"/>
        <rFont val="Arial"/>
        <charset val="134"/>
      </rPr>
      <t>401</t>
    </r>
  </si>
  <si>
    <r>
      <rPr>
        <sz val="9"/>
        <color rgb="FF000000"/>
        <rFont val="楷体"/>
        <charset val="134"/>
      </rPr>
      <t>顺为资本</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鼎翔资本</t>
    </r>
  </si>
  <si>
    <r>
      <rPr>
        <sz val="9"/>
        <color rgb="FF000000"/>
        <rFont val="楷体"/>
        <charset val="134"/>
      </rPr>
      <t>超洁智联</t>
    </r>
  </si>
  <si>
    <r>
      <rPr>
        <sz val="9"/>
        <color rgb="FF000000"/>
        <rFont val="楷体"/>
        <charset val="134"/>
      </rPr>
      <t>超洁智联是一家洗涤解决方案提供商，利用</t>
    </r>
    <r>
      <rPr>
        <sz val="9"/>
        <color rgb="FF000000"/>
        <rFont val="Arial"/>
        <charset val="134"/>
      </rPr>
      <t>RFID</t>
    </r>
    <r>
      <rPr>
        <sz val="9"/>
        <color rgb="FF000000"/>
        <rFont val="楷体"/>
        <charset val="134"/>
      </rPr>
      <t>物联网技术配合纺织品租赁的商业模式，为酒店（住宿）业提供毛巾、床上用品的洗涤和租赁服务。</t>
    </r>
  </si>
  <si>
    <r>
      <rPr>
        <sz val="9"/>
        <color rgb="FF000000"/>
        <rFont val="楷体"/>
        <charset val="134"/>
      </rPr>
      <t>上海超洁智联科技有限公司</t>
    </r>
  </si>
  <si>
    <r>
      <rPr>
        <sz val="9"/>
        <color rgb="FF000000"/>
        <rFont val="楷体"/>
        <charset val="134"/>
      </rPr>
      <t>上海</t>
    </r>
    <r>
      <rPr>
        <sz val="9"/>
        <color rgb="FF000000"/>
        <rFont val="Arial"/>
        <charset val="134"/>
      </rPr>
      <t>-</t>
    </r>
    <r>
      <rPr>
        <sz val="9"/>
        <color rgb="FF000000"/>
        <rFont val="楷体"/>
        <charset val="134"/>
      </rPr>
      <t>宝山区</t>
    </r>
  </si>
  <si>
    <r>
      <rPr>
        <sz val="9"/>
        <color rgb="FF000000"/>
        <rFont val="楷体"/>
        <charset val="134"/>
      </rPr>
      <t>家政服务</t>
    </r>
  </si>
  <si>
    <r>
      <rPr>
        <sz val="9"/>
        <color rgb="FF000000"/>
        <rFont val="楷体"/>
        <charset val="134"/>
      </rPr>
      <t>美团</t>
    </r>
    <r>
      <rPr>
        <sz val="9"/>
        <color rgb="FF000000"/>
        <rFont val="Arial"/>
        <charset val="134"/>
      </rPr>
      <t>,</t>
    </r>
    <r>
      <rPr>
        <sz val="9"/>
        <color rgb="FF000000"/>
        <rFont val="楷体"/>
        <charset val="134"/>
      </rPr>
      <t>江苏海狮机械</t>
    </r>
  </si>
  <si>
    <r>
      <t>9000</t>
    </r>
    <r>
      <rPr>
        <sz val="9"/>
        <color rgb="FF000000"/>
        <rFont val="楷体"/>
        <charset val="134"/>
      </rPr>
      <t>万</t>
    </r>
  </si>
  <si>
    <r>
      <rPr>
        <sz val="9"/>
        <color rgb="FF000000"/>
        <rFont val="楷体"/>
        <charset val="134"/>
      </rPr>
      <t>王明</t>
    </r>
    <r>
      <rPr>
        <sz val="9"/>
        <color rgb="FF000000"/>
        <rFont val="Arial"/>
        <charset val="134"/>
      </rPr>
      <t>:</t>
    </r>
    <r>
      <rPr>
        <sz val="9"/>
        <color rgb="FF000000"/>
        <rFont val="楷体"/>
        <charset val="134"/>
      </rPr>
      <t>董事长</t>
    </r>
  </si>
  <si>
    <r>
      <rPr>
        <sz val="9"/>
        <color rgb="FF000000"/>
        <rFont val="楷体"/>
        <charset val="134"/>
      </rPr>
      <t>上海市宝山区北外环信息产业园</t>
    </r>
    <r>
      <rPr>
        <sz val="9"/>
        <color rgb="FF000000"/>
        <rFont val="Arial"/>
        <charset val="134"/>
      </rPr>
      <t>D</t>
    </r>
    <r>
      <rPr>
        <sz val="9"/>
        <color rgb="FF000000"/>
        <rFont val="楷体"/>
        <charset val="134"/>
      </rPr>
      <t>栋</t>
    </r>
    <r>
      <rPr>
        <sz val="9"/>
        <color rgb="FF000000"/>
        <rFont val="Arial"/>
        <charset val="134"/>
      </rPr>
      <t>303</t>
    </r>
    <r>
      <rPr>
        <sz val="9"/>
        <color rgb="FF000000"/>
        <rFont val="楷体"/>
        <charset val="134"/>
      </rPr>
      <t>室</t>
    </r>
  </si>
  <si>
    <r>
      <rPr>
        <sz val="9"/>
        <color rgb="FF000000"/>
        <rFont val="楷体"/>
        <charset val="134"/>
      </rPr>
      <t>华住酒店集团</t>
    </r>
  </si>
  <si>
    <r>
      <rPr>
        <sz val="9"/>
        <color rgb="FF000000"/>
        <rFont val="楷体"/>
        <charset val="134"/>
      </rPr>
      <t>首旅酒店</t>
    </r>
  </si>
  <si>
    <r>
      <rPr>
        <sz val="9"/>
        <color rgb="FF000000"/>
        <rFont val="楷体"/>
        <charset val="134"/>
      </rPr>
      <t>掌单</t>
    </r>
  </si>
  <si>
    <r>
      <rPr>
        <sz val="9"/>
        <color rgb="FF000000"/>
        <rFont val="楷体"/>
        <charset val="134"/>
      </rPr>
      <t>掌单是一家外卖代运营服务商，主要在商圈分析、策略效果追踪和菜单工程等维度提供标准化的产品解决方案，自主开发的工具产品能够对客单价的拉升、下单率等数据进行实时反馈，同时以天</t>
    </r>
    <r>
      <rPr>
        <sz val="9"/>
        <color rgb="FF000000"/>
        <rFont val="Arial"/>
        <charset val="134"/>
      </rPr>
      <t>/</t>
    </r>
    <r>
      <rPr>
        <sz val="9"/>
        <color rgb="FF000000"/>
        <rFont val="楷体"/>
        <charset val="134"/>
      </rPr>
      <t>周为单位来评估运营策略，并进行微调，以此降低用户的成本。</t>
    </r>
  </si>
  <si>
    <r>
      <rPr>
        <sz val="9"/>
        <color rgb="FF000000"/>
        <rFont val="楷体"/>
        <charset val="134"/>
      </rPr>
      <t>上海哇咕信息科技有限公司</t>
    </r>
  </si>
  <si>
    <r>
      <rPr>
        <sz val="9"/>
        <color rgb="FF000000"/>
        <rFont val="楷体"/>
        <charset val="134"/>
      </rPr>
      <t>上海</t>
    </r>
    <r>
      <rPr>
        <sz val="9"/>
        <color rgb="FF000000"/>
        <rFont val="Arial"/>
        <charset val="134"/>
      </rPr>
      <t>-</t>
    </r>
    <r>
      <rPr>
        <sz val="9"/>
        <color rgb="FF000000"/>
        <rFont val="楷体"/>
        <charset val="134"/>
      </rPr>
      <t>黄浦区</t>
    </r>
  </si>
  <si>
    <r>
      <t>DCM</t>
    </r>
    <r>
      <rPr>
        <sz val="9"/>
        <color rgb="FF000000"/>
        <rFont val="楷体"/>
        <charset val="134"/>
      </rPr>
      <t>中国</t>
    </r>
    <r>
      <rPr>
        <sz val="9"/>
        <color rgb="FF000000"/>
        <rFont val="Arial"/>
        <charset val="134"/>
      </rPr>
      <t>,</t>
    </r>
    <r>
      <rPr>
        <sz val="9"/>
        <color rgb="FF000000"/>
        <rFont val="楷体"/>
        <charset val="134"/>
      </rPr>
      <t>曼图资本</t>
    </r>
    <r>
      <rPr>
        <sz val="9"/>
        <color rgb="FF000000"/>
        <rFont val="Arial"/>
        <charset val="134"/>
      </rPr>
      <t>Mandra Capital</t>
    </r>
  </si>
  <si>
    <r>
      <t>1.65</t>
    </r>
    <r>
      <rPr>
        <sz val="9"/>
        <color rgb="FF000000"/>
        <rFont val="楷体"/>
        <charset val="134"/>
      </rPr>
      <t>亿</t>
    </r>
  </si>
  <si>
    <r>
      <rPr>
        <sz val="9"/>
        <color rgb="FF000000"/>
        <rFont val="楷体"/>
        <charset val="134"/>
      </rPr>
      <t>黄浦区大沽路</t>
    </r>
    <r>
      <rPr>
        <sz val="9"/>
        <color rgb="FF000000"/>
        <rFont val="Arial"/>
        <charset val="134"/>
      </rPr>
      <t>288</t>
    </r>
    <r>
      <rPr>
        <sz val="9"/>
        <color rgb="FF000000"/>
        <rFont val="楷体"/>
        <charset val="134"/>
      </rPr>
      <t>号</t>
    </r>
    <r>
      <rPr>
        <sz val="9"/>
        <color rgb="FF000000"/>
        <rFont val="Arial"/>
        <charset val="134"/>
      </rPr>
      <t>4</t>
    </r>
    <r>
      <rPr>
        <sz val="9"/>
        <color rgb="FF000000"/>
        <rFont val="楷体"/>
        <charset val="134"/>
      </rPr>
      <t>号楼</t>
    </r>
  </si>
  <si>
    <r>
      <t>DCM</t>
    </r>
    <r>
      <rPr>
        <sz val="9"/>
        <color rgb="FF000000"/>
        <rFont val="楷体"/>
        <charset val="134"/>
      </rPr>
      <t>中国</t>
    </r>
    <r>
      <rPr>
        <sz val="9"/>
        <color rgb="FF000000"/>
        <rFont val="Arial"/>
        <charset val="134"/>
      </rPr>
      <t>,</t>
    </r>
    <r>
      <rPr>
        <sz val="9"/>
        <color rgb="FF000000"/>
        <rFont val="楷体"/>
        <charset val="134"/>
      </rPr>
      <t>美团</t>
    </r>
  </si>
  <si>
    <r>
      <rPr>
        <sz val="9"/>
        <color rgb="FF000000"/>
        <rFont val="楷体"/>
        <charset val="134"/>
      </rPr>
      <t>望家欢</t>
    </r>
  </si>
  <si>
    <r>
      <rPr>
        <sz val="9"/>
        <color rgb="FF000000"/>
        <rFont val="楷体"/>
        <charset val="134"/>
      </rPr>
      <t>望家欢是一家全国性、集团型的农产品物流企业，业务涵盖农产品种植、物流配送、净菜加工、餐饮管理、电子商务、中央大厨房六大经营范围于一体的大型农产品集团公司。</t>
    </r>
  </si>
  <si>
    <r>
      <rPr>
        <sz val="9"/>
        <color rgb="FF000000"/>
        <rFont val="楷体"/>
        <charset val="134"/>
      </rPr>
      <t>望家欢农产品集团有限公司</t>
    </r>
  </si>
  <si>
    <r>
      <rPr>
        <sz val="9"/>
        <color rgb="FF000000"/>
        <rFont val="楷体"/>
        <charset val="134"/>
      </rPr>
      <t>综合农业</t>
    </r>
  </si>
  <si>
    <r>
      <t>CPE</t>
    </r>
    <r>
      <rPr>
        <sz val="9"/>
        <color rgb="FF000000"/>
        <rFont val="楷体"/>
        <charset val="134"/>
      </rPr>
      <t>源峰</t>
    </r>
    <r>
      <rPr>
        <sz val="9"/>
        <color rgb="FF000000"/>
        <rFont val="Arial"/>
        <charset val="134"/>
      </rPr>
      <t>,</t>
    </r>
    <r>
      <rPr>
        <sz val="9"/>
        <color rgb="FF000000"/>
        <rFont val="楷体"/>
        <charset val="134"/>
      </rPr>
      <t>隐山资本</t>
    </r>
    <r>
      <rPr>
        <sz val="9"/>
        <color rgb="FF000000"/>
        <rFont val="Arial"/>
        <charset val="134"/>
      </rPr>
      <t>,</t>
    </r>
    <r>
      <rPr>
        <sz val="9"/>
        <color rgb="FF000000"/>
        <rFont val="楷体"/>
        <charset val="134"/>
      </rPr>
      <t>葆润控股集团</t>
    </r>
    <r>
      <rPr>
        <sz val="9"/>
        <color rgb="FF000000"/>
        <rFont val="Arial"/>
        <charset val="134"/>
      </rPr>
      <t>,</t>
    </r>
    <r>
      <rPr>
        <sz val="9"/>
        <color rgb="FF000000"/>
        <rFont val="楷体"/>
        <charset val="134"/>
      </rPr>
      <t>自明资本</t>
    </r>
  </si>
  <si>
    <r>
      <t>18</t>
    </r>
    <r>
      <rPr>
        <sz val="9"/>
        <color rgb="FF000000"/>
        <rFont val="楷体"/>
        <charset val="134"/>
      </rPr>
      <t>亿</t>
    </r>
  </si>
  <si>
    <r>
      <t>40</t>
    </r>
    <r>
      <rPr>
        <sz val="9"/>
        <color rgb="FF000000"/>
        <rFont val="楷体"/>
        <charset val="134"/>
      </rPr>
      <t>亿元</t>
    </r>
  </si>
  <si>
    <r>
      <rPr>
        <sz val="9"/>
        <color rgb="FF000000"/>
        <rFont val="楷体"/>
        <charset val="134"/>
      </rPr>
      <t>高军</t>
    </r>
    <r>
      <rPr>
        <sz val="9"/>
        <color rgb="FF000000"/>
        <rFont val="Arial"/>
        <charset val="134"/>
      </rPr>
      <t>:</t>
    </r>
    <r>
      <rPr>
        <sz val="9"/>
        <color rgb="FF000000"/>
        <rFont val="楷体"/>
        <charset val="134"/>
      </rPr>
      <t>董事长</t>
    </r>
  </si>
  <si>
    <r>
      <rPr>
        <sz val="9"/>
        <color rgb="FF000000"/>
        <rFont val="楷体"/>
        <charset val="134"/>
      </rPr>
      <t>深圳市福田区通业大厦南塔</t>
    </r>
    <r>
      <rPr>
        <sz val="9"/>
        <color rgb="FF000000"/>
        <rFont val="Arial"/>
        <charset val="134"/>
      </rPr>
      <t>1606</t>
    </r>
    <r>
      <rPr>
        <sz val="9"/>
        <color rgb="FF000000"/>
        <rFont val="楷体"/>
        <charset val="134"/>
      </rPr>
      <t>室</t>
    </r>
  </si>
  <si>
    <r>
      <rPr>
        <sz val="9"/>
        <color rgb="FF000000"/>
        <rFont val="楷体"/>
        <charset val="134"/>
      </rPr>
      <t>普洛斯</t>
    </r>
    <r>
      <rPr>
        <sz val="9"/>
        <color rgb="FF000000"/>
        <rFont val="Arial"/>
        <charset val="134"/>
      </rPr>
      <t>GLP,</t>
    </r>
    <r>
      <rPr>
        <sz val="9"/>
        <color rgb="FF000000"/>
        <rFont val="楷体"/>
        <charset val="134"/>
      </rPr>
      <t>隐山资本</t>
    </r>
  </si>
  <si>
    <r>
      <t>WKUP</t>
    </r>
    <r>
      <rPr>
        <sz val="9"/>
        <color rgb="FF000000"/>
        <rFont val="楷体"/>
        <charset val="134"/>
      </rPr>
      <t>单车</t>
    </r>
  </si>
  <si>
    <r>
      <t>WKUP</t>
    </r>
    <r>
      <rPr>
        <sz val="9"/>
        <color rgb="FF000000"/>
        <rFont val="楷体"/>
        <charset val="134"/>
      </rPr>
      <t>单车是一家原创单车品牌，产品包括城市通勤单车</t>
    </r>
    <r>
      <rPr>
        <sz val="9"/>
        <color rgb="FF000000"/>
        <rFont val="Arial"/>
        <charset val="134"/>
      </rPr>
      <t>Fundamental</t>
    </r>
    <r>
      <rPr>
        <sz val="9"/>
        <color rgb="FF000000"/>
        <rFont val="楷体"/>
        <charset val="134"/>
      </rPr>
      <t>系列、城市休闲公路单车</t>
    </r>
    <r>
      <rPr>
        <sz val="9"/>
        <color rgb="FF000000"/>
        <rFont val="Arial"/>
        <charset val="134"/>
      </rPr>
      <t>Hybrid</t>
    </r>
    <r>
      <rPr>
        <sz val="9"/>
        <color rgb="FF000000"/>
        <rFont val="楷体"/>
        <charset val="134"/>
      </rPr>
      <t>系列以及折叠单车</t>
    </r>
    <r>
      <rPr>
        <sz val="9"/>
        <color rgb="FF000000"/>
        <rFont val="Arial"/>
        <charset val="134"/>
      </rPr>
      <t>Mobility</t>
    </r>
    <r>
      <rPr>
        <sz val="9"/>
        <color rgb="FF000000"/>
        <rFont val="楷体"/>
        <charset val="134"/>
      </rPr>
      <t>系列，隶属于上海五公里智能科技有限公司。</t>
    </r>
  </si>
  <si>
    <r>
      <rPr>
        <sz val="9"/>
        <color rgb="FF000000"/>
        <rFont val="楷体"/>
        <charset val="134"/>
      </rPr>
      <t>上海五公里智能科技有限公司</t>
    </r>
  </si>
  <si>
    <r>
      <rPr>
        <sz val="9"/>
        <color rgb="FF000000"/>
        <rFont val="楷体"/>
        <charset val="134"/>
      </rPr>
      <t>美团</t>
    </r>
    <r>
      <rPr>
        <sz val="9"/>
        <color rgb="FF000000"/>
        <rFont val="Arial"/>
        <charset val="134"/>
      </rPr>
      <t>,</t>
    </r>
    <r>
      <rPr>
        <sz val="9"/>
        <color rgb="FF000000"/>
        <rFont val="楷体"/>
        <charset val="134"/>
      </rPr>
      <t>摩拜单车</t>
    </r>
  </si>
  <si>
    <r>
      <t>5000</t>
    </r>
    <r>
      <rPr>
        <sz val="9"/>
        <color rgb="FF000000"/>
        <rFont val="楷体"/>
        <charset val="134"/>
      </rPr>
      <t>万元</t>
    </r>
  </si>
  <si>
    <r>
      <rPr>
        <sz val="9"/>
        <color rgb="FF000000"/>
        <rFont val="楷体"/>
        <charset val="134"/>
      </rPr>
      <t>高庶三</t>
    </r>
    <r>
      <rPr>
        <sz val="9"/>
        <color rgb="FF000000"/>
        <rFont val="Arial"/>
        <charset val="134"/>
      </rPr>
      <t>:</t>
    </r>
    <r>
      <rPr>
        <sz val="9"/>
        <color rgb="FF000000"/>
        <rFont val="楷体"/>
        <charset val="134"/>
      </rPr>
      <t>创始人</t>
    </r>
  </si>
  <si>
    <r>
      <rPr>
        <sz val="9"/>
        <color rgb="FF000000"/>
        <rFont val="楷体"/>
        <charset val="134"/>
      </rPr>
      <t>上海市黄浦区中山南路</t>
    </r>
    <r>
      <rPr>
        <sz val="9"/>
        <color rgb="FF000000"/>
        <rFont val="Arial"/>
        <charset val="134"/>
      </rPr>
      <t>1420</t>
    </r>
    <r>
      <rPr>
        <sz val="9"/>
        <color rgb="FF000000"/>
        <rFont val="楷体"/>
        <charset val="134"/>
      </rPr>
      <t>号二楼</t>
    </r>
    <r>
      <rPr>
        <sz val="9"/>
        <color rgb="FF000000"/>
        <rFont val="Arial"/>
        <charset val="134"/>
      </rPr>
      <t>2356</t>
    </r>
    <r>
      <rPr>
        <sz val="9"/>
        <color rgb="FF000000"/>
        <rFont val="楷体"/>
        <charset val="134"/>
      </rPr>
      <t>室</t>
    </r>
  </si>
  <si>
    <r>
      <rPr>
        <sz val="9"/>
        <color rgb="FF000000"/>
        <rFont val="楷体"/>
        <charset val="134"/>
      </rPr>
      <t>魔量资本</t>
    </r>
    <r>
      <rPr>
        <sz val="9"/>
        <color rgb="FF000000"/>
        <rFont val="Arial"/>
        <charset val="134"/>
      </rPr>
      <t>MFund</t>
    </r>
  </si>
  <si>
    <r>
      <rPr>
        <sz val="9"/>
        <color rgb="FF000000"/>
        <rFont val="楷体"/>
        <charset val="134"/>
      </rPr>
      <t>广东壹号食品股份有限公司</t>
    </r>
  </si>
  <si>
    <r>
      <rPr>
        <sz val="9"/>
        <color rgb="FF000000"/>
        <rFont val="楷体"/>
        <charset val="134"/>
      </rPr>
      <t>广州市天河区体育西路</t>
    </r>
    <r>
      <rPr>
        <sz val="9"/>
        <color rgb="FF000000"/>
        <rFont val="Arial"/>
        <charset val="134"/>
      </rPr>
      <t>103</t>
    </r>
    <r>
      <rPr>
        <sz val="9"/>
        <color rgb="FF000000"/>
        <rFont val="楷体"/>
        <charset val="134"/>
      </rPr>
      <t>号维多利广场</t>
    </r>
    <r>
      <rPr>
        <sz val="9"/>
        <color rgb="FF000000"/>
        <rFont val="Arial"/>
        <charset val="134"/>
      </rPr>
      <t>A</t>
    </r>
    <r>
      <rPr>
        <sz val="9"/>
        <color rgb="FF000000"/>
        <rFont val="楷体"/>
        <charset val="134"/>
      </rPr>
      <t>座</t>
    </r>
    <r>
      <rPr>
        <sz val="9"/>
        <color rgb="FF000000"/>
        <rFont val="Arial"/>
        <charset val="134"/>
      </rPr>
      <t>30</t>
    </r>
    <r>
      <rPr>
        <sz val="9"/>
        <color rgb="FF000000"/>
        <rFont val="楷体"/>
        <charset val="134"/>
      </rPr>
      <t>楼</t>
    </r>
    <r>
      <rPr>
        <sz val="9"/>
        <color rgb="FF000000"/>
        <rFont val="Arial"/>
        <charset val="134"/>
      </rPr>
      <t>​</t>
    </r>
  </si>
  <si>
    <r>
      <rPr>
        <sz val="9"/>
        <color rgb="FF000000"/>
        <rFont val="楷体"/>
        <charset val="134"/>
      </rPr>
      <t>和智资本</t>
    </r>
    <r>
      <rPr>
        <sz val="9"/>
        <color rgb="FF000000"/>
        <rFont val="Arial"/>
        <charset val="134"/>
      </rPr>
      <t>,</t>
    </r>
    <r>
      <rPr>
        <sz val="9"/>
        <color rgb="FF000000"/>
        <rFont val="楷体"/>
        <charset val="134"/>
      </rPr>
      <t>国投创益</t>
    </r>
  </si>
  <si>
    <r>
      <rPr>
        <sz val="9"/>
        <color rgb="FF000000"/>
        <rFont val="楷体"/>
        <charset val="134"/>
      </rPr>
      <t>嬴彻科技（上海）有限公司</t>
    </r>
  </si>
  <si>
    <r>
      <rPr>
        <sz val="9"/>
        <color rgb="FF000000"/>
        <rFont val="楷体"/>
        <charset val="134"/>
      </rPr>
      <t>上海市杨浦区长阳路</t>
    </r>
    <r>
      <rPr>
        <sz val="9"/>
        <color rgb="FF000000"/>
        <rFont val="Arial"/>
        <charset val="134"/>
      </rPr>
      <t>1687</t>
    </r>
    <r>
      <rPr>
        <sz val="9"/>
        <color rgb="FF000000"/>
        <rFont val="楷体"/>
        <charset val="134"/>
      </rPr>
      <t>号长阳创谷</t>
    </r>
    <r>
      <rPr>
        <sz val="9"/>
        <color rgb="FF000000"/>
        <rFont val="Arial"/>
        <charset val="134"/>
      </rPr>
      <t>D</t>
    </r>
    <r>
      <rPr>
        <sz val="9"/>
        <color rgb="FF000000"/>
        <rFont val="楷体"/>
        <charset val="134"/>
      </rPr>
      <t>栋</t>
    </r>
    <r>
      <rPr>
        <sz val="9"/>
        <color rgb="FF000000"/>
        <rFont val="Arial"/>
        <charset val="134"/>
      </rPr>
      <t>301</t>
    </r>
  </si>
  <si>
    <r>
      <t>1.2</t>
    </r>
    <r>
      <rPr>
        <sz val="9"/>
        <color rgb="FF000000"/>
        <rFont val="楷体"/>
        <charset val="134"/>
      </rPr>
      <t>亿美元</t>
    </r>
  </si>
  <si>
    <r>
      <rPr>
        <sz val="9"/>
        <color rgb="FF000000"/>
        <rFont val="楷体"/>
        <charset val="134"/>
      </rPr>
      <t>普洛斯</t>
    </r>
    <r>
      <rPr>
        <sz val="9"/>
        <color rgb="FF000000"/>
        <rFont val="Arial"/>
        <charset val="134"/>
      </rPr>
      <t>GLP,</t>
    </r>
    <r>
      <rPr>
        <sz val="9"/>
        <color rgb="FF000000"/>
        <rFont val="楷体"/>
        <charset val="134"/>
      </rPr>
      <t>蔚来资本</t>
    </r>
    <r>
      <rPr>
        <sz val="9"/>
        <color rgb="FF000000"/>
        <rFont val="Arial"/>
        <charset val="134"/>
      </rPr>
      <t>,G7</t>
    </r>
    <r>
      <rPr>
        <sz val="9"/>
        <color rgb="FF000000"/>
        <rFont val="楷体"/>
        <charset val="134"/>
      </rPr>
      <t>汇通天下</t>
    </r>
    <r>
      <rPr>
        <sz val="9"/>
        <color rgb="FF000000"/>
        <rFont val="Arial"/>
        <charset val="134"/>
      </rPr>
      <t>,</t>
    </r>
    <r>
      <rPr>
        <sz val="9"/>
        <color rgb="FF000000"/>
        <rFont val="楷体"/>
        <charset val="134"/>
      </rPr>
      <t>宁德时代</t>
    </r>
  </si>
  <si>
    <r>
      <rPr>
        <sz val="9"/>
        <color rgb="FF000000"/>
        <rFont val="楷体"/>
        <charset val="134"/>
      </rPr>
      <t>普洛斯</t>
    </r>
    <r>
      <rPr>
        <sz val="9"/>
        <color rgb="FF000000"/>
        <rFont val="Arial"/>
        <charset val="134"/>
      </rPr>
      <t>GLP,</t>
    </r>
    <r>
      <rPr>
        <sz val="9"/>
        <color rgb="FF000000"/>
        <rFont val="楷体"/>
        <charset val="134"/>
      </rPr>
      <t>蔚来资本</t>
    </r>
    <r>
      <rPr>
        <sz val="9"/>
        <color rgb="FF000000"/>
        <rFont val="Arial"/>
        <charset val="134"/>
      </rPr>
      <t>,G7</t>
    </r>
    <r>
      <rPr>
        <sz val="9"/>
        <color rgb="FF000000"/>
        <rFont val="楷体"/>
        <charset val="134"/>
      </rPr>
      <t>汇通天下</t>
    </r>
  </si>
  <si>
    <r>
      <t>OPay</t>
    </r>
    <r>
      <rPr>
        <sz val="9"/>
        <color rgb="FF000000"/>
        <rFont val="楷体"/>
        <charset val="134"/>
      </rPr>
      <t>是尼日利亚一家移动支付服务商，用户可通过</t>
    </r>
    <r>
      <rPr>
        <sz val="9"/>
        <color rgb="FF000000"/>
        <rFont val="Arial"/>
        <charset val="134"/>
      </rPr>
      <t>APP</t>
    </r>
    <r>
      <rPr>
        <sz val="9"/>
        <color rgb="FF000000"/>
        <rFont val="楷体"/>
        <charset val="134"/>
      </rPr>
      <t>进行账单支付、转账汇款、食品购买、现金提取等操作，致力于提供全方位的移动支付服务。</t>
    </r>
  </si>
  <si>
    <r>
      <rPr>
        <sz val="9"/>
        <color rgb="FF000000"/>
        <rFont val="楷体"/>
        <charset val="134"/>
      </rPr>
      <t>非洲</t>
    </r>
    <r>
      <rPr>
        <sz val="9"/>
        <color rgb="FF000000"/>
        <rFont val="Arial"/>
        <charset val="134"/>
      </rPr>
      <t>-</t>
    </r>
    <r>
      <rPr>
        <sz val="9"/>
        <color rgb="FF000000"/>
        <rFont val="楷体"/>
        <charset val="134"/>
      </rPr>
      <t>尼日利亚</t>
    </r>
  </si>
  <si>
    <r>
      <t>4</t>
    </r>
    <r>
      <rPr>
        <sz val="9"/>
        <color rgb="FF000000"/>
        <rFont val="楷体"/>
        <charset val="134"/>
      </rPr>
      <t>亿美元</t>
    </r>
  </si>
  <si>
    <r>
      <rPr>
        <sz val="9"/>
        <color rgb="FF000000"/>
        <rFont val="楷体"/>
        <charset val="134"/>
      </rPr>
      <t>源码资本</t>
    </r>
    <r>
      <rPr>
        <sz val="9"/>
        <color rgb="FF000000"/>
        <rFont val="Arial"/>
        <charset val="134"/>
      </rPr>
      <t>,</t>
    </r>
    <r>
      <rPr>
        <sz val="9"/>
        <color rgb="FF000000"/>
        <rFont val="楷体"/>
        <charset val="134"/>
      </rPr>
      <t>软银愿景基金</t>
    </r>
    <r>
      <rPr>
        <sz val="9"/>
        <color rgb="FF000000"/>
        <rFont val="Arial"/>
        <charset val="134"/>
      </rPr>
      <t>,</t>
    </r>
    <r>
      <rPr>
        <sz val="9"/>
        <color rgb="FF000000"/>
        <rFont val="楷体"/>
        <charset val="134"/>
      </rPr>
      <t>三万资本</t>
    </r>
    <r>
      <rPr>
        <sz val="9"/>
        <color rgb="FF000000"/>
        <rFont val="Arial"/>
        <charset val="134"/>
      </rPr>
      <t>,DragonBall Capital</t>
    </r>
  </si>
  <si>
    <r>
      <t>37.05</t>
    </r>
    <r>
      <rPr>
        <sz val="9"/>
        <color rgb="FF000000"/>
        <rFont val="楷体"/>
        <charset val="134"/>
      </rPr>
      <t>亿</t>
    </r>
  </si>
  <si>
    <r>
      <t>130</t>
    </r>
    <r>
      <rPr>
        <sz val="9"/>
        <color rgb="FF000000"/>
        <rFont val="楷体"/>
        <charset val="134"/>
      </rPr>
      <t>亿元</t>
    </r>
  </si>
  <si>
    <r>
      <rPr>
        <sz val="9"/>
        <color rgb="FF000000"/>
        <rFont val="楷体"/>
        <charset val="134"/>
      </rPr>
      <t>周亚辉</t>
    </r>
    <r>
      <rPr>
        <sz val="9"/>
        <color rgb="FF000000"/>
        <rFont val="Arial"/>
        <charset val="134"/>
      </rPr>
      <t>:</t>
    </r>
    <r>
      <rPr>
        <sz val="9"/>
        <color rgb="FF000000"/>
        <rFont val="楷体"/>
        <charset val="134"/>
      </rPr>
      <t>董事长</t>
    </r>
    <r>
      <rPr>
        <sz val="9"/>
        <color rgb="FF000000"/>
        <rFont val="Arial"/>
        <charset val="134"/>
      </rPr>
      <t>,Allen Qu:Chief Operating Officer,Awolowo Moses:Director of ORide Business,CHENGYANG WANG:Operation Director,Ebunoluwa Shipe:Senior Operations Manager,Olalere Ridwan:Senior Director of Operations for ORide,Yahui Zhou:Founder, CEO &amp; Chairman</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</si>
  <si>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金沙江创投</t>
    </r>
    <r>
      <rPr>
        <sz val="9"/>
        <color rgb="FF000000"/>
        <rFont val="Arial"/>
        <charset val="134"/>
      </rPr>
      <t>,Redpoint Ventures</t>
    </r>
    <r>
      <rPr>
        <sz val="9"/>
        <color rgb="FF000000"/>
        <rFont val="楷体"/>
        <charset val="134"/>
      </rPr>
      <t>红点全球基金</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软银中印</t>
    </r>
    <r>
      <rPr>
        <sz val="9"/>
        <color rgb="FF000000"/>
        <rFont val="Arial"/>
        <charset val="134"/>
      </rPr>
      <t>,</t>
    </r>
    <r>
      <rPr>
        <sz val="9"/>
        <color rgb="FF000000"/>
        <rFont val="楷体"/>
        <charset val="134"/>
      </rPr>
      <t>美团龙珠</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</si>
  <si>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源码资本</t>
    </r>
    <r>
      <rPr>
        <sz val="9"/>
        <color rgb="FF000000"/>
        <rFont val="Arial"/>
        <charset val="134"/>
      </rPr>
      <t>,Opera</t>
    </r>
  </si>
  <si>
    <r>
      <rPr>
        <sz val="9"/>
        <color rgb="FF000000"/>
        <rFont val="楷体"/>
        <charset val="134"/>
      </rPr>
      <t>光年之外</t>
    </r>
  </si>
  <si>
    <r>
      <rPr>
        <sz val="9"/>
        <color rgb="FF000000"/>
        <rFont val="楷体"/>
        <charset val="134"/>
      </rPr>
      <t>光年之外是一家由美团联合创始人王慧文创办的人工智能公司，致力于打造中国版</t>
    </r>
    <r>
      <rPr>
        <sz val="9"/>
        <color rgb="FF000000"/>
        <rFont val="Arial"/>
        <charset val="134"/>
      </rPr>
      <t>OpenAl</t>
    </r>
    <r>
      <rPr>
        <sz val="9"/>
        <color rgb="FF000000"/>
        <rFont val="楷体"/>
        <charset val="134"/>
      </rPr>
      <t>。</t>
    </r>
  </si>
  <si>
    <r>
      <rPr>
        <sz val="9"/>
        <color rgb="FF000000"/>
        <rFont val="楷体"/>
        <charset val="134"/>
      </rPr>
      <t>北京光年之外科技有限公司</t>
    </r>
  </si>
  <si>
    <r>
      <t>20.65</t>
    </r>
    <r>
      <rPr>
        <sz val="9"/>
        <color rgb="FF000000"/>
        <rFont val="楷体"/>
        <charset val="134"/>
      </rPr>
      <t>亿人民币</t>
    </r>
  </si>
  <si>
    <r>
      <t>40.15</t>
    </r>
    <r>
      <rPr>
        <sz val="9"/>
        <color rgb="FF000000"/>
        <rFont val="楷体"/>
        <charset val="134"/>
      </rPr>
      <t>亿</t>
    </r>
  </si>
  <si>
    <r>
      <t>103.25</t>
    </r>
    <r>
      <rPr>
        <sz val="9"/>
        <color rgb="FF000000"/>
        <rFont val="楷体"/>
        <charset val="134"/>
      </rPr>
      <t>亿元</t>
    </r>
  </si>
  <si>
    <r>
      <rPr>
        <sz val="9"/>
        <color rgb="FF000000"/>
        <rFont val="楷体"/>
        <charset val="134"/>
      </rPr>
      <t>王慧文</t>
    </r>
    <r>
      <rPr>
        <sz val="9"/>
        <color rgb="FF000000"/>
        <rFont val="Arial"/>
        <charset val="134"/>
      </rPr>
      <t>:</t>
    </r>
    <r>
      <rPr>
        <sz val="9"/>
        <color rgb="FF000000"/>
        <rFont val="楷体"/>
        <charset val="134"/>
      </rPr>
      <t>创始人</t>
    </r>
  </si>
  <si>
    <r>
      <rPr>
        <sz val="9"/>
        <color rgb="FF000000"/>
        <rFont val="楷体"/>
        <charset val="134"/>
      </rPr>
      <t>北京市海淀区丰慧中路</t>
    </r>
    <r>
      <rPr>
        <sz val="9"/>
        <color rgb="FF000000"/>
        <rFont val="Arial"/>
        <charset val="134"/>
      </rPr>
      <t>7</t>
    </r>
    <r>
      <rPr>
        <sz val="9"/>
        <color rgb="FF000000"/>
        <rFont val="楷体"/>
        <charset val="134"/>
      </rPr>
      <t>号新材料创业大厦</t>
    </r>
    <r>
      <rPr>
        <sz val="9"/>
        <color rgb="FF000000"/>
        <rFont val="Arial"/>
        <charset val="134"/>
      </rPr>
      <t>10</t>
    </r>
    <r>
      <rPr>
        <sz val="9"/>
        <color rgb="FF000000"/>
        <rFont val="楷体"/>
        <charset val="134"/>
      </rPr>
      <t>层</t>
    </r>
    <r>
      <rPr>
        <sz val="9"/>
        <color rgb="FF000000"/>
        <rFont val="Arial"/>
        <charset val="134"/>
      </rPr>
      <t>10</t>
    </r>
    <r>
      <rPr>
        <sz val="9"/>
        <color rgb="FF000000"/>
        <rFont val="楷体"/>
        <charset val="134"/>
      </rPr>
      <t>层北侧办公</t>
    </r>
    <r>
      <rPr>
        <sz val="9"/>
        <color rgb="FF000000"/>
        <rFont val="Arial"/>
        <charset val="134"/>
      </rPr>
      <t>1719</t>
    </r>
    <r>
      <rPr>
        <sz val="9"/>
        <color rgb="FF000000"/>
        <rFont val="楷体"/>
        <charset val="134"/>
      </rPr>
      <t>号</t>
    </r>
  </si>
  <si>
    <r>
      <rPr>
        <sz val="9"/>
        <color rgb="FF000000"/>
        <rFont val="楷体"/>
        <charset val="134"/>
      </rPr>
      <t>五源资本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宿华</t>
    </r>
  </si>
  <si>
    <r>
      <rPr>
        <sz val="9"/>
        <color rgb="FF000000"/>
        <rFont val="楷体"/>
        <charset val="134"/>
      </rPr>
      <t>王兴</t>
    </r>
  </si>
  <si>
    <r>
      <rPr>
        <sz val="9"/>
        <color rgb="FF000000"/>
        <rFont val="楷体"/>
        <charset val="134"/>
      </rPr>
      <t>王慧文</t>
    </r>
  </si>
  <si>
    <r>
      <rPr>
        <sz val="9"/>
        <color rgb="FF000000"/>
        <rFont val="楷体"/>
        <charset val="134"/>
      </rPr>
      <t>杭州恩和生物科技有限公司</t>
    </r>
  </si>
  <si>
    <r>
      <rPr>
        <sz val="9"/>
        <color rgb="FF000000"/>
        <rFont val="楷体"/>
        <charset val="134"/>
      </rPr>
      <t>浙江省杭州经济技术开发区白杨街道科技园路</t>
    </r>
    <r>
      <rPr>
        <sz val="9"/>
        <color rgb="FF000000"/>
        <rFont val="Arial"/>
        <charset val="134"/>
      </rPr>
      <t>20</t>
    </r>
    <r>
      <rPr>
        <sz val="9"/>
        <color rgb="FF000000"/>
        <rFont val="楷体"/>
        <charset val="134"/>
      </rPr>
      <t>号</t>
    </r>
    <r>
      <rPr>
        <sz val="9"/>
        <color rgb="FF000000"/>
        <rFont val="Arial"/>
        <charset val="134"/>
      </rPr>
      <t>13</t>
    </r>
    <r>
      <rPr>
        <sz val="9"/>
        <color rgb="FF000000"/>
        <rFont val="楷体"/>
        <charset val="134"/>
      </rPr>
      <t>幢</t>
    </r>
    <r>
      <rPr>
        <sz val="9"/>
        <color rgb="FF000000"/>
        <rFont val="Arial"/>
        <charset val="134"/>
      </rPr>
      <t>3</t>
    </r>
    <r>
      <rPr>
        <sz val="9"/>
        <color rgb="FF000000"/>
        <rFont val="楷体"/>
        <charset val="134"/>
      </rPr>
      <t>层</t>
    </r>
  </si>
  <si>
    <r>
      <t>BASF</t>
    </r>
    <r>
      <rPr>
        <sz val="9"/>
        <color rgb="FF000000"/>
        <rFont val="楷体"/>
        <charset val="134"/>
      </rPr>
      <t>巴斯夫</t>
    </r>
  </si>
  <si>
    <r>
      <rPr>
        <sz val="9"/>
        <color rgb="FF000000"/>
        <rFont val="楷体"/>
        <charset val="134"/>
      </rPr>
      <t>经纬创投</t>
    </r>
    <r>
      <rPr>
        <sz val="9"/>
        <color rgb="FF000000"/>
        <rFont val="Arial"/>
        <charset val="134"/>
      </rPr>
      <t>,</t>
    </r>
    <r>
      <rPr>
        <sz val="9"/>
        <color rgb="FF000000"/>
        <rFont val="楷体"/>
        <charset val="134"/>
      </rPr>
      <t>百度风投</t>
    </r>
    <r>
      <rPr>
        <sz val="9"/>
        <color rgb="FF000000"/>
        <rFont val="Arial"/>
        <charset val="134"/>
      </rPr>
      <t>,</t>
    </r>
    <r>
      <rPr>
        <sz val="9"/>
        <color rgb="FF000000"/>
        <rFont val="楷体"/>
        <charset val="134"/>
      </rPr>
      <t>夏尔巴投资</t>
    </r>
  </si>
  <si>
    <r>
      <rPr>
        <sz val="9"/>
        <color rgb="FF000000"/>
        <rFont val="楷体"/>
        <charset val="134"/>
      </rPr>
      <t>巢生资本</t>
    </r>
  </si>
  <si>
    <r>
      <rPr>
        <sz val="9"/>
        <color rgb="FF000000"/>
        <rFont val="楷体"/>
        <charset val="134"/>
      </rPr>
      <t>毫末智行</t>
    </r>
  </si>
  <si>
    <r>
      <rPr>
        <sz val="9"/>
        <color rgb="FF000000"/>
        <rFont val="楷体"/>
        <charset val="134"/>
      </rPr>
      <t>毫末智行是一家自动驾驶技术研发商，脱胎于长城汽车技术中心的智能驾驶前瞻分部，此前一直在长城汽车内部负责</t>
    </r>
    <r>
      <rPr>
        <sz val="9"/>
        <color rgb="FF000000"/>
        <rFont val="Arial"/>
        <charset val="134"/>
      </rPr>
      <t>ADAS</t>
    </r>
    <r>
      <rPr>
        <sz val="9"/>
        <color rgb="FF000000"/>
        <rFont val="楷体"/>
        <charset val="134"/>
      </rPr>
      <t>系统研发，</t>
    </r>
    <r>
      <rPr>
        <sz val="9"/>
        <color rgb="FF000000"/>
        <rFont val="Arial"/>
        <charset val="134"/>
      </rPr>
      <t xml:space="preserve">2019 </t>
    </r>
    <r>
      <rPr>
        <sz val="9"/>
        <color rgb="FF000000"/>
        <rFont val="楷体"/>
        <charset val="134"/>
      </rPr>
      <t>年</t>
    </r>
    <r>
      <rPr>
        <sz val="9"/>
        <color rgb="FF000000"/>
        <rFont val="Arial"/>
        <charset val="134"/>
      </rPr>
      <t xml:space="preserve"> 11 </t>
    </r>
    <r>
      <rPr>
        <sz val="9"/>
        <color rgb="FF000000"/>
        <rFont val="楷体"/>
        <charset val="134"/>
      </rPr>
      <t>月正式成立独立公司。毫末智行聚焦</t>
    </r>
    <r>
      <rPr>
        <sz val="9"/>
        <color rgb="FF000000"/>
        <rFont val="Arial"/>
        <charset val="134"/>
      </rPr>
      <t>To C</t>
    </r>
    <r>
      <rPr>
        <sz val="9"/>
        <color rgb="FF000000"/>
        <rFont val="楷体"/>
        <charset val="134"/>
      </rPr>
      <t>端乘用车高级别自动驾驶解决方案及</t>
    </r>
    <r>
      <rPr>
        <sz val="9"/>
        <color rgb="FF000000"/>
        <rFont val="Arial"/>
        <charset val="134"/>
      </rPr>
      <t>To B</t>
    </r>
    <r>
      <rPr>
        <sz val="9"/>
        <color rgb="FF000000"/>
        <rFont val="楷体"/>
        <charset val="134"/>
      </rPr>
      <t>端车规级</t>
    </r>
    <r>
      <rPr>
        <sz val="9"/>
        <color rgb="FF000000"/>
        <rFont val="Arial"/>
        <charset val="134"/>
      </rPr>
      <t xml:space="preserve"> </t>
    </r>
    <r>
      <rPr>
        <sz val="9"/>
        <color rgb="FF000000"/>
        <rFont val="楷体"/>
        <charset val="134"/>
      </rPr>
      <t>无人物流小车生产、销售、示范应用及推广，目前建立了两条产品线：一条是面向乘用车的自动驾驶系统，另一条是提供给物流、送餐领域的物流车。</t>
    </r>
  </si>
  <si>
    <r>
      <rPr>
        <sz val="9"/>
        <color rgb="FF000000"/>
        <rFont val="楷体"/>
        <charset val="134"/>
      </rPr>
      <t>毫末智行科技有限公司</t>
    </r>
  </si>
  <si>
    <r>
      <rPr>
        <sz val="9"/>
        <color rgb="FF000000"/>
        <rFont val="楷体"/>
        <charset val="134"/>
      </rPr>
      <t>北京</t>
    </r>
    <r>
      <rPr>
        <sz val="9"/>
        <color rgb="FF000000"/>
        <rFont val="Arial"/>
        <charset val="134"/>
      </rPr>
      <t>-</t>
    </r>
    <r>
      <rPr>
        <sz val="9"/>
        <color rgb="FF000000"/>
        <rFont val="楷体"/>
        <charset val="134"/>
      </rPr>
      <t>丰台区</t>
    </r>
  </si>
  <si>
    <r>
      <rPr>
        <sz val="9"/>
        <color rgb="FF000000"/>
        <rFont val="楷体"/>
        <charset val="134"/>
      </rPr>
      <t>中银投资</t>
    </r>
    <r>
      <rPr>
        <sz val="9"/>
        <color rgb="FF000000"/>
        <rFont val="Arial"/>
        <charset val="134"/>
      </rPr>
      <t>,</t>
    </r>
    <r>
      <rPr>
        <sz val="9"/>
        <color rgb="FF000000"/>
        <rFont val="楷体"/>
        <charset val="134"/>
      </rPr>
      <t>首程控股</t>
    </r>
  </si>
  <si>
    <r>
      <t>16</t>
    </r>
    <r>
      <rPr>
        <sz val="9"/>
        <color rgb="FF000000"/>
        <rFont val="楷体"/>
        <charset val="134"/>
      </rPr>
      <t>亿</t>
    </r>
  </si>
  <si>
    <r>
      <rPr>
        <sz val="9"/>
        <color rgb="FF000000"/>
        <rFont val="楷体"/>
        <charset val="134"/>
      </rPr>
      <t>顾维灏</t>
    </r>
    <r>
      <rPr>
        <sz val="9"/>
        <color rgb="FF000000"/>
        <rFont val="Arial"/>
        <charset val="134"/>
      </rPr>
      <t>:CEO</t>
    </r>
  </si>
  <si>
    <r>
      <rPr>
        <sz val="9"/>
        <color rgb="FF000000"/>
        <rFont val="楷体"/>
        <charset val="134"/>
      </rPr>
      <t>北京市丰台区广安路</t>
    </r>
    <r>
      <rPr>
        <sz val="9"/>
        <color rgb="FF000000"/>
        <rFont val="Arial"/>
        <charset val="134"/>
      </rPr>
      <t>9</t>
    </r>
    <r>
      <rPr>
        <sz val="9"/>
        <color rgb="FF000000"/>
        <rFont val="楷体"/>
        <charset val="134"/>
      </rPr>
      <t>号院</t>
    </r>
    <r>
      <rPr>
        <sz val="9"/>
        <color rgb="FF000000"/>
        <rFont val="Arial"/>
        <charset val="134"/>
      </rPr>
      <t>3</t>
    </r>
    <r>
      <rPr>
        <sz val="9"/>
        <color rgb="FF000000"/>
        <rFont val="楷体"/>
        <charset val="134"/>
      </rPr>
      <t>号楼</t>
    </r>
    <r>
      <rPr>
        <sz val="9"/>
        <color rgb="FF000000"/>
        <rFont val="Arial"/>
        <charset val="134"/>
      </rPr>
      <t>18</t>
    </r>
    <r>
      <rPr>
        <sz val="9"/>
        <color rgb="FF000000"/>
        <rFont val="楷体"/>
        <charset val="134"/>
      </rPr>
      <t>层</t>
    </r>
    <r>
      <rPr>
        <sz val="9"/>
        <color rgb="FF000000"/>
        <rFont val="Arial"/>
        <charset val="134"/>
      </rPr>
      <t>1802</t>
    </r>
  </si>
  <si>
    <r>
      <rPr>
        <sz val="9"/>
        <color rgb="FF000000"/>
        <rFont val="楷体"/>
        <charset val="134"/>
      </rPr>
      <t>北京爱芯科技有限公司</t>
    </r>
  </si>
  <si>
    <r>
      <rPr>
        <sz val="9"/>
        <color rgb="FF000000"/>
        <rFont val="楷体"/>
        <charset val="134"/>
      </rPr>
      <t>北京市海淀区中关村海龙大厦</t>
    </r>
    <r>
      <rPr>
        <sz val="9"/>
        <color rgb="FF000000"/>
        <rFont val="Arial"/>
        <charset val="134"/>
      </rPr>
      <t>H</t>
    </r>
    <r>
      <rPr>
        <sz val="9"/>
        <color rgb="FF000000"/>
        <rFont val="楷体"/>
        <charset val="134"/>
      </rPr>
      <t>座</t>
    </r>
    <r>
      <rPr>
        <sz val="9"/>
        <color rgb="FF000000"/>
        <rFont val="Arial"/>
        <charset val="134"/>
      </rPr>
      <t>16</t>
    </r>
    <r>
      <rPr>
        <sz val="9"/>
        <color rgb="FF000000"/>
        <rFont val="楷体"/>
        <charset val="134"/>
      </rPr>
      <t>层</t>
    </r>
  </si>
  <si>
    <r>
      <rPr>
        <sz val="9"/>
        <color rgb="FF000000"/>
        <rFont val="楷体"/>
        <charset val="134"/>
      </rPr>
      <t>启明创投</t>
    </r>
    <r>
      <rPr>
        <sz val="9"/>
        <color rgb="FF000000"/>
        <rFont val="Arial"/>
        <charset val="134"/>
      </rPr>
      <t>,</t>
    </r>
    <r>
      <rPr>
        <sz val="9"/>
        <color rgb="FF000000"/>
        <rFont val="楷体"/>
        <charset val="134"/>
      </rPr>
      <t>联想之星</t>
    </r>
    <r>
      <rPr>
        <sz val="9"/>
        <color rgb="FF000000"/>
        <rFont val="Arial"/>
        <charset val="134"/>
      </rPr>
      <t>,</t>
    </r>
    <r>
      <rPr>
        <sz val="9"/>
        <color rgb="FF000000"/>
        <rFont val="楷体"/>
        <charset val="134"/>
      </rPr>
      <t>耀途资本</t>
    </r>
    <r>
      <rPr>
        <sz val="9"/>
        <color rgb="FF000000"/>
        <rFont val="Arial"/>
        <charset val="134"/>
      </rPr>
      <t>,</t>
    </r>
    <r>
      <rPr>
        <sz val="9"/>
        <color rgb="FF000000"/>
        <rFont val="楷体"/>
        <charset val="134"/>
      </rPr>
      <t>沄柏资本</t>
    </r>
    <r>
      <rPr>
        <sz val="9"/>
        <color rgb="FF000000"/>
        <rFont val="Arial"/>
        <charset val="134"/>
      </rPr>
      <t>,</t>
    </r>
    <r>
      <rPr>
        <sz val="9"/>
        <color rgb="FF000000"/>
        <rFont val="楷体"/>
        <charset val="134"/>
      </rPr>
      <t>和聚百川</t>
    </r>
    <r>
      <rPr>
        <sz val="9"/>
        <color rgb="FF000000"/>
        <rFont val="Arial"/>
        <charset val="134"/>
      </rPr>
      <t>,</t>
    </r>
    <r>
      <rPr>
        <sz val="9"/>
        <color rgb="FF000000"/>
        <rFont val="楷体"/>
        <charset val="134"/>
      </rPr>
      <t>万物资本</t>
    </r>
  </si>
  <si>
    <r>
      <rPr>
        <sz val="9"/>
        <color rgb="FF000000"/>
        <rFont val="楷体"/>
        <charset val="134"/>
      </rPr>
      <t>启明创投</t>
    </r>
    <r>
      <rPr>
        <sz val="9"/>
        <color rgb="FF000000"/>
        <rFont val="Arial"/>
        <charset val="134"/>
      </rPr>
      <t>,</t>
    </r>
    <r>
      <rPr>
        <sz val="9"/>
        <color rgb="FF000000"/>
        <rFont val="楷体"/>
        <charset val="134"/>
      </rPr>
      <t>联想之星</t>
    </r>
  </si>
  <si>
    <r>
      <rPr>
        <sz val="9"/>
        <color rgb="FF000000"/>
        <rFont val="楷体"/>
        <charset val="134"/>
      </rPr>
      <t>星云智联</t>
    </r>
  </si>
  <si>
    <r>
      <rPr>
        <sz val="9"/>
        <color rgb="FF000000"/>
        <rFont val="楷体"/>
        <charset val="134"/>
      </rPr>
      <t>星云智联是一家</t>
    </r>
    <r>
      <rPr>
        <sz val="9"/>
        <color rgb="FF000000"/>
        <rFont val="Arial"/>
        <charset val="134"/>
      </rPr>
      <t>DPU</t>
    </r>
    <r>
      <rPr>
        <sz val="9"/>
        <color rgb="FF000000"/>
        <rFont val="楷体"/>
        <charset val="134"/>
      </rPr>
      <t>芯片研发商，专注于数据中心基础互联通信架构和</t>
    </r>
    <r>
      <rPr>
        <sz val="9"/>
        <color rgb="FF000000"/>
        <rFont val="Arial"/>
        <charset val="134"/>
      </rPr>
      <t>DPU</t>
    </r>
    <r>
      <rPr>
        <sz val="9"/>
        <color rgb="FF000000"/>
        <rFont val="楷体"/>
        <charset val="134"/>
      </rPr>
      <t>芯片研发，致力于构建数字世界算力的智能连接和开放生态，让云计算和数据中心成为构建未来数字社会的坚实基础。</t>
    </r>
  </si>
  <si>
    <r>
      <rPr>
        <sz val="9"/>
        <color rgb="FF000000"/>
        <rFont val="楷体"/>
        <charset val="134"/>
      </rPr>
      <t>珠海星云智联科技有限公司</t>
    </r>
  </si>
  <si>
    <r>
      <rPr>
        <sz val="9"/>
        <color rgb="FF000000"/>
        <rFont val="楷体"/>
        <charset val="134"/>
      </rPr>
      <t>广东</t>
    </r>
    <r>
      <rPr>
        <sz val="9"/>
        <color rgb="FF000000"/>
        <rFont val="Arial"/>
        <charset val="134"/>
      </rPr>
      <t>-</t>
    </r>
    <r>
      <rPr>
        <sz val="9"/>
        <color rgb="FF000000"/>
        <rFont val="楷体"/>
        <charset val="134"/>
      </rPr>
      <t>珠海</t>
    </r>
  </si>
  <si>
    <r>
      <rPr>
        <sz val="9"/>
        <color rgb="FF000000"/>
        <rFont val="楷体"/>
        <charset val="134"/>
      </rPr>
      <t>百度</t>
    </r>
  </si>
  <si>
    <r>
      <t>10</t>
    </r>
    <r>
      <rPr>
        <sz val="9"/>
        <color rgb="FF000000"/>
        <rFont val="楷体"/>
        <charset val="134"/>
      </rPr>
      <t>亿</t>
    </r>
  </si>
  <si>
    <r>
      <rPr>
        <sz val="9"/>
        <color rgb="FF000000"/>
        <rFont val="楷体"/>
        <charset val="134"/>
      </rPr>
      <t>珠海市横琴新区宝华路</t>
    </r>
    <r>
      <rPr>
        <sz val="9"/>
        <color rgb="FF000000"/>
        <rFont val="Arial"/>
        <charset val="134"/>
      </rPr>
      <t>6</t>
    </r>
    <r>
      <rPr>
        <sz val="9"/>
        <color rgb="FF000000"/>
        <rFont val="楷体"/>
        <charset val="134"/>
      </rPr>
      <t>号</t>
    </r>
    <r>
      <rPr>
        <sz val="9"/>
        <color rgb="FF000000"/>
        <rFont val="Arial"/>
        <charset val="134"/>
      </rPr>
      <t>105</t>
    </r>
    <r>
      <rPr>
        <sz val="9"/>
        <color rgb="FF000000"/>
        <rFont val="楷体"/>
        <charset val="134"/>
      </rPr>
      <t>室</t>
    </r>
  </si>
  <si>
    <r>
      <t>BAI</t>
    </r>
    <r>
      <rPr>
        <sz val="9"/>
        <color rgb="FF000000"/>
        <rFont val="楷体"/>
        <charset val="134"/>
      </rPr>
      <t>资本</t>
    </r>
    <r>
      <rPr>
        <sz val="9"/>
        <color rgb="FF000000"/>
        <rFont val="Arial"/>
        <charset val="134"/>
      </rPr>
      <t>,</t>
    </r>
    <r>
      <rPr>
        <sz val="9"/>
        <color rgb="FF000000"/>
        <rFont val="楷体"/>
        <charset val="134"/>
      </rPr>
      <t>鼎晖投资</t>
    </r>
    <r>
      <rPr>
        <sz val="9"/>
        <color rgb="FF000000"/>
        <rFont val="Arial"/>
        <charset val="134"/>
      </rPr>
      <t>,</t>
    </r>
    <r>
      <rPr>
        <sz val="9"/>
        <color rgb="FF000000"/>
        <rFont val="楷体"/>
        <charset val="134"/>
      </rPr>
      <t>松禾资本</t>
    </r>
    <r>
      <rPr>
        <sz val="9"/>
        <color rgb="FF000000"/>
        <rFont val="Arial"/>
        <charset val="134"/>
      </rPr>
      <t>,</t>
    </r>
    <r>
      <rPr>
        <sz val="9"/>
        <color rgb="FF000000"/>
        <rFont val="楷体"/>
        <charset val="134"/>
      </rPr>
      <t>华登国际</t>
    </r>
    <r>
      <rPr>
        <sz val="9"/>
        <color rgb="FF000000"/>
        <rFont val="Arial"/>
        <charset val="134"/>
      </rPr>
      <t>,</t>
    </r>
    <r>
      <rPr>
        <sz val="9"/>
        <color rgb="FF000000"/>
        <rFont val="楷体"/>
        <charset val="134"/>
      </rPr>
      <t>复星锐正资本</t>
    </r>
    <r>
      <rPr>
        <sz val="9"/>
        <color rgb="FF000000"/>
        <rFont val="Arial"/>
        <charset val="134"/>
      </rPr>
      <t>,</t>
    </r>
    <r>
      <rPr>
        <sz val="9"/>
        <color rgb="FF000000"/>
        <rFont val="楷体"/>
        <charset val="134"/>
      </rPr>
      <t>嘉御资本</t>
    </r>
    <r>
      <rPr>
        <sz val="9"/>
        <color rgb="FF000000"/>
        <rFont val="Arial"/>
        <charset val="134"/>
      </rPr>
      <t>,</t>
    </r>
    <r>
      <rPr>
        <sz val="9"/>
        <color rgb="FF000000"/>
        <rFont val="楷体"/>
        <charset val="134"/>
      </rPr>
      <t>金浦投资</t>
    </r>
    <r>
      <rPr>
        <sz val="9"/>
        <color rgb="FF000000"/>
        <rFont val="Arial"/>
        <charset val="134"/>
      </rPr>
      <t>,</t>
    </r>
    <r>
      <rPr>
        <sz val="9"/>
        <color rgb="FF000000"/>
        <rFont val="楷体"/>
        <charset val="134"/>
      </rPr>
      <t>沃赋资本</t>
    </r>
    <r>
      <rPr>
        <sz val="9"/>
        <color rgb="FF000000"/>
        <rFont val="Arial"/>
        <charset val="134"/>
      </rPr>
      <t>,</t>
    </r>
    <r>
      <rPr>
        <sz val="9"/>
        <color rgb="FF000000"/>
        <rFont val="楷体"/>
        <charset val="134"/>
      </rPr>
      <t>复星创富</t>
    </r>
    <r>
      <rPr>
        <sz val="9"/>
        <color rgb="FF000000"/>
        <rFont val="Arial"/>
        <charset val="134"/>
      </rPr>
      <t>,</t>
    </r>
    <r>
      <rPr>
        <sz val="9"/>
        <color rgb="FF000000"/>
        <rFont val="楷体"/>
        <charset val="134"/>
      </rPr>
      <t>高瓴创投</t>
    </r>
    <r>
      <rPr>
        <sz val="9"/>
        <color rgb="FF000000"/>
        <rFont val="Arial"/>
        <charset val="134"/>
      </rPr>
      <t>,</t>
    </r>
    <r>
      <rPr>
        <sz val="9"/>
        <color rgb="FF000000"/>
        <rFont val="楷体"/>
        <charset val="134"/>
      </rPr>
      <t>华金投资</t>
    </r>
  </si>
  <si>
    <r>
      <rPr>
        <sz val="9"/>
        <color rgb="FF000000"/>
        <rFont val="楷体"/>
        <charset val="134"/>
      </rPr>
      <t>鼎晖投资</t>
    </r>
    <r>
      <rPr>
        <sz val="9"/>
        <color rgb="FF000000"/>
        <rFont val="Arial"/>
        <charset val="134"/>
      </rPr>
      <t>,</t>
    </r>
    <r>
      <rPr>
        <sz val="9"/>
        <color rgb="FF000000"/>
        <rFont val="楷体"/>
        <charset val="134"/>
      </rPr>
      <t>华登国际</t>
    </r>
    <r>
      <rPr>
        <sz val="9"/>
        <color rgb="FF000000"/>
        <rFont val="Arial"/>
        <charset val="134"/>
      </rPr>
      <t>,</t>
    </r>
    <r>
      <rPr>
        <sz val="9"/>
        <color rgb="FF000000"/>
        <rFont val="楷体"/>
        <charset val="134"/>
      </rPr>
      <t>高瓴创投</t>
    </r>
  </si>
  <si>
    <r>
      <rPr>
        <sz val="9"/>
        <color rgb="FF000000"/>
        <rFont val="楷体"/>
        <charset val="134"/>
      </rPr>
      <t>北京智谱华章科技有限公司</t>
    </r>
  </si>
  <si>
    <r>
      <rPr>
        <sz val="9"/>
        <color rgb="FF000000"/>
        <rFont val="楷体"/>
        <charset val="134"/>
      </rPr>
      <t>北京市海淀区中关村东路</t>
    </r>
    <r>
      <rPr>
        <sz val="9"/>
        <color rgb="FF000000"/>
        <rFont val="Arial"/>
        <charset val="134"/>
      </rPr>
      <t>1</t>
    </r>
    <r>
      <rPr>
        <sz val="9"/>
        <color rgb="FF000000"/>
        <rFont val="楷体"/>
        <charset val="134"/>
      </rPr>
      <t>号院</t>
    </r>
    <r>
      <rPr>
        <sz val="9"/>
        <color rgb="FF000000"/>
        <rFont val="Arial"/>
        <charset val="134"/>
      </rPr>
      <t>9</t>
    </r>
    <r>
      <rPr>
        <sz val="9"/>
        <color rgb="FF000000"/>
        <rFont val="楷体"/>
        <charset val="134"/>
      </rPr>
      <t>号楼</t>
    </r>
    <r>
      <rPr>
        <sz val="9"/>
        <color rgb="FF000000"/>
        <rFont val="Arial"/>
        <charset val="134"/>
      </rPr>
      <t>10</t>
    </r>
    <r>
      <rPr>
        <sz val="9"/>
        <color rgb="FF000000"/>
        <rFont val="楷体"/>
        <charset val="134"/>
      </rPr>
      <t>层</t>
    </r>
  </si>
  <si>
    <r>
      <rPr>
        <sz val="9"/>
        <color rgb="FF000000"/>
        <rFont val="楷体"/>
        <charset val="134"/>
      </rPr>
      <t>君联资本</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华控基金</t>
    </r>
  </si>
  <si>
    <r>
      <rPr>
        <sz val="9"/>
        <color rgb="FF000000"/>
        <rFont val="楷体"/>
        <charset val="134"/>
      </rPr>
      <t>达晨财智</t>
    </r>
    <r>
      <rPr>
        <sz val="9"/>
        <color rgb="FF000000"/>
        <rFont val="Arial"/>
        <charset val="134"/>
      </rPr>
      <t>,</t>
    </r>
    <r>
      <rPr>
        <sz val="9"/>
        <color rgb="FF000000"/>
        <rFont val="楷体"/>
        <charset val="134"/>
      </rPr>
      <t>华控基金</t>
    </r>
    <r>
      <rPr>
        <sz val="9"/>
        <color rgb="FF000000"/>
        <rFont val="Arial"/>
        <charset val="134"/>
      </rPr>
      <t>,</t>
    </r>
    <r>
      <rPr>
        <sz val="9"/>
        <color rgb="FF000000"/>
        <rFont val="楷体"/>
        <charset val="134"/>
      </rPr>
      <t>图灵创投</t>
    </r>
    <r>
      <rPr>
        <sz val="9"/>
        <color rgb="FF000000"/>
        <rFont val="Arial"/>
        <charset val="134"/>
      </rPr>
      <t>,</t>
    </r>
    <r>
      <rPr>
        <sz val="9"/>
        <color rgb="FF000000"/>
        <rFont val="楷体"/>
        <charset val="134"/>
      </rPr>
      <t>将门创投</t>
    </r>
    <r>
      <rPr>
        <sz val="9"/>
        <color rgb="FF000000"/>
        <rFont val="Arial"/>
        <charset val="134"/>
      </rPr>
      <t>,</t>
    </r>
    <r>
      <rPr>
        <sz val="9"/>
        <color rgb="FF000000"/>
        <rFont val="楷体"/>
        <charset val="134"/>
      </rPr>
      <t>凌云光</t>
    </r>
    <r>
      <rPr>
        <sz val="9"/>
        <color rgb="FF000000"/>
        <rFont val="Arial"/>
        <charset val="134"/>
      </rPr>
      <t>,</t>
    </r>
    <r>
      <rPr>
        <sz val="9"/>
        <color rgb="FF000000"/>
        <rFont val="楷体"/>
        <charset val="134"/>
      </rPr>
      <t>北京达凡</t>
    </r>
    <r>
      <rPr>
        <sz val="9"/>
        <color rgb="FF000000"/>
        <rFont val="Arial"/>
        <charset val="134"/>
      </rPr>
      <t>,</t>
    </r>
    <r>
      <rPr>
        <sz val="9"/>
        <color rgb="FF000000"/>
        <rFont val="楷体"/>
        <charset val="134"/>
      </rPr>
      <t>通智投资</t>
    </r>
    <r>
      <rPr>
        <sz val="9"/>
        <color rgb="FF000000"/>
        <rFont val="Arial"/>
        <charset val="134"/>
      </rPr>
      <t>,</t>
    </r>
    <r>
      <rPr>
        <sz val="9"/>
        <color rgb="FF000000"/>
        <rFont val="楷体"/>
        <charset val="134"/>
      </rPr>
      <t>枣庄通智</t>
    </r>
    <r>
      <rPr>
        <sz val="9"/>
        <color rgb="FF000000"/>
        <rFont val="Arial"/>
        <charset val="134"/>
      </rPr>
      <t>,</t>
    </r>
    <r>
      <rPr>
        <sz val="9"/>
        <color rgb="FF000000"/>
        <rFont val="楷体"/>
        <charset val="134"/>
      </rPr>
      <t>荣品投资</t>
    </r>
  </si>
  <si>
    <r>
      <rPr>
        <sz val="9"/>
        <color rgb="FF000000"/>
        <rFont val="楷体"/>
        <charset val="134"/>
      </rPr>
      <t>清华控股</t>
    </r>
    <r>
      <rPr>
        <sz val="9"/>
        <color rgb="FF000000"/>
        <rFont val="Arial"/>
        <charset val="134"/>
      </rPr>
      <t>,</t>
    </r>
    <r>
      <rPr>
        <sz val="9"/>
        <color rgb="FF000000"/>
        <rFont val="楷体"/>
        <charset val="134"/>
      </rPr>
      <t>中科创星</t>
    </r>
    <r>
      <rPr>
        <sz val="9"/>
        <color rgb="FF000000"/>
        <rFont val="Arial"/>
        <charset val="134"/>
      </rPr>
      <t>,</t>
    </r>
    <r>
      <rPr>
        <sz val="9"/>
        <color rgb="FF000000"/>
        <rFont val="楷体"/>
        <charset val="134"/>
      </rPr>
      <t>清华产业基金</t>
    </r>
  </si>
  <si>
    <r>
      <rPr>
        <sz val="9"/>
        <color rgb="FF000000"/>
        <rFont val="楷体"/>
        <charset val="134"/>
      </rPr>
      <t>荣芯半导体</t>
    </r>
  </si>
  <si>
    <r>
      <rPr>
        <sz val="9"/>
        <color rgb="FF000000"/>
        <rFont val="楷体"/>
        <charset val="134"/>
      </rPr>
      <t>荣芯半导体是一家致力于成熟制程特色工艺的集成电路制造企业，聚焦产品于图像传感器、显示驱动、功率器件、电源管理、代码型闪存等，着重成熟制程特色工艺，为中国半导体行业提供优秀的技术开发能力和</t>
    </r>
    <r>
      <rPr>
        <sz val="9"/>
        <color rgb="FF000000"/>
        <rFont val="Arial"/>
        <charset val="134"/>
      </rPr>
      <t>12</t>
    </r>
    <r>
      <rPr>
        <sz val="9"/>
        <color rgb="FF000000"/>
        <rFont val="楷体"/>
        <charset val="134"/>
      </rPr>
      <t>寸晶圆制造产能。</t>
    </r>
  </si>
  <si>
    <r>
      <rPr>
        <sz val="9"/>
        <color rgb="FF000000"/>
        <rFont val="楷体"/>
        <charset val="134"/>
      </rPr>
      <t>荣芯半导体（宁波）有限公司</t>
    </r>
  </si>
  <si>
    <r>
      <rPr>
        <sz val="9"/>
        <color rgb="FF000000"/>
        <rFont val="楷体"/>
        <charset val="134"/>
      </rPr>
      <t>浙江</t>
    </r>
    <r>
      <rPr>
        <sz val="9"/>
        <color rgb="FF000000"/>
        <rFont val="Arial"/>
        <charset val="134"/>
      </rPr>
      <t>-</t>
    </r>
    <r>
      <rPr>
        <sz val="9"/>
        <color rgb="FF000000"/>
        <rFont val="楷体"/>
        <charset val="134"/>
      </rPr>
      <t>宁波</t>
    </r>
  </si>
  <si>
    <r>
      <rPr>
        <sz val="9"/>
        <color rgb="FF000000"/>
        <rFont val="楷体"/>
        <charset val="134"/>
      </rPr>
      <t>华勤技术</t>
    </r>
  </si>
  <si>
    <r>
      <rPr>
        <sz val="9"/>
        <color rgb="FF000000"/>
        <rFont val="楷体"/>
        <charset val="134"/>
      </rPr>
      <t>浙江省宁波市北仑区柴桥街道金水桥路</t>
    </r>
    <r>
      <rPr>
        <sz val="9"/>
        <color rgb="FF000000"/>
        <rFont val="Arial"/>
        <charset val="134"/>
      </rPr>
      <t>28</t>
    </r>
    <r>
      <rPr>
        <sz val="9"/>
        <color rgb="FF000000"/>
        <rFont val="楷体"/>
        <charset val="134"/>
      </rPr>
      <t>号</t>
    </r>
    <r>
      <rPr>
        <sz val="9"/>
        <color rgb="FF000000"/>
        <rFont val="Arial"/>
        <charset val="134"/>
      </rPr>
      <t>4</t>
    </r>
    <r>
      <rPr>
        <sz val="9"/>
        <color rgb="FF000000"/>
        <rFont val="楷体"/>
        <charset val="134"/>
      </rPr>
      <t>幢</t>
    </r>
    <r>
      <rPr>
        <sz val="9"/>
        <color rgb="FF000000"/>
        <rFont val="Arial"/>
        <charset val="134"/>
      </rPr>
      <t>1</t>
    </r>
    <r>
      <rPr>
        <sz val="9"/>
        <color rgb="FF000000"/>
        <rFont val="楷体"/>
        <charset val="134"/>
      </rPr>
      <t>号</t>
    </r>
    <r>
      <rPr>
        <sz val="9"/>
        <color rgb="FF000000"/>
        <rFont val="Arial"/>
        <charset val="134"/>
      </rPr>
      <t>1</t>
    </r>
    <r>
      <rPr>
        <sz val="9"/>
        <color rgb="FF000000"/>
        <rFont val="楷体"/>
        <charset val="134"/>
      </rPr>
      <t>层</t>
    </r>
    <r>
      <rPr>
        <sz val="9"/>
        <color rgb="FF000000"/>
        <rFont val="Arial"/>
        <charset val="134"/>
      </rPr>
      <t>-1</t>
    </r>
  </si>
  <si>
    <r>
      <rPr>
        <sz val="9"/>
        <color rgb="FF000000"/>
        <rFont val="楷体"/>
        <charset val="134"/>
      </rPr>
      <t>韦豪创芯</t>
    </r>
  </si>
  <si>
    <r>
      <rPr>
        <sz val="9"/>
        <color rgb="FF000000"/>
        <rFont val="楷体"/>
        <charset val="134"/>
      </rPr>
      <t>元禾控股</t>
    </r>
    <r>
      <rPr>
        <sz val="9"/>
        <color rgb="FF000000"/>
        <rFont val="Arial"/>
        <charset val="134"/>
      </rPr>
      <t>,</t>
    </r>
    <r>
      <rPr>
        <sz val="9"/>
        <color rgb="FF000000"/>
        <rFont val="楷体"/>
        <charset val="134"/>
      </rPr>
      <t>盈富泰克</t>
    </r>
    <r>
      <rPr>
        <sz val="9"/>
        <color rgb="FF000000"/>
        <rFont val="Arial"/>
        <charset val="134"/>
      </rPr>
      <t>,</t>
    </r>
    <r>
      <rPr>
        <sz val="9"/>
        <color rgb="FF000000"/>
        <rFont val="楷体"/>
        <charset val="134"/>
      </rPr>
      <t>泰达科投</t>
    </r>
  </si>
  <si>
    <r>
      <rPr>
        <sz val="9"/>
        <color rgb="FF000000"/>
        <rFont val="楷体"/>
        <charset val="134"/>
      </rPr>
      <t>欣旺达动力</t>
    </r>
    <r>
      <rPr>
        <sz val="9"/>
        <color rgb="FF000000"/>
        <rFont val="Arial"/>
        <charset val="134"/>
      </rPr>
      <t>EVB</t>
    </r>
  </si>
  <si>
    <r>
      <rPr>
        <sz val="9"/>
        <color rgb="FF000000"/>
        <rFont val="楷体"/>
        <charset val="134"/>
      </rPr>
      <t>欣旺达动力</t>
    </r>
    <r>
      <rPr>
        <sz val="9"/>
        <color rgb="FF000000"/>
        <rFont val="Arial"/>
        <charset val="134"/>
      </rPr>
      <t>EVB</t>
    </r>
    <r>
      <rPr>
        <sz val="9"/>
        <color rgb="FF000000"/>
        <rFont val="楷体"/>
        <charset val="134"/>
      </rPr>
      <t>是欣旺达电子股份有限公司子公司。致力于通过先进的锂电池集成技术，为中国乃至全球新能源车企提供电动汽车电池包解决方案。建立了电动汽车电池包领域完整的研发、制造能力，拥有完全自主知识产权的电池管理系统（</t>
    </r>
    <r>
      <rPr>
        <sz val="9"/>
        <color rgb="FF000000"/>
        <rFont val="Arial"/>
        <charset val="134"/>
      </rPr>
      <t>BMS</t>
    </r>
    <r>
      <rPr>
        <sz val="9"/>
        <color rgb="FF000000"/>
        <rFont val="楷体"/>
        <charset val="134"/>
      </rPr>
      <t>），高度自动化电芯分选、模组成组和电池包装配全自动化生产线。与众多知名汽车厂商建立了深度合作关系，为海内外整车纯电动</t>
    </r>
    <r>
      <rPr>
        <sz val="9"/>
        <color rgb="FF000000"/>
        <rFont val="Arial"/>
        <charset val="134"/>
      </rPr>
      <t>/</t>
    </r>
    <r>
      <rPr>
        <sz val="9"/>
        <color rgb="FF000000"/>
        <rFont val="楷体"/>
        <charset val="134"/>
      </rPr>
      <t>混动电池系统的研发及制造提供了整套解决方案。</t>
    </r>
  </si>
  <si>
    <r>
      <rPr>
        <sz val="9"/>
        <color rgb="FF000000"/>
        <rFont val="楷体"/>
        <charset val="134"/>
      </rPr>
      <t>欣旺达动力科技股份有限公司</t>
    </r>
  </si>
  <si>
    <r>
      <rPr>
        <sz val="9"/>
        <color rgb="FF000000"/>
        <rFont val="楷体"/>
        <charset val="134"/>
      </rPr>
      <t>新能源</t>
    </r>
  </si>
  <si>
    <r>
      <t>16.5</t>
    </r>
    <r>
      <rPr>
        <sz val="9"/>
        <color rgb="FF000000"/>
        <rFont val="楷体"/>
        <charset val="134"/>
      </rPr>
      <t>亿人民币</t>
    </r>
  </si>
  <si>
    <r>
      <rPr>
        <sz val="9"/>
        <color rgb="FF000000"/>
        <rFont val="楷体"/>
        <charset val="134"/>
      </rPr>
      <t>国寿股权</t>
    </r>
    <r>
      <rPr>
        <sz val="9"/>
        <color rgb="FF000000"/>
        <rFont val="Arial"/>
        <charset val="134"/>
      </rPr>
      <t>,</t>
    </r>
    <r>
      <rPr>
        <sz val="9"/>
        <color rgb="FF000000"/>
        <rFont val="楷体"/>
        <charset val="134"/>
      </rPr>
      <t>中银投资</t>
    </r>
    <r>
      <rPr>
        <sz val="9"/>
        <color rgb="FF000000"/>
        <rFont val="Arial"/>
        <charset val="134"/>
      </rPr>
      <t>,</t>
    </r>
    <r>
      <rPr>
        <sz val="9"/>
        <color rgb="FF000000"/>
        <rFont val="楷体"/>
        <charset val="134"/>
      </rPr>
      <t>建信投资</t>
    </r>
    <r>
      <rPr>
        <sz val="9"/>
        <color rgb="FF000000"/>
        <rFont val="Arial"/>
        <charset val="134"/>
      </rPr>
      <t>,</t>
    </r>
    <r>
      <rPr>
        <sz val="9"/>
        <color rgb="FF000000"/>
        <rFont val="楷体"/>
        <charset val="134"/>
      </rPr>
      <t>华泰保险</t>
    </r>
    <r>
      <rPr>
        <sz val="9"/>
        <color rgb="FF000000"/>
        <rFont val="Arial"/>
        <charset val="134"/>
      </rPr>
      <t>,</t>
    </r>
    <r>
      <rPr>
        <sz val="9"/>
        <color rgb="FF000000"/>
        <rFont val="楷体"/>
        <charset val="134"/>
      </rPr>
      <t>中国石化</t>
    </r>
    <r>
      <rPr>
        <sz val="9"/>
        <color rgb="FF000000"/>
        <rFont val="Arial"/>
        <charset val="134"/>
      </rPr>
      <t>,</t>
    </r>
    <r>
      <rPr>
        <sz val="9"/>
        <color rgb="FF000000"/>
        <rFont val="楷体"/>
        <charset val="134"/>
      </rPr>
      <t>建信股权</t>
    </r>
    <r>
      <rPr>
        <sz val="9"/>
        <color rgb="FF000000"/>
        <rFont val="Arial"/>
        <charset val="134"/>
      </rPr>
      <t>,</t>
    </r>
    <r>
      <rPr>
        <sz val="9"/>
        <color rgb="FF000000"/>
        <rFont val="楷体"/>
        <charset val="134"/>
      </rPr>
      <t>重庆制造</t>
    </r>
    <r>
      <rPr>
        <sz val="9"/>
        <color rgb="FF000000"/>
        <rFont val="Arial"/>
        <charset val="134"/>
      </rPr>
      <t>,</t>
    </r>
    <r>
      <rPr>
        <sz val="9"/>
        <color rgb="FF000000"/>
        <rFont val="楷体"/>
        <charset val="134"/>
      </rPr>
      <t>华淳保信</t>
    </r>
  </si>
  <si>
    <r>
      <t>113.7</t>
    </r>
    <r>
      <rPr>
        <sz val="9"/>
        <color rgb="FF000000"/>
        <rFont val="楷体"/>
        <charset val="134"/>
      </rPr>
      <t>亿</t>
    </r>
  </si>
  <si>
    <r>
      <t>355.6</t>
    </r>
    <r>
      <rPr>
        <sz val="9"/>
        <color rgb="FF000000"/>
        <rFont val="楷体"/>
        <charset val="134"/>
      </rPr>
      <t>亿元</t>
    </r>
  </si>
  <si>
    <r>
      <rPr>
        <sz val="9"/>
        <color rgb="FF000000"/>
        <rFont val="楷体"/>
        <charset val="134"/>
      </rPr>
      <t>王明旺</t>
    </r>
    <r>
      <rPr>
        <sz val="9"/>
        <color rgb="FF000000"/>
        <rFont val="Arial"/>
        <charset val="134"/>
      </rPr>
      <t>:</t>
    </r>
    <r>
      <rPr>
        <sz val="9"/>
        <color rgb="FF000000"/>
        <rFont val="楷体"/>
        <charset val="134"/>
      </rPr>
      <t>董事长</t>
    </r>
  </si>
  <si>
    <r>
      <rPr>
        <sz val="9"/>
        <color rgb="FF000000"/>
        <rFont val="楷体"/>
        <charset val="134"/>
      </rPr>
      <t>深圳市宝安区石岩街道石龙社区颐和路</t>
    </r>
    <r>
      <rPr>
        <sz val="9"/>
        <color rgb="FF000000"/>
        <rFont val="Arial"/>
        <charset val="134"/>
      </rPr>
      <t>2</t>
    </r>
    <r>
      <rPr>
        <sz val="9"/>
        <color rgb="FF000000"/>
        <rFont val="楷体"/>
        <charset val="134"/>
      </rPr>
      <t>号</t>
    </r>
  </si>
  <si>
    <r>
      <rPr>
        <sz val="9"/>
        <color rgb="FF000000"/>
        <rFont val="楷体"/>
        <charset val="134"/>
      </rPr>
      <t>交银国际</t>
    </r>
  </si>
  <si>
    <r>
      <t>24.3</t>
    </r>
    <r>
      <rPr>
        <sz val="9"/>
        <color rgb="FF000000"/>
        <rFont val="楷体"/>
        <charset val="134"/>
      </rPr>
      <t>亿人民币</t>
    </r>
  </si>
  <si>
    <r>
      <t>IDG</t>
    </r>
    <r>
      <rPr>
        <sz val="9"/>
        <color rgb="FF000000"/>
        <rFont val="楷体"/>
        <charset val="134"/>
      </rPr>
      <t>资本</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广汽集团</t>
    </r>
    <r>
      <rPr>
        <sz val="9"/>
        <color rgb="FF000000"/>
        <rFont val="Arial"/>
        <charset val="134"/>
      </rPr>
      <t>,</t>
    </r>
    <r>
      <rPr>
        <sz val="9"/>
        <color rgb="FF000000"/>
        <rFont val="楷体"/>
        <charset val="134"/>
      </rPr>
      <t>尚颀资本</t>
    </r>
    <r>
      <rPr>
        <sz val="9"/>
        <color rgb="FF000000"/>
        <rFont val="Arial"/>
        <charset val="134"/>
      </rPr>
      <t>,</t>
    </r>
    <r>
      <rPr>
        <sz val="9"/>
        <color rgb="FF000000"/>
        <rFont val="楷体"/>
        <charset val="134"/>
      </rPr>
      <t>天壹资本</t>
    </r>
    <r>
      <rPr>
        <sz val="9"/>
        <color rgb="FF000000"/>
        <rFont val="Arial"/>
        <charset val="134"/>
      </rPr>
      <t>,OPPO,</t>
    </r>
    <r>
      <rPr>
        <sz val="9"/>
        <color rgb="FF000000"/>
        <rFont val="楷体"/>
        <charset val="134"/>
      </rPr>
      <t>华金资本</t>
    </r>
    <r>
      <rPr>
        <sz val="9"/>
        <color rgb="FF000000"/>
        <rFont val="Arial"/>
        <charset val="134"/>
      </rPr>
      <t>(</t>
    </r>
    <r>
      <rPr>
        <sz val="9"/>
        <color rgb="FF000000"/>
        <rFont val="楷体"/>
        <charset val="134"/>
      </rPr>
      <t>力合股份</t>
    </r>
    <r>
      <rPr>
        <sz val="9"/>
        <color rgb="FF000000"/>
        <rFont val="Arial"/>
        <charset val="134"/>
      </rPr>
      <t>),</t>
    </r>
    <r>
      <rPr>
        <sz val="9"/>
        <color rgb="FF000000"/>
        <rFont val="楷体"/>
        <charset val="134"/>
      </rPr>
      <t>蔚来资本</t>
    </r>
    <r>
      <rPr>
        <sz val="9"/>
        <color rgb="FF000000"/>
        <rFont val="Arial"/>
        <charset val="134"/>
      </rPr>
      <t>,</t>
    </r>
    <r>
      <rPr>
        <sz val="9"/>
        <color rgb="FF000000"/>
        <rFont val="楷体"/>
        <charset val="134"/>
      </rPr>
      <t>粤民投</t>
    </r>
    <r>
      <rPr>
        <sz val="9"/>
        <color rgb="FF000000"/>
        <rFont val="Arial"/>
        <charset val="134"/>
      </rPr>
      <t>,</t>
    </r>
    <r>
      <rPr>
        <sz val="9"/>
        <color rgb="FF000000"/>
        <rFont val="楷体"/>
        <charset val="134"/>
      </rPr>
      <t>碧桂园创投</t>
    </r>
    <r>
      <rPr>
        <sz val="9"/>
        <color rgb="FF000000"/>
        <rFont val="Arial"/>
        <charset val="134"/>
      </rPr>
      <t>,</t>
    </r>
    <r>
      <rPr>
        <sz val="9"/>
        <color rgb="FF000000"/>
        <rFont val="楷体"/>
        <charset val="134"/>
      </rPr>
      <t>恒旭资本</t>
    </r>
    <r>
      <rPr>
        <sz val="9"/>
        <color rgb="FF000000"/>
        <rFont val="Arial"/>
        <charset val="134"/>
      </rPr>
      <t>,</t>
    </r>
    <r>
      <rPr>
        <sz val="9"/>
        <color rgb="FF000000"/>
        <rFont val="楷体"/>
        <charset val="134"/>
      </rPr>
      <t>理想汽车</t>
    </r>
    <r>
      <rPr>
        <sz val="9"/>
        <color rgb="FF000000"/>
        <rFont val="Arial"/>
        <charset val="134"/>
      </rPr>
      <t>,</t>
    </r>
    <r>
      <rPr>
        <sz val="9"/>
        <color rgb="FF000000"/>
        <rFont val="楷体"/>
        <charset val="134"/>
      </rPr>
      <t>小鹏汽车</t>
    </r>
    <r>
      <rPr>
        <sz val="9"/>
        <color rgb="FF000000"/>
        <rFont val="Arial"/>
        <charset val="134"/>
      </rPr>
      <t>,</t>
    </r>
    <r>
      <rPr>
        <sz val="9"/>
        <color rgb="FF000000"/>
        <rFont val="楷体"/>
        <charset val="134"/>
      </rPr>
      <t>华友控股</t>
    </r>
    <r>
      <rPr>
        <sz val="9"/>
        <color rgb="FF000000"/>
        <rFont val="Arial"/>
        <charset val="134"/>
      </rPr>
      <t>,</t>
    </r>
    <r>
      <rPr>
        <sz val="9"/>
        <color rgb="FF000000"/>
        <rFont val="楷体"/>
        <charset val="134"/>
      </rPr>
      <t>鑫旺绿色新能源投资</t>
    </r>
    <r>
      <rPr>
        <sz val="9"/>
        <color rgb="FF000000"/>
        <rFont val="Arial"/>
        <charset val="134"/>
      </rPr>
      <t>,</t>
    </r>
    <r>
      <rPr>
        <sz val="9"/>
        <color rgb="FF000000"/>
        <rFont val="楷体"/>
        <charset val="134"/>
      </rPr>
      <t>东风资产</t>
    </r>
    <r>
      <rPr>
        <sz val="9"/>
        <color rgb="FF000000"/>
        <rFont val="Arial"/>
        <charset val="134"/>
      </rPr>
      <t>,</t>
    </r>
    <r>
      <rPr>
        <sz val="9"/>
        <color rgb="FF000000"/>
        <rFont val="楷体"/>
        <charset val="134"/>
      </rPr>
      <t>东风交银汽车基金</t>
    </r>
  </si>
  <si>
    <r>
      <rPr>
        <sz val="9"/>
        <color rgb="FF000000"/>
        <rFont val="楷体"/>
        <charset val="134"/>
      </rPr>
      <t>超钠新能源</t>
    </r>
  </si>
  <si>
    <r>
      <rPr>
        <sz val="9"/>
        <color rgb="FF000000"/>
        <rFont val="楷体"/>
        <charset val="134"/>
      </rPr>
      <t>超钠新能源是一家钠离子电池关键材料研发商，专注于新一代储能体系</t>
    </r>
    <r>
      <rPr>
        <sz val="9"/>
        <color rgb="FF000000"/>
        <rFont val="Arial"/>
        <charset val="134"/>
      </rPr>
      <t>-</t>
    </r>
    <r>
      <rPr>
        <sz val="9"/>
        <color rgb="FF000000"/>
        <rFont val="楷体"/>
        <charset val="134"/>
      </rPr>
      <t>钠离子电池关键材料及电池研发与生产。公司自主研发钠离子电池的关键材料，聚焦低成本、长寿命、高安全、高能量密度的钠离子电池产品，可应用于覆盖低速电动车、规模储能、电动汽车、国家安全等领域。</t>
    </r>
  </si>
  <si>
    <r>
      <rPr>
        <sz val="9"/>
        <color rgb="FF000000"/>
        <rFont val="楷体"/>
        <charset val="134"/>
      </rPr>
      <t>湖州超钠新能源科技有限公司</t>
    </r>
  </si>
  <si>
    <r>
      <rPr>
        <sz val="9"/>
        <color rgb="FF000000"/>
        <rFont val="楷体"/>
        <charset val="134"/>
      </rPr>
      <t>浙江</t>
    </r>
    <r>
      <rPr>
        <sz val="9"/>
        <color rgb="FF000000"/>
        <rFont val="Arial"/>
        <charset val="134"/>
      </rPr>
      <t>-</t>
    </r>
    <r>
      <rPr>
        <sz val="9"/>
        <color rgb="FF000000"/>
        <rFont val="楷体"/>
        <charset val="134"/>
      </rPr>
      <t>湖州</t>
    </r>
  </si>
  <si>
    <r>
      <rPr>
        <sz val="9"/>
        <color rgb="FF000000"/>
        <rFont val="楷体"/>
        <charset val="134"/>
      </rPr>
      <t>融和九智基金</t>
    </r>
    <r>
      <rPr>
        <sz val="9"/>
        <color rgb="FF000000"/>
        <rFont val="Arial"/>
        <charset val="134"/>
      </rPr>
      <t>,</t>
    </r>
    <r>
      <rPr>
        <sz val="9"/>
        <color rgb="FF000000"/>
        <rFont val="楷体"/>
        <charset val="134"/>
      </rPr>
      <t>中欣智汇基</t>
    </r>
    <r>
      <rPr>
        <sz val="9"/>
        <color rgb="FF000000"/>
        <rFont val="Arial"/>
        <charset val="134"/>
      </rPr>
      <t>,</t>
    </r>
    <r>
      <rPr>
        <sz val="9"/>
        <color rgb="FF000000"/>
        <rFont val="楷体"/>
        <charset val="134"/>
      </rPr>
      <t>禹泉资本</t>
    </r>
  </si>
  <si>
    <r>
      <t>1.21</t>
    </r>
    <r>
      <rPr>
        <sz val="9"/>
        <color rgb="FF000000"/>
        <rFont val="楷体"/>
        <charset val="134"/>
      </rPr>
      <t>亿</t>
    </r>
  </si>
  <si>
    <r>
      <rPr>
        <sz val="9"/>
        <color rgb="FF000000"/>
        <rFont val="楷体"/>
        <charset val="134"/>
      </rPr>
      <t>姜银珠</t>
    </r>
    <r>
      <rPr>
        <sz val="9"/>
        <color rgb="FF000000"/>
        <rFont val="Arial"/>
        <charset val="134"/>
      </rPr>
      <t>:</t>
    </r>
    <r>
      <rPr>
        <sz val="9"/>
        <color rgb="FF000000"/>
        <rFont val="楷体"/>
        <charset val="134"/>
      </rPr>
      <t>董事长</t>
    </r>
  </si>
  <si>
    <r>
      <rPr>
        <sz val="9"/>
        <color rgb="FF000000"/>
        <rFont val="楷体"/>
        <charset val="134"/>
      </rPr>
      <t>浙江省湖州市龙溪街道西塞山路</t>
    </r>
    <r>
      <rPr>
        <sz val="9"/>
        <color rgb="FF000000"/>
        <rFont val="Arial"/>
        <charset val="134"/>
      </rPr>
      <t>819</t>
    </r>
    <r>
      <rPr>
        <sz val="9"/>
        <color rgb="FF000000"/>
        <rFont val="楷体"/>
        <charset val="134"/>
      </rPr>
      <t>号成业智能中心</t>
    </r>
    <r>
      <rPr>
        <sz val="9"/>
        <color rgb="FF000000"/>
        <rFont val="Arial"/>
        <charset val="134"/>
      </rPr>
      <t>B2</t>
    </r>
    <r>
      <rPr>
        <sz val="9"/>
        <color rgb="FF000000"/>
        <rFont val="楷体"/>
        <charset val="134"/>
      </rPr>
      <t>幢</t>
    </r>
    <r>
      <rPr>
        <sz val="9"/>
        <color rgb="FF000000"/>
        <rFont val="Arial"/>
        <charset val="134"/>
      </rPr>
      <t>4</t>
    </r>
    <r>
      <rPr>
        <sz val="9"/>
        <color rgb="FF000000"/>
        <rFont val="楷体"/>
        <charset val="134"/>
      </rPr>
      <t>层</t>
    </r>
    <r>
      <rPr>
        <sz val="9"/>
        <color rgb="FF000000"/>
        <rFont val="Arial"/>
        <charset val="134"/>
      </rPr>
      <t>408-8</t>
    </r>
    <r>
      <rPr>
        <sz val="9"/>
        <color rgb="FF000000"/>
        <rFont val="楷体"/>
        <charset val="134"/>
      </rPr>
      <t>室</t>
    </r>
  </si>
  <si>
    <r>
      <rPr>
        <sz val="9"/>
        <color rgb="FF000000"/>
        <rFont val="楷体"/>
        <charset val="134"/>
      </rPr>
      <t>中赢投资</t>
    </r>
    <r>
      <rPr>
        <sz val="9"/>
        <color rgb="FF000000"/>
        <rFont val="Arial"/>
        <charset val="134"/>
      </rPr>
      <t>,</t>
    </r>
    <r>
      <rPr>
        <sz val="9"/>
        <color rgb="FF000000"/>
        <rFont val="楷体"/>
        <charset val="134"/>
      </rPr>
      <t>陶春风</t>
    </r>
    <r>
      <rPr>
        <sz val="9"/>
        <color rgb="FF000000"/>
        <rFont val="Arial"/>
        <charset val="134"/>
      </rPr>
      <t>,</t>
    </r>
    <r>
      <rPr>
        <sz val="9"/>
        <color rgb="FF000000"/>
        <rFont val="楷体"/>
        <charset val="134"/>
      </rPr>
      <t>禹泉投资</t>
    </r>
  </si>
  <si>
    <r>
      <rPr>
        <sz val="9"/>
        <color rgb="FF000000"/>
        <rFont val="楷体"/>
        <charset val="134"/>
      </rPr>
      <t>美餐网</t>
    </r>
  </si>
  <si>
    <r>
      <rPr>
        <sz val="9"/>
        <color rgb="FF000000"/>
        <rFont val="楷体"/>
        <charset val="134"/>
      </rPr>
      <t>美餐是一家针对企业级的订餐服务平台。目前覆盖北京、上海、广州、深圳、成都等城市，为上千家企业客户员工提供在线订餐、商务用餐以及团队自助餐等服务。在此之前，主要提供外卖详细菜单及个人订餐、企业订餐等服务。</t>
    </r>
  </si>
  <si>
    <r>
      <rPr>
        <sz val="9"/>
        <color rgb="FF000000"/>
        <rFont val="楷体"/>
        <charset val="134"/>
      </rPr>
      <t>北京美餐巧达科技有限公司</t>
    </r>
  </si>
  <si>
    <r>
      <t>E+</t>
    </r>
    <r>
      <rPr>
        <sz val="9"/>
        <color rgb="FF000000"/>
        <rFont val="楷体"/>
        <charset val="134"/>
      </rPr>
      <t>轮</t>
    </r>
  </si>
  <si>
    <r>
      <rPr>
        <sz val="9"/>
        <color rgb="FF000000"/>
        <rFont val="楷体"/>
        <charset val="134"/>
      </rPr>
      <t>索迪斯</t>
    </r>
  </si>
  <si>
    <r>
      <t>27.97</t>
    </r>
    <r>
      <rPr>
        <sz val="9"/>
        <color rgb="FF000000"/>
        <rFont val="楷体"/>
        <charset val="134"/>
      </rPr>
      <t>亿</t>
    </r>
  </si>
  <si>
    <r>
      <t>84.5</t>
    </r>
    <r>
      <rPr>
        <sz val="9"/>
        <color rgb="FF000000"/>
        <rFont val="楷体"/>
        <charset val="134"/>
      </rPr>
      <t>亿元</t>
    </r>
  </si>
  <si>
    <r>
      <rPr>
        <sz val="9"/>
        <color rgb="FF000000"/>
        <rFont val="楷体"/>
        <charset val="134"/>
      </rPr>
      <t>赵骁</t>
    </r>
    <r>
      <rPr>
        <sz val="9"/>
        <color rgb="FF000000"/>
        <rFont val="Arial"/>
        <charset val="134"/>
      </rPr>
      <t>:</t>
    </r>
    <r>
      <rPr>
        <sz val="9"/>
        <color rgb="FF000000"/>
        <rFont val="楷体"/>
        <charset val="134"/>
      </rPr>
      <t>创始人</t>
    </r>
  </si>
  <si>
    <r>
      <rPr>
        <sz val="9"/>
        <color rgb="FF000000"/>
        <rFont val="楷体"/>
        <charset val="134"/>
      </rPr>
      <t>大钲资本</t>
    </r>
  </si>
  <si>
    <r>
      <rPr>
        <sz val="9"/>
        <color rgb="FF000000"/>
        <rFont val="楷体"/>
        <charset val="134"/>
      </rPr>
      <t>索迪斯集团</t>
    </r>
  </si>
  <si>
    <r>
      <rPr>
        <sz val="9"/>
        <color rgb="FF000000"/>
        <rFont val="楷体"/>
        <charset val="134"/>
      </rPr>
      <t>阳光保险</t>
    </r>
  </si>
  <si>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</si>
  <si>
    <r>
      <t>1.4</t>
    </r>
    <r>
      <rPr>
        <sz val="9"/>
        <color rgb="FF000000"/>
        <rFont val="楷体"/>
        <charset val="134"/>
      </rPr>
      <t>亿人民币</t>
    </r>
  </si>
  <si>
    <r>
      <t>KPCB</t>
    </r>
    <r>
      <rPr>
        <sz val="9"/>
        <color rgb="FF000000"/>
        <rFont val="楷体"/>
        <charset val="134"/>
      </rPr>
      <t>凯鹏华盈中国</t>
    </r>
    <r>
      <rPr>
        <sz val="9"/>
        <color rgb="FF000000"/>
        <rFont val="Arial"/>
        <charset val="134"/>
      </rPr>
      <t>,</t>
    </r>
    <r>
      <rPr>
        <sz val="9"/>
        <color rgb="FF000000"/>
        <rFont val="楷体"/>
        <charset val="134"/>
      </rPr>
      <t>挚信资本</t>
    </r>
    <r>
      <rPr>
        <sz val="9"/>
        <color rgb="FF000000"/>
        <rFont val="Arial"/>
        <charset val="134"/>
      </rPr>
      <t>,</t>
    </r>
    <r>
      <rPr>
        <sz val="9"/>
        <color rgb="FF000000"/>
        <rFont val="楷体"/>
        <charset val="134"/>
      </rPr>
      <t>诺基亚成长基金</t>
    </r>
    <r>
      <rPr>
        <sz val="9"/>
        <color rgb="FF000000"/>
        <rFont val="Arial"/>
        <charset val="134"/>
      </rPr>
      <t>,</t>
    </r>
    <r>
      <rPr>
        <sz val="9"/>
        <color rgb="FF000000"/>
        <rFont val="楷体"/>
        <charset val="134"/>
      </rPr>
      <t>大众点评网</t>
    </r>
  </si>
  <si>
    <r>
      <rPr>
        <sz val="9"/>
        <color rgb="FF000000"/>
        <rFont val="楷体"/>
        <charset val="134"/>
      </rPr>
      <t>挚信资本</t>
    </r>
  </si>
  <si>
    <r>
      <t>KPCB</t>
    </r>
    <r>
      <rPr>
        <sz val="9"/>
        <color rgb="FF000000"/>
        <rFont val="楷体"/>
        <charset val="134"/>
      </rPr>
      <t>凯鹏华盈中国</t>
    </r>
    <r>
      <rPr>
        <sz val="9"/>
        <color rgb="FF000000"/>
        <rFont val="Arial"/>
        <charset val="134"/>
      </rPr>
      <t>,</t>
    </r>
    <r>
      <rPr>
        <sz val="9"/>
        <color rgb="FF000000"/>
        <rFont val="楷体"/>
        <charset val="134"/>
      </rPr>
      <t>诺基亚成长基金</t>
    </r>
  </si>
  <si>
    <r>
      <t>KPCB</t>
    </r>
    <r>
      <rPr>
        <sz val="9"/>
        <color rgb="FF000000"/>
        <rFont val="楷体"/>
        <charset val="134"/>
      </rPr>
      <t>凯鹏华盈中国</t>
    </r>
  </si>
  <si>
    <r>
      <rPr>
        <sz val="9"/>
        <color rgb="FF000000"/>
        <rFont val="楷体"/>
        <charset val="134"/>
      </rPr>
      <t>真格基金</t>
    </r>
    <r>
      <rPr>
        <sz val="9"/>
        <color rgb="FF000000"/>
        <rFont val="Arial"/>
        <charset val="134"/>
      </rPr>
      <t>,</t>
    </r>
    <r>
      <rPr>
        <sz val="9"/>
        <color rgb="FF000000"/>
        <rFont val="楷体"/>
        <charset val="134"/>
      </rPr>
      <t>九合创投</t>
    </r>
    <r>
      <rPr>
        <sz val="9"/>
        <color rgb="FF000000"/>
        <rFont val="Arial"/>
        <charset val="134"/>
      </rPr>
      <t>,</t>
    </r>
    <r>
      <rPr>
        <sz val="9"/>
        <color rgb="FF000000"/>
        <rFont val="楷体"/>
        <charset val="134"/>
      </rPr>
      <t>徐小平</t>
    </r>
  </si>
  <si>
    <r>
      <rPr>
        <sz val="9"/>
        <color rgb="FF000000"/>
        <rFont val="楷体"/>
        <charset val="134"/>
      </rPr>
      <t>美味不用等</t>
    </r>
  </si>
  <si>
    <r>
      <rPr>
        <sz val="9"/>
        <color rgb="FF000000"/>
        <rFont val="楷体"/>
        <charset val="134"/>
      </rPr>
      <t>美味不用等是一家互联网餐厅整体解决方案提供商，通过排队等位、餐位预订、点菜收银、移动支付、会员管理等服务为商户提供互联网餐厅整体解决方案，帮助餐饮商户解决企业经营过程中遇到的效率、客流、资金、数据四大难题。</t>
    </r>
  </si>
  <si>
    <r>
      <rPr>
        <sz val="9"/>
        <color rgb="FF000000"/>
        <rFont val="楷体"/>
        <charset val="134"/>
      </rPr>
      <t>美味不用等（上海）信息科技股份有限公司</t>
    </r>
  </si>
  <si>
    <r>
      <rPr>
        <sz val="9"/>
        <color rgb="FF000000"/>
        <rFont val="楷体"/>
        <charset val="134"/>
      </rPr>
      <t>阿里巴巴</t>
    </r>
  </si>
  <si>
    <r>
      <t>13.53</t>
    </r>
    <r>
      <rPr>
        <sz val="9"/>
        <color rgb="FF000000"/>
        <rFont val="楷体"/>
        <charset val="134"/>
      </rPr>
      <t>亿</t>
    </r>
  </si>
  <si>
    <r>
      <rPr>
        <sz val="9"/>
        <color rgb="FF000000"/>
        <rFont val="楷体"/>
        <charset val="134"/>
      </rPr>
      <t>郑国春</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谢新法</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陆瑞豪</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杨佳佳</t>
    </r>
    <r>
      <rPr>
        <sz val="9"/>
        <color rgb="FF000000"/>
        <rFont val="Arial"/>
        <charset val="134"/>
      </rPr>
      <t>:</t>
    </r>
    <r>
      <rPr>
        <sz val="9"/>
        <color rgb="FF000000"/>
        <rFont val="楷体"/>
        <charset val="134"/>
      </rPr>
      <t>联合创始人</t>
    </r>
  </si>
  <si>
    <r>
      <rPr>
        <sz val="9"/>
        <color rgb="FF000000"/>
        <rFont val="楷体"/>
        <charset val="134"/>
      </rPr>
      <t>携程</t>
    </r>
    <r>
      <rPr>
        <sz val="9"/>
        <color rgb="FF000000"/>
        <rFont val="Arial"/>
        <charset val="134"/>
      </rPr>
      <t>,</t>
    </r>
    <r>
      <rPr>
        <sz val="9"/>
        <color rgb="FF000000"/>
        <rFont val="楷体"/>
        <charset val="134"/>
      </rPr>
      <t>口碑</t>
    </r>
  </si>
  <si>
    <r>
      <rPr>
        <sz val="9"/>
        <color rgb="FF000000"/>
        <rFont val="楷体"/>
        <charset val="134"/>
      </rPr>
      <t>蚂蚁集团</t>
    </r>
    <r>
      <rPr>
        <sz val="9"/>
        <color rgb="FF000000"/>
        <rFont val="Arial"/>
        <charset val="134"/>
      </rPr>
      <t>,</t>
    </r>
    <r>
      <rPr>
        <sz val="9"/>
        <color rgb="FF000000"/>
        <rFont val="楷体"/>
        <charset val="134"/>
      </rPr>
      <t>中视资本</t>
    </r>
    <r>
      <rPr>
        <sz val="9"/>
        <color rgb="FF000000"/>
        <rFont val="Arial"/>
        <charset val="134"/>
      </rPr>
      <t>,</t>
    </r>
    <r>
      <rPr>
        <sz val="9"/>
        <color rgb="FF000000"/>
        <rFont val="楷体"/>
        <charset val="134"/>
      </rPr>
      <t>海润国际并购基金</t>
    </r>
  </si>
  <si>
    <r>
      <rPr>
        <sz val="9"/>
        <color rgb="FF000000"/>
        <rFont val="楷体"/>
        <charset val="134"/>
      </rPr>
      <t>经纬创投</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大众点评网</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有成资本</t>
    </r>
    <r>
      <rPr>
        <sz val="9"/>
        <color rgb="FF000000"/>
        <rFont val="Arial"/>
        <charset val="134"/>
      </rPr>
      <t>,</t>
    </r>
    <r>
      <rPr>
        <sz val="9"/>
        <color rgb="FF000000"/>
        <rFont val="楷体"/>
        <charset val="134"/>
      </rPr>
      <t>安持资本</t>
    </r>
    <r>
      <rPr>
        <sz val="9"/>
        <color rgb="FF000000"/>
        <rFont val="Arial"/>
        <charset val="134"/>
      </rPr>
      <t>,</t>
    </r>
    <r>
      <rPr>
        <sz val="9"/>
        <color rgb="FF000000"/>
        <rFont val="楷体"/>
        <charset val="134"/>
      </rPr>
      <t>口碑</t>
    </r>
  </si>
  <si>
    <r>
      <rPr>
        <sz val="9"/>
        <color rgb="FF000000"/>
        <rFont val="楷体"/>
        <charset val="134"/>
      </rPr>
      <t>经纬创投</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信天创投</t>
    </r>
  </si>
  <si>
    <r>
      <rPr>
        <sz val="9"/>
        <color rgb="FF000000"/>
        <rFont val="楷体"/>
        <charset val="134"/>
      </rPr>
      <t>经纬创投</t>
    </r>
    <r>
      <rPr>
        <sz val="9"/>
        <color rgb="FF000000"/>
        <rFont val="Arial"/>
        <charset val="134"/>
      </rPr>
      <t>,</t>
    </r>
    <r>
      <rPr>
        <sz val="9"/>
        <color rgb="FF000000"/>
        <rFont val="楷体"/>
        <charset val="134"/>
      </rPr>
      <t>信天创投</t>
    </r>
  </si>
  <si>
    <r>
      <rPr>
        <sz val="9"/>
        <color rgb="FF000000"/>
        <rFont val="楷体"/>
        <charset val="134"/>
      </rPr>
      <t>盛大资本</t>
    </r>
  </si>
  <si>
    <r>
      <rPr>
        <sz val="9"/>
        <color rgb="FF000000"/>
        <rFont val="楷体"/>
        <charset val="134"/>
      </rPr>
      <t>饿了么</t>
    </r>
  </si>
  <si>
    <r>
      <rPr>
        <sz val="9"/>
        <color rgb="FF000000"/>
        <rFont val="楷体"/>
        <charset val="134"/>
      </rPr>
      <t>饿了么是一个外卖订餐平台，通过整合线下餐饮品牌和线上网络资源，为用户提供各类中式、日式、西式、夜宵等优质美食，用户可通过手机</t>
    </r>
    <r>
      <rPr>
        <sz val="9"/>
        <color rgb="FF000000"/>
        <rFont val="Arial"/>
        <charset val="134"/>
      </rPr>
      <t>APP</t>
    </r>
    <r>
      <rPr>
        <sz val="9"/>
        <color rgb="FF000000"/>
        <rFont val="楷体"/>
        <charset val="134"/>
      </rPr>
      <t>、电脑端搜索周边餐厅在线订餐，用户起送价为菜品原价＋餐盒费的方式计算。同时在办公场所推出无人零售货架</t>
    </r>
    <r>
      <rPr>
        <sz val="9"/>
        <color rgb="FF000000"/>
        <rFont val="Arial"/>
        <charset val="134"/>
      </rPr>
      <t>“e</t>
    </r>
    <r>
      <rPr>
        <sz val="9"/>
        <color rgb="FF000000"/>
        <rFont val="楷体"/>
        <charset val="134"/>
      </rPr>
      <t>点便利</t>
    </r>
    <r>
      <rPr>
        <sz val="9"/>
        <color rgb="FF000000"/>
        <rFont val="Arial"/>
        <charset val="134"/>
      </rPr>
      <t>”</t>
    </r>
    <r>
      <rPr>
        <sz val="9"/>
        <color rgb="FF000000"/>
        <rFont val="楷体"/>
        <charset val="134"/>
      </rPr>
      <t>，为用户提供熟食生鲜、综合零食、日用品等商品。</t>
    </r>
  </si>
  <si>
    <r>
      <rPr>
        <sz val="9"/>
        <color rgb="FF000000"/>
        <rFont val="楷体"/>
        <charset val="134"/>
      </rPr>
      <t>上海拉扎斯信息科技有限公司</t>
    </r>
  </si>
  <si>
    <r>
      <rPr>
        <sz val="9"/>
        <color rgb="FF000000"/>
        <rFont val="楷体"/>
        <charset val="134"/>
      </rPr>
      <t>上海</t>
    </r>
    <r>
      <rPr>
        <sz val="9"/>
        <color rgb="FF000000"/>
        <rFont val="Arial"/>
        <charset val="134"/>
      </rPr>
      <t>-</t>
    </r>
    <r>
      <rPr>
        <sz val="9"/>
        <color rgb="FF000000"/>
        <rFont val="楷体"/>
        <charset val="134"/>
      </rPr>
      <t>普陀区</t>
    </r>
  </si>
  <si>
    <r>
      <t>841.17</t>
    </r>
    <r>
      <rPr>
        <sz val="9"/>
        <color rgb="FF000000"/>
        <rFont val="楷体"/>
        <charset val="134"/>
      </rPr>
      <t>亿</t>
    </r>
  </si>
  <si>
    <r>
      <rPr>
        <sz val="9"/>
        <color rgb="FF000000"/>
        <rFont val="楷体"/>
        <charset val="134"/>
      </rPr>
      <t>张旭豪</t>
    </r>
    <r>
      <rPr>
        <sz val="9"/>
        <color rgb="FF000000"/>
        <rFont val="Arial"/>
        <charset val="134"/>
      </rPr>
      <t>:CEO,</t>
    </r>
    <r>
      <rPr>
        <sz val="9"/>
        <color rgb="FF000000"/>
        <rFont val="楷体"/>
        <charset val="134"/>
      </rPr>
      <t>康嘉</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张雪峰</t>
    </r>
    <r>
      <rPr>
        <sz val="9"/>
        <color rgb="FF000000"/>
        <rFont val="Arial"/>
        <charset val="134"/>
      </rPr>
      <t>:CTO,</t>
    </r>
    <r>
      <rPr>
        <sz val="9"/>
        <color rgb="FF000000"/>
        <rFont val="楷体"/>
        <charset val="134"/>
      </rPr>
      <t>王磊</t>
    </r>
    <r>
      <rPr>
        <sz val="9"/>
        <color rgb="FF000000"/>
        <rFont val="Arial"/>
        <charset val="134"/>
      </rPr>
      <t>:CEO</t>
    </r>
  </si>
  <si>
    <r>
      <rPr>
        <sz val="9"/>
        <color rgb="FF000000"/>
        <rFont val="楷体"/>
        <charset val="134"/>
      </rPr>
      <t>上海市普陀区金沙江路</t>
    </r>
    <r>
      <rPr>
        <sz val="9"/>
        <color rgb="FF000000"/>
        <rFont val="Arial"/>
        <charset val="134"/>
      </rPr>
      <t>1518</t>
    </r>
    <r>
      <rPr>
        <sz val="9"/>
        <color rgb="FF000000"/>
        <rFont val="楷体"/>
        <charset val="134"/>
      </rPr>
      <t>弄近铁城市广场</t>
    </r>
    <r>
      <rPr>
        <sz val="9"/>
        <color rgb="FF000000"/>
        <rFont val="Arial"/>
        <charset val="134"/>
      </rPr>
      <t>401</t>
    </r>
    <r>
      <rPr>
        <sz val="9"/>
        <color rgb="FF000000"/>
        <rFont val="楷体"/>
        <charset val="134"/>
      </rPr>
      <t>室</t>
    </r>
  </si>
  <si>
    <r>
      <t>95</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</si>
  <si>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蚂蚁集团</t>
    </r>
  </si>
  <si>
    <r>
      <rPr>
        <sz val="9"/>
        <color rgb="FF000000"/>
        <rFont val="楷体"/>
        <charset val="134"/>
      </rPr>
      <t>滴滴出行</t>
    </r>
  </si>
  <si>
    <r>
      <t>6.3</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</si>
  <si>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京东</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华联股份</t>
    </r>
  </si>
  <si>
    <r>
      <t>3.5</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</si>
  <si>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大众点评网</t>
    </r>
  </si>
  <si>
    <r>
      <t>2500</t>
    </r>
    <r>
      <rPr>
        <sz val="9"/>
        <color rgb="FF000000"/>
        <rFont val="楷体"/>
        <charset val="134"/>
      </rPr>
      <t>万美元</t>
    </r>
  </si>
  <si>
    <r>
      <rPr>
        <sz val="9"/>
        <color rgb="FF000000"/>
        <rFont val="楷体"/>
        <charset val="134"/>
      </rPr>
      <t>红杉资本中国</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金沙江创投</t>
    </r>
  </si>
  <si>
    <r>
      <rPr>
        <sz val="9"/>
        <color rgb="FF000000"/>
        <rFont val="楷体"/>
        <charset val="134"/>
      </rPr>
      <t>经纬创投</t>
    </r>
    <r>
      <rPr>
        <sz val="9"/>
        <color rgb="FF000000"/>
        <rFont val="Arial"/>
        <charset val="134"/>
      </rPr>
      <t>,</t>
    </r>
    <r>
      <rPr>
        <sz val="9"/>
        <color rgb="FF000000"/>
        <rFont val="楷体"/>
        <charset val="134"/>
      </rPr>
      <t>金沙江创投</t>
    </r>
  </si>
  <si>
    <r>
      <rPr>
        <sz val="9"/>
        <color rgb="FF000000"/>
        <rFont val="楷体"/>
        <charset val="134"/>
      </rPr>
      <t>金沙江创投</t>
    </r>
  </si>
  <si>
    <r>
      <rPr>
        <sz val="9"/>
        <color rgb="FF000000"/>
        <rFont val="楷体"/>
        <charset val="134"/>
      </rPr>
      <t>天财商龙</t>
    </r>
  </si>
  <si>
    <r>
      <rPr>
        <sz val="9"/>
        <color rgb="FF000000"/>
        <rFont val="楷体"/>
        <charset val="134"/>
      </rPr>
      <t>天财商龙是一个餐饮业管理软件服务商，提供餐饮软件、点菜系统、无线及</t>
    </r>
    <r>
      <rPr>
        <sz val="9"/>
        <color rgb="FF000000"/>
        <rFont val="Arial"/>
        <charset val="134"/>
      </rPr>
      <t>iPad</t>
    </r>
    <r>
      <rPr>
        <sz val="9"/>
        <color rgb="FF000000"/>
        <rFont val="楷体"/>
        <charset val="134"/>
      </rPr>
      <t>点菜系统等，隶属于天津市神州商龙科技有限公司。</t>
    </r>
  </si>
  <si>
    <r>
      <rPr>
        <sz val="9"/>
        <color rgb="FF000000"/>
        <rFont val="楷体"/>
        <charset val="134"/>
      </rPr>
      <t>天津市神州商龙科技股份有限公司</t>
    </r>
  </si>
  <si>
    <r>
      <rPr>
        <sz val="9"/>
        <color rgb="FF000000"/>
        <rFont val="楷体"/>
        <charset val="134"/>
      </rPr>
      <t>天津</t>
    </r>
    <r>
      <rPr>
        <sz val="9"/>
        <color rgb="FF000000"/>
        <rFont val="Arial"/>
        <charset val="134"/>
      </rPr>
      <t>-</t>
    </r>
    <r>
      <rPr>
        <sz val="9"/>
        <color rgb="FF000000"/>
        <rFont val="楷体"/>
        <charset val="134"/>
      </rPr>
      <t>南开区</t>
    </r>
  </si>
  <si>
    <r>
      <rPr>
        <sz val="9"/>
        <color rgb="FF000000"/>
        <rFont val="楷体"/>
        <charset val="134"/>
      </rPr>
      <t>新三板</t>
    </r>
  </si>
  <si>
    <r>
      <rPr>
        <sz val="9"/>
        <color rgb="FF000000"/>
        <rFont val="楷体"/>
        <charset val="134"/>
      </rPr>
      <t>糜新箭</t>
    </r>
    <r>
      <rPr>
        <sz val="9"/>
        <color rgb="FF000000"/>
        <rFont val="Arial"/>
        <charset val="134"/>
      </rPr>
      <t>:</t>
    </r>
    <r>
      <rPr>
        <sz val="9"/>
        <color rgb="FF000000"/>
        <rFont val="楷体"/>
        <charset val="134"/>
      </rPr>
      <t>执行总裁</t>
    </r>
  </si>
  <si>
    <r>
      <rPr>
        <sz val="9"/>
        <color rgb="FF000000"/>
        <rFont val="楷体"/>
        <charset val="134"/>
      </rPr>
      <t>深创投</t>
    </r>
  </si>
  <si>
    <r>
      <t>WiWide</t>
    </r>
    <r>
      <rPr>
        <sz val="9"/>
        <color rgb="FF000000"/>
        <rFont val="楷体"/>
        <charset val="134"/>
      </rPr>
      <t>迈外迪</t>
    </r>
  </si>
  <si>
    <r>
      <t>WiWide</t>
    </r>
    <r>
      <rPr>
        <sz val="9"/>
        <color rgb="FF000000"/>
        <rFont val="楷体"/>
        <charset val="134"/>
      </rPr>
      <t>迈外迪于</t>
    </r>
    <r>
      <rPr>
        <sz val="9"/>
        <color rgb="FF000000"/>
        <rFont val="Arial"/>
        <charset val="134"/>
      </rPr>
      <t>2007</t>
    </r>
    <r>
      <rPr>
        <sz val="9"/>
        <color rgb="FF000000"/>
        <rFont val="楷体"/>
        <charset val="134"/>
      </rPr>
      <t>年在中国开展商业</t>
    </r>
    <r>
      <rPr>
        <sz val="9"/>
        <color rgb="FF000000"/>
        <rFont val="Arial"/>
        <charset val="134"/>
      </rPr>
      <t>Wi-Fi</t>
    </r>
    <r>
      <rPr>
        <sz val="9"/>
        <color rgb="FF000000"/>
        <rFont val="楷体"/>
        <charset val="134"/>
      </rPr>
      <t>网络综合服务，以智能终端、应用服务、智能云平台的产品技术创新和</t>
    </r>
    <r>
      <rPr>
        <sz val="9"/>
        <color rgb="FF000000"/>
        <rFont val="Arial"/>
        <charset val="134"/>
      </rPr>
      <t>“</t>
    </r>
    <r>
      <rPr>
        <sz val="9"/>
        <color rgb="FF000000"/>
        <rFont val="楷体"/>
        <charset val="134"/>
      </rPr>
      <t>后向运营</t>
    </r>
    <r>
      <rPr>
        <sz val="9"/>
        <color rgb="FF000000"/>
        <rFont val="Arial"/>
        <charset val="134"/>
      </rPr>
      <t>”</t>
    </r>
    <r>
      <rPr>
        <sz val="9"/>
        <color rgb="FF000000"/>
        <rFont val="楷体"/>
        <charset val="134"/>
      </rPr>
      <t>的商业模式创新，开创了中国商业</t>
    </r>
    <r>
      <rPr>
        <sz val="9"/>
        <color rgb="FF000000"/>
        <rFont val="Arial"/>
        <charset val="134"/>
      </rPr>
      <t>Wi-Fi</t>
    </r>
    <r>
      <rPr>
        <sz val="9"/>
        <color rgb="FF000000"/>
        <rFont val="楷体"/>
        <charset val="134"/>
      </rPr>
      <t>市场，并逐渐向商家提供智能商业化的智慧门店解决方案，现已成为国内领先的智能商业架构和运营服务提供商。</t>
    </r>
  </si>
  <si>
    <r>
      <rPr>
        <sz val="9"/>
        <color rgb="FF000000"/>
        <rFont val="楷体"/>
        <charset val="134"/>
      </rPr>
      <t>上海迈外迪网络科技有限公司</t>
    </r>
  </si>
  <si>
    <r>
      <rPr>
        <sz val="9"/>
        <color rgb="FF000000"/>
        <rFont val="楷体"/>
        <charset val="134"/>
      </rPr>
      <t>万达集团</t>
    </r>
  </si>
  <si>
    <r>
      <t>6.4</t>
    </r>
    <r>
      <rPr>
        <sz val="9"/>
        <color rgb="FF000000"/>
        <rFont val="楷体"/>
        <charset val="134"/>
      </rPr>
      <t>亿</t>
    </r>
  </si>
  <si>
    <r>
      <rPr>
        <sz val="9"/>
        <color rgb="FF000000"/>
        <rFont val="楷体"/>
        <charset val="134"/>
      </rPr>
      <t>张程</t>
    </r>
    <r>
      <rPr>
        <sz val="9"/>
        <color rgb="FF000000"/>
        <rFont val="Arial"/>
        <charset val="134"/>
      </rPr>
      <t>:CEO</t>
    </r>
  </si>
  <si>
    <r>
      <rPr>
        <sz val="9"/>
        <color rgb="FF000000"/>
        <rFont val="楷体"/>
        <charset val="134"/>
      </rPr>
      <t>北京市朝阳区官庄路云享客联合办公</t>
    </r>
    <r>
      <rPr>
        <sz val="9"/>
        <color rgb="FF000000"/>
        <rFont val="Arial"/>
        <charset val="134"/>
      </rPr>
      <t>2-4</t>
    </r>
    <r>
      <rPr>
        <sz val="9"/>
        <color rgb="FF000000"/>
        <rFont val="楷体"/>
        <charset val="134"/>
      </rPr>
      <t>层</t>
    </r>
  </si>
  <si>
    <r>
      <rPr>
        <sz val="9"/>
        <color rgb="FF000000"/>
        <rFont val="楷体"/>
        <charset val="134"/>
      </rPr>
      <t>腾讯投资</t>
    </r>
    <r>
      <rPr>
        <sz val="9"/>
        <color rgb="FF000000"/>
        <rFont val="Arial"/>
        <charset val="134"/>
      </rPr>
      <t>,</t>
    </r>
    <r>
      <rPr>
        <sz val="9"/>
        <color rgb="FF000000"/>
        <rFont val="楷体"/>
        <charset val="134"/>
      </rPr>
      <t>大众点评网</t>
    </r>
  </si>
  <si>
    <r>
      <rPr>
        <sz val="9"/>
        <color rgb="FF000000"/>
        <rFont val="楷体"/>
        <charset val="134"/>
      </rPr>
      <t>景林投资</t>
    </r>
  </si>
  <si>
    <r>
      <rPr>
        <sz val="9"/>
        <color rgb="FF000000"/>
        <rFont val="楷体"/>
        <charset val="134"/>
      </rPr>
      <t>智龙软件</t>
    </r>
  </si>
  <si>
    <r>
      <rPr>
        <sz val="9"/>
        <color rgb="FF000000"/>
        <rFont val="楷体"/>
        <charset val="134"/>
      </rPr>
      <t>智龙软件是一家为企业提供行业</t>
    </r>
    <r>
      <rPr>
        <sz val="9"/>
        <color rgb="FF000000"/>
        <rFont val="Arial"/>
        <charset val="134"/>
      </rPr>
      <t>IT</t>
    </r>
    <r>
      <rPr>
        <sz val="9"/>
        <color rgb="FF000000"/>
        <rFont val="楷体"/>
        <charset val="134"/>
      </rPr>
      <t>应用解决方案的技术公司，包括餐饮行业移动营销解决方案、呼叫中心解决方案等。</t>
    </r>
  </si>
  <si>
    <r>
      <rPr>
        <sz val="9"/>
        <color rgb="FF000000"/>
        <rFont val="楷体"/>
        <charset val="134"/>
      </rPr>
      <t>上海智龙企业管理有限公司</t>
    </r>
  </si>
  <si>
    <r>
      <t>2000</t>
    </r>
    <r>
      <rPr>
        <sz val="9"/>
        <color rgb="FF000000"/>
        <rFont val="楷体"/>
        <charset val="134"/>
      </rPr>
      <t>万</t>
    </r>
  </si>
  <si>
    <r>
      <rPr>
        <sz val="9"/>
        <color rgb="FF000000"/>
        <rFont val="楷体"/>
        <charset val="134"/>
      </rPr>
      <t>捷通无限</t>
    </r>
  </si>
  <si>
    <r>
      <rPr>
        <sz val="9"/>
        <color rgb="FF000000"/>
        <rFont val="楷体"/>
        <charset val="134"/>
      </rPr>
      <t>网票网是一个主打电影票预订的网站，北京捷通无限科技有限公司旗下。</t>
    </r>
  </si>
  <si>
    <r>
      <rPr>
        <sz val="9"/>
        <color rgb="FF000000"/>
        <rFont val="楷体"/>
        <charset val="134"/>
      </rPr>
      <t>北京捷通无限科技有限公司</t>
    </r>
  </si>
  <si>
    <r>
      <t>1.31</t>
    </r>
    <r>
      <rPr>
        <sz val="9"/>
        <color rgb="FF000000"/>
        <rFont val="楷体"/>
        <charset val="134"/>
      </rPr>
      <t>亿人民币</t>
    </r>
  </si>
  <si>
    <r>
      <t>3.22</t>
    </r>
    <r>
      <rPr>
        <sz val="9"/>
        <color rgb="FF000000"/>
        <rFont val="楷体"/>
        <charset val="134"/>
      </rPr>
      <t>亿</t>
    </r>
  </si>
  <si>
    <r>
      <t>6.5365</t>
    </r>
    <r>
      <rPr>
        <sz val="9"/>
        <color rgb="FF000000"/>
        <rFont val="楷体"/>
        <charset val="134"/>
      </rPr>
      <t>亿元</t>
    </r>
  </si>
  <si>
    <r>
      <rPr>
        <sz val="9"/>
        <color rgb="FF000000"/>
        <rFont val="楷体"/>
        <charset val="134"/>
      </rPr>
      <t>姜春阳</t>
    </r>
    <r>
      <rPr>
        <sz val="9"/>
        <color rgb="FF000000"/>
        <rFont val="Arial"/>
        <charset val="134"/>
      </rPr>
      <t>:</t>
    </r>
    <r>
      <rPr>
        <sz val="9"/>
        <color rgb="FF000000"/>
        <rFont val="楷体"/>
        <charset val="134"/>
      </rPr>
      <t>创始人</t>
    </r>
  </si>
  <si>
    <r>
      <rPr>
        <sz val="9"/>
        <color rgb="FF000000"/>
        <rFont val="楷体"/>
        <charset val="134"/>
      </rPr>
      <t>苏州街</t>
    </r>
    <r>
      <rPr>
        <sz val="9"/>
        <color rgb="FF000000"/>
        <rFont val="Arial"/>
        <charset val="134"/>
      </rPr>
      <t>75</t>
    </r>
    <r>
      <rPr>
        <sz val="9"/>
        <color rgb="FF000000"/>
        <rFont val="楷体"/>
        <charset val="134"/>
      </rPr>
      <t>号</t>
    </r>
    <r>
      <rPr>
        <sz val="9"/>
        <color rgb="FF000000"/>
        <rFont val="Arial"/>
        <charset val="134"/>
      </rPr>
      <t>4</t>
    </r>
    <r>
      <rPr>
        <sz val="9"/>
        <color rgb="FF000000"/>
        <rFont val="楷体"/>
        <charset val="134"/>
      </rPr>
      <t>号楼</t>
    </r>
    <r>
      <rPr>
        <sz val="9"/>
        <color rgb="FF000000"/>
        <rFont val="Arial"/>
        <charset val="134"/>
      </rPr>
      <t>2</t>
    </r>
    <r>
      <rPr>
        <sz val="9"/>
        <color rgb="FF000000"/>
        <rFont val="楷体"/>
        <charset val="134"/>
      </rPr>
      <t>层</t>
    </r>
    <r>
      <rPr>
        <sz val="9"/>
        <color rgb="FF000000"/>
        <rFont val="Arial"/>
        <charset val="134"/>
      </rPr>
      <t>2205</t>
    </r>
    <r>
      <rPr>
        <sz val="9"/>
        <color rgb="FF000000"/>
        <rFont val="楷体"/>
        <charset val="134"/>
      </rPr>
      <t>室</t>
    </r>
  </si>
  <si>
    <r>
      <rPr>
        <sz val="9"/>
        <color rgb="FF000000"/>
        <rFont val="楷体"/>
        <charset val="134"/>
      </rPr>
      <t>盛大资本</t>
    </r>
    <r>
      <rPr>
        <sz val="9"/>
        <color rgb="FF000000"/>
        <rFont val="Arial"/>
        <charset val="134"/>
      </rPr>
      <t>,</t>
    </r>
    <r>
      <rPr>
        <sz val="9"/>
        <color rgb="FF000000"/>
        <rFont val="楷体"/>
        <charset val="134"/>
      </rPr>
      <t>大众点评网</t>
    </r>
  </si>
  <si>
    <r>
      <rPr>
        <sz val="9"/>
        <color rgb="FF000000"/>
        <rFont val="楷体"/>
        <charset val="134"/>
      </rPr>
      <t>爱评网</t>
    </r>
    <r>
      <rPr>
        <sz val="9"/>
        <color rgb="FF000000"/>
        <rFont val="Arial"/>
        <charset val="134"/>
      </rPr>
      <t>iPeen</t>
    </r>
  </si>
  <si>
    <r>
      <rPr>
        <sz val="9"/>
        <color rgb="FF000000"/>
        <rFont val="楷体"/>
        <charset val="134"/>
      </rPr>
      <t>爱评网（</t>
    </r>
    <r>
      <rPr>
        <sz val="9"/>
        <color rgb="FF000000"/>
        <rFont val="Arial"/>
        <charset val="134"/>
      </rPr>
      <t>iPeen</t>
    </r>
    <r>
      <rPr>
        <sz val="9"/>
        <color rgb="FF000000"/>
        <rFont val="楷体"/>
        <charset val="134"/>
      </rPr>
      <t>）是一家来自台湾的生活消费分享、点评服务网站，台湾红谷资讯股份有限公司旗下。</t>
    </r>
  </si>
  <si>
    <r>
      <rPr>
        <sz val="9"/>
        <color rgb="FF000000"/>
        <rFont val="楷体"/>
        <charset val="134"/>
      </rPr>
      <t>红谷资讯股份有限公司</t>
    </r>
  </si>
  <si>
    <r>
      <rPr>
        <sz val="9"/>
        <color rgb="FF000000"/>
        <rFont val="楷体"/>
        <charset val="134"/>
      </rPr>
      <t>台湾</t>
    </r>
    <r>
      <rPr>
        <sz val="9"/>
        <color rgb="FF000000"/>
        <rFont val="Arial"/>
        <charset val="134"/>
      </rPr>
      <t>-</t>
    </r>
    <r>
      <rPr>
        <sz val="9"/>
        <color rgb="FF000000"/>
        <rFont val="楷体"/>
        <charset val="134"/>
      </rPr>
      <t>台北市</t>
    </r>
  </si>
  <si>
    <r>
      <t>2600</t>
    </r>
    <r>
      <rPr>
        <sz val="9"/>
        <color rgb="FF000000"/>
        <rFont val="楷体"/>
        <charset val="134"/>
      </rPr>
      <t>万</t>
    </r>
  </si>
  <si>
    <r>
      <t>9750</t>
    </r>
    <r>
      <rPr>
        <sz val="9"/>
        <color rgb="FF000000"/>
        <rFont val="楷体"/>
        <charset val="134"/>
      </rPr>
      <t>万元</t>
    </r>
  </si>
  <si>
    <r>
      <rPr>
        <sz val="9"/>
        <color rgb="FF000000"/>
        <rFont val="楷体"/>
        <charset val="134"/>
      </rPr>
      <t>何吉弘</t>
    </r>
    <r>
      <rPr>
        <sz val="9"/>
        <color rgb="FF000000"/>
        <rFont val="Arial"/>
        <charset val="134"/>
      </rPr>
      <t>:CEO</t>
    </r>
  </si>
  <si>
    <r>
      <t>CA</t>
    </r>
    <r>
      <rPr>
        <sz val="9"/>
        <color rgb="FF000000"/>
        <rFont val="楷体"/>
        <charset val="134"/>
      </rPr>
      <t>创投</t>
    </r>
  </si>
  <si>
    <r>
      <rPr>
        <sz val="9"/>
        <color rgb="FF000000"/>
        <rFont val="楷体"/>
        <charset val="134"/>
      </rPr>
      <t>大嘴巴</t>
    </r>
  </si>
  <si>
    <r>
      <rPr>
        <sz val="9"/>
        <color rgb="FF000000"/>
        <rFont val="楷体"/>
        <charset val="134"/>
      </rPr>
      <t>大嘴巴是一个面向餐饮行业的自助点餐解决方案服务商，包括顾客版和商家版，顾客版为消费者提供了手机点菜、结帐、订位管理等功能；商家版则协助餐厅管理者服务顾客，上海通吃网络技术有限公司旗下产品。</t>
    </r>
  </si>
  <si>
    <r>
      <rPr>
        <sz val="9"/>
        <color rgb="FF000000"/>
        <rFont val="楷体"/>
        <charset val="134"/>
      </rPr>
      <t>上海通吃网络技术有限公司</t>
    </r>
  </si>
  <si>
    <r>
      <t>5100</t>
    </r>
    <r>
      <rPr>
        <sz val="9"/>
        <color rgb="FF000000"/>
        <rFont val="楷体"/>
        <charset val="134"/>
      </rPr>
      <t>万</t>
    </r>
  </si>
  <si>
    <r>
      <rPr>
        <sz val="9"/>
        <color rgb="FF000000"/>
        <rFont val="楷体"/>
        <charset val="134"/>
      </rPr>
      <t>李琪</t>
    </r>
    <r>
      <rPr>
        <sz val="9"/>
        <color rgb="FF000000"/>
        <rFont val="Arial"/>
        <charset val="134"/>
      </rPr>
      <t>:CEO</t>
    </r>
  </si>
  <si>
    <r>
      <rPr>
        <sz val="9"/>
        <color rgb="FF000000"/>
        <rFont val="楷体"/>
        <charset val="134"/>
      </rPr>
      <t>我有外卖</t>
    </r>
  </si>
  <si>
    <r>
      <rPr>
        <sz val="9"/>
        <color rgb="FF000000"/>
        <rFont val="楷体"/>
        <charset val="134"/>
      </rPr>
      <t>我有外卖是一家手机外卖订餐应用，</t>
    </r>
    <r>
      <rPr>
        <sz val="9"/>
        <color rgb="FF000000"/>
        <rFont val="Arial"/>
        <charset val="134"/>
      </rPr>
      <t>3</t>
    </r>
    <r>
      <rPr>
        <sz val="9"/>
        <color rgb="FF000000"/>
        <rFont val="楷体"/>
        <charset val="134"/>
      </rPr>
      <t>个月时间，线上外卖商家已经达到</t>
    </r>
    <r>
      <rPr>
        <sz val="9"/>
        <color rgb="FF000000"/>
        <rFont val="Arial"/>
        <charset val="134"/>
      </rPr>
      <t>1000</t>
    </r>
    <r>
      <rPr>
        <sz val="9"/>
        <color rgb="FF000000"/>
        <rFont val="楷体"/>
        <charset val="134"/>
      </rPr>
      <t>家，用户数量</t>
    </r>
    <r>
      <rPr>
        <sz val="9"/>
        <color rgb="FF000000"/>
        <rFont val="Arial"/>
        <charset val="134"/>
      </rPr>
      <t>2</t>
    </r>
    <r>
      <rPr>
        <sz val="9"/>
        <color rgb="FF000000"/>
        <rFont val="楷体"/>
        <charset val="134"/>
      </rPr>
      <t>万。目前集中在上海的市中心，主攻办公楼外卖即时服务。上海我有信息科技有限公司旗下产品。</t>
    </r>
  </si>
  <si>
    <r>
      <rPr>
        <sz val="9"/>
        <color rgb="FF000000"/>
        <rFont val="楷体"/>
        <charset val="134"/>
      </rPr>
      <t>广东川田科技有限公司</t>
    </r>
  </si>
  <si>
    <r>
      <rPr>
        <sz val="9"/>
        <color rgb="FF000000"/>
        <rFont val="楷体"/>
        <charset val="134"/>
      </rPr>
      <t>小米集团</t>
    </r>
    <r>
      <rPr>
        <sz val="9"/>
        <color rgb="FF000000"/>
        <rFont val="Arial"/>
        <charset val="134"/>
      </rPr>
      <t>,</t>
    </r>
    <r>
      <rPr>
        <sz val="9"/>
        <color rgb="FF000000"/>
        <rFont val="楷体"/>
        <charset val="134"/>
      </rPr>
      <t>大众点评网</t>
    </r>
  </si>
  <si>
    <r>
      <t>1.13</t>
    </r>
    <r>
      <rPr>
        <sz val="9"/>
        <color rgb="FF000000"/>
        <rFont val="楷体"/>
        <charset val="134"/>
      </rPr>
      <t>亿</t>
    </r>
  </si>
  <si>
    <r>
      <rPr>
        <sz val="9"/>
        <color rgb="FF000000"/>
        <rFont val="楷体"/>
        <charset val="134"/>
      </rPr>
      <t>林喆</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周小木</t>
    </r>
    <r>
      <rPr>
        <sz val="9"/>
        <color rgb="FF000000"/>
        <rFont val="Arial"/>
        <charset val="134"/>
      </rPr>
      <t>:</t>
    </r>
    <r>
      <rPr>
        <sz val="9"/>
        <color rgb="FF000000"/>
        <rFont val="楷体"/>
        <charset val="134"/>
      </rPr>
      <t>市场营销主管</t>
    </r>
  </si>
  <si>
    <r>
      <t>8000</t>
    </r>
    <r>
      <rPr>
        <sz val="9"/>
        <color rgb="FF000000"/>
        <rFont val="楷体"/>
        <charset val="134"/>
      </rPr>
      <t>万人民币</t>
    </r>
  </si>
  <si>
    <r>
      <rPr>
        <sz val="9"/>
        <color rgb="FF000000"/>
        <rFont val="楷体"/>
        <charset val="134"/>
      </rPr>
      <t>深创投</t>
    </r>
    <r>
      <rPr>
        <sz val="9"/>
        <color rgb="FF000000"/>
        <rFont val="Arial"/>
        <charset val="134"/>
      </rPr>
      <t>,</t>
    </r>
    <r>
      <rPr>
        <sz val="9"/>
        <color rgb="FF000000"/>
        <rFont val="楷体"/>
        <charset val="134"/>
      </rPr>
      <t>顺为资本</t>
    </r>
  </si>
  <si>
    <r>
      <rPr>
        <sz val="9"/>
        <color rgb="FF000000"/>
        <rFont val="楷体"/>
        <charset val="134"/>
      </rPr>
      <t>暴龙资本</t>
    </r>
  </si>
  <si>
    <r>
      <rPr>
        <sz val="9"/>
        <color rgb="FF000000"/>
        <rFont val="楷体"/>
        <charset val="134"/>
      </rPr>
      <t>孩子学啥</t>
    </r>
  </si>
  <si>
    <r>
      <rPr>
        <sz val="9"/>
        <color rgb="FF000000"/>
        <rFont val="楷体"/>
        <charset val="134"/>
      </rPr>
      <t>孩子学啥是一家为孩子提供早教、课外辅导课程信息及报名的网站，是家长为孩子选购课程的好帮手，上海宜学网络技术有限公司旗下网站。</t>
    </r>
  </si>
  <si>
    <r>
      <rPr>
        <sz val="9"/>
        <color rgb="FF000000"/>
        <rFont val="楷体"/>
        <charset val="134"/>
      </rPr>
      <t>上海喜艺网络技术有限公司</t>
    </r>
  </si>
  <si>
    <r>
      <rPr>
        <sz val="9"/>
        <color rgb="FF000000"/>
        <rFont val="楷体"/>
        <charset val="134"/>
      </rPr>
      <t>上海</t>
    </r>
    <r>
      <rPr>
        <sz val="9"/>
        <color rgb="FF000000"/>
        <rFont val="Arial"/>
        <charset val="134"/>
      </rPr>
      <t>-</t>
    </r>
    <r>
      <rPr>
        <sz val="9"/>
        <color rgb="FF000000"/>
        <rFont val="楷体"/>
        <charset val="134"/>
      </rPr>
      <t>徐汇区</t>
    </r>
  </si>
  <si>
    <r>
      <rPr>
        <sz val="9"/>
        <color rgb="FF000000"/>
        <rFont val="楷体"/>
        <charset val="134"/>
      </rPr>
      <t>儿童早教</t>
    </r>
  </si>
  <si>
    <r>
      <rPr>
        <sz val="9"/>
        <color rgb="FF000000"/>
        <rFont val="楷体"/>
        <charset val="134"/>
      </rPr>
      <t>吕广渝</t>
    </r>
    <r>
      <rPr>
        <sz val="9"/>
        <color rgb="FF000000"/>
        <rFont val="Arial"/>
        <charset val="134"/>
      </rPr>
      <t>:</t>
    </r>
    <r>
      <rPr>
        <sz val="9"/>
        <color rgb="FF000000"/>
        <rFont val="楷体"/>
        <charset val="134"/>
      </rPr>
      <t>创始人</t>
    </r>
  </si>
  <si>
    <r>
      <rPr>
        <sz val="9"/>
        <color rgb="FF000000"/>
        <rFont val="楷体"/>
        <charset val="134"/>
      </rPr>
      <t>阿米巴资本</t>
    </r>
  </si>
  <si>
    <r>
      <rPr>
        <sz val="9"/>
        <color rgb="FF000000"/>
        <rFont val="楷体"/>
        <charset val="134"/>
      </rPr>
      <t>链农互动</t>
    </r>
  </si>
  <si>
    <r>
      <rPr>
        <sz val="9"/>
        <color rgb="FF000000"/>
        <rFont val="楷体"/>
        <charset val="134"/>
      </rPr>
      <t>链农是一个</t>
    </r>
    <r>
      <rPr>
        <sz val="9"/>
        <color rgb="FF000000"/>
        <rFont val="Arial"/>
        <charset val="134"/>
      </rPr>
      <t>B2B</t>
    </r>
    <r>
      <rPr>
        <sz val="9"/>
        <color rgb="FF000000"/>
        <rFont val="楷体"/>
        <charset val="134"/>
      </rPr>
      <t>食材供应服务平台，按产品品类在全国原产地进行采购并在产区标准化包装，一站式到达餐厅，为用户节省时间，降低成本，并为用户提供货品采购、分拣、配送、补货、退换货等服务。</t>
    </r>
  </si>
  <si>
    <r>
      <rPr>
        <sz val="9"/>
        <color rgb="FF000000"/>
        <rFont val="楷体"/>
        <charset val="134"/>
      </rPr>
      <t>北京链农互动科技有限公司</t>
    </r>
  </si>
  <si>
    <r>
      <rPr>
        <sz val="9"/>
        <color rgb="FF000000"/>
        <rFont val="楷体"/>
        <charset val="134"/>
      </rPr>
      <t>三井物产环球投资</t>
    </r>
  </si>
  <si>
    <r>
      <t>2.87</t>
    </r>
    <r>
      <rPr>
        <sz val="9"/>
        <color rgb="FF000000"/>
        <rFont val="楷体"/>
        <charset val="134"/>
      </rPr>
      <t>亿</t>
    </r>
  </si>
  <si>
    <r>
      <t>12</t>
    </r>
    <r>
      <rPr>
        <sz val="9"/>
        <color rgb="FF000000"/>
        <rFont val="楷体"/>
        <charset val="134"/>
      </rPr>
      <t>亿元</t>
    </r>
  </si>
  <si>
    <r>
      <rPr>
        <sz val="9"/>
        <color rgb="FF000000"/>
        <rFont val="楷体"/>
        <charset val="134"/>
      </rPr>
      <t>刘源</t>
    </r>
    <r>
      <rPr>
        <sz val="9"/>
        <color rgb="FF000000"/>
        <rFont val="Arial"/>
        <charset val="134"/>
      </rPr>
      <t>:CEO</t>
    </r>
  </si>
  <si>
    <r>
      <rPr>
        <sz val="9"/>
        <color rgb="FF000000"/>
        <rFont val="楷体"/>
        <charset val="134"/>
      </rPr>
      <t>北京市朝阳区住邦</t>
    </r>
    <r>
      <rPr>
        <sz val="9"/>
        <color rgb="FF000000"/>
        <rFont val="Arial"/>
        <charset val="134"/>
      </rPr>
      <t>2000</t>
    </r>
    <r>
      <rPr>
        <sz val="9"/>
        <color rgb="FF000000"/>
        <rFont val="楷体"/>
        <charset val="134"/>
      </rPr>
      <t>商务中心</t>
    </r>
    <r>
      <rPr>
        <sz val="9"/>
        <color rgb="FF000000"/>
        <rFont val="Arial"/>
        <charset val="134"/>
      </rPr>
      <t>1</t>
    </r>
    <r>
      <rPr>
        <sz val="9"/>
        <color rgb="FF000000"/>
        <rFont val="楷体"/>
        <charset val="134"/>
      </rPr>
      <t>号楼</t>
    </r>
    <r>
      <rPr>
        <sz val="9"/>
        <color rgb="FF000000"/>
        <rFont val="Arial"/>
        <charset val="134"/>
      </rPr>
      <t>B</t>
    </r>
    <r>
      <rPr>
        <sz val="9"/>
        <color rgb="FF000000"/>
        <rFont val="楷体"/>
        <charset val="134"/>
      </rPr>
      <t>座</t>
    </r>
    <r>
      <rPr>
        <sz val="9"/>
        <color rgb="FF000000"/>
        <rFont val="Arial"/>
        <charset val="134"/>
      </rPr>
      <t>1608</t>
    </r>
  </si>
  <si>
    <r>
      <t>3000</t>
    </r>
    <r>
      <rPr>
        <sz val="9"/>
        <color rgb="FF000000"/>
        <rFont val="楷体"/>
        <charset val="134"/>
      </rPr>
      <t>万美元</t>
    </r>
  </si>
  <si>
    <r>
      <rPr>
        <sz val="9"/>
        <color rgb="FF000000"/>
        <rFont val="楷体"/>
        <charset val="134"/>
      </rPr>
      <t>红杉资本中国</t>
    </r>
    <r>
      <rPr>
        <sz val="9"/>
        <color rgb="FF000000"/>
        <rFont val="Arial"/>
        <charset val="134"/>
      </rPr>
      <t>,</t>
    </r>
    <r>
      <rPr>
        <sz val="9"/>
        <color rgb="FF000000"/>
        <rFont val="楷体"/>
        <charset val="134"/>
      </rPr>
      <t>大众点评网</t>
    </r>
  </si>
  <si>
    <r>
      <t>800</t>
    </r>
    <r>
      <rPr>
        <sz val="9"/>
        <color rgb="FF000000"/>
        <rFont val="楷体"/>
        <charset val="134"/>
      </rPr>
      <t>万美元</t>
    </r>
  </si>
  <si>
    <r>
      <rPr>
        <sz val="9"/>
        <color rgb="FF000000"/>
        <rFont val="楷体"/>
        <charset val="134"/>
      </rPr>
      <t>险峰</t>
    </r>
  </si>
  <si>
    <r>
      <rPr>
        <sz val="9"/>
        <color rgb="FF000000"/>
        <rFont val="楷体"/>
        <charset val="134"/>
      </rPr>
      <t>上海石川科技</t>
    </r>
  </si>
  <si>
    <r>
      <rPr>
        <sz val="9"/>
        <color rgb="FF000000"/>
        <rFont val="楷体"/>
        <charset val="134"/>
      </rPr>
      <t>上海石川科技是一家餐饮信息化技术服务提供商，产品有餐饮</t>
    </r>
    <r>
      <rPr>
        <sz val="9"/>
        <color rgb="FF000000"/>
        <rFont val="Arial"/>
        <charset val="134"/>
      </rPr>
      <t>ERP</t>
    </r>
    <r>
      <rPr>
        <sz val="9"/>
        <color rgb="FF000000"/>
        <rFont val="楷体"/>
        <charset val="134"/>
      </rPr>
      <t>管理解决方案、餐饮门店管理解决方案</t>
    </r>
    <r>
      <rPr>
        <sz val="9"/>
        <color rgb="FF000000"/>
        <rFont val="Arial"/>
        <charset val="134"/>
      </rPr>
      <t>​​​</t>
    </r>
    <r>
      <rPr>
        <sz val="9"/>
        <color rgb="FF000000"/>
        <rFont val="楷体"/>
        <charset val="134"/>
      </rPr>
      <t>、团膳餐饮解决方案、美食城广场解决方案等。</t>
    </r>
  </si>
  <si>
    <r>
      <rPr>
        <sz val="9"/>
        <color rgb="FF000000"/>
        <rFont val="楷体"/>
        <charset val="134"/>
      </rPr>
      <t>上海石川科技有限公司</t>
    </r>
  </si>
  <si>
    <r>
      <t>3400</t>
    </r>
    <r>
      <rPr>
        <sz val="9"/>
        <color rgb="FF000000"/>
        <rFont val="楷体"/>
        <charset val="134"/>
      </rPr>
      <t>万</t>
    </r>
  </si>
  <si>
    <r>
      <rPr>
        <sz val="9"/>
        <color rgb="FF000000"/>
        <rFont val="楷体"/>
        <charset val="134"/>
      </rPr>
      <t>吴晓峰</t>
    </r>
    <r>
      <rPr>
        <sz val="9"/>
        <color rgb="FF000000"/>
        <rFont val="Arial"/>
        <charset val="134"/>
      </rPr>
      <t>:</t>
    </r>
    <r>
      <rPr>
        <sz val="9"/>
        <color rgb="FF000000"/>
        <rFont val="楷体"/>
        <charset val="134"/>
      </rPr>
      <t>创始人</t>
    </r>
  </si>
  <si>
    <r>
      <rPr>
        <sz val="9"/>
        <color rgb="FF000000"/>
        <rFont val="楷体"/>
        <charset val="134"/>
      </rPr>
      <t>艾云创投</t>
    </r>
  </si>
  <si>
    <r>
      <rPr>
        <sz val="9"/>
        <color rgb="FF000000"/>
        <rFont val="楷体"/>
        <charset val="134"/>
      </rPr>
      <t>大风吹</t>
    </r>
  </si>
  <si>
    <r>
      <rPr>
        <sz val="9"/>
        <color rgb="FF000000"/>
        <rFont val="楷体"/>
        <charset val="134"/>
      </rPr>
      <t>大风吹是一个为用户提供预约、消费、优惠及社交圈子等服务的手机</t>
    </r>
    <r>
      <rPr>
        <sz val="9"/>
        <color rgb="FF000000"/>
        <rFont val="Arial"/>
        <charset val="134"/>
      </rPr>
      <t>APP</t>
    </r>
    <r>
      <rPr>
        <sz val="9"/>
        <color rgb="FF000000"/>
        <rFont val="楷体"/>
        <charset val="134"/>
      </rPr>
      <t>，专注于丽人、私教、娱乐等生活休闲领域。上海必吹网络旗下产品。目前已转型为</t>
    </r>
    <r>
      <rPr>
        <sz val="9"/>
        <color rgb="FF000000"/>
        <rFont val="Arial"/>
        <charset val="134"/>
      </rPr>
      <t>"</t>
    </r>
    <r>
      <rPr>
        <sz val="9"/>
        <color rgb="FF000000"/>
        <rFont val="楷体"/>
        <charset val="134"/>
      </rPr>
      <t>私教来了</t>
    </r>
    <r>
      <rPr>
        <sz val="9"/>
        <color rgb="FF000000"/>
        <rFont val="Arial"/>
        <charset val="134"/>
      </rPr>
      <t>"</t>
    </r>
    <r>
      <rPr>
        <sz val="9"/>
        <color rgb="FF000000"/>
        <rFont val="楷体"/>
        <charset val="134"/>
      </rPr>
      <t>。</t>
    </r>
  </si>
  <si>
    <r>
      <rPr>
        <sz val="9"/>
        <color rgb="FF000000"/>
        <rFont val="楷体"/>
        <charset val="134"/>
      </rPr>
      <t>上海必吹网络技术有限公司</t>
    </r>
  </si>
  <si>
    <r>
      <rPr>
        <sz val="9"/>
        <color rgb="FF000000"/>
        <rFont val="楷体"/>
        <charset val="134"/>
      </rPr>
      <t>上海</t>
    </r>
    <r>
      <rPr>
        <sz val="9"/>
        <color rgb="FF000000"/>
        <rFont val="Arial"/>
        <charset val="134"/>
      </rPr>
      <t>-</t>
    </r>
    <r>
      <rPr>
        <sz val="9"/>
        <color rgb="FF000000"/>
        <rFont val="楷体"/>
        <charset val="134"/>
      </rPr>
      <t>嘉定区</t>
    </r>
  </si>
  <si>
    <r>
      <t>100</t>
    </r>
    <r>
      <rPr>
        <sz val="9"/>
        <color rgb="FF000000"/>
        <rFont val="楷体"/>
        <charset val="134"/>
      </rPr>
      <t>万</t>
    </r>
  </si>
  <si>
    <r>
      <rPr>
        <sz val="9"/>
        <color rgb="FF000000"/>
        <rFont val="楷体"/>
        <charset val="134"/>
      </rPr>
      <t>李琪</t>
    </r>
    <r>
      <rPr>
        <sz val="9"/>
        <color rgb="FF000000"/>
        <rFont val="Arial"/>
        <charset val="134"/>
      </rPr>
      <t>:CEO,</t>
    </r>
    <r>
      <rPr>
        <sz val="9"/>
        <color rgb="FF000000"/>
        <rFont val="楷体"/>
        <charset val="134"/>
      </rPr>
      <t>赖毅强</t>
    </r>
    <r>
      <rPr>
        <sz val="9"/>
        <color rgb="FF000000"/>
        <rFont val="Arial"/>
        <charset val="134"/>
      </rPr>
      <t>:</t>
    </r>
    <r>
      <rPr>
        <sz val="9"/>
        <color rgb="FF000000"/>
        <rFont val="楷体"/>
        <charset val="134"/>
      </rPr>
      <t>联合创始人</t>
    </r>
    <r>
      <rPr>
        <sz val="9"/>
        <color rgb="FF000000"/>
        <rFont val="Arial"/>
        <charset val="134"/>
      </rPr>
      <t>,aliva</t>
    </r>
    <r>
      <rPr>
        <sz val="9"/>
        <color rgb="FF000000"/>
        <rFont val="楷体"/>
        <charset val="134"/>
      </rPr>
      <t>左手边的右手</t>
    </r>
    <r>
      <rPr>
        <sz val="9"/>
        <color rgb="FF000000"/>
        <rFont val="Arial"/>
        <charset val="134"/>
      </rPr>
      <t>:</t>
    </r>
    <r>
      <rPr>
        <sz val="9"/>
        <color rgb="FF000000"/>
        <rFont val="楷体"/>
        <charset val="134"/>
      </rPr>
      <t>产品总监</t>
    </r>
  </si>
  <si>
    <r>
      <rPr>
        <sz val="9"/>
        <color rgb="FF000000"/>
        <rFont val="楷体"/>
        <charset val="134"/>
      </rPr>
      <t>食为天科技</t>
    </r>
  </si>
  <si>
    <r>
      <rPr>
        <sz val="9"/>
        <color rgb="FF000000"/>
        <rFont val="楷体"/>
        <charset val="134"/>
      </rPr>
      <t>黑马软件是一家专注于餐饮企业的管理软件开发及服务提供商，产品有食为天系列软件等。</t>
    </r>
  </si>
  <si>
    <r>
      <rPr>
        <sz val="9"/>
        <color rgb="FF000000"/>
        <rFont val="楷体"/>
        <charset val="134"/>
      </rPr>
      <t>广州市黑马软件科技有限公司</t>
    </r>
  </si>
  <si>
    <r>
      <rPr>
        <sz val="9"/>
        <color rgb="FF000000"/>
        <rFont val="楷体"/>
        <charset val="134"/>
      </rPr>
      <t>私教来了</t>
    </r>
  </si>
  <si>
    <r>
      <rPr>
        <sz val="9"/>
        <color rgb="FF000000"/>
        <rFont val="楷体"/>
        <charset val="134"/>
      </rPr>
      <t>私教来了是一个私教预约平台，旨在帮助都市丽人与白领精英利用线上资源预约各类私教，公司创始人员来自阿里、亚信等知名互联网公司。上海必吹网络技术有限公司旗下产品。</t>
    </r>
  </si>
  <si>
    <r>
      <rPr>
        <sz val="9"/>
        <color rgb="FF000000"/>
        <rFont val="楷体"/>
        <charset val="134"/>
      </rPr>
      <t>素质教育</t>
    </r>
  </si>
  <si>
    <r>
      <t>500</t>
    </r>
    <r>
      <rPr>
        <sz val="9"/>
        <color rgb="FF000000"/>
        <rFont val="楷体"/>
        <charset val="134"/>
      </rPr>
      <t>万</t>
    </r>
  </si>
  <si>
    <r>
      <t>2500</t>
    </r>
    <r>
      <rPr>
        <sz val="9"/>
        <color rgb="FF000000"/>
        <rFont val="楷体"/>
        <charset val="134"/>
      </rPr>
      <t>万元</t>
    </r>
  </si>
  <si>
    <r>
      <rPr>
        <sz val="9"/>
        <color rgb="FF000000"/>
        <rFont val="楷体"/>
        <charset val="134"/>
      </rPr>
      <t>李琪</t>
    </r>
    <r>
      <rPr>
        <sz val="9"/>
        <color rgb="FF000000"/>
        <rFont val="Arial"/>
        <charset val="134"/>
      </rPr>
      <t>:CEO,</t>
    </r>
    <r>
      <rPr>
        <sz val="9"/>
        <color rgb="FF000000"/>
        <rFont val="楷体"/>
        <charset val="134"/>
      </rPr>
      <t>赖毅强</t>
    </r>
    <r>
      <rPr>
        <sz val="9"/>
        <color rgb="FF000000"/>
        <rFont val="Arial"/>
        <charset val="134"/>
      </rPr>
      <t>:</t>
    </r>
    <r>
      <rPr>
        <sz val="9"/>
        <color rgb="FF000000"/>
        <rFont val="楷体"/>
        <charset val="134"/>
      </rPr>
      <t>联合创始人</t>
    </r>
  </si>
  <si>
    <r>
      <rPr>
        <sz val="9"/>
        <color rgb="FF000000"/>
        <rFont val="楷体"/>
        <charset val="134"/>
      </rPr>
      <t>袋鼠麻麻</t>
    </r>
  </si>
  <si>
    <r>
      <rPr>
        <sz val="9"/>
        <color rgb="FF000000"/>
        <rFont val="楷体"/>
        <charset val="134"/>
      </rPr>
      <t>袋鼠麻麻是一家儿童托管连锁平台。面向</t>
    </r>
    <r>
      <rPr>
        <sz val="9"/>
        <color rgb="FF000000"/>
        <rFont val="Arial"/>
        <charset val="134"/>
      </rPr>
      <t>2-10</t>
    </r>
    <r>
      <rPr>
        <sz val="9"/>
        <color rgb="FF000000"/>
        <rFont val="楷体"/>
        <charset val="134"/>
      </rPr>
      <t>岁儿童，有针对</t>
    </r>
    <r>
      <rPr>
        <sz val="9"/>
        <color rgb="FF000000"/>
        <rFont val="Arial"/>
        <charset val="134"/>
      </rPr>
      <t>3</t>
    </r>
    <r>
      <rPr>
        <sz val="9"/>
        <color rgb="FF000000"/>
        <rFont val="楷体"/>
        <charset val="134"/>
      </rPr>
      <t>岁以下孩子的日托，和针对学龄儿童的晚托。解决了城市双职工家庭在每天特定时间段内不能陪伴孩子的难题。</t>
    </r>
  </si>
  <si>
    <r>
      <rPr>
        <sz val="9"/>
        <color rgb="FF000000"/>
        <rFont val="楷体"/>
        <charset val="134"/>
      </rPr>
      <t>上海铭诗教育科技有限公司</t>
    </r>
  </si>
  <si>
    <r>
      <rPr>
        <sz val="9"/>
        <color rgb="FF000000"/>
        <rFont val="楷体"/>
        <charset val="134"/>
      </rPr>
      <t>光速光合</t>
    </r>
    <r>
      <rPr>
        <sz val="9"/>
        <color rgb="FF000000"/>
        <rFont val="Arial"/>
        <charset val="134"/>
      </rPr>
      <t>,</t>
    </r>
    <r>
      <rPr>
        <sz val="9"/>
        <color rgb="FF000000"/>
        <rFont val="楷体"/>
        <charset val="134"/>
      </rPr>
      <t>双湖资本</t>
    </r>
    <r>
      <rPr>
        <sz val="9"/>
        <color rgb="FF000000"/>
        <rFont val="Arial"/>
        <charset val="134"/>
      </rPr>
      <t>,</t>
    </r>
    <r>
      <rPr>
        <sz val="9"/>
        <color rgb="FF000000"/>
        <rFont val="楷体"/>
        <charset val="134"/>
      </rPr>
      <t>张涛</t>
    </r>
  </si>
  <si>
    <r>
      <t>4300</t>
    </r>
    <r>
      <rPr>
        <sz val="9"/>
        <color rgb="FF000000"/>
        <rFont val="楷体"/>
        <charset val="134"/>
      </rPr>
      <t>万</t>
    </r>
  </si>
  <si>
    <r>
      <rPr>
        <sz val="9"/>
        <color rgb="FF000000"/>
        <rFont val="楷体"/>
        <charset val="134"/>
      </rPr>
      <t>索玛</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陈小童</t>
    </r>
    <r>
      <rPr>
        <sz val="9"/>
        <color rgb="FF000000"/>
        <rFont val="Arial"/>
        <charset val="134"/>
      </rPr>
      <t>:</t>
    </r>
    <r>
      <rPr>
        <sz val="9"/>
        <color rgb="FF000000"/>
        <rFont val="楷体"/>
        <charset val="134"/>
      </rPr>
      <t>联合创始人兼</t>
    </r>
    <r>
      <rPr>
        <sz val="9"/>
        <color rgb="FF000000"/>
        <rFont val="Arial"/>
        <charset val="134"/>
      </rPr>
      <t>COO</t>
    </r>
  </si>
  <si>
    <r>
      <rPr>
        <sz val="9"/>
        <color rgb="FF000000"/>
        <rFont val="楷体"/>
        <charset val="134"/>
      </rPr>
      <t>上海市浦东新区博霞路</t>
    </r>
    <r>
      <rPr>
        <sz val="9"/>
        <color rgb="FF000000"/>
        <rFont val="Arial"/>
        <charset val="134"/>
      </rPr>
      <t>22</t>
    </r>
    <r>
      <rPr>
        <sz val="9"/>
        <color rgb="FF000000"/>
        <rFont val="楷体"/>
        <charset val="134"/>
      </rPr>
      <t>号</t>
    </r>
    <r>
      <rPr>
        <sz val="9"/>
        <color rgb="FF000000"/>
        <rFont val="Arial"/>
        <charset val="134"/>
      </rPr>
      <t>210</t>
    </r>
    <r>
      <rPr>
        <sz val="9"/>
        <color rgb="FF000000"/>
        <rFont val="楷体"/>
        <charset val="134"/>
      </rPr>
      <t>室</t>
    </r>
  </si>
  <si>
    <r>
      <t>900</t>
    </r>
    <r>
      <rPr>
        <sz val="9"/>
        <color rgb="FF000000"/>
        <rFont val="楷体"/>
        <charset val="134"/>
      </rPr>
      <t>万人民币</t>
    </r>
  </si>
  <si>
    <r>
      <rPr>
        <sz val="9"/>
        <color rgb="FF000000"/>
        <rFont val="楷体"/>
        <charset val="134"/>
      </rPr>
      <t>双湖资本</t>
    </r>
    <r>
      <rPr>
        <sz val="9"/>
        <color rgb="FF000000"/>
        <rFont val="Arial"/>
        <charset val="134"/>
      </rPr>
      <t>,</t>
    </r>
    <r>
      <rPr>
        <sz val="9"/>
        <color rgb="FF000000"/>
        <rFont val="楷体"/>
        <charset val="134"/>
      </rPr>
      <t>量创资本</t>
    </r>
  </si>
  <si>
    <r>
      <t>400</t>
    </r>
    <r>
      <rPr>
        <sz val="9"/>
        <color rgb="FF000000"/>
        <rFont val="楷体"/>
        <charset val="134"/>
      </rPr>
      <t>万人民币</t>
    </r>
  </si>
  <si>
    <r>
      <rPr>
        <sz val="9"/>
        <color rgb="FF000000"/>
        <rFont val="楷体"/>
        <charset val="134"/>
      </rPr>
      <t>商米科技</t>
    </r>
  </si>
  <si>
    <r>
      <rPr>
        <sz val="9"/>
        <color rgb="FF000000"/>
        <rFont val="楷体"/>
        <charset val="134"/>
      </rPr>
      <t>商米科技是一家移动支付智能硬件研发商，专注为</t>
    </r>
    <r>
      <rPr>
        <sz val="9"/>
        <color rgb="FF000000"/>
        <rFont val="Arial"/>
        <charset val="134"/>
      </rPr>
      <t>O2O</t>
    </r>
    <r>
      <rPr>
        <sz val="9"/>
        <color rgb="FF000000"/>
        <rFont val="楷体"/>
        <charset val="134"/>
      </rPr>
      <t>互联网平台，软件开发商、中小型商户提供智能商用硬件设备，以及为实体商户提供移动互联网化的智能商用硬件解决方案。</t>
    </r>
  </si>
  <si>
    <r>
      <rPr>
        <sz val="9"/>
        <color rgb="FF000000"/>
        <rFont val="楷体"/>
        <charset val="134"/>
      </rPr>
      <t>上海商米科技集团股份有限公司</t>
    </r>
  </si>
  <si>
    <r>
      <rPr>
        <sz val="9"/>
        <color rgb="FF000000"/>
        <rFont val="楷体"/>
        <charset val="134"/>
      </rPr>
      <t>蚂蚁集团</t>
    </r>
    <r>
      <rPr>
        <sz val="9"/>
        <color rgb="FF000000"/>
        <rFont val="Arial"/>
        <charset val="134"/>
      </rPr>
      <t>,</t>
    </r>
    <r>
      <rPr>
        <sz val="9"/>
        <color rgb="FF000000"/>
        <rFont val="楷体"/>
        <charset val="134"/>
      </rPr>
      <t>农银国际</t>
    </r>
  </si>
  <si>
    <r>
      <t>9.81</t>
    </r>
    <r>
      <rPr>
        <sz val="9"/>
        <color rgb="FF000000"/>
        <rFont val="楷体"/>
        <charset val="134"/>
      </rPr>
      <t>亿</t>
    </r>
  </si>
  <si>
    <r>
      <t>David Protect:</t>
    </r>
    <r>
      <rPr>
        <sz val="9"/>
        <color rgb="FF000000"/>
        <rFont val="楷体"/>
        <charset val="134"/>
      </rPr>
      <t>首席设计师兼</t>
    </r>
    <r>
      <rPr>
        <sz val="9"/>
        <color rgb="FF000000"/>
        <rFont val="Arial"/>
        <charset val="134"/>
      </rPr>
      <t>CDO,</t>
    </r>
    <r>
      <rPr>
        <sz val="9"/>
        <color rgb="FF000000"/>
        <rFont val="楷体"/>
        <charset val="134"/>
      </rPr>
      <t>李彬夷</t>
    </r>
    <r>
      <rPr>
        <sz val="9"/>
        <color rgb="FF000000"/>
        <rFont val="Arial"/>
        <charset val="134"/>
      </rPr>
      <t>:</t>
    </r>
    <r>
      <rPr>
        <sz val="9"/>
        <color rgb="FF000000"/>
        <rFont val="楷体"/>
        <charset val="134"/>
      </rPr>
      <t>联合创始人兼</t>
    </r>
    <r>
      <rPr>
        <sz val="9"/>
        <color rgb="FF000000"/>
        <rFont val="Arial"/>
        <charset val="134"/>
      </rPr>
      <t>CMO,</t>
    </r>
    <r>
      <rPr>
        <sz val="9"/>
        <color rgb="FF000000"/>
        <rFont val="楷体"/>
        <charset val="134"/>
      </rPr>
      <t>王震</t>
    </r>
    <r>
      <rPr>
        <sz val="9"/>
        <color rgb="FF000000"/>
        <rFont val="Arial"/>
        <charset val="134"/>
      </rPr>
      <t>:</t>
    </r>
    <r>
      <rPr>
        <sz val="9"/>
        <color rgb="FF000000"/>
        <rFont val="楷体"/>
        <charset val="134"/>
      </rPr>
      <t>联合创始人兼</t>
    </r>
    <r>
      <rPr>
        <sz val="9"/>
        <color rgb="FF000000"/>
        <rFont val="Arial"/>
        <charset val="134"/>
      </rPr>
      <t>COO,</t>
    </r>
    <r>
      <rPr>
        <sz val="9"/>
        <color rgb="FF000000"/>
        <rFont val="楷体"/>
        <charset val="134"/>
      </rPr>
      <t>林喆</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</si>
  <si>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上海市杨浦区淞沪路</t>
    </r>
    <r>
      <rPr>
        <sz val="9"/>
        <color rgb="FF000000"/>
        <rFont val="Arial"/>
        <charset val="134"/>
      </rPr>
      <t>388</t>
    </r>
    <r>
      <rPr>
        <sz val="9"/>
        <color rgb="FF000000"/>
        <rFont val="楷体"/>
        <charset val="134"/>
      </rPr>
      <t>号</t>
    </r>
    <r>
      <rPr>
        <sz val="9"/>
        <color rgb="FF000000"/>
        <rFont val="Arial"/>
        <charset val="134"/>
      </rPr>
      <t xml:space="preserve"> </t>
    </r>
    <r>
      <rPr>
        <sz val="9"/>
        <color rgb="FF000000"/>
        <rFont val="楷体"/>
        <charset val="134"/>
      </rPr>
      <t>创智天地</t>
    </r>
    <r>
      <rPr>
        <sz val="9"/>
        <color rgb="FF000000"/>
        <rFont val="Arial"/>
        <charset val="134"/>
      </rPr>
      <t>7</t>
    </r>
    <r>
      <rPr>
        <sz val="9"/>
        <color rgb="FF000000"/>
        <rFont val="楷体"/>
        <charset val="134"/>
      </rPr>
      <t>号楼</t>
    </r>
    <r>
      <rPr>
        <sz val="9"/>
        <color rgb="FF000000"/>
        <rFont val="Arial"/>
        <charset val="134"/>
      </rPr>
      <t>605</t>
    </r>
  </si>
  <si>
    <r>
      <rPr>
        <sz val="9"/>
        <color rgb="FF000000"/>
        <rFont val="楷体"/>
        <charset val="134"/>
      </rPr>
      <t>知本投资</t>
    </r>
    <r>
      <rPr>
        <sz val="9"/>
        <color rgb="FF000000"/>
        <rFont val="Arial"/>
        <charset val="134"/>
      </rPr>
      <t>(</t>
    </r>
    <r>
      <rPr>
        <sz val="9"/>
        <color rgb="FF000000"/>
        <rFont val="楷体"/>
        <charset val="134"/>
      </rPr>
      <t>口袋购物</t>
    </r>
    <r>
      <rPr>
        <sz val="9"/>
        <color rgb="FF000000"/>
        <rFont val="Arial"/>
        <charset val="134"/>
      </rPr>
      <t>)</t>
    </r>
  </si>
  <si>
    <r>
      <rPr>
        <sz val="9"/>
        <color rgb="FF000000"/>
        <rFont val="楷体"/>
        <charset val="134"/>
      </rPr>
      <t>深创投</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大众点评网</t>
    </r>
  </si>
  <si>
    <r>
      <rPr>
        <sz val="9"/>
        <color rgb="FF000000"/>
        <rFont val="楷体"/>
        <charset val="134"/>
      </rPr>
      <t>深创投</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胡泽民</t>
    </r>
  </si>
  <si>
    <r>
      <rPr>
        <sz val="9"/>
        <color rgb="FF000000"/>
        <rFont val="楷体"/>
        <charset val="134"/>
      </rPr>
      <t>食为天信息</t>
    </r>
  </si>
  <si>
    <r>
      <rPr>
        <sz val="9"/>
        <color rgb="FF000000"/>
        <rFont val="楷体"/>
        <charset val="134"/>
      </rPr>
      <t>食为天信息是一家餐饮企业管理软件开发及服务提供商，致力于为用户提供食为天餐饮管理软件、智能食堂管理软件、食膳云平台、云膳智能搜索引擎以及沐春芽儿童营养健康平台等产品及服务。</t>
    </r>
  </si>
  <si>
    <r>
      <rPr>
        <sz val="9"/>
        <color rgb="FF000000"/>
        <rFont val="楷体"/>
        <charset val="134"/>
      </rPr>
      <t>广州食为天信息技术有限公司</t>
    </r>
  </si>
  <si>
    <r>
      <rPr>
        <sz val="9"/>
        <color rgb="FF000000"/>
        <rFont val="楷体"/>
        <charset val="134"/>
      </rPr>
      <t>融数金服</t>
    </r>
  </si>
  <si>
    <r>
      <rPr>
        <sz val="9"/>
        <color rgb="FF000000"/>
        <rFont val="楷体"/>
        <charset val="134"/>
      </rPr>
      <t>罗捷斯</t>
    </r>
    <r>
      <rPr>
        <sz val="9"/>
        <color rgb="FF000000"/>
        <rFont val="Arial"/>
        <charset val="134"/>
      </rPr>
      <t xml:space="preserve">:	</t>
    </r>
    <r>
      <rPr>
        <sz val="9"/>
        <color rgb="FF000000"/>
        <rFont val="楷体"/>
        <charset val="134"/>
      </rPr>
      <t>董事长</t>
    </r>
  </si>
  <si>
    <r>
      <rPr>
        <sz val="9"/>
        <color rgb="FF000000"/>
        <rFont val="楷体"/>
        <charset val="134"/>
      </rPr>
      <t>广州市番禺区大石街石北工业路</t>
    </r>
    <r>
      <rPr>
        <sz val="9"/>
        <color rgb="FF000000"/>
        <rFont val="Arial"/>
        <charset val="134"/>
      </rPr>
      <t>644</t>
    </r>
    <r>
      <rPr>
        <sz val="9"/>
        <color rgb="FF000000"/>
        <rFont val="楷体"/>
        <charset val="134"/>
      </rPr>
      <t>号</t>
    </r>
    <r>
      <rPr>
        <sz val="9"/>
        <color rgb="FF000000"/>
        <rFont val="Arial"/>
        <charset val="134"/>
      </rPr>
      <t>19</t>
    </r>
    <r>
      <rPr>
        <sz val="9"/>
        <color rgb="FF000000"/>
        <rFont val="楷体"/>
        <charset val="134"/>
      </rPr>
      <t>栋</t>
    </r>
    <r>
      <rPr>
        <sz val="9"/>
        <color rgb="FF000000"/>
        <rFont val="Arial"/>
        <charset val="134"/>
      </rPr>
      <t>501</t>
    </r>
  </si>
  <si>
    <r>
      <rPr>
        <sz val="9"/>
        <color rgb="FF000000"/>
        <rFont val="楷体"/>
        <charset val="134"/>
      </rPr>
      <t>茂奎</t>
    </r>
  </si>
  <si>
    <r>
      <rPr>
        <sz val="9"/>
        <color rgb="FF000000"/>
        <rFont val="楷体"/>
        <charset val="134"/>
      </rPr>
      <t>深圳黄小兜网络科技有限公司</t>
    </r>
  </si>
  <si>
    <r>
      <rPr>
        <sz val="9"/>
        <color rgb="FF000000"/>
        <rFont val="楷体"/>
        <charset val="134"/>
      </rPr>
      <t>深圳市龙华区民治街道北站社区汇隆商务中心</t>
    </r>
    <r>
      <rPr>
        <sz val="9"/>
        <color rgb="FF000000"/>
        <rFont val="Arial"/>
        <charset val="134"/>
      </rPr>
      <t>2</t>
    </r>
    <r>
      <rPr>
        <sz val="9"/>
        <color rgb="FF000000"/>
        <rFont val="楷体"/>
        <charset val="134"/>
      </rPr>
      <t>号楼</t>
    </r>
    <r>
      <rPr>
        <sz val="9"/>
        <color rgb="FF000000"/>
        <rFont val="Arial"/>
        <charset val="134"/>
      </rPr>
      <t>1501</t>
    </r>
  </si>
  <si>
    <r>
      <rPr>
        <sz val="9"/>
        <color rgb="FF000000"/>
        <rFont val="楷体"/>
        <charset val="134"/>
      </rPr>
      <t>甜心摇滚沙拉</t>
    </r>
  </si>
  <si>
    <r>
      <rPr>
        <sz val="9"/>
        <color rgb="FF000000"/>
        <rFont val="楷体"/>
        <charset val="134"/>
      </rPr>
      <t>甜心摇滚沙拉是一个主打主食沙拉的</t>
    </r>
    <r>
      <rPr>
        <sz val="9"/>
        <color rgb="FF000000"/>
        <rFont val="Arial"/>
        <charset val="134"/>
      </rPr>
      <t>O2O</t>
    </r>
    <r>
      <rPr>
        <sz val="9"/>
        <color rgb="FF000000"/>
        <rFont val="楷体"/>
        <charset val="134"/>
      </rPr>
      <t>电商品牌，致力于为女性用户等提供办公室白领工作餐，北京甜心良品餐饮管理有限公司旗下网站。</t>
    </r>
  </si>
  <si>
    <r>
      <rPr>
        <sz val="9"/>
        <color rgb="FF000000"/>
        <rFont val="楷体"/>
        <charset val="134"/>
      </rPr>
      <t>北京甜心良品网络科技有限公司</t>
    </r>
  </si>
  <si>
    <r>
      <t>6300</t>
    </r>
    <r>
      <rPr>
        <sz val="9"/>
        <color rgb="FF000000"/>
        <rFont val="楷体"/>
        <charset val="134"/>
      </rPr>
      <t>万</t>
    </r>
  </si>
  <si>
    <r>
      <rPr>
        <sz val="9"/>
        <color rgb="FF000000"/>
        <rFont val="楷体"/>
        <charset val="134"/>
      </rPr>
      <t>吴婧然</t>
    </r>
    <r>
      <rPr>
        <sz val="9"/>
        <color rgb="FF000000"/>
        <rFont val="Arial"/>
        <charset val="134"/>
      </rPr>
      <t>:CEO,</t>
    </r>
    <r>
      <rPr>
        <sz val="9"/>
        <color rgb="FF000000"/>
        <rFont val="楷体"/>
        <charset val="134"/>
      </rPr>
      <t>于文璐</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郄晓京</t>
    </r>
    <r>
      <rPr>
        <sz val="9"/>
        <color rgb="FF000000"/>
        <rFont val="Arial"/>
        <charset val="134"/>
      </rPr>
      <t>:</t>
    </r>
    <r>
      <rPr>
        <sz val="9"/>
        <color rgb="FF000000"/>
        <rFont val="楷体"/>
        <charset val="134"/>
      </rPr>
      <t>联合创始人</t>
    </r>
  </si>
  <si>
    <r>
      <rPr>
        <sz val="9"/>
        <color rgb="FF000000"/>
        <rFont val="楷体"/>
        <charset val="134"/>
      </rPr>
      <t>华映资本</t>
    </r>
    <r>
      <rPr>
        <sz val="9"/>
        <color rgb="FF000000"/>
        <rFont val="Arial"/>
        <charset val="134"/>
      </rPr>
      <t>,JJ</t>
    </r>
    <r>
      <rPr>
        <sz val="9"/>
        <color rgb="FF000000"/>
        <rFont val="楷体"/>
        <charset val="134"/>
      </rPr>
      <t>比赛</t>
    </r>
    <r>
      <rPr>
        <sz val="9"/>
        <color rgb="FF000000"/>
        <rFont val="Arial"/>
        <charset val="134"/>
      </rPr>
      <t>(</t>
    </r>
    <r>
      <rPr>
        <sz val="9"/>
        <color rgb="FF000000"/>
        <rFont val="楷体"/>
        <charset val="134"/>
      </rPr>
      <t>竞技创投</t>
    </r>
    <r>
      <rPr>
        <sz val="9"/>
        <color rgb="FF000000"/>
        <rFont val="Arial"/>
        <charset val="134"/>
      </rPr>
      <t>)</t>
    </r>
  </si>
  <si>
    <r>
      <rPr>
        <sz val="9"/>
        <color rgb="FF000000"/>
        <rFont val="楷体"/>
        <charset val="134"/>
      </rPr>
      <t>小马蜂创投</t>
    </r>
  </si>
  <si>
    <r>
      <rPr>
        <sz val="9"/>
        <color rgb="FF000000"/>
        <rFont val="楷体"/>
        <charset val="134"/>
      </rPr>
      <t>掌上快销</t>
    </r>
  </si>
  <si>
    <r>
      <rPr>
        <sz val="9"/>
        <color rgb="FF000000"/>
        <rFont val="楷体"/>
        <charset val="134"/>
      </rPr>
      <t>掌上快销是中国领先的快消</t>
    </r>
    <r>
      <rPr>
        <sz val="9"/>
        <color rgb="FF000000"/>
        <rFont val="Arial"/>
        <charset val="134"/>
      </rPr>
      <t>B2B</t>
    </r>
    <r>
      <rPr>
        <sz val="9"/>
        <color rgb="FF000000"/>
        <rFont val="楷体"/>
        <charset val="134"/>
      </rPr>
      <t>平台，连接品牌商直达门店，为</t>
    </r>
    <r>
      <rPr>
        <sz val="9"/>
        <color rgb="FF000000"/>
        <rFont val="Arial"/>
        <charset val="134"/>
      </rPr>
      <t>2-4</t>
    </r>
    <r>
      <rPr>
        <sz val="9"/>
        <color rgb="FF000000"/>
        <rFont val="楷体"/>
        <charset val="134"/>
      </rPr>
      <t>线城市小店提供一流的供应链服务，创立以来迅速成长为华南最大的快消品</t>
    </r>
    <r>
      <rPr>
        <sz val="9"/>
        <color rgb="FF000000"/>
        <rFont val="Arial"/>
        <charset val="134"/>
      </rPr>
      <t>TO B</t>
    </r>
    <r>
      <rPr>
        <sz val="9"/>
        <color rgb="FF000000"/>
        <rFont val="楷体"/>
        <charset val="134"/>
      </rPr>
      <t>电商，服务</t>
    </r>
    <r>
      <rPr>
        <sz val="9"/>
        <color rgb="FF000000"/>
        <rFont val="Arial"/>
        <charset val="134"/>
      </rPr>
      <t>10</t>
    </r>
    <r>
      <rPr>
        <sz val="9"/>
        <color rgb="FF000000"/>
        <rFont val="楷体"/>
        <charset val="134"/>
      </rPr>
      <t>万家门店，并获得了美团点评，源码资本等一线风险投资的支持。</t>
    </r>
  </si>
  <si>
    <r>
      <rPr>
        <sz val="9"/>
        <color rgb="FF000000"/>
        <rFont val="楷体"/>
        <charset val="134"/>
      </rPr>
      <t>广州市小蓝车网络科技有限公司</t>
    </r>
  </si>
  <si>
    <r>
      <t>2.28</t>
    </r>
    <r>
      <rPr>
        <sz val="9"/>
        <color rgb="FF000000"/>
        <rFont val="楷体"/>
        <charset val="134"/>
      </rPr>
      <t>亿</t>
    </r>
  </si>
  <si>
    <r>
      <rPr>
        <sz val="9"/>
        <color rgb="FF000000"/>
        <rFont val="楷体"/>
        <charset val="134"/>
      </rPr>
      <t>郑毓彬</t>
    </r>
    <r>
      <rPr>
        <sz val="9"/>
        <color rgb="FF000000"/>
        <rFont val="Arial"/>
        <charset val="134"/>
      </rPr>
      <t>:CEO</t>
    </r>
  </si>
  <si>
    <r>
      <rPr>
        <sz val="9"/>
        <color rgb="FF000000"/>
        <rFont val="楷体"/>
        <charset val="134"/>
      </rPr>
      <t>广东省广州市天河区中山大道华港商务大厦西塔</t>
    </r>
    <r>
      <rPr>
        <sz val="9"/>
        <color rgb="FF000000"/>
        <rFont val="Arial"/>
        <charset val="134"/>
      </rPr>
      <t>1814</t>
    </r>
    <r>
      <rPr>
        <sz val="9"/>
        <color rgb="FF000000"/>
        <rFont val="楷体"/>
        <charset val="134"/>
      </rPr>
      <t>号</t>
    </r>
  </si>
  <si>
    <r>
      <t>2.05</t>
    </r>
    <r>
      <rPr>
        <sz val="9"/>
        <color rgb="FF000000"/>
        <rFont val="楷体"/>
        <charset val="134"/>
      </rPr>
      <t>亿人民币</t>
    </r>
  </si>
  <si>
    <r>
      <rPr>
        <sz val="9"/>
        <color rgb="FF000000"/>
        <rFont val="楷体"/>
        <charset val="134"/>
      </rPr>
      <t>汉能投资</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普洛斯</t>
    </r>
    <r>
      <rPr>
        <sz val="9"/>
        <color rgb="FF000000"/>
        <rFont val="Arial"/>
        <charset val="134"/>
      </rPr>
      <t>GLP,</t>
    </r>
    <r>
      <rPr>
        <sz val="9"/>
        <color rgb="FF000000"/>
        <rFont val="楷体"/>
        <charset val="134"/>
      </rPr>
      <t>美团龙珠</t>
    </r>
  </si>
  <si>
    <r>
      <rPr>
        <sz val="9"/>
        <color rgb="FF000000"/>
        <rFont val="楷体"/>
        <charset val="134"/>
      </rPr>
      <t>源码资本</t>
    </r>
    <r>
      <rPr>
        <sz val="9"/>
        <color rgb="FF000000"/>
        <rFont val="Arial"/>
        <charset val="134"/>
      </rPr>
      <t>,</t>
    </r>
    <r>
      <rPr>
        <sz val="9"/>
        <color rgb="FF000000"/>
        <rFont val="楷体"/>
        <charset val="134"/>
      </rPr>
      <t>美团龙珠</t>
    </r>
  </si>
  <si>
    <r>
      <rPr>
        <sz val="9"/>
        <color rgb="FF000000"/>
        <rFont val="楷体"/>
        <charset val="134"/>
      </rPr>
      <t>东方富海</t>
    </r>
    <r>
      <rPr>
        <sz val="9"/>
        <color rgb="FF000000"/>
        <rFont val="Arial"/>
        <charset val="134"/>
      </rPr>
      <t>,</t>
    </r>
    <r>
      <rPr>
        <sz val="9"/>
        <color rgb="FF000000"/>
        <rFont val="楷体"/>
        <charset val="134"/>
      </rPr>
      <t>琢石投资</t>
    </r>
  </si>
  <si>
    <r>
      <rPr>
        <sz val="9"/>
        <color rgb="FF000000"/>
        <rFont val="楷体"/>
        <charset val="134"/>
      </rPr>
      <t>喜茶</t>
    </r>
    <r>
      <rPr>
        <sz val="9"/>
        <color rgb="FF000000"/>
        <rFont val="Arial"/>
        <charset val="134"/>
      </rPr>
      <t>HEYTEA</t>
    </r>
  </si>
  <si>
    <r>
      <rPr>
        <sz val="9"/>
        <color rgb="FF000000"/>
        <rFont val="楷体"/>
        <charset val="134"/>
      </rPr>
      <t>喜茶</t>
    </r>
    <r>
      <rPr>
        <sz val="9"/>
        <color rgb="FF000000"/>
        <rFont val="Arial"/>
        <charset val="134"/>
      </rPr>
      <t>HEYTEA</t>
    </r>
    <r>
      <rPr>
        <sz val="9"/>
        <color rgb="FF000000"/>
        <rFont val="楷体"/>
        <charset val="134"/>
      </rPr>
      <t>是一家茶餐饮管理企业，以白领阶层、年轻势力为主流消费群体，以休闲、饮品为主打产品，致力于打造全新的饮品形态，将传统奶茶与健康茶文化溶合一体。</t>
    </r>
  </si>
  <si>
    <r>
      <rPr>
        <sz val="9"/>
        <color rgb="FF000000"/>
        <rFont val="楷体"/>
        <charset val="134"/>
      </rPr>
      <t>深圳美西西餐饮管理有限公司</t>
    </r>
  </si>
  <si>
    <r>
      <t>5</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</si>
  <si>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高瓴投资</t>
    </r>
    <r>
      <rPr>
        <sz val="9"/>
        <color rgb="FF000000"/>
        <rFont val="Arial"/>
        <charset val="134"/>
      </rPr>
      <t>,</t>
    </r>
    <r>
      <rPr>
        <sz val="9"/>
        <color rgb="FF000000"/>
        <rFont val="楷体"/>
        <charset val="134"/>
      </rPr>
      <t>黑蚁资本</t>
    </r>
    <r>
      <rPr>
        <sz val="9"/>
        <color rgb="FF000000"/>
        <rFont val="Arial"/>
        <charset val="134"/>
      </rPr>
      <t>,L Catterton,</t>
    </r>
    <r>
      <rPr>
        <sz val="9"/>
        <color rgb="FF000000"/>
        <rFont val="楷体"/>
        <charset val="134"/>
      </rPr>
      <t>日初资本</t>
    </r>
  </si>
  <si>
    <r>
      <t>60</t>
    </r>
    <r>
      <rPr>
        <sz val="9"/>
        <color rgb="FF000000"/>
        <rFont val="楷体"/>
        <charset val="134"/>
      </rPr>
      <t>亿</t>
    </r>
  </si>
  <si>
    <r>
      <t>617.5</t>
    </r>
    <r>
      <rPr>
        <sz val="9"/>
        <color rgb="FF000000"/>
        <rFont val="楷体"/>
        <charset val="134"/>
      </rPr>
      <t>亿元</t>
    </r>
  </si>
  <si>
    <r>
      <rPr>
        <sz val="9"/>
        <color rgb="FF000000"/>
        <rFont val="楷体"/>
        <charset val="134"/>
      </rPr>
      <t>聂云宸</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陈霈霖</t>
    </r>
    <r>
      <rPr>
        <sz val="9"/>
        <color rgb="FF000000"/>
        <rFont val="Arial"/>
        <charset val="134"/>
      </rPr>
      <t>:CTO</t>
    </r>
  </si>
  <si>
    <r>
      <rPr>
        <sz val="9"/>
        <color rgb="FF000000"/>
        <rFont val="楷体"/>
        <charset val="134"/>
      </rPr>
      <t>南山区航天科技广场</t>
    </r>
    <r>
      <rPr>
        <sz val="9"/>
        <color rgb="FF000000"/>
        <rFont val="Arial"/>
        <charset val="134"/>
      </rPr>
      <t>B</t>
    </r>
    <r>
      <rPr>
        <sz val="9"/>
        <color rgb="FF000000"/>
        <rFont val="楷体"/>
        <charset val="134"/>
      </rPr>
      <t>座</t>
    </r>
    <r>
      <rPr>
        <sz val="9"/>
        <color rgb="FF000000"/>
        <rFont val="Arial"/>
        <charset val="134"/>
      </rPr>
      <t>602C</t>
    </r>
  </si>
  <si>
    <r>
      <rPr>
        <sz val="9"/>
        <color rgb="FF000000"/>
        <rFont val="楷体"/>
        <charset val="134"/>
      </rPr>
      <t>高瓴投资</t>
    </r>
    <r>
      <rPr>
        <sz val="9"/>
        <color rgb="FF000000"/>
        <rFont val="Arial"/>
        <charset val="134"/>
      </rPr>
      <t>,Coatue Management</t>
    </r>
  </si>
  <si>
    <r>
      <rPr>
        <sz val="9"/>
        <color rgb="FF000000"/>
        <rFont val="楷体"/>
        <charset val="134"/>
      </rPr>
      <t>红杉资本中国</t>
    </r>
    <r>
      <rPr>
        <sz val="9"/>
        <color rgb="FF000000"/>
        <rFont val="Arial"/>
        <charset val="134"/>
      </rPr>
      <t>,</t>
    </r>
    <r>
      <rPr>
        <sz val="9"/>
        <color rgb="FF000000"/>
        <rFont val="楷体"/>
        <charset val="134"/>
      </rPr>
      <t>腾讯投资</t>
    </r>
  </si>
  <si>
    <r>
      <rPr>
        <sz val="9"/>
        <color rgb="FF000000"/>
        <rFont val="楷体"/>
        <charset val="134"/>
      </rPr>
      <t>黑蚁资本</t>
    </r>
    <r>
      <rPr>
        <sz val="9"/>
        <color rgb="FF000000"/>
        <rFont val="Arial"/>
        <charset val="134"/>
      </rPr>
      <t>,</t>
    </r>
    <r>
      <rPr>
        <sz val="9"/>
        <color rgb="FF000000"/>
        <rFont val="楷体"/>
        <charset val="134"/>
      </rPr>
      <t>美团龙珠</t>
    </r>
  </si>
  <si>
    <r>
      <t>IDG</t>
    </r>
    <r>
      <rPr>
        <sz val="9"/>
        <color rgb="FF000000"/>
        <rFont val="楷体"/>
        <charset val="134"/>
      </rPr>
      <t>资本</t>
    </r>
    <r>
      <rPr>
        <sz val="9"/>
        <color rgb="FF000000"/>
        <rFont val="Arial"/>
        <charset val="134"/>
      </rPr>
      <t>,</t>
    </r>
    <r>
      <rPr>
        <sz val="9"/>
        <color rgb="FF000000"/>
        <rFont val="楷体"/>
        <charset val="134"/>
      </rPr>
      <t>今日投资</t>
    </r>
  </si>
  <si>
    <r>
      <rPr>
        <sz val="9"/>
        <color rgb="FF000000"/>
        <rFont val="楷体"/>
        <charset val="134"/>
      </rPr>
      <t>乐禾食品集团股份有限公司</t>
    </r>
  </si>
  <si>
    <r>
      <rPr>
        <sz val="9"/>
        <color rgb="FF000000"/>
        <rFont val="楷体"/>
        <charset val="134"/>
      </rPr>
      <t>广州市白云区金沙洲平乐中街</t>
    </r>
    <r>
      <rPr>
        <sz val="9"/>
        <color rgb="FF000000"/>
        <rFont val="Arial"/>
        <charset val="134"/>
      </rPr>
      <t>18</t>
    </r>
    <r>
      <rPr>
        <sz val="9"/>
        <color rgb="FF000000"/>
        <rFont val="楷体"/>
        <charset val="134"/>
      </rPr>
      <t>号乐禾中心</t>
    </r>
  </si>
  <si>
    <r>
      <rPr>
        <sz val="9"/>
        <color rgb="FF000000"/>
        <rFont val="楷体"/>
        <charset val="134"/>
      </rPr>
      <t>美团龙珠</t>
    </r>
    <r>
      <rPr>
        <sz val="9"/>
        <color rgb="FF000000"/>
        <rFont val="Arial"/>
        <charset val="134"/>
      </rPr>
      <t>,</t>
    </r>
    <r>
      <rPr>
        <sz val="9"/>
        <color rgb="FF000000"/>
        <rFont val="楷体"/>
        <charset val="134"/>
      </rPr>
      <t>和智投资</t>
    </r>
  </si>
  <si>
    <r>
      <rPr>
        <sz val="9"/>
        <color rgb="FF000000"/>
        <rFont val="楷体"/>
        <charset val="134"/>
      </rPr>
      <t>和智投资</t>
    </r>
  </si>
  <si>
    <r>
      <rPr>
        <sz val="9"/>
        <color rgb="FF000000"/>
        <rFont val="楷体"/>
        <charset val="134"/>
      </rPr>
      <t>新恒利达资本</t>
    </r>
    <r>
      <rPr>
        <sz val="9"/>
        <color rgb="FF000000"/>
        <rFont val="Arial"/>
        <charset val="134"/>
      </rPr>
      <t>,</t>
    </r>
    <r>
      <rPr>
        <sz val="9"/>
        <color rgb="FF000000"/>
        <rFont val="楷体"/>
        <charset val="134"/>
      </rPr>
      <t>大连君泰</t>
    </r>
    <r>
      <rPr>
        <sz val="9"/>
        <color rgb="FF000000"/>
        <rFont val="Arial"/>
        <charset val="134"/>
      </rPr>
      <t>,</t>
    </r>
    <r>
      <rPr>
        <sz val="9"/>
        <color rgb="FF000000"/>
        <rFont val="楷体"/>
        <charset val="134"/>
      </rPr>
      <t>无域资本</t>
    </r>
  </si>
  <si>
    <r>
      <rPr>
        <sz val="9"/>
        <color rgb="FF000000"/>
        <rFont val="楷体"/>
        <charset val="134"/>
      </rPr>
      <t>认养一头牛控股集团股份有限公司</t>
    </r>
  </si>
  <si>
    <r>
      <rPr>
        <sz val="9"/>
        <color rgb="FF000000"/>
        <rFont val="楷体"/>
        <charset val="134"/>
      </rPr>
      <t>浙江省杭州市余杭区仓前街道余杭塘路</t>
    </r>
    <r>
      <rPr>
        <sz val="9"/>
        <color rgb="FF000000"/>
        <rFont val="Arial"/>
        <charset val="134"/>
      </rPr>
      <t>2636</t>
    </r>
    <r>
      <rPr>
        <sz val="9"/>
        <color rgb="FF000000"/>
        <rFont val="楷体"/>
        <charset val="134"/>
      </rPr>
      <t>号</t>
    </r>
  </si>
  <si>
    <r>
      <t>KKR,</t>
    </r>
    <r>
      <rPr>
        <sz val="9"/>
        <color rgb="FF000000"/>
        <rFont val="楷体"/>
        <charset val="134"/>
      </rPr>
      <t>海邦投资</t>
    </r>
    <r>
      <rPr>
        <sz val="9"/>
        <color rgb="FF000000"/>
        <rFont val="Arial"/>
        <charset val="134"/>
      </rPr>
      <t>,</t>
    </r>
    <r>
      <rPr>
        <sz val="9"/>
        <color rgb="FF000000"/>
        <rFont val="楷体"/>
        <charset val="134"/>
      </rPr>
      <t>广和投资</t>
    </r>
    <r>
      <rPr>
        <sz val="9"/>
        <color rgb="FF000000"/>
        <rFont val="Arial"/>
        <charset val="134"/>
      </rPr>
      <t>,</t>
    </r>
    <r>
      <rPr>
        <sz val="9"/>
        <color rgb="FF000000"/>
        <rFont val="楷体"/>
        <charset val="134"/>
      </rPr>
      <t>德弘资本</t>
    </r>
  </si>
  <si>
    <r>
      <rPr>
        <sz val="9"/>
        <color rgb="FF000000"/>
        <rFont val="楷体"/>
        <charset val="134"/>
      </rPr>
      <t>云集</t>
    </r>
  </si>
  <si>
    <r>
      <rPr>
        <sz val="9"/>
        <color rgb="FF000000"/>
        <rFont val="楷体"/>
        <charset val="134"/>
      </rPr>
      <t>头头是道投资基金</t>
    </r>
  </si>
  <si>
    <r>
      <rPr>
        <sz val="9"/>
        <color rgb="FF000000"/>
        <rFont val="楷体"/>
        <charset val="134"/>
      </rPr>
      <t>康品汇</t>
    </r>
  </si>
  <si>
    <r>
      <rPr>
        <sz val="9"/>
        <color rgb="FF000000"/>
        <rFont val="楷体"/>
        <charset val="134"/>
      </rPr>
      <t>康品汇是一个社区生鲜品牌，以中高端社区实体店作为用户体验中心，围绕社区布局精选生鲜超市，并通过互联网平台实现门店三公里范围内约时配送。</t>
    </r>
  </si>
  <si>
    <r>
      <rPr>
        <sz val="9"/>
        <color rgb="FF000000"/>
        <rFont val="楷体"/>
        <charset val="134"/>
      </rPr>
      <t>上海康品汇网络科技有限公司</t>
    </r>
  </si>
  <si>
    <r>
      <rPr>
        <sz val="9"/>
        <color rgb="FF000000"/>
        <rFont val="楷体"/>
        <charset val="134"/>
      </rPr>
      <t>社区电商</t>
    </r>
  </si>
  <si>
    <r>
      <t>SBI</t>
    </r>
    <r>
      <rPr>
        <sz val="9"/>
        <color rgb="FF000000"/>
        <rFont val="楷体"/>
        <charset val="134"/>
      </rPr>
      <t>投资</t>
    </r>
    <r>
      <rPr>
        <sz val="9"/>
        <color rgb="FF000000"/>
        <rFont val="Arial"/>
        <charset val="134"/>
      </rPr>
      <t>(</t>
    </r>
    <r>
      <rPr>
        <sz val="9"/>
        <color rgb="FF000000"/>
        <rFont val="楷体"/>
        <charset val="134"/>
      </rPr>
      <t>思佰益</t>
    </r>
    <r>
      <rPr>
        <sz val="9"/>
        <color rgb="FF000000"/>
        <rFont val="Arial"/>
        <charset val="134"/>
      </rPr>
      <t>),</t>
    </r>
    <r>
      <rPr>
        <sz val="9"/>
        <color rgb="FF000000"/>
        <rFont val="楷体"/>
        <charset val="134"/>
      </rPr>
      <t>棋盘投资</t>
    </r>
    <r>
      <rPr>
        <sz val="9"/>
        <color rgb="FF000000"/>
        <rFont val="Arial"/>
        <charset val="134"/>
      </rPr>
      <t>,</t>
    </r>
    <r>
      <rPr>
        <sz val="9"/>
        <color rgb="FF000000"/>
        <rFont val="楷体"/>
        <charset val="134"/>
      </rPr>
      <t>严明</t>
    </r>
    <r>
      <rPr>
        <sz val="9"/>
        <color rgb="FF000000"/>
        <rFont val="Arial"/>
        <charset val="134"/>
      </rPr>
      <t>,</t>
    </r>
    <r>
      <rPr>
        <sz val="9"/>
        <color rgb="FF000000"/>
        <rFont val="楷体"/>
        <charset val="134"/>
      </rPr>
      <t>陶云</t>
    </r>
  </si>
  <si>
    <r>
      <rPr>
        <sz val="9"/>
        <color rgb="FF000000"/>
        <rFont val="楷体"/>
        <charset val="134"/>
      </rPr>
      <t>陶云</t>
    </r>
    <r>
      <rPr>
        <sz val="9"/>
        <color rgb="FF000000"/>
        <rFont val="Arial"/>
        <charset val="134"/>
      </rPr>
      <t>:</t>
    </r>
    <r>
      <rPr>
        <sz val="9"/>
        <color rgb="FF000000"/>
        <rFont val="楷体"/>
        <charset val="134"/>
      </rPr>
      <t>董事长</t>
    </r>
  </si>
  <si>
    <r>
      <rPr>
        <sz val="9"/>
        <color rgb="FF000000"/>
        <rFont val="楷体"/>
        <charset val="134"/>
      </rPr>
      <t>上海市浦东新区浦三路</t>
    </r>
    <r>
      <rPr>
        <sz val="9"/>
        <color rgb="FF000000"/>
        <rFont val="Arial"/>
        <charset val="134"/>
      </rPr>
      <t>3058</t>
    </r>
    <r>
      <rPr>
        <sz val="9"/>
        <color rgb="FF000000"/>
        <rFont val="楷体"/>
        <charset val="134"/>
      </rPr>
      <t>号二（楼）</t>
    </r>
    <r>
      <rPr>
        <sz val="9"/>
        <color rgb="FF000000"/>
        <rFont val="Arial"/>
        <charset val="134"/>
      </rPr>
      <t>269</t>
    </r>
    <r>
      <rPr>
        <sz val="9"/>
        <color rgb="FF000000"/>
        <rFont val="楷体"/>
        <charset val="134"/>
      </rPr>
      <t>室</t>
    </r>
  </si>
  <si>
    <r>
      <rPr>
        <sz val="9"/>
        <color rgb="FF000000"/>
        <rFont val="楷体"/>
        <charset val="134"/>
      </rPr>
      <t>高榕资本</t>
    </r>
  </si>
  <si>
    <r>
      <t>JJ</t>
    </r>
    <r>
      <rPr>
        <sz val="9"/>
        <color rgb="FF000000"/>
        <rFont val="楷体"/>
        <charset val="134"/>
      </rPr>
      <t>比赛</t>
    </r>
    <r>
      <rPr>
        <sz val="9"/>
        <color rgb="FF000000"/>
        <rFont val="Arial"/>
        <charset val="134"/>
      </rPr>
      <t>(</t>
    </r>
    <r>
      <rPr>
        <sz val="9"/>
        <color rgb="FF000000"/>
        <rFont val="楷体"/>
        <charset val="134"/>
      </rPr>
      <t>竞技创投</t>
    </r>
    <r>
      <rPr>
        <sz val="9"/>
        <color rgb="FF000000"/>
        <rFont val="Arial"/>
        <charset val="134"/>
      </rPr>
      <t>),</t>
    </r>
    <r>
      <rPr>
        <sz val="9"/>
        <color rgb="FF000000"/>
        <rFont val="楷体"/>
        <charset val="134"/>
      </rPr>
      <t>美团龙珠</t>
    </r>
  </si>
  <si>
    <r>
      <rPr>
        <sz val="9"/>
        <color rgb="FF000000"/>
        <rFont val="楷体"/>
        <charset val="134"/>
      </rPr>
      <t>幸福西饼</t>
    </r>
  </si>
  <si>
    <r>
      <rPr>
        <sz val="9"/>
        <color rgb="FF000000"/>
        <rFont val="楷体"/>
        <charset val="134"/>
      </rPr>
      <t>幸福西饼最初是线下烘焙连锁品牌，</t>
    </r>
    <r>
      <rPr>
        <sz val="9"/>
        <color rgb="FF000000"/>
        <rFont val="Arial"/>
        <charset val="134"/>
      </rPr>
      <t>2013</t>
    </r>
    <r>
      <rPr>
        <sz val="9"/>
        <color rgb="FF000000"/>
        <rFont val="楷体"/>
        <charset val="134"/>
      </rPr>
      <t>年转型做互联网蛋糕。通过线上下单，线下中央工厂和分布式工厂配合并自建配送团队送货上门的形式，服务用户，该模式能保证蛋糕新鲜现做，及时配送。</t>
    </r>
  </si>
  <si>
    <r>
      <rPr>
        <sz val="9"/>
        <color rgb="FF000000"/>
        <rFont val="楷体"/>
        <charset val="134"/>
      </rPr>
      <t>深圳市幸福西饼食品有限公司</t>
    </r>
  </si>
  <si>
    <r>
      <rPr>
        <sz val="9"/>
        <color rgb="FF000000"/>
        <rFont val="楷体"/>
        <charset val="134"/>
      </rPr>
      <t>亚商资本</t>
    </r>
    <r>
      <rPr>
        <sz val="9"/>
        <color rgb="FF000000"/>
        <rFont val="Arial"/>
        <charset val="134"/>
      </rPr>
      <t>,</t>
    </r>
    <r>
      <rPr>
        <sz val="9"/>
        <color rgb="FF000000"/>
        <rFont val="楷体"/>
        <charset val="134"/>
      </rPr>
      <t>春涧资本</t>
    </r>
    <r>
      <rPr>
        <sz val="9"/>
        <color rgb="FF000000"/>
        <rFont val="Arial"/>
        <charset val="134"/>
      </rPr>
      <t>,</t>
    </r>
    <r>
      <rPr>
        <sz val="9"/>
        <color rgb="FF000000"/>
        <rFont val="楷体"/>
        <charset val="134"/>
      </rPr>
      <t>福杉投资</t>
    </r>
  </si>
  <si>
    <r>
      <t>9.06</t>
    </r>
    <r>
      <rPr>
        <sz val="9"/>
        <color rgb="FF000000"/>
        <rFont val="楷体"/>
        <charset val="134"/>
      </rPr>
      <t>亿</t>
    </r>
  </si>
  <si>
    <r>
      <rPr>
        <sz val="9"/>
        <color rgb="FF000000"/>
        <rFont val="楷体"/>
        <charset val="134"/>
      </rPr>
      <t>袁火洪</t>
    </r>
    <r>
      <rPr>
        <sz val="9"/>
        <color rgb="FF000000"/>
        <rFont val="Arial"/>
        <charset val="134"/>
      </rPr>
      <t>:</t>
    </r>
    <r>
      <rPr>
        <sz val="9"/>
        <color rgb="FF000000"/>
        <rFont val="楷体"/>
        <charset val="134"/>
      </rPr>
      <t>董事长</t>
    </r>
  </si>
  <si>
    <r>
      <rPr>
        <sz val="9"/>
        <color rgb="FF000000"/>
        <rFont val="楷体"/>
        <charset val="134"/>
      </rPr>
      <t>深圳市</t>
    </r>
    <r>
      <rPr>
        <sz val="9"/>
        <color rgb="FF000000"/>
        <rFont val="Arial"/>
        <charset val="134"/>
      </rPr>
      <t xml:space="preserve"> </t>
    </r>
    <r>
      <rPr>
        <sz val="9"/>
        <color rgb="FF000000"/>
        <rFont val="楷体"/>
        <charset val="134"/>
      </rPr>
      <t>龙岗区</t>
    </r>
    <r>
      <rPr>
        <sz val="9"/>
        <color rgb="FF000000"/>
        <rFont val="Arial"/>
        <charset val="134"/>
      </rPr>
      <t xml:space="preserve"> </t>
    </r>
    <r>
      <rPr>
        <sz val="9"/>
        <color rgb="FF000000"/>
        <rFont val="楷体"/>
        <charset val="134"/>
      </rPr>
      <t>布龙路</t>
    </r>
    <r>
      <rPr>
        <sz val="9"/>
        <color rgb="FF000000"/>
        <rFont val="Arial"/>
        <charset val="134"/>
      </rPr>
      <t>339</t>
    </r>
    <r>
      <rPr>
        <sz val="9"/>
        <color rgb="FF000000"/>
        <rFont val="楷体"/>
        <charset val="134"/>
      </rPr>
      <t>号</t>
    </r>
    <r>
      <rPr>
        <sz val="9"/>
        <color rgb="FF000000"/>
        <rFont val="Arial"/>
        <charset val="134"/>
      </rPr>
      <t xml:space="preserve"> </t>
    </r>
    <r>
      <rPr>
        <sz val="9"/>
        <color rgb="FF000000"/>
        <rFont val="楷体"/>
        <charset val="134"/>
      </rPr>
      <t>鸿生源工业区</t>
    </r>
    <r>
      <rPr>
        <sz val="9"/>
        <color rgb="FF000000"/>
        <rFont val="Arial"/>
        <charset val="134"/>
      </rPr>
      <t>A</t>
    </r>
    <r>
      <rPr>
        <sz val="9"/>
        <color rgb="FF000000"/>
        <rFont val="楷体"/>
        <charset val="134"/>
      </rPr>
      <t>栋</t>
    </r>
    <r>
      <rPr>
        <sz val="9"/>
        <color rgb="FF000000"/>
        <rFont val="Arial"/>
        <charset val="134"/>
      </rPr>
      <t>5</t>
    </r>
    <r>
      <rPr>
        <sz val="9"/>
        <color rgb="FF000000"/>
        <rFont val="楷体"/>
        <charset val="134"/>
      </rPr>
      <t>层</t>
    </r>
  </si>
  <si>
    <r>
      <rPr>
        <sz val="9"/>
        <color rgb="FF000000"/>
        <rFont val="楷体"/>
        <charset val="134"/>
      </rPr>
      <t>信中利资本</t>
    </r>
    <r>
      <rPr>
        <sz val="9"/>
        <color rgb="FF000000"/>
        <rFont val="Arial"/>
        <charset val="134"/>
      </rPr>
      <t>,</t>
    </r>
    <r>
      <rPr>
        <sz val="9"/>
        <color rgb="FF000000"/>
        <rFont val="楷体"/>
        <charset val="134"/>
      </rPr>
      <t>亚商资本</t>
    </r>
    <r>
      <rPr>
        <sz val="9"/>
        <color rgb="FF000000"/>
        <rFont val="Arial"/>
        <charset val="134"/>
      </rPr>
      <t>,</t>
    </r>
    <r>
      <rPr>
        <sz val="9"/>
        <color rgb="FF000000"/>
        <rFont val="楷体"/>
        <charset val="134"/>
      </rPr>
      <t>华兴新经济基金</t>
    </r>
    <r>
      <rPr>
        <sz val="9"/>
        <color rgb="FF000000"/>
        <rFont val="Arial"/>
        <charset val="134"/>
      </rPr>
      <t>,</t>
    </r>
    <r>
      <rPr>
        <sz val="9"/>
        <color rgb="FF000000"/>
        <rFont val="楷体"/>
        <charset val="134"/>
      </rPr>
      <t>璀璨资本</t>
    </r>
    <r>
      <rPr>
        <sz val="9"/>
        <color rgb="FF000000"/>
        <rFont val="Arial"/>
        <charset val="134"/>
      </rPr>
      <t>,</t>
    </r>
    <r>
      <rPr>
        <sz val="9"/>
        <color rgb="FF000000"/>
        <rFont val="楷体"/>
        <charset val="134"/>
      </rPr>
      <t>美团龙珠</t>
    </r>
  </si>
  <si>
    <r>
      <rPr>
        <sz val="9"/>
        <color rgb="FF000000"/>
        <rFont val="楷体"/>
        <charset val="134"/>
      </rPr>
      <t>掌通家园</t>
    </r>
    <r>
      <rPr>
        <sz val="9"/>
        <color rgb="FF000000"/>
        <rFont val="Arial"/>
        <charset val="134"/>
      </rPr>
      <t>,</t>
    </r>
    <r>
      <rPr>
        <sz val="9"/>
        <color rgb="FF000000"/>
        <rFont val="楷体"/>
        <charset val="134"/>
      </rPr>
      <t>赛伯乐投资</t>
    </r>
    <r>
      <rPr>
        <sz val="9"/>
        <color rgb="FF000000"/>
        <rFont val="Arial"/>
        <charset val="134"/>
      </rPr>
      <t>,</t>
    </r>
    <r>
      <rPr>
        <sz val="9"/>
        <color rgb="FF000000"/>
        <rFont val="楷体"/>
        <charset val="134"/>
      </rPr>
      <t>璀璨资本</t>
    </r>
  </si>
  <si>
    <r>
      <t>9600</t>
    </r>
    <r>
      <rPr>
        <sz val="9"/>
        <color rgb="FF000000"/>
        <rFont val="楷体"/>
        <charset val="134"/>
      </rPr>
      <t>万人民币</t>
    </r>
  </si>
  <si>
    <r>
      <rPr>
        <sz val="9"/>
        <color rgb="FF000000"/>
        <rFont val="楷体"/>
        <charset val="134"/>
      </rPr>
      <t>璀璨资本</t>
    </r>
    <r>
      <rPr>
        <sz val="9"/>
        <color rgb="FF000000"/>
        <rFont val="Arial"/>
        <charset val="134"/>
      </rPr>
      <t>,</t>
    </r>
    <r>
      <rPr>
        <sz val="9"/>
        <color rgb="FF000000"/>
        <rFont val="楷体"/>
        <charset val="134"/>
      </rPr>
      <t>美团龙珠</t>
    </r>
  </si>
  <si>
    <r>
      <rPr>
        <sz val="9"/>
        <color rgb="FF000000"/>
        <rFont val="楷体"/>
        <charset val="134"/>
      </rPr>
      <t>绝味网聚资本</t>
    </r>
  </si>
  <si>
    <r>
      <t>Manner</t>
    </r>
    <r>
      <rPr>
        <sz val="9"/>
        <color rgb="FF000000"/>
        <rFont val="楷体"/>
        <charset val="134"/>
      </rPr>
      <t>咖啡</t>
    </r>
  </si>
  <si>
    <r>
      <t>Manner coffee</t>
    </r>
    <r>
      <rPr>
        <sz val="9"/>
        <color rgb="FF000000"/>
        <rFont val="楷体"/>
        <charset val="134"/>
      </rPr>
      <t>是一个咖啡连锁品牌，主要为用户提供咖啡、茶饮、冰沙、果汁以及甜点等美食，同时提供咖啡机、咖啡杯、挂耳包等咖啡相关产品；旗下拥有</t>
    </r>
    <r>
      <rPr>
        <sz val="9"/>
        <color rgb="FF000000"/>
        <rFont val="Arial"/>
        <charset val="134"/>
      </rPr>
      <t>MANNERLIFE</t>
    </r>
    <r>
      <rPr>
        <sz val="9"/>
        <color rgb="FF000000"/>
        <rFont val="楷体"/>
        <charset val="134"/>
      </rPr>
      <t>系列品牌产品，包括</t>
    </r>
    <r>
      <rPr>
        <sz val="9"/>
        <color rgb="FF000000"/>
        <rFont val="Arial"/>
        <charset val="134"/>
      </rPr>
      <t>Brewista</t>
    </r>
    <r>
      <rPr>
        <sz val="9"/>
        <color rgb="FF000000"/>
        <rFont val="楷体"/>
        <charset val="134"/>
      </rPr>
      <t>手冲壶、</t>
    </r>
    <r>
      <rPr>
        <sz val="9"/>
        <color rgb="FF000000"/>
        <rFont val="Arial"/>
        <charset val="134"/>
      </rPr>
      <t>Ringco</t>
    </r>
    <r>
      <rPr>
        <sz val="9"/>
        <color rgb="FF000000"/>
        <rFont val="楷体"/>
        <charset val="134"/>
      </rPr>
      <t>咖啡随行杯等。</t>
    </r>
  </si>
  <si>
    <r>
      <rPr>
        <sz val="9"/>
        <color rgb="FF000000"/>
        <rFont val="楷体"/>
        <charset val="134"/>
      </rPr>
      <t>上海茵赫实业有限公司</t>
    </r>
  </si>
  <si>
    <r>
      <rPr>
        <sz val="9"/>
        <color rgb="FF000000"/>
        <rFont val="楷体"/>
        <charset val="134"/>
      </rPr>
      <t>字节跳动</t>
    </r>
  </si>
  <si>
    <r>
      <t>43.7</t>
    </r>
    <r>
      <rPr>
        <sz val="9"/>
        <color rgb="FF000000"/>
        <rFont val="楷体"/>
        <charset val="134"/>
      </rPr>
      <t>亿</t>
    </r>
  </si>
  <si>
    <r>
      <t>162.5</t>
    </r>
    <r>
      <rPr>
        <sz val="9"/>
        <color rgb="FF000000"/>
        <rFont val="楷体"/>
        <charset val="134"/>
      </rPr>
      <t>亿元</t>
    </r>
  </si>
  <si>
    <r>
      <rPr>
        <sz val="9"/>
        <color rgb="FF000000"/>
        <rFont val="楷体"/>
        <charset val="134"/>
      </rPr>
      <t>韩玉龙</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陆剑霞</t>
    </r>
    <r>
      <rPr>
        <sz val="9"/>
        <color rgb="FF000000"/>
        <rFont val="Arial"/>
        <charset val="134"/>
      </rPr>
      <t>:</t>
    </r>
    <r>
      <rPr>
        <sz val="9"/>
        <color rgb="FF000000"/>
        <rFont val="楷体"/>
        <charset val="134"/>
      </rPr>
      <t>联合创始人</t>
    </r>
  </si>
  <si>
    <r>
      <rPr>
        <sz val="9"/>
        <color rgb="FF000000"/>
        <rFont val="楷体"/>
        <charset val="134"/>
      </rPr>
      <t>上海市静安区成都北路</t>
    </r>
    <r>
      <rPr>
        <sz val="9"/>
        <color rgb="FF000000"/>
        <rFont val="Arial"/>
        <charset val="134"/>
      </rPr>
      <t>199</t>
    </r>
    <r>
      <rPr>
        <sz val="9"/>
        <color rgb="FF000000"/>
        <rFont val="楷体"/>
        <charset val="134"/>
      </rPr>
      <t>号恒利国际大厦</t>
    </r>
  </si>
  <si>
    <r>
      <rPr>
        <sz val="9"/>
        <color rgb="FF000000"/>
        <rFont val="楷体"/>
        <charset val="134"/>
      </rPr>
      <t>淡马锡</t>
    </r>
    <r>
      <rPr>
        <sz val="9"/>
        <color rgb="FF000000"/>
        <rFont val="Arial"/>
        <charset val="134"/>
      </rPr>
      <t>Temasek</t>
    </r>
  </si>
  <si>
    <r>
      <rPr>
        <sz val="9"/>
        <color rgb="FF000000"/>
        <rFont val="楷体"/>
        <charset val="134"/>
      </rPr>
      <t>今日资本</t>
    </r>
    <r>
      <rPr>
        <sz val="9"/>
        <color rgb="FF000000"/>
        <rFont val="Arial"/>
        <charset val="134"/>
      </rPr>
      <t>,Coatue Management,H Capital</t>
    </r>
  </si>
  <si>
    <r>
      <rPr>
        <sz val="9"/>
        <color rgb="FF000000"/>
        <rFont val="楷体"/>
        <charset val="134"/>
      </rPr>
      <t>今日资本</t>
    </r>
  </si>
  <si>
    <r>
      <rPr>
        <sz val="9"/>
        <color rgb="FF000000"/>
        <rFont val="楷体"/>
        <charset val="134"/>
      </rPr>
      <t>重庆谊品弘科技有限公司</t>
    </r>
  </si>
  <si>
    <r>
      <rPr>
        <sz val="9"/>
        <color rgb="FF000000"/>
        <rFont val="楷体"/>
        <charset val="134"/>
      </rPr>
      <t>重庆市南岸区玉马路</t>
    </r>
    <r>
      <rPr>
        <sz val="9"/>
        <color rgb="FF000000"/>
        <rFont val="Arial"/>
        <charset val="134"/>
      </rPr>
      <t>8</t>
    </r>
    <r>
      <rPr>
        <sz val="9"/>
        <color rgb="FF000000"/>
        <rFont val="楷体"/>
        <charset val="134"/>
      </rPr>
      <t>号科技创业中心融英楼</t>
    </r>
  </si>
  <si>
    <r>
      <t>25</t>
    </r>
    <r>
      <rPr>
        <sz val="9"/>
        <color rgb="FF000000"/>
        <rFont val="楷体"/>
        <charset val="134"/>
      </rPr>
      <t>亿人民币</t>
    </r>
  </si>
  <si>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钟鼎资本</t>
    </r>
  </si>
  <si>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美团龙珠</t>
    </r>
  </si>
  <si>
    <r>
      <rPr>
        <sz val="9"/>
        <color rgb="FF000000"/>
        <rFont val="楷体"/>
        <charset val="134"/>
      </rPr>
      <t>上海甄云信息科技有限公司</t>
    </r>
  </si>
  <si>
    <r>
      <rPr>
        <sz val="9"/>
        <color rgb="FF000000"/>
        <rFont val="楷体"/>
        <charset val="134"/>
      </rPr>
      <t>上海市青浦区工业园区郏一工业区</t>
    </r>
    <r>
      <rPr>
        <sz val="9"/>
        <color rgb="FF000000"/>
        <rFont val="Arial"/>
        <charset val="134"/>
      </rPr>
      <t>7</t>
    </r>
    <r>
      <rPr>
        <sz val="9"/>
        <color rgb="FF000000"/>
        <rFont val="楷体"/>
        <charset val="134"/>
      </rPr>
      <t>号</t>
    </r>
    <r>
      <rPr>
        <sz val="9"/>
        <color rgb="FF000000"/>
        <rFont val="Arial"/>
        <charset val="134"/>
      </rPr>
      <t>3</t>
    </r>
    <r>
      <rPr>
        <sz val="9"/>
        <color rgb="FF000000"/>
        <rFont val="楷体"/>
        <charset val="134"/>
      </rPr>
      <t>幢</t>
    </r>
    <r>
      <rPr>
        <sz val="9"/>
        <color rgb="FF000000"/>
        <rFont val="Arial"/>
        <charset val="134"/>
      </rPr>
      <t>1</t>
    </r>
    <r>
      <rPr>
        <sz val="9"/>
        <color rgb="FF000000"/>
        <rFont val="楷体"/>
        <charset val="134"/>
      </rPr>
      <t>层</t>
    </r>
    <r>
      <rPr>
        <sz val="9"/>
        <color rgb="FF000000"/>
        <rFont val="Arial"/>
        <charset val="134"/>
      </rPr>
      <t>A</t>
    </r>
    <r>
      <rPr>
        <sz val="9"/>
        <color rgb="FF000000"/>
        <rFont val="楷体"/>
        <charset val="134"/>
      </rPr>
      <t>区</t>
    </r>
    <r>
      <rPr>
        <sz val="9"/>
        <color rgb="FF000000"/>
        <rFont val="Arial"/>
        <charset val="134"/>
      </rPr>
      <t>046</t>
    </r>
    <r>
      <rPr>
        <sz val="9"/>
        <color rgb="FF000000"/>
        <rFont val="楷体"/>
        <charset val="134"/>
      </rPr>
      <t>室</t>
    </r>
  </si>
  <si>
    <r>
      <rPr>
        <sz val="9"/>
        <color rgb="FF000000"/>
        <rFont val="楷体"/>
        <charset val="134"/>
      </rPr>
      <t>德同资本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蓝湖资本</t>
    </r>
    <r>
      <rPr>
        <sz val="9"/>
        <color rgb="FF000000"/>
        <rFont val="Arial"/>
        <charset val="134"/>
      </rPr>
      <t>,</t>
    </r>
    <r>
      <rPr>
        <sz val="9"/>
        <color rgb="FF000000"/>
        <rFont val="楷体"/>
        <charset val="134"/>
      </rPr>
      <t>众麟资本</t>
    </r>
    <r>
      <rPr>
        <sz val="9"/>
        <color rgb="FF000000"/>
        <rFont val="Arial"/>
        <charset val="134"/>
      </rPr>
      <t>,</t>
    </r>
    <r>
      <rPr>
        <sz val="9"/>
        <color rgb="FF000000"/>
        <rFont val="楷体"/>
        <charset val="134"/>
      </rPr>
      <t>红点中国</t>
    </r>
  </si>
  <si>
    <r>
      <rPr>
        <sz val="9"/>
        <color rgb="FF000000"/>
        <rFont val="楷体"/>
        <charset val="134"/>
      </rPr>
      <t>京东</t>
    </r>
    <r>
      <rPr>
        <sz val="9"/>
        <color rgb="FF000000"/>
        <rFont val="Arial"/>
        <charset val="134"/>
      </rPr>
      <t>,</t>
    </r>
    <r>
      <rPr>
        <sz val="9"/>
        <color rgb="FF000000"/>
        <rFont val="楷体"/>
        <charset val="134"/>
      </rPr>
      <t>众麟资本</t>
    </r>
  </si>
  <si>
    <r>
      <rPr>
        <sz val="9"/>
        <color rgb="FF000000"/>
        <rFont val="楷体"/>
        <charset val="134"/>
      </rPr>
      <t>苏州晶湛半导体有限公司</t>
    </r>
  </si>
  <si>
    <r>
      <rPr>
        <sz val="9"/>
        <color rgb="FF000000"/>
        <rFont val="楷体"/>
        <charset val="134"/>
      </rPr>
      <t>苏州市工业园区金鸡湖大道</t>
    </r>
    <r>
      <rPr>
        <sz val="9"/>
        <color rgb="FF000000"/>
        <rFont val="Arial"/>
        <charset val="134"/>
      </rPr>
      <t>99</t>
    </r>
    <r>
      <rPr>
        <sz val="9"/>
        <color rgb="FF000000"/>
        <rFont val="楷体"/>
        <charset val="134"/>
      </rPr>
      <t>号苏州纳米城西北区</t>
    </r>
    <r>
      <rPr>
        <sz val="9"/>
        <color rgb="FF000000"/>
        <rFont val="Arial"/>
        <charset val="134"/>
      </rPr>
      <t>20</t>
    </r>
    <r>
      <rPr>
        <sz val="9"/>
        <color rgb="FF000000"/>
        <rFont val="楷体"/>
        <charset val="134"/>
      </rPr>
      <t>栋</t>
    </r>
    <r>
      <rPr>
        <sz val="9"/>
        <color rgb="FF000000"/>
        <rFont val="Arial"/>
        <charset val="134"/>
      </rPr>
      <t>517-A</t>
    </r>
    <r>
      <rPr>
        <sz val="9"/>
        <color rgb="FF000000"/>
        <rFont val="楷体"/>
        <charset val="134"/>
      </rPr>
      <t>室</t>
    </r>
  </si>
  <si>
    <r>
      <rPr>
        <sz val="9"/>
        <color rgb="FF000000"/>
        <rFont val="楷体"/>
        <charset val="134"/>
      </rPr>
      <t>创新工场</t>
    </r>
    <r>
      <rPr>
        <sz val="9"/>
        <color rgb="FF000000"/>
        <rFont val="Arial"/>
        <charset val="134"/>
      </rPr>
      <t>,</t>
    </r>
    <r>
      <rPr>
        <sz val="9"/>
        <color rgb="FF000000"/>
        <rFont val="楷体"/>
        <charset val="134"/>
      </rPr>
      <t>元禾控股</t>
    </r>
    <r>
      <rPr>
        <sz val="9"/>
        <color rgb="FF000000"/>
        <rFont val="Arial"/>
        <charset val="134"/>
      </rPr>
      <t>,</t>
    </r>
    <r>
      <rPr>
        <sz val="9"/>
        <color rgb="FF000000"/>
        <rFont val="楷体"/>
        <charset val="134"/>
      </rPr>
      <t>三七互娱</t>
    </r>
    <r>
      <rPr>
        <sz val="9"/>
        <color rgb="FF000000"/>
        <rFont val="Arial"/>
        <charset val="134"/>
      </rPr>
      <t>,</t>
    </r>
    <r>
      <rPr>
        <sz val="9"/>
        <color rgb="FF000000"/>
        <rFont val="楷体"/>
        <charset val="134"/>
      </rPr>
      <t>湖杉资本</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惠友资本</t>
    </r>
    <r>
      <rPr>
        <sz val="9"/>
        <color rgb="FF000000"/>
        <rFont val="Arial"/>
        <charset val="134"/>
      </rPr>
      <t>,</t>
    </r>
    <r>
      <rPr>
        <sz val="9"/>
        <color rgb="FF000000"/>
        <rFont val="楷体"/>
        <charset val="134"/>
      </rPr>
      <t>高瓴创投</t>
    </r>
    <r>
      <rPr>
        <sz val="9"/>
        <color rgb="FF000000"/>
        <rFont val="Arial"/>
        <charset val="134"/>
      </rPr>
      <t>,</t>
    </r>
    <r>
      <rPr>
        <sz val="9"/>
        <color rgb="FF000000"/>
        <rFont val="楷体"/>
        <charset val="134"/>
      </rPr>
      <t>歌尔微电子</t>
    </r>
    <r>
      <rPr>
        <sz val="9"/>
        <color rgb="FF000000"/>
        <rFont val="Arial"/>
        <charset val="134"/>
      </rPr>
      <t>,</t>
    </r>
    <r>
      <rPr>
        <sz val="9"/>
        <color rgb="FF000000"/>
        <rFont val="楷体"/>
        <charset val="134"/>
      </rPr>
      <t>禾创致远</t>
    </r>
    <r>
      <rPr>
        <sz val="9"/>
        <color rgb="FF000000"/>
        <rFont val="Arial"/>
        <charset val="134"/>
      </rPr>
      <t>,</t>
    </r>
    <r>
      <rPr>
        <sz val="9"/>
        <color rgb="FF000000"/>
        <rFont val="楷体"/>
        <charset val="134"/>
      </rPr>
      <t>共青城军合</t>
    </r>
    <r>
      <rPr>
        <sz val="9"/>
        <color rgb="FF000000"/>
        <rFont val="Arial"/>
        <charset val="134"/>
      </rPr>
      <t>,</t>
    </r>
    <r>
      <rPr>
        <sz val="9"/>
        <color rgb="FF000000"/>
        <rFont val="楷体"/>
        <charset val="134"/>
      </rPr>
      <t>无限基金</t>
    </r>
  </si>
  <si>
    <r>
      <rPr>
        <sz val="9"/>
        <color rgb="FF000000"/>
        <rFont val="楷体"/>
        <charset val="134"/>
      </rPr>
      <t>方正和生投资</t>
    </r>
    <r>
      <rPr>
        <sz val="9"/>
        <color rgb="FF000000"/>
        <rFont val="Arial"/>
        <charset val="134"/>
      </rPr>
      <t>,</t>
    </r>
    <r>
      <rPr>
        <sz val="9"/>
        <color rgb="FF000000"/>
        <rFont val="楷体"/>
        <charset val="134"/>
      </rPr>
      <t>高瓴创投</t>
    </r>
    <r>
      <rPr>
        <sz val="9"/>
        <color rgb="FF000000"/>
        <rFont val="Arial"/>
        <charset val="134"/>
      </rPr>
      <t>,</t>
    </r>
    <r>
      <rPr>
        <sz val="9"/>
        <color rgb="FF000000"/>
        <rFont val="楷体"/>
        <charset val="134"/>
      </rPr>
      <t>奥银湖杉资本</t>
    </r>
    <r>
      <rPr>
        <sz val="9"/>
        <color rgb="FF000000"/>
        <rFont val="Arial"/>
        <charset val="134"/>
      </rPr>
      <t>,</t>
    </r>
    <r>
      <rPr>
        <sz val="9"/>
        <color rgb="FF000000"/>
        <rFont val="楷体"/>
        <charset val="134"/>
      </rPr>
      <t>安徽和壮高新技术成果基金</t>
    </r>
  </si>
  <si>
    <r>
      <rPr>
        <sz val="9"/>
        <color rgb="FF000000"/>
        <rFont val="楷体"/>
        <charset val="134"/>
      </rPr>
      <t>元禾控股</t>
    </r>
    <r>
      <rPr>
        <sz val="9"/>
        <color rgb="FF000000"/>
        <rFont val="Arial"/>
        <charset val="134"/>
      </rPr>
      <t>,</t>
    </r>
    <r>
      <rPr>
        <sz val="9"/>
        <color rgb="FF000000"/>
        <rFont val="楷体"/>
        <charset val="134"/>
      </rPr>
      <t>天合光能</t>
    </r>
  </si>
  <si>
    <r>
      <rPr>
        <sz val="9"/>
        <color rgb="FF000000"/>
        <rFont val="楷体"/>
        <charset val="134"/>
      </rPr>
      <t>恒信华业</t>
    </r>
  </si>
  <si>
    <r>
      <rPr>
        <sz val="9"/>
        <color rgb="FF000000"/>
        <rFont val="楷体"/>
        <charset val="134"/>
      </rPr>
      <t>苏州科技创投</t>
    </r>
  </si>
  <si>
    <r>
      <rPr>
        <sz val="9"/>
        <color rgb="FF000000"/>
        <rFont val="楷体"/>
        <charset val="134"/>
      </rPr>
      <t>蜜雪冰城股份有限公司</t>
    </r>
  </si>
  <si>
    <r>
      <rPr>
        <sz val="9"/>
        <color rgb="FF000000"/>
        <rFont val="楷体"/>
        <charset val="134"/>
      </rPr>
      <t>郑州市金水区北三环南、文化路东瀚海北金商业中心</t>
    </r>
    <r>
      <rPr>
        <sz val="9"/>
        <color rgb="FF000000"/>
        <rFont val="Arial"/>
        <charset val="134"/>
      </rPr>
      <t>16004</t>
    </r>
    <r>
      <rPr>
        <sz val="9"/>
        <color rgb="FF000000"/>
        <rFont val="楷体"/>
        <charset val="134"/>
      </rPr>
      <t>室</t>
    </r>
  </si>
  <si>
    <r>
      <rPr>
        <sz val="9"/>
        <color rgb="FF000000"/>
        <rFont val="楷体"/>
        <charset val="134"/>
      </rPr>
      <t>肉联帮</t>
    </r>
  </si>
  <si>
    <r>
      <rPr>
        <sz val="9"/>
        <color rgb="FF000000"/>
        <rFont val="楷体"/>
        <charset val="134"/>
      </rPr>
      <t>肉联帮是一家生鲜零售连锁品牌，主营社区生鲜零售小店，主打特色为</t>
    </r>
    <r>
      <rPr>
        <sz val="9"/>
        <color rgb="FF000000"/>
        <rFont val="Arial"/>
        <charset val="134"/>
      </rPr>
      <t>“</t>
    </r>
    <r>
      <rPr>
        <sz val="9"/>
        <color rgb="FF000000"/>
        <rFont val="楷体"/>
        <charset val="134"/>
      </rPr>
      <t>肉好吃、菜便宜</t>
    </r>
    <r>
      <rPr>
        <sz val="9"/>
        <color rgb="FF000000"/>
        <rFont val="Arial"/>
        <charset val="134"/>
      </rPr>
      <t>”</t>
    </r>
    <r>
      <rPr>
        <sz val="9"/>
        <color rgb="FF000000"/>
        <rFont val="楷体"/>
        <charset val="134"/>
      </rPr>
      <t>，为消费者提供优质的餐桌食材和便捷的社区服务。</t>
    </r>
  </si>
  <si>
    <r>
      <rPr>
        <sz val="9"/>
        <color rgb="FF000000"/>
        <rFont val="楷体"/>
        <charset val="134"/>
      </rPr>
      <t>广东肉联帮生鲜控股有限公司</t>
    </r>
  </si>
  <si>
    <r>
      <rPr>
        <sz val="9"/>
        <color rgb="FF000000"/>
        <rFont val="楷体"/>
        <charset val="134"/>
      </rPr>
      <t>广东</t>
    </r>
    <r>
      <rPr>
        <sz val="9"/>
        <color rgb="FF000000"/>
        <rFont val="Arial"/>
        <charset val="134"/>
      </rPr>
      <t>-</t>
    </r>
    <r>
      <rPr>
        <sz val="9"/>
        <color rgb="FF000000"/>
        <rFont val="楷体"/>
        <charset val="134"/>
      </rPr>
      <t>清远</t>
    </r>
  </si>
  <si>
    <r>
      <rPr>
        <sz val="9"/>
        <color rgb="FF000000"/>
        <rFont val="楷体"/>
        <charset val="134"/>
      </rPr>
      <t>黎小兵</t>
    </r>
    <r>
      <rPr>
        <sz val="9"/>
        <color rgb="FF000000"/>
        <rFont val="Arial"/>
        <charset val="134"/>
      </rPr>
      <t>:</t>
    </r>
    <r>
      <rPr>
        <sz val="9"/>
        <color rgb="FF000000"/>
        <rFont val="楷体"/>
        <charset val="134"/>
      </rPr>
      <t>董事长</t>
    </r>
  </si>
  <si>
    <r>
      <rPr>
        <sz val="9"/>
        <color rgb="FF000000"/>
        <rFont val="楷体"/>
        <charset val="134"/>
      </rPr>
      <t>连山壮族瑶族自治县吉田镇鹿鸣东路</t>
    </r>
  </si>
  <si>
    <r>
      <rPr>
        <sz val="9"/>
        <color rgb="FF000000"/>
        <rFont val="楷体"/>
        <charset val="134"/>
      </rPr>
      <t>轻舟智航</t>
    </r>
  </si>
  <si>
    <r>
      <rPr>
        <sz val="9"/>
        <color rgb="FF000000"/>
        <rFont val="楷体"/>
        <charset val="134"/>
      </rPr>
      <t>轻舟智航是一家无人驾驶技术研发公司，致力于打造适应城市复杂交通环境的无人驾驶技术，将无人驾驶带进现实。基于大规模智能仿真系统和可自主学习决策规划框架，轻舟智航专注于为合作伙伴提供可量产的无人驾驶解决方案，全方位覆盖从低速到高速、从物流到出行、从商用车到乘用车等多个应用场景。</t>
    </r>
  </si>
  <si>
    <r>
      <rPr>
        <sz val="9"/>
        <color rgb="FF000000"/>
        <rFont val="楷体"/>
        <charset val="134"/>
      </rPr>
      <t>北京轻舟智航智能技术有限公司</t>
    </r>
  </si>
  <si>
    <r>
      <t>TCL</t>
    </r>
    <r>
      <rPr>
        <sz val="9"/>
        <color rgb="FF000000"/>
        <rFont val="楷体"/>
        <charset val="134"/>
      </rPr>
      <t>创投</t>
    </r>
    <r>
      <rPr>
        <sz val="9"/>
        <color rgb="FF000000"/>
        <rFont val="Arial"/>
        <charset val="134"/>
      </rPr>
      <t>,</t>
    </r>
    <r>
      <rPr>
        <sz val="9"/>
        <color rgb="FF000000"/>
        <rFont val="楷体"/>
        <charset val="134"/>
      </rPr>
      <t>元生资本</t>
    </r>
    <r>
      <rPr>
        <sz val="9"/>
        <color rgb="FF000000"/>
        <rFont val="Arial"/>
        <charset val="134"/>
      </rPr>
      <t>,</t>
    </r>
    <r>
      <rPr>
        <sz val="9"/>
        <color rgb="FF000000"/>
        <rFont val="楷体"/>
        <charset val="134"/>
      </rPr>
      <t>中金资本</t>
    </r>
  </si>
  <si>
    <r>
      <t>26.4</t>
    </r>
    <r>
      <rPr>
        <sz val="9"/>
        <color rgb="FF000000"/>
        <rFont val="楷体"/>
        <charset val="134"/>
      </rPr>
      <t>亿</t>
    </r>
  </si>
  <si>
    <r>
      <rPr>
        <sz val="9"/>
        <color rgb="FF000000"/>
        <rFont val="楷体"/>
        <charset val="134"/>
      </rPr>
      <t>于骞</t>
    </r>
    <r>
      <rPr>
        <sz val="9"/>
        <color rgb="FF000000"/>
        <rFont val="Arial"/>
        <charset val="134"/>
      </rPr>
      <t>:</t>
    </r>
    <r>
      <rPr>
        <sz val="9"/>
        <color rgb="FF000000"/>
        <rFont val="楷体"/>
        <charset val="134"/>
      </rPr>
      <t>董事长</t>
    </r>
  </si>
  <si>
    <r>
      <rPr>
        <sz val="9"/>
        <color rgb="FF000000"/>
        <rFont val="楷体"/>
        <charset val="134"/>
      </rPr>
      <t>北京市海淀区悦秀路</t>
    </r>
    <r>
      <rPr>
        <sz val="9"/>
        <color rgb="FF000000"/>
        <rFont val="Arial"/>
        <charset val="134"/>
      </rPr>
      <t>99</t>
    </r>
    <r>
      <rPr>
        <sz val="9"/>
        <color rgb="FF000000"/>
        <rFont val="楷体"/>
        <charset val="134"/>
      </rPr>
      <t>号</t>
    </r>
    <r>
      <rPr>
        <sz val="9"/>
        <color rgb="FF000000"/>
        <rFont val="Arial"/>
        <charset val="134"/>
      </rPr>
      <t>6</t>
    </r>
    <r>
      <rPr>
        <sz val="9"/>
        <color rgb="FF000000"/>
        <rFont val="楷体"/>
        <charset val="134"/>
      </rPr>
      <t>层</t>
    </r>
    <r>
      <rPr>
        <sz val="9"/>
        <color rgb="FF000000"/>
        <rFont val="Arial"/>
        <charset val="134"/>
      </rPr>
      <t>1</t>
    </r>
    <r>
      <rPr>
        <sz val="9"/>
        <color rgb="FF000000"/>
        <rFont val="楷体"/>
        <charset val="134"/>
      </rPr>
      <t>单元</t>
    </r>
    <r>
      <rPr>
        <sz val="9"/>
        <color rgb="FF000000"/>
        <rFont val="Arial"/>
        <charset val="134"/>
      </rPr>
      <t>621-1</t>
    </r>
  </si>
  <si>
    <r>
      <rPr>
        <sz val="9"/>
        <color rgb="FF000000"/>
        <rFont val="楷体"/>
        <charset val="134"/>
      </rPr>
      <t>招商局创投</t>
    </r>
  </si>
  <si>
    <r>
      <rPr>
        <sz val="9"/>
        <color rgb="FF000000"/>
        <rFont val="楷体"/>
        <charset val="134"/>
      </rPr>
      <t>联想创投</t>
    </r>
  </si>
  <si>
    <r>
      <t>IDG</t>
    </r>
    <r>
      <rPr>
        <sz val="9"/>
        <color rgb="FF000000"/>
        <rFont val="楷体"/>
        <charset val="134"/>
      </rPr>
      <t>资本</t>
    </r>
    <r>
      <rPr>
        <sz val="9"/>
        <color rgb="FF000000"/>
        <rFont val="Arial"/>
        <charset val="134"/>
      </rPr>
      <t>,</t>
    </r>
    <r>
      <rPr>
        <sz val="9"/>
        <color rgb="FF000000"/>
        <rFont val="楷体"/>
        <charset val="134"/>
      </rPr>
      <t>元璟资本</t>
    </r>
    <r>
      <rPr>
        <sz val="9"/>
        <color rgb="FF000000"/>
        <rFont val="Arial"/>
        <charset val="134"/>
      </rPr>
      <t>,Tide Capital</t>
    </r>
  </si>
  <si>
    <r>
      <rPr>
        <sz val="9"/>
        <color rgb="FF000000"/>
        <rFont val="楷体"/>
        <charset val="134"/>
      </rPr>
      <t>灵明光子</t>
    </r>
  </si>
  <si>
    <r>
      <rPr>
        <sz val="9"/>
        <color rgb="FF000000"/>
        <rFont val="楷体"/>
        <charset val="134"/>
      </rPr>
      <t>灵明光子是一家</t>
    </r>
    <r>
      <rPr>
        <sz val="9"/>
        <color rgb="FF000000"/>
        <rFont val="Arial"/>
        <charset val="134"/>
      </rPr>
      <t>3D</t>
    </r>
    <r>
      <rPr>
        <sz val="9"/>
        <color rgb="FF000000"/>
        <rFont val="楷体"/>
        <charset val="134"/>
      </rPr>
      <t>传感器芯片和解决方案提供商，主要研发高效率单光子探测器</t>
    </r>
    <r>
      <rPr>
        <sz val="9"/>
        <color rgb="FF000000"/>
        <rFont val="Arial"/>
        <charset val="134"/>
      </rPr>
      <t>(SPAD)</t>
    </r>
    <r>
      <rPr>
        <sz val="9"/>
        <color rgb="FF000000"/>
        <rFont val="楷体"/>
        <charset val="134"/>
      </rPr>
      <t>的大规模集成芯片，目前主要有两条产品业务线：适用于高性能激光雷达光子接收方案的硅光子倍增管</t>
    </r>
    <r>
      <rPr>
        <sz val="9"/>
        <color rgb="FF000000"/>
        <rFont val="Arial"/>
        <charset val="134"/>
      </rPr>
      <t>(SiPM)</t>
    </r>
    <r>
      <rPr>
        <sz val="9"/>
        <color rgb="FF000000"/>
        <rFont val="楷体"/>
        <charset val="134"/>
      </rPr>
      <t>和适用于消费级电子产品的</t>
    </r>
    <r>
      <rPr>
        <sz val="9"/>
        <color rgb="FF000000"/>
        <rFont val="Arial"/>
        <charset val="134"/>
      </rPr>
      <t>SPAD</t>
    </r>
    <r>
      <rPr>
        <sz val="9"/>
        <color rgb="FF000000"/>
        <rFont val="楷体"/>
        <charset val="134"/>
      </rPr>
      <t>成像传感器</t>
    </r>
    <r>
      <rPr>
        <sz val="9"/>
        <color rgb="FF000000"/>
        <rFont val="Arial"/>
        <charset val="134"/>
      </rPr>
      <t>(SPADIS)</t>
    </r>
    <r>
      <rPr>
        <sz val="9"/>
        <color rgb="FF000000"/>
        <rFont val="楷体"/>
        <charset val="134"/>
      </rPr>
      <t>及整体</t>
    </r>
    <r>
      <rPr>
        <sz val="9"/>
        <color rgb="FF000000"/>
        <rFont val="Arial"/>
        <charset val="134"/>
      </rPr>
      <t>dToF</t>
    </r>
    <r>
      <rPr>
        <sz val="9"/>
        <color rgb="FF000000"/>
        <rFont val="楷体"/>
        <charset val="134"/>
      </rPr>
      <t>解决方案。</t>
    </r>
  </si>
  <si>
    <r>
      <rPr>
        <sz val="9"/>
        <color rgb="FF000000"/>
        <rFont val="楷体"/>
        <charset val="134"/>
      </rPr>
      <t>深圳市灵明光子科技有限公司</t>
    </r>
  </si>
  <si>
    <r>
      <rPr>
        <sz val="9"/>
        <color rgb="FF000000"/>
        <rFont val="楷体"/>
        <charset val="134"/>
      </rPr>
      <t>传感设备</t>
    </r>
  </si>
  <si>
    <r>
      <rPr>
        <sz val="9"/>
        <color rgb="FF000000"/>
        <rFont val="楷体"/>
        <charset val="134"/>
      </rPr>
      <t>基石资本</t>
    </r>
    <r>
      <rPr>
        <sz val="9"/>
        <color rgb="FF000000"/>
        <rFont val="Arial"/>
        <charset val="134"/>
      </rPr>
      <t>,</t>
    </r>
    <r>
      <rPr>
        <sz val="9"/>
        <color rgb="FF000000"/>
        <rFont val="楷体"/>
        <charset val="134"/>
      </rPr>
      <t>谷雨嘉禾</t>
    </r>
  </si>
  <si>
    <r>
      <t>7.21</t>
    </r>
    <r>
      <rPr>
        <sz val="9"/>
        <color rgb="FF000000"/>
        <rFont val="楷体"/>
        <charset val="134"/>
      </rPr>
      <t>亿</t>
    </r>
  </si>
  <si>
    <r>
      <rPr>
        <sz val="9"/>
        <color rgb="FF000000"/>
        <rFont val="楷体"/>
        <charset val="134"/>
      </rPr>
      <t>南山区新东路一号清华信息港科研楼</t>
    </r>
    <r>
      <rPr>
        <sz val="9"/>
        <color rgb="FF000000"/>
        <rFont val="Arial"/>
        <charset val="134"/>
      </rPr>
      <t>4</t>
    </r>
    <r>
      <rPr>
        <sz val="9"/>
        <color rgb="FF000000"/>
        <rFont val="楷体"/>
        <charset val="134"/>
      </rPr>
      <t>层</t>
    </r>
    <r>
      <rPr>
        <sz val="9"/>
        <color rgb="FF000000"/>
        <rFont val="Arial"/>
        <charset val="134"/>
      </rPr>
      <t>410</t>
    </r>
  </si>
  <si>
    <r>
      <rPr>
        <sz val="9"/>
        <color rgb="FF000000"/>
        <rFont val="楷体"/>
        <charset val="134"/>
      </rPr>
      <t>真格基金</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昆仲资本</t>
    </r>
    <r>
      <rPr>
        <sz val="9"/>
        <color rgb="FF000000"/>
        <rFont val="Arial"/>
        <charset val="134"/>
      </rPr>
      <t>,OPPO,</t>
    </r>
    <r>
      <rPr>
        <sz val="9"/>
        <color rgb="FF000000"/>
        <rFont val="楷体"/>
        <charset val="134"/>
      </rPr>
      <t>欧菲和正投资</t>
    </r>
  </si>
  <si>
    <r>
      <rPr>
        <sz val="9"/>
        <color rgb="FF000000"/>
        <rFont val="楷体"/>
        <charset val="134"/>
      </rPr>
      <t>真格基金</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联想之星</t>
    </r>
    <r>
      <rPr>
        <sz val="9"/>
        <color rgb="FF000000"/>
        <rFont val="Arial"/>
        <charset val="134"/>
      </rPr>
      <t>,</t>
    </r>
    <r>
      <rPr>
        <sz val="9"/>
        <color rgb="FF000000"/>
        <rFont val="楷体"/>
        <charset val="134"/>
      </rPr>
      <t>联想控股</t>
    </r>
    <r>
      <rPr>
        <sz val="9"/>
        <color rgb="FF000000"/>
        <rFont val="Arial"/>
        <charset val="134"/>
      </rPr>
      <t>,</t>
    </r>
    <r>
      <rPr>
        <sz val="9"/>
        <color rgb="FF000000"/>
        <rFont val="楷体"/>
        <charset val="134"/>
      </rPr>
      <t>昆仲资本</t>
    </r>
    <r>
      <rPr>
        <sz val="9"/>
        <color rgb="FF000000"/>
        <rFont val="Arial"/>
        <charset val="134"/>
      </rPr>
      <t>,</t>
    </r>
    <r>
      <rPr>
        <sz val="9"/>
        <color rgb="FF000000"/>
        <rFont val="楷体"/>
        <charset val="134"/>
      </rPr>
      <t>小米长江产业基金</t>
    </r>
  </si>
  <si>
    <r>
      <rPr>
        <sz val="9"/>
        <color rgb="FF000000"/>
        <rFont val="楷体"/>
        <charset val="134"/>
      </rPr>
      <t>光速光合</t>
    </r>
    <r>
      <rPr>
        <sz val="9"/>
        <color rgb="FF000000"/>
        <rFont val="Arial"/>
        <charset val="134"/>
      </rPr>
      <t>,</t>
    </r>
    <r>
      <rPr>
        <sz val="9"/>
        <color rgb="FF000000"/>
        <rFont val="楷体"/>
        <charset val="134"/>
      </rPr>
      <t>欧菲控股</t>
    </r>
  </si>
  <si>
    <r>
      <rPr>
        <sz val="9"/>
        <color rgb="FF000000"/>
        <rFont val="楷体"/>
        <charset val="134"/>
      </rPr>
      <t>光速光合</t>
    </r>
  </si>
  <si>
    <r>
      <rPr>
        <sz val="9"/>
        <color rgb="FF000000"/>
        <rFont val="楷体"/>
        <charset val="134"/>
      </rPr>
      <t>联想之星</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联想控股</t>
    </r>
    <r>
      <rPr>
        <sz val="9"/>
        <color rgb="FF000000"/>
        <rFont val="Arial"/>
        <charset val="134"/>
      </rPr>
      <t>,</t>
    </r>
    <r>
      <rPr>
        <sz val="9"/>
        <color rgb="FF000000"/>
        <rFont val="楷体"/>
        <charset val="134"/>
      </rPr>
      <t>昆仲资本</t>
    </r>
  </si>
  <si>
    <r>
      <rPr>
        <sz val="9"/>
        <color rgb="FF000000"/>
        <rFont val="楷体"/>
        <charset val="134"/>
      </rPr>
      <t>古茗茶饮</t>
    </r>
  </si>
  <si>
    <r>
      <rPr>
        <sz val="9"/>
        <color rgb="FF000000"/>
        <rFont val="楷体"/>
        <charset val="134"/>
      </rPr>
      <t>古茗茶饮是一个奶茶连锁品牌，该公司原料均采用台湾、斯里兰卡等地茶园茶叶，同时以传统茶为核心，纯手工制作而成，以传统口味、经典口味为主，此外已经在全国拥有</t>
    </r>
    <r>
      <rPr>
        <sz val="9"/>
        <color rgb="FF000000"/>
        <rFont val="Arial"/>
        <charset val="134"/>
      </rPr>
      <t>700</t>
    </r>
    <r>
      <rPr>
        <sz val="9"/>
        <color rgb="FF000000"/>
        <rFont val="楷体"/>
        <charset val="134"/>
      </rPr>
      <t>多家分店。</t>
    </r>
  </si>
  <si>
    <r>
      <rPr>
        <sz val="9"/>
        <color rgb="FF000000"/>
        <rFont val="楷体"/>
        <charset val="134"/>
      </rPr>
      <t>古茗科技集团有限公司</t>
    </r>
  </si>
  <si>
    <r>
      <t>1.2</t>
    </r>
    <r>
      <rPr>
        <sz val="9"/>
        <color rgb="FF000000"/>
        <rFont val="楷体"/>
        <charset val="134"/>
      </rPr>
      <t>亿</t>
    </r>
  </si>
  <si>
    <r>
      <rPr>
        <sz val="9"/>
        <color rgb="FF000000"/>
        <rFont val="楷体"/>
        <charset val="134"/>
      </rPr>
      <t>杭州市西湖区紫荆花路</t>
    </r>
    <r>
      <rPr>
        <sz val="9"/>
        <color rgb="FF000000"/>
        <rFont val="Arial"/>
        <charset val="134"/>
      </rPr>
      <t>108</t>
    </r>
    <r>
      <rPr>
        <sz val="9"/>
        <color rgb="FF000000"/>
        <rFont val="楷体"/>
        <charset val="134"/>
      </rPr>
      <t>号</t>
    </r>
    <r>
      <rPr>
        <sz val="9"/>
        <color rgb="FF000000"/>
        <rFont val="Arial"/>
        <charset val="134"/>
      </rPr>
      <t>118</t>
    </r>
    <r>
      <rPr>
        <sz val="9"/>
        <color rgb="FF000000"/>
        <rFont val="楷体"/>
        <charset val="134"/>
      </rPr>
      <t>室</t>
    </r>
  </si>
  <si>
    <r>
      <rPr>
        <sz val="9"/>
        <color rgb="FF000000"/>
        <rFont val="楷体"/>
        <charset val="134"/>
      </rPr>
      <t>怒喵科技</t>
    </r>
    <r>
      <rPr>
        <sz val="9"/>
        <color rgb="FF000000"/>
        <rFont val="Arial"/>
        <charset val="134"/>
      </rPr>
      <t>Angry Miao</t>
    </r>
  </si>
  <si>
    <r>
      <rPr>
        <sz val="9"/>
        <color rgb="FF000000"/>
        <rFont val="楷体"/>
        <charset val="134"/>
      </rPr>
      <t>怒喵科技是一家青年电子消费品牌商。由魅族前高级副总裁、</t>
    </r>
    <r>
      <rPr>
        <sz val="9"/>
        <color rgb="FF000000"/>
        <rFont val="Arial"/>
        <charset val="134"/>
      </rPr>
      <t>CMO</t>
    </r>
    <r>
      <rPr>
        <sz val="9"/>
        <color rgb="FF000000"/>
        <rFont val="楷体"/>
        <charset val="134"/>
      </rPr>
      <t>李楠成立。</t>
    </r>
  </si>
  <si>
    <r>
      <rPr>
        <sz val="9"/>
        <color rgb="FF000000"/>
        <rFont val="楷体"/>
        <charset val="134"/>
      </rPr>
      <t>珠海市怒喵科技有限公司</t>
    </r>
  </si>
  <si>
    <r>
      <t>1.3</t>
    </r>
    <r>
      <rPr>
        <sz val="9"/>
        <color rgb="FF000000"/>
        <rFont val="楷体"/>
        <charset val="134"/>
      </rPr>
      <t>亿</t>
    </r>
  </si>
  <si>
    <r>
      <t>6.5</t>
    </r>
    <r>
      <rPr>
        <sz val="9"/>
        <color rgb="FF000000"/>
        <rFont val="楷体"/>
        <charset val="134"/>
      </rPr>
      <t>亿元</t>
    </r>
  </si>
  <si>
    <r>
      <rPr>
        <sz val="9"/>
        <color rgb="FF000000"/>
        <rFont val="楷体"/>
        <charset val="134"/>
      </rPr>
      <t>李楠</t>
    </r>
    <r>
      <rPr>
        <sz val="9"/>
        <color rgb="FF000000"/>
        <rFont val="Arial"/>
        <charset val="134"/>
      </rPr>
      <t>:</t>
    </r>
    <r>
      <rPr>
        <sz val="9"/>
        <color rgb="FF000000"/>
        <rFont val="楷体"/>
        <charset val="134"/>
      </rPr>
      <t>创始人</t>
    </r>
  </si>
  <si>
    <r>
      <rPr>
        <sz val="9"/>
        <color rgb="FF000000"/>
        <rFont val="楷体"/>
        <charset val="134"/>
      </rPr>
      <t>珠海市横琴新区环岛东路</t>
    </r>
    <r>
      <rPr>
        <sz val="9"/>
        <color rgb="FF000000"/>
        <rFont val="Arial"/>
        <charset val="134"/>
      </rPr>
      <t>1889</t>
    </r>
    <r>
      <rPr>
        <sz val="9"/>
        <color rgb="FF000000"/>
        <rFont val="楷体"/>
        <charset val="134"/>
      </rPr>
      <t>号</t>
    </r>
  </si>
  <si>
    <r>
      <rPr>
        <sz val="9"/>
        <color rgb="FF000000"/>
        <rFont val="楷体"/>
        <charset val="134"/>
      </rPr>
      <t>真格基金</t>
    </r>
    <r>
      <rPr>
        <sz val="9"/>
        <color rgb="FF000000"/>
        <rFont val="Arial"/>
        <charset val="134"/>
      </rPr>
      <t>,</t>
    </r>
    <r>
      <rPr>
        <sz val="9"/>
        <color rgb="FF000000"/>
        <rFont val="楷体"/>
        <charset val="134"/>
      </rPr>
      <t>美团龙珠</t>
    </r>
  </si>
  <si>
    <r>
      <rPr>
        <sz val="9"/>
        <color rgb="FF000000"/>
        <rFont val="楷体"/>
        <charset val="134"/>
      </rPr>
      <t>深圳康诺思腾科技有限公司</t>
    </r>
  </si>
  <si>
    <r>
      <rPr>
        <sz val="9"/>
        <color rgb="FF000000"/>
        <rFont val="楷体"/>
        <charset val="134"/>
      </rPr>
      <t>深圳市南山区南山街道荔湾社区月亮湾大道</t>
    </r>
    <r>
      <rPr>
        <sz val="9"/>
        <color rgb="FF000000"/>
        <rFont val="Arial"/>
        <charset val="134"/>
      </rPr>
      <t>2076</t>
    </r>
    <r>
      <rPr>
        <sz val="9"/>
        <color rgb="FF000000"/>
        <rFont val="楷体"/>
        <charset val="134"/>
      </rPr>
      <t>号高科集团大楼</t>
    </r>
    <r>
      <rPr>
        <sz val="9"/>
        <color rgb="FF000000"/>
        <rFont val="Arial"/>
        <charset val="134"/>
      </rPr>
      <t>7</t>
    </r>
    <r>
      <rPr>
        <sz val="9"/>
        <color rgb="FF000000"/>
        <rFont val="楷体"/>
        <charset val="134"/>
      </rPr>
      <t>楼</t>
    </r>
    <r>
      <rPr>
        <sz val="9"/>
        <color rgb="FF000000"/>
        <rFont val="Arial"/>
        <charset val="134"/>
      </rPr>
      <t>72035</t>
    </r>
  </si>
  <si>
    <r>
      <rPr>
        <sz val="9"/>
        <color rgb="FF000000"/>
        <rFont val="楷体"/>
        <charset val="134"/>
      </rPr>
      <t>启明创投</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高榕资本</t>
    </r>
    <r>
      <rPr>
        <sz val="9"/>
        <color rgb="FF000000"/>
        <rFont val="Arial"/>
        <charset val="134"/>
      </rPr>
      <t>,</t>
    </r>
    <r>
      <rPr>
        <sz val="9"/>
        <color rgb="FF000000"/>
        <rFont val="楷体"/>
        <charset val="134"/>
      </rPr>
      <t>清松资本</t>
    </r>
  </si>
  <si>
    <r>
      <rPr>
        <sz val="9"/>
        <color rgb="FF000000"/>
        <rFont val="楷体"/>
        <charset val="134"/>
      </rPr>
      <t>变形积木（北京）科技有限公司</t>
    </r>
  </si>
  <si>
    <r>
      <rPr>
        <sz val="9"/>
        <color rgb="FF000000"/>
        <rFont val="楷体"/>
        <charset val="134"/>
      </rPr>
      <t>北京市门头沟区石龙经济开发区永安路</t>
    </r>
    <r>
      <rPr>
        <sz val="9"/>
        <color rgb="FF000000"/>
        <rFont val="Arial"/>
        <charset val="134"/>
      </rPr>
      <t>20</t>
    </r>
    <r>
      <rPr>
        <sz val="9"/>
        <color rgb="FF000000"/>
        <rFont val="楷体"/>
        <charset val="134"/>
      </rPr>
      <t>号</t>
    </r>
    <r>
      <rPr>
        <sz val="9"/>
        <color rgb="FF000000"/>
        <rFont val="Arial"/>
        <charset val="134"/>
      </rPr>
      <t>3</t>
    </r>
    <r>
      <rPr>
        <sz val="9"/>
        <color rgb="FF000000"/>
        <rFont val="楷体"/>
        <charset val="134"/>
      </rPr>
      <t>号楼</t>
    </r>
    <r>
      <rPr>
        <sz val="9"/>
        <color rgb="FF000000"/>
        <rFont val="Arial"/>
        <charset val="134"/>
      </rPr>
      <t>A-7051</t>
    </r>
    <r>
      <rPr>
        <sz val="9"/>
        <color rgb="FF000000"/>
        <rFont val="楷体"/>
        <charset val="134"/>
      </rPr>
      <t>室</t>
    </r>
  </si>
  <si>
    <r>
      <rPr>
        <sz val="9"/>
        <color rgb="FF000000"/>
        <rFont val="楷体"/>
        <charset val="134"/>
      </rPr>
      <t>金沙江创投</t>
    </r>
    <r>
      <rPr>
        <sz val="9"/>
        <color rgb="FF000000"/>
        <rFont val="Arial"/>
        <charset val="134"/>
      </rPr>
      <t>,GGV</t>
    </r>
    <r>
      <rPr>
        <sz val="9"/>
        <color rgb="FF000000"/>
        <rFont val="楷体"/>
        <charset val="134"/>
      </rPr>
      <t>纪源资本</t>
    </r>
  </si>
  <si>
    <r>
      <rPr>
        <sz val="9"/>
        <color rgb="FF000000"/>
        <rFont val="楷体"/>
        <charset val="134"/>
      </rPr>
      <t>钟鼎资本</t>
    </r>
    <r>
      <rPr>
        <sz val="9"/>
        <color rgb="FF000000"/>
        <rFont val="Arial"/>
        <charset val="134"/>
      </rPr>
      <t>,</t>
    </r>
    <r>
      <rPr>
        <sz val="9"/>
        <color rgb="FF000000"/>
        <rFont val="楷体"/>
        <charset val="134"/>
      </rPr>
      <t>不惑创投</t>
    </r>
  </si>
  <si>
    <r>
      <rPr>
        <sz val="9"/>
        <color rgb="FF000000"/>
        <rFont val="楷体"/>
        <charset val="134"/>
      </rPr>
      <t>不惑创投</t>
    </r>
  </si>
  <si>
    <r>
      <rPr>
        <sz val="9"/>
        <color rgb="FF000000"/>
        <rFont val="楷体"/>
        <charset val="134"/>
      </rPr>
      <t>北京熊大爷餐饮管理有限公司</t>
    </r>
  </si>
  <si>
    <r>
      <rPr>
        <sz val="9"/>
        <color rgb="FF000000"/>
        <rFont val="楷体"/>
        <charset val="134"/>
      </rPr>
      <t>北京市朝阳区朝阳北路甲</t>
    </r>
    <r>
      <rPr>
        <sz val="9"/>
        <color rgb="FF000000"/>
        <rFont val="Arial"/>
        <charset val="134"/>
      </rPr>
      <t>27</t>
    </r>
    <r>
      <rPr>
        <sz val="9"/>
        <color rgb="FF000000"/>
        <rFont val="楷体"/>
        <charset val="134"/>
      </rPr>
      <t>号</t>
    </r>
    <r>
      <rPr>
        <sz val="9"/>
        <color rgb="FF000000"/>
        <rFont val="Arial"/>
        <charset val="134"/>
      </rPr>
      <t>7</t>
    </r>
    <r>
      <rPr>
        <sz val="9"/>
        <color rgb="FF000000"/>
        <rFont val="楷体"/>
        <charset val="134"/>
      </rPr>
      <t>号楼一层</t>
    </r>
    <r>
      <rPr>
        <sz val="9"/>
        <color rgb="FF000000"/>
        <rFont val="Arial"/>
        <charset val="134"/>
      </rPr>
      <t>118</t>
    </r>
    <r>
      <rPr>
        <sz val="9"/>
        <color rgb="FF000000"/>
        <rFont val="楷体"/>
        <charset val="134"/>
      </rPr>
      <t>室</t>
    </r>
  </si>
  <si>
    <r>
      <rPr>
        <sz val="9"/>
        <color rgb="FF000000"/>
        <rFont val="楷体"/>
        <charset val="134"/>
      </rPr>
      <t>源来资本</t>
    </r>
    <r>
      <rPr>
        <sz val="9"/>
        <color rgb="FF000000"/>
        <rFont val="Arial"/>
        <charset val="134"/>
      </rPr>
      <t>,</t>
    </r>
    <r>
      <rPr>
        <sz val="9"/>
        <color rgb="FF000000"/>
        <rFont val="楷体"/>
        <charset val="134"/>
      </rPr>
      <t>窄门学社</t>
    </r>
  </si>
  <si>
    <r>
      <rPr>
        <sz val="9"/>
        <color rgb="FF000000"/>
        <rFont val="楷体"/>
        <charset val="134"/>
      </rPr>
      <t>长芯盛智连（武汉）科技有限公司</t>
    </r>
  </si>
  <si>
    <r>
      <rPr>
        <sz val="9"/>
        <color rgb="FF000000"/>
        <rFont val="楷体"/>
        <charset val="134"/>
      </rPr>
      <t>深圳市龙华区观澜街道桂花社区观光路</t>
    </r>
    <r>
      <rPr>
        <sz val="9"/>
        <color rgb="FF000000"/>
        <rFont val="Arial"/>
        <charset val="134"/>
      </rPr>
      <t>1134</t>
    </r>
    <r>
      <rPr>
        <sz val="9"/>
        <color rgb="FF000000"/>
        <rFont val="楷体"/>
        <charset val="134"/>
      </rPr>
      <t>号</t>
    </r>
  </si>
  <si>
    <r>
      <rPr>
        <sz val="9"/>
        <color rgb="FF000000"/>
        <rFont val="楷体"/>
        <charset val="134"/>
      </rPr>
      <t>临芯投资</t>
    </r>
    <r>
      <rPr>
        <sz val="9"/>
        <color rgb="FF000000"/>
        <rFont val="Arial"/>
        <charset val="134"/>
      </rPr>
      <t>,</t>
    </r>
    <r>
      <rPr>
        <sz val="9"/>
        <color rgb="FF000000"/>
        <rFont val="楷体"/>
        <charset val="134"/>
      </rPr>
      <t>昆桥资本</t>
    </r>
  </si>
  <si>
    <r>
      <rPr>
        <sz val="9"/>
        <color rgb="FF000000"/>
        <rFont val="楷体"/>
        <charset val="134"/>
      </rPr>
      <t>长沙壹饼壹城餐饮管理有限公司</t>
    </r>
  </si>
  <si>
    <r>
      <rPr>
        <sz val="9"/>
        <color rgb="FF000000"/>
        <rFont val="楷体"/>
        <charset val="134"/>
      </rPr>
      <t>湖南省长沙市芙蓉区定王台街道犁头后街</t>
    </r>
    <r>
      <rPr>
        <sz val="9"/>
        <color rgb="FF000000"/>
        <rFont val="Arial"/>
        <charset val="134"/>
      </rPr>
      <t>034</t>
    </r>
    <r>
      <rPr>
        <sz val="9"/>
        <color rgb="FF000000"/>
        <rFont val="楷体"/>
        <charset val="134"/>
      </rPr>
      <t>号</t>
    </r>
  </si>
  <si>
    <r>
      <rPr>
        <sz val="9"/>
        <color rgb="FF000000"/>
        <rFont val="楷体"/>
        <charset val="134"/>
      </rPr>
      <t>腾讯投资</t>
    </r>
    <r>
      <rPr>
        <sz val="9"/>
        <color rgb="FF000000"/>
        <rFont val="Arial"/>
        <charset val="134"/>
      </rPr>
      <t>,</t>
    </r>
    <r>
      <rPr>
        <sz val="9"/>
        <color rgb="FF000000"/>
        <rFont val="楷体"/>
        <charset val="134"/>
      </rPr>
      <t>日初资本</t>
    </r>
  </si>
  <si>
    <r>
      <rPr>
        <sz val="9"/>
        <color rgb="FF000000"/>
        <rFont val="楷体"/>
        <charset val="134"/>
      </rPr>
      <t>清流资本</t>
    </r>
    <r>
      <rPr>
        <sz val="9"/>
        <color rgb="FF000000"/>
        <rFont val="Arial"/>
        <charset val="134"/>
      </rPr>
      <t>,</t>
    </r>
    <r>
      <rPr>
        <sz val="9"/>
        <color rgb="FF000000"/>
        <rFont val="楷体"/>
        <charset val="134"/>
      </rPr>
      <t>元璟资本</t>
    </r>
    <r>
      <rPr>
        <sz val="9"/>
        <color rgb="FF000000"/>
        <rFont val="Arial"/>
        <charset val="134"/>
      </rPr>
      <t>,</t>
    </r>
    <r>
      <rPr>
        <sz val="9"/>
        <color rgb="FF000000"/>
        <rFont val="楷体"/>
        <charset val="134"/>
      </rPr>
      <t>番茄资本</t>
    </r>
    <r>
      <rPr>
        <sz val="9"/>
        <color rgb="FF000000"/>
        <rFont val="Arial"/>
        <charset val="134"/>
      </rPr>
      <t>,</t>
    </r>
    <r>
      <rPr>
        <sz val="9"/>
        <color rgb="FF000000"/>
        <rFont val="楷体"/>
        <charset val="134"/>
      </rPr>
      <t>源来资本</t>
    </r>
    <r>
      <rPr>
        <sz val="9"/>
        <color rgb="FF000000"/>
        <rFont val="Arial"/>
        <charset val="134"/>
      </rPr>
      <t>,</t>
    </r>
    <r>
      <rPr>
        <sz val="9"/>
        <color rgb="FF000000"/>
        <rFont val="楷体"/>
        <charset val="134"/>
      </rPr>
      <t>日初资本</t>
    </r>
  </si>
  <si>
    <r>
      <rPr>
        <sz val="9"/>
        <color rgb="FF000000"/>
        <rFont val="楷体"/>
        <charset val="134"/>
      </rPr>
      <t>窄门学社</t>
    </r>
    <r>
      <rPr>
        <sz val="9"/>
        <color rgb="FF000000"/>
        <rFont val="Arial"/>
        <charset val="134"/>
      </rPr>
      <t>,</t>
    </r>
    <r>
      <rPr>
        <sz val="9"/>
        <color rgb="FF000000"/>
        <rFont val="楷体"/>
        <charset val="134"/>
      </rPr>
      <t>零拾孵化</t>
    </r>
  </si>
  <si>
    <r>
      <rPr>
        <sz val="9"/>
        <color rgb="FF000000"/>
        <rFont val="楷体"/>
        <charset val="134"/>
      </rPr>
      <t>法奥意威（苏州）机器人系统有限公司</t>
    </r>
  </si>
  <si>
    <r>
      <rPr>
        <sz val="9"/>
        <color rgb="FF000000"/>
        <rFont val="楷体"/>
        <charset val="134"/>
      </rPr>
      <t>苏州市高新区竹园路</t>
    </r>
    <r>
      <rPr>
        <sz val="9"/>
        <color rgb="FF000000"/>
        <rFont val="Arial"/>
        <charset val="134"/>
      </rPr>
      <t>209</t>
    </r>
    <r>
      <rPr>
        <sz val="9"/>
        <color rgb="FF000000"/>
        <rFont val="楷体"/>
        <charset val="134"/>
      </rPr>
      <t>号</t>
    </r>
  </si>
  <si>
    <r>
      <rPr>
        <sz val="9"/>
        <color rgb="FF000000"/>
        <rFont val="楷体"/>
        <charset val="134"/>
      </rPr>
      <t>顺为资本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高瓴创投</t>
    </r>
  </si>
  <si>
    <r>
      <rPr>
        <sz val="9"/>
        <color rgb="FF000000"/>
        <rFont val="楷体"/>
        <charset val="134"/>
      </rPr>
      <t>顾思特汉堡</t>
    </r>
  </si>
  <si>
    <r>
      <rPr>
        <sz val="9"/>
        <color rgb="FF000000"/>
        <rFont val="楷体"/>
        <charset val="134"/>
      </rPr>
      <t>顾思特汉堡是一家汉堡快餐品牌，将以往高大上的汉堡与国人喜欢的快餐相结合，既有汉堡的浓郁风味，又有快餐的便捷和平价，还消除了汉堡的油腻感，备受食客追捧。</t>
    </r>
    <r>
      <rPr>
        <sz val="9"/>
        <color rgb="FF000000"/>
        <rFont val="Arial"/>
        <charset val="134"/>
      </rPr>
      <t xml:space="preserve">
</t>
    </r>
  </si>
  <si>
    <r>
      <rPr>
        <sz val="9"/>
        <color rgb="FF000000"/>
        <rFont val="楷体"/>
        <charset val="134"/>
      </rPr>
      <t>安徽洪玮餐饮管理有限公司</t>
    </r>
  </si>
  <si>
    <r>
      <rPr>
        <sz val="9"/>
        <color rgb="FF000000"/>
        <rFont val="楷体"/>
        <charset val="134"/>
      </rPr>
      <t>安徽</t>
    </r>
    <r>
      <rPr>
        <sz val="9"/>
        <color rgb="FF000000"/>
        <rFont val="Arial"/>
        <charset val="134"/>
      </rPr>
      <t>-</t>
    </r>
    <r>
      <rPr>
        <sz val="9"/>
        <color rgb="FF000000"/>
        <rFont val="楷体"/>
        <charset val="134"/>
      </rPr>
      <t>合肥</t>
    </r>
  </si>
  <si>
    <r>
      <rPr>
        <sz val="9"/>
        <color rgb="FF000000"/>
        <rFont val="楷体"/>
        <charset val="134"/>
      </rPr>
      <t>光伟资本</t>
    </r>
  </si>
  <si>
    <r>
      <rPr>
        <sz val="9"/>
        <color rgb="FF000000"/>
        <rFont val="楷体"/>
        <charset val="134"/>
      </rPr>
      <t>安徽省合肥市庐阳区蒙城北路</t>
    </r>
    <r>
      <rPr>
        <sz val="9"/>
        <color rgb="FF000000"/>
        <rFont val="Arial"/>
        <charset val="134"/>
      </rPr>
      <t>2003</t>
    </r>
    <r>
      <rPr>
        <sz val="9"/>
        <color rgb="FF000000"/>
        <rFont val="楷体"/>
        <charset val="134"/>
      </rPr>
      <t>号骏杰嘉和大厦商业</t>
    </r>
    <r>
      <rPr>
        <sz val="9"/>
        <color rgb="FF000000"/>
        <rFont val="Arial"/>
        <charset val="134"/>
      </rPr>
      <t>102-3</t>
    </r>
  </si>
  <si>
    <r>
      <rPr>
        <sz val="9"/>
        <color rgb="FF000000"/>
        <rFont val="楷体"/>
        <charset val="134"/>
      </rPr>
      <t>北京芯格诺微电子有限公司</t>
    </r>
  </si>
  <si>
    <r>
      <rPr>
        <sz val="9"/>
        <color rgb="FF000000"/>
        <rFont val="楷体"/>
        <charset val="134"/>
      </rPr>
      <t>北京市海淀区知春路</t>
    </r>
    <r>
      <rPr>
        <sz val="9"/>
        <color rgb="FF000000"/>
        <rFont val="Arial"/>
        <charset val="134"/>
      </rPr>
      <t>1</t>
    </r>
    <r>
      <rPr>
        <sz val="9"/>
        <color rgb="FF000000"/>
        <rFont val="楷体"/>
        <charset val="134"/>
      </rPr>
      <t>号</t>
    </r>
    <r>
      <rPr>
        <sz val="9"/>
        <color rgb="FF000000"/>
        <rFont val="Arial"/>
        <charset val="134"/>
      </rPr>
      <t>17</t>
    </r>
    <r>
      <rPr>
        <sz val="9"/>
        <color rgb="FF000000"/>
        <rFont val="楷体"/>
        <charset val="134"/>
      </rPr>
      <t>层</t>
    </r>
    <r>
      <rPr>
        <sz val="9"/>
        <color rgb="FF000000"/>
        <rFont val="Arial"/>
        <charset val="134"/>
      </rPr>
      <t>1707A</t>
    </r>
  </si>
  <si>
    <r>
      <rPr>
        <sz val="9"/>
        <color rgb="FF000000"/>
        <rFont val="楷体"/>
        <charset val="134"/>
      </rPr>
      <t>小米长江产业基金</t>
    </r>
  </si>
  <si>
    <r>
      <rPr>
        <sz val="9"/>
        <color rgb="FF000000"/>
        <rFont val="楷体"/>
        <charset val="134"/>
      </rPr>
      <t>北京细红线科技有限公司</t>
    </r>
  </si>
  <si>
    <r>
      <rPr>
        <sz val="9"/>
        <color rgb="FF000000"/>
        <rFont val="楷体"/>
        <charset val="134"/>
      </rPr>
      <t>北京市海淀区永丰路</t>
    </r>
    <r>
      <rPr>
        <sz val="9"/>
        <color rgb="FF000000"/>
        <rFont val="Arial"/>
        <charset val="134"/>
      </rPr>
      <t>9</t>
    </r>
    <r>
      <rPr>
        <sz val="9"/>
        <color rgb="FF000000"/>
        <rFont val="楷体"/>
        <charset val="134"/>
      </rPr>
      <t>号院</t>
    </r>
    <r>
      <rPr>
        <sz val="9"/>
        <color rgb="FF000000"/>
        <rFont val="Arial"/>
        <charset val="134"/>
      </rPr>
      <t>3</t>
    </r>
    <r>
      <rPr>
        <sz val="9"/>
        <color rgb="FF000000"/>
        <rFont val="楷体"/>
        <charset val="134"/>
      </rPr>
      <t>号楼</t>
    </r>
    <r>
      <rPr>
        <sz val="9"/>
        <color rgb="FF000000"/>
        <rFont val="Arial"/>
        <charset val="134"/>
      </rPr>
      <t>A</t>
    </r>
    <r>
      <rPr>
        <sz val="9"/>
        <color rgb="FF000000"/>
        <rFont val="楷体"/>
        <charset val="134"/>
      </rPr>
      <t>座</t>
    </r>
    <r>
      <rPr>
        <sz val="9"/>
        <color rgb="FF000000"/>
        <rFont val="Arial"/>
        <charset val="134"/>
      </rPr>
      <t>2</t>
    </r>
    <r>
      <rPr>
        <sz val="9"/>
        <color rgb="FF000000"/>
        <rFont val="楷体"/>
        <charset val="134"/>
      </rPr>
      <t>层中段</t>
    </r>
    <r>
      <rPr>
        <sz val="9"/>
        <color rgb="FF000000"/>
        <rFont val="Arial"/>
        <charset val="134"/>
      </rPr>
      <t>377</t>
    </r>
    <r>
      <rPr>
        <sz val="9"/>
        <color rgb="FF000000"/>
        <rFont val="楷体"/>
        <charset val="134"/>
      </rPr>
      <t>号</t>
    </r>
  </si>
  <si>
    <r>
      <rPr>
        <sz val="9"/>
        <color rgb="FF000000"/>
        <rFont val="楷体"/>
        <charset val="134"/>
      </rPr>
      <t>山东薛氏农业科技有限公司</t>
    </r>
  </si>
  <si>
    <r>
      <rPr>
        <sz val="9"/>
        <color rgb="FF000000"/>
        <rFont val="楷体"/>
        <charset val="134"/>
      </rPr>
      <t>山东省济南市市中区二七中街商住楼底层</t>
    </r>
  </si>
  <si>
    <r>
      <t>UniBike</t>
    </r>
    <r>
      <rPr>
        <sz val="9"/>
        <color rgb="FF000000"/>
        <rFont val="楷体"/>
        <charset val="134"/>
      </rPr>
      <t>由你单车</t>
    </r>
  </si>
  <si>
    <r>
      <t>UniBike</t>
    </r>
    <r>
      <rPr>
        <sz val="9"/>
        <color rgb="FF000000"/>
        <rFont val="楷体"/>
        <charset val="134"/>
      </rPr>
      <t>由你单车是一家校园共享单车服务商，从每一位大学生最基本的校园骑行需求出发，深耕校园市场。厦门大象单车科技有限公司旗下产品。</t>
    </r>
  </si>
  <si>
    <r>
      <rPr>
        <sz val="9"/>
        <color rgb="FF000000"/>
        <rFont val="楷体"/>
        <charset val="134"/>
      </rPr>
      <t>厦门大象单车科技有限公司</t>
    </r>
  </si>
  <si>
    <r>
      <rPr>
        <sz val="9"/>
        <color rgb="FF000000"/>
        <rFont val="楷体"/>
        <charset val="134"/>
      </rPr>
      <t>福建</t>
    </r>
    <r>
      <rPr>
        <sz val="9"/>
        <color rgb="FF000000"/>
        <rFont val="Arial"/>
        <charset val="134"/>
      </rPr>
      <t>-</t>
    </r>
    <r>
      <rPr>
        <sz val="9"/>
        <color rgb="FF000000"/>
        <rFont val="楷体"/>
        <charset val="134"/>
      </rPr>
      <t>厦门</t>
    </r>
  </si>
  <si>
    <r>
      <t>1.05</t>
    </r>
    <r>
      <rPr>
        <sz val="9"/>
        <color rgb="FF000000"/>
        <rFont val="楷体"/>
        <charset val="134"/>
      </rPr>
      <t>亿</t>
    </r>
  </si>
  <si>
    <r>
      <rPr>
        <sz val="9"/>
        <color rgb="FF000000"/>
        <rFont val="楷体"/>
        <charset val="134"/>
      </rPr>
      <t>金吉晖</t>
    </r>
    <r>
      <rPr>
        <sz val="9"/>
        <color rgb="FF000000"/>
        <rFont val="Arial"/>
        <charset val="134"/>
      </rPr>
      <t xml:space="preserve"> :</t>
    </r>
    <r>
      <rPr>
        <sz val="9"/>
        <color rgb="FF000000"/>
        <rFont val="楷体"/>
        <charset val="134"/>
      </rPr>
      <t>创始人</t>
    </r>
    <r>
      <rPr>
        <sz val="9"/>
        <color rgb="FF000000"/>
        <rFont val="Arial"/>
        <charset val="134"/>
      </rPr>
      <t>,</t>
    </r>
    <r>
      <rPr>
        <sz val="9"/>
        <color rgb="FF000000"/>
        <rFont val="楷体"/>
        <charset val="134"/>
      </rPr>
      <t>金吉辉</t>
    </r>
    <r>
      <rPr>
        <sz val="9"/>
        <color rgb="FF000000"/>
        <rFont val="Arial"/>
        <charset val="134"/>
      </rPr>
      <t>:</t>
    </r>
    <r>
      <rPr>
        <sz val="9"/>
        <color rgb="FF000000"/>
        <rFont val="楷体"/>
        <charset val="134"/>
      </rPr>
      <t>创始人</t>
    </r>
  </si>
  <si>
    <r>
      <rPr>
        <sz val="9"/>
        <color rgb="FF000000"/>
        <rFont val="楷体"/>
        <charset val="134"/>
      </rPr>
      <t>象屿路</t>
    </r>
    <r>
      <rPr>
        <sz val="9"/>
        <color rgb="FF000000"/>
        <rFont val="Arial"/>
        <charset val="134"/>
      </rPr>
      <t>97</t>
    </r>
    <r>
      <rPr>
        <sz val="9"/>
        <color rgb="FF000000"/>
        <rFont val="楷体"/>
        <charset val="134"/>
      </rPr>
      <t>号厦门国际航运中心</t>
    </r>
    <r>
      <rPr>
        <sz val="9"/>
        <color rgb="FF000000"/>
        <rFont val="Arial"/>
        <charset val="134"/>
      </rPr>
      <t>D</t>
    </r>
    <r>
      <rPr>
        <sz val="9"/>
        <color rgb="FF000000"/>
        <rFont val="楷体"/>
        <charset val="134"/>
      </rPr>
      <t>栋</t>
    </r>
    <r>
      <rPr>
        <sz val="9"/>
        <color rgb="FF000000"/>
        <rFont val="Arial"/>
        <charset val="134"/>
      </rPr>
      <t>8</t>
    </r>
    <r>
      <rPr>
        <sz val="9"/>
        <color rgb="FF000000"/>
        <rFont val="楷体"/>
        <charset val="134"/>
      </rPr>
      <t>层</t>
    </r>
    <r>
      <rPr>
        <sz val="9"/>
        <color rgb="FF000000"/>
        <rFont val="Arial"/>
        <charset val="134"/>
      </rPr>
      <t>05</t>
    </r>
    <r>
      <rPr>
        <sz val="9"/>
        <color rgb="FF000000"/>
        <rFont val="楷体"/>
        <charset val="134"/>
      </rPr>
      <t>单元</t>
    </r>
    <r>
      <rPr>
        <sz val="9"/>
        <color rgb="FF000000"/>
        <rFont val="Arial"/>
        <charset val="134"/>
      </rPr>
      <t>X</t>
    </r>
  </si>
  <si>
    <r>
      <rPr>
        <sz val="9"/>
        <color rgb="FF000000"/>
        <rFont val="楷体"/>
        <charset val="134"/>
      </rPr>
      <t>展卷科技</t>
    </r>
  </si>
  <si>
    <r>
      <rPr>
        <sz val="9"/>
        <color rgb="FF000000"/>
        <rFont val="楷体"/>
        <charset val="134"/>
      </rPr>
      <t>展卷科技是一家为城市通勤提供解决方案的公司，公司致力于解决现代城市的交通问题，目前公司的主要业务为公共交通系统的研发及推广，公司产品有</t>
    </r>
    <r>
      <rPr>
        <sz val="9"/>
        <color rgb="FF000000"/>
        <rFont val="Arial"/>
        <charset val="134"/>
      </rPr>
      <t>“</t>
    </r>
    <r>
      <rPr>
        <sz val="9"/>
        <color rgb="FF000000"/>
        <rFont val="楷体"/>
        <charset val="134"/>
      </rPr>
      <t>何在</t>
    </r>
    <r>
      <rPr>
        <sz val="9"/>
        <color rgb="FF000000"/>
        <rFont val="Arial"/>
        <charset val="134"/>
      </rPr>
      <t>”</t>
    </r>
    <r>
      <rPr>
        <sz val="9"/>
        <color rgb="FF000000"/>
        <rFont val="楷体"/>
        <charset val="134"/>
      </rPr>
      <t>，一款提供公交实时数据的</t>
    </r>
    <r>
      <rPr>
        <sz val="9"/>
        <color rgb="FF000000"/>
        <rFont val="Arial"/>
        <charset val="134"/>
      </rPr>
      <t>APP</t>
    </r>
    <r>
      <rPr>
        <sz val="9"/>
        <color rgb="FF000000"/>
        <rFont val="楷体"/>
        <charset val="134"/>
      </rPr>
      <t>。</t>
    </r>
  </si>
  <si>
    <r>
      <rPr>
        <sz val="9"/>
        <color rgb="FF000000"/>
        <rFont val="楷体"/>
        <charset val="134"/>
      </rPr>
      <t>上海展卷信息科技有限公司</t>
    </r>
  </si>
  <si>
    <r>
      <t>2500</t>
    </r>
    <r>
      <rPr>
        <sz val="9"/>
        <color rgb="FF000000"/>
        <rFont val="楷体"/>
        <charset val="134"/>
      </rPr>
      <t>万</t>
    </r>
  </si>
  <si>
    <r>
      <rPr>
        <sz val="9"/>
        <color rgb="FF000000"/>
        <rFont val="楷体"/>
        <charset val="134"/>
      </rPr>
      <t>罗安</t>
    </r>
    <r>
      <rPr>
        <sz val="9"/>
        <color rgb="FF000000"/>
        <rFont val="Arial"/>
        <charset val="134"/>
      </rPr>
      <t>:CEO</t>
    </r>
  </si>
  <si>
    <r>
      <rPr>
        <sz val="9"/>
        <color rgb="FF000000"/>
        <rFont val="楷体"/>
        <charset val="134"/>
      </rPr>
      <t>朱枫公路</t>
    </r>
    <r>
      <rPr>
        <sz val="9"/>
        <color rgb="FF000000"/>
        <rFont val="Arial"/>
        <charset val="134"/>
      </rPr>
      <t>3424</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2</t>
    </r>
    <r>
      <rPr>
        <sz val="9"/>
        <color rgb="FF000000"/>
        <rFont val="楷体"/>
        <charset val="134"/>
      </rPr>
      <t>层</t>
    </r>
    <r>
      <rPr>
        <sz val="9"/>
        <color rgb="FF000000"/>
        <rFont val="Arial"/>
        <charset val="134"/>
      </rPr>
      <t>P</t>
    </r>
    <r>
      <rPr>
        <sz val="9"/>
        <color rgb="FF000000"/>
        <rFont val="楷体"/>
        <charset val="134"/>
      </rPr>
      <t>区</t>
    </r>
    <r>
      <rPr>
        <sz val="9"/>
        <color rgb="FF000000"/>
        <rFont val="Arial"/>
        <charset val="134"/>
      </rPr>
      <t>210</t>
    </r>
    <r>
      <rPr>
        <sz val="9"/>
        <color rgb="FF000000"/>
        <rFont val="楷体"/>
        <charset val="134"/>
      </rPr>
      <t>室</t>
    </r>
    <r>
      <rPr>
        <sz val="9"/>
        <color rgb="FF000000"/>
        <rFont val="Arial"/>
        <charset val="134"/>
      </rPr>
      <t xml:space="preserve"> </t>
    </r>
  </si>
  <si>
    <r>
      <rPr>
        <sz val="9"/>
        <color rgb="FF000000"/>
        <rFont val="楷体"/>
        <charset val="134"/>
      </rPr>
      <t>杭州超轶资产</t>
    </r>
  </si>
</sst>
</file>

<file path=xl/styles.xml><?xml version="1.0" encoding="utf-8"?>
<styleSheet xmlns="http://schemas.openxmlformats.org/spreadsheetml/2006/main">
  <numFmts count="6">
    <numFmt numFmtId="43" formatCode="_ * #,##0.00_ ;_ * \-#,##0.00_ ;_ * &quot;-&quot;??_ ;_ @_ "/>
    <numFmt numFmtId="176" formatCode="0.0%"/>
    <numFmt numFmtId="41" formatCode="_ * #,##0_ ;_ * \-#,##0_ ;_ * &quot;-&quot;_ ;_ @_ "/>
    <numFmt numFmtId="42" formatCode="_ &quot;￥&quot;* #,##0_ ;_ &quot;￥&quot;* \-#,##0_ ;_ &quot;￥&quot;* &quot;-&quot;_ ;_ @_ "/>
    <numFmt numFmtId="44" formatCode="_ &quot;￥&quot;* #,##0.00_ ;_ &quot;￥&quot;* \-#,##0.00_ ;_ &quot;￥&quot;* &quot;-&quot;??_ ;_ @_ "/>
    <numFmt numFmtId="177" formatCode="0.0"/>
  </numFmts>
  <fonts count="63">
    <font>
      <sz val="11"/>
      <color rgb="FF000000"/>
      <name val="Calibri"/>
      <charset val="134"/>
    </font>
    <font>
      <sz val="9"/>
      <color rgb="FF000000"/>
      <name val="Arial"/>
      <charset val="134"/>
    </font>
    <font>
      <b/>
      <sz val="9"/>
      <color rgb="FF000000"/>
      <name val="Arial"/>
      <charset val="134"/>
    </font>
    <font>
      <sz val="9"/>
      <color rgb="FF000000"/>
      <name val="楷体"/>
      <charset val="134"/>
    </font>
    <font>
      <b/>
      <sz val="9"/>
      <color rgb="FF000000"/>
      <name val="楷体"/>
      <charset val="134"/>
    </font>
    <font>
      <sz val="9"/>
      <color rgb="FF000000"/>
      <name val="Arial"/>
      <charset val="134"/>
    </font>
    <font>
      <sz val="12"/>
      <color theme="1"/>
      <name val="Arial"/>
      <charset val="134"/>
    </font>
    <font>
      <sz val="9"/>
      <color theme="0"/>
      <name val="Arial"/>
      <charset val="134"/>
    </font>
    <font>
      <b/>
      <sz val="14"/>
      <color rgb="FFC00000"/>
      <name val="Arial"/>
      <charset val="134"/>
    </font>
    <font>
      <b/>
      <sz val="9"/>
      <color theme="1"/>
      <name val="Arial"/>
      <charset val="134"/>
    </font>
    <font>
      <sz val="10"/>
      <color theme="0"/>
      <name val="Arial"/>
      <charset val="134"/>
    </font>
    <font>
      <sz val="10"/>
      <color theme="1"/>
      <name val="Arial"/>
      <charset val="134"/>
    </font>
    <font>
      <b/>
      <sz val="10"/>
      <color theme="1"/>
      <name val="Arial"/>
      <charset val="134"/>
    </font>
    <font>
      <i/>
      <sz val="10"/>
      <color theme="1"/>
      <name val="Arial"/>
      <charset val="134"/>
    </font>
    <font>
      <i/>
      <sz val="8"/>
      <color theme="1"/>
      <name val="Arial"/>
      <charset val="134"/>
    </font>
    <font>
      <b/>
      <sz val="9"/>
      <color rgb="FF000000"/>
      <name val="Arial"/>
      <charset val="134"/>
    </font>
    <font>
      <sz val="16"/>
      <color rgb="FFC00000"/>
      <name val="Arial"/>
      <charset val="134"/>
    </font>
    <font>
      <sz val="11"/>
      <color rgb="FFC00000"/>
      <name val="Arial"/>
      <charset val="134"/>
    </font>
    <font>
      <sz val="9"/>
      <color rgb="FF000000"/>
      <name val="Arial"/>
      <charset val="134"/>
    </font>
    <font>
      <i/>
      <sz val="9"/>
      <color rgb="FF000000"/>
      <name val="Arial"/>
      <charset val="134"/>
    </font>
    <font>
      <sz val="9"/>
      <name val="Arial"/>
      <charset val="134"/>
    </font>
    <font>
      <i/>
      <sz val="9"/>
      <name val="Arial"/>
      <charset val="134"/>
    </font>
    <font>
      <sz val="9"/>
      <color theme="0"/>
      <name val="Arial"/>
      <charset val="134"/>
    </font>
    <font>
      <sz val="9"/>
      <color rgb="FFC00000"/>
      <name val="Arial"/>
      <charset val="134"/>
    </font>
    <font>
      <b/>
      <sz val="9"/>
      <color rgb="FF000000"/>
      <name val="Arial"/>
      <charset val="134"/>
    </font>
    <font>
      <sz val="9"/>
      <name val="Arial"/>
      <charset val="134"/>
    </font>
    <font>
      <sz val="9"/>
      <color rgb="FFC00000"/>
      <name val="Arial"/>
      <charset val="134"/>
    </font>
    <font>
      <sz val="9"/>
      <color rgb="FFFF0000"/>
      <name val="Arial"/>
      <charset val="134"/>
    </font>
    <font>
      <sz val="11"/>
      <name val="Arial"/>
      <charset val="134"/>
    </font>
    <font>
      <sz val="11"/>
      <color rgb="FF000000"/>
      <name val="Arial"/>
      <charset val="134"/>
    </font>
    <font>
      <b/>
      <sz val="11"/>
      <color theme="3"/>
      <name val="Calibri"/>
      <charset val="134"/>
      <scheme val="minor"/>
    </font>
    <font>
      <sz val="11"/>
      <color rgb="FFFF0000"/>
      <name val="Calibri"/>
      <charset val="0"/>
      <scheme val="minor"/>
    </font>
    <font>
      <sz val="11"/>
      <color theme="1"/>
      <name val="Calibri"/>
      <charset val="134"/>
      <scheme val="minor"/>
    </font>
    <font>
      <sz val="11"/>
      <color rgb="FF9C0006"/>
      <name val="Calibri"/>
      <charset val="0"/>
      <scheme val="minor"/>
    </font>
    <font>
      <b/>
      <sz val="11"/>
      <color rgb="FFFA7D00"/>
      <name val="Calibri"/>
      <charset val="0"/>
      <scheme val="minor"/>
    </font>
    <font>
      <b/>
      <sz val="13"/>
      <color theme="3"/>
      <name val="Calibri"/>
      <charset val="134"/>
      <scheme val="minor"/>
    </font>
    <font>
      <sz val="11"/>
      <color theme="0"/>
      <name val="Calibri"/>
      <charset val="0"/>
      <scheme val="minor"/>
    </font>
    <font>
      <sz val="11"/>
      <color theme="1"/>
      <name val="Calibri"/>
      <charset val="0"/>
      <scheme val="minor"/>
    </font>
    <font>
      <b/>
      <sz val="11"/>
      <color theme="1"/>
      <name val="Calibri"/>
      <charset val="0"/>
      <scheme val="minor"/>
    </font>
    <font>
      <sz val="11"/>
      <color rgb="FF006100"/>
      <name val="Calibri"/>
      <charset val="0"/>
      <scheme val="minor"/>
    </font>
    <font>
      <u/>
      <sz val="11"/>
      <color rgb="FF0000FF"/>
      <name val="Calibri"/>
      <charset val="0"/>
      <scheme val="minor"/>
    </font>
    <font>
      <u/>
      <sz val="11"/>
      <color rgb="FF800080"/>
      <name val="Calibri"/>
      <charset val="0"/>
      <scheme val="minor"/>
    </font>
    <font>
      <sz val="11"/>
      <color rgb="FF9C6500"/>
      <name val="Calibri"/>
      <charset val="0"/>
      <scheme val="minor"/>
    </font>
    <font>
      <b/>
      <sz val="11"/>
      <color rgb="FFFFFFFF"/>
      <name val="Calibri"/>
      <charset val="0"/>
      <scheme val="minor"/>
    </font>
    <font>
      <sz val="11"/>
      <color rgb="FFFA7D00"/>
      <name val="Calibri"/>
      <charset val="0"/>
      <scheme val="minor"/>
    </font>
    <font>
      <sz val="11"/>
      <color rgb="FF3F3F76"/>
      <name val="Calibri"/>
      <charset val="0"/>
      <scheme val="minor"/>
    </font>
    <font>
      <b/>
      <sz val="18"/>
      <color theme="3"/>
      <name val="Calibri"/>
      <charset val="134"/>
      <scheme val="minor"/>
    </font>
    <font>
      <i/>
      <sz val="11"/>
      <color rgb="FF7F7F7F"/>
      <name val="Calibri"/>
      <charset val="0"/>
      <scheme val="minor"/>
    </font>
    <font>
      <b/>
      <sz val="11"/>
      <color rgb="FF3F3F3F"/>
      <name val="Calibri"/>
      <charset val="0"/>
      <scheme val="minor"/>
    </font>
    <font>
      <b/>
      <sz val="15"/>
      <color theme="3"/>
      <name val="Calibri"/>
      <charset val="134"/>
      <scheme val="minor"/>
    </font>
    <font>
      <b/>
      <sz val="9"/>
      <color rgb="FF000000"/>
      <name val="楷体"/>
      <charset val="134"/>
    </font>
    <font>
      <b/>
      <sz val="9"/>
      <color rgb="FF000000"/>
      <name val="楷体"/>
      <charset val="134"/>
    </font>
    <font>
      <b/>
      <sz val="14"/>
      <color rgb="FFC00000"/>
      <name val="楷体"/>
      <charset val="134"/>
    </font>
    <font>
      <sz val="9"/>
      <color rgb="FF000000"/>
      <name val="楷体"/>
      <charset val="134"/>
    </font>
    <font>
      <sz val="9"/>
      <name val="楷体"/>
      <charset val="134"/>
    </font>
    <font>
      <sz val="9"/>
      <color rgb="FF000000"/>
      <name val="楷体"/>
      <charset val="134"/>
    </font>
    <font>
      <b/>
      <sz val="9"/>
      <color theme="1"/>
      <name val="楷体"/>
      <charset val="134"/>
    </font>
    <font>
      <sz val="9"/>
      <color rgb="FFC00000"/>
      <name val="楷体"/>
      <charset val="134"/>
    </font>
    <font>
      <sz val="9"/>
      <name val="楷体"/>
      <charset val="134"/>
    </font>
    <font>
      <b/>
      <sz val="10"/>
      <color theme="1"/>
      <name val="楷体"/>
      <charset val="134"/>
    </font>
    <font>
      <i/>
      <sz val="8"/>
      <color theme="1"/>
      <name val="楷体"/>
      <charset val="134"/>
    </font>
    <font>
      <sz val="9"/>
      <color theme="0"/>
      <name val="楷体"/>
      <charset val="134"/>
    </font>
    <font>
      <sz val="9"/>
      <color theme="0"/>
      <name val="楷体"/>
      <charset val="134"/>
    </font>
  </fonts>
  <fills count="38">
    <fill>
      <patternFill patternType="none"/>
    </fill>
    <fill>
      <patternFill patternType="gray125"/>
    </fill>
    <fill>
      <patternFill patternType="solid">
        <fgColor theme="0"/>
        <bgColor indexed="64"/>
      </patternFill>
    </fill>
    <fill>
      <patternFill patternType="solid">
        <fgColor theme="8" tint="0.799981688894314"/>
        <bgColor indexed="64"/>
      </patternFill>
    </fill>
    <fill>
      <patternFill patternType="solid">
        <fgColor rgb="FF003778"/>
        <bgColor indexed="64"/>
      </patternFill>
    </fill>
    <fill>
      <patternFill patternType="solid">
        <fgColor theme="8" tint="0.79985961485641"/>
        <bgColor indexed="64"/>
      </patternFill>
    </fill>
    <fill>
      <patternFill patternType="solid">
        <fgColor theme="0" tint="-0.0499893185216834"/>
        <bgColor indexed="64"/>
      </patternFill>
    </fill>
    <fill>
      <patternFill patternType="solid">
        <fgColor rgb="FFFFC7CE"/>
        <bgColor indexed="64"/>
      </patternFill>
    </fill>
    <fill>
      <patternFill patternType="solid">
        <fgColor rgb="FFF2F2F2"/>
        <bgColor indexed="64"/>
      </patternFill>
    </fill>
    <fill>
      <patternFill patternType="solid">
        <fgColor theme="7"/>
        <bgColor indexed="64"/>
      </patternFill>
    </fill>
    <fill>
      <patternFill patternType="solid">
        <fgColor theme="4" tint="0.599993896298105"/>
        <bgColor indexed="64"/>
      </patternFill>
    </fill>
    <fill>
      <patternFill patternType="solid">
        <fgColor theme="9"/>
        <bgColor indexed="64"/>
      </patternFill>
    </fill>
    <fill>
      <patternFill patternType="solid">
        <fgColor theme="8"/>
        <bgColor indexed="64"/>
      </patternFill>
    </fill>
    <fill>
      <patternFill patternType="solid">
        <fgColor rgb="FFC6EFCE"/>
        <bgColor indexed="64"/>
      </patternFill>
    </fill>
    <fill>
      <patternFill patternType="solid">
        <fgColor theme="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rgb="FFFFFFCC"/>
        <bgColor indexed="64"/>
      </patternFill>
    </fill>
    <fill>
      <patternFill patternType="solid">
        <fgColor theme="8" tint="0.799981688894314"/>
        <bgColor indexed="64"/>
      </patternFill>
    </fill>
    <fill>
      <patternFill patternType="solid">
        <fgColor theme="4"/>
        <bgColor indexed="64"/>
      </patternFill>
    </fill>
    <fill>
      <patternFill patternType="solid">
        <fgColor rgb="FFFFEB9C"/>
        <bgColor indexed="64"/>
      </patternFill>
    </fill>
    <fill>
      <patternFill patternType="solid">
        <fgColor rgb="FFA5A5A5"/>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6"/>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9" tint="0.799981688894314"/>
        <bgColor indexed="64"/>
      </patternFill>
    </fill>
  </fills>
  <borders count="15">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37" fillId="10" borderId="0" applyNumberFormat="0" applyBorder="0" applyAlignment="0" applyProtection="0">
      <alignment vertical="center"/>
    </xf>
    <xf numFmtId="43" fontId="32" fillId="0" borderId="0" applyFont="0" applyFill="0" applyBorder="0" applyAlignment="0" applyProtection="0">
      <alignment vertical="center"/>
    </xf>
    <xf numFmtId="41" fontId="32" fillId="0" borderId="0" applyFont="0" applyFill="0" applyBorder="0" applyAlignment="0" applyProtection="0">
      <alignment vertical="center"/>
    </xf>
    <xf numFmtId="42" fontId="32" fillId="0" borderId="0" applyFont="0" applyFill="0" applyBorder="0" applyAlignment="0" applyProtection="0">
      <alignment vertical="center"/>
    </xf>
    <xf numFmtId="44" fontId="32" fillId="0" borderId="0" applyFont="0" applyFill="0" applyBorder="0" applyAlignment="0" applyProtection="0">
      <alignment vertical="center"/>
    </xf>
    <xf numFmtId="9" fontId="32" fillId="0" borderId="0" applyFont="0" applyFill="0" applyBorder="0" applyAlignment="0" applyProtection="0">
      <alignment vertical="center"/>
    </xf>
    <xf numFmtId="0" fontId="40" fillId="0" borderId="0" applyNumberFormat="0" applyFill="0" applyBorder="0" applyAlignment="0" applyProtection="0">
      <alignment vertical="center"/>
    </xf>
    <xf numFmtId="0" fontId="36" fillId="15" borderId="0" applyNumberFormat="0" applyBorder="0" applyAlignment="0" applyProtection="0">
      <alignment vertical="center"/>
    </xf>
    <xf numFmtId="0" fontId="41" fillId="0" borderId="0" applyNumberFormat="0" applyFill="0" applyBorder="0" applyAlignment="0" applyProtection="0">
      <alignment vertical="center"/>
    </xf>
    <xf numFmtId="0" fontId="43" fillId="22" borderId="12" applyNumberFormat="0" applyAlignment="0" applyProtection="0">
      <alignment vertical="center"/>
    </xf>
    <xf numFmtId="0" fontId="35" fillId="0" borderId="9" applyNumberFormat="0" applyFill="0" applyAlignment="0" applyProtection="0">
      <alignment vertical="center"/>
    </xf>
    <xf numFmtId="0" fontId="32" fillId="18" borderId="11" applyNumberFormat="0" applyFont="0" applyAlignment="0" applyProtection="0">
      <alignment vertical="center"/>
    </xf>
    <xf numFmtId="0" fontId="37" fillId="27" borderId="0" applyNumberFormat="0" applyBorder="0" applyAlignment="0" applyProtection="0">
      <alignment vertical="center"/>
    </xf>
    <xf numFmtId="0" fontId="31" fillId="0" borderId="0" applyNumberFormat="0" applyFill="0" applyBorder="0" applyAlignment="0" applyProtection="0">
      <alignment vertical="center"/>
    </xf>
    <xf numFmtId="0" fontId="37" fillId="26" borderId="0" applyNumberFormat="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9" fillId="0" borderId="9" applyNumberFormat="0" applyFill="0" applyAlignment="0" applyProtection="0">
      <alignment vertical="center"/>
    </xf>
    <xf numFmtId="0" fontId="30" fillId="0" borderId="7" applyNumberFormat="0" applyFill="0" applyAlignment="0" applyProtection="0">
      <alignment vertical="center"/>
    </xf>
    <xf numFmtId="0" fontId="30" fillId="0" borderId="0" applyNumberFormat="0" applyFill="0" applyBorder="0" applyAlignment="0" applyProtection="0">
      <alignment vertical="center"/>
    </xf>
    <xf numFmtId="0" fontId="45" fillId="25" borderId="8" applyNumberFormat="0" applyAlignment="0" applyProtection="0">
      <alignment vertical="center"/>
    </xf>
    <xf numFmtId="0" fontId="36" fillId="33" borderId="0" applyNumberFormat="0" applyBorder="0" applyAlignment="0" applyProtection="0">
      <alignment vertical="center"/>
    </xf>
    <xf numFmtId="0" fontId="39" fillId="13" borderId="0" applyNumberFormat="0" applyBorder="0" applyAlignment="0" applyProtection="0">
      <alignment vertical="center"/>
    </xf>
    <xf numFmtId="0" fontId="48" fillId="8" borderId="14" applyNumberFormat="0" applyAlignment="0" applyProtection="0">
      <alignment vertical="center"/>
    </xf>
    <xf numFmtId="0" fontId="37" fillId="29" borderId="0" applyNumberFormat="0" applyBorder="0" applyAlignment="0" applyProtection="0">
      <alignment vertical="center"/>
    </xf>
    <xf numFmtId="0" fontId="34" fillId="8" borderId="8" applyNumberFormat="0" applyAlignment="0" applyProtection="0">
      <alignment vertical="center"/>
    </xf>
    <xf numFmtId="0" fontId="44" fillId="0" borderId="13" applyNumberFormat="0" applyFill="0" applyAlignment="0" applyProtection="0">
      <alignment vertical="center"/>
    </xf>
    <xf numFmtId="0" fontId="38" fillId="0" borderId="10" applyNumberFormat="0" applyFill="0" applyAlignment="0" applyProtection="0">
      <alignment vertical="center"/>
    </xf>
    <xf numFmtId="0" fontId="33" fillId="7" borderId="0" applyNumberFormat="0" applyBorder="0" applyAlignment="0" applyProtection="0">
      <alignment vertical="center"/>
    </xf>
    <xf numFmtId="0" fontId="42" fillId="21" borderId="0" applyNumberFormat="0" applyBorder="0" applyAlignment="0" applyProtection="0">
      <alignment vertical="center"/>
    </xf>
    <xf numFmtId="0" fontId="36" fillId="20" borderId="0" applyNumberFormat="0" applyBorder="0" applyAlignment="0" applyProtection="0">
      <alignment vertical="center"/>
    </xf>
    <xf numFmtId="0" fontId="0" fillId="0" borderId="0"/>
    <xf numFmtId="0" fontId="37" fillId="19" borderId="0" applyNumberFormat="0" applyBorder="0" applyAlignment="0" applyProtection="0">
      <alignment vertical="center"/>
    </xf>
    <xf numFmtId="0" fontId="36" fillId="35" borderId="0" applyNumberFormat="0" applyBorder="0" applyAlignment="0" applyProtection="0">
      <alignment vertical="center"/>
    </xf>
    <xf numFmtId="0" fontId="36" fillId="14" borderId="0" applyNumberFormat="0" applyBorder="0" applyAlignment="0" applyProtection="0">
      <alignment vertical="center"/>
    </xf>
    <xf numFmtId="0" fontId="37" fillId="17" borderId="0" applyNumberFormat="0" applyBorder="0" applyAlignment="0" applyProtection="0">
      <alignment vertical="center"/>
    </xf>
    <xf numFmtId="0" fontId="37" fillId="37" borderId="0" applyNumberFormat="0" applyBorder="0" applyAlignment="0" applyProtection="0">
      <alignment vertical="center"/>
    </xf>
    <xf numFmtId="0" fontId="36" fillId="24" borderId="0" applyNumberFormat="0" applyBorder="0" applyAlignment="0" applyProtection="0">
      <alignment vertical="center"/>
    </xf>
    <xf numFmtId="0" fontId="36" fillId="32" borderId="0" applyNumberFormat="0" applyBorder="0" applyAlignment="0" applyProtection="0">
      <alignment vertical="center"/>
    </xf>
    <xf numFmtId="0" fontId="37" fillId="36" borderId="0" applyNumberFormat="0" applyBorder="0" applyAlignment="0" applyProtection="0">
      <alignment vertical="center"/>
    </xf>
    <xf numFmtId="0" fontId="36" fillId="9" borderId="0" applyNumberFormat="0" applyBorder="0" applyAlignment="0" applyProtection="0">
      <alignment vertical="center"/>
    </xf>
    <xf numFmtId="0" fontId="37" fillId="23" borderId="0" applyNumberFormat="0" applyBorder="0" applyAlignment="0" applyProtection="0">
      <alignment vertical="center"/>
    </xf>
    <xf numFmtId="0" fontId="37" fillId="34" borderId="0" applyNumberFormat="0" applyBorder="0" applyAlignment="0" applyProtection="0">
      <alignment vertical="center"/>
    </xf>
    <xf numFmtId="9" fontId="32" fillId="0" borderId="0" applyFont="0" applyFill="0" applyBorder="0" applyAlignment="0" applyProtection="0">
      <alignment vertical="center"/>
    </xf>
    <xf numFmtId="0" fontId="36" fillId="12" borderId="0" applyNumberFormat="0" applyBorder="0" applyAlignment="0" applyProtection="0">
      <alignment vertical="center"/>
    </xf>
    <xf numFmtId="0" fontId="37" fillId="31" borderId="0" applyNumberFormat="0" applyBorder="0" applyAlignment="0" applyProtection="0">
      <alignment vertical="center"/>
    </xf>
    <xf numFmtId="0" fontId="36" fillId="16" borderId="0" applyNumberFormat="0" applyBorder="0" applyAlignment="0" applyProtection="0">
      <alignment vertical="center"/>
    </xf>
    <xf numFmtId="0" fontId="36" fillId="11" borderId="0" applyNumberFormat="0" applyBorder="0" applyAlignment="0" applyProtection="0">
      <alignment vertical="center"/>
    </xf>
    <xf numFmtId="0" fontId="37" fillId="28" borderId="0" applyNumberFormat="0" applyBorder="0" applyAlignment="0" applyProtection="0">
      <alignment vertical="center"/>
    </xf>
    <xf numFmtId="0" fontId="36" fillId="30" borderId="0" applyNumberFormat="0" applyBorder="0" applyAlignment="0" applyProtection="0">
      <alignment vertical="center"/>
    </xf>
  </cellStyleXfs>
  <cellXfs count="87">
    <xf numFmtId="0" fontId="0" fillId="0" borderId="0" xfId="0"/>
    <xf numFmtId="0" fontId="1" fillId="2" borderId="0" xfId="0" applyFont="1" applyFill="1" applyAlignment="1">
      <alignment vertical="center"/>
    </xf>
    <xf numFmtId="0" fontId="1" fillId="0" borderId="0" xfId="0" applyFont="1" applyAlignment="1">
      <alignment vertical="top"/>
    </xf>
    <xf numFmtId="0" fontId="1" fillId="0" borderId="0" xfId="0" applyFont="1" applyAlignment="1">
      <alignment vertical="center"/>
    </xf>
    <xf numFmtId="0" fontId="1" fillId="0" borderId="0" xfId="0" applyFont="1" applyAlignment="1">
      <alignment vertical="center" wrapText="1"/>
    </xf>
    <xf numFmtId="0" fontId="2" fillId="3" borderId="0" xfId="0" applyFont="1" applyFill="1" applyAlignment="1">
      <alignment vertical="center"/>
    </xf>
    <xf numFmtId="0" fontId="2" fillId="3" borderId="0" xfId="0" applyFont="1" applyFill="1" applyAlignment="1">
      <alignment vertical="center" wrapText="1"/>
    </xf>
    <xf numFmtId="0" fontId="1" fillId="0" borderId="0" xfId="0" applyFont="1" applyAlignment="1">
      <alignment horizontal="left" vertical="top"/>
    </xf>
    <xf numFmtId="0" fontId="1" fillId="0" borderId="0" xfId="0" applyFont="1" applyAlignment="1">
      <alignment horizontal="left" vertical="center"/>
    </xf>
    <xf numFmtId="0" fontId="1" fillId="0" borderId="0" xfId="0" applyFont="1" applyAlignment="1">
      <alignment horizontal="left" vertical="center" wrapText="1"/>
    </xf>
    <xf numFmtId="14" fontId="1" fillId="0" borderId="0" xfId="0" applyNumberFormat="1" applyFont="1" applyAlignment="1">
      <alignment horizontal="left" vertical="center"/>
    </xf>
    <xf numFmtId="0" fontId="3" fillId="0" borderId="0" xfId="0" applyFont="1" applyAlignment="1">
      <alignment vertical="center"/>
    </xf>
    <xf numFmtId="0" fontId="4" fillId="3" borderId="0" xfId="0" applyFont="1" applyFill="1" applyAlignment="1">
      <alignment vertical="center"/>
    </xf>
    <xf numFmtId="0" fontId="3" fillId="2" borderId="0" xfId="0" applyFont="1" applyFill="1" applyAlignment="1">
      <alignment vertical="center"/>
    </xf>
    <xf numFmtId="0" fontId="3" fillId="0" borderId="0" xfId="0" applyFont="1" applyAlignment="1">
      <alignment horizontal="left" vertical="top"/>
    </xf>
    <xf numFmtId="0" fontId="3" fillId="0" borderId="0" xfId="0" applyFont="1" applyAlignment="1">
      <alignment horizontal="left" vertical="center"/>
    </xf>
    <xf numFmtId="0" fontId="3" fillId="0" borderId="0" xfId="0" applyFont="1" applyAlignment="1">
      <alignment horizontal="left" vertical="center" wrapText="1"/>
    </xf>
    <xf numFmtId="14" fontId="3" fillId="0" borderId="0" xfId="0" applyNumberFormat="1" applyFont="1" applyAlignment="1">
      <alignment horizontal="left" vertical="center"/>
    </xf>
    <xf numFmtId="0" fontId="5" fillId="0" borderId="0" xfId="32" applyFont="1" applyAlignment="1">
      <alignment vertical="center"/>
    </xf>
    <xf numFmtId="0" fontId="6" fillId="0" borderId="0" xfId="32" applyFont="1" applyAlignment="1">
      <alignment vertical="center"/>
    </xf>
    <xf numFmtId="0" fontId="7" fillId="0" borderId="0" xfId="32" applyFont="1" applyAlignment="1">
      <alignment vertical="center"/>
    </xf>
    <xf numFmtId="0" fontId="6" fillId="4" borderId="0" xfId="32" applyFont="1" applyFill="1" applyAlignment="1">
      <alignment vertical="center"/>
    </xf>
    <xf numFmtId="0" fontId="8" fillId="2" borderId="0" xfId="32" applyFont="1" applyFill="1" applyAlignment="1">
      <alignment horizontal="center" vertical="center" wrapText="1"/>
    </xf>
    <xf numFmtId="0" fontId="9" fillId="2" borderId="0" xfId="32" applyFont="1" applyFill="1" applyAlignment="1">
      <alignment horizontal="center" vertical="center" wrapText="1"/>
    </xf>
    <xf numFmtId="0" fontId="10" fillId="4" borderId="0" xfId="32" applyFont="1" applyFill="1" applyAlignment="1">
      <alignment horizontal="left" vertical="center"/>
    </xf>
    <xf numFmtId="0" fontId="11" fillId="2" borderId="0" xfId="32" applyFont="1" applyFill="1" applyAlignment="1">
      <alignment horizontal="center" vertical="top"/>
    </xf>
    <xf numFmtId="0" fontId="11" fillId="2" borderId="0" xfId="32" applyFont="1" applyFill="1" applyAlignment="1">
      <alignment vertical="top" wrapText="1"/>
    </xf>
    <xf numFmtId="0" fontId="12" fillId="2" borderId="0" xfId="32" applyFont="1" applyFill="1" applyAlignment="1">
      <alignment horizontal="center" vertical="top"/>
    </xf>
    <xf numFmtId="0" fontId="11" fillId="2" borderId="0" xfId="32" applyFont="1" applyFill="1" applyAlignment="1">
      <alignment horizontal="left" vertical="top" wrapText="1"/>
    </xf>
    <xf numFmtId="0" fontId="13" fillId="2" borderId="0" xfId="32" applyFont="1" applyFill="1" applyAlignment="1">
      <alignment horizontal="right" vertical="center" wrapText="1"/>
    </xf>
    <xf numFmtId="0" fontId="12" fillId="2" borderId="0" xfId="32" applyFont="1" applyFill="1" applyAlignment="1">
      <alignment horizontal="left" vertical="center"/>
    </xf>
    <xf numFmtId="0" fontId="14" fillId="2" borderId="0" xfId="32" applyFont="1" applyFill="1" applyAlignment="1">
      <alignment horizontal="right" vertical="center" wrapText="1"/>
    </xf>
    <xf numFmtId="0" fontId="7" fillId="4" borderId="0" xfId="32" applyFont="1" applyFill="1" applyAlignment="1">
      <alignment horizontal="left" vertical="center" wrapText="1"/>
    </xf>
    <xf numFmtId="0" fontId="15" fillId="5" borderId="0" xfId="32" applyFont="1" applyFill="1" applyAlignment="1">
      <alignment vertical="center"/>
    </xf>
    <xf numFmtId="0" fontId="15" fillId="5" borderId="0" xfId="32" applyFont="1" applyFill="1" applyAlignment="1">
      <alignment horizontal="right" vertical="center"/>
    </xf>
    <xf numFmtId="0" fontId="16" fillId="2" borderId="0" xfId="32" applyFont="1" applyFill="1" applyAlignment="1">
      <alignment vertical="center" wrapText="1"/>
    </xf>
    <xf numFmtId="0" fontId="15" fillId="6" borderId="0" xfId="32" applyFont="1" applyFill="1" applyAlignment="1">
      <alignment vertical="center"/>
    </xf>
    <xf numFmtId="14" fontId="17" fillId="2" borderId="0" xfId="32" applyNumberFormat="1" applyFont="1" applyFill="1" applyAlignment="1">
      <alignment horizontal="left" vertical="center" wrapText="1" indent="5"/>
    </xf>
    <xf numFmtId="0" fontId="17" fillId="2" borderId="0" xfId="32" applyFont="1" applyFill="1" applyAlignment="1">
      <alignment horizontal="left" vertical="center" wrapText="1" indent="5"/>
    </xf>
    <xf numFmtId="0" fontId="18" fillId="0" borderId="0" xfId="0" applyFont="1" applyAlignment="1">
      <alignment vertical="center"/>
    </xf>
    <xf numFmtId="176" fontId="19" fillId="0" borderId="0" xfId="32" applyNumberFormat="1" applyFont="1" applyAlignment="1">
      <alignment vertical="center"/>
    </xf>
    <xf numFmtId="0" fontId="20" fillId="0" borderId="0" xfId="32" applyFont="1" applyAlignment="1">
      <alignment vertical="center"/>
    </xf>
    <xf numFmtId="176" fontId="21" fillId="0" borderId="0" xfId="32" applyNumberFormat="1" applyFont="1" applyAlignment="1">
      <alignment vertical="center"/>
    </xf>
    <xf numFmtId="0" fontId="14" fillId="2" borderId="0" xfId="32" applyFont="1" applyFill="1" applyAlignment="1">
      <alignment horizontal="right" vertical="center"/>
    </xf>
    <xf numFmtId="0" fontId="22" fillId="0" borderId="0" xfId="32" applyFont="1" applyAlignment="1">
      <alignment vertical="center"/>
    </xf>
    <xf numFmtId="176" fontId="22" fillId="0" borderId="0" xfId="32" applyNumberFormat="1" applyFont="1" applyAlignment="1">
      <alignment vertical="center"/>
    </xf>
    <xf numFmtId="176" fontId="20" fillId="0" borderId="0" xfId="32" applyNumberFormat="1" applyFont="1" applyAlignment="1">
      <alignment vertical="center"/>
    </xf>
    <xf numFmtId="0" fontId="23" fillId="0" borderId="0" xfId="32" applyFont="1" applyAlignment="1">
      <alignment vertical="center"/>
    </xf>
    <xf numFmtId="176" fontId="23" fillId="0" borderId="0" xfId="32" applyNumberFormat="1" applyFont="1" applyAlignment="1">
      <alignment vertical="center"/>
    </xf>
    <xf numFmtId="0" fontId="15" fillId="0" borderId="0" xfId="32" applyFont="1" applyAlignment="1">
      <alignment vertical="center"/>
    </xf>
    <xf numFmtId="0" fontId="24" fillId="5" borderId="0" xfId="32" applyFont="1" applyFill="1" applyAlignment="1">
      <alignment vertical="center"/>
    </xf>
    <xf numFmtId="0" fontId="5" fillId="5" borderId="0" xfId="32" applyFont="1" applyFill="1" applyAlignment="1">
      <alignment vertical="center"/>
    </xf>
    <xf numFmtId="0" fontId="5" fillId="0" borderId="0" xfId="32" applyFont="1" applyAlignment="1">
      <alignment horizontal="right" vertical="center"/>
    </xf>
    <xf numFmtId="0" fontId="25" fillId="2" borderId="0" xfId="32" applyFont="1" applyFill="1" applyAlignment="1">
      <alignment vertical="center"/>
    </xf>
    <xf numFmtId="0" fontId="5" fillId="2" borderId="0" xfId="32" applyFont="1" applyFill="1" applyAlignment="1">
      <alignment vertical="center"/>
    </xf>
    <xf numFmtId="177" fontId="5" fillId="2" borderId="0" xfId="32" applyNumberFormat="1" applyFont="1" applyFill="1" applyAlignment="1">
      <alignment vertical="center"/>
    </xf>
    <xf numFmtId="0" fontId="25" fillId="2" borderId="0" xfId="32" applyFont="1" applyFill="1" applyAlignment="1">
      <alignment horizontal="left" vertical="center"/>
    </xf>
    <xf numFmtId="0" fontId="5" fillId="2" borderId="0" xfId="32" applyFont="1" applyFill="1"/>
    <xf numFmtId="0" fontId="26" fillId="0" borderId="0" xfId="0" applyFont="1" applyAlignment="1">
      <alignment vertical="center"/>
    </xf>
    <xf numFmtId="0" fontId="27" fillId="0" borderId="0" xfId="32" applyFont="1" applyAlignment="1">
      <alignment vertical="center"/>
    </xf>
    <xf numFmtId="0" fontId="5" fillId="0" borderId="0" xfId="32" applyFont="1"/>
    <xf numFmtId="0" fontId="18" fillId="0" borderId="1" xfId="0" applyFont="1" applyBorder="1"/>
    <xf numFmtId="0" fontId="18" fillId="0" borderId="2" xfId="0" applyFont="1" applyBorder="1"/>
    <xf numFmtId="0" fontId="28" fillId="0" borderId="0" xfId="32" applyFont="1"/>
    <xf numFmtId="0" fontId="25" fillId="0" borderId="0" xfId="32" applyFont="1"/>
    <xf numFmtId="0" fontId="29" fillId="0" borderId="0" xfId="32" applyFont="1"/>
    <xf numFmtId="0" fontId="26" fillId="0" borderId="1" xfId="0" applyFont="1" applyBorder="1" applyAlignment="1">
      <alignment horizontal="left"/>
    </xf>
    <xf numFmtId="0" fontId="26" fillId="0" borderId="2" xfId="0" applyNumberFormat="1" applyFont="1" applyBorder="1"/>
    <xf numFmtId="176" fontId="26" fillId="0" borderId="0" xfId="44" applyNumberFormat="1" applyFont="1" applyAlignment="1"/>
    <xf numFmtId="0" fontId="26" fillId="0" borderId="0" xfId="32" applyFont="1"/>
    <xf numFmtId="0" fontId="26" fillId="0" borderId="3" xfId="0" applyFont="1" applyBorder="1" applyAlignment="1">
      <alignment horizontal="left"/>
    </xf>
    <xf numFmtId="0" fontId="26" fillId="0" borderId="4" xfId="0" applyNumberFormat="1" applyFont="1" applyBorder="1"/>
    <xf numFmtId="0" fontId="20" fillId="0" borderId="3" xfId="0" applyFont="1" applyBorder="1" applyAlignment="1">
      <alignment horizontal="left"/>
    </xf>
    <xf numFmtId="0" fontId="20" fillId="0" borderId="4" xfId="0" applyNumberFormat="1" applyFont="1" applyBorder="1"/>
    <xf numFmtId="176" fontId="20" fillId="0" borderId="0" xfId="44" applyNumberFormat="1" applyFont="1" applyAlignment="1"/>
    <xf numFmtId="0" fontId="20" fillId="0" borderId="0" xfId="32" applyFont="1"/>
    <xf numFmtId="0" fontId="18" fillId="0" borderId="3" xfId="0" applyFont="1" applyBorder="1" applyAlignment="1">
      <alignment horizontal="left"/>
    </xf>
    <xf numFmtId="0" fontId="18" fillId="0" borderId="4" xfId="0" applyNumberFormat="1" applyFont="1" applyBorder="1"/>
    <xf numFmtId="176" fontId="25" fillId="0" borderId="0" xfId="44" applyNumberFormat="1" applyFont="1" applyAlignment="1"/>
    <xf numFmtId="0" fontId="18" fillId="0" borderId="5" xfId="0" applyFont="1" applyBorder="1" applyAlignment="1">
      <alignment horizontal="left"/>
    </xf>
    <xf numFmtId="0" fontId="18" fillId="0" borderId="6" xfId="0" applyNumberFormat="1" applyFont="1" applyBorder="1"/>
    <xf numFmtId="176" fontId="23" fillId="0" borderId="0" xfId="44" applyNumberFormat="1" applyFont="1" applyAlignment="1"/>
    <xf numFmtId="0" fontId="23" fillId="0" borderId="0" xfId="32" applyFont="1"/>
    <xf numFmtId="176" fontId="5" fillId="0" borderId="0" xfId="44" applyNumberFormat="1" applyFont="1" applyAlignment="1"/>
    <xf numFmtId="177" fontId="5" fillId="0" borderId="0" xfId="32" applyNumberFormat="1" applyFont="1" applyAlignment="1">
      <alignment vertical="center"/>
    </xf>
    <xf numFmtId="0" fontId="25" fillId="0" borderId="0" xfId="32" applyFont="1" applyAlignment="1">
      <alignment vertical="center"/>
    </xf>
    <xf numFmtId="0" fontId="25" fillId="0" borderId="0" xfId="32" applyFont="1" applyAlignment="1">
      <alignment horizontal="left" vertical="center"/>
    </xf>
  </cellXfs>
  <cellStyles count="51">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Normal 2" xfId="32"/>
    <cellStyle name="20% - Accent5" xfId="33" builtinId="46"/>
    <cellStyle name="60% - Accent1" xfId="34" builtinId="32"/>
    <cellStyle name="Accent2" xfId="35" builtinId="33"/>
    <cellStyle name="20% - Accent2" xfId="36" builtinId="34"/>
    <cellStyle name="20% - Accent6" xfId="37" builtinId="50"/>
    <cellStyle name="60% - Accent2" xfId="38" builtinId="36"/>
    <cellStyle name="Accent3" xfId="39" builtinId="37"/>
    <cellStyle name="20% - Accent3" xfId="40" builtinId="38"/>
    <cellStyle name="Accent4" xfId="41" builtinId="41"/>
    <cellStyle name="20% - Accent4" xfId="42" builtinId="42"/>
    <cellStyle name="40% - Accent4" xfId="43" builtinId="43"/>
    <cellStyle name="Percent 2" xfId="44"/>
    <cellStyle name="Accent5" xfId="45" builtinId="45"/>
    <cellStyle name="40% - Accent5" xfId="46" builtinId="47"/>
    <cellStyle name="60% - Accent5" xfId="47" builtinId="48"/>
    <cellStyle name="Accent6" xfId="48" builtinId="49"/>
    <cellStyle name="40% - Accent6" xfId="49" builtinId="51"/>
    <cellStyle name="60% - Accent6" xfId="50" builtinId="52"/>
  </cellStyles>
  <dxfs count="25">
    <dxf>
      <font>
        <charset val="134"/>
        <sz val="9"/>
      </font>
    </dxf>
    <dxf>
      <font>
        <charset val="134"/>
        <sz val="9"/>
      </font>
    </dxf>
    <dxf>
      <font>
        <charset val="134"/>
        <sz val="9"/>
      </font>
    </dxf>
    <dxf>
      <font>
        <charset val="134"/>
        <sz val="9"/>
      </font>
    </dxf>
    <dxf>
      <font>
        <name val="楷体"/>
        <scheme val="none"/>
      </font>
    </dxf>
    <dxf>
      <font>
        <name val="Arial"/>
        <scheme val="none"/>
      </font>
    </dxf>
    <dxf>
      <font>
        <name val="楷体"/>
        <scheme val="none"/>
      </font>
    </dxf>
    <dxf>
      <font>
        <name val="Arial"/>
        <scheme val="none"/>
      </font>
    </dxf>
    <dxf>
      <font>
        <name val="楷体"/>
        <scheme val="none"/>
      </font>
    </dxf>
    <dxf>
      <font>
        <name val="Arial"/>
        <scheme val="none"/>
      </font>
    </dxf>
    <dxf>
      <font>
        <name val="楷体"/>
        <scheme val="none"/>
      </font>
    </dxf>
    <dxf>
      <font>
        <name val="Arial"/>
        <scheme val="none"/>
      </font>
    </dxf>
    <dxf>
      <font>
        <color rgb="FFC00000"/>
      </font>
    </dxf>
    <dxf>
      <font>
        <color rgb="FFC00000"/>
      </font>
    </dxf>
    <dxf>
      <font>
        <color auto="1"/>
      </font>
    </dxf>
    <dxf>
      <font>
        <color auto="1"/>
      </font>
    </dxf>
    <dxf>
      <font>
        <color auto="1"/>
      </font>
    </dxf>
    <dxf>
      <font>
        <color rgb="FFC00000"/>
      </font>
    </dxf>
    <dxf>
      <font>
        <color rgb="FFC00000"/>
      </font>
    </dxf>
    <dxf>
      <font>
        <color rgb="FFC00000"/>
      </font>
    </dxf>
    <dxf>
      <font>
        <color rgb="FFC00000"/>
      </font>
    </dxf>
    <dxf>
      <font>
        <color auto="1"/>
      </font>
    </dxf>
    <dxf>
      <font>
        <color auto="1"/>
      </font>
    </dxf>
    <dxf>
      <font>
        <name val="楷体"/>
        <scheme val="none"/>
      </font>
    </dxf>
    <dxf>
      <font>
        <name val="Arial"/>
        <scheme val="none"/>
      </font>
    </dxf>
  </dxf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0545535517578561"/>
          <c:y val="0.139071678540182"/>
          <c:w val="0.936186968154879"/>
          <c:h val="0.771355663875349"/>
        </c:manualLayout>
      </c:layout>
      <c:barChart>
        <c:barDir val="col"/>
        <c:grouping val="clustered"/>
        <c:varyColors val="0"/>
        <c:ser>
          <c:idx val="0"/>
          <c:order val="0"/>
          <c:spPr>
            <a:solidFill>
              <a:srgbClr val="0037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ysClr val="windowText" lastClr="000000"/>
                    </a:solidFill>
                    <a:latin typeface="Arial" panose="020B0604020202020204" pitchFamily="7" charset="0"/>
                    <a:ea typeface="+mn-ea"/>
                    <a:cs typeface="Arial" panose="020B0604020202020204" pitchFamily="7" charset="0"/>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美团系投资情况概览!$R$11:$R$14</c:f>
              <c:numCache>
                <c:formatCode>General</c:formatCode>
                <c:ptCount val="4"/>
                <c:pt idx="0">
                  <c:v>2020</c:v>
                </c:pt>
                <c:pt idx="1">
                  <c:v>2021</c:v>
                </c:pt>
                <c:pt idx="2">
                  <c:v>2022</c:v>
                </c:pt>
                <c:pt idx="3">
                  <c:v>2023</c:v>
                </c:pt>
              </c:numCache>
            </c:numRef>
          </c:cat>
          <c:val>
            <c:numRef>
              <c:f>美团系投资情况概览!$S$11:$S$14</c:f>
              <c:numCache>
                <c:formatCode>General</c:formatCode>
                <c:ptCount val="4"/>
                <c:pt idx="0">
                  <c:v>14</c:v>
                </c:pt>
                <c:pt idx="1">
                  <c:v>31</c:v>
                </c:pt>
                <c:pt idx="2">
                  <c:v>14</c:v>
                </c:pt>
                <c:pt idx="3">
                  <c:v>4</c:v>
                </c:pt>
              </c:numCache>
            </c:numRef>
          </c:val>
        </c:ser>
        <c:dLbls>
          <c:showLegendKey val="0"/>
          <c:showVal val="1"/>
          <c:showCatName val="0"/>
          <c:showSerName val="0"/>
          <c:showPercent val="0"/>
          <c:showBubbleSize val="0"/>
        </c:dLbls>
        <c:gapWidth val="219"/>
        <c:axId val="149219648"/>
        <c:axId val="149220208"/>
      </c:barChart>
      <c:catAx>
        <c:axId val="149219648"/>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0" spcFirstLastPara="1" vertOverflow="ellipsis" vert="horz" wrap="square" anchor="ctr" anchorCtr="1"/>
          <a:lstStyle/>
          <a:p>
            <a:pPr>
              <a:defRPr lang="en-US" sz="700" b="0" i="0" u="none" strike="noStrike" kern="1200" baseline="0">
                <a:solidFill>
                  <a:sysClr val="windowText" lastClr="000000"/>
                </a:solidFill>
                <a:latin typeface="Arial" panose="020B0604020202020204" pitchFamily="7" charset="0"/>
                <a:ea typeface="+mn-ea"/>
                <a:cs typeface="Arial" panose="020B0604020202020204" pitchFamily="7" charset="0"/>
              </a:defRPr>
            </a:pPr>
          </a:p>
        </c:txPr>
        <c:crossAx val="149220208"/>
        <c:crosses val="autoZero"/>
        <c:auto val="1"/>
        <c:lblAlgn val="ctr"/>
        <c:lblOffset val="100"/>
        <c:noMultiLvlLbl val="0"/>
      </c:catAx>
      <c:valAx>
        <c:axId val="149220208"/>
        <c:scaling>
          <c:orientation val="minMax"/>
        </c:scaling>
        <c:delete val="1"/>
        <c:axPos val="l"/>
        <c:numFmt formatCode="#,##0_);\(#,##0\)" sourceLinked="0"/>
        <c:majorTickMark val="out"/>
        <c:minorTickMark val="none"/>
        <c:tickLblPos val="nextTo"/>
        <c:txPr>
          <a:bodyPr rot="-60000000" spcFirstLastPara="0" vertOverflow="ellipsis" vert="horz" wrap="square" anchor="ctr" anchorCtr="1"/>
          <a:lstStyle/>
          <a:p>
            <a:pPr>
              <a:defRPr lang="en-US" sz="700" b="0" i="0" u="none" strike="noStrike" kern="1200" baseline="0">
                <a:solidFill>
                  <a:sysClr val="windowText" lastClr="000000"/>
                </a:solidFill>
                <a:latin typeface="Arial" panose="020B0604020202020204" pitchFamily="7" charset="0"/>
                <a:ea typeface="+mn-ea"/>
                <a:cs typeface="Arial" panose="020B0604020202020204" pitchFamily="7" charset="0"/>
              </a:defRPr>
            </a:pPr>
          </a:p>
        </c:txPr>
        <c:crossAx val="1492196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lang="en-US" sz="700">
          <a:solidFill>
            <a:sysClr val="windowText" lastClr="000000"/>
          </a:solidFill>
          <a:latin typeface="Arial" panose="020B0604020202020204" pitchFamily="7" charset="0"/>
          <a:cs typeface="Arial" panose="020B0604020202020204" pitchFamily="7" charset="0"/>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85820457913033"/>
          <c:y val="0.122354497354497"/>
          <c:w val="0.464285714285714"/>
          <c:h val="0.773809523809524"/>
        </c:manualLayout>
      </c:layout>
      <c:pieChart>
        <c:varyColors val="1"/>
        <c:ser>
          <c:idx val="0"/>
          <c:order val="0"/>
          <c:spPr>
            <a:ln w="12700">
              <a:solidFill>
                <a:schemeClr val="bg1"/>
              </a:solidFill>
            </a:ln>
          </c:spPr>
          <c:explosion val="0"/>
          <c:dPt>
            <c:idx val="0"/>
            <c:bubble3D val="0"/>
            <c:spPr>
              <a:solidFill>
                <a:srgbClr val="003778"/>
              </a:solidFill>
              <a:ln w="12700">
                <a:solidFill>
                  <a:schemeClr val="bg1"/>
                </a:solidFill>
              </a:ln>
              <a:effectLst/>
            </c:spPr>
          </c:dPt>
          <c:dPt>
            <c:idx val="1"/>
            <c:bubble3D val="0"/>
            <c:spPr>
              <a:solidFill>
                <a:schemeClr val="bg1">
                  <a:lumMod val="75000"/>
                </a:schemeClr>
              </a:solidFill>
              <a:ln w="12700">
                <a:solidFill>
                  <a:schemeClr val="bg1"/>
                </a:solidFill>
              </a:ln>
              <a:effectLst/>
            </c:spPr>
          </c:dPt>
          <c:dPt>
            <c:idx val="2"/>
            <c:bubble3D val="0"/>
            <c:spPr>
              <a:solidFill>
                <a:srgbClr val="5F82AA"/>
              </a:solidFill>
              <a:ln w="12700">
                <a:solidFill>
                  <a:schemeClr val="bg1"/>
                </a:solidFill>
              </a:ln>
              <a:effectLst/>
            </c:spPr>
          </c:dPt>
          <c:dPt>
            <c:idx val="3"/>
            <c:bubble3D val="0"/>
            <c:spPr>
              <a:solidFill>
                <a:srgbClr val="404040"/>
              </a:solidFill>
              <a:ln w="12700">
                <a:solidFill>
                  <a:schemeClr val="bg1"/>
                </a:solidFill>
              </a:ln>
              <a:effectLst/>
            </c:spPr>
          </c:dPt>
          <c:dPt>
            <c:idx val="4"/>
            <c:bubble3D val="0"/>
            <c:spPr>
              <a:pattFill prst="pct80">
                <a:fgClr>
                  <a:srgbClr val="B40000"/>
                </a:fgClr>
                <a:bgClr>
                  <a:schemeClr val="bg1"/>
                </a:bgClr>
              </a:pattFill>
              <a:ln w="12700">
                <a:solidFill>
                  <a:schemeClr val="bg1"/>
                </a:solidFill>
              </a:ln>
              <a:effectLst/>
            </c:spPr>
          </c:dPt>
          <c:dPt>
            <c:idx val="5"/>
            <c:bubble3D val="0"/>
            <c:spPr>
              <a:pattFill prst="pct80">
                <a:fgClr>
                  <a:srgbClr val="BFEBFB"/>
                </a:fgClr>
                <a:bgClr>
                  <a:schemeClr val="bg1"/>
                </a:bgClr>
              </a:pattFill>
              <a:ln w="12700">
                <a:solidFill>
                  <a:schemeClr val="bg1"/>
                </a:solidFill>
              </a:ln>
              <a:effectLst/>
            </c:spPr>
          </c:dPt>
          <c:dPt>
            <c:idx val="6"/>
            <c:bubble3D val="0"/>
            <c:spPr>
              <a:pattFill prst="pct80">
                <a:fgClr>
                  <a:srgbClr val="FF6464"/>
                </a:fgClr>
                <a:bgClr>
                  <a:schemeClr val="bg1"/>
                </a:bgClr>
              </a:pattFill>
              <a:ln w="12700">
                <a:solidFill>
                  <a:schemeClr val="bg1"/>
                </a:solidFill>
              </a:ln>
              <a:effectLst/>
            </c:spPr>
          </c:dPt>
          <c:dPt>
            <c:idx val="7"/>
            <c:bubble3D val="0"/>
            <c:spPr>
              <a:pattFill prst="pct80">
                <a:fgClr>
                  <a:srgbClr val="00AEEF"/>
                </a:fgClr>
                <a:bgClr>
                  <a:schemeClr val="bg1"/>
                </a:bgClr>
              </a:pattFill>
              <a:ln w="12700">
                <a:solidFill>
                  <a:schemeClr val="bg1"/>
                </a:solidFill>
              </a:ln>
              <a:effectLst/>
            </c:spPr>
          </c:dPt>
          <c:dPt>
            <c:idx val="8"/>
            <c:bubble3D val="0"/>
            <c:spPr>
              <a:solidFill>
                <a:schemeClr val="accent3">
                  <a:lumMod val="60000"/>
                </a:schemeClr>
              </a:solidFill>
              <a:ln w="12700">
                <a:solidFill>
                  <a:schemeClr val="bg1"/>
                </a:solidFill>
              </a:ln>
              <a:effectLst/>
            </c:spPr>
          </c:dPt>
          <c:dLbls>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ysClr val="windowText" lastClr="000000"/>
                    </a:solidFill>
                    <a:latin typeface="楷体" panose="02010609060101010101" charset="-122"/>
                    <a:ea typeface="楷体" panose="02010609060101010101" charset="-122"/>
                    <a:cs typeface="楷体" panose="02010609060101010101" charset="-122"/>
                    <a:sym typeface="楷体" panose="02010609060101010101" charset="-122"/>
                  </a:defRPr>
                </a:pPr>
              </a:p>
            </c:txPr>
            <c:dLblPos val="out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ysClr val="windowText" lastClr="000000"/>
                      </a:solidFill>
                      <a:round/>
                    </a:ln>
                    <a:effectLst/>
                  </c:spPr>
                </c15:leaderLines>
              </c:ext>
            </c:extLst>
          </c:dLbls>
          <c:cat>
            <c:strRef>
              <c:f>美团系投资情况概览!$O$27:$O$35</c:f>
              <c:strCache>
                <c:ptCount val="9"/>
                <c:pt idx="0">
                  <c:v>先进制造</c:v>
                </c:pt>
                <c:pt idx="1">
                  <c:v>电商零售</c:v>
                </c:pt>
                <c:pt idx="2">
                  <c:v>本地生活</c:v>
                </c:pt>
                <c:pt idx="3">
                  <c:v>汽车交通</c:v>
                </c:pt>
                <c:pt idx="4">
                  <c:v>企业服务</c:v>
                </c:pt>
                <c:pt idx="5">
                  <c:v>医疗健康</c:v>
                </c:pt>
                <c:pt idx="6">
                  <c:v>房地产</c:v>
                </c:pt>
                <c:pt idx="7">
                  <c:v>农业</c:v>
                </c:pt>
                <c:pt idx="8">
                  <c:v>文娱传媒</c:v>
                </c:pt>
              </c:strCache>
            </c:strRef>
          </c:cat>
          <c:val>
            <c:numRef>
              <c:f>美团系投资情况概览!$P$27:$P$35</c:f>
              <c:numCache>
                <c:formatCode>0.0%</c:formatCode>
                <c:ptCount val="9"/>
                <c:pt idx="0">
                  <c:v>0.4</c:v>
                </c:pt>
                <c:pt idx="1">
                  <c:v>0.177777777777778</c:v>
                </c:pt>
                <c:pt idx="2">
                  <c:v>0.155555555555556</c:v>
                </c:pt>
                <c:pt idx="3">
                  <c:v>0.0666666666666667</c:v>
                </c:pt>
                <c:pt idx="4">
                  <c:v>0.0444444444444444</c:v>
                </c:pt>
                <c:pt idx="5">
                  <c:v>0.0444444444444444</c:v>
                </c:pt>
                <c:pt idx="6">
                  <c:v>0.0444444444444444</c:v>
                </c:pt>
                <c:pt idx="7">
                  <c:v>0.0444444444444444</c:v>
                </c:pt>
                <c:pt idx="8">
                  <c:v>0.0222222222222222</c:v>
                </c:pt>
              </c:numCache>
            </c:numRef>
          </c:val>
        </c:ser>
        <c:dLbls>
          <c:showLegendKey val="0"/>
          <c:showVal val="0"/>
          <c:showCatName val="0"/>
          <c:showSerName val="0"/>
          <c:showPercent val="0"/>
          <c:showBubbleSize val="0"/>
          <c:showLeaderLines val="1"/>
        </c:dLbls>
        <c:firstSliceAng val="45"/>
      </c:pieChart>
      <c:spPr>
        <a:noFill/>
        <a:ln>
          <a:noFill/>
        </a:ln>
        <a:effectLst/>
      </c:spPr>
    </c:plotArea>
    <c:plotVisOnly val="1"/>
    <c:dispBlanksAs val="gap"/>
    <c:showDLblsOverMax val="0"/>
  </c:chart>
  <c:spPr>
    <a:noFill/>
    <a:ln w="9525" cap="flat" cmpd="sng" algn="ctr">
      <a:noFill/>
      <a:round/>
    </a:ln>
    <a:effectLst/>
  </c:spPr>
  <c:txPr>
    <a:bodyPr/>
    <a:lstStyle/>
    <a:p>
      <a:pPr>
        <a:defRPr lang="en-US" sz="700">
          <a:latin typeface="楷体" panose="02010609060101010101" charset="-122"/>
          <a:ea typeface="楷体" panose="02010609060101010101" charset="-122"/>
          <a:cs typeface="楷体" panose="02010609060101010101" charset="-122"/>
          <a:sym typeface="楷体" panose="02010609060101010101"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139434</xdr:colOff>
      <xdr:row>2</xdr:row>
      <xdr:rowOff>84378</xdr:rowOff>
    </xdr:from>
    <xdr:to>
      <xdr:col>10</xdr:col>
      <xdr:colOff>769989</xdr:colOff>
      <xdr:row>4</xdr:row>
      <xdr:rowOff>80568</xdr:rowOff>
    </xdr:to>
    <xdr:pic>
      <xdr:nvPicPr>
        <xdr:cNvPr id="2" name="图片 1"/>
        <xdr:cNvPicPr>
          <a:picLocks noChangeAspect="1"/>
        </xdr:cNvPicPr>
      </xdr:nvPicPr>
      <xdr:blipFill>
        <a:blip r:embed="rId3"/>
        <a:stretch>
          <a:fillRect/>
        </a:stretch>
      </xdr:blipFill>
      <xdr:spPr>
        <a:xfrm>
          <a:off x="5085715" y="477520"/>
          <a:ext cx="1456055" cy="389890"/>
        </a:xfrm>
        <a:prstGeom prst="rect">
          <a:avLst/>
        </a:prstGeom>
      </xdr:spPr>
    </xdr:pic>
    <xdr:clientData/>
  </xdr:twoCellAnchor>
  <xdr:twoCellAnchor>
    <xdr:from>
      <xdr:col>7</xdr:col>
      <xdr:colOff>85725</xdr:colOff>
      <xdr:row>8</xdr:row>
      <xdr:rowOff>136525</xdr:rowOff>
    </xdr:from>
    <xdr:to>
      <xdr:col>10</xdr:col>
      <xdr:colOff>711200</xdr:colOff>
      <xdr:row>22</xdr:row>
      <xdr:rowOff>123825</xdr:rowOff>
    </xdr:to>
    <xdr:graphicFrame>
      <xdr:nvGraphicFramePr>
        <xdr:cNvPr id="3" name="Chart 2"/>
        <xdr:cNvGraphicFramePr/>
      </xdr:nvGraphicFramePr>
      <xdr:xfrm>
        <a:off x="3997325" y="1711325"/>
        <a:ext cx="2486025"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xdr:row>
      <xdr:rowOff>6350</xdr:rowOff>
    </xdr:from>
    <xdr:to>
      <xdr:col>8</xdr:col>
      <xdr:colOff>336550</xdr:colOff>
      <xdr:row>22</xdr:row>
      <xdr:rowOff>190500</xdr:rowOff>
    </xdr:to>
    <xdr:graphicFrame>
      <xdr:nvGraphicFramePr>
        <xdr:cNvPr id="4" name="Chart 3"/>
        <xdr:cNvGraphicFramePr/>
      </xdr:nvGraphicFramePr>
      <xdr:xfrm>
        <a:off x="0" y="177800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5136.8744614583" refreshedBy="HOU" recordCount="45">
  <cacheSource type="worksheet">
    <worksheetSource ref="U3:W48" sheet="美团系投资情况概览"/>
  </cacheSource>
  <cacheFields count="3">
    <cacheField name="公司名称" numFmtId="0"/>
    <cacheField name="行业" numFmtId="0">
      <sharedItems count="9">
        <s v="本地生活"/>
        <s v="先进制造"/>
        <s v="电商零售"/>
        <s v="房地产"/>
        <s v="医疗健康"/>
        <s v="农业"/>
        <s v="汽车交通"/>
        <s v="企业服务"/>
        <s v="文娱传媒"/>
      </sharedItems>
    </cacheField>
    <cacheField name="子行业" numFmtId="0"/>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哗啦啦"/>
    <x v="0"/>
    <s v="餐饮业"/>
  </r>
  <r>
    <s v="高仙机器人"/>
    <x v="1"/>
    <s v="机器人"/>
  </r>
  <r>
    <s v="易酒批"/>
    <x v="2"/>
    <s v="食品饮料"/>
  </r>
  <r>
    <s v="Swiggy"/>
    <x v="0"/>
    <s v="餐饮业"/>
  </r>
  <r>
    <s v="梅卡曼德机器人"/>
    <x v="1"/>
    <s v="机器人"/>
  </r>
  <r>
    <s v="飞鹅"/>
    <x v="2"/>
    <s v="3C电子"/>
  </r>
  <r>
    <s v="普渡科技"/>
    <x v="1"/>
    <s v="机器人"/>
  </r>
  <r>
    <s v="东呈酒店"/>
    <x v="3"/>
    <s v="商业房产"/>
  </r>
  <r>
    <s v="史河科技"/>
    <x v="1"/>
    <s v="机器人"/>
  </r>
  <r>
    <s v="Flexiv非夕"/>
    <x v="1"/>
    <s v="机器人"/>
  </r>
  <r>
    <s v="未来机器人"/>
    <x v="1"/>
    <s v="机器人"/>
  </r>
  <r>
    <s v="齐碳科技"/>
    <x v="4"/>
    <s v="生物技术和制药"/>
  </r>
  <r>
    <s v="望家欢"/>
    <x v="5"/>
    <s v="综合农业"/>
  </r>
  <r>
    <s v="壹号食品"/>
    <x v="5"/>
    <s v="养殖业"/>
  </r>
  <r>
    <s v="嬴彻科技"/>
    <x v="6"/>
    <s v="自动/无人驾驶"/>
  </r>
  <r>
    <s v="恩和生物"/>
    <x v="4"/>
    <s v="生物技术和制药"/>
  </r>
  <r>
    <s v="毫末智行"/>
    <x v="6"/>
    <s v="自动/无人驾驶"/>
  </r>
  <r>
    <s v="爱芯元智"/>
    <x v="1"/>
    <s v="集成电路"/>
  </r>
  <r>
    <s v="星云智联"/>
    <x v="1"/>
    <s v="集成电路"/>
  </r>
  <r>
    <s v="智谱AI"/>
    <x v="7"/>
    <s v="前沿技术"/>
  </r>
  <r>
    <s v="荣芯半导体"/>
    <x v="1"/>
    <s v="集成电路"/>
  </r>
  <r>
    <s v="欣旺达动力EVB"/>
    <x v="1"/>
    <s v="新能源"/>
  </r>
  <r>
    <s v="超钠新能源"/>
    <x v="1"/>
    <s v="新能源"/>
  </r>
  <r>
    <s v="黄小兜"/>
    <x v="8"/>
    <s v="视频/直播"/>
  </r>
  <r>
    <s v="乐禾食品"/>
    <x v="0"/>
    <s v="餐饮业"/>
  </r>
  <r>
    <s v="认养一头牛"/>
    <x v="2"/>
    <s v="食品饮料"/>
  </r>
  <r>
    <s v="Manner咖啡"/>
    <x v="0"/>
    <s v="餐饮业"/>
  </r>
  <r>
    <s v="谊品生鲜"/>
    <x v="2"/>
    <s v="生鲜"/>
  </r>
  <r>
    <s v="甄云科技"/>
    <x v="7"/>
    <s v="行业信息化及解决方案"/>
  </r>
  <r>
    <s v="晶湛半导体"/>
    <x v="1"/>
    <s v="集成电路"/>
  </r>
  <r>
    <s v="蜜雪冰城"/>
    <x v="0"/>
    <s v="餐饮业"/>
  </r>
  <r>
    <s v="轻舟智航"/>
    <x v="6"/>
    <s v="自动/无人驾驶"/>
  </r>
  <r>
    <s v="灵明光子"/>
    <x v="1"/>
    <s v="传感设备"/>
  </r>
  <r>
    <s v="古茗茶饮"/>
    <x v="2"/>
    <s v="食品饮料"/>
  </r>
  <r>
    <s v="怒喵科技Angry Miao"/>
    <x v="2"/>
    <s v="3C电子"/>
  </r>
  <r>
    <s v="康诺思腾"/>
    <x v="1"/>
    <s v="机器人"/>
  </r>
  <r>
    <s v="变形积木"/>
    <x v="3"/>
    <s v="装修装饰"/>
  </r>
  <r>
    <s v="熊大爷"/>
    <x v="0"/>
    <s v="餐饮业"/>
  </r>
  <r>
    <s v="长芯盛智连"/>
    <x v="1"/>
    <s v="通信制造"/>
  </r>
  <r>
    <s v="墨茉点心局"/>
    <x v="2"/>
    <s v="食品饮料"/>
  </r>
  <r>
    <s v="法奥FAIR"/>
    <x v="1"/>
    <s v="机器人"/>
  </r>
  <r>
    <s v="顾思特汉堡"/>
    <x v="0"/>
    <s v="餐饮业"/>
  </r>
  <r>
    <s v="芯格诺微电子"/>
    <x v="1"/>
    <s v="集成电路"/>
  </r>
  <r>
    <s v="细红线Thin Red Line"/>
    <x v="1"/>
    <s v="AR/VR设备"/>
  </r>
  <r>
    <s v="薛记炒货"/>
    <x v="2"/>
    <s v="食品饮料"/>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location ref="Z4:AA14" firstHeaderRow="1" firstDataRow="1" firstDataCol="1"/>
  <pivotFields count="3">
    <pivotField showAll="0"/>
    <pivotField axis="axisRow" dataField="1" showAll="0">
      <items count="10">
        <item x="0"/>
        <item x="2"/>
        <item x="7"/>
        <item x="6"/>
        <item x="4"/>
        <item x="3"/>
        <item x="1"/>
        <item x="5"/>
        <item x="8"/>
        <item t="default"/>
      </items>
    </pivotField>
    <pivotField showAll="0"/>
  </pivotFields>
  <rowFields count="1">
    <field x="1"/>
  </rowFields>
  <rowItems count="10">
    <i>
      <x/>
    </i>
    <i>
      <x v="1"/>
    </i>
    <i>
      <x v="2"/>
    </i>
    <i>
      <x v="3"/>
    </i>
    <i>
      <x v="4"/>
    </i>
    <i>
      <x v="5"/>
    </i>
    <i>
      <x v="6"/>
    </i>
    <i>
      <x v="7"/>
    </i>
    <i>
      <x v="8"/>
    </i>
    <i t="grand">
      <x/>
    </i>
  </rowItems>
  <colItems count="1">
    <i/>
  </colItems>
  <dataFields count="1">
    <dataField name="Count of 行业" fld="1" subtotal="count" baseField="0" baseItem="0"/>
  </dataFields>
  <formats count="25">
    <format dxfId="0">
      <pivotArea type="all" dataOnly="0" outline="0" fieldPosition="0"/>
    </format>
    <format dxfId="1">
      <pivotArea outline="0" collapsedLevelsAreSubtotals="1" fieldPosition="0"/>
    </format>
    <format dxfId="2">
      <pivotArea dataOnly="0" labelOnly="1" grandRow="1" outline="0" fieldPosition="0"/>
    </format>
    <format dxfId="3">
      <pivotArea dataOnly="0" labelOnly="1" outline="0" fieldPosition="0"/>
    </format>
    <format dxfId="4">
      <pivotArea type="all" dataOnly="0" outline="0" fieldPosition="0"/>
    </format>
    <format dxfId="5">
      <pivotArea type="all" dataOnly="0" outline="0" fieldPosition="0"/>
    </format>
    <format dxfId="6">
      <pivotArea type="all" dataOnly="0" outline="0" fieldPosition="0"/>
    </format>
    <format dxfId="7">
      <pivotArea type="all" dataOnly="0" outline="0" fieldPosition="0"/>
    </format>
    <format dxfId="8">
      <pivotArea type="all" dataOnly="0" outline="0" fieldPosition="0"/>
    </format>
    <format dxfId="9">
      <pivotArea type="all" dataOnly="0" outline="0" fieldPosition="0"/>
    </format>
    <format dxfId="10">
      <pivotArea type="all" dataOnly="0" outline="0" fieldPosition="0"/>
    </format>
    <format dxfId="11">
      <pivotArea type="all" dataOnly="0" outline="0" fieldPosition="0"/>
    </format>
    <format dxfId="12">
      <pivotArea collapsedLevelsAreSubtotals="1" fieldPosition="0">
        <references count="1">
          <reference field="1" count="1" selected="0">
            <x v="1"/>
          </reference>
        </references>
      </pivotArea>
    </format>
    <format dxfId="13">
      <pivotArea collapsedLevelsAreSubtotals="1" fieldPosition="0">
        <references count="1">
          <reference field="1" count="1" selected="0">
            <x v="3"/>
          </reference>
        </references>
      </pivotArea>
    </format>
    <format dxfId="14">
      <pivotArea collapsedLevelsAreSubtotals="1" fieldPosition="0">
        <references count="1">
          <reference field="1" count="1" selected="0">
            <x v="4"/>
          </reference>
        </references>
      </pivotArea>
    </format>
    <format dxfId="15">
      <pivotArea collapsedLevelsAreSubtotals="1" fieldPosition="0">
        <references count="1">
          <reference field="1" count="1" selected="0">
            <x v="5"/>
          </reference>
        </references>
      </pivotArea>
    </format>
    <format dxfId="16">
      <pivotArea collapsedLevelsAreSubtotals="1" fieldPosition="0">
        <references count="1">
          <reference field="1" count="1" selected="0">
            <x v="2"/>
          </reference>
        </references>
      </pivotArea>
    </format>
    <format dxfId="17">
      <pivotArea collapsedLevelsAreSubtotals="1" fieldPosition="0">
        <references count="1">
          <reference field="1" count="1">
            <x v="6"/>
          </reference>
        </references>
      </pivotArea>
    </format>
    <format dxfId="18">
      <pivotArea dataOnly="0" labelOnly="1" fieldPosition="0">
        <references count="1">
          <reference field="1" count="1">
            <x v="6"/>
          </reference>
        </references>
      </pivotArea>
    </format>
    <format dxfId="19">
      <pivotArea collapsedLevelsAreSubtotals="1" fieldPosition="0">
        <references count="1">
          <reference field="1" count="2">
            <x v="0"/>
            <x v="1"/>
          </reference>
        </references>
      </pivotArea>
    </format>
    <format dxfId="20">
      <pivotArea dataOnly="0" labelOnly="1" fieldPosition="0">
        <references count="1">
          <reference field="1" count="2">
            <x v="0"/>
            <x v="1"/>
          </reference>
        </references>
      </pivotArea>
    </format>
    <format dxfId="21">
      <pivotArea collapsedLevelsAreSubtotals="1" fieldPosition="0">
        <references count="1">
          <reference field="1" count="4">
            <x v="2"/>
            <x v="3"/>
            <x v="4"/>
            <x v="5"/>
          </reference>
        </references>
      </pivotArea>
    </format>
    <format dxfId="22">
      <pivotArea dataOnly="0" labelOnly="1" fieldPosition="0">
        <references count="1">
          <reference field="1" count="4">
            <x v="2"/>
            <x v="3"/>
            <x v="4"/>
            <x v="5"/>
          </reference>
        </references>
      </pivotArea>
    </format>
    <format dxfId="23">
      <pivotArea type="all" dataOnly="0" outline="0" fieldPosition="0"/>
    </format>
    <format dxfId="24">
      <pivotArea type="all" dataOnly="0" outline="0" fieldPosition="0"/>
    </format>
  </formats>
  <pivotTableStyleInfo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L472"/>
  <sheetViews>
    <sheetView showGridLines="0" tabSelected="1" workbookViewId="0">
      <selection activeCell="O24" sqref="O24"/>
    </sheetView>
  </sheetViews>
  <sheetFormatPr defaultColWidth="8.72727272727273" defaultRowHeight="15.5" customHeight="1"/>
  <cols>
    <col min="1" max="1" width="8.72727272727273" style="18"/>
    <col min="2" max="2" width="1.27272727272727" style="19" customWidth="1"/>
    <col min="3" max="3" width="4.90909090909091" style="19" customWidth="1"/>
    <col min="4" max="5" width="8.72727272727273" style="19"/>
    <col min="6" max="7" width="11.8181818181818" style="19" customWidth="1"/>
    <col min="8" max="8" width="4.63636363636364" style="19" customWidth="1"/>
    <col min="9" max="9" width="10.1818181818182" style="19" customWidth="1"/>
    <col min="10" max="10" width="11.8181818181818" style="19" customWidth="1"/>
    <col min="11" max="11" width="12.7272727272727" style="19" customWidth="1"/>
    <col min="12" max="12" width="1.81818181818182" style="19" customWidth="1"/>
    <col min="13" max="14" width="8.72727272727273" style="18"/>
    <col min="15" max="16" width="9" style="18" customWidth="1"/>
    <col min="17" max="17" width="2.63636363636364" style="18" customWidth="1"/>
    <col min="18" max="18" width="11.2727272727273" style="18" customWidth="1"/>
    <col min="19" max="19" width="9" style="18" customWidth="1"/>
    <col min="20" max="20" width="2.63636363636364" style="18" customWidth="1"/>
    <col min="21" max="21" width="13" style="18" customWidth="1"/>
    <col min="22" max="22" width="8.72727272727273" style="18"/>
    <col min="23" max="23" width="11" style="18" customWidth="1"/>
    <col min="24" max="24" width="12.1818181818182" style="18" customWidth="1"/>
    <col min="25" max="25" width="8.72727272727273" style="20"/>
    <col min="26" max="26" width="11.6363636363636" style="18" customWidth="1"/>
    <col min="27" max="27" width="10.7272727272727" style="18" customWidth="1"/>
    <col min="28" max="28" width="7.36363636363636" style="18" customWidth="1"/>
    <col min="29" max="29" width="8.36363636363636" style="18" customWidth="1"/>
    <col min="30" max="30" width="7.36363636363636" style="18" customWidth="1"/>
    <col min="31" max="32" width="8.36363636363636" style="18" customWidth="1"/>
    <col min="33" max="33" width="11.3636363636364" style="18" customWidth="1"/>
    <col min="34" max="34" width="9.81818181818182" style="18" customWidth="1"/>
    <col min="35" max="36" width="10.3636363636364" style="18" customWidth="1"/>
    <col min="37" max="37" width="7.81818181818182" style="18" customWidth="1"/>
    <col min="38" max="38" width="9.36363636363636" style="18" customWidth="1"/>
    <col min="39" max="39" width="6.81818181818182" style="18" customWidth="1"/>
    <col min="40" max="40" width="10.3636363636364" style="18" customWidth="1"/>
    <col min="41" max="41" width="8.36363636363636" style="18" customWidth="1"/>
    <col min="42" max="43" width="7.81818181818182" style="18" customWidth="1"/>
    <col min="44" max="44" width="10.3636363636364" style="18" customWidth="1"/>
    <col min="45" max="45" width="7.81818181818182" style="18" customWidth="1"/>
    <col min="46" max="46" width="10.3636363636364" style="18" customWidth="1"/>
    <col min="47" max="47" width="6.81818181818182" style="18" customWidth="1"/>
    <col min="48" max="48" width="8.81818181818182" style="18" customWidth="1"/>
    <col min="49" max="49" width="7.81818181818182" style="18" customWidth="1"/>
    <col min="50" max="50" width="9.36363636363636" style="18" customWidth="1"/>
    <col min="51" max="51" width="6.81818181818182" style="18" customWidth="1"/>
    <col min="52" max="52" width="11.3636363636364" style="18" customWidth="1"/>
    <col min="53" max="54" width="10.3636363636364" style="18" customWidth="1"/>
    <col min="55" max="55" width="7.81818181818182" style="18" customWidth="1"/>
    <col min="56" max="56" width="8.81818181818182" style="18" customWidth="1"/>
    <col min="57" max="57" width="8.36363636363636" style="18" customWidth="1"/>
    <col min="58" max="58" width="10.3636363636364" style="18" customWidth="1"/>
    <col min="59" max="59" width="8.81818181818182" style="18" customWidth="1"/>
    <col min="60" max="61" width="7.81818181818182" style="18" customWidth="1"/>
    <col min="62" max="62" width="10.3636363636364" style="18" customWidth="1"/>
    <col min="63" max="63" width="6.81818181818182" style="18" customWidth="1"/>
    <col min="64" max="64" width="9.36363636363636" style="18" customWidth="1"/>
    <col min="65" max="65" width="12.3636363636364" style="18" customWidth="1"/>
    <col min="66" max="66" width="8.36363636363636" style="18" customWidth="1"/>
    <col min="67" max="67" width="9.36363636363636" style="18" customWidth="1"/>
    <col min="68" max="68" width="6.81818181818182" style="18" customWidth="1"/>
    <col min="69" max="69" width="10.3636363636364" style="18" customWidth="1"/>
    <col min="70" max="70" width="8.81818181818182" style="18" customWidth="1"/>
    <col min="71" max="71" width="7.81818181818182" style="18" customWidth="1"/>
    <col min="72" max="72" width="7.36363636363636" style="18" customWidth="1"/>
    <col min="73" max="74" width="9.36363636363636" style="18" customWidth="1"/>
    <col min="75" max="75" width="6.81818181818182" style="18" customWidth="1"/>
    <col min="76" max="76" width="8.36363636363636" style="18" customWidth="1"/>
    <col min="77" max="77" width="10.3636363636364" style="18" customWidth="1"/>
    <col min="78" max="78" width="7.81818181818182" style="18" customWidth="1"/>
    <col min="79" max="80" width="9.36363636363636" style="18" customWidth="1"/>
    <col min="81" max="82" width="7.81818181818182" style="18" customWidth="1"/>
    <col min="83" max="83" width="6.81818181818182" style="18" customWidth="1"/>
    <col min="84" max="84" width="7.81818181818182" style="18" customWidth="1"/>
    <col min="85" max="85" width="8.81818181818182" style="18" customWidth="1"/>
    <col min="86" max="86" width="6.81818181818182" style="18" customWidth="1"/>
    <col min="87" max="87" width="11.3636363636364" style="18" customWidth="1"/>
    <col min="88" max="88" width="10.3636363636364" style="18" customWidth="1"/>
    <col min="89" max="89" width="12.3636363636364" style="18" customWidth="1"/>
    <col min="90" max="90" width="6.81818181818182" style="18" customWidth="1"/>
    <col min="91" max="92" width="9.36363636363636" style="18" customWidth="1"/>
    <col min="93" max="93" width="7.81818181818182" style="18" customWidth="1"/>
    <col min="94" max="94" width="6.81818181818182" style="18" customWidth="1"/>
    <col min="95" max="95" width="10.3636363636364" style="18" customWidth="1"/>
    <col min="96" max="96" width="6.81818181818182" style="18" customWidth="1"/>
    <col min="97" max="97" width="9.36363636363636" style="18" customWidth="1"/>
    <col min="98" max="98" width="5.81818181818182" style="18" customWidth="1"/>
    <col min="99" max="99" width="8.36363636363636" style="18" customWidth="1"/>
    <col min="100" max="100" width="10.3636363636364" style="18" customWidth="1"/>
    <col min="101" max="101" width="7.36363636363636" style="18" customWidth="1"/>
    <col min="102" max="103" width="6.81818181818182" style="18" customWidth="1"/>
    <col min="104" max="104" width="8.36363636363636" style="18" customWidth="1"/>
    <col min="105" max="105" width="7.81818181818182" style="18" customWidth="1"/>
    <col min="106" max="106" width="10.3636363636364" style="18" customWidth="1"/>
    <col min="107" max="107" width="8.36363636363636" style="18" customWidth="1"/>
    <col min="108" max="109" width="9.36363636363636" style="18" customWidth="1"/>
    <col min="110" max="111" width="6.81818181818182" style="18" customWidth="1"/>
    <col min="112" max="112" width="8.36363636363636" style="18" customWidth="1"/>
    <col min="113" max="113" width="11.3636363636364" style="18" customWidth="1"/>
    <col min="114" max="114" width="7.81818181818182" style="18" customWidth="1"/>
    <col min="115" max="115" width="6.81818181818182" style="18" customWidth="1"/>
    <col min="116" max="116" width="10.3636363636364" style="18" customWidth="1"/>
    <col min="117" max="117" width="6.81818181818182" style="18" customWidth="1"/>
    <col min="118" max="118" width="8.36363636363636" style="18" customWidth="1"/>
    <col min="119" max="119" width="9.36363636363636" style="18" customWidth="1"/>
    <col min="120" max="120" width="7.81818181818182" style="18" customWidth="1"/>
    <col min="121" max="121" width="6.81818181818182" style="18" customWidth="1"/>
    <col min="122" max="122" width="8.36363636363636" style="18" customWidth="1"/>
    <col min="123" max="123" width="9.36363636363636" style="18" customWidth="1"/>
    <col min="124" max="124" width="6.81818181818182" style="18" customWidth="1"/>
    <col min="125" max="125" width="9.36363636363636" style="18" customWidth="1"/>
    <col min="126" max="126" width="8.36363636363636" style="18" customWidth="1"/>
    <col min="127" max="127" width="6.81818181818182" style="18" customWidth="1"/>
    <col min="128" max="129" width="8.36363636363636" style="18" customWidth="1"/>
    <col min="130" max="130" width="9.36363636363636" style="18" customWidth="1"/>
    <col min="131" max="131" width="6.81818181818182" style="18" customWidth="1"/>
    <col min="132" max="132" width="8.36363636363636" style="18" customWidth="1"/>
    <col min="133" max="134" width="7.81818181818182" style="18" customWidth="1"/>
    <col min="135" max="135" width="5.81818181818182" style="18" customWidth="1"/>
    <col min="136" max="136" width="9.36363636363636" style="18" customWidth="1"/>
    <col min="137" max="138" width="7.36363636363636" style="18" customWidth="1"/>
    <col min="139" max="139" width="8.36363636363636" style="18" customWidth="1"/>
    <col min="140" max="140" width="9.36363636363636" style="18" customWidth="1"/>
    <col min="141" max="141" width="8.36363636363636" style="18" customWidth="1"/>
    <col min="142" max="142" width="9.36363636363636" style="18" customWidth="1"/>
    <col min="143" max="143" width="6.81818181818182" style="18" customWidth="1"/>
    <col min="144" max="144" width="9.36363636363636" style="18" customWidth="1"/>
    <col min="145" max="145" width="5.81818181818182" style="18" customWidth="1"/>
    <col min="146" max="146" width="10.3636363636364" style="18" customWidth="1"/>
    <col min="147" max="147" width="8.81818181818182" style="18" customWidth="1"/>
    <col min="148" max="148" width="6.81818181818182" style="18" customWidth="1"/>
    <col min="149" max="149" width="8.36363636363636" style="18" customWidth="1"/>
    <col min="150" max="151" width="6.81818181818182" style="18" customWidth="1"/>
    <col min="152" max="152" width="7.81818181818182" style="18" customWidth="1"/>
    <col min="153" max="153" width="6.81818181818182" style="18" customWidth="1"/>
    <col min="154" max="154" width="7.36363636363636" style="18" customWidth="1"/>
    <col min="155" max="155" width="6.81818181818182" style="18" customWidth="1"/>
    <col min="156" max="156" width="9.36363636363636" style="18" customWidth="1"/>
    <col min="157" max="157" width="8.81818181818182" style="18" customWidth="1"/>
    <col min="158" max="158" width="8.36363636363636" style="18" customWidth="1"/>
    <col min="159" max="159" width="10.3636363636364" style="18" customWidth="1"/>
    <col min="160" max="160" width="9.36363636363636" style="18" customWidth="1"/>
    <col min="161" max="161" width="5.81818181818182" style="18" customWidth="1"/>
    <col min="162" max="162" width="8.36363636363636" style="18" customWidth="1"/>
    <col min="163" max="164" width="6.81818181818182" style="18" customWidth="1"/>
    <col min="165" max="165" width="8.36363636363636" style="18" customWidth="1"/>
    <col min="166" max="166" width="8.81818181818182" style="18" customWidth="1"/>
    <col min="167" max="167" width="6.81818181818182" style="18" customWidth="1"/>
    <col min="168" max="168" width="10.6363636363636" style="18" customWidth="1"/>
    <col min="169" max="16384" width="8.72727272727273" style="18"/>
  </cols>
  <sheetData>
    <row r="2" spans="2:27">
      <c r="B2" s="21"/>
      <c r="C2" s="21"/>
      <c r="D2" s="21"/>
      <c r="E2" s="21"/>
      <c r="F2" s="21"/>
      <c r="G2" s="21"/>
      <c r="H2" s="21"/>
      <c r="I2" s="21"/>
      <c r="J2" s="21"/>
      <c r="K2" s="21"/>
      <c r="L2" s="21"/>
      <c r="N2" s="33"/>
      <c r="O2" s="33" t="s">
        <v>0</v>
      </c>
      <c r="P2" s="34" t="s">
        <v>1</v>
      </c>
      <c r="Q2" s="49"/>
      <c r="R2" s="33"/>
      <c r="S2" s="33" t="s">
        <v>0</v>
      </c>
      <c r="T2" s="49"/>
      <c r="U2" s="50" t="s">
        <v>2</v>
      </c>
      <c r="V2" s="51"/>
      <c r="W2" s="51"/>
      <c r="X2" s="51"/>
      <c r="Z2" s="60"/>
      <c r="AA2" s="60"/>
    </row>
    <row r="3" customHeight="1" spans="2:27">
      <c r="B3" s="21"/>
      <c r="C3" s="22" t="s">
        <v>3</v>
      </c>
      <c r="D3" s="22"/>
      <c r="E3" s="22"/>
      <c r="F3" s="22"/>
      <c r="G3" s="22"/>
      <c r="H3" s="22"/>
      <c r="I3" s="22"/>
      <c r="J3" s="35"/>
      <c r="K3" s="35"/>
      <c r="L3" s="21"/>
      <c r="N3" s="36" t="s">
        <v>4</v>
      </c>
      <c r="O3" s="36"/>
      <c r="P3" s="36"/>
      <c r="R3" s="36" t="s">
        <v>5</v>
      </c>
      <c r="S3" s="36"/>
      <c r="U3" s="36" t="s">
        <v>6</v>
      </c>
      <c r="V3" s="36" t="s">
        <v>7</v>
      </c>
      <c r="W3" s="36" t="s">
        <v>8</v>
      </c>
      <c r="X3" s="36" t="s">
        <v>9</v>
      </c>
      <c r="Z3" s="49"/>
      <c r="AA3" s="49"/>
    </row>
    <row r="4" spans="2:168">
      <c r="B4" s="21"/>
      <c r="C4" s="22"/>
      <c r="D4" s="22"/>
      <c r="E4" s="22"/>
      <c r="F4" s="22"/>
      <c r="G4" s="22"/>
      <c r="H4" s="22"/>
      <c r="I4" s="22"/>
      <c r="J4" s="37">
        <f ca="1">TODAY()</f>
        <v>45136</v>
      </c>
      <c r="K4" s="38"/>
      <c r="L4" s="21"/>
      <c r="N4" s="3" t="s">
        <v>10</v>
      </c>
      <c r="O4" s="39">
        <v>33</v>
      </c>
      <c r="P4" s="40">
        <f t="shared" ref="P4:P24" si="0">O4/SUM(O$4:O$24)</f>
        <v>0.3</v>
      </c>
      <c r="R4" s="52" t="s">
        <v>11</v>
      </c>
      <c r="S4" s="39">
        <v>4</v>
      </c>
      <c r="U4" s="53" t="s">
        <v>12</v>
      </c>
      <c r="V4" s="54" t="s">
        <v>13</v>
      </c>
      <c r="W4" s="54" t="s">
        <v>14</v>
      </c>
      <c r="X4" s="55" t="s">
        <v>15</v>
      </c>
      <c r="Z4" s="61" t="s">
        <v>16</v>
      </c>
      <c r="AA4" s="62" t="s">
        <v>17</v>
      </c>
      <c r="AB4" s="63"/>
      <c r="AC4" s="64"/>
      <c r="AD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row>
    <row r="5" spans="2:168">
      <c r="B5" s="21"/>
      <c r="C5" s="23" t="s">
        <v>18</v>
      </c>
      <c r="D5" s="23"/>
      <c r="E5" s="23"/>
      <c r="F5" s="23"/>
      <c r="G5" s="23"/>
      <c r="H5" s="23"/>
      <c r="I5" s="23"/>
      <c r="J5" s="23"/>
      <c r="K5" s="23"/>
      <c r="L5" s="21"/>
      <c r="N5" s="3" t="s">
        <v>19</v>
      </c>
      <c r="O5" s="39">
        <v>20</v>
      </c>
      <c r="P5" s="40">
        <f t="shared" si="0"/>
        <v>0.181818181818182</v>
      </c>
      <c r="R5" s="18">
        <v>2014</v>
      </c>
      <c r="S5" s="39">
        <v>9</v>
      </c>
      <c r="U5" s="56" t="s">
        <v>20</v>
      </c>
      <c r="V5" s="54" t="s">
        <v>13</v>
      </c>
      <c r="W5" s="54" t="s">
        <v>14</v>
      </c>
      <c r="X5" s="55" t="s">
        <v>21</v>
      </c>
      <c r="Z5" s="66" t="s">
        <v>22</v>
      </c>
      <c r="AA5" s="67">
        <v>7</v>
      </c>
      <c r="AB5" s="68">
        <f ca="1">GETPIVOTDATA("行业",$Z$4,"行业",Z5)/GETPIVOTDATA("行业",$Z$4)</f>
        <v>0.155555555555556</v>
      </c>
      <c r="AC5" s="69"/>
      <c r="AD5" s="65"/>
      <c r="AF5" s="65"/>
      <c r="AG5" s="65"/>
      <c r="AH5" s="65"/>
      <c r="AI5" s="65"/>
      <c r="AJ5" s="65"/>
      <c r="AK5" s="65"/>
      <c r="AL5" s="65"/>
      <c r="AM5" s="65"/>
      <c r="AN5" s="65"/>
      <c r="AO5" s="65"/>
      <c r="AP5" s="65"/>
      <c r="AQ5" s="65"/>
      <c r="AR5" s="65"/>
      <c r="AS5" s="65"/>
      <c r="AT5" s="65"/>
      <c r="AU5" s="65"/>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5"/>
      <c r="CI5" s="65"/>
      <c r="CJ5" s="65"/>
      <c r="CK5" s="65"/>
      <c r="CL5" s="65"/>
      <c r="CM5" s="65"/>
      <c r="CN5" s="65"/>
      <c r="CO5" s="65"/>
      <c r="CP5" s="65"/>
      <c r="CQ5" s="65"/>
      <c r="CR5" s="65"/>
      <c r="CS5" s="65"/>
      <c r="CT5" s="65"/>
      <c r="CU5" s="65"/>
      <c r="CV5" s="65"/>
      <c r="CW5" s="65"/>
      <c r="CX5" s="65"/>
      <c r="CY5" s="65"/>
      <c r="CZ5" s="65"/>
      <c r="DA5" s="65"/>
      <c r="DB5" s="65"/>
      <c r="DC5" s="65"/>
      <c r="DD5" s="65"/>
      <c r="DE5" s="65"/>
      <c r="DF5" s="65"/>
      <c r="DG5" s="65"/>
      <c r="DH5" s="65"/>
      <c r="DI5" s="65"/>
      <c r="DJ5" s="65"/>
      <c r="DK5" s="65"/>
      <c r="DL5" s="65"/>
      <c r="DM5" s="65"/>
      <c r="DN5" s="65"/>
      <c r="DO5" s="65"/>
      <c r="DP5" s="65"/>
      <c r="DQ5" s="65"/>
      <c r="DR5" s="65"/>
      <c r="DS5" s="65"/>
      <c r="DT5" s="65"/>
      <c r="DU5" s="65"/>
      <c r="DV5" s="65"/>
      <c r="DW5" s="65"/>
      <c r="DX5" s="65"/>
      <c r="DY5" s="65"/>
      <c r="DZ5" s="65"/>
      <c r="EA5" s="65"/>
      <c r="EB5" s="65"/>
      <c r="EC5" s="65"/>
      <c r="ED5" s="65"/>
      <c r="EE5" s="65"/>
      <c r="EF5" s="65"/>
      <c r="EG5" s="65"/>
      <c r="EH5" s="65"/>
      <c r="EI5" s="65"/>
      <c r="EJ5" s="65"/>
      <c r="EK5" s="65"/>
      <c r="EL5" s="65"/>
      <c r="EM5" s="65"/>
      <c r="EN5" s="65"/>
      <c r="EO5" s="65"/>
      <c r="EP5" s="65"/>
      <c r="EQ5" s="65"/>
      <c r="ER5" s="65"/>
      <c r="ES5" s="65"/>
      <c r="ET5" s="65"/>
      <c r="EU5" s="65"/>
      <c r="EV5" s="65"/>
      <c r="EW5" s="65"/>
      <c r="EX5" s="65"/>
      <c r="EY5" s="65"/>
      <c r="EZ5" s="65"/>
      <c r="FA5" s="65"/>
      <c r="FB5" s="65"/>
      <c r="FC5" s="65"/>
      <c r="FD5" s="65"/>
      <c r="FE5" s="65"/>
      <c r="FF5" s="65"/>
      <c r="FG5" s="65"/>
      <c r="FH5" s="65"/>
      <c r="FI5" s="65"/>
      <c r="FJ5" s="65"/>
      <c r="FK5" s="65"/>
      <c r="FL5" s="65"/>
    </row>
    <row r="6" spans="2:168">
      <c r="B6" s="21"/>
      <c r="C6" s="24"/>
      <c r="D6" s="24"/>
      <c r="E6" s="24"/>
      <c r="F6" s="24"/>
      <c r="G6" s="24"/>
      <c r="H6" s="24"/>
      <c r="I6" s="24"/>
      <c r="J6" s="24"/>
      <c r="K6" s="24"/>
      <c r="L6" s="21"/>
      <c r="N6" s="3" t="s">
        <v>23</v>
      </c>
      <c r="O6" s="39">
        <v>13</v>
      </c>
      <c r="P6" s="40">
        <f t="shared" si="0"/>
        <v>0.118181818181818</v>
      </c>
      <c r="R6" s="18">
        <v>2015</v>
      </c>
      <c r="S6" s="39">
        <v>20</v>
      </c>
      <c r="U6" s="53" t="s">
        <v>24</v>
      </c>
      <c r="V6" s="54" t="s">
        <v>13</v>
      </c>
      <c r="W6" s="54" t="s">
        <v>14</v>
      </c>
      <c r="X6" s="55" t="s">
        <v>25</v>
      </c>
      <c r="Z6" s="70" t="s">
        <v>26</v>
      </c>
      <c r="AA6" s="71">
        <v>8</v>
      </c>
      <c r="AB6" s="68">
        <f ca="1" t="shared" ref="AB6:AB13" si="1">GETPIVOTDATA("行业",$Z$4,"行业",Z6)/GETPIVOTDATA("行业",$Z$4)</f>
        <v>0.177777777777778</v>
      </c>
      <c r="AC6" s="69"/>
      <c r="AD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65"/>
      <c r="ED6" s="65"/>
      <c r="EE6" s="65"/>
      <c r="EF6" s="65"/>
      <c r="EG6" s="65"/>
      <c r="EH6" s="65"/>
      <c r="EI6" s="65"/>
      <c r="EJ6" s="65"/>
      <c r="EK6" s="65"/>
      <c r="EL6" s="65"/>
      <c r="EM6" s="65"/>
      <c r="EN6" s="65"/>
      <c r="EO6" s="65"/>
      <c r="EP6" s="65"/>
      <c r="EQ6" s="65"/>
      <c r="ER6" s="65"/>
      <c r="ES6" s="65"/>
      <c r="ET6" s="65"/>
      <c r="EU6" s="65"/>
      <c r="EV6" s="65"/>
      <c r="EW6" s="65"/>
      <c r="EX6" s="65"/>
      <c r="EY6" s="65"/>
      <c r="EZ6" s="65"/>
      <c r="FA6" s="65"/>
      <c r="FB6" s="65"/>
      <c r="FC6" s="65"/>
      <c r="FD6" s="65"/>
      <c r="FE6" s="65"/>
      <c r="FF6" s="65"/>
      <c r="FG6" s="65"/>
      <c r="FH6" s="65"/>
      <c r="FI6" s="65"/>
      <c r="FJ6" s="65"/>
      <c r="FK6" s="65"/>
      <c r="FL6" s="65"/>
    </row>
    <row r="7" spans="2:168">
      <c r="B7" s="21"/>
      <c r="C7" s="25"/>
      <c r="D7" s="25"/>
      <c r="E7" s="25"/>
      <c r="F7" s="25"/>
      <c r="G7" s="25"/>
      <c r="H7" s="26"/>
      <c r="I7" s="26"/>
      <c r="J7" s="26"/>
      <c r="K7" s="26"/>
      <c r="L7" s="21"/>
      <c r="N7" s="3" t="s">
        <v>27</v>
      </c>
      <c r="O7" s="39">
        <v>10</v>
      </c>
      <c r="P7" s="40">
        <f t="shared" si="0"/>
        <v>0.0909090909090909</v>
      </c>
      <c r="R7" s="18">
        <v>2016</v>
      </c>
      <c r="S7" s="39">
        <v>14</v>
      </c>
      <c r="U7" s="57" t="s">
        <v>28</v>
      </c>
      <c r="V7" s="54" t="s">
        <v>13</v>
      </c>
      <c r="W7" s="54" t="s">
        <v>14</v>
      </c>
      <c r="X7" s="55" t="s">
        <v>29</v>
      </c>
      <c r="Z7" s="72" t="s">
        <v>30</v>
      </c>
      <c r="AA7" s="73">
        <v>2</v>
      </c>
      <c r="AB7" s="74">
        <f ca="1" t="shared" si="1"/>
        <v>0.0444444444444444</v>
      </c>
      <c r="AC7" s="75"/>
      <c r="AD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c r="DU7" s="65"/>
      <c r="DV7" s="65"/>
      <c r="DW7" s="65"/>
      <c r="DX7" s="65"/>
      <c r="DY7" s="65"/>
      <c r="DZ7" s="65"/>
      <c r="EA7" s="65"/>
      <c r="EB7" s="65"/>
      <c r="EC7" s="65"/>
      <c r="ED7" s="65"/>
      <c r="EE7" s="65"/>
      <c r="EF7" s="65"/>
      <c r="EG7" s="65"/>
      <c r="EH7" s="65"/>
      <c r="EI7" s="65"/>
      <c r="EJ7" s="65"/>
      <c r="EK7" s="65"/>
      <c r="EL7" s="65"/>
      <c r="EM7" s="65"/>
      <c r="EN7" s="65"/>
      <c r="EO7" s="65"/>
      <c r="EP7" s="65"/>
      <c r="EQ7" s="65"/>
      <c r="ER7" s="65"/>
      <c r="ES7" s="65"/>
      <c r="ET7" s="65"/>
      <c r="EU7" s="65"/>
      <c r="EV7" s="65"/>
      <c r="EW7" s="65"/>
      <c r="EX7" s="65"/>
      <c r="EY7" s="65"/>
      <c r="EZ7" s="65"/>
      <c r="FA7" s="65"/>
      <c r="FB7" s="65"/>
      <c r="FC7" s="65"/>
      <c r="FD7" s="65"/>
      <c r="FE7" s="65"/>
      <c r="FF7" s="65"/>
      <c r="FG7" s="65"/>
      <c r="FH7" s="65"/>
      <c r="FI7" s="65"/>
      <c r="FJ7" s="65"/>
      <c r="FK7" s="65"/>
      <c r="FL7" s="65"/>
    </row>
    <row r="8" spans="2:168">
      <c r="B8" s="21"/>
      <c r="C8" s="27" t="s">
        <v>31</v>
      </c>
      <c r="D8" s="27"/>
      <c r="E8" s="27"/>
      <c r="F8" s="27"/>
      <c r="G8" s="27"/>
      <c r="H8" s="27" t="s">
        <v>32</v>
      </c>
      <c r="I8" s="27"/>
      <c r="J8" s="27"/>
      <c r="K8" s="27"/>
      <c r="L8" s="21"/>
      <c r="N8" s="3" t="s">
        <v>33</v>
      </c>
      <c r="O8" s="39">
        <v>10</v>
      </c>
      <c r="P8" s="40">
        <f t="shared" si="0"/>
        <v>0.0909090909090909</v>
      </c>
      <c r="R8" s="18">
        <v>2017</v>
      </c>
      <c r="S8" s="39">
        <v>12</v>
      </c>
      <c r="U8" s="54" t="s">
        <v>34</v>
      </c>
      <c r="V8" s="54" t="s">
        <v>13</v>
      </c>
      <c r="W8" s="54" t="s">
        <v>14</v>
      </c>
      <c r="X8" s="55" t="s">
        <v>35</v>
      </c>
      <c r="Z8" s="72" t="s">
        <v>36</v>
      </c>
      <c r="AA8" s="73">
        <v>3</v>
      </c>
      <c r="AB8" s="74">
        <f ca="1" t="shared" si="1"/>
        <v>0.0666666666666667</v>
      </c>
      <c r="AC8" s="75"/>
      <c r="AD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5"/>
      <c r="EE8" s="65"/>
      <c r="EF8" s="65"/>
      <c r="EG8" s="65"/>
      <c r="EH8" s="65"/>
      <c r="EI8" s="65"/>
      <c r="EJ8" s="65"/>
      <c r="EK8" s="65"/>
      <c r="EL8" s="65"/>
      <c r="EM8" s="65"/>
      <c r="EN8" s="65"/>
      <c r="EO8" s="65"/>
      <c r="EP8" s="65"/>
      <c r="EQ8" s="65"/>
      <c r="ER8" s="65"/>
      <c r="ES8" s="65"/>
      <c r="ET8" s="65"/>
      <c r="EU8" s="65"/>
      <c r="EV8" s="65"/>
      <c r="EW8" s="65"/>
      <c r="EX8" s="65"/>
      <c r="EY8" s="65"/>
      <c r="EZ8" s="65"/>
      <c r="FA8" s="65"/>
      <c r="FB8" s="65"/>
      <c r="FC8" s="65"/>
      <c r="FD8" s="65"/>
      <c r="FE8" s="65"/>
      <c r="FF8" s="65"/>
      <c r="FG8" s="65"/>
      <c r="FH8" s="65"/>
      <c r="FI8" s="65"/>
      <c r="FJ8" s="65"/>
      <c r="FK8" s="65"/>
      <c r="FL8" s="65"/>
    </row>
    <row r="9" spans="2:168">
      <c r="B9" s="21"/>
      <c r="C9" s="28"/>
      <c r="D9" s="28"/>
      <c r="E9" s="28"/>
      <c r="F9" s="28"/>
      <c r="G9" s="28"/>
      <c r="H9" s="28"/>
      <c r="I9" s="28"/>
      <c r="J9" s="28"/>
      <c r="K9" s="28"/>
      <c r="L9" s="21"/>
      <c r="N9" s="3" t="s">
        <v>37</v>
      </c>
      <c r="O9" s="39">
        <v>6</v>
      </c>
      <c r="P9" s="40">
        <f t="shared" si="0"/>
        <v>0.0545454545454545</v>
      </c>
      <c r="R9" s="18">
        <v>2018</v>
      </c>
      <c r="S9" s="39">
        <v>17</v>
      </c>
      <c r="U9" s="54" t="s">
        <v>38</v>
      </c>
      <c r="V9" s="54" t="s">
        <v>13</v>
      </c>
      <c r="W9" s="54" t="s">
        <v>14</v>
      </c>
      <c r="X9" s="55" t="s">
        <v>39</v>
      </c>
      <c r="Z9" s="72" t="s">
        <v>40</v>
      </c>
      <c r="AA9" s="73">
        <v>2</v>
      </c>
      <c r="AB9" s="74">
        <f ca="1" t="shared" si="1"/>
        <v>0.0444444444444444</v>
      </c>
      <c r="AC9" s="75"/>
      <c r="AD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5"/>
      <c r="BQ9" s="65"/>
      <c r="BR9" s="65"/>
      <c r="BS9" s="65"/>
      <c r="BT9" s="65"/>
      <c r="BU9" s="65"/>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c r="DJ9" s="65"/>
      <c r="DK9" s="65"/>
      <c r="DL9" s="65"/>
      <c r="DM9" s="65"/>
      <c r="DN9" s="65"/>
      <c r="DO9" s="65"/>
      <c r="DP9" s="65"/>
      <c r="DQ9" s="65"/>
      <c r="DR9" s="65"/>
      <c r="DS9" s="65"/>
      <c r="DT9" s="65"/>
      <c r="DU9" s="65"/>
      <c r="DV9" s="65"/>
      <c r="DW9" s="65"/>
      <c r="DX9" s="65"/>
      <c r="DY9" s="65"/>
      <c r="DZ9" s="65"/>
      <c r="EA9" s="65"/>
      <c r="EB9" s="65"/>
      <c r="EC9" s="65"/>
      <c r="ED9" s="65"/>
      <c r="EE9" s="65"/>
      <c r="EF9" s="65"/>
      <c r="EG9" s="65"/>
      <c r="EH9" s="65"/>
      <c r="EI9" s="65"/>
      <c r="EJ9" s="65"/>
      <c r="EK9" s="65"/>
      <c r="EL9" s="65"/>
      <c r="EM9" s="65"/>
      <c r="EN9" s="65"/>
      <c r="EO9" s="65"/>
      <c r="EP9" s="65"/>
      <c r="EQ9" s="65"/>
      <c r="ER9" s="65"/>
      <c r="ES9" s="65"/>
      <c r="ET9" s="65"/>
      <c r="EU9" s="65"/>
      <c r="EV9" s="65"/>
      <c r="EW9" s="65"/>
      <c r="EX9" s="65"/>
      <c r="EY9" s="65"/>
      <c r="EZ9" s="65"/>
      <c r="FA9" s="65"/>
      <c r="FB9" s="65"/>
      <c r="FC9" s="65"/>
      <c r="FD9" s="65"/>
      <c r="FE9" s="65"/>
      <c r="FF9" s="65"/>
      <c r="FG9" s="65"/>
      <c r="FH9" s="65"/>
      <c r="FI9" s="65"/>
      <c r="FJ9" s="65"/>
      <c r="FK9" s="65"/>
      <c r="FL9" s="65"/>
    </row>
    <row r="10" spans="2:168">
      <c r="B10" s="21"/>
      <c r="C10" s="28"/>
      <c r="D10" s="28"/>
      <c r="E10" s="28"/>
      <c r="F10" s="28"/>
      <c r="G10" s="28"/>
      <c r="H10" s="28"/>
      <c r="I10" s="28"/>
      <c r="J10" s="28"/>
      <c r="K10" s="28"/>
      <c r="L10" s="21"/>
      <c r="N10" s="3" t="s">
        <v>41</v>
      </c>
      <c r="O10" s="39">
        <v>3</v>
      </c>
      <c r="P10" s="40">
        <f t="shared" si="0"/>
        <v>0.0272727272727273</v>
      </c>
      <c r="R10" s="18">
        <v>2019</v>
      </c>
      <c r="S10" s="39">
        <v>7</v>
      </c>
      <c r="U10" s="54" t="s">
        <v>42</v>
      </c>
      <c r="V10" s="54" t="s">
        <v>13</v>
      </c>
      <c r="W10" s="54" t="s">
        <v>14</v>
      </c>
      <c r="X10" s="55" t="s">
        <v>15</v>
      </c>
      <c r="Z10" s="72" t="s">
        <v>43</v>
      </c>
      <c r="AA10" s="73">
        <v>2</v>
      </c>
      <c r="AB10" s="74">
        <f ca="1" t="shared" si="1"/>
        <v>0.0444444444444444</v>
      </c>
      <c r="AC10" s="75"/>
      <c r="AD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5"/>
      <c r="DI10" s="65"/>
      <c r="DJ10" s="65"/>
      <c r="DK10" s="65"/>
      <c r="DL10" s="65"/>
      <c r="DM10" s="65"/>
      <c r="DN10" s="65"/>
      <c r="DO10" s="65"/>
      <c r="DP10" s="65"/>
      <c r="DQ10" s="65"/>
      <c r="DR10" s="65"/>
      <c r="DS10" s="65"/>
      <c r="DT10" s="65"/>
      <c r="DU10" s="65"/>
      <c r="DV10" s="65"/>
      <c r="DW10" s="65"/>
      <c r="DX10" s="65"/>
      <c r="DY10" s="65"/>
      <c r="DZ10" s="65"/>
      <c r="EA10" s="65"/>
      <c r="EB10" s="65"/>
      <c r="EC10" s="65"/>
      <c r="ED10" s="65"/>
      <c r="EE10" s="65"/>
      <c r="EF10" s="65"/>
      <c r="EG10" s="65"/>
      <c r="EH10" s="65"/>
      <c r="EI10" s="65"/>
      <c r="EJ10" s="65"/>
      <c r="EK10" s="65"/>
      <c r="EL10" s="65"/>
      <c r="EM10" s="65"/>
      <c r="EN10" s="65"/>
      <c r="EO10" s="65"/>
      <c r="EP10" s="65"/>
      <c r="EQ10" s="65"/>
      <c r="ER10" s="65"/>
      <c r="ES10" s="65"/>
      <c r="ET10" s="65"/>
      <c r="EU10" s="65"/>
      <c r="EV10" s="65"/>
      <c r="EW10" s="65"/>
      <c r="EX10" s="65"/>
      <c r="EY10" s="65"/>
      <c r="EZ10" s="65"/>
      <c r="FA10" s="65"/>
      <c r="FB10" s="65"/>
      <c r="FC10" s="65"/>
      <c r="FD10" s="65"/>
      <c r="FE10" s="65"/>
      <c r="FF10" s="65"/>
      <c r="FG10" s="65"/>
      <c r="FH10" s="65"/>
      <c r="FI10" s="65"/>
      <c r="FJ10" s="65"/>
      <c r="FK10" s="65"/>
      <c r="FL10" s="65"/>
    </row>
    <row r="11" spans="2:168">
      <c r="B11" s="21"/>
      <c r="C11" s="29"/>
      <c r="D11" s="29"/>
      <c r="E11" s="29"/>
      <c r="F11" s="29"/>
      <c r="G11" s="29"/>
      <c r="H11" s="29"/>
      <c r="I11" s="29"/>
      <c r="J11" s="29"/>
      <c r="K11" s="29"/>
      <c r="L11" s="21"/>
      <c r="N11" s="3" t="s">
        <v>44</v>
      </c>
      <c r="O11" s="39">
        <v>3</v>
      </c>
      <c r="P11" s="40">
        <f t="shared" si="0"/>
        <v>0.0272727272727273</v>
      </c>
      <c r="R11" s="47">
        <v>2020</v>
      </c>
      <c r="S11" s="58">
        <v>14</v>
      </c>
      <c r="U11" s="54" t="s">
        <v>45</v>
      </c>
      <c r="V11" s="54" t="s">
        <v>46</v>
      </c>
      <c r="W11" s="54" t="s">
        <v>47</v>
      </c>
      <c r="X11" s="55" t="s">
        <v>48</v>
      </c>
      <c r="Z11" s="70" t="s">
        <v>49</v>
      </c>
      <c r="AA11" s="71">
        <v>18</v>
      </c>
      <c r="AB11" s="68">
        <f ca="1" t="shared" si="1"/>
        <v>0.4</v>
      </c>
      <c r="AC11" s="64"/>
      <c r="AD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c r="BL11" s="65"/>
      <c r="BM11" s="65"/>
      <c r="BN11" s="65"/>
      <c r="BO11" s="65"/>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5"/>
      <c r="DI11" s="65"/>
      <c r="DJ11" s="65"/>
      <c r="DK11" s="65"/>
      <c r="DL11" s="65"/>
      <c r="DM11" s="65"/>
      <c r="DN11" s="65"/>
      <c r="DO11" s="65"/>
      <c r="DP11" s="65"/>
      <c r="DQ11" s="65"/>
      <c r="DR11" s="65"/>
      <c r="DS11" s="65"/>
      <c r="DT11" s="65"/>
      <c r="DU11" s="65"/>
      <c r="DV11" s="65"/>
      <c r="DW11" s="65"/>
      <c r="DX11" s="65"/>
      <c r="DY11" s="65"/>
      <c r="DZ11" s="65"/>
      <c r="EA11" s="65"/>
      <c r="EB11" s="65"/>
      <c r="EC11" s="65"/>
      <c r="ED11" s="65"/>
      <c r="EE11" s="65"/>
      <c r="EF11" s="65"/>
      <c r="EG11" s="65"/>
      <c r="EH11" s="65"/>
      <c r="EI11" s="65"/>
      <c r="EJ11" s="65"/>
      <c r="EK11" s="65"/>
      <c r="EL11" s="65"/>
      <c r="EM11" s="65"/>
      <c r="EN11" s="65"/>
      <c r="EO11" s="65"/>
      <c r="EP11" s="65"/>
      <c r="EQ11" s="65"/>
      <c r="ER11" s="65"/>
      <c r="ES11" s="65"/>
      <c r="ET11" s="65"/>
      <c r="EU11" s="65"/>
      <c r="EV11" s="65"/>
      <c r="EW11" s="65"/>
      <c r="EX11" s="65"/>
      <c r="EY11" s="65"/>
      <c r="EZ11" s="65"/>
      <c r="FA11" s="65"/>
      <c r="FB11" s="65"/>
      <c r="FC11" s="65"/>
      <c r="FD11" s="65"/>
      <c r="FE11" s="65"/>
      <c r="FF11" s="65"/>
      <c r="FG11" s="65"/>
      <c r="FH11" s="65"/>
      <c r="FI11" s="65"/>
      <c r="FJ11" s="65"/>
      <c r="FK11" s="65"/>
      <c r="FL11" s="65"/>
    </row>
    <row r="12" spans="2:168">
      <c r="B12" s="21"/>
      <c r="C12" s="30"/>
      <c r="D12" s="30"/>
      <c r="E12" s="30"/>
      <c r="F12" s="30"/>
      <c r="G12" s="30"/>
      <c r="H12" s="30"/>
      <c r="I12" s="30"/>
      <c r="J12" s="30"/>
      <c r="K12" s="30"/>
      <c r="L12" s="21"/>
      <c r="N12" s="3" t="s">
        <v>50</v>
      </c>
      <c r="O12" s="39">
        <v>3</v>
      </c>
      <c r="P12" s="40">
        <f t="shared" si="0"/>
        <v>0.0272727272727273</v>
      </c>
      <c r="R12" s="47">
        <v>2021</v>
      </c>
      <c r="S12" s="58">
        <v>31</v>
      </c>
      <c r="U12" s="54" t="s">
        <v>51</v>
      </c>
      <c r="V12" s="54" t="s">
        <v>46</v>
      </c>
      <c r="W12" s="54" t="s">
        <v>52</v>
      </c>
      <c r="X12" s="55" t="s">
        <v>15</v>
      </c>
      <c r="Z12" s="76" t="s">
        <v>53</v>
      </c>
      <c r="AA12" s="77">
        <v>2</v>
      </c>
      <c r="AB12" s="78">
        <f ca="1" t="shared" si="1"/>
        <v>0.0444444444444444</v>
      </c>
      <c r="AC12" s="64"/>
      <c r="AD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c r="BG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c r="CT12" s="65"/>
      <c r="CU12" s="65"/>
      <c r="CV12" s="65"/>
      <c r="CW12" s="65"/>
      <c r="CX12" s="65"/>
      <c r="CY12" s="65"/>
      <c r="CZ12" s="65"/>
      <c r="DA12" s="65"/>
      <c r="DB12" s="65"/>
      <c r="DC12" s="65"/>
      <c r="DD12" s="65"/>
      <c r="DE12" s="65"/>
      <c r="DF12" s="65"/>
      <c r="DG12" s="65"/>
      <c r="DH12" s="65"/>
      <c r="DI12" s="65"/>
      <c r="DJ12" s="65"/>
      <c r="DK12" s="65"/>
      <c r="DL12" s="65"/>
      <c r="DM12" s="65"/>
      <c r="DN12" s="65"/>
      <c r="DO12" s="65"/>
      <c r="DP12" s="65"/>
      <c r="DQ12" s="65"/>
      <c r="DR12" s="65"/>
      <c r="DS12" s="65"/>
      <c r="DT12" s="65"/>
      <c r="DU12" s="65"/>
      <c r="DV12" s="65"/>
      <c r="DW12" s="65"/>
      <c r="DX12" s="65"/>
      <c r="DY12" s="65"/>
      <c r="DZ12" s="65"/>
      <c r="EA12" s="65"/>
      <c r="EB12" s="65"/>
      <c r="EC12" s="65"/>
      <c r="ED12" s="65"/>
      <c r="EE12" s="65"/>
      <c r="EF12" s="65"/>
      <c r="EG12" s="65"/>
      <c r="EH12" s="65"/>
      <c r="EI12" s="65"/>
      <c r="EJ12" s="65"/>
      <c r="EK12" s="65"/>
      <c r="EL12" s="65"/>
      <c r="EM12" s="65"/>
      <c r="EN12" s="65"/>
      <c r="EO12" s="65"/>
      <c r="EP12" s="65"/>
      <c r="EQ12" s="65"/>
      <c r="ER12" s="65"/>
      <c r="ES12" s="65"/>
      <c r="ET12" s="65"/>
      <c r="EU12" s="65"/>
      <c r="EV12" s="65"/>
      <c r="EW12" s="65"/>
      <c r="EX12" s="65"/>
      <c r="EY12" s="65"/>
      <c r="EZ12" s="65"/>
      <c r="FA12" s="65"/>
      <c r="FB12" s="65"/>
      <c r="FC12" s="65"/>
      <c r="FD12" s="65"/>
      <c r="FE12" s="65"/>
      <c r="FF12" s="65"/>
      <c r="FG12" s="65"/>
      <c r="FH12" s="65"/>
      <c r="FI12" s="65"/>
      <c r="FJ12" s="65"/>
      <c r="FK12" s="65"/>
      <c r="FL12" s="65"/>
    </row>
    <row r="13" spans="2:168">
      <c r="B13" s="21"/>
      <c r="C13" s="28"/>
      <c r="D13" s="28"/>
      <c r="E13" s="28"/>
      <c r="F13" s="28"/>
      <c r="G13" s="28"/>
      <c r="H13" s="28"/>
      <c r="I13" s="28"/>
      <c r="J13" s="28"/>
      <c r="K13" s="28"/>
      <c r="L13" s="21"/>
      <c r="N13" s="3" t="s">
        <v>54</v>
      </c>
      <c r="O13" s="39">
        <v>3</v>
      </c>
      <c r="P13" s="40">
        <f t="shared" si="0"/>
        <v>0.0272727272727273</v>
      </c>
      <c r="R13" s="47">
        <v>2022</v>
      </c>
      <c r="S13" s="58">
        <v>14</v>
      </c>
      <c r="U13" s="54" t="s">
        <v>55</v>
      </c>
      <c r="V13" s="54" t="s">
        <v>46</v>
      </c>
      <c r="W13" s="54" t="s">
        <v>47</v>
      </c>
      <c r="X13" s="55" t="s">
        <v>15</v>
      </c>
      <c r="Z13" s="76" t="s">
        <v>56</v>
      </c>
      <c r="AA13" s="77">
        <v>1</v>
      </c>
      <c r="AB13" s="78">
        <f ca="1" t="shared" si="1"/>
        <v>0.0222222222222222</v>
      </c>
      <c r="AC13" s="64"/>
      <c r="AD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c r="CT13" s="65"/>
      <c r="CU13" s="65"/>
      <c r="CV13" s="65"/>
      <c r="CW13" s="65"/>
      <c r="CX13" s="65"/>
      <c r="CY13" s="65"/>
      <c r="CZ13" s="65"/>
      <c r="DA13" s="65"/>
      <c r="DB13" s="65"/>
      <c r="DC13" s="65"/>
      <c r="DD13" s="65"/>
      <c r="DE13" s="65"/>
      <c r="DF13" s="65"/>
      <c r="DG13" s="65"/>
      <c r="DH13" s="65"/>
      <c r="DI13" s="65"/>
      <c r="DJ13" s="65"/>
      <c r="DK13" s="65"/>
      <c r="DL13" s="65"/>
      <c r="DM13" s="65"/>
      <c r="DN13" s="65"/>
      <c r="DO13" s="65"/>
      <c r="DP13" s="65"/>
      <c r="DQ13" s="65"/>
      <c r="DR13" s="65"/>
      <c r="DS13" s="65"/>
      <c r="DT13" s="65"/>
      <c r="DU13" s="65"/>
      <c r="DV13" s="65"/>
      <c r="DW13" s="65"/>
      <c r="DX13" s="65"/>
      <c r="DY13" s="65"/>
      <c r="DZ13" s="65"/>
      <c r="EA13" s="65"/>
      <c r="EB13" s="65"/>
      <c r="EC13" s="65"/>
      <c r="ED13" s="65"/>
      <c r="EE13" s="65"/>
      <c r="EF13" s="65"/>
      <c r="EG13" s="65"/>
      <c r="EH13" s="65"/>
      <c r="EI13" s="65"/>
      <c r="EJ13" s="65"/>
      <c r="EK13" s="65"/>
      <c r="EL13" s="65"/>
      <c r="EM13" s="65"/>
      <c r="EN13" s="65"/>
      <c r="EO13" s="65"/>
      <c r="EP13" s="65"/>
      <c r="EQ13" s="65"/>
      <c r="ER13" s="65"/>
      <c r="ES13" s="65"/>
      <c r="ET13" s="65"/>
      <c r="EU13" s="65"/>
      <c r="EV13" s="65"/>
      <c r="EW13" s="65"/>
      <c r="EX13" s="65"/>
      <c r="EY13" s="65"/>
      <c r="EZ13" s="65"/>
      <c r="FA13" s="65"/>
      <c r="FB13" s="65"/>
      <c r="FC13" s="65"/>
      <c r="FD13" s="65"/>
      <c r="FE13" s="65"/>
      <c r="FF13" s="65"/>
      <c r="FG13" s="65"/>
      <c r="FH13" s="65"/>
      <c r="FI13" s="65"/>
      <c r="FJ13" s="65"/>
      <c r="FK13" s="65"/>
      <c r="FL13" s="65"/>
    </row>
    <row r="14" spans="2:168">
      <c r="B14" s="21"/>
      <c r="C14" s="28"/>
      <c r="D14" s="28"/>
      <c r="E14" s="28"/>
      <c r="F14" s="28"/>
      <c r="G14" s="28"/>
      <c r="H14" s="28"/>
      <c r="I14" s="28"/>
      <c r="J14" s="28"/>
      <c r="K14" s="28"/>
      <c r="L14" s="21"/>
      <c r="N14" s="3" t="s">
        <v>57</v>
      </c>
      <c r="O14" s="39">
        <v>3</v>
      </c>
      <c r="P14" s="40">
        <f t="shared" si="0"/>
        <v>0.0272727272727273</v>
      </c>
      <c r="R14" s="47">
        <v>2023</v>
      </c>
      <c r="S14" s="58">
        <v>4</v>
      </c>
      <c r="U14" s="54" t="s">
        <v>58</v>
      </c>
      <c r="V14" s="54" t="s">
        <v>46</v>
      </c>
      <c r="W14" s="54" t="s">
        <v>59</v>
      </c>
      <c r="X14" s="55" t="s">
        <v>60</v>
      </c>
      <c r="Z14" s="79" t="s">
        <v>61</v>
      </c>
      <c r="AA14" s="80">
        <v>45</v>
      </c>
      <c r="AB14" s="81"/>
      <c r="AC14" s="82"/>
      <c r="AD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c r="CT14" s="65"/>
      <c r="CU14" s="65"/>
      <c r="CV14" s="65"/>
      <c r="CW14" s="65"/>
      <c r="CX14" s="65"/>
      <c r="CY14" s="65"/>
      <c r="CZ14" s="65"/>
      <c r="DA14" s="65"/>
      <c r="DB14" s="65"/>
      <c r="DC14" s="65"/>
      <c r="DD14" s="65"/>
      <c r="DE14" s="65"/>
      <c r="DF14" s="65"/>
      <c r="DG14" s="65"/>
      <c r="DH14" s="65"/>
      <c r="DI14" s="65"/>
      <c r="DJ14" s="65"/>
      <c r="DK14" s="65"/>
      <c r="DL14" s="65"/>
      <c r="DM14" s="65"/>
      <c r="DN14" s="65"/>
      <c r="DO14" s="65"/>
      <c r="DP14" s="65"/>
      <c r="DQ14" s="65"/>
      <c r="DR14" s="65"/>
      <c r="DS14" s="65"/>
      <c r="DT14" s="65"/>
      <c r="DU14" s="65"/>
      <c r="DV14" s="65"/>
      <c r="DW14" s="65"/>
      <c r="DX14" s="65"/>
      <c r="DY14" s="65"/>
      <c r="DZ14" s="65"/>
      <c r="EA14" s="65"/>
      <c r="EB14" s="65"/>
      <c r="EC14" s="65"/>
      <c r="ED14" s="65"/>
      <c r="EE14" s="65"/>
      <c r="EF14" s="65"/>
      <c r="EG14" s="65"/>
      <c r="EH14" s="65"/>
      <c r="EI14" s="65"/>
      <c r="EJ14" s="65"/>
      <c r="EK14" s="65"/>
      <c r="EL14" s="65"/>
      <c r="EM14" s="65"/>
      <c r="EN14" s="65"/>
      <c r="EO14" s="65"/>
      <c r="EP14" s="65"/>
      <c r="EQ14" s="65"/>
      <c r="ER14" s="65"/>
      <c r="ES14" s="65"/>
      <c r="ET14" s="65"/>
      <c r="EU14" s="65"/>
      <c r="EV14" s="65"/>
      <c r="EW14" s="65"/>
      <c r="EX14" s="65"/>
      <c r="EY14" s="65"/>
      <c r="EZ14" s="65"/>
      <c r="FA14" s="65"/>
      <c r="FB14" s="65"/>
      <c r="FC14" s="65"/>
      <c r="FD14" s="65"/>
      <c r="FE14" s="65"/>
      <c r="FF14" s="65"/>
      <c r="FG14" s="65"/>
      <c r="FH14" s="65"/>
      <c r="FI14" s="65"/>
      <c r="FJ14" s="65"/>
      <c r="FK14" s="65"/>
      <c r="FL14" s="65"/>
    </row>
    <row r="15" spans="2:168">
      <c r="B15" s="21"/>
      <c r="C15" s="28"/>
      <c r="D15" s="28"/>
      <c r="E15" s="28"/>
      <c r="F15" s="28"/>
      <c r="G15" s="28"/>
      <c r="H15" s="28"/>
      <c r="I15" s="28"/>
      <c r="J15" s="28"/>
      <c r="K15" s="28"/>
      <c r="L15" s="21"/>
      <c r="N15" s="3" t="s">
        <v>62</v>
      </c>
      <c r="O15" s="39">
        <v>2</v>
      </c>
      <c r="P15" s="40">
        <f t="shared" si="0"/>
        <v>0.0181818181818182</v>
      </c>
      <c r="U15" s="53" t="s">
        <v>63</v>
      </c>
      <c r="V15" s="54" t="s">
        <v>46</v>
      </c>
      <c r="W15" s="54" t="s">
        <v>47</v>
      </c>
      <c r="X15" s="55" t="s">
        <v>15</v>
      </c>
      <c r="Z15" s="65"/>
      <c r="AA15" s="65"/>
      <c r="AB15" s="78"/>
      <c r="AC15" s="64"/>
      <c r="AD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c r="CT15" s="65"/>
      <c r="CU15" s="65"/>
      <c r="CV15" s="65"/>
      <c r="CW15" s="65"/>
      <c r="CX15" s="65"/>
      <c r="CY15" s="65"/>
      <c r="CZ15" s="65"/>
      <c r="DA15" s="65"/>
      <c r="DB15" s="65"/>
      <c r="DC15" s="65"/>
      <c r="DD15" s="65"/>
      <c r="DE15" s="65"/>
      <c r="DF15" s="65"/>
      <c r="DG15" s="65"/>
      <c r="DH15" s="65"/>
      <c r="DI15" s="65"/>
      <c r="DJ15" s="65"/>
      <c r="DK15" s="65"/>
      <c r="DL15" s="65"/>
      <c r="DM15" s="65"/>
      <c r="DN15" s="65"/>
      <c r="DO15" s="65"/>
      <c r="DP15" s="65"/>
      <c r="DQ15" s="65"/>
      <c r="DR15" s="65"/>
      <c r="DS15" s="65"/>
      <c r="DT15" s="65"/>
      <c r="DU15" s="65"/>
      <c r="DV15" s="65"/>
      <c r="DW15" s="65"/>
      <c r="DX15" s="65"/>
      <c r="DY15" s="65"/>
      <c r="DZ15" s="65"/>
      <c r="EA15" s="65"/>
      <c r="EB15" s="65"/>
      <c r="EC15" s="65"/>
      <c r="ED15" s="65"/>
      <c r="EE15" s="65"/>
      <c r="EF15" s="65"/>
      <c r="EG15" s="65"/>
      <c r="EH15" s="65"/>
      <c r="EI15" s="65"/>
      <c r="EJ15" s="65"/>
      <c r="EK15" s="65"/>
      <c r="EL15" s="65"/>
      <c r="EM15" s="65"/>
      <c r="EN15" s="65"/>
      <c r="EO15" s="65"/>
      <c r="EP15" s="65"/>
      <c r="EQ15" s="65"/>
      <c r="ER15" s="65"/>
      <c r="ES15" s="65"/>
      <c r="ET15" s="65"/>
      <c r="EU15" s="65"/>
      <c r="EV15" s="65"/>
      <c r="EW15" s="65"/>
      <c r="EX15" s="65"/>
      <c r="EY15" s="65"/>
      <c r="EZ15" s="65"/>
      <c r="FA15" s="65"/>
      <c r="FB15" s="65"/>
      <c r="FC15" s="65"/>
      <c r="FD15" s="65"/>
      <c r="FE15" s="65"/>
      <c r="FF15" s="65"/>
      <c r="FG15" s="65"/>
      <c r="FH15" s="65"/>
      <c r="FI15" s="65"/>
      <c r="FJ15" s="65"/>
      <c r="FK15" s="65"/>
      <c r="FL15" s="65"/>
    </row>
    <row r="16" spans="2:168">
      <c r="B16" s="21"/>
      <c r="C16" s="29"/>
      <c r="D16" s="29"/>
      <c r="E16" s="29"/>
      <c r="F16" s="29"/>
      <c r="G16" s="29"/>
      <c r="H16" s="29"/>
      <c r="I16" s="29"/>
      <c r="J16" s="29"/>
      <c r="K16" s="29"/>
      <c r="L16" s="21"/>
      <c r="N16" s="3" t="s">
        <v>64</v>
      </c>
      <c r="O16" s="39">
        <v>1</v>
      </c>
      <c r="P16" s="40">
        <f t="shared" si="0"/>
        <v>0.00909090909090909</v>
      </c>
      <c r="U16" s="54" t="s">
        <v>65</v>
      </c>
      <c r="V16" s="54" t="s">
        <v>46</v>
      </c>
      <c r="W16" s="54" t="s">
        <v>52</v>
      </c>
      <c r="X16" s="55" t="s">
        <v>66</v>
      </c>
      <c r="Z16" s="65"/>
      <c r="AA16" s="65"/>
      <c r="AB16" s="78"/>
      <c r="AC16" s="64"/>
      <c r="AD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c r="CT16" s="65"/>
      <c r="CU16" s="65"/>
      <c r="CV16" s="65"/>
      <c r="CW16" s="65"/>
      <c r="CX16" s="65"/>
      <c r="CY16" s="65"/>
      <c r="CZ16" s="65"/>
      <c r="DA16" s="65"/>
      <c r="DB16" s="65"/>
      <c r="DC16" s="65"/>
      <c r="DD16" s="65"/>
      <c r="DE16" s="65"/>
      <c r="DF16" s="65"/>
      <c r="DG16" s="65"/>
      <c r="DH16" s="65"/>
      <c r="DI16" s="65"/>
      <c r="DJ16" s="65"/>
      <c r="DK16" s="65"/>
      <c r="DL16" s="65"/>
      <c r="DM16" s="65"/>
      <c r="DN16" s="65"/>
      <c r="DO16" s="65"/>
      <c r="DP16" s="65"/>
      <c r="DQ16" s="65"/>
      <c r="DR16" s="65"/>
      <c r="DS16" s="65"/>
      <c r="DT16" s="65"/>
      <c r="DU16" s="65"/>
      <c r="DV16" s="65"/>
      <c r="DW16" s="65"/>
      <c r="DX16" s="65"/>
      <c r="DY16" s="65"/>
      <c r="DZ16" s="65"/>
      <c r="EA16" s="65"/>
      <c r="EB16" s="65"/>
      <c r="EC16" s="65"/>
      <c r="ED16" s="65"/>
      <c r="EE16" s="65"/>
      <c r="EF16" s="65"/>
      <c r="EG16" s="65"/>
      <c r="EH16" s="65"/>
      <c r="EI16" s="65"/>
      <c r="EJ16" s="65"/>
      <c r="EK16" s="65"/>
      <c r="EL16" s="65"/>
      <c r="EM16" s="65"/>
      <c r="EN16" s="65"/>
      <c r="EO16" s="65"/>
      <c r="EP16" s="65"/>
      <c r="EQ16" s="65"/>
      <c r="ER16" s="65"/>
      <c r="ES16" s="65"/>
      <c r="ET16" s="65"/>
      <c r="EU16" s="65"/>
      <c r="EV16" s="65"/>
      <c r="EW16" s="65"/>
      <c r="EX16" s="65"/>
      <c r="EY16" s="65"/>
      <c r="EZ16" s="65"/>
      <c r="FA16" s="65"/>
      <c r="FB16" s="65"/>
      <c r="FC16" s="65"/>
      <c r="FD16" s="65"/>
      <c r="FE16" s="65"/>
      <c r="FF16" s="65"/>
      <c r="FG16" s="65"/>
      <c r="FH16" s="65"/>
      <c r="FI16" s="65"/>
      <c r="FJ16" s="65"/>
      <c r="FK16" s="65"/>
      <c r="FL16" s="65"/>
    </row>
    <row r="17" spans="2:168">
      <c r="B17" s="21"/>
      <c r="C17" s="30"/>
      <c r="D17" s="30"/>
      <c r="E17" s="30"/>
      <c r="F17" s="30"/>
      <c r="G17" s="30"/>
      <c r="H17" s="30"/>
      <c r="I17" s="30"/>
      <c r="J17" s="30"/>
      <c r="K17" s="30"/>
      <c r="L17" s="21"/>
      <c r="P17" s="40"/>
      <c r="U17" s="53" t="s">
        <v>67</v>
      </c>
      <c r="V17" s="54" t="s">
        <v>46</v>
      </c>
      <c r="W17" s="54" t="s">
        <v>47</v>
      </c>
      <c r="X17" s="55" t="s">
        <v>68</v>
      </c>
      <c r="Z17" s="65"/>
      <c r="AA17" s="65"/>
      <c r="AB17" s="81"/>
      <c r="AC17" s="82"/>
      <c r="AD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c r="CT17" s="65"/>
      <c r="CU17" s="65"/>
      <c r="CV17" s="65"/>
      <c r="CW17" s="65"/>
      <c r="CX17" s="65"/>
      <c r="CY17" s="65"/>
      <c r="CZ17" s="65"/>
      <c r="DA17" s="65"/>
      <c r="DB17" s="65"/>
      <c r="DC17" s="65"/>
      <c r="DD17" s="65"/>
      <c r="DE17" s="65"/>
      <c r="DF17" s="65"/>
      <c r="DG17" s="65"/>
      <c r="DH17" s="65"/>
      <c r="DI17" s="65"/>
      <c r="DJ17" s="65"/>
      <c r="DK17" s="65"/>
      <c r="DL17" s="65"/>
      <c r="DM17" s="65"/>
      <c r="DN17" s="65"/>
      <c r="DO17" s="65"/>
      <c r="DP17" s="65"/>
      <c r="DQ17" s="65"/>
      <c r="DR17" s="65"/>
      <c r="DS17" s="65"/>
      <c r="DT17" s="65"/>
      <c r="DU17" s="65"/>
      <c r="DV17" s="65"/>
      <c r="DW17" s="65"/>
      <c r="DX17" s="65"/>
      <c r="DY17" s="65"/>
      <c r="DZ17" s="65"/>
      <c r="EA17" s="65"/>
      <c r="EB17" s="65"/>
      <c r="EC17" s="65"/>
      <c r="ED17" s="65"/>
      <c r="EE17" s="65"/>
      <c r="EF17" s="65"/>
      <c r="EG17" s="65"/>
      <c r="EH17" s="65"/>
      <c r="EI17" s="65"/>
      <c r="EJ17" s="65"/>
      <c r="EK17" s="65"/>
      <c r="EL17" s="65"/>
      <c r="EM17" s="65"/>
      <c r="EN17" s="65"/>
      <c r="EO17" s="65"/>
      <c r="EP17" s="65"/>
      <c r="EQ17" s="65"/>
      <c r="ER17" s="65"/>
      <c r="ES17" s="65"/>
      <c r="ET17" s="65"/>
      <c r="EU17" s="65"/>
      <c r="EV17" s="65"/>
      <c r="EW17" s="65"/>
      <c r="EX17" s="65"/>
      <c r="EY17" s="65"/>
      <c r="EZ17" s="65"/>
      <c r="FA17" s="65"/>
      <c r="FB17" s="65"/>
      <c r="FC17" s="65"/>
      <c r="FD17" s="65"/>
      <c r="FE17" s="65"/>
      <c r="FF17" s="65"/>
      <c r="FG17" s="65"/>
      <c r="FH17" s="65"/>
      <c r="FI17" s="65"/>
      <c r="FJ17" s="65"/>
      <c r="FK17" s="65"/>
      <c r="FL17" s="65"/>
    </row>
    <row r="18" spans="2:168">
      <c r="B18" s="21"/>
      <c r="C18" s="28"/>
      <c r="D18" s="28"/>
      <c r="E18" s="28"/>
      <c r="F18" s="28"/>
      <c r="G18" s="28"/>
      <c r="H18" s="28"/>
      <c r="I18" s="28"/>
      <c r="J18" s="28"/>
      <c r="K18" s="28"/>
      <c r="L18" s="21"/>
      <c r="P18" s="40"/>
      <c r="U18" s="54" t="s">
        <v>69</v>
      </c>
      <c r="V18" s="54" t="s">
        <v>46</v>
      </c>
      <c r="W18" s="54" t="s">
        <v>47</v>
      </c>
      <c r="X18" s="55" t="s">
        <v>70</v>
      </c>
      <c r="Z18" s="65"/>
      <c r="AA18" s="65"/>
      <c r="AB18" s="81"/>
      <c r="AC18" s="82"/>
      <c r="AD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c r="CT18" s="65"/>
      <c r="CU18" s="65"/>
      <c r="CV18" s="65"/>
      <c r="CW18" s="65"/>
      <c r="CX18" s="65"/>
      <c r="CY18" s="65"/>
      <c r="CZ18" s="65"/>
      <c r="DA18" s="65"/>
      <c r="DB18" s="65"/>
      <c r="DC18" s="65"/>
      <c r="DD18" s="65"/>
      <c r="DE18" s="65"/>
      <c r="DF18" s="65"/>
      <c r="DG18" s="65"/>
      <c r="DH18" s="65"/>
      <c r="DI18" s="65"/>
      <c r="DJ18" s="65"/>
      <c r="DK18" s="65"/>
      <c r="DL18" s="65"/>
      <c r="DM18" s="65"/>
      <c r="DN18" s="65"/>
      <c r="DO18" s="65"/>
      <c r="DP18" s="65"/>
      <c r="DQ18" s="65"/>
      <c r="DR18" s="65"/>
      <c r="DS18" s="65"/>
      <c r="DT18" s="65"/>
      <c r="DU18" s="65"/>
      <c r="DV18" s="65"/>
      <c r="DW18" s="65"/>
      <c r="DX18" s="65"/>
      <c r="DY18" s="65"/>
      <c r="DZ18" s="65"/>
      <c r="EA18" s="65"/>
      <c r="EB18" s="65"/>
      <c r="EC18" s="65"/>
      <c r="ED18" s="65"/>
      <c r="EE18" s="65"/>
      <c r="EF18" s="65"/>
      <c r="EG18" s="65"/>
      <c r="EH18" s="65"/>
      <c r="EI18" s="65"/>
      <c r="EJ18" s="65"/>
      <c r="EK18" s="65"/>
      <c r="EL18" s="65"/>
      <c r="EM18" s="65"/>
      <c r="EN18" s="65"/>
      <c r="EO18" s="65"/>
      <c r="EP18" s="65"/>
      <c r="EQ18" s="65"/>
      <c r="ER18" s="65"/>
      <c r="ES18" s="65"/>
      <c r="ET18" s="65"/>
      <c r="EU18" s="65"/>
      <c r="EV18" s="65"/>
      <c r="EW18" s="65"/>
      <c r="EX18" s="65"/>
      <c r="EY18" s="65"/>
      <c r="EZ18" s="65"/>
      <c r="FA18" s="65"/>
      <c r="FB18" s="65"/>
      <c r="FC18" s="65"/>
      <c r="FD18" s="65"/>
      <c r="FE18" s="65"/>
      <c r="FF18" s="65"/>
      <c r="FG18" s="65"/>
      <c r="FH18" s="65"/>
      <c r="FI18" s="65"/>
      <c r="FJ18" s="65"/>
      <c r="FK18" s="65"/>
      <c r="FL18" s="65"/>
    </row>
    <row r="19" spans="2:168">
      <c r="B19" s="21"/>
      <c r="C19" s="28"/>
      <c r="D19" s="28"/>
      <c r="E19" s="28"/>
      <c r="F19" s="28"/>
      <c r="G19" s="28"/>
      <c r="H19" s="28"/>
      <c r="I19" s="28"/>
      <c r="J19" s="28"/>
      <c r="K19" s="28"/>
      <c r="L19" s="21"/>
      <c r="N19" s="41"/>
      <c r="O19" s="41"/>
      <c r="P19" s="42"/>
      <c r="Q19" s="41"/>
      <c r="R19" s="41"/>
      <c r="U19" s="53" t="s">
        <v>71</v>
      </c>
      <c r="V19" s="54" t="s">
        <v>72</v>
      </c>
      <c r="W19" s="54" t="s">
        <v>73</v>
      </c>
      <c r="X19" s="55" t="s">
        <v>15</v>
      </c>
      <c r="Z19" s="65"/>
      <c r="AA19" s="65"/>
      <c r="AB19" s="78"/>
      <c r="AC19" s="64"/>
      <c r="AD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c r="CT19" s="65"/>
      <c r="CU19" s="65"/>
      <c r="CV19" s="65"/>
      <c r="CW19" s="65"/>
      <c r="CX19" s="65"/>
      <c r="CY19" s="65"/>
      <c r="CZ19" s="65"/>
      <c r="DA19" s="65"/>
      <c r="DB19" s="65"/>
      <c r="DC19" s="65"/>
      <c r="DD19" s="65"/>
      <c r="DE19" s="65"/>
      <c r="DF19" s="65"/>
      <c r="DG19" s="65"/>
      <c r="DH19" s="65"/>
      <c r="DI19" s="65"/>
      <c r="DJ19" s="65"/>
      <c r="DK19" s="65"/>
      <c r="DL19" s="65"/>
      <c r="DM19" s="65"/>
      <c r="DN19" s="65"/>
      <c r="DO19" s="65"/>
      <c r="DP19" s="65"/>
      <c r="DQ19" s="65"/>
      <c r="DR19" s="65"/>
      <c r="DS19" s="65"/>
      <c r="DT19" s="65"/>
      <c r="DU19" s="65"/>
      <c r="DV19" s="65"/>
      <c r="DW19" s="65"/>
      <c r="DX19" s="65"/>
      <c r="DY19" s="65"/>
      <c r="DZ19" s="65"/>
      <c r="EA19" s="65"/>
      <c r="EB19" s="65"/>
      <c r="EC19" s="65"/>
      <c r="ED19" s="65"/>
      <c r="EE19" s="65"/>
      <c r="EF19" s="65"/>
      <c r="EG19" s="65"/>
      <c r="EH19" s="65"/>
      <c r="EI19" s="65"/>
      <c r="EJ19" s="65"/>
      <c r="EK19" s="65"/>
      <c r="EL19" s="65"/>
      <c r="EM19" s="65"/>
      <c r="EN19" s="65"/>
      <c r="EO19" s="65"/>
      <c r="EP19" s="65"/>
      <c r="EQ19" s="65"/>
      <c r="ER19" s="65"/>
      <c r="ES19" s="65"/>
      <c r="ET19" s="65"/>
      <c r="EU19" s="65"/>
      <c r="EV19" s="65"/>
      <c r="EW19" s="65"/>
      <c r="EX19" s="65"/>
      <c r="EY19" s="65"/>
      <c r="EZ19" s="65"/>
      <c r="FA19" s="65"/>
      <c r="FB19" s="65"/>
      <c r="FC19" s="65"/>
      <c r="FD19" s="65"/>
      <c r="FE19" s="65"/>
      <c r="FF19" s="65"/>
      <c r="FG19" s="65"/>
      <c r="FH19" s="65"/>
      <c r="FI19" s="65"/>
      <c r="FJ19" s="65"/>
      <c r="FK19" s="65"/>
      <c r="FL19" s="65"/>
    </row>
    <row r="20" spans="2:168">
      <c r="B20" s="21"/>
      <c r="C20" s="29"/>
      <c r="D20" s="29"/>
      <c r="E20" s="29"/>
      <c r="F20" s="29"/>
      <c r="G20" s="29"/>
      <c r="H20" s="29"/>
      <c r="I20" s="29"/>
      <c r="J20" s="29"/>
      <c r="K20" s="29"/>
      <c r="L20" s="21"/>
      <c r="N20" s="41"/>
      <c r="O20" s="41"/>
      <c r="P20" s="42"/>
      <c r="Q20" s="41"/>
      <c r="R20" s="41"/>
      <c r="U20" s="54" t="s">
        <v>74</v>
      </c>
      <c r="V20" s="54" t="s">
        <v>72</v>
      </c>
      <c r="W20" s="54" t="s">
        <v>75</v>
      </c>
      <c r="X20" s="55" t="s">
        <v>76</v>
      </c>
      <c r="Z20" s="65"/>
      <c r="AA20" s="65"/>
      <c r="AB20" s="78"/>
      <c r="AC20" s="64"/>
      <c r="AD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c r="CT20" s="65"/>
      <c r="CU20" s="65"/>
      <c r="CV20" s="65"/>
      <c r="CW20" s="65"/>
      <c r="CX20" s="65"/>
      <c r="CY20" s="65"/>
      <c r="CZ20" s="65"/>
      <c r="DA20" s="65"/>
      <c r="DB20" s="65"/>
      <c r="DC20" s="65"/>
      <c r="DD20" s="65"/>
      <c r="DE20" s="65"/>
      <c r="DF20" s="65"/>
      <c r="DG20" s="65"/>
      <c r="DH20" s="65"/>
      <c r="DI20" s="65"/>
      <c r="DJ20" s="65"/>
      <c r="DK20" s="65"/>
      <c r="DL20" s="65"/>
      <c r="DM20" s="65"/>
      <c r="DN20" s="65"/>
      <c r="DO20" s="65"/>
      <c r="DP20" s="65"/>
      <c r="DQ20" s="65"/>
      <c r="DR20" s="65"/>
      <c r="DS20" s="65"/>
      <c r="DT20" s="65"/>
      <c r="DU20" s="65"/>
      <c r="DV20" s="65"/>
      <c r="DW20" s="65"/>
      <c r="DX20" s="65"/>
      <c r="DY20" s="65"/>
      <c r="DZ20" s="65"/>
      <c r="EA20" s="65"/>
      <c r="EB20" s="65"/>
      <c r="EC20" s="65"/>
      <c r="ED20" s="65"/>
      <c r="EE20" s="65"/>
      <c r="EF20" s="65"/>
      <c r="EG20" s="65"/>
      <c r="EH20" s="65"/>
      <c r="EI20" s="65"/>
      <c r="EJ20" s="65"/>
      <c r="EK20" s="65"/>
      <c r="EL20" s="65"/>
      <c r="EM20" s="65"/>
      <c r="EN20" s="65"/>
      <c r="EO20" s="65"/>
      <c r="EP20" s="65"/>
      <c r="EQ20" s="65"/>
      <c r="ER20" s="65"/>
      <c r="ES20" s="65"/>
      <c r="ET20" s="65"/>
      <c r="EU20" s="65"/>
      <c r="EV20" s="65"/>
      <c r="EW20" s="65"/>
      <c r="EX20" s="65"/>
      <c r="EY20" s="65"/>
      <c r="EZ20" s="65"/>
      <c r="FA20" s="65"/>
      <c r="FB20" s="65"/>
      <c r="FC20" s="65"/>
      <c r="FD20" s="65"/>
      <c r="FE20" s="65"/>
      <c r="FF20" s="65"/>
      <c r="FG20" s="65"/>
      <c r="FH20" s="65"/>
      <c r="FI20" s="65"/>
      <c r="FJ20" s="65"/>
      <c r="FK20" s="65"/>
      <c r="FL20" s="65"/>
    </row>
    <row r="21" spans="2:168">
      <c r="B21" s="21"/>
      <c r="C21" s="30"/>
      <c r="D21" s="30"/>
      <c r="E21" s="30"/>
      <c r="F21" s="30"/>
      <c r="G21" s="30"/>
      <c r="H21" s="30"/>
      <c r="I21" s="30"/>
      <c r="J21" s="30"/>
      <c r="K21" s="30"/>
      <c r="L21" s="21"/>
      <c r="N21" s="41"/>
      <c r="O21" s="41"/>
      <c r="P21" s="42"/>
      <c r="Q21" s="41"/>
      <c r="R21" s="41"/>
      <c r="U21" s="53" t="s">
        <v>77</v>
      </c>
      <c r="V21" s="54" t="s">
        <v>78</v>
      </c>
      <c r="W21" s="54" t="s">
        <v>79</v>
      </c>
      <c r="X21" s="55" t="s">
        <v>80</v>
      </c>
      <c r="Y21" s="20">
        <v>1</v>
      </c>
      <c r="Z21" s="65"/>
      <c r="AA21" s="65"/>
      <c r="AB21" s="78"/>
      <c r="AC21" s="64"/>
      <c r="AD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c r="CT21" s="65"/>
      <c r="CU21" s="65"/>
      <c r="CV21" s="65"/>
      <c r="CW21" s="65"/>
      <c r="CX21" s="65"/>
      <c r="CY21" s="65"/>
      <c r="CZ21" s="65"/>
      <c r="DA21" s="65"/>
      <c r="DB21" s="65"/>
      <c r="DC21" s="65"/>
      <c r="DD21" s="65"/>
      <c r="DE21" s="65"/>
      <c r="DF21" s="65"/>
      <c r="DG21" s="65"/>
      <c r="DH21" s="65"/>
      <c r="DI21" s="65"/>
      <c r="DJ21" s="65"/>
      <c r="DK21" s="65"/>
      <c r="DL21" s="65"/>
      <c r="DM21" s="65"/>
      <c r="DN21" s="65"/>
      <c r="DO21" s="65"/>
      <c r="DP21" s="65"/>
      <c r="DQ21" s="65"/>
      <c r="DR21" s="65"/>
      <c r="DS21" s="65"/>
      <c r="DT21" s="65"/>
      <c r="DU21" s="65"/>
      <c r="DV21" s="65"/>
      <c r="DW21" s="65"/>
      <c r="DX21" s="65"/>
      <c r="DY21" s="65"/>
      <c r="DZ21" s="65"/>
      <c r="EA21" s="65"/>
      <c r="EB21" s="65"/>
      <c r="EC21" s="65"/>
      <c r="ED21" s="65"/>
      <c r="EE21" s="65"/>
      <c r="EF21" s="65"/>
      <c r="EG21" s="65"/>
      <c r="EH21" s="65"/>
      <c r="EI21" s="65"/>
      <c r="EJ21" s="65"/>
      <c r="EK21" s="65"/>
      <c r="EL21" s="65"/>
      <c r="EM21" s="65"/>
      <c r="EN21" s="65"/>
      <c r="EO21" s="65"/>
      <c r="EP21" s="65"/>
      <c r="EQ21" s="65"/>
      <c r="ER21" s="65"/>
      <c r="ES21" s="65"/>
      <c r="ET21" s="65"/>
      <c r="EU21" s="65"/>
      <c r="EV21" s="65"/>
      <c r="EW21" s="65"/>
      <c r="EX21" s="65"/>
      <c r="EY21" s="65"/>
      <c r="EZ21" s="65"/>
      <c r="FA21" s="65"/>
      <c r="FB21" s="65"/>
      <c r="FC21" s="65"/>
      <c r="FD21" s="65"/>
      <c r="FE21" s="65"/>
      <c r="FF21" s="65"/>
      <c r="FG21" s="65"/>
      <c r="FH21" s="65"/>
      <c r="FI21" s="65"/>
      <c r="FJ21" s="65"/>
      <c r="FK21" s="65"/>
      <c r="FL21" s="65"/>
    </row>
    <row r="22" spans="2:168">
      <c r="B22" s="21"/>
      <c r="C22" s="28"/>
      <c r="D22" s="28"/>
      <c r="E22" s="28"/>
      <c r="F22" s="28"/>
      <c r="G22" s="28"/>
      <c r="H22" s="28"/>
      <c r="I22" s="28"/>
      <c r="J22" s="28"/>
      <c r="K22" s="28"/>
      <c r="L22" s="21"/>
      <c r="N22" s="41"/>
      <c r="O22" s="41"/>
      <c r="P22" s="42"/>
      <c r="Q22" s="41"/>
      <c r="R22" s="41"/>
      <c r="U22" s="54" t="s">
        <v>81</v>
      </c>
      <c r="V22" s="54" t="s">
        <v>78</v>
      </c>
      <c r="W22" s="54" t="s">
        <v>82</v>
      </c>
      <c r="X22" s="55" t="s">
        <v>83</v>
      </c>
      <c r="Y22" s="20">
        <v>1</v>
      </c>
      <c r="Z22" s="65"/>
      <c r="AA22" s="65"/>
      <c r="AB22" s="78"/>
      <c r="AC22" s="64"/>
      <c r="AD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c r="CT22" s="65"/>
      <c r="CU22" s="65"/>
      <c r="CV22" s="65"/>
      <c r="CW22" s="65"/>
      <c r="CX22" s="65"/>
      <c r="CY22" s="65"/>
      <c r="CZ22" s="65"/>
      <c r="DA22" s="65"/>
      <c r="DB22" s="65"/>
      <c r="DC22" s="65"/>
      <c r="DD22" s="65"/>
      <c r="DE22" s="65"/>
      <c r="DF22" s="65"/>
      <c r="DG22" s="65"/>
      <c r="DH22" s="65"/>
      <c r="DI22" s="65"/>
      <c r="DJ22" s="65"/>
      <c r="DK22" s="65"/>
      <c r="DL22" s="65"/>
      <c r="DM22" s="65"/>
      <c r="DN22" s="65"/>
      <c r="DO22" s="65"/>
      <c r="DP22" s="65"/>
      <c r="DQ22" s="65"/>
      <c r="DR22" s="65"/>
      <c r="DS22" s="65"/>
      <c r="DT22" s="65"/>
      <c r="DU22" s="65"/>
      <c r="DV22" s="65"/>
      <c r="DW22" s="65"/>
      <c r="DX22" s="65"/>
      <c r="DY22" s="65"/>
      <c r="DZ22" s="65"/>
      <c r="EA22" s="65"/>
      <c r="EB22" s="65"/>
      <c r="EC22" s="65"/>
      <c r="ED22" s="65"/>
      <c r="EE22" s="65"/>
      <c r="EF22" s="65"/>
      <c r="EG22" s="65"/>
      <c r="EH22" s="65"/>
      <c r="EI22" s="65"/>
      <c r="EJ22" s="65"/>
      <c r="EK22" s="65"/>
      <c r="EL22" s="65"/>
      <c r="EM22" s="65"/>
      <c r="EN22" s="65"/>
      <c r="EO22" s="65"/>
      <c r="EP22" s="65"/>
      <c r="EQ22" s="65"/>
      <c r="ER22" s="65"/>
      <c r="ES22" s="65"/>
      <c r="ET22" s="65"/>
      <c r="EU22" s="65"/>
      <c r="EV22" s="65"/>
      <c r="EW22" s="65"/>
      <c r="EX22" s="65"/>
      <c r="EY22" s="65"/>
      <c r="EZ22" s="65"/>
      <c r="FA22" s="65"/>
      <c r="FB22" s="65"/>
      <c r="FC22" s="65"/>
      <c r="FD22" s="65"/>
      <c r="FE22" s="65"/>
      <c r="FF22" s="65"/>
      <c r="FG22" s="65"/>
      <c r="FH22" s="65"/>
      <c r="FI22" s="65"/>
      <c r="FJ22" s="65"/>
      <c r="FK22" s="65"/>
      <c r="FL22" s="65"/>
    </row>
    <row r="23" spans="2:168">
      <c r="B23" s="21"/>
      <c r="C23" s="28"/>
      <c r="D23" s="28"/>
      <c r="E23" s="28"/>
      <c r="F23" s="28"/>
      <c r="G23" s="28"/>
      <c r="H23" s="28"/>
      <c r="I23" s="28"/>
      <c r="J23" s="28"/>
      <c r="K23" s="28"/>
      <c r="L23" s="21"/>
      <c r="N23" s="41"/>
      <c r="O23" s="41"/>
      <c r="P23" s="42"/>
      <c r="Q23" s="41"/>
      <c r="R23" s="41"/>
      <c r="U23" s="54" t="s">
        <v>84</v>
      </c>
      <c r="V23" s="54" t="s">
        <v>85</v>
      </c>
      <c r="W23" s="54" t="s">
        <v>86</v>
      </c>
      <c r="X23" s="55" t="s">
        <v>87</v>
      </c>
      <c r="Y23" s="20">
        <v>1</v>
      </c>
      <c r="Z23" s="65"/>
      <c r="AA23" s="65"/>
      <c r="AB23" s="78"/>
      <c r="AC23" s="64"/>
      <c r="AD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c r="CT23" s="65"/>
      <c r="CU23" s="65"/>
      <c r="CV23" s="65"/>
      <c r="CW23" s="65"/>
      <c r="CX23" s="65"/>
      <c r="CY23" s="65"/>
      <c r="CZ23" s="65"/>
      <c r="DA23" s="65"/>
      <c r="DB23" s="65"/>
      <c r="DC23" s="65"/>
      <c r="DD23" s="65"/>
      <c r="DE23" s="65"/>
      <c r="DF23" s="65"/>
      <c r="DG23" s="65"/>
      <c r="DH23" s="65"/>
      <c r="DI23" s="65"/>
      <c r="DJ23" s="65"/>
      <c r="DK23" s="65"/>
      <c r="DL23" s="65"/>
      <c r="DM23" s="65"/>
      <c r="DN23" s="65"/>
      <c r="DO23" s="65"/>
      <c r="DP23" s="65"/>
      <c r="DQ23" s="65"/>
      <c r="DR23" s="65"/>
      <c r="DS23" s="65"/>
      <c r="DT23" s="65"/>
      <c r="DU23" s="65"/>
      <c r="DV23" s="65"/>
      <c r="DW23" s="65"/>
      <c r="DX23" s="65"/>
      <c r="DY23" s="65"/>
      <c r="DZ23" s="65"/>
      <c r="EA23" s="65"/>
      <c r="EB23" s="65"/>
      <c r="EC23" s="65"/>
      <c r="ED23" s="65"/>
      <c r="EE23" s="65"/>
      <c r="EF23" s="65"/>
      <c r="EG23" s="65"/>
      <c r="EH23" s="65"/>
      <c r="EI23" s="65"/>
      <c r="EJ23" s="65"/>
      <c r="EK23" s="65"/>
      <c r="EL23" s="65"/>
      <c r="EM23" s="65"/>
      <c r="EN23" s="65"/>
      <c r="EO23" s="65"/>
      <c r="EP23" s="65"/>
      <c r="EQ23" s="65"/>
      <c r="ER23" s="65"/>
      <c r="ES23" s="65"/>
      <c r="ET23" s="65"/>
      <c r="EU23" s="65"/>
      <c r="EV23" s="65"/>
      <c r="EW23" s="65"/>
      <c r="EX23" s="65"/>
      <c r="EY23" s="65"/>
      <c r="EZ23" s="65"/>
      <c r="FA23" s="65"/>
      <c r="FB23" s="65"/>
      <c r="FC23" s="65"/>
      <c r="FD23" s="65"/>
      <c r="FE23" s="65"/>
      <c r="FF23" s="65"/>
      <c r="FG23" s="65"/>
      <c r="FH23" s="65"/>
      <c r="FI23" s="65"/>
      <c r="FJ23" s="65"/>
      <c r="FK23" s="65"/>
      <c r="FL23" s="65"/>
    </row>
    <row r="24" spans="2:168">
      <c r="B24" s="21"/>
      <c r="C24" s="31" t="s">
        <v>88</v>
      </c>
      <c r="D24" s="31"/>
      <c r="E24" s="31"/>
      <c r="F24" s="31"/>
      <c r="G24" s="31"/>
      <c r="H24" s="31"/>
      <c r="I24" s="31"/>
      <c r="J24" s="31"/>
      <c r="K24" s="31"/>
      <c r="L24" s="21"/>
      <c r="M24" s="41"/>
      <c r="N24" s="41"/>
      <c r="O24" s="41"/>
      <c r="P24" s="42"/>
      <c r="Q24" s="41"/>
      <c r="R24" s="41"/>
      <c r="S24" s="41"/>
      <c r="U24" s="54" t="s">
        <v>89</v>
      </c>
      <c r="V24" s="54" t="s">
        <v>85</v>
      </c>
      <c r="W24" s="54" t="s">
        <v>90</v>
      </c>
      <c r="X24" s="55" t="s">
        <v>70</v>
      </c>
      <c r="Y24" s="20">
        <v>1</v>
      </c>
      <c r="Z24" s="65"/>
      <c r="AA24" s="65"/>
      <c r="AB24" s="78"/>
      <c r="AC24" s="64"/>
      <c r="AD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c r="CT24" s="65"/>
      <c r="CU24" s="65"/>
      <c r="CV24" s="65"/>
      <c r="CW24" s="65"/>
      <c r="CX24" s="65"/>
      <c r="CY24" s="65"/>
      <c r="CZ24" s="65"/>
      <c r="DA24" s="65"/>
      <c r="DB24" s="65"/>
      <c r="DC24" s="65"/>
      <c r="DD24" s="65"/>
      <c r="DE24" s="65"/>
      <c r="DF24" s="65"/>
      <c r="DG24" s="65"/>
      <c r="DH24" s="65"/>
      <c r="DI24" s="65"/>
      <c r="DJ24" s="65"/>
      <c r="DK24" s="65"/>
      <c r="DL24" s="65"/>
      <c r="DM24" s="65"/>
      <c r="DN24" s="65"/>
      <c r="DO24" s="65"/>
      <c r="DP24" s="65"/>
      <c r="DQ24" s="65"/>
      <c r="DR24" s="65"/>
      <c r="DS24" s="65"/>
      <c r="DT24" s="65"/>
      <c r="DU24" s="65"/>
      <c r="DV24" s="65"/>
      <c r="DW24" s="65"/>
      <c r="DX24" s="65"/>
      <c r="DY24" s="65"/>
      <c r="DZ24" s="65"/>
      <c r="EA24" s="65"/>
      <c r="EB24" s="65"/>
      <c r="EC24" s="65"/>
      <c r="ED24" s="65"/>
      <c r="EE24" s="65"/>
      <c r="EF24" s="65"/>
      <c r="EG24" s="65"/>
      <c r="EH24" s="65"/>
      <c r="EI24" s="65"/>
      <c r="EJ24" s="65"/>
      <c r="EK24" s="65"/>
      <c r="EL24" s="65"/>
      <c r="EM24" s="65"/>
      <c r="EN24" s="65"/>
      <c r="EO24" s="65"/>
      <c r="EP24" s="65"/>
      <c r="EQ24" s="65"/>
      <c r="ER24" s="65"/>
      <c r="ES24" s="65"/>
      <c r="ET24" s="65"/>
      <c r="EU24" s="65"/>
      <c r="EV24" s="65"/>
      <c r="EW24" s="65"/>
      <c r="EX24" s="65"/>
      <c r="EY24" s="65"/>
      <c r="EZ24" s="65"/>
      <c r="FA24" s="65"/>
      <c r="FB24" s="65"/>
      <c r="FC24" s="65"/>
      <c r="FD24" s="65"/>
      <c r="FE24" s="65"/>
      <c r="FF24" s="65"/>
      <c r="FG24" s="65"/>
      <c r="FH24" s="65"/>
      <c r="FI24" s="65"/>
      <c r="FJ24" s="65"/>
      <c r="FK24" s="65"/>
      <c r="FL24" s="65"/>
    </row>
    <row r="25" spans="2:168">
      <c r="B25" s="21"/>
      <c r="C25" s="31"/>
      <c r="D25" s="31"/>
      <c r="E25" s="31"/>
      <c r="F25" s="31"/>
      <c r="G25" s="31"/>
      <c r="H25" s="31"/>
      <c r="I25" s="31"/>
      <c r="J25" s="31"/>
      <c r="K25" s="43" t="s">
        <v>91</v>
      </c>
      <c r="L25" s="21"/>
      <c r="M25" s="41"/>
      <c r="N25" s="41"/>
      <c r="O25" s="41"/>
      <c r="P25" s="41"/>
      <c r="Q25" s="41"/>
      <c r="R25" s="41"/>
      <c r="S25" s="41"/>
      <c r="U25" s="57" t="s">
        <v>92</v>
      </c>
      <c r="V25" s="54" t="s">
        <v>93</v>
      </c>
      <c r="W25" s="54" t="s">
        <v>94</v>
      </c>
      <c r="X25" s="55" t="s">
        <v>95</v>
      </c>
      <c r="Y25" s="20">
        <v>1</v>
      </c>
      <c r="Z25" s="65"/>
      <c r="AA25" s="65"/>
      <c r="AB25" s="83"/>
      <c r="AC25" s="60"/>
      <c r="AD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c r="CT25" s="65"/>
      <c r="CU25" s="65"/>
      <c r="CV25" s="65"/>
      <c r="CW25" s="65"/>
      <c r="CX25" s="65"/>
      <c r="CY25" s="65"/>
      <c r="CZ25" s="65"/>
      <c r="DA25" s="65"/>
      <c r="DB25" s="65"/>
      <c r="DC25" s="65"/>
      <c r="DD25" s="65"/>
      <c r="DE25" s="65"/>
      <c r="DF25" s="65"/>
      <c r="DG25" s="65"/>
      <c r="DH25" s="65"/>
      <c r="DI25" s="65"/>
      <c r="DJ25" s="65"/>
      <c r="DK25" s="65"/>
      <c r="DL25" s="65"/>
      <c r="DM25" s="65"/>
      <c r="DN25" s="65"/>
      <c r="DO25" s="65"/>
      <c r="DP25" s="65"/>
      <c r="DQ25" s="65"/>
      <c r="DR25" s="65"/>
      <c r="DS25" s="65"/>
      <c r="DT25" s="65"/>
      <c r="DU25" s="65"/>
      <c r="DV25" s="65"/>
      <c r="DW25" s="65"/>
      <c r="DX25" s="65"/>
      <c r="DY25" s="65"/>
      <c r="DZ25" s="65"/>
      <c r="EA25" s="65"/>
      <c r="EB25" s="65"/>
      <c r="EC25" s="65"/>
      <c r="ED25" s="65"/>
      <c r="EE25" s="65"/>
      <c r="EF25" s="65"/>
      <c r="EG25" s="65"/>
      <c r="EH25" s="65"/>
      <c r="EI25" s="65"/>
      <c r="EJ25" s="65"/>
      <c r="EK25" s="65"/>
      <c r="EL25" s="65"/>
      <c r="EM25" s="65"/>
      <c r="EN25" s="65"/>
      <c r="EO25" s="65"/>
      <c r="EP25" s="65"/>
      <c r="EQ25" s="65"/>
      <c r="ER25" s="65"/>
      <c r="ES25" s="65"/>
      <c r="ET25" s="65"/>
      <c r="EU25" s="65"/>
      <c r="EV25" s="65"/>
      <c r="EW25" s="65"/>
      <c r="EX25" s="65"/>
      <c r="EY25" s="65"/>
      <c r="EZ25" s="65"/>
      <c r="FA25" s="65"/>
      <c r="FB25" s="65"/>
      <c r="FC25" s="65"/>
      <c r="FD25" s="65"/>
      <c r="FE25" s="65"/>
      <c r="FF25" s="65"/>
      <c r="FG25" s="65"/>
      <c r="FH25" s="65"/>
      <c r="FI25" s="65"/>
      <c r="FJ25" s="65"/>
      <c r="FK25" s="65"/>
      <c r="FL25" s="65"/>
    </row>
    <row r="26" spans="2:168">
      <c r="B26" s="21"/>
      <c r="C26" s="32" t="s">
        <v>96</v>
      </c>
      <c r="D26" s="32"/>
      <c r="E26" s="32"/>
      <c r="F26" s="32"/>
      <c r="G26" s="32"/>
      <c r="H26" s="32"/>
      <c r="I26" s="32"/>
      <c r="J26" s="32"/>
      <c r="K26" s="32"/>
      <c r="L26" s="21"/>
      <c r="M26" s="41"/>
      <c r="N26" s="44"/>
      <c r="O26" s="44"/>
      <c r="P26" s="44"/>
      <c r="Q26" s="44"/>
      <c r="R26" s="41"/>
      <c r="S26" s="41"/>
      <c r="U26" s="53" t="s">
        <v>97</v>
      </c>
      <c r="V26" s="54" t="s">
        <v>93</v>
      </c>
      <c r="W26" s="54" t="s">
        <v>94</v>
      </c>
      <c r="X26" s="55" t="s">
        <v>98</v>
      </c>
      <c r="Y26" s="20">
        <v>1</v>
      </c>
      <c r="Z26" s="65"/>
      <c r="AA26" s="65"/>
      <c r="AB26" s="60"/>
      <c r="AC26" s="60"/>
      <c r="AD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c r="BO26" s="65"/>
      <c r="BP26" s="65"/>
      <c r="BQ26" s="65"/>
      <c r="BR26" s="65"/>
      <c r="BS26" s="65"/>
      <c r="BT26" s="65"/>
      <c r="BU26" s="65"/>
      <c r="BV26" s="65"/>
      <c r="BW26" s="65"/>
      <c r="BX26" s="65"/>
      <c r="BY26" s="65"/>
      <c r="BZ26" s="65"/>
      <c r="CA26" s="65"/>
      <c r="CB26" s="65"/>
      <c r="CC26" s="65"/>
      <c r="CD26" s="65"/>
      <c r="CE26" s="65"/>
      <c r="CF26" s="65"/>
      <c r="CG26" s="65"/>
      <c r="CH26" s="65"/>
      <c r="CI26" s="65"/>
      <c r="CJ26" s="65"/>
      <c r="CK26" s="65"/>
      <c r="CL26" s="65"/>
      <c r="CM26" s="65"/>
      <c r="CN26" s="65"/>
      <c r="CO26" s="65"/>
      <c r="CP26" s="65"/>
      <c r="CQ26" s="65"/>
      <c r="CR26" s="65"/>
      <c r="CS26" s="65"/>
      <c r="CT26" s="65"/>
      <c r="CU26" s="65"/>
      <c r="CV26" s="65"/>
      <c r="CW26" s="65"/>
      <c r="CX26" s="65"/>
      <c r="CY26" s="65"/>
      <c r="CZ26" s="65"/>
      <c r="DA26" s="65"/>
      <c r="DB26" s="65"/>
      <c r="DC26" s="65"/>
      <c r="DD26" s="65"/>
      <c r="DE26" s="65"/>
      <c r="DF26" s="65"/>
      <c r="DG26" s="65"/>
      <c r="DH26" s="65"/>
      <c r="DI26" s="65"/>
      <c r="DJ26" s="65"/>
      <c r="DK26" s="65"/>
      <c r="DL26" s="65"/>
      <c r="DM26" s="65"/>
      <c r="DN26" s="65"/>
      <c r="DO26" s="65"/>
      <c r="DP26" s="65"/>
      <c r="DQ26" s="65"/>
      <c r="DR26" s="65"/>
      <c r="DS26" s="65"/>
      <c r="DT26" s="65"/>
      <c r="DU26" s="65"/>
      <c r="DV26" s="65"/>
      <c r="DW26" s="65"/>
      <c r="DX26" s="65"/>
      <c r="DY26" s="65"/>
      <c r="DZ26" s="65"/>
      <c r="EA26" s="65"/>
      <c r="EB26" s="65"/>
      <c r="EC26" s="65"/>
      <c r="ED26" s="65"/>
      <c r="EE26" s="65"/>
      <c r="EF26" s="65"/>
      <c r="EG26" s="65"/>
      <c r="EH26" s="65"/>
      <c r="EI26" s="65"/>
      <c r="EJ26" s="65"/>
      <c r="EK26" s="65"/>
      <c r="EL26" s="65"/>
      <c r="EM26" s="65"/>
      <c r="EN26" s="65"/>
      <c r="EO26" s="65"/>
      <c r="EP26" s="65"/>
      <c r="EQ26" s="65"/>
      <c r="ER26" s="65"/>
      <c r="ES26" s="65"/>
      <c r="ET26" s="65"/>
      <c r="EU26" s="65"/>
      <c r="EV26" s="65"/>
      <c r="EW26" s="65"/>
      <c r="EX26" s="65"/>
      <c r="EY26" s="65"/>
      <c r="EZ26" s="65"/>
      <c r="FA26" s="65"/>
      <c r="FB26" s="65"/>
      <c r="FC26" s="65"/>
      <c r="FD26" s="65"/>
      <c r="FE26" s="65"/>
      <c r="FF26" s="65"/>
      <c r="FG26" s="65"/>
      <c r="FH26" s="65"/>
      <c r="FI26" s="65"/>
      <c r="FJ26" s="65"/>
      <c r="FK26" s="65"/>
      <c r="FL26" s="65"/>
    </row>
    <row r="27" spans="2:168">
      <c r="B27" s="21"/>
      <c r="C27" s="32"/>
      <c r="D27" s="32"/>
      <c r="E27" s="32"/>
      <c r="F27" s="32"/>
      <c r="G27" s="32"/>
      <c r="H27" s="32"/>
      <c r="I27" s="32"/>
      <c r="J27" s="32"/>
      <c r="K27" s="32"/>
      <c r="L27" s="21"/>
      <c r="M27" s="41"/>
      <c r="N27" s="44"/>
      <c r="O27" s="44" t="s">
        <v>99</v>
      </c>
      <c r="P27" s="45">
        <v>0.4</v>
      </c>
      <c r="Q27" s="44"/>
      <c r="R27" s="41"/>
      <c r="S27" s="41"/>
      <c r="U27" s="54" t="s">
        <v>100</v>
      </c>
      <c r="V27" s="54" t="s">
        <v>93</v>
      </c>
      <c r="W27" s="54" t="s">
        <v>94</v>
      </c>
      <c r="X27" s="55" t="s">
        <v>98</v>
      </c>
      <c r="Y27" s="20">
        <v>1</v>
      </c>
      <c r="Z27" s="65"/>
      <c r="AA27" s="65"/>
      <c r="AB27" s="60"/>
      <c r="AC27" s="60"/>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5"/>
      <c r="BK27" s="65"/>
      <c r="BL27" s="65"/>
      <c r="BM27" s="65"/>
      <c r="BN27" s="65"/>
      <c r="BO27" s="65"/>
      <c r="BP27" s="65"/>
      <c r="BQ27" s="65"/>
      <c r="BR27" s="65"/>
      <c r="BS27" s="65"/>
      <c r="BT27" s="65"/>
      <c r="BU27" s="65"/>
      <c r="BV27" s="65"/>
      <c r="BW27" s="65"/>
      <c r="BX27" s="65"/>
      <c r="BY27" s="65"/>
      <c r="BZ27" s="65"/>
      <c r="CA27" s="65"/>
      <c r="CB27" s="65"/>
      <c r="CC27" s="65"/>
      <c r="CD27" s="65"/>
      <c r="CE27" s="65"/>
      <c r="CF27" s="65"/>
      <c r="CG27" s="65"/>
      <c r="CH27" s="65"/>
      <c r="CI27" s="65"/>
      <c r="CJ27" s="65"/>
      <c r="CK27" s="65"/>
      <c r="CL27" s="65"/>
      <c r="CM27" s="65"/>
      <c r="CN27" s="65"/>
      <c r="CO27" s="65"/>
      <c r="CP27" s="65"/>
      <c r="CQ27" s="65"/>
      <c r="CR27" s="65"/>
      <c r="CS27" s="65"/>
      <c r="CT27" s="65"/>
      <c r="CU27" s="65"/>
      <c r="CV27" s="65"/>
      <c r="CW27" s="65"/>
      <c r="CX27" s="65"/>
      <c r="CY27" s="65"/>
      <c r="CZ27" s="65"/>
      <c r="DA27" s="65"/>
      <c r="DB27" s="65"/>
      <c r="DC27" s="65"/>
      <c r="DD27" s="65"/>
      <c r="DE27" s="65"/>
      <c r="DF27" s="65"/>
      <c r="DG27" s="65"/>
      <c r="DH27" s="65"/>
      <c r="DI27" s="65"/>
      <c r="DJ27" s="65"/>
      <c r="DK27" s="65"/>
      <c r="DL27" s="65"/>
      <c r="DM27" s="65"/>
      <c r="DN27" s="65"/>
      <c r="DO27" s="65"/>
      <c r="DP27" s="65"/>
      <c r="DQ27" s="65"/>
      <c r="DR27" s="65"/>
      <c r="DS27" s="65"/>
      <c r="DT27" s="65"/>
      <c r="DU27" s="65"/>
      <c r="DV27" s="65"/>
      <c r="DW27" s="65"/>
      <c r="DX27" s="65"/>
      <c r="DY27" s="65"/>
      <c r="DZ27" s="65"/>
      <c r="EA27" s="65"/>
      <c r="EB27" s="65"/>
      <c r="EC27" s="65"/>
      <c r="ED27" s="65"/>
      <c r="EE27" s="65"/>
      <c r="EF27" s="65"/>
      <c r="EG27" s="65"/>
      <c r="EH27" s="65"/>
      <c r="EI27" s="65"/>
      <c r="EJ27" s="65"/>
      <c r="EK27" s="65"/>
      <c r="EL27" s="65"/>
      <c r="EM27" s="65"/>
      <c r="EN27" s="65"/>
      <c r="EO27" s="65"/>
      <c r="EP27" s="65"/>
      <c r="EQ27" s="65"/>
      <c r="ER27" s="65"/>
      <c r="ES27" s="65"/>
      <c r="ET27" s="65"/>
      <c r="EU27" s="65"/>
      <c r="EV27" s="65"/>
      <c r="EW27" s="65"/>
      <c r="EX27" s="65"/>
      <c r="EY27" s="65"/>
      <c r="EZ27" s="65"/>
      <c r="FA27" s="65"/>
      <c r="FB27" s="65"/>
      <c r="FC27" s="65"/>
      <c r="FD27" s="65"/>
      <c r="FE27" s="65"/>
      <c r="FF27" s="65"/>
      <c r="FG27" s="65"/>
      <c r="FH27" s="65"/>
      <c r="FI27" s="65"/>
      <c r="FJ27" s="65"/>
      <c r="FK27" s="65"/>
      <c r="FL27" s="65"/>
    </row>
    <row r="28" spans="2:27">
      <c r="B28" s="21"/>
      <c r="C28" s="32"/>
      <c r="D28" s="32"/>
      <c r="E28" s="32"/>
      <c r="F28" s="32"/>
      <c r="G28" s="32"/>
      <c r="H28" s="32"/>
      <c r="I28" s="32"/>
      <c r="J28" s="32"/>
      <c r="K28" s="32"/>
      <c r="L28" s="21"/>
      <c r="M28" s="41"/>
      <c r="N28" s="44"/>
      <c r="O28" s="44" t="s">
        <v>101</v>
      </c>
      <c r="P28" s="45">
        <v>0.177777777777778</v>
      </c>
      <c r="Q28" s="44"/>
      <c r="R28" s="41"/>
      <c r="S28" s="41"/>
      <c r="U28" s="54" t="s">
        <v>102</v>
      </c>
      <c r="V28" s="54" t="s">
        <v>103</v>
      </c>
      <c r="W28" s="54" t="s">
        <v>104</v>
      </c>
      <c r="X28" s="55" t="s">
        <v>15</v>
      </c>
      <c r="Y28" s="20">
        <v>1</v>
      </c>
      <c r="Z28" s="65"/>
      <c r="AA28" s="65"/>
    </row>
    <row r="29" spans="2:27">
      <c r="B29" s="21"/>
      <c r="C29" s="32"/>
      <c r="D29" s="32"/>
      <c r="E29" s="32"/>
      <c r="F29" s="32"/>
      <c r="G29" s="32"/>
      <c r="H29" s="32"/>
      <c r="I29" s="32"/>
      <c r="J29" s="32"/>
      <c r="K29" s="32"/>
      <c r="L29" s="21"/>
      <c r="M29" s="41"/>
      <c r="N29" s="44"/>
      <c r="O29" s="44" t="s">
        <v>105</v>
      </c>
      <c r="P29" s="45">
        <v>0.155555555555556</v>
      </c>
      <c r="Q29" s="44"/>
      <c r="R29" s="41"/>
      <c r="S29" s="41"/>
      <c r="U29" s="56" t="s">
        <v>106</v>
      </c>
      <c r="V29" s="54" t="s">
        <v>107</v>
      </c>
      <c r="W29" s="54" t="s">
        <v>108</v>
      </c>
      <c r="X29" s="55" t="s">
        <v>109</v>
      </c>
      <c r="Y29" s="20">
        <v>1</v>
      </c>
      <c r="Z29" s="65"/>
      <c r="AA29" s="65"/>
    </row>
    <row r="30" spans="13:27">
      <c r="M30" s="41"/>
      <c r="N30" s="44"/>
      <c r="O30" s="44" t="s">
        <v>110</v>
      </c>
      <c r="P30" s="45">
        <v>0.0666666666666667</v>
      </c>
      <c r="Q30" s="44"/>
      <c r="R30" s="41"/>
      <c r="S30" s="41"/>
      <c r="U30" s="54" t="s">
        <v>111</v>
      </c>
      <c r="V30" s="54" t="s">
        <v>107</v>
      </c>
      <c r="W30" s="54" t="s">
        <v>108</v>
      </c>
      <c r="X30" s="55" t="s">
        <v>98</v>
      </c>
      <c r="Y30" s="20">
        <v>1</v>
      </c>
      <c r="Z30" s="65"/>
      <c r="AA30" s="65"/>
    </row>
    <row r="31" spans="13:27">
      <c r="M31" s="41"/>
      <c r="N31" s="44"/>
      <c r="O31" s="44" t="s">
        <v>112</v>
      </c>
      <c r="P31" s="45">
        <v>0.0444444444444444</v>
      </c>
      <c r="Q31" s="44"/>
      <c r="R31" s="41"/>
      <c r="S31" s="41"/>
      <c r="U31" s="54" t="s">
        <v>113</v>
      </c>
      <c r="V31" s="54" t="s">
        <v>107</v>
      </c>
      <c r="W31" s="54" t="s">
        <v>108</v>
      </c>
      <c r="X31" s="55" t="s">
        <v>114</v>
      </c>
      <c r="Y31" s="20">
        <v>1</v>
      </c>
      <c r="Z31" s="65"/>
      <c r="AA31" s="65"/>
    </row>
    <row r="32" spans="13:27">
      <c r="M32" s="41"/>
      <c r="N32" s="44"/>
      <c r="O32" s="44" t="s">
        <v>115</v>
      </c>
      <c r="P32" s="45">
        <v>0.0444444444444444</v>
      </c>
      <c r="Q32" s="44"/>
      <c r="R32" s="41"/>
      <c r="S32" s="41"/>
      <c r="U32" s="54" t="s">
        <v>116</v>
      </c>
      <c r="V32" s="54" t="s">
        <v>107</v>
      </c>
      <c r="W32" s="54" t="s">
        <v>108</v>
      </c>
      <c r="X32" s="55" t="s">
        <v>117</v>
      </c>
      <c r="Y32" s="20">
        <v>1</v>
      </c>
      <c r="Z32" s="65"/>
      <c r="AA32" s="65"/>
    </row>
    <row r="33" spans="13:27">
      <c r="M33" s="41"/>
      <c r="N33" s="44"/>
      <c r="O33" s="44" t="s">
        <v>118</v>
      </c>
      <c r="P33" s="45">
        <v>0.0444444444444444</v>
      </c>
      <c r="Q33" s="44"/>
      <c r="R33" s="41"/>
      <c r="S33" s="41"/>
      <c r="U33" s="57" t="s">
        <v>119</v>
      </c>
      <c r="V33" s="54" t="s">
        <v>107</v>
      </c>
      <c r="W33" s="54" t="s">
        <v>108</v>
      </c>
      <c r="X33" s="55" t="s">
        <v>120</v>
      </c>
      <c r="Y33" s="20">
        <v>1</v>
      </c>
      <c r="Z33" s="65"/>
      <c r="AA33" s="65"/>
    </row>
    <row r="34" spans="13:27">
      <c r="M34" s="41"/>
      <c r="N34" s="44"/>
      <c r="O34" s="44" t="s">
        <v>121</v>
      </c>
      <c r="P34" s="45">
        <v>0.0444444444444444</v>
      </c>
      <c r="Q34" s="44"/>
      <c r="R34" s="41"/>
      <c r="S34" s="41"/>
      <c r="U34" s="54" t="s">
        <v>122</v>
      </c>
      <c r="V34" s="54" t="s">
        <v>107</v>
      </c>
      <c r="W34" s="54" t="s">
        <v>108</v>
      </c>
      <c r="X34" s="55" t="s">
        <v>123</v>
      </c>
      <c r="Y34" s="20">
        <v>1</v>
      </c>
      <c r="Z34" s="65"/>
      <c r="AA34" s="65"/>
    </row>
    <row r="35" spans="13:27">
      <c r="M35" s="41"/>
      <c r="N35" s="44"/>
      <c r="O35" s="44" t="s">
        <v>124</v>
      </c>
      <c r="P35" s="45">
        <v>0.0222222222222222</v>
      </c>
      <c r="Q35" s="44"/>
      <c r="R35" s="41"/>
      <c r="S35" s="41"/>
      <c r="U35" s="54" t="s">
        <v>125</v>
      </c>
      <c r="V35" s="54" t="s">
        <v>107</v>
      </c>
      <c r="W35" s="54" t="s">
        <v>126</v>
      </c>
      <c r="X35" s="55" t="s">
        <v>127</v>
      </c>
      <c r="Y35" s="20">
        <v>1</v>
      </c>
      <c r="Z35" s="65"/>
      <c r="AA35" s="65"/>
    </row>
    <row r="36" spans="13:27">
      <c r="M36" s="41"/>
      <c r="N36" s="44"/>
      <c r="O36" s="44"/>
      <c r="P36" s="45"/>
      <c r="Q36" s="44"/>
      <c r="R36" s="41"/>
      <c r="S36" s="41"/>
      <c r="U36" s="53" t="s">
        <v>128</v>
      </c>
      <c r="V36" s="54" t="s">
        <v>107</v>
      </c>
      <c r="W36" s="54" t="s">
        <v>126</v>
      </c>
      <c r="X36" s="55" t="s">
        <v>127</v>
      </c>
      <c r="Y36" s="20">
        <v>1</v>
      </c>
      <c r="Z36" s="65"/>
      <c r="AA36" s="65"/>
    </row>
    <row r="37" spans="13:27">
      <c r="M37" s="41"/>
      <c r="N37" s="41"/>
      <c r="O37" s="41"/>
      <c r="P37" s="46"/>
      <c r="Q37" s="41"/>
      <c r="R37" s="41"/>
      <c r="S37" s="41"/>
      <c r="U37" s="53" t="s">
        <v>129</v>
      </c>
      <c r="V37" s="54" t="s">
        <v>107</v>
      </c>
      <c r="W37" s="54" t="s">
        <v>126</v>
      </c>
      <c r="X37" s="55" t="s">
        <v>35</v>
      </c>
      <c r="Y37" s="20">
        <v>1</v>
      </c>
      <c r="Z37" s="65"/>
      <c r="AA37" s="65"/>
    </row>
    <row r="38" spans="13:27">
      <c r="M38" s="41"/>
      <c r="N38" s="41"/>
      <c r="O38" s="41"/>
      <c r="P38" s="46"/>
      <c r="Q38" s="41"/>
      <c r="R38" s="41"/>
      <c r="S38" s="41"/>
      <c r="U38" s="53" t="s">
        <v>130</v>
      </c>
      <c r="V38" s="54" t="s">
        <v>107</v>
      </c>
      <c r="W38" s="54" t="s">
        <v>131</v>
      </c>
      <c r="X38" s="55" t="s">
        <v>132</v>
      </c>
      <c r="Y38" s="20">
        <v>1</v>
      </c>
      <c r="Z38" s="65"/>
      <c r="AA38" s="65"/>
    </row>
    <row r="39" spans="13:27">
      <c r="M39" s="41"/>
      <c r="N39" s="41"/>
      <c r="O39" s="41"/>
      <c r="P39" s="46"/>
      <c r="Q39" s="41"/>
      <c r="R39" s="41"/>
      <c r="S39" s="59"/>
      <c r="U39" s="57" t="s">
        <v>133</v>
      </c>
      <c r="V39" s="54" t="s">
        <v>107</v>
      </c>
      <c r="W39" s="54" t="s">
        <v>131</v>
      </c>
      <c r="X39" s="55" t="s">
        <v>76</v>
      </c>
      <c r="Y39" s="20">
        <v>1</v>
      </c>
      <c r="Z39" s="65"/>
      <c r="AA39" s="65"/>
    </row>
    <row r="40" spans="13:27">
      <c r="M40" s="41"/>
      <c r="N40" s="41"/>
      <c r="O40" s="41"/>
      <c r="P40" s="46"/>
      <c r="Q40" s="41"/>
      <c r="R40" s="41"/>
      <c r="S40" s="59"/>
      <c r="U40" s="53" t="s">
        <v>134</v>
      </c>
      <c r="V40" s="54" t="s">
        <v>107</v>
      </c>
      <c r="W40" s="54" t="s">
        <v>126</v>
      </c>
      <c r="X40" s="55" t="s">
        <v>83</v>
      </c>
      <c r="Y40" s="20">
        <v>1</v>
      </c>
      <c r="Z40" s="65"/>
      <c r="AA40" s="65"/>
    </row>
    <row r="41" spans="13:27">
      <c r="M41" s="41"/>
      <c r="N41" s="41"/>
      <c r="O41" s="41"/>
      <c r="P41" s="46"/>
      <c r="Q41" s="41"/>
      <c r="R41" s="41"/>
      <c r="S41" s="59"/>
      <c r="U41" s="54" t="s">
        <v>135</v>
      </c>
      <c r="V41" s="54" t="s">
        <v>107</v>
      </c>
      <c r="W41" s="54" t="s">
        <v>136</v>
      </c>
      <c r="X41" s="55" t="s">
        <v>80</v>
      </c>
      <c r="Y41" s="20">
        <v>1</v>
      </c>
      <c r="Z41" s="65"/>
      <c r="AA41" s="65"/>
    </row>
    <row r="42" spans="13:27">
      <c r="M42" s="41"/>
      <c r="N42" s="41"/>
      <c r="O42" s="41"/>
      <c r="P42" s="46"/>
      <c r="Q42" s="41"/>
      <c r="R42" s="41"/>
      <c r="U42" s="54" t="s">
        <v>137</v>
      </c>
      <c r="V42" s="54" t="s">
        <v>107</v>
      </c>
      <c r="W42" s="54" t="s">
        <v>108</v>
      </c>
      <c r="X42" s="55" t="s">
        <v>138</v>
      </c>
      <c r="Y42" s="20">
        <v>1</v>
      </c>
      <c r="Z42" s="65"/>
      <c r="AA42" s="65"/>
    </row>
    <row r="43" spans="13:27">
      <c r="M43" s="41"/>
      <c r="N43" s="41"/>
      <c r="O43" s="41"/>
      <c r="P43" s="46"/>
      <c r="Q43" s="41"/>
      <c r="R43" s="41"/>
      <c r="U43" s="53" t="s">
        <v>139</v>
      </c>
      <c r="V43" s="54" t="s">
        <v>107</v>
      </c>
      <c r="W43" s="54" t="s">
        <v>140</v>
      </c>
      <c r="X43" s="55" t="s">
        <v>83</v>
      </c>
      <c r="Y43" s="20">
        <v>1</v>
      </c>
      <c r="Z43" s="65"/>
      <c r="AA43" s="65"/>
    </row>
    <row r="44" spans="13:27">
      <c r="M44" s="41"/>
      <c r="N44" s="41"/>
      <c r="O44" s="41"/>
      <c r="P44" s="46"/>
      <c r="Q44" s="41"/>
      <c r="R44" s="41"/>
      <c r="U44" s="53" t="s">
        <v>141</v>
      </c>
      <c r="V44" s="54" t="s">
        <v>107</v>
      </c>
      <c r="W44" s="54" t="s">
        <v>108</v>
      </c>
      <c r="X44" s="55" t="s">
        <v>142</v>
      </c>
      <c r="Y44" s="20">
        <v>1</v>
      </c>
      <c r="Z44" s="65"/>
      <c r="AA44" s="65"/>
    </row>
    <row r="45" spans="13:27">
      <c r="M45" s="41"/>
      <c r="N45" s="41"/>
      <c r="O45" s="41"/>
      <c r="P45" s="46"/>
      <c r="Q45" s="41"/>
      <c r="R45" s="41"/>
      <c r="U45" s="54" t="s">
        <v>143</v>
      </c>
      <c r="V45" s="54" t="s">
        <v>107</v>
      </c>
      <c r="W45" s="54" t="s">
        <v>126</v>
      </c>
      <c r="X45" s="55" t="s">
        <v>76</v>
      </c>
      <c r="Y45" s="20">
        <v>1</v>
      </c>
      <c r="Z45" s="65"/>
      <c r="AA45" s="65"/>
    </row>
    <row r="46" spans="13:27">
      <c r="M46" s="41"/>
      <c r="N46" s="41"/>
      <c r="O46" s="41"/>
      <c r="P46" s="46"/>
      <c r="Q46" s="41"/>
      <c r="R46" s="41"/>
      <c r="U46" s="57" t="s">
        <v>144</v>
      </c>
      <c r="V46" s="54" t="s">
        <v>107</v>
      </c>
      <c r="W46" s="54" t="s">
        <v>145</v>
      </c>
      <c r="X46" s="55" t="s">
        <v>146</v>
      </c>
      <c r="Y46" s="20">
        <v>1</v>
      </c>
      <c r="Z46" s="65"/>
      <c r="AA46" s="65"/>
    </row>
    <row r="47" spans="14:27">
      <c r="N47" s="47"/>
      <c r="O47" s="47"/>
      <c r="P47" s="48"/>
      <c r="Q47" s="47"/>
      <c r="R47" s="47"/>
      <c r="U47" s="53" t="s">
        <v>147</v>
      </c>
      <c r="V47" s="54" t="s">
        <v>148</v>
      </c>
      <c r="W47" s="54" t="s">
        <v>149</v>
      </c>
      <c r="X47" s="55" t="s">
        <v>150</v>
      </c>
      <c r="Y47" s="20">
        <v>1</v>
      </c>
      <c r="Z47" s="65"/>
      <c r="AA47" s="65"/>
    </row>
    <row r="48" spans="14:27">
      <c r="N48" s="47"/>
      <c r="O48" s="47"/>
      <c r="P48" s="47"/>
      <c r="Q48" s="47"/>
      <c r="R48" s="47"/>
      <c r="U48" s="53" t="s">
        <v>151</v>
      </c>
      <c r="V48" s="54" t="s">
        <v>148</v>
      </c>
      <c r="W48" s="54" t="s">
        <v>149</v>
      </c>
      <c r="X48" s="55" t="s">
        <v>152</v>
      </c>
      <c r="Y48" s="20">
        <v>1</v>
      </c>
      <c r="Z48" s="65"/>
      <c r="AA48" s="65"/>
    </row>
    <row r="49" spans="14:27">
      <c r="N49" s="47"/>
      <c r="O49" s="47"/>
      <c r="P49" s="47"/>
      <c r="Q49" s="47"/>
      <c r="R49" s="47"/>
      <c r="U49" s="53"/>
      <c r="V49" s="54"/>
      <c r="W49" s="54"/>
      <c r="X49" s="55"/>
      <c r="Z49" s="65"/>
      <c r="AA49" s="65"/>
    </row>
    <row r="50" spans="14:27">
      <c r="N50" s="47"/>
      <c r="O50" s="47"/>
      <c r="P50" s="47"/>
      <c r="Q50" s="47"/>
      <c r="R50" s="47"/>
      <c r="U50" s="54"/>
      <c r="V50" s="54"/>
      <c r="W50" s="54"/>
      <c r="X50" s="55"/>
      <c r="Z50" s="65"/>
      <c r="AA50" s="65"/>
    </row>
    <row r="51" spans="21:27">
      <c r="U51" s="53"/>
      <c r="V51" s="54"/>
      <c r="W51" s="54"/>
      <c r="X51" s="55"/>
      <c r="Z51" s="65"/>
      <c r="AA51" s="65"/>
    </row>
    <row r="52" spans="21:27">
      <c r="U52" s="53"/>
      <c r="V52" s="54"/>
      <c r="W52" s="54"/>
      <c r="X52" s="55"/>
      <c r="Z52" s="65"/>
      <c r="AA52" s="65"/>
    </row>
    <row r="53" spans="21:27">
      <c r="U53" s="54"/>
      <c r="V53" s="54"/>
      <c r="W53" s="54"/>
      <c r="X53" s="55"/>
      <c r="Z53" s="65"/>
      <c r="AA53" s="65"/>
    </row>
    <row r="54" spans="21:27">
      <c r="U54" s="54"/>
      <c r="V54" s="54"/>
      <c r="W54" s="54"/>
      <c r="X54" s="55"/>
      <c r="Z54" s="65"/>
      <c r="AA54" s="65"/>
    </row>
    <row r="55" spans="21:27">
      <c r="U55" s="53"/>
      <c r="V55" s="54"/>
      <c r="W55" s="54"/>
      <c r="X55" s="55"/>
      <c r="Z55" s="65"/>
      <c r="AA55" s="65"/>
    </row>
    <row r="56" spans="21:27">
      <c r="U56" s="54"/>
      <c r="V56" s="54"/>
      <c r="W56" s="54"/>
      <c r="X56" s="55"/>
      <c r="Z56" s="65"/>
      <c r="AA56" s="65"/>
    </row>
    <row r="57" spans="21:27">
      <c r="U57" s="54"/>
      <c r="V57" s="54"/>
      <c r="W57" s="54"/>
      <c r="X57" s="55"/>
      <c r="Z57" s="65"/>
      <c r="AA57" s="65"/>
    </row>
    <row r="58" spans="21:27">
      <c r="U58" s="54"/>
      <c r="V58" s="54"/>
      <c r="W58" s="54"/>
      <c r="X58" s="55"/>
      <c r="Z58" s="65"/>
      <c r="AA58" s="65"/>
    </row>
    <row r="59" spans="21:27">
      <c r="U59" s="54"/>
      <c r="V59" s="54"/>
      <c r="W59" s="54"/>
      <c r="X59" s="55"/>
      <c r="Z59" s="65"/>
      <c r="AA59" s="65"/>
    </row>
    <row r="60" spans="21:27">
      <c r="U60" s="54"/>
      <c r="V60" s="54"/>
      <c r="W60" s="54"/>
      <c r="X60" s="55"/>
      <c r="Z60" s="65"/>
      <c r="AA60" s="65"/>
    </row>
    <row r="61" spans="21:27">
      <c r="U61" s="53"/>
      <c r="V61" s="54"/>
      <c r="W61" s="54"/>
      <c r="X61" s="55"/>
      <c r="Z61" s="65"/>
      <c r="AA61" s="65"/>
    </row>
    <row r="62" spans="21:27">
      <c r="U62" s="54"/>
      <c r="V62" s="54"/>
      <c r="W62" s="54"/>
      <c r="X62" s="55"/>
      <c r="Z62" s="65"/>
      <c r="AA62" s="65"/>
    </row>
    <row r="63" spans="21:27">
      <c r="U63" s="54"/>
      <c r="V63" s="54"/>
      <c r="W63" s="54"/>
      <c r="X63" s="55"/>
      <c r="Z63" s="65"/>
      <c r="AA63" s="65"/>
    </row>
    <row r="64" spans="21:27">
      <c r="U64" s="54"/>
      <c r="V64" s="54"/>
      <c r="W64" s="54"/>
      <c r="X64" s="55"/>
      <c r="Z64" s="65"/>
      <c r="AA64" s="65"/>
    </row>
    <row r="65" spans="21:27">
      <c r="U65" s="54"/>
      <c r="V65" s="54"/>
      <c r="W65" s="54"/>
      <c r="X65" s="55"/>
      <c r="Z65" s="65"/>
      <c r="AA65" s="65"/>
    </row>
    <row r="66" spans="21:27">
      <c r="U66" s="54"/>
      <c r="V66" s="54"/>
      <c r="W66" s="54"/>
      <c r="X66" s="55"/>
      <c r="Z66" s="65"/>
      <c r="AA66" s="65"/>
    </row>
    <row r="67" spans="21:27">
      <c r="U67" s="54"/>
      <c r="V67" s="54"/>
      <c r="W67" s="54"/>
      <c r="X67" s="55"/>
      <c r="Z67" s="65"/>
      <c r="AA67" s="65"/>
    </row>
    <row r="68" spans="21:27">
      <c r="U68" s="54"/>
      <c r="V68" s="54"/>
      <c r="W68" s="54"/>
      <c r="X68" s="55"/>
      <c r="Z68" s="65"/>
      <c r="AA68" s="65"/>
    </row>
    <row r="69" spans="21:27">
      <c r="U69" s="54"/>
      <c r="V69" s="54"/>
      <c r="W69" s="54"/>
      <c r="X69" s="55"/>
      <c r="Z69" s="65"/>
      <c r="AA69" s="65"/>
    </row>
    <row r="70" customHeight="1" spans="21:30">
      <c r="U70" s="53"/>
      <c r="V70" s="54"/>
      <c r="W70" s="54"/>
      <c r="X70" s="55"/>
      <c r="Z70" s="65"/>
      <c r="AA70" s="65"/>
      <c r="AD70" s="65"/>
    </row>
    <row r="71" spans="21:27">
      <c r="U71" s="53"/>
      <c r="V71" s="54"/>
      <c r="W71" s="54"/>
      <c r="X71" s="55"/>
      <c r="Z71" s="65"/>
      <c r="AA71" s="65"/>
    </row>
    <row r="72" customHeight="1" spans="21:27">
      <c r="U72" s="65"/>
      <c r="X72" s="84"/>
      <c r="Z72" s="65"/>
      <c r="AA72" s="65"/>
    </row>
    <row r="73" spans="24:27">
      <c r="X73" s="84"/>
      <c r="Z73" s="65"/>
      <c r="AA73" s="65"/>
    </row>
    <row r="74" spans="24:27">
      <c r="X74" s="84"/>
      <c r="Z74" s="65"/>
      <c r="AA74" s="65"/>
    </row>
    <row r="75" spans="24:27">
      <c r="X75" s="84"/>
      <c r="Z75" s="65"/>
      <c r="AA75" s="65"/>
    </row>
    <row r="76" spans="24:27">
      <c r="X76" s="84"/>
      <c r="Z76" s="65"/>
      <c r="AA76" s="65"/>
    </row>
    <row r="77" spans="24:27">
      <c r="X77" s="84"/>
      <c r="Z77" s="65"/>
      <c r="AA77" s="65"/>
    </row>
    <row r="78" spans="24:27">
      <c r="X78" s="84"/>
      <c r="Z78" s="65"/>
      <c r="AA78" s="65"/>
    </row>
    <row r="79" spans="24:27">
      <c r="X79" s="84"/>
      <c r="Z79" s="65"/>
      <c r="AA79" s="65"/>
    </row>
    <row r="80" spans="24:27">
      <c r="X80" s="84"/>
      <c r="Z80" s="65"/>
      <c r="AA80" s="65"/>
    </row>
    <row r="81" spans="24:27">
      <c r="X81" s="84"/>
      <c r="Z81" s="65"/>
      <c r="AA81" s="65"/>
    </row>
    <row r="82" spans="24:27">
      <c r="X82" s="84"/>
      <c r="Z82" s="65"/>
      <c r="AA82" s="65"/>
    </row>
    <row r="83" spans="21:27">
      <c r="U83" s="60"/>
      <c r="X83" s="84"/>
      <c r="Z83" s="65"/>
      <c r="AA83" s="65"/>
    </row>
    <row r="84" spans="21:27">
      <c r="U84" s="60"/>
      <c r="X84" s="84"/>
      <c r="Z84" s="65"/>
      <c r="AA84" s="65"/>
    </row>
    <row r="85" spans="21:27">
      <c r="U85" s="57"/>
      <c r="X85" s="84"/>
      <c r="Z85" s="65"/>
      <c r="AA85" s="65"/>
    </row>
    <row r="86" spans="21:27">
      <c r="U86" s="53"/>
      <c r="X86" s="84"/>
      <c r="Z86" s="65"/>
      <c r="AA86" s="65"/>
    </row>
    <row r="87" spans="21:27">
      <c r="U87" s="53"/>
      <c r="X87" s="84"/>
      <c r="Z87" s="65"/>
      <c r="AA87" s="65"/>
    </row>
    <row r="88" spans="21:27">
      <c r="U88" s="53"/>
      <c r="X88" s="84"/>
      <c r="Z88" s="65"/>
      <c r="AA88" s="65"/>
    </row>
    <row r="89" spans="21:27">
      <c r="U89" s="53"/>
      <c r="X89" s="84"/>
      <c r="Z89" s="65"/>
      <c r="AA89" s="65"/>
    </row>
    <row r="90" spans="21:27">
      <c r="U90" s="53"/>
      <c r="X90" s="84"/>
      <c r="Z90" s="65"/>
      <c r="AA90" s="65"/>
    </row>
    <row r="91" spans="21:27">
      <c r="U91" s="56"/>
      <c r="X91" s="84"/>
      <c r="Z91" s="65"/>
      <c r="AA91" s="65"/>
    </row>
    <row r="92" spans="21:27">
      <c r="U92" s="57"/>
      <c r="X92" s="84"/>
      <c r="Z92" s="65"/>
      <c r="AA92" s="65"/>
    </row>
    <row r="93" spans="21:27">
      <c r="U93" s="57"/>
      <c r="X93" s="84"/>
      <c r="Z93" s="65"/>
      <c r="AA93" s="65"/>
    </row>
    <row r="94" spans="21:27">
      <c r="U94" s="57"/>
      <c r="X94" s="84"/>
      <c r="Z94" s="65"/>
      <c r="AA94" s="65"/>
    </row>
    <row r="95" spans="21:27">
      <c r="U95" s="57"/>
      <c r="X95" s="84"/>
      <c r="Z95" s="65"/>
      <c r="AA95" s="65"/>
    </row>
    <row r="96" spans="21:27">
      <c r="U96" s="57"/>
      <c r="X96" s="84"/>
      <c r="Z96" s="65"/>
      <c r="AA96" s="65"/>
    </row>
    <row r="97" spans="21:27">
      <c r="U97" s="54"/>
      <c r="X97" s="84"/>
      <c r="Z97" s="65"/>
      <c r="AA97" s="65"/>
    </row>
    <row r="98" spans="21:27">
      <c r="U98" s="54"/>
      <c r="X98" s="84"/>
      <c r="Z98" s="65"/>
      <c r="AA98" s="65"/>
    </row>
    <row r="99" spans="24:27">
      <c r="X99" s="84"/>
      <c r="Z99" s="65"/>
      <c r="AA99" s="65"/>
    </row>
    <row r="100" spans="24:27">
      <c r="X100" s="84"/>
      <c r="Z100" s="65"/>
      <c r="AA100" s="65"/>
    </row>
    <row r="101" spans="24:27">
      <c r="X101" s="84"/>
      <c r="Z101" s="65"/>
      <c r="AA101" s="65"/>
    </row>
    <row r="102" spans="24:27">
      <c r="X102" s="84"/>
      <c r="Z102" s="65"/>
      <c r="AA102" s="65"/>
    </row>
    <row r="103" spans="24:27">
      <c r="X103" s="84"/>
      <c r="Z103" s="65"/>
      <c r="AA103" s="65"/>
    </row>
    <row r="104" spans="24:27">
      <c r="X104" s="84"/>
      <c r="Z104" s="65"/>
      <c r="AA104" s="65"/>
    </row>
    <row r="105" spans="24:27">
      <c r="X105" s="84"/>
      <c r="Z105" s="65"/>
      <c r="AA105" s="65"/>
    </row>
    <row r="106" spans="24:27">
      <c r="X106" s="84"/>
      <c r="Z106" s="65"/>
      <c r="AA106" s="65"/>
    </row>
    <row r="107" spans="24:27">
      <c r="X107" s="84"/>
      <c r="Z107" s="65"/>
      <c r="AA107" s="65"/>
    </row>
    <row r="108" spans="24:27">
      <c r="X108" s="84"/>
      <c r="Z108" s="65"/>
      <c r="AA108" s="65"/>
    </row>
    <row r="109" spans="24:27">
      <c r="X109" s="84"/>
      <c r="Z109" s="65"/>
      <c r="AA109" s="65"/>
    </row>
    <row r="110" spans="24:27">
      <c r="X110" s="84"/>
      <c r="Z110" s="65"/>
      <c r="AA110" s="65"/>
    </row>
    <row r="111" spans="24:27">
      <c r="X111" s="84"/>
      <c r="Z111" s="65"/>
      <c r="AA111" s="65"/>
    </row>
    <row r="112" spans="24:27">
      <c r="X112" s="84"/>
      <c r="Z112" s="65"/>
      <c r="AA112" s="65"/>
    </row>
    <row r="113" spans="24:27">
      <c r="X113" s="84"/>
      <c r="Z113" s="65"/>
      <c r="AA113" s="65"/>
    </row>
    <row r="114" spans="24:27">
      <c r="X114" s="84"/>
      <c r="Z114" s="65"/>
      <c r="AA114" s="65"/>
    </row>
    <row r="115" spans="24:27">
      <c r="X115" s="84"/>
      <c r="Z115" s="65"/>
      <c r="AA115" s="65"/>
    </row>
    <row r="116" spans="24:27">
      <c r="X116" s="84"/>
      <c r="Z116" s="65"/>
      <c r="AA116" s="65"/>
    </row>
    <row r="117" spans="24:27">
      <c r="X117" s="84"/>
      <c r="Z117" s="65"/>
      <c r="AA117" s="65"/>
    </row>
    <row r="118" spans="24:27">
      <c r="X118" s="84"/>
      <c r="Z118" s="65"/>
      <c r="AA118" s="65"/>
    </row>
    <row r="119" spans="24:27">
      <c r="X119" s="84"/>
      <c r="Z119" s="65"/>
      <c r="AA119" s="65"/>
    </row>
    <row r="120" spans="24:27">
      <c r="X120" s="84"/>
      <c r="Z120" s="65"/>
      <c r="AA120" s="65"/>
    </row>
    <row r="121" spans="24:27">
      <c r="X121" s="84"/>
      <c r="Z121" s="65"/>
      <c r="AA121" s="65"/>
    </row>
    <row r="122" spans="24:27">
      <c r="X122" s="84"/>
      <c r="Z122" s="65"/>
      <c r="AA122" s="65"/>
    </row>
    <row r="123" spans="21:27">
      <c r="U123" s="85"/>
      <c r="X123" s="84"/>
      <c r="Z123" s="65"/>
      <c r="AA123" s="65"/>
    </row>
    <row r="124" spans="21:27">
      <c r="U124" s="54"/>
      <c r="X124" s="84"/>
      <c r="Z124" s="65"/>
      <c r="AA124" s="65"/>
    </row>
    <row r="125" spans="24:27">
      <c r="X125" s="84"/>
      <c r="Z125" s="65"/>
      <c r="AA125" s="65"/>
    </row>
    <row r="126" spans="24:27">
      <c r="X126" s="84"/>
      <c r="Z126" s="65"/>
      <c r="AA126" s="65"/>
    </row>
    <row r="127" spans="24:27">
      <c r="X127" s="84"/>
      <c r="Z127" s="65"/>
      <c r="AA127" s="65"/>
    </row>
    <row r="128" spans="24:27">
      <c r="X128" s="84"/>
      <c r="Z128" s="65"/>
      <c r="AA128" s="65"/>
    </row>
    <row r="129" spans="24:27">
      <c r="X129" s="84"/>
      <c r="Z129" s="65"/>
      <c r="AA129" s="65"/>
    </row>
    <row r="130" spans="21:27">
      <c r="U130" s="85"/>
      <c r="X130" s="84"/>
      <c r="Z130" s="65"/>
      <c r="AA130" s="65"/>
    </row>
    <row r="131" spans="21:27">
      <c r="U131" s="85"/>
      <c r="X131" s="84"/>
      <c r="Z131" s="65"/>
      <c r="AA131" s="65"/>
    </row>
    <row r="132" spans="21:27">
      <c r="U132" s="85"/>
      <c r="X132" s="84"/>
      <c r="Z132" s="65"/>
      <c r="AA132" s="65"/>
    </row>
    <row r="133" spans="21:27">
      <c r="U133" s="85"/>
      <c r="X133" s="84"/>
      <c r="Z133" s="65"/>
      <c r="AA133" s="65"/>
    </row>
    <row r="134" spans="21:27">
      <c r="U134" s="85"/>
      <c r="X134" s="84"/>
      <c r="Z134" s="65"/>
      <c r="AA134" s="65"/>
    </row>
    <row r="135" spans="21:27">
      <c r="U135" s="85"/>
      <c r="X135" s="84"/>
      <c r="Z135" s="65"/>
      <c r="AA135" s="65"/>
    </row>
    <row r="136" spans="21:27">
      <c r="U136" s="85"/>
      <c r="X136" s="84"/>
      <c r="Z136" s="65"/>
      <c r="AA136" s="65"/>
    </row>
    <row r="137" spans="21:27">
      <c r="U137" s="85"/>
      <c r="X137" s="84"/>
      <c r="Z137" s="65"/>
      <c r="AA137" s="65"/>
    </row>
    <row r="138" spans="21:27">
      <c r="U138" s="85"/>
      <c r="X138" s="84"/>
      <c r="Z138" s="65"/>
      <c r="AA138" s="65"/>
    </row>
    <row r="139" spans="21:27">
      <c r="U139" s="85"/>
      <c r="X139" s="84"/>
      <c r="Z139" s="65"/>
      <c r="AA139" s="65"/>
    </row>
    <row r="140" spans="21:27">
      <c r="U140" s="86"/>
      <c r="X140" s="84"/>
      <c r="Z140" s="65"/>
      <c r="AA140" s="65"/>
    </row>
    <row r="141" spans="21:27">
      <c r="U141" s="60"/>
      <c r="X141" s="84"/>
      <c r="Z141" s="65"/>
      <c r="AA141" s="65"/>
    </row>
    <row r="142" spans="21:27">
      <c r="U142" s="60"/>
      <c r="X142" s="84"/>
      <c r="Z142" s="65"/>
      <c r="AA142" s="65"/>
    </row>
    <row r="143" spans="21:27">
      <c r="U143" s="60"/>
      <c r="X143" s="84"/>
      <c r="Z143" s="65"/>
      <c r="AA143" s="65"/>
    </row>
    <row r="144" customHeight="1" spans="21:27">
      <c r="U144" s="54"/>
      <c r="X144" s="84"/>
      <c r="Z144" s="65"/>
      <c r="AA144" s="65"/>
    </row>
    <row r="145" customHeight="1" spans="21:27">
      <c r="U145" s="53"/>
      <c r="X145" s="84"/>
      <c r="Z145" s="65"/>
      <c r="AA145" s="65"/>
    </row>
    <row r="146" customHeight="1" spans="21:27">
      <c r="U146" s="53"/>
      <c r="X146" s="84"/>
      <c r="Z146" s="65"/>
      <c r="AA146" s="65"/>
    </row>
    <row r="147" customHeight="1" spans="21:27">
      <c r="U147" s="56"/>
      <c r="X147" s="84"/>
      <c r="Z147" s="65"/>
      <c r="AA147" s="65"/>
    </row>
    <row r="148" customHeight="1" spans="21:27">
      <c r="U148" s="53"/>
      <c r="X148" s="84"/>
      <c r="Z148" s="65"/>
      <c r="AA148" s="65"/>
    </row>
    <row r="149" customHeight="1" spans="21:27">
      <c r="U149" s="53"/>
      <c r="X149" s="84"/>
      <c r="Z149" s="65"/>
      <c r="AA149" s="65"/>
    </row>
    <row r="150" customHeight="1" spans="21:27">
      <c r="U150" s="53"/>
      <c r="X150" s="84"/>
      <c r="Z150" s="65"/>
      <c r="AA150" s="65"/>
    </row>
    <row r="151" customHeight="1" spans="21:27">
      <c r="U151" s="53"/>
      <c r="X151" s="84"/>
      <c r="Z151" s="65"/>
      <c r="AA151" s="65"/>
    </row>
    <row r="152" customHeight="1" spans="21:27">
      <c r="U152" s="56"/>
      <c r="X152" s="84"/>
      <c r="Z152" s="65"/>
      <c r="AA152" s="65"/>
    </row>
    <row r="153" customHeight="1" spans="21:27">
      <c r="U153" s="53"/>
      <c r="X153" s="84"/>
      <c r="Z153" s="65"/>
      <c r="AA153" s="65"/>
    </row>
    <row r="154" customHeight="1" spans="21:27">
      <c r="U154" s="53"/>
      <c r="X154" s="84"/>
      <c r="Z154" s="65"/>
      <c r="AA154" s="65"/>
    </row>
    <row r="155" customHeight="1" spans="21:27">
      <c r="U155" s="53"/>
      <c r="X155" s="84"/>
      <c r="Z155" s="65"/>
      <c r="AA155" s="65"/>
    </row>
    <row r="156" spans="21:27">
      <c r="U156" s="57"/>
      <c r="X156" s="84"/>
      <c r="Z156" s="65"/>
      <c r="AA156" s="65"/>
    </row>
    <row r="157" spans="21:27">
      <c r="U157" s="57"/>
      <c r="X157" s="84"/>
      <c r="Z157" s="65"/>
      <c r="AA157" s="65"/>
    </row>
    <row r="158" spans="21:27">
      <c r="U158" s="57"/>
      <c r="X158" s="84"/>
      <c r="Z158" s="65"/>
      <c r="AA158" s="65"/>
    </row>
    <row r="159" spans="21:27">
      <c r="U159" s="57"/>
      <c r="X159" s="84"/>
      <c r="Z159" s="65"/>
      <c r="AA159" s="65"/>
    </row>
    <row r="160" customHeight="1" spans="21:27">
      <c r="U160" s="54"/>
      <c r="X160" s="84"/>
      <c r="Z160" s="65"/>
      <c r="AA160" s="65"/>
    </row>
    <row r="161" customHeight="1" spans="21:27">
      <c r="U161" s="54"/>
      <c r="X161" s="84"/>
      <c r="Z161" s="65"/>
      <c r="AA161" s="65"/>
    </row>
    <row r="162" customHeight="1" spans="21:27">
      <c r="U162" s="54"/>
      <c r="X162" s="84"/>
      <c r="Z162" s="65"/>
      <c r="AA162" s="65"/>
    </row>
    <row r="163" customHeight="1" spans="21:27">
      <c r="U163" s="54"/>
      <c r="X163" s="84"/>
      <c r="Z163" s="65"/>
      <c r="AA163" s="65"/>
    </row>
    <row r="164" customHeight="1" spans="21:27">
      <c r="U164" s="54"/>
      <c r="X164" s="84"/>
      <c r="Z164" s="65"/>
      <c r="AA164" s="65"/>
    </row>
    <row r="165" customHeight="1" spans="21:27">
      <c r="U165" s="54"/>
      <c r="X165" s="84"/>
      <c r="Z165" s="65"/>
      <c r="AA165" s="65"/>
    </row>
    <row r="166" customHeight="1" spans="21:27">
      <c r="U166" s="54"/>
      <c r="X166" s="84"/>
      <c r="Z166" s="65"/>
      <c r="AA166" s="65"/>
    </row>
    <row r="167" customHeight="1" spans="21:27">
      <c r="U167" s="54"/>
      <c r="X167" s="84"/>
      <c r="Z167" s="65"/>
      <c r="AA167" s="65"/>
    </row>
    <row r="168" customHeight="1" spans="24:27">
      <c r="X168" s="84"/>
      <c r="Z168" s="65"/>
      <c r="AA168" s="65"/>
    </row>
    <row r="169" customHeight="1" spans="24:27">
      <c r="X169" s="84"/>
      <c r="Z169" s="65"/>
      <c r="AA169" s="65"/>
    </row>
    <row r="170" customHeight="1" spans="24:27">
      <c r="X170" s="84"/>
      <c r="Z170" s="65"/>
      <c r="AA170" s="65"/>
    </row>
    <row r="171" customHeight="1" spans="24:27">
      <c r="X171" s="84"/>
      <c r="Z171" s="65"/>
      <c r="AA171" s="65"/>
    </row>
    <row r="172" customHeight="1" spans="24:27">
      <c r="X172" s="84"/>
      <c r="Z172" s="65"/>
      <c r="AA172" s="65"/>
    </row>
    <row r="173" customHeight="1" spans="24:27">
      <c r="X173" s="84"/>
      <c r="Z173" s="65"/>
      <c r="AA173" s="65"/>
    </row>
    <row r="174" customHeight="1" spans="24:27">
      <c r="X174" s="84"/>
      <c r="Z174" s="65"/>
      <c r="AA174" s="65"/>
    </row>
    <row r="175" customHeight="1" spans="24:27">
      <c r="X175" s="84"/>
      <c r="Z175" s="65"/>
      <c r="AA175" s="65"/>
    </row>
    <row r="176" customHeight="1" spans="24:27">
      <c r="X176" s="84"/>
      <c r="Z176" s="65"/>
      <c r="AA176" s="65"/>
    </row>
    <row r="177" customHeight="1" spans="24:27">
      <c r="X177" s="84"/>
      <c r="Z177" s="65"/>
      <c r="AA177" s="65"/>
    </row>
    <row r="178" customHeight="1" spans="24:27">
      <c r="X178" s="84"/>
      <c r="Z178" s="65"/>
      <c r="AA178" s="65"/>
    </row>
    <row r="179" customHeight="1" spans="24:27">
      <c r="X179" s="84"/>
      <c r="Z179" s="65"/>
      <c r="AA179" s="65"/>
    </row>
    <row r="180" customHeight="1" spans="24:27">
      <c r="X180" s="84"/>
      <c r="Z180" s="65"/>
      <c r="AA180" s="65"/>
    </row>
    <row r="181" customHeight="1" spans="24:27">
      <c r="X181" s="84"/>
      <c r="Z181" s="65"/>
      <c r="AA181" s="65"/>
    </row>
    <row r="182" customHeight="1" spans="24:27">
      <c r="X182" s="84"/>
      <c r="Z182" s="65"/>
      <c r="AA182" s="65"/>
    </row>
    <row r="183" customHeight="1" spans="24:27">
      <c r="X183" s="84"/>
      <c r="Z183" s="65"/>
      <c r="AA183" s="65"/>
    </row>
    <row r="184" customHeight="1" spans="24:27">
      <c r="X184" s="84"/>
      <c r="Z184" s="65"/>
      <c r="AA184" s="65"/>
    </row>
    <row r="185" customHeight="1" spans="24:27">
      <c r="X185" s="84"/>
      <c r="Z185" s="65"/>
      <c r="AA185" s="65"/>
    </row>
    <row r="186" customHeight="1" spans="24:27">
      <c r="X186" s="84"/>
      <c r="Z186" s="65"/>
      <c r="AA186" s="65"/>
    </row>
    <row r="187" customHeight="1" spans="24:27">
      <c r="X187" s="84"/>
      <c r="Z187" s="65"/>
      <c r="AA187" s="65"/>
    </row>
    <row r="188" customHeight="1" spans="24:27">
      <c r="X188" s="84"/>
      <c r="Z188" s="65"/>
      <c r="AA188" s="65"/>
    </row>
    <row r="189" customHeight="1" spans="24:27">
      <c r="X189" s="84"/>
      <c r="Z189" s="65"/>
      <c r="AA189" s="65"/>
    </row>
    <row r="190" customHeight="1" spans="24:27">
      <c r="X190" s="84"/>
      <c r="Z190" s="65"/>
      <c r="AA190" s="65"/>
    </row>
    <row r="191" customHeight="1" spans="24:27">
      <c r="X191" s="84"/>
      <c r="Z191" s="65"/>
      <c r="AA191" s="65"/>
    </row>
    <row r="192" customHeight="1" spans="24:27">
      <c r="X192" s="84"/>
      <c r="Z192" s="65"/>
      <c r="AA192" s="65"/>
    </row>
    <row r="193" customHeight="1" spans="24:27">
      <c r="X193" s="84"/>
      <c r="Z193" s="65"/>
      <c r="AA193" s="65"/>
    </row>
    <row r="194" customHeight="1" spans="24:27">
      <c r="X194" s="84"/>
      <c r="Z194" s="65"/>
      <c r="AA194" s="65"/>
    </row>
    <row r="195" customHeight="1" spans="24:27">
      <c r="X195" s="84"/>
      <c r="Z195" s="65"/>
      <c r="AA195" s="65"/>
    </row>
    <row r="196" customHeight="1" spans="24:27">
      <c r="X196" s="84"/>
      <c r="Z196" s="65"/>
      <c r="AA196" s="65"/>
    </row>
    <row r="197" customHeight="1" spans="24:27">
      <c r="X197" s="84"/>
      <c r="Z197" s="65"/>
      <c r="AA197" s="65"/>
    </row>
    <row r="198" customHeight="1" spans="24:27">
      <c r="X198" s="84"/>
      <c r="Z198" s="65"/>
      <c r="AA198" s="65"/>
    </row>
    <row r="199" customHeight="1" spans="24:27">
      <c r="X199" s="84"/>
      <c r="Z199" s="65"/>
      <c r="AA199" s="65"/>
    </row>
    <row r="200" customHeight="1" spans="24:27">
      <c r="X200" s="84"/>
      <c r="Z200" s="65"/>
      <c r="AA200" s="65"/>
    </row>
    <row r="201" customHeight="1" spans="24:27">
      <c r="X201" s="84"/>
      <c r="Z201" s="65"/>
      <c r="AA201" s="65"/>
    </row>
    <row r="202" customHeight="1" spans="24:27">
      <c r="X202" s="84"/>
      <c r="Z202" s="65"/>
      <c r="AA202" s="65"/>
    </row>
    <row r="203" customHeight="1" spans="24:27">
      <c r="X203" s="84"/>
      <c r="Z203" s="65"/>
      <c r="AA203" s="65"/>
    </row>
    <row r="204" customHeight="1" spans="24:27">
      <c r="X204" s="84"/>
      <c r="Z204" s="65"/>
      <c r="AA204" s="65"/>
    </row>
    <row r="205" customHeight="1" spans="24:27">
      <c r="X205" s="84"/>
      <c r="Z205" s="65"/>
      <c r="AA205" s="65"/>
    </row>
    <row r="206" customHeight="1" spans="24:27">
      <c r="X206" s="84"/>
      <c r="Z206" s="65"/>
      <c r="AA206" s="65"/>
    </row>
    <row r="207" customHeight="1" spans="24:27">
      <c r="X207" s="84"/>
      <c r="Z207" s="65"/>
      <c r="AA207" s="65"/>
    </row>
    <row r="208" customHeight="1" spans="24:27">
      <c r="X208" s="84"/>
      <c r="Z208" s="65"/>
      <c r="AA208" s="65"/>
    </row>
    <row r="209" customHeight="1" spans="24:27">
      <c r="X209" s="84"/>
      <c r="Z209" s="65"/>
      <c r="AA209" s="65"/>
    </row>
    <row r="210" customHeight="1" spans="24:27">
      <c r="X210" s="84"/>
      <c r="Z210" s="65"/>
      <c r="AA210" s="65"/>
    </row>
    <row r="211" customHeight="1" spans="24:27">
      <c r="X211" s="84"/>
      <c r="Z211" s="65"/>
      <c r="AA211" s="65"/>
    </row>
    <row r="212" customHeight="1" spans="24:27">
      <c r="X212" s="84"/>
      <c r="Z212" s="65"/>
      <c r="AA212" s="65"/>
    </row>
    <row r="213" customHeight="1" spans="24:27">
      <c r="X213" s="84"/>
      <c r="Z213" s="65"/>
      <c r="AA213" s="65"/>
    </row>
    <row r="214" customHeight="1" spans="24:27">
      <c r="X214" s="84"/>
      <c r="Z214" s="65"/>
      <c r="AA214" s="65"/>
    </row>
    <row r="215" customHeight="1" spans="24:27">
      <c r="X215" s="84"/>
      <c r="Z215" s="65"/>
      <c r="AA215" s="65"/>
    </row>
    <row r="216" customHeight="1" spans="24:27">
      <c r="X216" s="84"/>
      <c r="Z216" s="65"/>
      <c r="AA216" s="65"/>
    </row>
    <row r="217" customHeight="1" spans="24:27">
      <c r="X217" s="84"/>
      <c r="Z217" s="65"/>
      <c r="AA217" s="65"/>
    </row>
    <row r="218" customHeight="1" spans="24:27">
      <c r="X218" s="84"/>
      <c r="Z218" s="65"/>
      <c r="AA218" s="65"/>
    </row>
    <row r="219" customHeight="1" spans="24:27">
      <c r="X219" s="84"/>
      <c r="Z219" s="65"/>
      <c r="AA219" s="65"/>
    </row>
    <row r="220" customHeight="1" spans="21:27">
      <c r="U220" s="85"/>
      <c r="X220" s="84"/>
      <c r="Z220" s="65"/>
      <c r="AA220" s="65"/>
    </row>
    <row r="221" customHeight="1" spans="21:27">
      <c r="U221" s="53"/>
      <c r="X221" s="84"/>
      <c r="Z221" s="65"/>
      <c r="AA221" s="65"/>
    </row>
    <row r="222" spans="21:27">
      <c r="U222" s="57"/>
      <c r="X222" s="84"/>
      <c r="Z222" s="65"/>
      <c r="AA222" s="65"/>
    </row>
    <row r="223" spans="21:27">
      <c r="U223" s="57"/>
      <c r="X223" s="84"/>
      <c r="Z223" s="65"/>
      <c r="AA223" s="65"/>
    </row>
    <row r="224" customHeight="1" spans="21:27">
      <c r="U224" s="54"/>
      <c r="X224" s="84"/>
      <c r="Z224" s="65"/>
      <c r="AA224" s="65"/>
    </row>
    <row r="225" customHeight="1" spans="21:27">
      <c r="U225" s="54"/>
      <c r="X225" s="84"/>
      <c r="Z225" s="65"/>
      <c r="AA225" s="65"/>
    </row>
    <row r="226" customHeight="1" spans="24:27">
      <c r="X226" s="84"/>
      <c r="Z226" s="65"/>
      <c r="AA226" s="65"/>
    </row>
    <row r="227" customHeight="1" spans="24:27">
      <c r="X227" s="84"/>
      <c r="Z227" s="65"/>
      <c r="AA227" s="65"/>
    </row>
    <row r="228" customHeight="1" spans="24:27">
      <c r="X228" s="84"/>
      <c r="Z228" s="65"/>
      <c r="AA228" s="65"/>
    </row>
    <row r="229" customHeight="1" spans="24:27">
      <c r="X229" s="84"/>
      <c r="Z229" s="65"/>
      <c r="AA229" s="65"/>
    </row>
    <row r="230" customHeight="1" spans="24:27">
      <c r="X230" s="84"/>
      <c r="Z230" s="65"/>
      <c r="AA230" s="65"/>
    </row>
    <row r="231" customHeight="1" spans="24:27">
      <c r="X231" s="84"/>
      <c r="Z231" s="65"/>
      <c r="AA231" s="65"/>
    </row>
    <row r="232" customHeight="1" spans="24:27">
      <c r="X232" s="84"/>
      <c r="Z232" s="65"/>
      <c r="AA232" s="65"/>
    </row>
    <row r="233" customHeight="1" spans="24:27">
      <c r="X233" s="84"/>
      <c r="Z233" s="65"/>
      <c r="AA233" s="65"/>
    </row>
    <row r="234" customHeight="1" spans="24:27">
      <c r="X234" s="84"/>
      <c r="Z234" s="65"/>
      <c r="AA234" s="65"/>
    </row>
    <row r="235" customHeight="1" spans="24:27">
      <c r="X235" s="84"/>
      <c r="Z235" s="65"/>
      <c r="AA235" s="65"/>
    </row>
    <row r="236" customHeight="1" spans="24:27">
      <c r="X236" s="84"/>
      <c r="Z236" s="65"/>
      <c r="AA236" s="65"/>
    </row>
    <row r="237" customHeight="1" spans="21:27">
      <c r="U237" s="53"/>
      <c r="X237" s="84"/>
      <c r="Z237" s="65"/>
      <c r="AA237" s="65"/>
    </row>
    <row r="238" customHeight="1" spans="21:27">
      <c r="U238" s="53"/>
      <c r="X238" s="84"/>
      <c r="Z238" s="65"/>
      <c r="AA238" s="65"/>
    </row>
    <row r="239" customHeight="1" spans="24:27">
      <c r="X239" s="84"/>
      <c r="Z239" s="65"/>
      <c r="AA239" s="65"/>
    </row>
    <row r="240" customHeight="1" spans="24:27">
      <c r="X240" s="84"/>
      <c r="Z240" s="65"/>
      <c r="AA240" s="65"/>
    </row>
    <row r="241" customHeight="1" spans="24:27">
      <c r="X241" s="84"/>
      <c r="Z241" s="65"/>
      <c r="AA241" s="65"/>
    </row>
    <row r="242" customHeight="1" spans="21:27">
      <c r="U242" s="86"/>
      <c r="X242" s="84"/>
      <c r="Z242" s="65"/>
      <c r="AA242" s="65"/>
    </row>
    <row r="243" spans="21:27">
      <c r="U243" s="60"/>
      <c r="X243" s="84"/>
      <c r="Z243" s="65"/>
      <c r="AA243" s="65"/>
    </row>
    <row r="244" customHeight="1" spans="21:27">
      <c r="U244" s="53"/>
      <c r="X244" s="84"/>
      <c r="Z244" s="65"/>
      <c r="AA244" s="65"/>
    </row>
    <row r="245" customHeight="1" spans="21:27">
      <c r="U245" s="56"/>
      <c r="X245" s="84"/>
      <c r="Z245" s="65"/>
      <c r="AA245" s="65"/>
    </row>
    <row r="246" customHeight="1" spans="21:27">
      <c r="U246" s="53"/>
      <c r="X246" s="84"/>
      <c r="Z246" s="65"/>
      <c r="AA246" s="65"/>
    </row>
    <row r="247" customHeight="1" spans="21:27">
      <c r="U247" s="53"/>
      <c r="X247" s="84"/>
      <c r="Z247" s="65"/>
      <c r="AA247" s="65"/>
    </row>
    <row r="248" customHeight="1" spans="21:27">
      <c r="U248" s="53"/>
      <c r="X248" s="84"/>
      <c r="Z248" s="65"/>
      <c r="AA248" s="65"/>
    </row>
    <row r="249" customHeight="1" spans="21:27">
      <c r="U249" s="53"/>
      <c r="X249" s="84"/>
      <c r="Z249" s="65"/>
      <c r="AA249" s="65"/>
    </row>
    <row r="250" customHeight="1" spans="21:27">
      <c r="U250" s="53"/>
      <c r="X250" s="84"/>
      <c r="Z250" s="65"/>
      <c r="AA250" s="65"/>
    </row>
    <row r="251" spans="21:27">
      <c r="U251" s="57"/>
      <c r="X251" s="84"/>
      <c r="Z251" s="65"/>
      <c r="AA251" s="65"/>
    </row>
    <row r="252" spans="21:27">
      <c r="U252" s="57"/>
      <c r="X252" s="84"/>
      <c r="Z252" s="65"/>
      <c r="AA252" s="65"/>
    </row>
    <row r="253" customHeight="1" spans="21:27">
      <c r="U253" s="54"/>
      <c r="X253" s="84"/>
      <c r="Z253" s="65"/>
      <c r="AA253" s="65"/>
    </row>
    <row r="254" customHeight="1" spans="21:27">
      <c r="U254" s="54"/>
      <c r="X254" s="84"/>
      <c r="Z254" s="65"/>
      <c r="AA254" s="65"/>
    </row>
    <row r="255" customHeight="1" spans="24:27">
      <c r="X255" s="84"/>
      <c r="Z255" s="65"/>
      <c r="AA255" s="65"/>
    </row>
    <row r="256" customHeight="1" spans="24:27">
      <c r="X256" s="84"/>
      <c r="Z256" s="65"/>
      <c r="AA256" s="65"/>
    </row>
    <row r="257" customHeight="1" spans="24:27">
      <c r="X257" s="84"/>
      <c r="Z257" s="65"/>
      <c r="AA257" s="65"/>
    </row>
    <row r="258" customHeight="1" spans="24:27">
      <c r="X258" s="84"/>
      <c r="Z258" s="65"/>
      <c r="AA258" s="65"/>
    </row>
    <row r="259" customHeight="1" spans="24:27">
      <c r="X259" s="84"/>
      <c r="Z259" s="65"/>
      <c r="AA259" s="65"/>
    </row>
    <row r="260" customHeight="1" spans="24:27">
      <c r="X260" s="84"/>
      <c r="Z260" s="65"/>
      <c r="AA260" s="65"/>
    </row>
    <row r="261" customHeight="1" spans="24:27">
      <c r="X261" s="84"/>
      <c r="Z261" s="65"/>
      <c r="AA261" s="65"/>
    </row>
    <row r="262" customHeight="1" spans="24:27">
      <c r="X262" s="84"/>
      <c r="Z262" s="65"/>
      <c r="AA262" s="65"/>
    </row>
    <row r="263" customHeight="1" spans="24:27">
      <c r="X263" s="84"/>
      <c r="Z263" s="65"/>
      <c r="AA263" s="65"/>
    </row>
    <row r="264" customHeight="1" spans="24:27">
      <c r="X264" s="84"/>
      <c r="Z264" s="65"/>
      <c r="AA264" s="65"/>
    </row>
    <row r="265" customHeight="1" spans="24:27">
      <c r="X265" s="84"/>
      <c r="Z265" s="65"/>
      <c r="AA265" s="65"/>
    </row>
    <row r="266" customHeight="1" spans="24:26">
      <c r="X266" s="84"/>
      <c r="Z266" s="65"/>
    </row>
    <row r="267" customHeight="1" spans="24:26">
      <c r="X267" s="84"/>
      <c r="Z267" s="65"/>
    </row>
    <row r="268" customHeight="1" spans="24:26">
      <c r="X268" s="84"/>
      <c r="Z268" s="65"/>
    </row>
    <row r="269" customHeight="1" spans="24:26">
      <c r="X269" s="84"/>
      <c r="Z269" s="65"/>
    </row>
    <row r="270" customHeight="1" spans="24:26">
      <c r="X270" s="84"/>
      <c r="Z270" s="65"/>
    </row>
    <row r="271" customHeight="1" spans="24:26">
      <c r="X271" s="84"/>
      <c r="Z271" s="65"/>
    </row>
    <row r="272" customHeight="1" spans="24:26">
      <c r="X272" s="84"/>
      <c r="Z272" s="65"/>
    </row>
    <row r="273" customHeight="1" spans="24:26">
      <c r="X273" s="84"/>
      <c r="Z273" s="65"/>
    </row>
    <row r="274" customHeight="1" spans="24:26">
      <c r="X274" s="84"/>
      <c r="Z274" s="65"/>
    </row>
    <row r="275" customHeight="1" spans="24:26">
      <c r="X275" s="84"/>
      <c r="Z275" s="65"/>
    </row>
    <row r="276" customHeight="1" spans="24:26">
      <c r="X276" s="84"/>
      <c r="Z276" s="65"/>
    </row>
    <row r="277" customHeight="1" spans="24:26">
      <c r="X277" s="84"/>
      <c r="Z277" s="65"/>
    </row>
    <row r="278" customHeight="1" spans="24:26">
      <c r="X278" s="84"/>
      <c r="Z278" s="65"/>
    </row>
    <row r="279" customHeight="1" spans="24:26">
      <c r="X279" s="84"/>
      <c r="Z279" s="65"/>
    </row>
    <row r="280" customHeight="1" spans="24:26">
      <c r="X280" s="84"/>
      <c r="Z280" s="65"/>
    </row>
    <row r="281" customHeight="1" spans="24:26">
      <c r="X281" s="84"/>
      <c r="Z281" s="65"/>
    </row>
    <row r="282" customHeight="1" spans="21:26">
      <c r="U282" s="53"/>
      <c r="X282" s="84"/>
      <c r="Z282" s="65"/>
    </row>
    <row r="283" customHeight="1" spans="24:26">
      <c r="X283" s="84"/>
      <c r="Z283" s="65"/>
    </row>
    <row r="284" customHeight="1" spans="24:26">
      <c r="X284" s="84"/>
      <c r="Z284" s="65"/>
    </row>
    <row r="285" customHeight="1" spans="24:26">
      <c r="X285" s="84"/>
      <c r="Z285" s="65"/>
    </row>
    <row r="286" customHeight="1" spans="24:26">
      <c r="X286" s="84"/>
      <c r="Z286" s="65"/>
    </row>
    <row r="287" customHeight="1" spans="21:26">
      <c r="U287" s="85"/>
      <c r="X287" s="84"/>
      <c r="Z287" s="65"/>
    </row>
    <row r="288" customHeight="1" spans="21:26">
      <c r="U288" s="86"/>
      <c r="X288" s="84"/>
      <c r="Z288" s="65"/>
    </row>
    <row r="289" customHeight="1" spans="21:26">
      <c r="U289" s="86"/>
      <c r="X289" s="84"/>
      <c r="Z289" s="65"/>
    </row>
    <row r="290" spans="21:26">
      <c r="U290" s="60"/>
      <c r="X290" s="84"/>
      <c r="Z290" s="65"/>
    </row>
    <row r="291" customHeight="1" spans="21:26">
      <c r="U291" s="53"/>
      <c r="X291" s="84"/>
      <c r="Z291" s="65"/>
    </row>
    <row r="292" customHeight="1" spans="21:26">
      <c r="U292" s="53"/>
      <c r="X292" s="84"/>
      <c r="Z292" s="65"/>
    </row>
    <row r="293" spans="21:26">
      <c r="U293" s="57"/>
      <c r="X293" s="84"/>
      <c r="Z293" s="65"/>
    </row>
    <row r="294" customHeight="1" spans="21:26">
      <c r="U294" s="54"/>
      <c r="X294" s="84"/>
      <c r="Z294" s="65"/>
    </row>
    <row r="295" customHeight="1" spans="21:26">
      <c r="U295" s="54"/>
      <c r="X295" s="84"/>
      <c r="Z295" s="65"/>
    </row>
    <row r="296" customHeight="1" spans="21:26">
      <c r="U296" s="54"/>
      <c r="X296" s="84"/>
      <c r="Z296" s="65"/>
    </row>
    <row r="297" customHeight="1" spans="21:26">
      <c r="U297" s="54"/>
      <c r="X297" s="84"/>
      <c r="Z297" s="65"/>
    </row>
    <row r="298" customHeight="1" spans="21:26">
      <c r="U298" s="54"/>
      <c r="X298" s="84"/>
      <c r="Z298" s="65"/>
    </row>
    <row r="299" customHeight="1" spans="24:26">
      <c r="X299" s="84"/>
      <c r="Z299" s="65"/>
    </row>
    <row r="300" customHeight="1" spans="24:26">
      <c r="X300" s="84"/>
      <c r="Z300" s="65"/>
    </row>
    <row r="301" customHeight="1" spans="24:26">
      <c r="X301" s="84"/>
      <c r="Z301" s="65"/>
    </row>
    <row r="302" customHeight="1" spans="24:26">
      <c r="X302" s="84"/>
      <c r="Z302" s="65"/>
    </row>
    <row r="303" customHeight="1" spans="24:26">
      <c r="X303" s="84"/>
      <c r="Z303" s="65"/>
    </row>
    <row r="304" customHeight="1" spans="24:26">
      <c r="X304" s="84"/>
      <c r="Z304" s="65"/>
    </row>
    <row r="305" customHeight="1" spans="24:26">
      <c r="X305" s="84"/>
      <c r="Z305" s="65"/>
    </row>
    <row r="306" customHeight="1" spans="24:26">
      <c r="X306" s="84"/>
      <c r="Z306" s="65"/>
    </row>
    <row r="307" customHeight="1" spans="24:26">
      <c r="X307" s="84"/>
      <c r="Z307" s="65"/>
    </row>
    <row r="308" customHeight="1" spans="24:26">
      <c r="X308" s="84"/>
      <c r="Z308" s="65"/>
    </row>
    <row r="309" customHeight="1" spans="24:26">
      <c r="X309" s="84"/>
      <c r="Z309" s="65"/>
    </row>
    <row r="310" customHeight="1" spans="24:26">
      <c r="X310" s="84"/>
      <c r="Z310" s="65"/>
    </row>
    <row r="311" customHeight="1" spans="24:26">
      <c r="X311" s="84"/>
      <c r="Z311" s="65"/>
    </row>
    <row r="312" customHeight="1" spans="24:26">
      <c r="X312" s="84"/>
      <c r="Z312" s="65"/>
    </row>
    <row r="313" customHeight="1" spans="24:26">
      <c r="X313" s="84"/>
      <c r="Z313" s="65"/>
    </row>
    <row r="314" customHeight="1" spans="24:26">
      <c r="X314" s="84"/>
      <c r="Z314" s="65"/>
    </row>
    <row r="315" customHeight="1" spans="24:26">
      <c r="X315" s="84"/>
      <c r="Z315" s="65"/>
    </row>
    <row r="316" customHeight="1" spans="24:26">
      <c r="X316" s="84"/>
      <c r="Z316" s="65"/>
    </row>
    <row r="317" customHeight="1" spans="24:26">
      <c r="X317" s="84"/>
      <c r="Z317" s="65"/>
    </row>
    <row r="318" customHeight="1" spans="24:26">
      <c r="X318" s="84"/>
      <c r="Z318" s="65"/>
    </row>
    <row r="319" customHeight="1" spans="24:26">
      <c r="X319" s="84"/>
      <c r="Z319" s="65"/>
    </row>
    <row r="320" customHeight="1" spans="21:26">
      <c r="U320" s="85"/>
      <c r="X320" s="84"/>
      <c r="Z320" s="65"/>
    </row>
    <row r="321" customHeight="1" spans="21:26">
      <c r="U321" s="85"/>
      <c r="X321" s="84"/>
      <c r="Z321" s="65"/>
    </row>
    <row r="322" customHeight="1" spans="21:26">
      <c r="U322" s="85"/>
      <c r="X322" s="84"/>
      <c r="Z322" s="65"/>
    </row>
    <row r="323" customHeight="1" spans="21:26">
      <c r="U323" s="85"/>
      <c r="X323" s="84"/>
      <c r="Z323" s="65"/>
    </row>
    <row r="324" customHeight="1" spans="21:26">
      <c r="U324" s="85"/>
      <c r="X324" s="84"/>
      <c r="Z324" s="65"/>
    </row>
    <row r="325" spans="21:26">
      <c r="U325" s="60"/>
      <c r="X325" s="84"/>
      <c r="Z325" s="65"/>
    </row>
    <row r="326" customHeight="1" spans="21:26">
      <c r="U326" s="54"/>
      <c r="X326" s="84"/>
      <c r="Z326" s="65"/>
    </row>
    <row r="327" customHeight="1" spans="21:26">
      <c r="U327" s="53"/>
      <c r="X327" s="84"/>
      <c r="Z327" s="65"/>
    </row>
    <row r="328" customHeight="1" spans="21:26">
      <c r="U328" s="53"/>
      <c r="X328" s="84"/>
      <c r="Z328" s="65"/>
    </row>
    <row r="329" customHeight="1" spans="21:26">
      <c r="U329" s="53"/>
      <c r="X329" s="84"/>
      <c r="Z329" s="65"/>
    </row>
    <row r="330" spans="21:26">
      <c r="U330" s="57"/>
      <c r="X330" s="84"/>
      <c r="Z330" s="65"/>
    </row>
    <row r="331" customHeight="1" spans="21:26">
      <c r="U331" s="54"/>
      <c r="X331" s="84"/>
      <c r="Z331" s="65"/>
    </row>
    <row r="332" customHeight="1" spans="21:26">
      <c r="U332" s="54"/>
      <c r="X332" s="84"/>
      <c r="Z332" s="65"/>
    </row>
    <row r="333" customHeight="1" spans="24:26">
      <c r="X333" s="84"/>
      <c r="Z333" s="65"/>
    </row>
    <row r="334" customHeight="1" spans="24:26">
      <c r="X334" s="84"/>
      <c r="Z334" s="65"/>
    </row>
    <row r="335" customHeight="1" spans="24:26">
      <c r="X335" s="84"/>
      <c r="Z335" s="65"/>
    </row>
    <row r="336" customHeight="1" spans="24:26">
      <c r="X336" s="84"/>
      <c r="Z336" s="65"/>
    </row>
    <row r="337" customHeight="1" spans="24:26">
      <c r="X337" s="84"/>
      <c r="Z337" s="65"/>
    </row>
    <row r="338" customHeight="1" spans="24:26">
      <c r="X338" s="84"/>
      <c r="Z338" s="65"/>
    </row>
    <row r="339" customHeight="1" spans="24:26">
      <c r="X339" s="84"/>
      <c r="Z339" s="65"/>
    </row>
    <row r="340" customHeight="1" spans="24:26">
      <c r="X340" s="84"/>
      <c r="Z340" s="65"/>
    </row>
    <row r="341" customHeight="1" spans="24:26">
      <c r="X341" s="84"/>
      <c r="Z341" s="65"/>
    </row>
    <row r="342" customHeight="1" spans="24:26">
      <c r="X342" s="84"/>
      <c r="Z342" s="65"/>
    </row>
    <row r="343" customHeight="1" spans="24:26">
      <c r="X343" s="84"/>
      <c r="Z343" s="65"/>
    </row>
    <row r="344" customHeight="1" spans="24:26">
      <c r="X344" s="84"/>
      <c r="Z344" s="65"/>
    </row>
    <row r="345" customHeight="1" spans="24:26">
      <c r="X345" s="84"/>
      <c r="Z345" s="65"/>
    </row>
    <row r="346" customHeight="1" spans="24:26">
      <c r="X346" s="84"/>
      <c r="Z346" s="65"/>
    </row>
    <row r="347" customHeight="1" spans="24:26">
      <c r="X347" s="84"/>
      <c r="Z347" s="65"/>
    </row>
    <row r="348" customHeight="1" spans="24:26">
      <c r="X348" s="84"/>
      <c r="Z348" s="65"/>
    </row>
    <row r="349" customHeight="1" spans="24:26">
      <c r="X349" s="84"/>
      <c r="Z349" s="65"/>
    </row>
    <row r="350" customHeight="1" spans="21:26">
      <c r="U350" s="85"/>
      <c r="X350" s="84"/>
      <c r="Z350" s="65"/>
    </row>
    <row r="351" customHeight="1" spans="21:26">
      <c r="U351" s="85"/>
      <c r="X351" s="84"/>
      <c r="Z351" s="65"/>
    </row>
    <row r="352" customHeight="1" spans="21:26">
      <c r="U352" s="85"/>
      <c r="X352" s="84"/>
      <c r="Z352" s="65"/>
    </row>
    <row r="353" customHeight="1" spans="21:26">
      <c r="U353" s="85"/>
      <c r="X353" s="84"/>
      <c r="Z353" s="65"/>
    </row>
    <row r="354" customHeight="1" spans="21:26">
      <c r="U354" s="85"/>
      <c r="X354" s="84"/>
      <c r="Z354" s="65"/>
    </row>
    <row r="355" customHeight="1" spans="21:26">
      <c r="U355" s="85"/>
      <c r="X355" s="84"/>
      <c r="Z355" s="65"/>
    </row>
    <row r="356" customHeight="1" spans="21:26">
      <c r="U356" s="85"/>
      <c r="X356" s="84"/>
      <c r="Z356" s="65"/>
    </row>
    <row r="357" customHeight="1" spans="21:26">
      <c r="U357" s="85"/>
      <c r="X357" s="84"/>
      <c r="Z357" s="65"/>
    </row>
    <row r="358" spans="21:26">
      <c r="U358" s="60"/>
      <c r="X358" s="84"/>
      <c r="Z358" s="65"/>
    </row>
    <row r="359" spans="21:26">
      <c r="U359" s="60"/>
      <c r="X359" s="84"/>
      <c r="Z359" s="65"/>
    </row>
    <row r="360" spans="21:26">
      <c r="U360" s="60"/>
      <c r="X360" s="84"/>
      <c r="Z360" s="65"/>
    </row>
    <row r="361" spans="21:26">
      <c r="U361" s="60"/>
      <c r="X361" s="84"/>
      <c r="Z361" s="65"/>
    </row>
    <row r="362" spans="21:26">
      <c r="U362" s="60"/>
      <c r="X362" s="84"/>
      <c r="Z362" s="65"/>
    </row>
    <row r="363" spans="21:26">
      <c r="U363" s="60"/>
      <c r="X363" s="84"/>
      <c r="Z363" s="65"/>
    </row>
    <row r="364" customHeight="1" spans="21:26">
      <c r="U364" s="53"/>
      <c r="X364" s="84"/>
      <c r="Z364" s="65"/>
    </row>
    <row r="365" customHeight="1" spans="21:26">
      <c r="U365" s="53"/>
      <c r="X365" s="84"/>
      <c r="Z365" s="65"/>
    </row>
    <row r="366" customHeight="1" spans="21:26">
      <c r="U366" s="53"/>
      <c r="X366" s="84"/>
      <c r="Z366" s="65"/>
    </row>
    <row r="367" customHeight="1" spans="21:26">
      <c r="U367" s="56"/>
      <c r="X367" s="84"/>
      <c r="Z367" s="65"/>
    </row>
    <row r="368" spans="21:26">
      <c r="U368" s="57"/>
      <c r="X368" s="84"/>
      <c r="Z368" s="65"/>
    </row>
    <row r="369" spans="21:26">
      <c r="U369" s="57"/>
      <c r="X369" s="84"/>
      <c r="Z369" s="65"/>
    </row>
    <row r="370" customHeight="1" spans="21:26">
      <c r="U370" s="54"/>
      <c r="X370" s="84"/>
      <c r="Z370" s="65"/>
    </row>
    <row r="371" customHeight="1" spans="21:26">
      <c r="U371" s="54"/>
      <c r="X371" s="84"/>
      <c r="Z371" s="65"/>
    </row>
    <row r="372" customHeight="1" spans="21:26">
      <c r="U372" s="54"/>
      <c r="X372" s="84"/>
      <c r="Z372" s="65"/>
    </row>
    <row r="373" customHeight="1" spans="21:26">
      <c r="U373" s="54"/>
      <c r="X373" s="84"/>
      <c r="Z373" s="65"/>
    </row>
    <row r="374" customHeight="1" spans="21:26">
      <c r="U374" s="54"/>
      <c r="X374" s="84"/>
      <c r="Z374" s="65"/>
    </row>
    <row r="375" customHeight="1" spans="24:26">
      <c r="X375" s="84"/>
      <c r="Z375" s="65"/>
    </row>
    <row r="376" customHeight="1" spans="24:26">
      <c r="X376" s="84"/>
      <c r="Z376" s="65"/>
    </row>
    <row r="377" customHeight="1" spans="24:26">
      <c r="X377" s="84"/>
      <c r="Z377" s="65"/>
    </row>
    <row r="378" customHeight="1" spans="24:26">
      <c r="X378" s="84"/>
      <c r="Z378" s="65"/>
    </row>
    <row r="379" customHeight="1" spans="24:26">
      <c r="X379" s="84"/>
      <c r="Z379" s="65"/>
    </row>
    <row r="380" customHeight="1" spans="24:26">
      <c r="X380" s="84"/>
      <c r="Z380" s="65"/>
    </row>
    <row r="381" customHeight="1" spans="24:26">
      <c r="X381" s="84"/>
      <c r="Z381" s="65"/>
    </row>
    <row r="382" customHeight="1" spans="24:26">
      <c r="X382" s="84"/>
      <c r="Z382" s="65"/>
    </row>
    <row r="383" customHeight="1" spans="24:26">
      <c r="X383" s="84"/>
      <c r="Z383" s="65"/>
    </row>
    <row r="384" customHeight="1" spans="24:26">
      <c r="X384" s="84"/>
      <c r="Z384" s="65"/>
    </row>
    <row r="385" customHeight="1" spans="24:26">
      <c r="X385" s="84"/>
      <c r="Z385" s="65"/>
    </row>
    <row r="386" customHeight="1" spans="24:26">
      <c r="X386" s="84"/>
      <c r="Z386" s="65"/>
    </row>
    <row r="387" customHeight="1" spans="24:26">
      <c r="X387" s="84"/>
      <c r="Z387" s="65"/>
    </row>
    <row r="388" customHeight="1" spans="24:26">
      <c r="X388" s="84"/>
      <c r="Z388" s="65"/>
    </row>
    <row r="389" customHeight="1" spans="24:26">
      <c r="X389" s="84"/>
      <c r="Z389" s="65"/>
    </row>
    <row r="390" customHeight="1" spans="24:26">
      <c r="X390" s="84"/>
      <c r="Z390" s="65"/>
    </row>
    <row r="391" customHeight="1" spans="24:26">
      <c r="X391" s="84"/>
      <c r="Z391" s="65"/>
    </row>
    <row r="392" customHeight="1" spans="24:26">
      <c r="X392" s="84"/>
      <c r="Z392" s="65"/>
    </row>
    <row r="393" customHeight="1" spans="24:26">
      <c r="X393" s="84"/>
      <c r="Z393" s="65"/>
    </row>
    <row r="394" customHeight="1" spans="24:26">
      <c r="X394" s="84"/>
      <c r="Z394" s="65"/>
    </row>
    <row r="395" customHeight="1" spans="24:26">
      <c r="X395" s="84"/>
      <c r="Z395" s="65"/>
    </row>
    <row r="396" customHeight="1" spans="24:26">
      <c r="X396" s="84"/>
      <c r="Z396" s="65"/>
    </row>
    <row r="397" customHeight="1" spans="24:26">
      <c r="X397" s="84"/>
      <c r="Z397" s="65"/>
    </row>
    <row r="398" customHeight="1" spans="24:26">
      <c r="X398" s="84"/>
      <c r="Z398" s="65"/>
    </row>
    <row r="399" customHeight="1" spans="24:26">
      <c r="X399" s="84"/>
      <c r="Z399" s="65"/>
    </row>
    <row r="400" customHeight="1" spans="24:26">
      <c r="X400" s="84"/>
      <c r="Z400" s="65"/>
    </row>
    <row r="401" customHeight="1" spans="24:26">
      <c r="X401" s="84"/>
      <c r="Z401" s="65"/>
    </row>
    <row r="402" customHeight="1" spans="24:26">
      <c r="X402" s="84"/>
      <c r="Z402" s="65"/>
    </row>
    <row r="403" customHeight="1" spans="24:26">
      <c r="X403" s="84"/>
      <c r="Z403" s="65"/>
    </row>
    <row r="404" customHeight="1" spans="24:26">
      <c r="X404" s="84"/>
      <c r="Z404" s="65"/>
    </row>
    <row r="405" customHeight="1" spans="24:26">
      <c r="X405" s="84"/>
      <c r="Z405" s="65"/>
    </row>
    <row r="406" customHeight="1" spans="24:26">
      <c r="X406" s="84"/>
      <c r="Z406" s="65"/>
    </row>
    <row r="407" customHeight="1" spans="24:26">
      <c r="X407" s="84"/>
      <c r="Z407" s="65"/>
    </row>
    <row r="408" customHeight="1" spans="24:26">
      <c r="X408" s="84"/>
      <c r="Z408" s="65"/>
    </row>
    <row r="409" customHeight="1" spans="24:26">
      <c r="X409" s="84"/>
      <c r="Z409" s="65"/>
    </row>
    <row r="410" customHeight="1" spans="24:26">
      <c r="X410" s="84"/>
      <c r="Z410" s="65"/>
    </row>
    <row r="411" customHeight="1" spans="24:26">
      <c r="X411" s="84"/>
      <c r="Z411" s="65"/>
    </row>
    <row r="412" customHeight="1" spans="24:26">
      <c r="X412" s="84"/>
      <c r="Z412" s="65"/>
    </row>
    <row r="413" customHeight="1" spans="24:26">
      <c r="X413" s="84"/>
      <c r="Z413" s="65"/>
    </row>
    <row r="414" customHeight="1" spans="24:26">
      <c r="X414" s="84"/>
      <c r="Z414" s="65"/>
    </row>
    <row r="415" customHeight="1" spans="24:26">
      <c r="X415" s="84"/>
      <c r="Z415" s="65"/>
    </row>
    <row r="416" customHeight="1" spans="24:26">
      <c r="X416" s="84"/>
      <c r="Z416" s="65"/>
    </row>
    <row r="417" customHeight="1" spans="24:26">
      <c r="X417" s="84"/>
      <c r="Z417" s="65"/>
    </row>
    <row r="418" customHeight="1" spans="24:26">
      <c r="X418" s="84"/>
      <c r="Z418" s="65"/>
    </row>
    <row r="419" customHeight="1" spans="24:26">
      <c r="X419" s="84"/>
      <c r="Z419" s="65"/>
    </row>
    <row r="420" customHeight="1" spans="24:26">
      <c r="X420" s="84"/>
      <c r="Z420" s="65"/>
    </row>
    <row r="421" customHeight="1" spans="24:26">
      <c r="X421" s="84"/>
      <c r="Z421" s="65"/>
    </row>
    <row r="422" customHeight="1" spans="24:26">
      <c r="X422" s="84"/>
      <c r="Z422" s="65"/>
    </row>
    <row r="423" customHeight="1" spans="24:26">
      <c r="X423" s="84"/>
      <c r="Z423" s="65"/>
    </row>
    <row r="424" customHeight="1" spans="24:26">
      <c r="X424" s="84"/>
      <c r="Z424" s="65"/>
    </row>
    <row r="425" customHeight="1" spans="24:26">
      <c r="X425" s="84"/>
      <c r="Z425" s="65"/>
    </row>
    <row r="426" customHeight="1" spans="24:26">
      <c r="X426" s="84"/>
      <c r="Z426" s="65"/>
    </row>
    <row r="427" customHeight="1" spans="24:26">
      <c r="X427" s="84"/>
      <c r="Z427" s="65"/>
    </row>
    <row r="428" customHeight="1" spans="24:26">
      <c r="X428" s="84"/>
      <c r="Z428" s="65"/>
    </row>
    <row r="429" customHeight="1" spans="24:26">
      <c r="X429" s="84"/>
      <c r="Z429" s="65"/>
    </row>
    <row r="430" customHeight="1" spans="24:26">
      <c r="X430" s="84"/>
      <c r="Z430" s="65"/>
    </row>
    <row r="431" customHeight="1" spans="24:26">
      <c r="X431" s="84"/>
      <c r="Z431" s="65"/>
    </row>
    <row r="432" customHeight="1" spans="24:26">
      <c r="X432" s="84"/>
      <c r="Z432" s="65"/>
    </row>
    <row r="433" customHeight="1" spans="24:26">
      <c r="X433" s="84"/>
      <c r="Z433" s="65"/>
    </row>
    <row r="434" customHeight="1" spans="24:26">
      <c r="X434" s="84"/>
      <c r="Z434" s="65"/>
    </row>
    <row r="435" customHeight="1" spans="24:26">
      <c r="X435" s="84"/>
      <c r="Z435" s="65"/>
    </row>
    <row r="436" customHeight="1" spans="24:26">
      <c r="X436" s="84"/>
      <c r="Z436" s="65"/>
    </row>
    <row r="437" customHeight="1" spans="24:26">
      <c r="X437" s="84"/>
      <c r="Z437" s="65"/>
    </row>
    <row r="438" customHeight="1" spans="24:26">
      <c r="X438" s="84"/>
      <c r="Z438" s="65"/>
    </row>
    <row r="439" customHeight="1" spans="24:26">
      <c r="X439" s="84"/>
      <c r="Z439" s="65"/>
    </row>
    <row r="440" customHeight="1" spans="24:26">
      <c r="X440" s="84"/>
      <c r="Z440" s="65"/>
    </row>
    <row r="441" customHeight="1" spans="24:26">
      <c r="X441" s="84"/>
      <c r="Z441" s="65"/>
    </row>
    <row r="442" customHeight="1" spans="24:26">
      <c r="X442" s="84"/>
      <c r="Z442" s="65"/>
    </row>
    <row r="443" customHeight="1" spans="24:26">
      <c r="X443" s="84"/>
      <c r="Z443" s="65"/>
    </row>
    <row r="444" customHeight="1" spans="24:26">
      <c r="X444" s="84"/>
      <c r="Z444" s="65"/>
    </row>
    <row r="445" spans="21:26">
      <c r="U445" s="60"/>
      <c r="X445" s="84"/>
      <c r="Z445" s="65"/>
    </row>
    <row r="446" customHeight="1" spans="24:26">
      <c r="X446" s="84"/>
      <c r="Z446" s="65"/>
    </row>
    <row r="447" customHeight="1" spans="24:26">
      <c r="X447" s="84"/>
      <c r="Z447" s="65"/>
    </row>
    <row r="448" customHeight="1" spans="24:26">
      <c r="X448" s="84"/>
      <c r="Z448" s="65"/>
    </row>
    <row r="449" customHeight="1" spans="24:26">
      <c r="X449" s="84"/>
      <c r="Z449" s="65"/>
    </row>
    <row r="450" customHeight="1" spans="26:26">
      <c r="Z450" s="65"/>
    </row>
    <row r="451" customHeight="1" spans="26:26">
      <c r="Z451" s="65"/>
    </row>
    <row r="452" customHeight="1" spans="26:26">
      <c r="Z452" s="65"/>
    </row>
    <row r="453" customHeight="1" spans="26:26">
      <c r="Z453" s="65"/>
    </row>
    <row r="454" customHeight="1" spans="26:26">
      <c r="Z454" s="65"/>
    </row>
    <row r="455" customHeight="1" spans="26:26">
      <c r="Z455" s="65"/>
    </row>
    <row r="456" customHeight="1" spans="26:26">
      <c r="Z456" s="65"/>
    </row>
    <row r="457" customHeight="1" spans="26:26">
      <c r="Z457" s="65"/>
    </row>
    <row r="458" customHeight="1" spans="26:26">
      <c r="Z458" s="65"/>
    </row>
    <row r="459" customHeight="1" spans="26:26">
      <c r="Z459" s="65"/>
    </row>
    <row r="460" customHeight="1" spans="26:26">
      <c r="Z460" s="65"/>
    </row>
    <row r="461" customHeight="1" spans="26:26">
      <c r="Z461" s="65"/>
    </row>
    <row r="462" customHeight="1" spans="26:26">
      <c r="Z462" s="65"/>
    </row>
    <row r="463" customHeight="1" spans="26:26">
      <c r="Z463" s="65"/>
    </row>
    <row r="464" customHeight="1" spans="26:26">
      <c r="Z464" s="65"/>
    </row>
    <row r="465" customHeight="1" spans="26:26">
      <c r="Z465" s="65"/>
    </row>
    <row r="466" customHeight="1" spans="26:26">
      <c r="Z466" s="65"/>
    </row>
    <row r="467" customHeight="1" spans="26:26">
      <c r="Z467" s="65"/>
    </row>
    <row r="468" customHeight="1" spans="26:26">
      <c r="Z468" s="65"/>
    </row>
    <row r="469" customHeight="1" spans="26:26">
      <c r="Z469" s="65"/>
    </row>
    <row r="470" customHeight="1" spans="26:26">
      <c r="Z470" s="65"/>
    </row>
    <row r="471" customHeight="1" spans="26:26">
      <c r="Z471" s="65"/>
    </row>
    <row r="472" customHeight="1" spans="26:26">
      <c r="Z472" s="65"/>
    </row>
  </sheetData>
  <sortState ref="U4:X48">
    <sortCondition ref="V4:V48"/>
  </sortState>
  <mergeCells count="19">
    <mergeCell ref="J4:K4"/>
    <mergeCell ref="C5:K5"/>
    <mergeCell ref="C6:K6"/>
    <mergeCell ref="C7:F7"/>
    <mergeCell ref="C8:G8"/>
    <mergeCell ref="H8:K8"/>
    <mergeCell ref="C11:K11"/>
    <mergeCell ref="C12:K12"/>
    <mergeCell ref="C16:K16"/>
    <mergeCell ref="C17:K17"/>
    <mergeCell ref="C20:K20"/>
    <mergeCell ref="C21:K21"/>
    <mergeCell ref="C24:K24"/>
    <mergeCell ref="C18:K19"/>
    <mergeCell ref="C22:K23"/>
    <mergeCell ref="C26:K29"/>
    <mergeCell ref="C9:K10"/>
    <mergeCell ref="C13:K15"/>
    <mergeCell ref="C3:I4"/>
  </mergeCells>
  <pageMargins left="0.7" right="0.7" top="0.75" bottom="0.75" header="0.3" footer="0.3"/>
  <pageSetup paperSize="9" orientation="portrait"/>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Y508"/>
  <sheetViews>
    <sheetView workbookViewId="0">
      <pane ySplit="19" topLeftCell="A20" activePane="bottomLeft" state="frozen"/>
      <selection/>
      <selection pane="bottomLeft" activeCell="F179" sqref="F179:F188"/>
    </sheetView>
  </sheetViews>
  <sheetFormatPr defaultColWidth="9" defaultRowHeight="15.5" customHeight="1"/>
  <cols>
    <col min="1" max="1" width="2.63636363636364" style="1" customWidth="1"/>
    <col min="2" max="2" width="8.72727272727273" style="2"/>
    <col min="3" max="3" width="8.72727272727273" style="3"/>
    <col min="4" max="4" width="9" style="11" hidden="1" customWidth="1"/>
    <col min="5" max="5" width="8.72727272727273" style="3"/>
    <col min="6" max="6" width="51.6363636363636" style="4" customWidth="1"/>
    <col min="7" max="8" width="9" style="11" hidden="1" customWidth="1"/>
    <col min="9" max="10" width="8.72727272727273" style="3"/>
    <col min="11" max="11" width="9" style="11" hidden="1" customWidth="1"/>
    <col min="12" max="14" width="8.72727272727273" style="3"/>
    <col min="15" max="15" width="13.4545454545455" style="3" customWidth="1"/>
    <col min="16" max="16" width="11.0909090909091" style="3" customWidth="1"/>
    <col min="17" max="18" width="8.72727272727273" style="3"/>
    <col min="19" max="19" width="12.9090909090909" style="3" customWidth="1"/>
    <col min="20" max="20" width="8.72727272727273" style="3"/>
    <col min="21" max="21" width="13.0909090909091" style="3" customWidth="1"/>
    <col min="22" max="22" width="17.9090909090909" style="4" customWidth="1"/>
    <col min="23" max="23" width="9" style="11" hidden="1" customWidth="1"/>
    <col min="24" max="24" width="10.8181818181818" style="11" hidden="1" customWidth="1"/>
    <col min="25" max="25" width="9" style="11" hidden="1" customWidth="1"/>
    <col min="26" max="16384" width="8.72727272727273" style="3"/>
  </cols>
  <sheetData>
    <row r="1" s="3" customFormat="1" customHeight="1" spans="1:25">
      <c r="A1" s="1"/>
      <c r="B1" s="5" t="s">
        <v>153</v>
      </c>
      <c r="C1" s="5" t="s">
        <v>154</v>
      </c>
      <c r="D1" s="12" t="s">
        <v>155</v>
      </c>
      <c r="E1" s="5" t="s">
        <v>156</v>
      </c>
      <c r="F1" s="6" t="s">
        <v>157</v>
      </c>
      <c r="G1" s="12" t="s">
        <v>158</v>
      </c>
      <c r="H1" s="12" t="s">
        <v>159</v>
      </c>
      <c r="I1" s="5" t="s">
        <v>160</v>
      </c>
      <c r="J1" s="5" t="s">
        <v>161</v>
      </c>
      <c r="K1" s="12" t="s">
        <v>162</v>
      </c>
      <c r="L1" s="5" t="s">
        <v>163</v>
      </c>
      <c r="M1" s="5" t="s">
        <v>164</v>
      </c>
      <c r="N1" s="5" t="s">
        <v>165</v>
      </c>
      <c r="O1" s="5" t="s">
        <v>166</v>
      </c>
      <c r="P1" s="5" t="s">
        <v>167</v>
      </c>
      <c r="Q1" s="5" t="s">
        <v>168</v>
      </c>
      <c r="R1" s="5" t="s">
        <v>169</v>
      </c>
      <c r="S1" s="5" t="s">
        <v>170</v>
      </c>
      <c r="T1" s="5" t="s">
        <v>171</v>
      </c>
      <c r="U1" s="5" t="s">
        <v>172</v>
      </c>
      <c r="V1" s="6" t="s">
        <v>173</v>
      </c>
      <c r="W1" s="12" t="s">
        <v>174</v>
      </c>
      <c r="X1" s="12" t="s">
        <v>175</v>
      </c>
      <c r="Y1" s="12" t="s">
        <v>176</v>
      </c>
    </row>
    <row r="2" s="11" customFormat="1" hidden="1" customHeight="1" spans="1:25">
      <c r="A2" s="13"/>
      <c r="B2" s="14" t="s">
        <v>177</v>
      </c>
      <c r="C2" s="15" t="s">
        <v>178</v>
      </c>
      <c r="D2" s="11" t="s">
        <v>179</v>
      </c>
      <c r="E2" s="15" t="s">
        <v>179</v>
      </c>
      <c r="F2" s="16" t="s">
        <v>180</v>
      </c>
      <c r="G2" s="15" t="s">
        <v>181</v>
      </c>
      <c r="H2" s="15" t="s">
        <v>182</v>
      </c>
      <c r="I2" s="15" t="s">
        <v>183</v>
      </c>
      <c r="J2" s="15" t="s">
        <v>184</v>
      </c>
      <c r="K2" s="11" t="s">
        <v>185</v>
      </c>
      <c r="L2" s="15" t="s">
        <v>185</v>
      </c>
      <c r="M2" s="15" t="s">
        <v>186</v>
      </c>
      <c r="N2" s="15" t="s">
        <v>187</v>
      </c>
      <c r="O2" s="15">
        <v>1</v>
      </c>
      <c r="P2" s="17">
        <v>42107</v>
      </c>
      <c r="Q2" s="15" t="s">
        <v>188</v>
      </c>
      <c r="R2" s="15" t="s">
        <v>189</v>
      </c>
      <c r="S2" s="15" t="s">
        <v>177</v>
      </c>
      <c r="T2" s="15" t="s">
        <v>190</v>
      </c>
      <c r="U2" s="15" t="s">
        <v>191</v>
      </c>
      <c r="V2" s="15" t="s">
        <v>192</v>
      </c>
      <c r="W2" s="15" t="s">
        <v>193</v>
      </c>
      <c r="X2" s="15" t="s">
        <v>194</v>
      </c>
      <c r="Y2" s="15" t="s">
        <v>195</v>
      </c>
    </row>
    <row r="3" s="11" customFormat="1" hidden="1" customHeight="1" spans="1:25">
      <c r="A3" s="13"/>
      <c r="B3" s="14"/>
      <c r="C3" s="15"/>
      <c r="D3" s="11" t="str">
        <f>D2</f>
        <v>遥控餐厅</v>
      </c>
      <c r="E3" s="15"/>
      <c r="F3" s="16"/>
      <c r="G3" s="15"/>
      <c r="H3" s="15"/>
      <c r="I3" s="15"/>
      <c r="J3" s="15"/>
      <c r="K3" s="11" t="str">
        <f>K2</f>
        <v>运营中</v>
      </c>
      <c r="L3" s="15"/>
      <c r="M3" s="15"/>
      <c r="N3" s="15"/>
      <c r="O3" s="15">
        <v>1</v>
      </c>
      <c r="P3" s="17">
        <v>41960</v>
      </c>
      <c r="Q3" s="15" t="s">
        <v>196</v>
      </c>
      <c r="R3" s="15" t="s">
        <v>197</v>
      </c>
      <c r="S3" s="15" t="s">
        <v>198</v>
      </c>
      <c r="T3" s="15"/>
      <c r="U3" s="15"/>
      <c r="V3" s="15"/>
      <c r="W3" s="15"/>
      <c r="X3" s="15"/>
      <c r="Y3" s="15"/>
    </row>
    <row r="4" s="11" customFormat="1" hidden="1" customHeight="1" spans="1:25">
      <c r="A4" s="13"/>
      <c r="B4" s="14"/>
      <c r="C4" s="15" t="s">
        <v>199</v>
      </c>
      <c r="D4" s="11" t="s">
        <v>200</v>
      </c>
      <c r="E4" s="15" t="s">
        <v>200</v>
      </c>
      <c r="F4" s="16" t="s">
        <v>201</v>
      </c>
      <c r="G4" s="15" t="s">
        <v>202</v>
      </c>
      <c r="H4" s="15" t="s">
        <v>203</v>
      </c>
      <c r="I4" s="15" t="s">
        <v>204</v>
      </c>
      <c r="J4" s="15" t="s">
        <v>184</v>
      </c>
      <c r="K4" s="11" t="s">
        <v>185</v>
      </c>
      <c r="L4" s="15" t="s">
        <v>185</v>
      </c>
      <c r="M4" s="15" t="s">
        <v>205</v>
      </c>
      <c r="N4" s="15" t="s">
        <v>206</v>
      </c>
      <c r="O4" s="15"/>
      <c r="P4" s="17">
        <v>43368</v>
      </c>
      <c r="Q4" s="15" t="s">
        <v>207</v>
      </c>
      <c r="R4" s="15" t="s">
        <v>189</v>
      </c>
      <c r="S4" s="15" t="s">
        <v>208</v>
      </c>
      <c r="T4" s="15" t="s">
        <v>209</v>
      </c>
      <c r="U4" s="15" t="s">
        <v>191</v>
      </c>
      <c r="V4" s="15" t="s">
        <v>210</v>
      </c>
      <c r="W4" s="15" t="s">
        <v>211</v>
      </c>
      <c r="X4" s="15"/>
      <c r="Y4" s="15" t="s">
        <v>212</v>
      </c>
    </row>
    <row r="5" s="11" customFormat="1" hidden="1" customHeight="1" spans="1:25">
      <c r="A5" s="13"/>
      <c r="B5" s="14"/>
      <c r="C5" s="15"/>
      <c r="D5" s="11" t="str">
        <f t="shared" ref="D5:D9" si="0">D4</f>
        <v>智慧图</v>
      </c>
      <c r="E5" s="15"/>
      <c r="F5" s="16"/>
      <c r="G5" s="15"/>
      <c r="H5" s="15"/>
      <c r="I5" s="15"/>
      <c r="J5" s="15"/>
      <c r="K5" s="11" t="str">
        <f t="shared" ref="K5:K9" si="1">K4</f>
        <v>运营中</v>
      </c>
      <c r="L5" s="15"/>
      <c r="M5" s="15"/>
      <c r="N5" s="15"/>
      <c r="O5" s="15"/>
      <c r="P5" s="17">
        <v>42999</v>
      </c>
      <c r="Q5" s="15" t="s">
        <v>207</v>
      </c>
      <c r="R5" s="15" t="s">
        <v>189</v>
      </c>
      <c r="S5" s="15" t="s">
        <v>213</v>
      </c>
      <c r="T5" s="15"/>
      <c r="U5" s="15"/>
      <c r="V5" s="15"/>
      <c r="W5" s="15"/>
      <c r="X5" s="15"/>
      <c r="Y5" s="15"/>
    </row>
    <row r="6" s="11" customFormat="1" hidden="1" customHeight="1" spans="1:25">
      <c r="A6" s="13"/>
      <c r="B6" s="14"/>
      <c r="C6" s="15"/>
      <c r="D6" s="11" t="str">
        <f t="shared" si="0"/>
        <v>智慧图</v>
      </c>
      <c r="E6" s="15"/>
      <c r="F6" s="16"/>
      <c r="G6" s="15"/>
      <c r="H6" s="15"/>
      <c r="I6" s="15"/>
      <c r="J6" s="15"/>
      <c r="K6" s="11" t="str">
        <f t="shared" si="1"/>
        <v>运营中</v>
      </c>
      <c r="L6" s="15"/>
      <c r="M6" s="15"/>
      <c r="N6" s="15"/>
      <c r="O6" s="15"/>
      <c r="P6" s="17">
        <v>42389</v>
      </c>
      <c r="Q6" s="15" t="s">
        <v>207</v>
      </c>
      <c r="R6" s="15" t="s">
        <v>214</v>
      </c>
      <c r="S6" s="15" t="s">
        <v>215</v>
      </c>
      <c r="T6" s="15"/>
      <c r="U6" s="15"/>
      <c r="V6" s="15"/>
      <c r="W6" s="15"/>
      <c r="X6" s="15"/>
      <c r="Y6" s="15"/>
    </row>
    <row r="7" s="11" customFormat="1" hidden="1" customHeight="1" spans="1:25">
      <c r="A7" s="13"/>
      <c r="B7" s="14"/>
      <c r="C7" s="15"/>
      <c r="D7" s="11" t="str">
        <f t="shared" si="0"/>
        <v>智慧图</v>
      </c>
      <c r="E7" s="15"/>
      <c r="F7" s="16"/>
      <c r="G7" s="15"/>
      <c r="H7" s="15"/>
      <c r="I7" s="15"/>
      <c r="J7" s="15"/>
      <c r="K7" s="11" t="str">
        <f t="shared" si="1"/>
        <v>运营中</v>
      </c>
      <c r="L7" s="15"/>
      <c r="M7" s="15"/>
      <c r="N7" s="15"/>
      <c r="O7" s="15"/>
      <c r="P7" s="17">
        <v>42292</v>
      </c>
      <c r="Q7" s="15" t="s">
        <v>216</v>
      </c>
      <c r="R7" s="15" t="s">
        <v>217</v>
      </c>
      <c r="S7" s="15" t="s">
        <v>218</v>
      </c>
      <c r="T7" s="15"/>
      <c r="U7" s="15"/>
      <c r="V7" s="15"/>
      <c r="W7" s="15"/>
      <c r="X7" s="15"/>
      <c r="Y7" s="15"/>
    </row>
    <row r="8" s="11" customFormat="1" hidden="1" customHeight="1" spans="1:25">
      <c r="A8" s="13"/>
      <c r="B8" s="14"/>
      <c r="C8" s="15"/>
      <c r="D8" s="11" t="str">
        <f t="shared" si="0"/>
        <v>智慧图</v>
      </c>
      <c r="E8" s="15"/>
      <c r="F8" s="16"/>
      <c r="G8" s="15"/>
      <c r="H8" s="15"/>
      <c r="I8" s="15"/>
      <c r="J8" s="15"/>
      <c r="K8" s="11" t="str">
        <f t="shared" si="1"/>
        <v>运营中</v>
      </c>
      <c r="L8" s="15"/>
      <c r="M8" s="15"/>
      <c r="N8" s="15"/>
      <c r="O8" s="15"/>
      <c r="P8" s="17">
        <v>41982</v>
      </c>
      <c r="Q8" s="15" t="s">
        <v>219</v>
      </c>
      <c r="R8" s="15" t="s">
        <v>220</v>
      </c>
      <c r="S8" s="15" t="s">
        <v>221</v>
      </c>
      <c r="T8" s="15"/>
      <c r="U8" s="15"/>
      <c r="V8" s="15"/>
      <c r="W8" s="15"/>
      <c r="X8" s="15"/>
      <c r="Y8" s="15"/>
    </row>
    <row r="9" s="11" customFormat="1" hidden="1" customHeight="1" spans="1:25">
      <c r="A9" s="13"/>
      <c r="B9" s="14"/>
      <c r="C9" s="15"/>
      <c r="D9" s="11" t="str">
        <f t="shared" si="0"/>
        <v>智慧图</v>
      </c>
      <c r="E9" s="15"/>
      <c r="F9" s="16"/>
      <c r="G9" s="15"/>
      <c r="H9" s="15"/>
      <c r="I9" s="15"/>
      <c r="J9" s="15"/>
      <c r="K9" s="11" t="str">
        <f t="shared" si="1"/>
        <v>运营中</v>
      </c>
      <c r="L9" s="15"/>
      <c r="M9" s="15"/>
      <c r="N9" s="15"/>
      <c r="O9" s="15"/>
      <c r="P9" s="17">
        <v>41571</v>
      </c>
      <c r="Q9" s="15" t="s">
        <v>222</v>
      </c>
      <c r="R9" s="15" t="s">
        <v>223</v>
      </c>
      <c r="S9" s="15" t="s">
        <v>224</v>
      </c>
      <c r="T9" s="15"/>
      <c r="U9" s="15"/>
      <c r="V9" s="15"/>
      <c r="W9" s="15"/>
      <c r="X9" s="15"/>
      <c r="Y9" s="15"/>
    </row>
    <row r="10" s="11" customFormat="1" hidden="1" customHeight="1" spans="1:25">
      <c r="A10" s="13"/>
      <c r="B10" s="14"/>
      <c r="C10" s="15" t="s">
        <v>225</v>
      </c>
      <c r="D10" s="11" t="s">
        <v>226</v>
      </c>
      <c r="E10" s="15" t="s">
        <v>226</v>
      </c>
      <c r="F10" s="16" t="s">
        <v>227</v>
      </c>
      <c r="G10" s="15" t="s">
        <v>228</v>
      </c>
      <c r="H10" s="15" t="s">
        <v>229</v>
      </c>
      <c r="I10" s="15" t="s">
        <v>230</v>
      </c>
      <c r="J10" s="15" t="s">
        <v>231</v>
      </c>
      <c r="K10" s="11" t="s">
        <v>185</v>
      </c>
      <c r="L10" s="15" t="s">
        <v>185</v>
      </c>
      <c r="M10" s="15" t="s">
        <v>232</v>
      </c>
      <c r="N10" s="15" t="s">
        <v>233</v>
      </c>
      <c r="O10" s="15"/>
      <c r="P10" s="17">
        <v>43189</v>
      </c>
      <c r="Q10" s="15" t="s">
        <v>219</v>
      </c>
      <c r="R10" s="15" t="s">
        <v>234</v>
      </c>
      <c r="S10" s="15" t="s">
        <v>235</v>
      </c>
      <c r="T10" s="15" t="s">
        <v>236</v>
      </c>
      <c r="U10" s="15" t="s">
        <v>237</v>
      </c>
      <c r="V10" s="15" t="s">
        <v>238</v>
      </c>
      <c r="W10" s="15" t="s">
        <v>239</v>
      </c>
      <c r="X10" s="15" t="s">
        <v>240</v>
      </c>
      <c r="Y10" s="15" t="s">
        <v>241</v>
      </c>
    </row>
    <row r="11" s="11" customFormat="1" hidden="1" customHeight="1" spans="1:25">
      <c r="A11" s="13"/>
      <c r="B11" s="14"/>
      <c r="C11" s="15"/>
      <c r="D11" s="11" t="str">
        <f t="shared" ref="D11:D12" si="2">D10</f>
        <v>K米</v>
      </c>
      <c r="E11" s="15"/>
      <c r="F11" s="16"/>
      <c r="G11" s="15"/>
      <c r="H11" s="15"/>
      <c r="I11" s="15"/>
      <c r="J11" s="15"/>
      <c r="K11" s="11" t="str">
        <f t="shared" ref="K11:K12" si="3">K10</f>
        <v>运营中</v>
      </c>
      <c r="L11" s="15"/>
      <c r="M11" s="15"/>
      <c r="N11" s="15"/>
      <c r="O11" s="15"/>
      <c r="P11" s="17">
        <v>42309</v>
      </c>
      <c r="Q11" s="15" t="s">
        <v>222</v>
      </c>
      <c r="R11" s="15" t="s">
        <v>242</v>
      </c>
      <c r="S11" s="15" t="s">
        <v>243</v>
      </c>
      <c r="T11" s="15"/>
      <c r="U11" s="15"/>
      <c r="V11" s="15"/>
      <c r="W11" s="15"/>
      <c r="X11" s="15"/>
      <c r="Y11" s="15"/>
    </row>
    <row r="12" s="11" customFormat="1" hidden="1" customHeight="1" spans="1:25">
      <c r="A12" s="13"/>
      <c r="B12" s="14"/>
      <c r="C12" s="15"/>
      <c r="D12" s="11" t="str">
        <f t="shared" si="2"/>
        <v>K米</v>
      </c>
      <c r="E12" s="15"/>
      <c r="F12" s="16"/>
      <c r="G12" s="15"/>
      <c r="H12" s="15"/>
      <c r="I12" s="15"/>
      <c r="J12" s="15"/>
      <c r="K12" s="11" t="str">
        <f t="shared" si="3"/>
        <v>运营中</v>
      </c>
      <c r="L12" s="15"/>
      <c r="M12" s="15"/>
      <c r="N12" s="15"/>
      <c r="O12" s="15"/>
      <c r="P12" s="17">
        <v>42156</v>
      </c>
      <c r="Q12" s="15" t="s">
        <v>196</v>
      </c>
      <c r="R12" s="15" t="s">
        <v>189</v>
      </c>
      <c r="S12" s="15" t="s">
        <v>244</v>
      </c>
      <c r="T12" s="15"/>
      <c r="U12" s="15"/>
      <c r="V12" s="15"/>
      <c r="W12" s="15"/>
      <c r="X12" s="15"/>
      <c r="Y12" s="15"/>
    </row>
    <row r="13" s="11" customFormat="1" hidden="1" customHeight="1" spans="1:25">
      <c r="A13" s="13"/>
      <c r="B13" s="14"/>
      <c r="C13" s="15" t="s">
        <v>245</v>
      </c>
      <c r="D13" s="11" t="s">
        <v>246</v>
      </c>
      <c r="E13" s="15" t="s">
        <v>246</v>
      </c>
      <c r="F13" s="16" t="s">
        <v>247</v>
      </c>
      <c r="G13" s="15" t="s">
        <v>248</v>
      </c>
      <c r="H13" s="15" t="s">
        <v>249</v>
      </c>
      <c r="I13" s="15" t="s">
        <v>250</v>
      </c>
      <c r="J13" s="15" t="s">
        <v>251</v>
      </c>
      <c r="K13" s="11" t="s">
        <v>185</v>
      </c>
      <c r="L13" s="15" t="s">
        <v>185</v>
      </c>
      <c r="M13" s="15" t="s">
        <v>232</v>
      </c>
      <c r="N13" s="15" t="s">
        <v>252</v>
      </c>
      <c r="O13" s="15">
        <v>1</v>
      </c>
      <c r="P13" s="17">
        <v>43846</v>
      </c>
      <c r="Q13" s="15" t="s">
        <v>253</v>
      </c>
      <c r="R13" s="15" t="s">
        <v>189</v>
      </c>
      <c r="S13" s="15" t="s">
        <v>254</v>
      </c>
      <c r="T13" s="15" t="s">
        <v>255</v>
      </c>
      <c r="U13" s="15" t="s">
        <v>191</v>
      </c>
      <c r="V13" s="15" t="s">
        <v>256</v>
      </c>
      <c r="W13" s="15" t="s">
        <v>257</v>
      </c>
      <c r="X13" s="15" t="s">
        <v>258</v>
      </c>
      <c r="Y13" s="15" t="s">
        <v>259</v>
      </c>
    </row>
    <row r="14" s="11" customFormat="1" hidden="1" customHeight="1" spans="1:25">
      <c r="A14" s="13"/>
      <c r="B14" s="14"/>
      <c r="C14" s="15"/>
      <c r="D14" s="11" t="str">
        <f t="shared" ref="D14:D19" si="4">D13</f>
        <v>猫眼娱乐</v>
      </c>
      <c r="E14" s="15"/>
      <c r="F14" s="16"/>
      <c r="G14" s="15"/>
      <c r="H14" s="15"/>
      <c r="I14" s="15"/>
      <c r="J14" s="15"/>
      <c r="K14" s="11" t="str">
        <f t="shared" ref="K14:K19" si="5">K13</f>
        <v>运营中</v>
      </c>
      <c r="L14" s="15"/>
      <c r="M14" s="15"/>
      <c r="N14" s="15"/>
      <c r="O14" s="15">
        <v>1</v>
      </c>
      <c r="P14" s="17">
        <v>43500</v>
      </c>
      <c r="Q14" s="15" t="s">
        <v>260</v>
      </c>
      <c r="R14" s="15" t="s">
        <v>261</v>
      </c>
      <c r="S14" s="15" t="s">
        <v>262</v>
      </c>
      <c r="T14" s="15"/>
      <c r="U14" s="15"/>
      <c r="V14" s="15"/>
      <c r="W14" s="15"/>
      <c r="X14" s="15"/>
      <c r="Y14" s="15"/>
    </row>
    <row r="15" s="11" customFormat="1" hidden="1" customHeight="1" spans="1:25">
      <c r="A15" s="13"/>
      <c r="B15" s="14"/>
      <c r="C15" s="15"/>
      <c r="D15" s="11" t="str">
        <f t="shared" si="4"/>
        <v>猫眼娱乐</v>
      </c>
      <c r="E15" s="15"/>
      <c r="F15" s="16"/>
      <c r="G15" s="15"/>
      <c r="H15" s="15"/>
      <c r="I15" s="15"/>
      <c r="J15" s="15"/>
      <c r="K15" s="11" t="str">
        <f t="shared" si="5"/>
        <v>运营中</v>
      </c>
      <c r="L15" s="15"/>
      <c r="M15" s="15"/>
      <c r="N15" s="15"/>
      <c r="O15" s="15">
        <v>1</v>
      </c>
      <c r="P15" s="17">
        <v>43049</v>
      </c>
      <c r="Q15" s="15" t="s">
        <v>207</v>
      </c>
      <c r="R15" s="15" t="s">
        <v>263</v>
      </c>
      <c r="S15" s="15" t="s">
        <v>264</v>
      </c>
      <c r="T15" s="15"/>
      <c r="U15" s="15"/>
      <c r="V15" s="15"/>
      <c r="W15" s="15"/>
      <c r="X15" s="15"/>
      <c r="Y15" s="15"/>
    </row>
    <row r="16" s="11" customFormat="1" hidden="1" customHeight="1" spans="1:25">
      <c r="A16" s="13"/>
      <c r="B16" s="14"/>
      <c r="C16" s="15"/>
      <c r="D16" s="11" t="str">
        <f t="shared" si="4"/>
        <v>猫眼娱乐</v>
      </c>
      <c r="E16" s="15"/>
      <c r="F16" s="16"/>
      <c r="G16" s="15"/>
      <c r="H16" s="15"/>
      <c r="I16" s="15"/>
      <c r="J16" s="15"/>
      <c r="K16" s="11" t="str">
        <f t="shared" si="5"/>
        <v>运营中</v>
      </c>
      <c r="L16" s="15"/>
      <c r="M16" s="15"/>
      <c r="N16" s="15"/>
      <c r="O16" s="15">
        <v>1</v>
      </c>
      <c r="P16" s="17">
        <v>42999</v>
      </c>
      <c r="Q16" s="15" t="s">
        <v>265</v>
      </c>
      <c r="R16" s="15" t="s">
        <v>189</v>
      </c>
      <c r="S16" s="15" t="s">
        <v>266</v>
      </c>
      <c r="T16" s="15"/>
      <c r="U16" s="15"/>
      <c r="V16" s="15"/>
      <c r="W16" s="15"/>
      <c r="X16" s="15"/>
      <c r="Y16" s="15"/>
    </row>
    <row r="17" s="11" customFormat="1" hidden="1" customHeight="1" spans="1:25">
      <c r="A17" s="13"/>
      <c r="B17" s="14"/>
      <c r="C17" s="15"/>
      <c r="D17" s="11" t="str">
        <f t="shared" si="4"/>
        <v>猫眼娱乐</v>
      </c>
      <c r="E17" s="15"/>
      <c r="F17" s="16"/>
      <c r="G17" s="15"/>
      <c r="H17" s="15"/>
      <c r="I17" s="15"/>
      <c r="J17" s="15"/>
      <c r="K17" s="11" t="str">
        <f t="shared" si="5"/>
        <v>运营中</v>
      </c>
      <c r="L17" s="15"/>
      <c r="M17" s="15"/>
      <c r="N17" s="15"/>
      <c r="O17" s="15">
        <v>1</v>
      </c>
      <c r="P17" s="17">
        <v>42983</v>
      </c>
      <c r="Q17" s="15" t="s">
        <v>207</v>
      </c>
      <c r="R17" s="15" t="s">
        <v>263</v>
      </c>
      <c r="S17" s="15" t="s">
        <v>267</v>
      </c>
      <c r="T17" s="15"/>
      <c r="U17" s="15"/>
      <c r="V17" s="15"/>
      <c r="W17" s="15"/>
      <c r="X17" s="15"/>
      <c r="Y17" s="15"/>
    </row>
    <row r="18" s="11" customFormat="1" hidden="1" customHeight="1" spans="1:25">
      <c r="A18" s="13"/>
      <c r="B18" s="14"/>
      <c r="C18" s="15"/>
      <c r="D18" s="11" t="str">
        <f t="shared" si="4"/>
        <v>猫眼娱乐</v>
      </c>
      <c r="E18" s="15"/>
      <c r="F18" s="16"/>
      <c r="G18" s="15"/>
      <c r="H18" s="15"/>
      <c r="I18" s="15"/>
      <c r="J18" s="15"/>
      <c r="K18" s="11" t="str">
        <f t="shared" si="5"/>
        <v>运营中</v>
      </c>
      <c r="L18" s="15"/>
      <c r="M18" s="15"/>
      <c r="N18" s="15"/>
      <c r="O18" s="15">
        <v>1</v>
      </c>
      <c r="P18" s="17">
        <v>42518</v>
      </c>
      <c r="Q18" s="15" t="s">
        <v>188</v>
      </c>
      <c r="R18" s="15" t="s">
        <v>268</v>
      </c>
      <c r="S18" s="15" t="s">
        <v>267</v>
      </c>
      <c r="T18" s="15"/>
      <c r="U18" s="15"/>
      <c r="V18" s="15"/>
      <c r="W18" s="15"/>
      <c r="X18" s="15"/>
      <c r="Y18" s="15"/>
    </row>
    <row r="19" s="11" customFormat="1" hidden="1" customHeight="1" spans="1:25">
      <c r="A19" s="13"/>
      <c r="B19" s="14"/>
      <c r="C19" s="15"/>
      <c r="D19" s="11" t="str">
        <f t="shared" si="4"/>
        <v>猫眼娱乐</v>
      </c>
      <c r="E19" s="15"/>
      <c r="F19" s="16"/>
      <c r="G19" s="15"/>
      <c r="H19" s="15"/>
      <c r="I19" s="15"/>
      <c r="J19" s="15"/>
      <c r="K19" s="11" t="str">
        <f t="shared" si="5"/>
        <v>运营中</v>
      </c>
      <c r="L19" s="15"/>
      <c r="M19" s="15"/>
      <c r="N19" s="15"/>
      <c r="O19" s="15">
        <v>1</v>
      </c>
      <c r="P19" s="17">
        <v>42472</v>
      </c>
      <c r="Q19" s="15" t="s">
        <v>222</v>
      </c>
      <c r="R19" s="15" t="s">
        <v>269</v>
      </c>
      <c r="S19" s="15" t="s">
        <v>177</v>
      </c>
      <c r="T19" s="15"/>
      <c r="U19" s="15"/>
      <c r="V19" s="15"/>
      <c r="W19" s="15"/>
      <c r="X19" s="15"/>
      <c r="Y19" s="15"/>
    </row>
    <row r="20" s="3" customFormat="1" ht="50.5" customHeight="1" spans="1:25">
      <c r="A20" s="1"/>
      <c r="B20" s="7"/>
      <c r="C20" s="8" t="s">
        <v>270</v>
      </c>
      <c r="D20" s="11" t="s">
        <v>271</v>
      </c>
      <c r="E20" s="8" t="s">
        <v>272</v>
      </c>
      <c r="F20" s="9" t="s">
        <v>273</v>
      </c>
      <c r="G20" s="15" t="s">
        <v>274</v>
      </c>
      <c r="H20" s="15" t="s">
        <v>275</v>
      </c>
      <c r="I20" s="8" t="s">
        <v>276</v>
      </c>
      <c r="J20" s="8" t="s">
        <v>277</v>
      </c>
      <c r="K20" s="11" t="s">
        <v>185</v>
      </c>
      <c r="L20" s="8" t="s">
        <v>278</v>
      </c>
      <c r="M20" s="8" t="s">
        <v>10</v>
      </c>
      <c r="N20" s="8" t="s">
        <v>279</v>
      </c>
      <c r="O20" s="8"/>
      <c r="P20" s="10">
        <v>43991</v>
      </c>
      <c r="Q20" s="8" t="s">
        <v>280</v>
      </c>
      <c r="R20" s="8" t="s">
        <v>281</v>
      </c>
      <c r="S20" s="8" t="s">
        <v>282</v>
      </c>
      <c r="T20" s="8" t="s">
        <v>283</v>
      </c>
      <c r="U20" s="8" t="s">
        <v>284</v>
      </c>
      <c r="V20" s="9" t="s">
        <v>285</v>
      </c>
      <c r="W20" s="15" t="s">
        <v>286</v>
      </c>
      <c r="X20" s="15" t="s">
        <v>287</v>
      </c>
      <c r="Y20" s="15" t="s">
        <v>288</v>
      </c>
    </row>
    <row r="21" s="11" customFormat="1" hidden="1" customHeight="1" spans="1:25">
      <c r="A21" s="13"/>
      <c r="B21" s="14"/>
      <c r="C21" s="15"/>
      <c r="D21" s="11" t="str">
        <f t="shared" ref="D21:D22" si="6">D20</f>
        <v>哗啦啦</v>
      </c>
      <c r="E21" s="15"/>
      <c r="F21" s="16"/>
      <c r="G21" s="15"/>
      <c r="H21" s="15"/>
      <c r="I21" s="15"/>
      <c r="J21" s="15"/>
      <c r="K21" s="11" t="str">
        <f t="shared" ref="K21:K22" si="7">K20</f>
        <v>运营中</v>
      </c>
      <c r="L21" s="15"/>
      <c r="M21" s="15"/>
      <c r="N21" s="15"/>
      <c r="O21" s="15"/>
      <c r="P21" s="17">
        <v>43313</v>
      </c>
      <c r="Q21" s="15" t="s">
        <v>219</v>
      </c>
      <c r="R21" s="15" t="s">
        <v>189</v>
      </c>
      <c r="S21" s="15" t="s">
        <v>289</v>
      </c>
      <c r="T21" s="15"/>
      <c r="U21" s="15"/>
      <c r="V21" s="15"/>
      <c r="W21" s="15"/>
      <c r="X21" s="15"/>
      <c r="Y21" s="15"/>
    </row>
    <row r="22" s="11" customFormat="1" hidden="1" customHeight="1" spans="1:25">
      <c r="A22" s="13"/>
      <c r="B22" s="14"/>
      <c r="C22" s="15"/>
      <c r="D22" s="11" t="str">
        <f t="shared" si="6"/>
        <v>哗啦啦</v>
      </c>
      <c r="E22" s="15"/>
      <c r="F22" s="16"/>
      <c r="G22" s="15"/>
      <c r="H22" s="15"/>
      <c r="I22" s="15"/>
      <c r="J22" s="15"/>
      <c r="K22" s="11" t="str">
        <f t="shared" si="7"/>
        <v>运营中</v>
      </c>
      <c r="L22" s="15"/>
      <c r="M22" s="15"/>
      <c r="N22" s="15"/>
      <c r="O22" s="15"/>
      <c r="P22" s="17">
        <v>42684</v>
      </c>
      <c r="Q22" s="15" t="s">
        <v>222</v>
      </c>
      <c r="R22" s="15" t="s">
        <v>189</v>
      </c>
      <c r="S22" s="15" t="s">
        <v>290</v>
      </c>
      <c r="T22" s="15"/>
      <c r="U22" s="15"/>
      <c r="V22" s="15"/>
      <c r="W22" s="15"/>
      <c r="X22" s="15"/>
      <c r="Y22" s="15"/>
    </row>
    <row r="23" s="11" customFormat="1" hidden="1" customHeight="1" spans="1:25">
      <c r="A23" s="13"/>
      <c r="B23" s="14"/>
      <c r="C23" s="15" t="s">
        <v>291</v>
      </c>
      <c r="D23" s="11" t="s">
        <v>292</v>
      </c>
      <c r="E23" s="15" t="s">
        <v>292</v>
      </c>
      <c r="F23" s="16" t="s">
        <v>293</v>
      </c>
      <c r="G23" s="15" t="s">
        <v>294</v>
      </c>
      <c r="H23" s="15" t="s">
        <v>295</v>
      </c>
      <c r="I23" s="15" t="s">
        <v>296</v>
      </c>
      <c r="J23" s="15" t="s">
        <v>184</v>
      </c>
      <c r="K23" s="11" t="s">
        <v>185</v>
      </c>
      <c r="L23" s="15" t="s">
        <v>185</v>
      </c>
      <c r="M23" s="15" t="s">
        <v>297</v>
      </c>
      <c r="N23" s="15" t="s">
        <v>298</v>
      </c>
      <c r="O23" s="15">
        <v>1</v>
      </c>
      <c r="P23" s="17">
        <v>42639</v>
      </c>
      <c r="Q23" s="15" t="s">
        <v>188</v>
      </c>
      <c r="R23" s="15" t="s">
        <v>189</v>
      </c>
      <c r="S23" s="15" t="s">
        <v>177</v>
      </c>
      <c r="T23" s="15" t="s">
        <v>299</v>
      </c>
      <c r="U23" s="15" t="s">
        <v>191</v>
      </c>
      <c r="V23" s="15" t="s">
        <v>300</v>
      </c>
      <c r="W23" s="15" t="s">
        <v>301</v>
      </c>
      <c r="X23" s="15" t="s">
        <v>302</v>
      </c>
      <c r="Y23" s="15" t="s">
        <v>303</v>
      </c>
    </row>
    <row r="24" s="11" customFormat="1" hidden="1" customHeight="1" spans="1:25">
      <c r="A24" s="13"/>
      <c r="B24" s="14"/>
      <c r="C24" s="15"/>
      <c r="D24" s="11" t="str">
        <f>D23</f>
        <v>钱袋宝</v>
      </c>
      <c r="E24" s="15"/>
      <c r="F24" s="16"/>
      <c r="G24" s="15"/>
      <c r="H24" s="15"/>
      <c r="I24" s="15"/>
      <c r="J24" s="15"/>
      <c r="K24" s="11" t="str">
        <f>K23</f>
        <v>运营中</v>
      </c>
      <c r="L24" s="15"/>
      <c r="M24" s="15"/>
      <c r="N24" s="15"/>
      <c r="O24" s="15">
        <v>1</v>
      </c>
      <c r="P24" s="17">
        <v>41969</v>
      </c>
      <c r="Q24" s="15" t="s">
        <v>222</v>
      </c>
      <c r="R24" s="15" t="s">
        <v>269</v>
      </c>
      <c r="S24" s="15" t="s">
        <v>304</v>
      </c>
      <c r="T24" s="15"/>
      <c r="U24" s="15"/>
      <c r="V24" s="15"/>
      <c r="W24" s="15"/>
      <c r="X24" s="15"/>
      <c r="Y24" s="15"/>
    </row>
    <row r="25" s="11" customFormat="1" hidden="1" customHeight="1" spans="1:25">
      <c r="A25" s="13"/>
      <c r="B25" s="14"/>
      <c r="C25" s="15" t="s">
        <v>305</v>
      </c>
      <c r="D25" s="11" t="s">
        <v>306</v>
      </c>
      <c r="E25" s="15" t="s">
        <v>306</v>
      </c>
      <c r="F25" s="16" t="s">
        <v>307</v>
      </c>
      <c r="G25" s="15" t="s">
        <v>308</v>
      </c>
      <c r="H25" s="15" t="s">
        <v>309</v>
      </c>
      <c r="I25" s="15" t="s">
        <v>310</v>
      </c>
      <c r="J25" s="15" t="s">
        <v>184</v>
      </c>
      <c r="K25" s="11" t="s">
        <v>185</v>
      </c>
      <c r="L25" s="15" t="s">
        <v>185</v>
      </c>
      <c r="M25" s="15" t="s">
        <v>311</v>
      </c>
      <c r="N25" s="15" t="s">
        <v>312</v>
      </c>
      <c r="O25" s="15">
        <v>1</v>
      </c>
      <c r="P25" s="17">
        <v>42201</v>
      </c>
      <c r="Q25" s="15" t="s">
        <v>188</v>
      </c>
      <c r="R25" s="15" t="s">
        <v>313</v>
      </c>
      <c r="S25" s="15" t="s">
        <v>177</v>
      </c>
      <c r="T25" s="15" t="s">
        <v>314</v>
      </c>
      <c r="U25" s="15" t="s">
        <v>191</v>
      </c>
      <c r="V25" s="15" t="s">
        <v>315</v>
      </c>
      <c r="W25" s="15"/>
      <c r="X25" s="15"/>
      <c r="Y25" s="15"/>
    </row>
    <row r="26" s="11" customFormat="1" hidden="1" customHeight="1" spans="1:25">
      <c r="A26" s="13"/>
      <c r="B26" s="14"/>
      <c r="C26" s="15"/>
      <c r="D26" s="11" t="str">
        <f t="shared" ref="D26:D28" si="8">D25</f>
        <v>酷讯旅游</v>
      </c>
      <c r="E26" s="15"/>
      <c r="F26" s="16"/>
      <c r="G26" s="15"/>
      <c r="H26" s="15"/>
      <c r="I26" s="15"/>
      <c r="J26" s="15"/>
      <c r="K26" s="11" t="str">
        <f t="shared" ref="K26:K28" si="9">K25</f>
        <v>运营中</v>
      </c>
      <c r="L26" s="15"/>
      <c r="M26" s="15"/>
      <c r="N26" s="15"/>
      <c r="O26" s="15">
        <v>1</v>
      </c>
      <c r="P26" s="17">
        <v>40119</v>
      </c>
      <c r="Q26" s="15" t="s">
        <v>188</v>
      </c>
      <c r="R26" s="15" t="s">
        <v>313</v>
      </c>
      <c r="S26" s="15" t="s">
        <v>316</v>
      </c>
      <c r="T26" s="15"/>
      <c r="U26" s="15"/>
      <c r="V26" s="15"/>
      <c r="W26" s="15"/>
      <c r="X26" s="15"/>
      <c r="Y26" s="15"/>
    </row>
    <row r="27" s="11" customFormat="1" hidden="1" customHeight="1" spans="1:25">
      <c r="A27" s="13"/>
      <c r="B27" s="14"/>
      <c r="C27" s="15"/>
      <c r="D27" s="11" t="str">
        <f t="shared" si="8"/>
        <v>酷讯旅游</v>
      </c>
      <c r="E27" s="15"/>
      <c r="F27" s="16"/>
      <c r="G27" s="15"/>
      <c r="H27" s="15"/>
      <c r="I27" s="15"/>
      <c r="J27" s="15"/>
      <c r="K27" s="11" t="str">
        <f t="shared" si="9"/>
        <v>运营中</v>
      </c>
      <c r="L27" s="15"/>
      <c r="M27" s="15"/>
      <c r="N27" s="15"/>
      <c r="O27" s="15">
        <v>1</v>
      </c>
      <c r="P27" s="17">
        <v>38961</v>
      </c>
      <c r="Q27" s="15" t="s">
        <v>219</v>
      </c>
      <c r="R27" s="15" t="s">
        <v>317</v>
      </c>
      <c r="S27" s="15" t="s">
        <v>318</v>
      </c>
      <c r="T27" s="15"/>
      <c r="U27" s="15"/>
      <c r="V27" s="15"/>
      <c r="W27" s="15"/>
      <c r="X27" s="15"/>
      <c r="Y27" s="15"/>
    </row>
    <row r="28" s="11" customFormat="1" hidden="1" customHeight="1" spans="1:25">
      <c r="A28" s="13"/>
      <c r="B28" s="14"/>
      <c r="C28" s="15"/>
      <c r="D28" s="11" t="str">
        <f t="shared" si="8"/>
        <v>酷讯旅游</v>
      </c>
      <c r="E28" s="15"/>
      <c r="F28" s="16"/>
      <c r="G28" s="15"/>
      <c r="H28" s="15"/>
      <c r="I28" s="15"/>
      <c r="J28" s="15"/>
      <c r="K28" s="11" t="str">
        <f t="shared" si="9"/>
        <v>运营中</v>
      </c>
      <c r="L28" s="15"/>
      <c r="M28" s="15"/>
      <c r="N28" s="15"/>
      <c r="O28" s="15">
        <v>1</v>
      </c>
      <c r="P28" s="17">
        <v>38777</v>
      </c>
      <c r="Q28" s="15" t="s">
        <v>222</v>
      </c>
      <c r="R28" s="15" t="s">
        <v>319</v>
      </c>
      <c r="S28" s="15" t="s">
        <v>320</v>
      </c>
      <c r="T28" s="15"/>
      <c r="U28" s="15"/>
      <c r="V28" s="15"/>
      <c r="W28" s="15"/>
      <c r="X28" s="15"/>
      <c r="Y28" s="15"/>
    </row>
    <row r="29" s="11" customFormat="1" hidden="1" customHeight="1" spans="1:25">
      <c r="A29" s="13"/>
      <c r="B29" s="14"/>
      <c r="C29" s="15" t="s">
        <v>321</v>
      </c>
      <c r="D29" s="11" t="s">
        <v>322</v>
      </c>
      <c r="E29" s="15" t="s">
        <v>322</v>
      </c>
      <c r="F29" s="16" t="s">
        <v>323</v>
      </c>
      <c r="G29" s="15" t="s">
        <v>324</v>
      </c>
      <c r="H29" s="15" t="s">
        <v>325</v>
      </c>
      <c r="I29" s="15" t="s">
        <v>326</v>
      </c>
      <c r="J29" s="15" t="s">
        <v>327</v>
      </c>
      <c r="K29" s="11" t="s">
        <v>328</v>
      </c>
      <c r="L29" s="15" t="s">
        <v>328</v>
      </c>
      <c r="M29" s="15" t="s">
        <v>311</v>
      </c>
      <c r="N29" s="15" t="s">
        <v>329</v>
      </c>
      <c r="O29" s="15"/>
      <c r="P29" s="17">
        <v>42381</v>
      </c>
      <c r="Q29" s="15" t="s">
        <v>219</v>
      </c>
      <c r="R29" s="15" t="s">
        <v>189</v>
      </c>
      <c r="S29" s="15" t="s">
        <v>262</v>
      </c>
      <c r="T29" s="15" t="s">
        <v>330</v>
      </c>
      <c r="U29" s="15" t="s">
        <v>191</v>
      </c>
      <c r="V29" s="15" t="s">
        <v>331</v>
      </c>
      <c r="W29" s="15" t="s">
        <v>332</v>
      </c>
      <c r="X29" s="15"/>
      <c r="Y29" s="15" t="s">
        <v>333</v>
      </c>
    </row>
    <row r="30" s="11" customFormat="1" hidden="1" customHeight="1" spans="1:25">
      <c r="A30" s="13"/>
      <c r="B30" s="14"/>
      <c r="C30" s="15"/>
      <c r="D30" s="11" t="str">
        <f t="shared" ref="D30:D32" si="10">D29</f>
        <v>番茄来了</v>
      </c>
      <c r="E30" s="15"/>
      <c r="F30" s="16"/>
      <c r="G30" s="15"/>
      <c r="H30" s="15"/>
      <c r="I30" s="15"/>
      <c r="J30" s="15"/>
      <c r="K30" s="11" t="str">
        <f t="shared" ref="K30:K32" si="11">K29</f>
        <v>已关闭</v>
      </c>
      <c r="L30" s="15"/>
      <c r="M30" s="15"/>
      <c r="N30" s="15"/>
      <c r="O30" s="15"/>
      <c r="P30" s="17">
        <v>42358</v>
      </c>
      <c r="Q30" s="15" t="s">
        <v>334</v>
      </c>
      <c r="R30" s="15" t="s">
        <v>217</v>
      </c>
      <c r="S30" s="15" t="s">
        <v>335</v>
      </c>
      <c r="T30" s="15"/>
      <c r="U30" s="15"/>
      <c r="V30" s="15"/>
      <c r="W30" s="15"/>
      <c r="X30" s="15"/>
      <c r="Y30" s="15"/>
    </row>
    <row r="31" s="11" customFormat="1" hidden="1" customHeight="1" spans="1:25">
      <c r="A31" s="13"/>
      <c r="B31" s="14"/>
      <c r="C31" s="15"/>
      <c r="D31" s="11" t="str">
        <f t="shared" si="10"/>
        <v>番茄来了</v>
      </c>
      <c r="E31" s="15"/>
      <c r="F31" s="16"/>
      <c r="G31" s="15"/>
      <c r="H31" s="15"/>
      <c r="I31" s="15"/>
      <c r="J31" s="15"/>
      <c r="K31" s="11" t="str">
        <f t="shared" si="11"/>
        <v>已关闭</v>
      </c>
      <c r="L31" s="15"/>
      <c r="M31" s="15"/>
      <c r="N31" s="15"/>
      <c r="O31" s="15"/>
      <c r="P31" s="17">
        <v>42023</v>
      </c>
      <c r="Q31" s="15" t="s">
        <v>222</v>
      </c>
      <c r="R31" s="15" t="s">
        <v>217</v>
      </c>
      <c r="S31" s="15" t="s">
        <v>177</v>
      </c>
      <c r="T31" s="15"/>
      <c r="U31" s="15"/>
      <c r="V31" s="15"/>
      <c r="W31" s="15"/>
      <c r="X31" s="15"/>
      <c r="Y31" s="15"/>
    </row>
    <row r="32" s="11" customFormat="1" hidden="1" customHeight="1" spans="1:25">
      <c r="A32" s="13"/>
      <c r="B32" s="14"/>
      <c r="C32" s="15"/>
      <c r="D32" s="11" t="str">
        <f t="shared" si="10"/>
        <v>番茄来了</v>
      </c>
      <c r="E32" s="15"/>
      <c r="F32" s="16"/>
      <c r="G32" s="15"/>
      <c r="H32" s="15"/>
      <c r="I32" s="15"/>
      <c r="J32" s="15"/>
      <c r="K32" s="11" t="str">
        <f t="shared" si="11"/>
        <v>已关闭</v>
      </c>
      <c r="L32" s="15"/>
      <c r="M32" s="15"/>
      <c r="N32" s="15"/>
      <c r="O32" s="15"/>
      <c r="P32" s="17">
        <v>41692</v>
      </c>
      <c r="Q32" s="15" t="s">
        <v>196</v>
      </c>
      <c r="R32" s="15" t="s">
        <v>197</v>
      </c>
      <c r="S32" s="15" t="s">
        <v>262</v>
      </c>
      <c r="T32" s="15"/>
      <c r="U32" s="15"/>
      <c r="V32" s="15"/>
      <c r="W32" s="15"/>
      <c r="X32" s="15"/>
      <c r="Y32" s="15"/>
    </row>
    <row r="33" s="11" customFormat="1" hidden="1" customHeight="1" spans="1:25">
      <c r="A33" s="13"/>
      <c r="B33" s="14"/>
      <c r="C33" s="15" t="s">
        <v>336</v>
      </c>
      <c r="D33" s="11" t="s">
        <v>337</v>
      </c>
      <c r="E33" s="15" t="s">
        <v>337</v>
      </c>
      <c r="F33" s="16" t="s">
        <v>338</v>
      </c>
      <c r="G33" s="15" t="s">
        <v>339</v>
      </c>
      <c r="H33" s="15" t="s">
        <v>340</v>
      </c>
      <c r="I33" s="15" t="s">
        <v>341</v>
      </c>
      <c r="J33" s="15" t="s">
        <v>342</v>
      </c>
      <c r="K33" s="11" t="s">
        <v>185</v>
      </c>
      <c r="L33" s="15" t="s">
        <v>185</v>
      </c>
      <c r="M33" s="15" t="s">
        <v>186</v>
      </c>
      <c r="N33" s="15" t="s">
        <v>343</v>
      </c>
      <c r="O33" s="15">
        <v>1</v>
      </c>
      <c r="P33" s="17">
        <v>43238</v>
      </c>
      <c r="Q33" s="15" t="s">
        <v>188</v>
      </c>
      <c r="R33" s="15" t="s">
        <v>189</v>
      </c>
      <c r="S33" s="15" t="s">
        <v>344</v>
      </c>
      <c r="T33" s="15" t="s">
        <v>345</v>
      </c>
      <c r="U33" s="15" t="s">
        <v>191</v>
      </c>
      <c r="V33" s="15" t="s">
        <v>346</v>
      </c>
      <c r="W33" s="15" t="s">
        <v>347</v>
      </c>
      <c r="X33" s="15" t="s">
        <v>348</v>
      </c>
      <c r="Y33" s="15" t="s">
        <v>349</v>
      </c>
    </row>
    <row r="34" s="11" customFormat="1" hidden="1" customHeight="1" spans="1:25">
      <c r="A34" s="13"/>
      <c r="B34" s="14"/>
      <c r="C34" s="15"/>
      <c r="D34" s="11" t="str">
        <f t="shared" ref="D34:D35" si="12">D33</f>
        <v>天子星</v>
      </c>
      <c r="E34" s="15"/>
      <c r="F34" s="16"/>
      <c r="G34" s="15"/>
      <c r="H34" s="15"/>
      <c r="I34" s="15"/>
      <c r="J34" s="15"/>
      <c r="K34" s="11" t="str">
        <f t="shared" ref="K34:K35" si="13">K33</f>
        <v>运营中</v>
      </c>
      <c r="L34" s="15"/>
      <c r="M34" s="15"/>
      <c r="N34" s="15"/>
      <c r="O34" s="15">
        <v>1</v>
      </c>
      <c r="P34" s="17">
        <v>42720</v>
      </c>
      <c r="Q34" s="15" t="s">
        <v>219</v>
      </c>
      <c r="R34" s="15" t="s">
        <v>217</v>
      </c>
      <c r="S34" s="15" t="s">
        <v>177</v>
      </c>
      <c r="T34" s="15"/>
      <c r="U34" s="15"/>
      <c r="V34" s="15"/>
      <c r="W34" s="15"/>
      <c r="X34" s="15"/>
      <c r="Y34" s="15"/>
    </row>
    <row r="35" s="11" customFormat="1" hidden="1" customHeight="1" spans="1:25">
      <c r="A35" s="13"/>
      <c r="B35" s="14"/>
      <c r="C35" s="15"/>
      <c r="D35" s="11" t="str">
        <f t="shared" si="12"/>
        <v>天子星</v>
      </c>
      <c r="E35" s="15"/>
      <c r="F35" s="16"/>
      <c r="G35" s="15"/>
      <c r="H35" s="15"/>
      <c r="I35" s="15"/>
      <c r="J35" s="15"/>
      <c r="K35" s="11" t="str">
        <f t="shared" si="13"/>
        <v>运营中</v>
      </c>
      <c r="L35" s="15"/>
      <c r="M35" s="15"/>
      <c r="N35" s="15"/>
      <c r="O35" s="15">
        <v>1</v>
      </c>
      <c r="P35" s="17">
        <v>42131</v>
      </c>
      <c r="Q35" s="15" t="s">
        <v>222</v>
      </c>
      <c r="R35" s="15" t="s">
        <v>189</v>
      </c>
      <c r="S35" s="15" t="s">
        <v>262</v>
      </c>
      <c r="T35" s="15"/>
      <c r="U35" s="15"/>
      <c r="V35" s="15"/>
      <c r="W35" s="15"/>
      <c r="X35" s="15"/>
      <c r="Y35" s="15"/>
    </row>
    <row r="36" s="11" customFormat="1" hidden="1" customHeight="1" spans="1:25">
      <c r="A36" s="13"/>
      <c r="B36" s="14"/>
      <c r="C36" s="15" t="s">
        <v>350</v>
      </c>
      <c r="D36" s="11" t="s">
        <v>351</v>
      </c>
      <c r="E36" s="15" t="s">
        <v>351</v>
      </c>
      <c r="F36" s="16" t="s">
        <v>352</v>
      </c>
      <c r="G36" s="15" t="s">
        <v>353</v>
      </c>
      <c r="H36" s="15" t="s">
        <v>354</v>
      </c>
      <c r="I36" s="15" t="s">
        <v>355</v>
      </c>
      <c r="J36" s="15" t="s">
        <v>251</v>
      </c>
      <c r="K36" s="11" t="s">
        <v>328</v>
      </c>
      <c r="L36" s="15" t="s">
        <v>328</v>
      </c>
      <c r="M36" s="15" t="s">
        <v>356</v>
      </c>
      <c r="N36" s="15" t="s">
        <v>357</v>
      </c>
      <c r="O36" s="15">
        <v>1</v>
      </c>
      <c r="P36" s="17">
        <v>42775</v>
      </c>
      <c r="Q36" s="15" t="s">
        <v>188</v>
      </c>
      <c r="R36" s="15" t="s">
        <v>189</v>
      </c>
      <c r="S36" s="15" t="s">
        <v>358</v>
      </c>
      <c r="T36" s="15" t="s">
        <v>359</v>
      </c>
      <c r="U36" s="15" t="s">
        <v>191</v>
      </c>
      <c r="V36" s="15" t="s">
        <v>360</v>
      </c>
      <c r="W36" s="15" t="s">
        <v>361</v>
      </c>
      <c r="X36" s="15" t="s">
        <v>362</v>
      </c>
      <c r="Y36" s="15"/>
    </row>
    <row r="37" s="11" customFormat="1" hidden="1" customHeight="1" spans="1:25">
      <c r="A37" s="13"/>
      <c r="B37" s="14"/>
      <c r="C37" s="15"/>
      <c r="D37" s="11" t="str">
        <f t="shared" ref="D37:D41" si="14">D36</f>
        <v>爱鲜蜂</v>
      </c>
      <c r="E37" s="15"/>
      <c r="F37" s="16"/>
      <c r="G37" s="15"/>
      <c r="H37" s="15"/>
      <c r="I37" s="15"/>
      <c r="J37" s="15"/>
      <c r="K37" s="11" t="str">
        <f t="shared" ref="K37:K41" si="15">K36</f>
        <v>已关闭</v>
      </c>
      <c r="L37" s="15"/>
      <c r="M37" s="15"/>
      <c r="N37" s="15"/>
      <c r="O37" s="15">
        <v>1</v>
      </c>
      <c r="P37" s="17">
        <v>42678</v>
      </c>
      <c r="Q37" s="15" t="s">
        <v>363</v>
      </c>
      <c r="R37" s="15" t="s">
        <v>220</v>
      </c>
      <c r="S37" s="15" t="s">
        <v>177</v>
      </c>
      <c r="T37" s="15"/>
      <c r="U37" s="15"/>
      <c r="V37" s="15"/>
      <c r="W37" s="15"/>
      <c r="X37" s="15"/>
      <c r="Y37" s="15"/>
    </row>
    <row r="38" s="11" customFormat="1" hidden="1" customHeight="1" spans="1:25">
      <c r="A38" s="13"/>
      <c r="B38" s="14"/>
      <c r="C38" s="15"/>
      <c r="D38" s="11" t="str">
        <f t="shared" si="14"/>
        <v>爱鲜蜂</v>
      </c>
      <c r="E38" s="15"/>
      <c r="F38" s="16"/>
      <c r="G38" s="15"/>
      <c r="H38" s="15"/>
      <c r="I38" s="15"/>
      <c r="J38" s="15"/>
      <c r="K38" s="11" t="str">
        <f t="shared" si="15"/>
        <v>已关闭</v>
      </c>
      <c r="L38" s="15"/>
      <c r="M38" s="15"/>
      <c r="N38" s="15"/>
      <c r="O38" s="15">
        <v>1</v>
      </c>
      <c r="P38" s="17">
        <v>42270</v>
      </c>
      <c r="Q38" s="15" t="s">
        <v>216</v>
      </c>
      <c r="R38" s="15" t="s">
        <v>364</v>
      </c>
      <c r="S38" s="15" t="s">
        <v>365</v>
      </c>
      <c r="T38" s="15"/>
      <c r="U38" s="15"/>
      <c r="V38" s="15"/>
      <c r="W38" s="15"/>
      <c r="X38" s="15"/>
      <c r="Y38" s="15"/>
    </row>
    <row r="39" s="11" customFormat="1" hidden="1" customHeight="1" spans="1:25">
      <c r="A39" s="13"/>
      <c r="B39" s="14"/>
      <c r="C39" s="15"/>
      <c r="D39" s="11" t="str">
        <f t="shared" si="14"/>
        <v>爱鲜蜂</v>
      </c>
      <c r="E39" s="15"/>
      <c r="F39" s="16"/>
      <c r="G39" s="15"/>
      <c r="H39" s="15"/>
      <c r="I39" s="15"/>
      <c r="J39" s="15"/>
      <c r="K39" s="11" t="str">
        <f t="shared" si="15"/>
        <v>已关闭</v>
      </c>
      <c r="L39" s="15"/>
      <c r="M39" s="15"/>
      <c r="N39" s="15"/>
      <c r="O39" s="15">
        <v>1</v>
      </c>
      <c r="P39" s="17">
        <v>42093</v>
      </c>
      <c r="Q39" s="15" t="s">
        <v>219</v>
      </c>
      <c r="R39" s="15" t="s">
        <v>366</v>
      </c>
      <c r="S39" s="15" t="s">
        <v>367</v>
      </c>
      <c r="T39" s="15"/>
      <c r="U39" s="15"/>
      <c r="V39" s="15"/>
      <c r="W39" s="15"/>
      <c r="X39" s="15"/>
      <c r="Y39" s="15"/>
    </row>
    <row r="40" s="11" customFormat="1" hidden="1" customHeight="1" spans="1:25">
      <c r="A40" s="13"/>
      <c r="B40" s="14"/>
      <c r="C40" s="15"/>
      <c r="D40" s="11" t="str">
        <f t="shared" si="14"/>
        <v>爱鲜蜂</v>
      </c>
      <c r="E40" s="15"/>
      <c r="F40" s="16"/>
      <c r="G40" s="15"/>
      <c r="H40" s="15"/>
      <c r="I40" s="15"/>
      <c r="J40" s="15"/>
      <c r="K40" s="11" t="str">
        <f t="shared" si="15"/>
        <v>已关闭</v>
      </c>
      <c r="L40" s="15"/>
      <c r="M40" s="15"/>
      <c r="N40" s="15"/>
      <c r="O40" s="15">
        <v>1</v>
      </c>
      <c r="P40" s="17">
        <v>41927</v>
      </c>
      <c r="Q40" s="15" t="s">
        <v>222</v>
      </c>
      <c r="R40" s="15" t="s">
        <v>366</v>
      </c>
      <c r="S40" s="15" t="s">
        <v>368</v>
      </c>
      <c r="T40" s="15"/>
      <c r="U40" s="15"/>
      <c r="V40" s="15"/>
      <c r="W40" s="15"/>
      <c r="X40" s="15"/>
      <c r="Y40" s="15"/>
    </row>
    <row r="41" s="11" customFormat="1" hidden="1" customHeight="1" spans="1:25">
      <c r="A41" s="13"/>
      <c r="B41" s="14"/>
      <c r="C41" s="15"/>
      <c r="D41" s="11" t="str">
        <f t="shared" si="14"/>
        <v>爱鲜蜂</v>
      </c>
      <c r="E41" s="15"/>
      <c r="F41" s="16"/>
      <c r="G41" s="15"/>
      <c r="H41" s="15"/>
      <c r="I41" s="15"/>
      <c r="J41" s="15"/>
      <c r="K41" s="11" t="str">
        <f t="shared" si="15"/>
        <v>已关闭</v>
      </c>
      <c r="L41" s="15"/>
      <c r="M41" s="15"/>
      <c r="N41" s="15"/>
      <c r="O41" s="15">
        <v>1</v>
      </c>
      <c r="P41" s="17">
        <v>41802</v>
      </c>
      <c r="Q41" s="15" t="s">
        <v>196</v>
      </c>
      <c r="R41" s="15" t="s">
        <v>369</v>
      </c>
      <c r="S41" s="15" t="s">
        <v>370</v>
      </c>
      <c r="T41" s="15"/>
      <c r="U41" s="15"/>
      <c r="V41" s="15"/>
      <c r="W41" s="15"/>
      <c r="X41" s="15"/>
      <c r="Y41" s="15"/>
    </row>
    <row r="42" s="11" customFormat="1" hidden="1" customHeight="1" spans="1:25">
      <c r="A42" s="13"/>
      <c r="B42" s="14"/>
      <c r="C42" s="15" t="s">
        <v>371</v>
      </c>
      <c r="D42" s="15" t="s">
        <v>372</v>
      </c>
      <c r="E42" s="15" t="s">
        <v>372</v>
      </c>
      <c r="F42" s="16" t="s">
        <v>373</v>
      </c>
      <c r="G42" s="15" t="s">
        <v>374</v>
      </c>
      <c r="H42" s="15" t="s">
        <v>375</v>
      </c>
      <c r="I42" s="15" t="s">
        <v>376</v>
      </c>
      <c r="J42" s="15" t="s">
        <v>327</v>
      </c>
      <c r="K42" s="15" t="s">
        <v>185</v>
      </c>
      <c r="L42" s="15" t="s">
        <v>185</v>
      </c>
      <c r="M42" s="15" t="s">
        <v>205</v>
      </c>
      <c r="N42" s="15" t="s">
        <v>377</v>
      </c>
      <c r="O42" s="15"/>
      <c r="P42" s="17">
        <v>41975</v>
      </c>
      <c r="Q42" s="15" t="s">
        <v>222</v>
      </c>
      <c r="R42" s="15" t="s">
        <v>217</v>
      </c>
      <c r="S42" s="15" t="s">
        <v>177</v>
      </c>
      <c r="T42" s="15" t="s">
        <v>378</v>
      </c>
      <c r="U42" s="15" t="s">
        <v>379</v>
      </c>
      <c r="V42" s="15" t="s">
        <v>380</v>
      </c>
      <c r="W42" s="15"/>
      <c r="X42" s="15"/>
      <c r="Y42" s="15"/>
    </row>
    <row r="43" s="11" customFormat="1" hidden="1" customHeight="1" spans="1:25">
      <c r="A43" s="13"/>
      <c r="B43" s="14"/>
      <c r="C43" s="15" t="s">
        <v>381</v>
      </c>
      <c r="D43" s="11" t="s">
        <v>382</v>
      </c>
      <c r="E43" s="15" t="s">
        <v>382</v>
      </c>
      <c r="F43" s="16" t="s">
        <v>383</v>
      </c>
      <c r="G43" s="15" t="s">
        <v>384</v>
      </c>
      <c r="H43" s="15" t="s">
        <v>385</v>
      </c>
      <c r="I43" s="15" t="s">
        <v>386</v>
      </c>
      <c r="J43" s="15" t="s">
        <v>342</v>
      </c>
      <c r="K43" s="11" t="s">
        <v>185</v>
      </c>
      <c r="L43" s="15" t="s">
        <v>185</v>
      </c>
      <c r="M43" s="15" t="s">
        <v>232</v>
      </c>
      <c r="N43" s="15" t="s">
        <v>387</v>
      </c>
      <c r="O43" s="15"/>
      <c r="P43" s="17">
        <v>42537</v>
      </c>
      <c r="Q43" s="15" t="s">
        <v>222</v>
      </c>
      <c r="R43" s="15" t="s">
        <v>388</v>
      </c>
      <c r="S43" s="15" t="s">
        <v>389</v>
      </c>
      <c r="T43" s="15" t="s">
        <v>390</v>
      </c>
      <c r="U43" s="15" t="s">
        <v>391</v>
      </c>
      <c r="V43" s="15" t="s">
        <v>392</v>
      </c>
      <c r="W43" s="15"/>
      <c r="X43" s="15"/>
      <c r="Y43" s="15"/>
    </row>
    <row r="44" s="11" customFormat="1" hidden="1" customHeight="1" spans="1:25">
      <c r="A44" s="13"/>
      <c r="B44" s="14"/>
      <c r="C44" s="15"/>
      <c r="D44" s="11" t="str">
        <f t="shared" ref="D44:D45" si="16">D43</f>
        <v>餐饮老板内参</v>
      </c>
      <c r="E44" s="15"/>
      <c r="F44" s="16"/>
      <c r="G44" s="15"/>
      <c r="H44" s="15"/>
      <c r="I44" s="15"/>
      <c r="J44" s="15"/>
      <c r="K44" s="11" t="str">
        <f t="shared" ref="K44:K45" si="17">K43</f>
        <v>运营中</v>
      </c>
      <c r="L44" s="15"/>
      <c r="M44" s="15"/>
      <c r="N44" s="15"/>
      <c r="O44" s="15"/>
      <c r="P44" s="17">
        <v>42211</v>
      </c>
      <c r="Q44" s="15" t="s">
        <v>393</v>
      </c>
      <c r="R44" s="15" t="s">
        <v>214</v>
      </c>
      <c r="S44" s="15" t="s">
        <v>394</v>
      </c>
      <c r="T44" s="15"/>
      <c r="U44" s="15"/>
      <c r="V44" s="15"/>
      <c r="W44" s="15"/>
      <c r="X44" s="15"/>
      <c r="Y44" s="15"/>
    </row>
    <row r="45" s="11" customFormat="1" hidden="1" customHeight="1" spans="1:25">
      <c r="A45" s="13"/>
      <c r="B45" s="14"/>
      <c r="C45" s="15"/>
      <c r="D45" s="11" t="str">
        <f t="shared" si="16"/>
        <v>餐饮老板内参</v>
      </c>
      <c r="E45" s="15"/>
      <c r="F45" s="16"/>
      <c r="G45" s="15"/>
      <c r="H45" s="15"/>
      <c r="I45" s="15"/>
      <c r="J45" s="15"/>
      <c r="K45" s="11" t="str">
        <f t="shared" si="17"/>
        <v>运营中</v>
      </c>
      <c r="L45" s="15"/>
      <c r="M45" s="15"/>
      <c r="N45" s="15"/>
      <c r="O45" s="15"/>
      <c r="P45" s="17">
        <v>41821</v>
      </c>
      <c r="Q45" s="15" t="s">
        <v>196</v>
      </c>
      <c r="R45" s="15" t="s">
        <v>197</v>
      </c>
      <c r="S45" s="15" t="s">
        <v>395</v>
      </c>
      <c r="T45" s="15"/>
      <c r="U45" s="15"/>
      <c r="V45" s="15"/>
      <c r="W45" s="15"/>
      <c r="X45" s="15"/>
      <c r="Y45" s="15"/>
    </row>
    <row r="46" s="11" customFormat="1" hidden="1" customHeight="1" spans="1:25">
      <c r="A46" s="13"/>
      <c r="B46" s="14"/>
      <c r="C46" s="15" t="s">
        <v>396</v>
      </c>
      <c r="D46" s="11" t="s">
        <v>397</v>
      </c>
      <c r="E46" s="15" t="s">
        <v>397</v>
      </c>
      <c r="F46" s="16" t="s">
        <v>398</v>
      </c>
      <c r="G46" s="15" t="s">
        <v>399</v>
      </c>
      <c r="H46" s="15" t="s">
        <v>400</v>
      </c>
      <c r="I46" s="15" t="s">
        <v>401</v>
      </c>
      <c r="J46" s="15" t="s">
        <v>402</v>
      </c>
      <c r="K46" s="11" t="s">
        <v>185</v>
      </c>
      <c r="L46" s="15" t="s">
        <v>185</v>
      </c>
      <c r="M46" s="15" t="s">
        <v>205</v>
      </c>
      <c r="N46" s="15" t="s">
        <v>403</v>
      </c>
      <c r="O46" s="15">
        <v>1</v>
      </c>
      <c r="P46" s="17">
        <v>43243</v>
      </c>
      <c r="Q46" s="15" t="s">
        <v>188</v>
      </c>
      <c r="R46" s="15" t="s">
        <v>189</v>
      </c>
      <c r="S46" s="15" t="s">
        <v>177</v>
      </c>
      <c r="T46" s="15" t="s">
        <v>330</v>
      </c>
      <c r="U46" s="15" t="s">
        <v>191</v>
      </c>
      <c r="V46" s="15" t="s">
        <v>404</v>
      </c>
      <c r="W46" s="15" t="s">
        <v>405</v>
      </c>
      <c r="X46" s="15"/>
      <c r="Y46" s="15" t="s">
        <v>406</v>
      </c>
    </row>
    <row r="47" s="11" customFormat="1" hidden="1" customHeight="1" spans="1:25">
      <c r="A47" s="13"/>
      <c r="B47" s="14"/>
      <c r="C47" s="15"/>
      <c r="D47" s="11" t="str">
        <f t="shared" ref="D47:D49" si="18">D46</f>
        <v>别样红云PMS</v>
      </c>
      <c r="E47" s="15"/>
      <c r="F47" s="16"/>
      <c r="G47" s="15"/>
      <c r="H47" s="15"/>
      <c r="I47" s="15"/>
      <c r="J47" s="15"/>
      <c r="K47" s="11" t="str">
        <f t="shared" ref="K47:K49" si="19">K46</f>
        <v>运营中</v>
      </c>
      <c r="L47" s="15"/>
      <c r="M47" s="15"/>
      <c r="N47" s="15"/>
      <c r="O47" s="15">
        <v>1</v>
      </c>
      <c r="P47" s="17">
        <v>42356</v>
      </c>
      <c r="Q47" s="15" t="s">
        <v>219</v>
      </c>
      <c r="R47" s="15" t="s">
        <v>217</v>
      </c>
      <c r="S47" s="15" t="s">
        <v>177</v>
      </c>
      <c r="T47" s="15"/>
      <c r="U47" s="15"/>
      <c r="V47" s="15"/>
      <c r="W47" s="15"/>
      <c r="X47" s="15"/>
      <c r="Y47" s="15"/>
    </row>
    <row r="48" s="11" customFormat="1" hidden="1" customHeight="1" spans="1:25">
      <c r="A48" s="13"/>
      <c r="B48" s="14"/>
      <c r="C48" s="15"/>
      <c r="D48" s="11" t="str">
        <f t="shared" si="18"/>
        <v>别样红云PMS</v>
      </c>
      <c r="E48" s="15"/>
      <c r="F48" s="16"/>
      <c r="G48" s="15"/>
      <c r="H48" s="15"/>
      <c r="I48" s="15"/>
      <c r="J48" s="15"/>
      <c r="K48" s="11" t="str">
        <f t="shared" si="19"/>
        <v>运营中</v>
      </c>
      <c r="L48" s="15"/>
      <c r="M48" s="15"/>
      <c r="N48" s="15"/>
      <c r="O48" s="15">
        <v>1</v>
      </c>
      <c r="P48" s="17">
        <v>42010</v>
      </c>
      <c r="Q48" s="15" t="s">
        <v>222</v>
      </c>
      <c r="R48" s="15" t="s">
        <v>407</v>
      </c>
      <c r="S48" s="15" t="s">
        <v>244</v>
      </c>
      <c r="T48" s="15"/>
      <c r="U48" s="15"/>
      <c r="V48" s="15"/>
      <c r="W48" s="15"/>
      <c r="X48" s="15"/>
      <c r="Y48" s="15"/>
    </row>
    <row r="49" s="11" customFormat="1" hidden="1" customHeight="1" spans="1:25">
      <c r="A49" s="13"/>
      <c r="B49" s="14"/>
      <c r="C49" s="15"/>
      <c r="D49" s="11" t="str">
        <f t="shared" si="18"/>
        <v>别样红云PMS</v>
      </c>
      <c r="E49" s="15"/>
      <c r="F49" s="16"/>
      <c r="G49" s="15"/>
      <c r="H49" s="15"/>
      <c r="I49" s="15"/>
      <c r="J49" s="15"/>
      <c r="K49" s="11" t="str">
        <f t="shared" si="19"/>
        <v>运营中</v>
      </c>
      <c r="L49" s="15"/>
      <c r="M49" s="15"/>
      <c r="N49" s="15"/>
      <c r="O49" s="15">
        <v>1</v>
      </c>
      <c r="P49" s="17">
        <v>41791</v>
      </c>
      <c r="Q49" s="15" t="s">
        <v>196</v>
      </c>
      <c r="R49" s="15" t="s">
        <v>197</v>
      </c>
      <c r="S49" s="15" t="s">
        <v>408</v>
      </c>
      <c r="T49" s="15"/>
      <c r="U49" s="15"/>
      <c r="V49" s="15"/>
      <c r="W49" s="15"/>
      <c r="X49" s="15"/>
      <c r="Y49" s="15"/>
    </row>
    <row r="50" s="11" customFormat="1" hidden="1" customHeight="1" spans="1:25">
      <c r="A50" s="13"/>
      <c r="B50" s="14"/>
      <c r="C50" s="15" t="s">
        <v>409</v>
      </c>
      <c r="D50" s="11" t="s">
        <v>410</v>
      </c>
      <c r="E50" s="15" t="s">
        <v>410</v>
      </c>
      <c r="F50" s="16" t="s">
        <v>411</v>
      </c>
      <c r="G50" s="15" t="s">
        <v>412</v>
      </c>
      <c r="H50" s="15" t="s">
        <v>413</v>
      </c>
      <c r="I50" s="15" t="s">
        <v>414</v>
      </c>
      <c r="J50" s="15" t="s">
        <v>415</v>
      </c>
      <c r="K50" s="11" t="s">
        <v>185</v>
      </c>
      <c r="L50" s="15" t="s">
        <v>185</v>
      </c>
      <c r="M50" s="15" t="s">
        <v>416</v>
      </c>
      <c r="N50" s="15" t="s">
        <v>417</v>
      </c>
      <c r="O50" s="15"/>
      <c r="P50" s="17">
        <v>44936</v>
      </c>
      <c r="Q50" s="15" t="s">
        <v>363</v>
      </c>
      <c r="R50" s="15" t="s">
        <v>269</v>
      </c>
      <c r="S50" s="15" t="s">
        <v>418</v>
      </c>
      <c r="T50" s="15" t="s">
        <v>419</v>
      </c>
      <c r="U50" s="15" t="s">
        <v>420</v>
      </c>
      <c r="V50" s="15" t="s">
        <v>421</v>
      </c>
      <c r="W50" s="15" t="s">
        <v>422</v>
      </c>
      <c r="X50" s="15" t="s">
        <v>423</v>
      </c>
      <c r="Y50" s="15" t="s">
        <v>424</v>
      </c>
    </row>
    <row r="51" s="3" customFormat="1" customHeight="1" spans="1:25">
      <c r="A51" s="1"/>
      <c r="B51" s="7"/>
      <c r="C51" s="8"/>
      <c r="D51" s="11" t="str">
        <f t="shared" ref="D51:D58" si="20">D50</f>
        <v>高仙机器人</v>
      </c>
      <c r="E51" s="8"/>
      <c r="F51" s="9"/>
      <c r="G51" s="15"/>
      <c r="H51" s="15"/>
      <c r="I51" s="8"/>
      <c r="J51" s="8"/>
      <c r="K51" s="11" t="str">
        <f t="shared" ref="K51:K58" si="21">K50</f>
        <v>运营中</v>
      </c>
      <c r="L51" s="8"/>
      <c r="M51" s="8"/>
      <c r="N51" s="8"/>
      <c r="O51" s="8"/>
      <c r="P51" s="10">
        <v>44510</v>
      </c>
      <c r="Q51" s="8" t="s">
        <v>425</v>
      </c>
      <c r="R51" s="8" t="s">
        <v>426</v>
      </c>
      <c r="S51" s="8" t="s">
        <v>427</v>
      </c>
      <c r="T51" s="8"/>
      <c r="U51" s="8"/>
      <c r="V51" s="9"/>
      <c r="W51" s="15"/>
      <c r="X51" s="15"/>
      <c r="Y51" s="15"/>
    </row>
    <row r="52" s="11" customFormat="1" hidden="1" customHeight="1" spans="1:25">
      <c r="A52" s="13"/>
      <c r="B52" s="14"/>
      <c r="C52" s="15"/>
      <c r="D52" s="11" t="str">
        <f t="shared" si="20"/>
        <v>高仙机器人</v>
      </c>
      <c r="E52" s="15"/>
      <c r="F52" s="16"/>
      <c r="G52" s="15"/>
      <c r="H52" s="15"/>
      <c r="I52" s="15"/>
      <c r="J52" s="15"/>
      <c r="K52" s="11" t="str">
        <f t="shared" si="21"/>
        <v>运营中</v>
      </c>
      <c r="L52" s="15"/>
      <c r="M52" s="15"/>
      <c r="N52" s="15"/>
      <c r="O52" s="15"/>
      <c r="P52" s="17">
        <v>44300</v>
      </c>
      <c r="Q52" s="15" t="s">
        <v>428</v>
      </c>
      <c r="R52" s="15" t="s">
        <v>269</v>
      </c>
      <c r="S52" s="15" t="s">
        <v>429</v>
      </c>
      <c r="T52" s="15"/>
      <c r="U52" s="15"/>
      <c r="V52" s="15"/>
      <c r="W52" s="15"/>
      <c r="X52" s="15"/>
      <c r="Y52" s="15"/>
    </row>
    <row r="53" s="3" customFormat="1" customHeight="1" spans="1:25">
      <c r="A53" s="1"/>
      <c r="B53" s="7"/>
      <c r="C53" s="8"/>
      <c r="D53" s="11" t="str">
        <f t="shared" si="20"/>
        <v>高仙机器人</v>
      </c>
      <c r="E53" s="8"/>
      <c r="F53" s="9"/>
      <c r="G53" s="15"/>
      <c r="H53" s="15"/>
      <c r="I53" s="8"/>
      <c r="J53" s="8"/>
      <c r="K53" s="11" t="str">
        <f t="shared" si="21"/>
        <v>运营中</v>
      </c>
      <c r="L53" s="8"/>
      <c r="M53" s="8"/>
      <c r="N53" s="8"/>
      <c r="O53" s="8"/>
      <c r="P53" s="10">
        <v>44078</v>
      </c>
      <c r="Q53" s="8" t="s">
        <v>280</v>
      </c>
      <c r="R53" s="8" t="s">
        <v>430</v>
      </c>
      <c r="S53" s="8" t="s">
        <v>431</v>
      </c>
      <c r="T53" s="8"/>
      <c r="U53" s="8"/>
      <c r="V53" s="9"/>
      <c r="W53" s="15"/>
      <c r="X53" s="15"/>
      <c r="Y53" s="15"/>
    </row>
    <row r="54" s="11" customFormat="1" hidden="1" customHeight="1" spans="1:25">
      <c r="A54" s="13"/>
      <c r="B54" s="14"/>
      <c r="C54" s="15"/>
      <c r="D54" s="11" t="str">
        <f t="shared" si="20"/>
        <v>高仙机器人</v>
      </c>
      <c r="E54" s="15"/>
      <c r="F54" s="16"/>
      <c r="G54" s="15"/>
      <c r="H54" s="15"/>
      <c r="I54" s="15"/>
      <c r="J54" s="15"/>
      <c r="K54" s="11" t="str">
        <f t="shared" si="21"/>
        <v>运营中</v>
      </c>
      <c r="L54" s="15"/>
      <c r="M54" s="15"/>
      <c r="N54" s="15"/>
      <c r="O54" s="15"/>
      <c r="P54" s="17">
        <v>44076</v>
      </c>
      <c r="Q54" s="15" t="s">
        <v>428</v>
      </c>
      <c r="R54" s="15" t="s">
        <v>432</v>
      </c>
      <c r="S54" s="15" t="s">
        <v>433</v>
      </c>
      <c r="T54" s="15"/>
      <c r="U54" s="15"/>
      <c r="V54" s="15"/>
      <c r="W54" s="15"/>
      <c r="X54" s="15"/>
      <c r="Y54" s="15"/>
    </row>
    <row r="55" s="11" customFormat="1" hidden="1" customHeight="1" spans="1:25">
      <c r="A55" s="13"/>
      <c r="B55" s="14"/>
      <c r="C55" s="15"/>
      <c r="D55" s="11" t="str">
        <f t="shared" si="20"/>
        <v>高仙机器人</v>
      </c>
      <c r="E55" s="15"/>
      <c r="F55" s="16"/>
      <c r="G55" s="15"/>
      <c r="H55" s="15"/>
      <c r="I55" s="15"/>
      <c r="J55" s="15"/>
      <c r="K55" s="11" t="str">
        <f t="shared" si="21"/>
        <v>运营中</v>
      </c>
      <c r="L55" s="15"/>
      <c r="M55" s="15"/>
      <c r="N55" s="15"/>
      <c r="O55" s="15"/>
      <c r="P55" s="17">
        <v>43543</v>
      </c>
      <c r="Q55" s="15" t="s">
        <v>219</v>
      </c>
      <c r="R55" s="15" t="s">
        <v>434</v>
      </c>
      <c r="S55" s="15" t="s">
        <v>435</v>
      </c>
      <c r="T55" s="15"/>
      <c r="U55" s="15"/>
      <c r="V55" s="15"/>
      <c r="W55" s="15"/>
      <c r="X55" s="15"/>
      <c r="Y55" s="15"/>
    </row>
    <row r="56" s="11" customFormat="1" hidden="1" customHeight="1" spans="1:25">
      <c r="A56" s="13"/>
      <c r="B56" s="14"/>
      <c r="C56" s="15"/>
      <c r="D56" s="11" t="str">
        <f t="shared" si="20"/>
        <v>高仙机器人</v>
      </c>
      <c r="E56" s="15"/>
      <c r="F56" s="16"/>
      <c r="G56" s="15"/>
      <c r="H56" s="15"/>
      <c r="I56" s="15"/>
      <c r="J56" s="15"/>
      <c r="K56" s="11" t="str">
        <f t="shared" si="21"/>
        <v>运营中</v>
      </c>
      <c r="L56" s="15"/>
      <c r="M56" s="15"/>
      <c r="N56" s="15"/>
      <c r="O56" s="15"/>
      <c r="P56" s="17">
        <v>43230</v>
      </c>
      <c r="Q56" s="15" t="s">
        <v>222</v>
      </c>
      <c r="R56" s="15" t="s">
        <v>313</v>
      </c>
      <c r="S56" s="15" t="s">
        <v>436</v>
      </c>
      <c r="T56" s="15"/>
      <c r="U56" s="15"/>
      <c r="V56" s="15"/>
      <c r="W56" s="15"/>
      <c r="X56" s="15"/>
      <c r="Y56" s="15"/>
    </row>
    <row r="57" s="11" customFormat="1" hidden="1" customHeight="1" spans="1:25">
      <c r="A57" s="13"/>
      <c r="B57" s="14"/>
      <c r="C57" s="15"/>
      <c r="D57" s="11" t="str">
        <f t="shared" si="20"/>
        <v>高仙机器人</v>
      </c>
      <c r="E57" s="15"/>
      <c r="F57" s="16"/>
      <c r="G57" s="15"/>
      <c r="H57" s="15"/>
      <c r="I57" s="15"/>
      <c r="J57" s="15"/>
      <c r="K57" s="11" t="str">
        <f t="shared" si="21"/>
        <v>运营中</v>
      </c>
      <c r="L57" s="15"/>
      <c r="M57" s="15"/>
      <c r="N57" s="15"/>
      <c r="O57" s="15"/>
      <c r="P57" s="17">
        <v>42545</v>
      </c>
      <c r="Q57" s="15" t="s">
        <v>393</v>
      </c>
      <c r="R57" s="15" t="s">
        <v>366</v>
      </c>
      <c r="S57" s="15" t="s">
        <v>437</v>
      </c>
      <c r="T57" s="15"/>
      <c r="U57" s="15"/>
      <c r="V57" s="15"/>
      <c r="W57" s="15"/>
      <c r="X57" s="15"/>
      <c r="Y57" s="15"/>
    </row>
    <row r="58" s="11" customFormat="1" hidden="1" customHeight="1" spans="1:25">
      <c r="A58" s="13"/>
      <c r="B58" s="14"/>
      <c r="C58" s="15"/>
      <c r="D58" s="11" t="str">
        <f t="shared" si="20"/>
        <v>高仙机器人</v>
      </c>
      <c r="E58" s="15"/>
      <c r="F58" s="16"/>
      <c r="G58" s="15"/>
      <c r="H58" s="15"/>
      <c r="I58" s="15"/>
      <c r="J58" s="15"/>
      <c r="K58" s="11" t="str">
        <f t="shared" si="21"/>
        <v>运营中</v>
      </c>
      <c r="L58" s="15"/>
      <c r="M58" s="15"/>
      <c r="N58" s="15"/>
      <c r="O58" s="15"/>
      <c r="P58" s="17">
        <v>41800</v>
      </c>
      <c r="Q58" s="15" t="s">
        <v>196</v>
      </c>
      <c r="R58" s="15" t="s">
        <v>438</v>
      </c>
      <c r="S58" s="15" t="s">
        <v>439</v>
      </c>
      <c r="T58" s="15"/>
      <c r="U58" s="15"/>
      <c r="V58" s="15"/>
      <c r="W58" s="15"/>
      <c r="X58" s="15"/>
      <c r="Y58" s="15"/>
    </row>
    <row r="59" s="11" customFormat="1" hidden="1" customHeight="1" spans="1:25">
      <c r="A59" s="13"/>
      <c r="B59" s="14"/>
      <c r="C59" s="15" t="s">
        <v>440</v>
      </c>
      <c r="D59" s="11" t="s">
        <v>441</v>
      </c>
      <c r="E59" s="15" t="s">
        <v>441</v>
      </c>
      <c r="F59" s="16" t="s">
        <v>442</v>
      </c>
      <c r="G59" s="15" t="s">
        <v>443</v>
      </c>
      <c r="H59" s="15" t="s">
        <v>444</v>
      </c>
      <c r="I59" s="15" t="s">
        <v>445</v>
      </c>
      <c r="J59" s="15" t="s">
        <v>446</v>
      </c>
      <c r="K59" s="11" t="s">
        <v>185</v>
      </c>
      <c r="L59" s="15" t="s">
        <v>185</v>
      </c>
      <c r="M59" s="15" t="s">
        <v>186</v>
      </c>
      <c r="N59" s="15" t="s">
        <v>447</v>
      </c>
      <c r="O59" s="15"/>
      <c r="P59" s="17">
        <v>42543</v>
      </c>
      <c r="Q59" s="15" t="s">
        <v>219</v>
      </c>
      <c r="R59" s="15" t="s">
        <v>220</v>
      </c>
      <c r="S59" s="15" t="s">
        <v>448</v>
      </c>
      <c r="T59" s="15" t="s">
        <v>449</v>
      </c>
      <c r="U59" s="15" t="s">
        <v>450</v>
      </c>
      <c r="V59" s="15" t="s">
        <v>451</v>
      </c>
      <c r="W59" s="15"/>
      <c r="X59" s="15"/>
      <c r="Y59" s="15"/>
    </row>
    <row r="60" s="11" customFormat="1" hidden="1" customHeight="1" spans="1:25">
      <c r="A60" s="13"/>
      <c r="B60" s="14"/>
      <c r="C60" s="15"/>
      <c r="D60" s="11" t="str">
        <f>D59</f>
        <v>美甲帮</v>
      </c>
      <c r="E60" s="15"/>
      <c r="F60" s="16"/>
      <c r="G60" s="15"/>
      <c r="H60" s="15"/>
      <c r="I60" s="15"/>
      <c r="J60" s="15"/>
      <c r="K60" s="11" t="str">
        <f>K59</f>
        <v>运营中</v>
      </c>
      <c r="L60" s="15"/>
      <c r="M60" s="15"/>
      <c r="N60" s="15"/>
      <c r="O60" s="15"/>
      <c r="P60" s="17">
        <v>41863</v>
      </c>
      <c r="Q60" s="15" t="s">
        <v>222</v>
      </c>
      <c r="R60" s="15" t="s">
        <v>223</v>
      </c>
      <c r="S60" s="15" t="s">
        <v>224</v>
      </c>
      <c r="T60" s="15"/>
      <c r="U60" s="15"/>
      <c r="V60" s="15"/>
      <c r="W60" s="15"/>
      <c r="X60" s="15"/>
      <c r="Y60" s="15"/>
    </row>
    <row r="61" s="11" customFormat="1" hidden="1" customHeight="1" spans="1:25">
      <c r="A61" s="13"/>
      <c r="B61" s="14"/>
      <c r="C61" s="15" t="s">
        <v>452</v>
      </c>
      <c r="D61" s="11" t="s">
        <v>453</v>
      </c>
      <c r="E61" s="15" t="s">
        <v>453</v>
      </c>
      <c r="F61" s="16" t="s">
        <v>454</v>
      </c>
      <c r="G61" s="15" t="s">
        <v>455</v>
      </c>
      <c r="H61" s="15" t="s">
        <v>456</v>
      </c>
      <c r="I61" s="15" t="s">
        <v>457</v>
      </c>
      <c r="J61" s="15" t="s">
        <v>402</v>
      </c>
      <c r="K61" s="11" t="s">
        <v>185</v>
      </c>
      <c r="L61" s="15" t="s">
        <v>185</v>
      </c>
      <c r="M61" s="15" t="s">
        <v>186</v>
      </c>
      <c r="N61" s="15" t="s">
        <v>458</v>
      </c>
      <c r="O61" s="15"/>
      <c r="P61" s="17">
        <v>42480</v>
      </c>
      <c r="Q61" s="15" t="s">
        <v>428</v>
      </c>
      <c r="R61" s="15" t="s">
        <v>220</v>
      </c>
      <c r="S61" s="15" t="s">
        <v>459</v>
      </c>
      <c r="T61" s="15" t="s">
        <v>460</v>
      </c>
      <c r="U61" s="15" t="s">
        <v>461</v>
      </c>
      <c r="V61" s="15" t="s">
        <v>462</v>
      </c>
      <c r="W61" s="15"/>
      <c r="X61" s="15"/>
      <c r="Y61" s="15"/>
    </row>
    <row r="62" s="11" customFormat="1" hidden="1" customHeight="1" spans="1:25">
      <c r="A62" s="13"/>
      <c r="B62" s="14"/>
      <c r="C62" s="15"/>
      <c r="D62" s="11" t="str">
        <f t="shared" ref="D62:D66" si="22">D61</f>
        <v>宅米</v>
      </c>
      <c r="E62" s="15"/>
      <c r="F62" s="16"/>
      <c r="G62" s="15"/>
      <c r="H62" s="15"/>
      <c r="I62" s="15"/>
      <c r="J62" s="15"/>
      <c r="K62" s="11" t="str">
        <f t="shared" ref="K62:K66" si="23">K61</f>
        <v>运营中</v>
      </c>
      <c r="L62" s="15"/>
      <c r="M62" s="15"/>
      <c r="N62" s="15"/>
      <c r="O62" s="15"/>
      <c r="P62" s="17">
        <v>42261</v>
      </c>
      <c r="Q62" s="15" t="s">
        <v>219</v>
      </c>
      <c r="R62" s="15" t="s">
        <v>463</v>
      </c>
      <c r="S62" s="15" t="s">
        <v>464</v>
      </c>
      <c r="T62" s="15"/>
      <c r="U62" s="15"/>
      <c r="V62" s="15"/>
      <c r="W62" s="15"/>
      <c r="X62" s="15"/>
      <c r="Y62" s="15"/>
    </row>
    <row r="63" s="11" customFormat="1" hidden="1" customHeight="1" spans="1:25">
      <c r="A63" s="13"/>
      <c r="B63" s="14"/>
      <c r="C63" s="15"/>
      <c r="D63" s="11" t="str">
        <f t="shared" si="22"/>
        <v>宅米</v>
      </c>
      <c r="E63" s="15"/>
      <c r="F63" s="16"/>
      <c r="G63" s="15"/>
      <c r="H63" s="15"/>
      <c r="I63" s="15"/>
      <c r="J63" s="15"/>
      <c r="K63" s="11" t="str">
        <f t="shared" si="23"/>
        <v>运营中</v>
      </c>
      <c r="L63" s="15"/>
      <c r="M63" s="15"/>
      <c r="N63" s="15"/>
      <c r="O63" s="15"/>
      <c r="P63" s="17">
        <v>42131</v>
      </c>
      <c r="Q63" s="15" t="s">
        <v>334</v>
      </c>
      <c r="R63" s="15" t="s">
        <v>220</v>
      </c>
      <c r="S63" s="15" t="s">
        <v>465</v>
      </c>
      <c r="T63" s="15"/>
      <c r="U63" s="15"/>
      <c r="V63" s="15"/>
      <c r="W63" s="15"/>
      <c r="X63" s="15"/>
      <c r="Y63" s="15"/>
    </row>
    <row r="64" s="11" customFormat="1" hidden="1" customHeight="1" spans="1:25">
      <c r="A64" s="13"/>
      <c r="B64" s="14"/>
      <c r="C64" s="15"/>
      <c r="D64" s="11" t="str">
        <f t="shared" si="22"/>
        <v>宅米</v>
      </c>
      <c r="E64" s="15"/>
      <c r="F64" s="16"/>
      <c r="G64" s="15"/>
      <c r="H64" s="15"/>
      <c r="I64" s="15"/>
      <c r="J64" s="15"/>
      <c r="K64" s="11" t="str">
        <f t="shared" si="23"/>
        <v>运营中</v>
      </c>
      <c r="L64" s="15"/>
      <c r="M64" s="15"/>
      <c r="N64" s="15"/>
      <c r="O64" s="15"/>
      <c r="P64" s="17">
        <v>42093</v>
      </c>
      <c r="Q64" s="15" t="s">
        <v>222</v>
      </c>
      <c r="R64" s="15" t="s">
        <v>217</v>
      </c>
      <c r="S64" s="15" t="s">
        <v>466</v>
      </c>
      <c r="T64" s="15"/>
      <c r="U64" s="15"/>
      <c r="V64" s="15"/>
      <c r="W64" s="15"/>
      <c r="X64" s="15"/>
      <c r="Y64" s="15"/>
    </row>
    <row r="65" s="11" customFormat="1" hidden="1" customHeight="1" spans="1:25">
      <c r="A65" s="13"/>
      <c r="B65" s="14"/>
      <c r="C65" s="15"/>
      <c r="D65" s="11" t="str">
        <f t="shared" si="22"/>
        <v>宅米</v>
      </c>
      <c r="E65" s="15"/>
      <c r="F65" s="16"/>
      <c r="G65" s="15"/>
      <c r="H65" s="15"/>
      <c r="I65" s="15"/>
      <c r="J65" s="15"/>
      <c r="K65" s="11" t="str">
        <f t="shared" si="23"/>
        <v>运营中</v>
      </c>
      <c r="L65" s="15"/>
      <c r="M65" s="15"/>
      <c r="N65" s="15"/>
      <c r="O65" s="15"/>
      <c r="P65" s="17">
        <v>42064</v>
      </c>
      <c r="Q65" s="15" t="s">
        <v>393</v>
      </c>
      <c r="R65" s="15" t="s">
        <v>189</v>
      </c>
      <c r="S65" s="15" t="s">
        <v>467</v>
      </c>
      <c r="T65" s="15"/>
      <c r="U65" s="15"/>
      <c r="V65" s="15"/>
      <c r="W65" s="15"/>
      <c r="X65" s="15"/>
      <c r="Y65" s="15"/>
    </row>
    <row r="66" s="11" customFormat="1" hidden="1" customHeight="1" spans="1:25">
      <c r="A66" s="13"/>
      <c r="B66" s="14"/>
      <c r="C66" s="15"/>
      <c r="D66" s="11" t="str">
        <f t="shared" si="22"/>
        <v>宅米</v>
      </c>
      <c r="E66" s="15"/>
      <c r="F66" s="16"/>
      <c r="G66" s="15"/>
      <c r="H66" s="15"/>
      <c r="I66" s="15"/>
      <c r="J66" s="15"/>
      <c r="K66" s="11" t="str">
        <f t="shared" si="23"/>
        <v>运营中</v>
      </c>
      <c r="L66" s="15"/>
      <c r="M66" s="15"/>
      <c r="N66" s="15"/>
      <c r="O66" s="15"/>
      <c r="P66" s="17">
        <v>42063</v>
      </c>
      <c r="Q66" s="15" t="s">
        <v>196</v>
      </c>
      <c r="R66" s="15" t="s">
        <v>197</v>
      </c>
      <c r="S66" s="15" t="s">
        <v>468</v>
      </c>
      <c r="T66" s="15"/>
      <c r="U66" s="15"/>
      <c r="V66" s="15"/>
      <c r="W66" s="15"/>
      <c r="X66" s="15"/>
      <c r="Y66" s="15"/>
    </row>
    <row r="67" s="11" customFormat="1" hidden="1" customHeight="1" spans="1:25">
      <c r="A67" s="13"/>
      <c r="B67" s="14"/>
      <c r="C67" s="15" t="s">
        <v>469</v>
      </c>
      <c r="D67" s="11" t="s">
        <v>470</v>
      </c>
      <c r="E67" s="15" t="s">
        <v>470</v>
      </c>
      <c r="F67" s="16" t="s">
        <v>471</v>
      </c>
      <c r="G67" s="15" t="s">
        <v>472</v>
      </c>
      <c r="H67" s="15" t="s">
        <v>473</v>
      </c>
      <c r="I67" s="15" t="s">
        <v>355</v>
      </c>
      <c r="J67" s="15" t="s">
        <v>342</v>
      </c>
      <c r="K67" s="11" t="s">
        <v>185</v>
      </c>
      <c r="L67" s="15" t="s">
        <v>185</v>
      </c>
      <c r="M67" s="15" t="s">
        <v>356</v>
      </c>
      <c r="N67" s="15" t="s">
        <v>357</v>
      </c>
      <c r="O67" s="15"/>
      <c r="P67" s="17">
        <v>43383</v>
      </c>
      <c r="Q67" s="15" t="s">
        <v>474</v>
      </c>
      <c r="R67" s="15" t="s">
        <v>475</v>
      </c>
      <c r="S67" s="15" t="s">
        <v>476</v>
      </c>
      <c r="T67" s="15" t="s">
        <v>477</v>
      </c>
      <c r="U67" s="15" t="s">
        <v>478</v>
      </c>
      <c r="V67" s="15" t="s">
        <v>479</v>
      </c>
      <c r="W67" s="15" t="s">
        <v>480</v>
      </c>
      <c r="X67" s="15" t="s">
        <v>481</v>
      </c>
      <c r="Y67" s="15" t="s">
        <v>482</v>
      </c>
    </row>
    <row r="68" s="11" customFormat="1" hidden="1" customHeight="1" spans="1:25">
      <c r="A68" s="13"/>
      <c r="B68" s="14"/>
      <c r="C68" s="15"/>
      <c r="D68" s="11" t="str">
        <f t="shared" ref="D68:D75" si="24">D67</f>
        <v>美菜网</v>
      </c>
      <c r="E68" s="15"/>
      <c r="F68" s="16"/>
      <c r="G68" s="15"/>
      <c r="H68" s="15"/>
      <c r="I68" s="15"/>
      <c r="J68" s="15"/>
      <c r="K68" s="11" t="str">
        <f t="shared" ref="K68:K75" si="25">K67</f>
        <v>运营中</v>
      </c>
      <c r="L68" s="15"/>
      <c r="M68" s="15"/>
      <c r="N68" s="15"/>
      <c r="O68" s="15"/>
      <c r="P68" s="17">
        <v>43381</v>
      </c>
      <c r="Q68" s="15" t="s">
        <v>207</v>
      </c>
      <c r="R68" s="15" t="s">
        <v>263</v>
      </c>
      <c r="S68" s="15" t="s">
        <v>483</v>
      </c>
      <c r="T68" s="15"/>
      <c r="U68" s="15"/>
      <c r="V68" s="15"/>
      <c r="W68" s="15"/>
      <c r="X68" s="15"/>
      <c r="Y68" s="15"/>
    </row>
    <row r="69" s="11" customFormat="1" hidden="1" customHeight="1" spans="1:25">
      <c r="A69" s="13"/>
      <c r="B69" s="14"/>
      <c r="C69" s="15"/>
      <c r="D69" s="11" t="str">
        <f t="shared" si="24"/>
        <v>美菜网</v>
      </c>
      <c r="E69" s="15"/>
      <c r="F69" s="16"/>
      <c r="G69" s="15"/>
      <c r="H69" s="15"/>
      <c r="I69" s="15"/>
      <c r="J69" s="15"/>
      <c r="K69" s="11" t="str">
        <f t="shared" si="25"/>
        <v>运营中</v>
      </c>
      <c r="L69" s="15"/>
      <c r="M69" s="15"/>
      <c r="N69" s="15"/>
      <c r="O69" s="15"/>
      <c r="P69" s="17">
        <v>43112</v>
      </c>
      <c r="Q69" s="15" t="s">
        <v>484</v>
      </c>
      <c r="R69" s="15" t="s">
        <v>485</v>
      </c>
      <c r="S69" s="15" t="s">
        <v>486</v>
      </c>
      <c r="T69" s="15"/>
      <c r="U69" s="15"/>
      <c r="V69" s="15"/>
      <c r="W69" s="15"/>
      <c r="X69" s="15"/>
      <c r="Y69" s="15"/>
    </row>
    <row r="70" s="11" customFormat="1" hidden="1" customHeight="1" spans="1:25">
      <c r="A70" s="13"/>
      <c r="B70" s="14"/>
      <c r="C70" s="15"/>
      <c r="D70" s="11" t="str">
        <f t="shared" si="24"/>
        <v>美菜网</v>
      </c>
      <c r="E70" s="15"/>
      <c r="F70" s="16"/>
      <c r="G70" s="15"/>
      <c r="H70" s="15"/>
      <c r="I70" s="15"/>
      <c r="J70" s="15"/>
      <c r="K70" s="11" t="str">
        <f t="shared" si="25"/>
        <v>运营中</v>
      </c>
      <c r="L70" s="15"/>
      <c r="M70" s="15"/>
      <c r="N70" s="15"/>
      <c r="O70" s="15"/>
      <c r="P70" s="17">
        <v>42675</v>
      </c>
      <c r="Q70" s="15" t="s">
        <v>207</v>
      </c>
      <c r="R70" s="15" t="s">
        <v>313</v>
      </c>
      <c r="S70" s="15" t="s">
        <v>487</v>
      </c>
      <c r="T70" s="15"/>
      <c r="U70" s="15"/>
      <c r="V70" s="15"/>
      <c r="W70" s="15"/>
      <c r="X70" s="15"/>
      <c r="Y70" s="15"/>
    </row>
    <row r="71" s="11" customFormat="1" hidden="1" customHeight="1" spans="1:25">
      <c r="A71" s="13"/>
      <c r="B71" s="14"/>
      <c r="C71" s="15"/>
      <c r="D71" s="11" t="str">
        <f t="shared" si="24"/>
        <v>美菜网</v>
      </c>
      <c r="E71" s="15"/>
      <c r="F71" s="16"/>
      <c r="G71" s="15"/>
      <c r="H71" s="15"/>
      <c r="I71" s="15"/>
      <c r="J71" s="15"/>
      <c r="K71" s="11" t="str">
        <f t="shared" si="25"/>
        <v>运营中</v>
      </c>
      <c r="L71" s="15"/>
      <c r="M71" s="15"/>
      <c r="N71" s="15"/>
      <c r="O71" s="15"/>
      <c r="P71" s="17">
        <v>42525</v>
      </c>
      <c r="Q71" s="15" t="s">
        <v>363</v>
      </c>
      <c r="R71" s="15" t="s">
        <v>488</v>
      </c>
      <c r="S71" s="15" t="s">
        <v>489</v>
      </c>
      <c r="T71" s="15"/>
      <c r="U71" s="15"/>
      <c r="V71" s="15"/>
      <c r="W71" s="15"/>
      <c r="X71" s="15"/>
      <c r="Y71" s="15"/>
    </row>
    <row r="72" s="11" customFormat="1" hidden="1" customHeight="1" spans="1:25">
      <c r="A72" s="13"/>
      <c r="B72" s="14"/>
      <c r="C72" s="15"/>
      <c r="D72" s="11" t="str">
        <f t="shared" si="24"/>
        <v>美菜网</v>
      </c>
      <c r="E72" s="15"/>
      <c r="F72" s="16"/>
      <c r="G72" s="15"/>
      <c r="H72" s="15"/>
      <c r="I72" s="15"/>
      <c r="J72" s="15"/>
      <c r="K72" s="11" t="str">
        <f t="shared" si="25"/>
        <v>运营中</v>
      </c>
      <c r="L72" s="15"/>
      <c r="M72" s="15"/>
      <c r="N72" s="15"/>
      <c r="O72" s="15"/>
      <c r="P72" s="17">
        <v>42265</v>
      </c>
      <c r="Q72" s="15" t="s">
        <v>216</v>
      </c>
      <c r="R72" s="15" t="s">
        <v>220</v>
      </c>
      <c r="S72" s="15" t="s">
        <v>490</v>
      </c>
      <c r="T72" s="15"/>
      <c r="U72" s="15"/>
      <c r="V72" s="15"/>
      <c r="W72" s="15"/>
      <c r="X72" s="15"/>
      <c r="Y72" s="15"/>
    </row>
    <row r="73" s="11" customFormat="1" hidden="1" customHeight="1" spans="1:25">
      <c r="A73" s="13"/>
      <c r="B73" s="14"/>
      <c r="C73" s="15"/>
      <c r="D73" s="11" t="str">
        <f t="shared" si="24"/>
        <v>美菜网</v>
      </c>
      <c r="E73" s="15"/>
      <c r="F73" s="16"/>
      <c r="G73" s="15"/>
      <c r="H73" s="15"/>
      <c r="I73" s="15"/>
      <c r="J73" s="15"/>
      <c r="K73" s="11" t="str">
        <f t="shared" si="25"/>
        <v>运营中</v>
      </c>
      <c r="L73" s="15"/>
      <c r="M73" s="15"/>
      <c r="N73" s="15"/>
      <c r="O73" s="15"/>
      <c r="P73" s="17">
        <v>42036</v>
      </c>
      <c r="Q73" s="15" t="s">
        <v>219</v>
      </c>
      <c r="R73" s="15" t="s">
        <v>220</v>
      </c>
      <c r="S73" s="15" t="s">
        <v>491</v>
      </c>
      <c r="T73" s="15"/>
      <c r="U73" s="15"/>
      <c r="V73" s="15"/>
      <c r="W73" s="15"/>
      <c r="X73" s="15"/>
      <c r="Y73" s="15"/>
    </row>
    <row r="74" s="11" customFormat="1" hidden="1" customHeight="1" spans="1:25">
      <c r="A74" s="13"/>
      <c r="B74" s="14"/>
      <c r="C74" s="15"/>
      <c r="D74" s="11" t="str">
        <f t="shared" si="24"/>
        <v>美菜网</v>
      </c>
      <c r="E74" s="15"/>
      <c r="F74" s="16"/>
      <c r="G74" s="15"/>
      <c r="H74" s="15"/>
      <c r="I74" s="15"/>
      <c r="J74" s="15"/>
      <c r="K74" s="11" t="str">
        <f t="shared" si="25"/>
        <v>运营中</v>
      </c>
      <c r="L74" s="15"/>
      <c r="M74" s="15"/>
      <c r="N74" s="15"/>
      <c r="O74" s="15"/>
      <c r="P74" s="17">
        <v>41957</v>
      </c>
      <c r="Q74" s="15" t="s">
        <v>222</v>
      </c>
      <c r="R74" s="15" t="s">
        <v>223</v>
      </c>
      <c r="S74" s="15" t="s">
        <v>492</v>
      </c>
      <c r="T74" s="15"/>
      <c r="U74" s="15"/>
      <c r="V74" s="15"/>
      <c r="W74" s="15"/>
      <c r="X74" s="15"/>
      <c r="Y74" s="15"/>
    </row>
    <row r="75" s="11" customFormat="1" hidden="1" customHeight="1" spans="1:25">
      <c r="A75" s="13"/>
      <c r="B75" s="14"/>
      <c r="C75" s="15"/>
      <c r="D75" s="11" t="str">
        <f t="shared" si="24"/>
        <v>美菜网</v>
      </c>
      <c r="E75" s="15"/>
      <c r="F75" s="16"/>
      <c r="G75" s="15"/>
      <c r="H75" s="15"/>
      <c r="I75" s="15"/>
      <c r="J75" s="15"/>
      <c r="K75" s="11" t="str">
        <f t="shared" si="25"/>
        <v>运营中</v>
      </c>
      <c r="L75" s="15"/>
      <c r="M75" s="15"/>
      <c r="N75" s="15"/>
      <c r="O75" s="15"/>
      <c r="P75" s="17">
        <v>41873</v>
      </c>
      <c r="Q75" s="15" t="s">
        <v>196</v>
      </c>
      <c r="R75" s="15" t="s">
        <v>369</v>
      </c>
      <c r="S75" s="15" t="s">
        <v>493</v>
      </c>
      <c r="T75" s="15"/>
      <c r="U75" s="15"/>
      <c r="V75" s="15"/>
      <c r="W75" s="15"/>
      <c r="X75" s="15"/>
      <c r="Y75" s="15"/>
    </row>
    <row r="76" s="11" customFormat="1" hidden="1" customHeight="1" spans="1:25">
      <c r="A76" s="13"/>
      <c r="B76" s="14"/>
      <c r="C76" s="15" t="s">
        <v>494</v>
      </c>
      <c r="D76" s="11" t="s">
        <v>495</v>
      </c>
      <c r="E76" s="15" t="s">
        <v>495</v>
      </c>
      <c r="F76" s="16" t="s">
        <v>496</v>
      </c>
      <c r="G76" s="15" t="s">
        <v>497</v>
      </c>
      <c r="H76" s="15" t="s">
        <v>498</v>
      </c>
      <c r="I76" s="15" t="s">
        <v>499</v>
      </c>
      <c r="J76" s="15" t="s">
        <v>500</v>
      </c>
      <c r="K76" s="11" t="s">
        <v>185</v>
      </c>
      <c r="L76" s="15" t="s">
        <v>185</v>
      </c>
      <c r="M76" s="15" t="s">
        <v>186</v>
      </c>
      <c r="N76" s="15" t="s">
        <v>501</v>
      </c>
      <c r="O76" s="15"/>
      <c r="P76" s="17">
        <v>43265</v>
      </c>
      <c r="Q76" s="15" t="s">
        <v>219</v>
      </c>
      <c r="R76" s="15" t="s">
        <v>269</v>
      </c>
      <c r="S76" s="15" t="s">
        <v>502</v>
      </c>
      <c r="T76" s="15" t="s">
        <v>503</v>
      </c>
      <c r="U76" s="15" t="s">
        <v>504</v>
      </c>
      <c r="V76" s="15"/>
      <c r="W76" s="15" t="s">
        <v>505</v>
      </c>
      <c r="X76" s="15" t="s">
        <v>506</v>
      </c>
      <c r="Y76" s="15"/>
    </row>
    <row r="77" s="11" customFormat="1" hidden="1" customHeight="1" spans="1:25">
      <c r="A77" s="13"/>
      <c r="B77" s="14"/>
      <c r="C77" s="15"/>
      <c r="D77" s="11" t="str">
        <f t="shared" ref="D77:D78" si="26">D76</f>
        <v>幻熊科技</v>
      </c>
      <c r="E77" s="15"/>
      <c r="F77" s="16"/>
      <c r="G77" s="15"/>
      <c r="H77" s="15"/>
      <c r="I77" s="15"/>
      <c r="J77" s="15"/>
      <c r="K77" s="11" t="str">
        <f t="shared" ref="K77:K78" si="27">K76</f>
        <v>运营中</v>
      </c>
      <c r="L77" s="15"/>
      <c r="M77" s="15"/>
      <c r="N77" s="15"/>
      <c r="O77" s="15"/>
      <c r="P77" s="17">
        <v>42522</v>
      </c>
      <c r="Q77" s="15" t="s">
        <v>222</v>
      </c>
      <c r="R77" s="15" t="s">
        <v>189</v>
      </c>
      <c r="S77" s="15" t="s">
        <v>507</v>
      </c>
      <c r="T77" s="15"/>
      <c r="U77" s="15"/>
      <c r="V77" s="15"/>
      <c r="W77" s="15"/>
      <c r="X77" s="15"/>
      <c r="Y77" s="15"/>
    </row>
    <row r="78" s="11" customFormat="1" hidden="1" customHeight="1" spans="1:25">
      <c r="A78" s="13"/>
      <c r="B78" s="14"/>
      <c r="C78" s="15"/>
      <c r="D78" s="11" t="str">
        <f t="shared" si="26"/>
        <v>幻熊科技</v>
      </c>
      <c r="E78" s="15"/>
      <c r="F78" s="16"/>
      <c r="G78" s="15"/>
      <c r="H78" s="15"/>
      <c r="I78" s="15"/>
      <c r="J78" s="15"/>
      <c r="K78" s="11" t="str">
        <f t="shared" si="27"/>
        <v>运营中</v>
      </c>
      <c r="L78" s="15"/>
      <c r="M78" s="15"/>
      <c r="N78" s="15"/>
      <c r="O78" s="15"/>
      <c r="P78" s="17">
        <v>41780</v>
      </c>
      <c r="Q78" s="15" t="s">
        <v>196</v>
      </c>
      <c r="R78" s="15" t="s">
        <v>197</v>
      </c>
      <c r="S78" s="15" t="s">
        <v>508</v>
      </c>
      <c r="T78" s="15"/>
      <c r="U78" s="15"/>
      <c r="V78" s="15"/>
      <c r="W78" s="15"/>
      <c r="X78" s="15"/>
      <c r="Y78" s="15"/>
    </row>
    <row r="79" s="11" customFormat="1" hidden="1" customHeight="1" spans="1:25">
      <c r="A79" s="13"/>
      <c r="B79" s="14"/>
      <c r="C79" s="15" t="s">
        <v>509</v>
      </c>
      <c r="D79" s="11" t="s">
        <v>510</v>
      </c>
      <c r="E79" s="15" t="s">
        <v>510</v>
      </c>
      <c r="F79" s="16" t="s">
        <v>511</v>
      </c>
      <c r="G79" s="15" t="s">
        <v>512</v>
      </c>
      <c r="H79" s="15" t="s">
        <v>513</v>
      </c>
      <c r="I79" s="15" t="s">
        <v>457</v>
      </c>
      <c r="J79" s="15" t="s">
        <v>514</v>
      </c>
      <c r="K79" s="11" t="s">
        <v>185</v>
      </c>
      <c r="L79" s="15" t="s">
        <v>185</v>
      </c>
      <c r="M79" s="15" t="s">
        <v>515</v>
      </c>
      <c r="N79" s="15" t="s">
        <v>516</v>
      </c>
      <c r="O79" s="15">
        <v>1</v>
      </c>
      <c r="P79" s="17">
        <v>44967</v>
      </c>
      <c r="Q79" s="15" t="s">
        <v>260</v>
      </c>
      <c r="R79" s="15" t="s">
        <v>517</v>
      </c>
      <c r="S79" s="15" t="s">
        <v>262</v>
      </c>
      <c r="T79" s="15" t="s">
        <v>518</v>
      </c>
      <c r="U79" s="15" t="s">
        <v>519</v>
      </c>
      <c r="V79" s="15" t="s">
        <v>520</v>
      </c>
      <c r="W79" s="15" t="s">
        <v>521</v>
      </c>
      <c r="X79" s="15" t="s">
        <v>522</v>
      </c>
      <c r="Y79" s="15" t="s">
        <v>523</v>
      </c>
    </row>
    <row r="80" s="11" customFormat="1" hidden="1" customHeight="1" spans="1:25">
      <c r="A80" s="13"/>
      <c r="B80" s="14"/>
      <c r="C80" s="15"/>
      <c r="D80" s="11" t="str">
        <f t="shared" ref="D80:D85" si="28">D79</f>
        <v>禾赛科技</v>
      </c>
      <c r="E80" s="15"/>
      <c r="F80" s="16"/>
      <c r="G80" s="15"/>
      <c r="H80" s="15"/>
      <c r="I80" s="15"/>
      <c r="J80" s="15"/>
      <c r="K80" s="11" t="str">
        <f t="shared" ref="K80:K85" si="29">K79</f>
        <v>运营中</v>
      </c>
      <c r="L80" s="15"/>
      <c r="M80" s="15"/>
      <c r="N80" s="15"/>
      <c r="O80" s="15">
        <v>1</v>
      </c>
      <c r="P80" s="17">
        <v>44516</v>
      </c>
      <c r="Q80" s="15" t="s">
        <v>524</v>
      </c>
      <c r="R80" s="15" t="s">
        <v>364</v>
      </c>
      <c r="S80" s="15" t="s">
        <v>525</v>
      </c>
      <c r="T80" s="15"/>
      <c r="U80" s="15"/>
      <c r="V80" s="15"/>
      <c r="W80" s="15"/>
      <c r="X80" s="15"/>
      <c r="Y80" s="15"/>
    </row>
    <row r="81" s="11" customFormat="1" hidden="1" customHeight="1" spans="1:25">
      <c r="A81" s="13"/>
      <c r="B81" s="14"/>
      <c r="C81" s="15"/>
      <c r="D81" s="11" t="str">
        <f t="shared" si="28"/>
        <v>禾赛科技</v>
      </c>
      <c r="E81" s="15"/>
      <c r="F81" s="16"/>
      <c r="G81" s="15"/>
      <c r="H81" s="15"/>
      <c r="I81" s="15"/>
      <c r="J81" s="15"/>
      <c r="K81" s="11" t="str">
        <f t="shared" si="29"/>
        <v>运营中</v>
      </c>
      <c r="L81" s="15"/>
      <c r="M81" s="15"/>
      <c r="N81" s="15"/>
      <c r="O81" s="15">
        <v>1</v>
      </c>
      <c r="P81" s="17">
        <v>44355</v>
      </c>
      <c r="Q81" s="15" t="s">
        <v>363</v>
      </c>
      <c r="R81" s="15" t="s">
        <v>526</v>
      </c>
      <c r="S81" s="15" t="s">
        <v>527</v>
      </c>
      <c r="T81" s="15"/>
      <c r="U81" s="15"/>
      <c r="V81" s="15"/>
      <c r="W81" s="15"/>
      <c r="X81" s="15"/>
      <c r="Y81" s="15"/>
    </row>
    <row r="82" s="11" customFormat="1" hidden="1" customHeight="1" spans="1:25">
      <c r="A82" s="13"/>
      <c r="B82" s="14"/>
      <c r="C82" s="15"/>
      <c r="D82" s="11" t="str">
        <f t="shared" si="28"/>
        <v>禾赛科技</v>
      </c>
      <c r="E82" s="15"/>
      <c r="F82" s="16"/>
      <c r="G82" s="15"/>
      <c r="H82" s="15"/>
      <c r="I82" s="15"/>
      <c r="J82" s="15"/>
      <c r="K82" s="11" t="str">
        <f t="shared" si="29"/>
        <v>运营中</v>
      </c>
      <c r="L82" s="15"/>
      <c r="M82" s="15"/>
      <c r="N82" s="15"/>
      <c r="O82" s="15">
        <v>1</v>
      </c>
      <c r="P82" s="17">
        <v>43837</v>
      </c>
      <c r="Q82" s="15" t="s">
        <v>216</v>
      </c>
      <c r="R82" s="15" t="s">
        <v>528</v>
      </c>
      <c r="S82" s="15" t="s">
        <v>529</v>
      </c>
      <c r="T82" s="15"/>
      <c r="U82" s="15"/>
      <c r="V82" s="15"/>
      <c r="W82" s="15"/>
      <c r="X82" s="15"/>
      <c r="Y82" s="15"/>
    </row>
    <row r="83" s="11" customFormat="1" hidden="1" customHeight="1" spans="1:25">
      <c r="A83" s="13"/>
      <c r="B83" s="14"/>
      <c r="C83" s="15"/>
      <c r="D83" s="11" t="str">
        <f t="shared" si="28"/>
        <v>禾赛科技</v>
      </c>
      <c r="E83" s="15"/>
      <c r="F83" s="16"/>
      <c r="G83" s="15"/>
      <c r="H83" s="15"/>
      <c r="I83" s="15"/>
      <c r="J83" s="15"/>
      <c r="K83" s="11" t="str">
        <f t="shared" si="29"/>
        <v>运营中</v>
      </c>
      <c r="L83" s="15"/>
      <c r="M83" s="15"/>
      <c r="N83" s="15"/>
      <c r="O83" s="15">
        <v>1</v>
      </c>
      <c r="P83" s="17">
        <v>43223</v>
      </c>
      <c r="Q83" s="15" t="s">
        <v>219</v>
      </c>
      <c r="R83" s="15" t="s">
        <v>530</v>
      </c>
      <c r="S83" s="15" t="s">
        <v>531</v>
      </c>
      <c r="T83" s="15"/>
      <c r="U83" s="15"/>
      <c r="V83" s="15"/>
      <c r="W83" s="15"/>
      <c r="X83" s="15"/>
      <c r="Y83" s="15"/>
    </row>
    <row r="84" s="11" customFormat="1" hidden="1" customHeight="1" spans="1:25">
      <c r="A84" s="13"/>
      <c r="B84" s="14"/>
      <c r="C84" s="15"/>
      <c r="D84" s="11" t="str">
        <f t="shared" si="28"/>
        <v>禾赛科技</v>
      </c>
      <c r="E84" s="15"/>
      <c r="F84" s="16"/>
      <c r="G84" s="15"/>
      <c r="H84" s="15"/>
      <c r="I84" s="15"/>
      <c r="J84" s="15"/>
      <c r="K84" s="11" t="str">
        <f t="shared" si="29"/>
        <v>运营中</v>
      </c>
      <c r="L84" s="15"/>
      <c r="M84" s="15"/>
      <c r="N84" s="15"/>
      <c r="O84" s="15">
        <v>1</v>
      </c>
      <c r="P84" s="17">
        <v>42865</v>
      </c>
      <c r="Q84" s="15" t="s">
        <v>222</v>
      </c>
      <c r="R84" s="15" t="s">
        <v>532</v>
      </c>
      <c r="S84" s="15" t="s">
        <v>533</v>
      </c>
      <c r="T84" s="15"/>
      <c r="U84" s="15"/>
      <c r="V84" s="15"/>
      <c r="W84" s="15"/>
      <c r="X84" s="15"/>
      <c r="Y84" s="15"/>
    </row>
    <row r="85" s="11" customFormat="1" hidden="1" customHeight="1" spans="1:25">
      <c r="A85" s="13"/>
      <c r="B85" s="14"/>
      <c r="C85" s="15"/>
      <c r="D85" s="11" t="str">
        <f t="shared" si="28"/>
        <v>禾赛科技</v>
      </c>
      <c r="E85" s="15"/>
      <c r="F85" s="16"/>
      <c r="G85" s="15"/>
      <c r="H85" s="15"/>
      <c r="I85" s="15"/>
      <c r="J85" s="15"/>
      <c r="K85" s="11" t="str">
        <f t="shared" si="29"/>
        <v>运营中</v>
      </c>
      <c r="L85" s="15"/>
      <c r="M85" s="15"/>
      <c r="N85" s="15"/>
      <c r="O85" s="15">
        <v>1</v>
      </c>
      <c r="P85" s="17">
        <v>42017</v>
      </c>
      <c r="Q85" s="15" t="s">
        <v>196</v>
      </c>
      <c r="R85" s="15" t="s">
        <v>223</v>
      </c>
      <c r="S85" s="15" t="s">
        <v>534</v>
      </c>
      <c r="T85" s="15"/>
      <c r="U85" s="15"/>
      <c r="V85" s="15"/>
      <c r="W85" s="15"/>
      <c r="X85" s="15"/>
      <c r="Y85" s="15"/>
    </row>
    <row r="86" s="11" customFormat="1" hidden="1" customHeight="1" spans="1:25">
      <c r="A86" s="13"/>
      <c r="B86" s="14"/>
      <c r="C86" s="15" t="s">
        <v>535</v>
      </c>
      <c r="D86" s="11" t="s">
        <v>267</v>
      </c>
      <c r="E86" s="15" t="s">
        <v>267</v>
      </c>
      <c r="F86" s="16" t="s">
        <v>536</v>
      </c>
      <c r="G86" s="15" t="s">
        <v>537</v>
      </c>
      <c r="H86" s="15" t="s">
        <v>538</v>
      </c>
      <c r="I86" s="15" t="s">
        <v>539</v>
      </c>
      <c r="J86" s="15" t="s">
        <v>251</v>
      </c>
      <c r="K86" s="11" t="s">
        <v>185</v>
      </c>
      <c r="L86" s="15" t="s">
        <v>185</v>
      </c>
      <c r="M86" s="15" t="s">
        <v>232</v>
      </c>
      <c r="N86" s="15" t="s">
        <v>252</v>
      </c>
      <c r="O86" s="15">
        <v>1</v>
      </c>
      <c r="P86" s="17">
        <v>42067</v>
      </c>
      <c r="Q86" s="15" t="s">
        <v>253</v>
      </c>
      <c r="R86" s="15" t="s">
        <v>540</v>
      </c>
      <c r="S86" s="15" t="s">
        <v>541</v>
      </c>
      <c r="T86" s="15" t="s">
        <v>542</v>
      </c>
      <c r="U86" s="15" t="s">
        <v>543</v>
      </c>
      <c r="V86" s="15" t="s">
        <v>544</v>
      </c>
      <c r="W86" s="15"/>
      <c r="X86" s="15"/>
      <c r="Y86" s="15"/>
    </row>
    <row r="87" s="11" customFormat="1" hidden="1" customHeight="1" spans="1:25">
      <c r="A87" s="13"/>
      <c r="B87" s="14"/>
      <c r="C87" s="15"/>
      <c r="D87" s="11" t="str">
        <f>D86</f>
        <v>光线传媒</v>
      </c>
      <c r="E87" s="15"/>
      <c r="F87" s="16"/>
      <c r="G87" s="15"/>
      <c r="H87" s="15"/>
      <c r="I87" s="15"/>
      <c r="J87" s="15"/>
      <c r="K87" s="11" t="str">
        <f>K86</f>
        <v>运营中</v>
      </c>
      <c r="L87" s="15"/>
      <c r="M87" s="15"/>
      <c r="N87" s="15"/>
      <c r="O87" s="15">
        <v>1</v>
      </c>
      <c r="P87" s="17">
        <v>40758</v>
      </c>
      <c r="Q87" s="15" t="s">
        <v>260</v>
      </c>
      <c r="R87" s="15" t="s">
        <v>545</v>
      </c>
      <c r="S87" s="15" t="s">
        <v>262</v>
      </c>
      <c r="T87" s="15"/>
      <c r="U87" s="15"/>
      <c r="V87" s="15"/>
      <c r="W87" s="15"/>
      <c r="X87" s="15"/>
      <c r="Y87" s="15"/>
    </row>
    <row r="88" s="3" customFormat="1" ht="40.5" customHeight="1" spans="1:25">
      <c r="A88" s="1"/>
      <c r="B88" s="7"/>
      <c r="C88" s="8" t="s">
        <v>546</v>
      </c>
      <c r="D88" s="11" t="s">
        <v>547</v>
      </c>
      <c r="E88" s="8" t="s">
        <v>548</v>
      </c>
      <c r="F88" s="9" t="s">
        <v>549</v>
      </c>
      <c r="G88" s="15" t="s">
        <v>550</v>
      </c>
      <c r="H88" s="15" t="s">
        <v>551</v>
      </c>
      <c r="I88" s="8" t="s">
        <v>552</v>
      </c>
      <c r="J88" s="8" t="s">
        <v>553</v>
      </c>
      <c r="K88" s="11" t="s">
        <v>185</v>
      </c>
      <c r="L88" s="8" t="s">
        <v>278</v>
      </c>
      <c r="M88" s="8" t="s">
        <v>23</v>
      </c>
      <c r="N88" s="8" t="s">
        <v>554</v>
      </c>
      <c r="O88" s="8"/>
      <c r="P88" s="10">
        <v>43872</v>
      </c>
      <c r="Q88" s="8" t="s">
        <v>555</v>
      </c>
      <c r="R88" s="8" t="s">
        <v>556</v>
      </c>
      <c r="S88" s="8" t="s">
        <v>557</v>
      </c>
      <c r="T88" s="8" t="s">
        <v>558</v>
      </c>
      <c r="U88" s="8" t="s">
        <v>559</v>
      </c>
      <c r="V88" s="9" t="s">
        <v>560</v>
      </c>
      <c r="W88" s="15" t="s">
        <v>561</v>
      </c>
      <c r="X88" s="15" t="s">
        <v>562</v>
      </c>
      <c r="Y88" s="15" t="s">
        <v>563</v>
      </c>
    </row>
    <row r="89" s="11" customFormat="1" hidden="1" customHeight="1" spans="1:25">
      <c r="A89" s="13"/>
      <c r="B89" s="14"/>
      <c r="C89" s="15"/>
      <c r="D89" s="11" t="str">
        <f t="shared" ref="D89:D96" si="30">D88</f>
        <v>易酒批</v>
      </c>
      <c r="E89" s="15"/>
      <c r="F89" s="16"/>
      <c r="G89" s="15"/>
      <c r="H89" s="15"/>
      <c r="I89" s="15"/>
      <c r="J89" s="15"/>
      <c r="K89" s="11" t="str">
        <f t="shared" ref="K89:K96" si="31">K88</f>
        <v>运营中</v>
      </c>
      <c r="L89" s="15"/>
      <c r="M89" s="15"/>
      <c r="N89" s="15"/>
      <c r="O89" s="15"/>
      <c r="P89" s="17">
        <v>43698</v>
      </c>
      <c r="Q89" s="15" t="s">
        <v>207</v>
      </c>
      <c r="R89" s="15" t="s">
        <v>564</v>
      </c>
      <c r="S89" s="15" t="s">
        <v>264</v>
      </c>
      <c r="T89" s="15"/>
      <c r="U89" s="15"/>
      <c r="V89" s="15"/>
      <c r="W89" s="15"/>
      <c r="X89" s="15"/>
      <c r="Y89" s="15"/>
    </row>
    <row r="90" s="11" customFormat="1" hidden="1" customHeight="1" spans="1:25">
      <c r="A90" s="13"/>
      <c r="B90" s="14"/>
      <c r="C90" s="15"/>
      <c r="D90" s="11" t="str">
        <f t="shared" si="30"/>
        <v>易酒批</v>
      </c>
      <c r="E90" s="15"/>
      <c r="F90" s="16"/>
      <c r="G90" s="15"/>
      <c r="H90" s="15"/>
      <c r="I90" s="15"/>
      <c r="J90" s="15"/>
      <c r="K90" s="11" t="str">
        <f t="shared" si="31"/>
        <v>运营中</v>
      </c>
      <c r="L90" s="15"/>
      <c r="M90" s="15"/>
      <c r="N90" s="15"/>
      <c r="O90" s="15"/>
      <c r="P90" s="17">
        <v>43540</v>
      </c>
      <c r="Q90" s="15" t="s">
        <v>524</v>
      </c>
      <c r="R90" s="15" t="s">
        <v>565</v>
      </c>
      <c r="S90" s="15" t="s">
        <v>566</v>
      </c>
      <c r="T90" s="15"/>
      <c r="U90" s="15"/>
      <c r="V90" s="15"/>
      <c r="W90" s="15"/>
      <c r="X90" s="15"/>
      <c r="Y90" s="15"/>
    </row>
    <row r="91" s="11" customFormat="1" hidden="1" customHeight="1" spans="1:25">
      <c r="A91" s="13"/>
      <c r="B91" s="14"/>
      <c r="C91" s="15"/>
      <c r="D91" s="11" t="str">
        <f t="shared" si="30"/>
        <v>易酒批</v>
      </c>
      <c r="E91" s="15"/>
      <c r="F91" s="16"/>
      <c r="G91" s="15"/>
      <c r="H91" s="15"/>
      <c r="I91" s="15"/>
      <c r="J91" s="15"/>
      <c r="K91" s="11" t="str">
        <f t="shared" si="31"/>
        <v>运营中</v>
      </c>
      <c r="L91" s="15"/>
      <c r="M91" s="15"/>
      <c r="N91" s="15"/>
      <c r="O91" s="15"/>
      <c r="P91" s="17">
        <v>43363</v>
      </c>
      <c r="Q91" s="15" t="s">
        <v>363</v>
      </c>
      <c r="R91" s="15" t="s">
        <v>488</v>
      </c>
      <c r="S91" s="15" t="s">
        <v>567</v>
      </c>
      <c r="T91" s="15"/>
      <c r="U91" s="15"/>
      <c r="V91" s="15"/>
      <c r="W91" s="15"/>
      <c r="X91" s="15"/>
      <c r="Y91" s="15"/>
    </row>
    <row r="92" s="11" customFormat="1" hidden="1" customHeight="1" spans="1:25">
      <c r="A92" s="13"/>
      <c r="B92" s="14"/>
      <c r="C92" s="15"/>
      <c r="D92" s="11" t="str">
        <f t="shared" si="30"/>
        <v>易酒批</v>
      </c>
      <c r="E92" s="15"/>
      <c r="F92" s="16"/>
      <c r="G92" s="15"/>
      <c r="H92" s="15"/>
      <c r="I92" s="15"/>
      <c r="J92" s="15"/>
      <c r="K92" s="11" t="str">
        <f t="shared" si="31"/>
        <v>运营中</v>
      </c>
      <c r="L92" s="15"/>
      <c r="M92" s="15"/>
      <c r="N92" s="15"/>
      <c r="O92" s="15"/>
      <c r="P92" s="17">
        <v>42661</v>
      </c>
      <c r="Q92" s="15" t="s">
        <v>216</v>
      </c>
      <c r="R92" s="15" t="s">
        <v>565</v>
      </c>
      <c r="S92" s="15" t="s">
        <v>568</v>
      </c>
      <c r="T92" s="15"/>
      <c r="U92" s="15"/>
      <c r="V92" s="15"/>
      <c r="W92" s="15"/>
      <c r="X92" s="15"/>
      <c r="Y92" s="15"/>
    </row>
    <row r="93" s="11" customFormat="1" hidden="1" customHeight="1" spans="1:25">
      <c r="A93" s="13"/>
      <c r="B93" s="14"/>
      <c r="C93" s="15"/>
      <c r="D93" s="11" t="str">
        <f t="shared" si="30"/>
        <v>易酒批</v>
      </c>
      <c r="E93" s="15"/>
      <c r="F93" s="16"/>
      <c r="G93" s="15"/>
      <c r="H93" s="15"/>
      <c r="I93" s="15"/>
      <c r="J93" s="15"/>
      <c r="K93" s="11" t="str">
        <f t="shared" si="31"/>
        <v>运营中</v>
      </c>
      <c r="L93" s="15"/>
      <c r="M93" s="15"/>
      <c r="N93" s="15"/>
      <c r="O93" s="15"/>
      <c r="P93" s="17">
        <v>42503</v>
      </c>
      <c r="Q93" s="15" t="s">
        <v>428</v>
      </c>
      <c r="R93" s="15" t="s">
        <v>269</v>
      </c>
      <c r="S93" s="15" t="s">
        <v>177</v>
      </c>
      <c r="T93" s="15"/>
      <c r="U93" s="15"/>
      <c r="V93" s="15"/>
      <c r="W93" s="15"/>
      <c r="X93" s="15"/>
      <c r="Y93" s="15"/>
    </row>
    <row r="94" s="11" customFormat="1" hidden="1" customHeight="1" spans="1:25">
      <c r="A94" s="13"/>
      <c r="B94" s="14"/>
      <c r="C94" s="15"/>
      <c r="D94" s="11" t="str">
        <f t="shared" si="30"/>
        <v>易酒批</v>
      </c>
      <c r="E94" s="15"/>
      <c r="F94" s="16"/>
      <c r="G94" s="15"/>
      <c r="H94" s="15"/>
      <c r="I94" s="15"/>
      <c r="J94" s="15"/>
      <c r="K94" s="11" t="str">
        <f t="shared" si="31"/>
        <v>运营中</v>
      </c>
      <c r="L94" s="15"/>
      <c r="M94" s="15"/>
      <c r="N94" s="15"/>
      <c r="O94" s="15"/>
      <c r="P94" s="17">
        <v>42449</v>
      </c>
      <c r="Q94" s="15" t="s">
        <v>428</v>
      </c>
      <c r="R94" s="15" t="s">
        <v>569</v>
      </c>
      <c r="S94" s="15" t="s">
        <v>570</v>
      </c>
      <c r="T94" s="15"/>
      <c r="U94" s="15"/>
      <c r="V94" s="15"/>
      <c r="W94" s="15"/>
      <c r="X94" s="15"/>
      <c r="Y94" s="15"/>
    </row>
    <row r="95" s="11" customFormat="1" hidden="1" customHeight="1" spans="1:25">
      <c r="A95" s="13"/>
      <c r="B95" s="14"/>
      <c r="C95" s="15"/>
      <c r="D95" s="11" t="str">
        <f t="shared" si="30"/>
        <v>易酒批</v>
      </c>
      <c r="E95" s="15"/>
      <c r="F95" s="16"/>
      <c r="G95" s="15"/>
      <c r="H95" s="15"/>
      <c r="I95" s="15"/>
      <c r="J95" s="15"/>
      <c r="K95" s="11" t="str">
        <f t="shared" si="31"/>
        <v>运营中</v>
      </c>
      <c r="L95" s="15"/>
      <c r="M95" s="15"/>
      <c r="N95" s="15"/>
      <c r="O95" s="15"/>
      <c r="P95" s="17">
        <v>42257</v>
      </c>
      <c r="Q95" s="15" t="s">
        <v>219</v>
      </c>
      <c r="R95" s="15" t="s">
        <v>569</v>
      </c>
      <c r="S95" s="15" t="s">
        <v>571</v>
      </c>
      <c r="T95" s="15"/>
      <c r="U95" s="15"/>
      <c r="V95" s="15"/>
      <c r="W95" s="15"/>
      <c r="X95" s="15"/>
      <c r="Y95" s="15"/>
    </row>
    <row r="96" s="11" customFormat="1" hidden="1" customHeight="1" spans="1:25">
      <c r="A96" s="13"/>
      <c r="B96" s="14"/>
      <c r="C96" s="15"/>
      <c r="D96" s="11" t="str">
        <f t="shared" si="30"/>
        <v>易酒批</v>
      </c>
      <c r="E96" s="15"/>
      <c r="F96" s="16"/>
      <c r="G96" s="15"/>
      <c r="H96" s="15"/>
      <c r="I96" s="15"/>
      <c r="J96" s="15"/>
      <c r="K96" s="11" t="str">
        <f t="shared" si="31"/>
        <v>运营中</v>
      </c>
      <c r="L96" s="15"/>
      <c r="M96" s="15"/>
      <c r="N96" s="15"/>
      <c r="O96" s="15"/>
      <c r="P96" s="17">
        <v>41981</v>
      </c>
      <c r="Q96" s="15" t="s">
        <v>222</v>
      </c>
      <c r="R96" s="15" t="s">
        <v>223</v>
      </c>
      <c r="S96" s="15" t="s">
        <v>572</v>
      </c>
      <c r="T96" s="15"/>
      <c r="U96" s="15"/>
      <c r="V96" s="15"/>
      <c r="W96" s="15"/>
      <c r="X96" s="15"/>
      <c r="Y96" s="15"/>
    </row>
    <row r="97" s="11" customFormat="1" hidden="1" customHeight="1" spans="1:25">
      <c r="A97" s="13"/>
      <c r="B97" s="14"/>
      <c r="C97" s="15" t="s">
        <v>573</v>
      </c>
      <c r="D97" s="11" t="s">
        <v>20</v>
      </c>
      <c r="E97" s="15" t="s">
        <v>20</v>
      </c>
      <c r="F97" s="16" t="s">
        <v>574</v>
      </c>
      <c r="G97" s="15"/>
      <c r="H97" s="15" t="s">
        <v>575</v>
      </c>
      <c r="I97" s="15" t="s">
        <v>576</v>
      </c>
      <c r="J97" s="15" t="s">
        <v>577</v>
      </c>
      <c r="K97" s="11" t="s">
        <v>185</v>
      </c>
      <c r="L97" s="15" t="s">
        <v>185</v>
      </c>
      <c r="M97" s="15" t="s">
        <v>186</v>
      </c>
      <c r="N97" s="15" t="s">
        <v>187</v>
      </c>
      <c r="O97" s="15"/>
      <c r="P97" s="17">
        <v>44590</v>
      </c>
      <c r="Q97" s="15" t="s">
        <v>207</v>
      </c>
      <c r="R97" s="15" t="s">
        <v>578</v>
      </c>
      <c r="S97" s="15" t="s">
        <v>579</v>
      </c>
      <c r="T97" s="15" t="s">
        <v>580</v>
      </c>
      <c r="U97" s="15" t="s">
        <v>581</v>
      </c>
      <c r="V97" s="15" t="s">
        <v>582</v>
      </c>
      <c r="W97" s="15"/>
      <c r="X97" s="15"/>
      <c r="Y97" s="15" t="s">
        <v>583</v>
      </c>
    </row>
    <row r="98" s="11" customFormat="1" hidden="1" customHeight="1" spans="1:25">
      <c r="A98" s="13"/>
      <c r="B98" s="14"/>
      <c r="C98" s="15"/>
      <c r="D98" s="11" t="str">
        <f t="shared" ref="D98:D109" si="32">D97</f>
        <v>Swiggy</v>
      </c>
      <c r="E98" s="15"/>
      <c r="F98" s="16"/>
      <c r="G98" s="15"/>
      <c r="H98" s="15"/>
      <c r="I98" s="15"/>
      <c r="J98" s="15"/>
      <c r="K98" s="11" t="str">
        <f t="shared" ref="K98:K109" si="33">K97</f>
        <v>运营中</v>
      </c>
      <c r="L98" s="15"/>
      <c r="M98" s="15"/>
      <c r="N98" s="15"/>
      <c r="O98" s="15"/>
      <c r="P98" s="17">
        <v>44398</v>
      </c>
      <c r="Q98" s="15" t="s">
        <v>207</v>
      </c>
      <c r="R98" s="15" t="s">
        <v>584</v>
      </c>
      <c r="S98" s="15" t="s">
        <v>585</v>
      </c>
      <c r="T98" s="15"/>
      <c r="U98" s="15"/>
      <c r="V98" s="15"/>
      <c r="W98" s="15"/>
      <c r="X98" s="15"/>
      <c r="Y98" s="15"/>
    </row>
    <row r="99" s="11" customFormat="1" hidden="1" customHeight="1" spans="1:25">
      <c r="A99" s="13"/>
      <c r="B99" s="14"/>
      <c r="C99" s="15"/>
      <c r="D99" s="11" t="str">
        <f t="shared" si="32"/>
        <v>Swiggy</v>
      </c>
      <c r="E99" s="15"/>
      <c r="F99" s="16"/>
      <c r="G99" s="15"/>
      <c r="H99" s="15"/>
      <c r="I99" s="15"/>
      <c r="J99" s="15"/>
      <c r="K99" s="11" t="str">
        <f t="shared" si="33"/>
        <v>运营中</v>
      </c>
      <c r="L99" s="15"/>
      <c r="M99" s="15"/>
      <c r="N99" s="15"/>
      <c r="O99" s="15"/>
      <c r="P99" s="17">
        <v>44292</v>
      </c>
      <c r="Q99" s="15" t="s">
        <v>207</v>
      </c>
      <c r="R99" s="15" t="s">
        <v>586</v>
      </c>
      <c r="S99" s="15" t="s">
        <v>587</v>
      </c>
      <c r="T99" s="15"/>
      <c r="U99" s="15"/>
      <c r="V99" s="15"/>
      <c r="W99" s="15"/>
      <c r="X99" s="15"/>
      <c r="Y99" s="15"/>
    </row>
    <row r="100" s="11" customFormat="1" hidden="1" customHeight="1" spans="1:25">
      <c r="A100" s="13"/>
      <c r="B100" s="14"/>
      <c r="C100" s="15"/>
      <c r="D100" s="11" t="str">
        <f t="shared" si="32"/>
        <v>Swiggy</v>
      </c>
      <c r="E100" s="15"/>
      <c r="F100" s="16"/>
      <c r="G100" s="15"/>
      <c r="H100" s="15"/>
      <c r="I100" s="15"/>
      <c r="J100" s="15"/>
      <c r="K100" s="11" t="str">
        <f t="shared" si="33"/>
        <v>运营中</v>
      </c>
      <c r="L100" s="15"/>
      <c r="M100" s="15"/>
      <c r="N100" s="15"/>
      <c r="O100" s="15"/>
      <c r="P100" s="17">
        <v>43928</v>
      </c>
      <c r="Q100" s="15" t="s">
        <v>207</v>
      </c>
      <c r="R100" s="15" t="s">
        <v>588</v>
      </c>
      <c r="S100" s="15" t="s">
        <v>589</v>
      </c>
      <c r="T100" s="15"/>
      <c r="U100" s="15"/>
      <c r="V100" s="15"/>
      <c r="W100" s="15"/>
      <c r="X100" s="15"/>
      <c r="Y100" s="15"/>
    </row>
    <row r="101" s="3" customFormat="1" ht="72.5" customHeight="1" spans="1:25">
      <c r="A101" s="1"/>
      <c r="B101" s="7"/>
      <c r="C101" s="8"/>
      <c r="D101" s="11" t="str">
        <f t="shared" si="32"/>
        <v>Swiggy</v>
      </c>
      <c r="E101" s="8"/>
      <c r="F101" s="9"/>
      <c r="G101" s="15"/>
      <c r="H101" s="15"/>
      <c r="I101" s="8"/>
      <c r="J101" s="8"/>
      <c r="K101" s="11" t="str">
        <f t="shared" si="33"/>
        <v>运营中</v>
      </c>
      <c r="L101" s="8"/>
      <c r="M101" s="8"/>
      <c r="N101" s="8"/>
      <c r="O101" s="8"/>
      <c r="P101" s="10">
        <v>43881</v>
      </c>
      <c r="Q101" s="8" t="s">
        <v>280</v>
      </c>
      <c r="R101" s="8" t="s">
        <v>590</v>
      </c>
      <c r="S101" s="8" t="s">
        <v>591</v>
      </c>
      <c r="T101" s="8"/>
      <c r="U101" s="8"/>
      <c r="V101" s="9"/>
      <c r="W101" s="15"/>
      <c r="X101" s="15"/>
      <c r="Y101" s="15"/>
    </row>
    <row r="102" s="11" customFormat="1" hidden="1" customHeight="1" spans="1:25">
      <c r="A102" s="13"/>
      <c r="B102" s="14"/>
      <c r="C102" s="15"/>
      <c r="D102" s="11" t="str">
        <f t="shared" si="32"/>
        <v>Swiggy</v>
      </c>
      <c r="E102" s="15"/>
      <c r="F102" s="16"/>
      <c r="G102" s="15"/>
      <c r="H102" s="15"/>
      <c r="I102" s="15"/>
      <c r="J102" s="15"/>
      <c r="K102" s="11" t="str">
        <f t="shared" si="33"/>
        <v>运营中</v>
      </c>
      <c r="L102" s="15"/>
      <c r="M102" s="15"/>
      <c r="N102" s="15"/>
      <c r="O102" s="15"/>
      <c r="P102" s="17">
        <v>43454</v>
      </c>
      <c r="Q102" s="15" t="s">
        <v>592</v>
      </c>
      <c r="R102" s="15" t="s">
        <v>593</v>
      </c>
      <c r="S102" s="15" t="s">
        <v>594</v>
      </c>
      <c r="T102" s="15"/>
      <c r="U102" s="15"/>
      <c r="V102" s="15"/>
      <c r="W102" s="15"/>
      <c r="X102" s="15"/>
      <c r="Y102" s="15"/>
    </row>
    <row r="103" s="11" customFormat="1" hidden="1" customHeight="1" spans="1:25">
      <c r="A103" s="13"/>
      <c r="B103" s="14"/>
      <c r="C103" s="15"/>
      <c r="D103" s="11" t="str">
        <f t="shared" si="32"/>
        <v>Swiggy</v>
      </c>
      <c r="E103" s="15"/>
      <c r="F103" s="16"/>
      <c r="G103" s="15"/>
      <c r="H103" s="15"/>
      <c r="I103" s="15"/>
      <c r="J103" s="15"/>
      <c r="K103" s="11" t="str">
        <f t="shared" si="33"/>
        <v>运营中</v>
      </c>
      <c r="L103" s="15"/>
      <c r="M103" s="15"/>
      <c r="N103" s="15"/>
      <c r="O103" s="15"/>
      <c r="P103" s="17">
        <v>43273</v>
      </c>
      <c r="Q103" s="15" t="s">
        <v>595</v>
      </c>
      <c r="R103" s="15" t="s">
        <v>596</v>
      </c>
      <c r="S103" s="15" t="s">
        <v>597</v>
      </c>
      <c r="T103" s="15"/>
      <c r="U103" s="15"/>
      <c r="V103" s="15"/>
      <c r="W103" s="15"/>
      <c r="X103" s="15"/>
      <c r="Y103" s="15"/>
    </row>
    <row r="104" s="11" customFormat="1" hidden="1" customHeight="1" spans="1:25">
      <c r="A104" s="13"/>
      <c r="B104" s="14"/>
      <c r="C104" s="15"/>
      <c r="D104" s="11" t="str">
        <f t="shared" si="32"/>
        <v>Swiggy</v>
      </c>
      <c r="E104" s="15"/>
      <c r="F104" s="16"/>
      <c r="G104" s="15"/>
      <c r="H104" s="15"/>
      <c r="I104" s="15"/>
      <c r="J104" s="15"/>
      <c r="K104" s="11" t="str">
        <f t="shared" si="33"/>
        <v>运营中</v>
      </c>
      <c r="L104" s="15"/>
      <c r="M104" s="15"/>
      <c r="N104" s="15"/>
      <c r="O104" s="15"/>
      <c r="P104" s="17">
        <v>43139</v>
      </c>
      <c r="Q104" s="15" t="s">
        <v>474</v>
      </c>
      <c r="R104" s="15" t="s">
        <v>565</v>
      </c>
      <c r="S104" s="15" t="s">
        <v>598</v>
      </c>
      <c r="T104" s="15"/>
      <c r="U104" s="15"/>
      <c r="V104" s="15"/>
      <c r="W104" s="15"/>
      <c r="X104" s="15"/>
      <c r="Y104" s="15"/>
    </row>
    <row r="105" s="11" customFormat="1" hidden="1" customHeight="1" spans="1:25">
      <c r="A105" s="13"/>
      <c r="B105" s="14"/>
      <c r="C105" s="15"/>
      <c r="D105" s="11" t="str">
        <f t="shared" si="32"/>
        <v>Swiggy</v>
      </c>
      <c r="E105" s="15"/>
      <c r="F105" s="16"/>
      <c r="G105" s="15"/>
      <c r="H105" s="15"/>
      <c r="I105" s="15"/>
      <c r="J105" s="15"/>
      <c r="K105" s="11" t="str">
        <f t="shared" si="33"/>
        <v>运营中</v>
      </c>
      <c r="L105" s="15"/>
      <c r="M105" s="15"/>
      <c r="N105" s="15"/>
      <c r="O105" s="15"/>
      <c r="P105" s="17">
        <v>42886</v>
      </c>
      <c r="Q105" s="15" t="s">
        <v>484</v>
      </c>
      <c r="R105" s="15" t="s">
        <v>564</v>
      </c>
      <c r="S105" s="15" t="s">
        <v>599</v>
      </c>
      <c r="T105" s="15"/>
      <c r="U105" s="15"/>
      <c r="V105" s="15"/>
      <c r="W105" s="15"/>
      <c r="X105" s="15"/>
      <c r="Y105" s="15"/>
    </row>
    <row r="106" s="11" customFormat="1" hidden="1" customHeight="1" spans="1:25">
      <c r="A106" s="13"/>
      <c r="B106" s="14"/>
      <c r="C106" s="15"/>
      <c r="D106" s="11" t="str">
        <f t="shared" si="32"/>
        <v>Swiggy</v>
      </c>
      <c r="E106" s="15"/>
      <c r="F106" s="16"/>
      <c r="G106" s="15"/>
      <c r="H106" s="15"/>
      <c r="I106" s="15"/>
      <c r="J106" s="15"/>
      <c r="K106" s="11" t="str">
        <f t="shared" si="33"/>
        <v>运营中</v>
      </c>
      <c r="L106" s="15"/>
      <c r="M106" s="15"/>
      <c r="N106" s="15"/>
      <c r="O106" s="15"/>
      <c r="P106" s="17">
        <v>42633</v>
      </c>
      <c r="Q106" s="15" t="s">
        <v>363</v>
      </c>
      <c r="R106" s="15" t="s">
        <v>600</v>
      </c>
      <c r="S106" s="15" t="s">
        <v>601</v>
      </c>
      <c r="T106" s="15"/>
      <c r="U106" s="15"/>
      <c r="V106" s="15"/>
      <c r="W106" s="15"/>
      <c r="X106" s="15"/>
      <c r="Y106" s="15"/>
    </row>
    <row r="107" s="11" customFormat="1" hidden="1" customHeight="1" spans="1:25">
      <c r="A107" s="13"/>
      <c r="B107" s="14"/>
      <c r="C107" s="15"/>
      <c r="D107" s="11" t="str">
        <f t="shared" si="32"/>
        <v>Swiggy</v>
      </c>
      <c r="E107" s="15"/>
      <c r="F107" s="16"/>
      <c r="G107" s="15"/>
      <c r="H107" s="15"/>
      <c r="I107" s="15"/>
      <c r="J107" s="15"/>
      <c r="K107" s="11" t="str">
        <f t="shared" si="33"/>
        <v>运营中</v>
      </c>
      <c r="L107" s="15"/>
      <c r="M107" s="15"/>
      <c r="N107" s="15"/>
      <c r="O107" s="15"/>
      <c r="P107" s="17">
        <v>42388</v>
      </c>
      <c r="Q107" s="15" t="s">
        <v>216</v>
      </c>
      <c r="R107" s="15" t="s">
        <v>463</v>
      </c>
      <c r="S107" s="15" t="s">
        <v>602</v>
      </c>
      <c r="T107" s="15"/>
      <c r="U107" s="15"/>
      <c r="V107" s="15"/>
      <c r="W107" s="15"/>
      <c r="X107" s="15"/>
      <c r="Y107" s="15"/>
    </row>
    <row r="108" s="11" customFormat="1" hidden="1" customHeight="1" spans="1:25">
      <c r="A108" s="13"/>
      <c r="B108" s="14"/>
      <c r="C108" s="15"/>
      <c r="D108" s="11" t="str">
        <f t="shared" si="32"/>
        <v>Swiggy</v>
      </c>
      <c r="E108" s="15"/>
      <c r="F108" s="16"/>
      <c r="G108" s="15"/>
      <c r="H108" s="15"/>
      <c r="I108" s="15"/>
      <c r="J108" s="15"/>
      <c r="K108" s="11" t="str">
        <f t="shared" si="33"/>
        <v>运营中</v>
      </c>
      <c r="L108" s="15"/>
      <c r="M108" s="15"/>
      <c r="N108" s="15"/>
      <c r="O108" s="15"/>
      <c r="P108" s="17">
        <v>42179</v>
      </c>
      <c r="Q108" s="15" t="s">
        <v>219</v>
      </c>
      <c r="R108" s="15" t="s">
        <v>603</v>
      </c>
      <c r="S108" s="15" t="s">
        <v>604</v>
      </c>
      <c r="T108" s="15"/>
      <c r="U108" s="15"/>
      <c r="V108" s="15"/>
      <c r="W108" s="15"/>
      <c r="X108" s="15"/>
      <c r="Y108" s="15"/>
    </row>
    <row r="109" s="11" customFormat="1" hidden="1" customHeight="1" spans="1:25">
      <c r="A109" s="13"/>
      <c r="B109" s="14"/>
      <c r="C109" s="15"/>
      <c r="D109" s="11" t="str">
        <f t="shared" si="32"/>
        <v>Swiggy</v>
      </c>
      <c r="E109" s="15"/>
      <c r="F109" s="16"/>
      <c r="G109" s="15"/>
      <c r="H109" s="15"/>
      <c r="I109" s="15"/>
      <c r="J109" s="15"/>
      <c r="K109" s="11" t="str">
        <f t="shared" si="33"/>
        <v>运营中</v>
      </c>
      <c r="L109" s="15"/>
      <c r="M109" s="15"/>
      <c r="N109" s="15"/>
      <c r="O109" s="15"/>
      <c r="P109" s="17">
        <v>42107</v>
      </c>
      <c r="Q109" s="15" t="s">
        <v>222</v>
      </c>
      <c r="R109" s="15" t="s">
        <v>319</v>
      </c>
      <c r="S109" s="15" t="s">
        <v>602</v>
      </c>
      <c r="T109" s="15"/>
      <c r="U109" s="15"/>
      <c r="V109" s="15"/>
      <c r="W109" s="15"/>
      <c r="X109" s="15"/>
      <c r="Y109" s="15"/>
    </row>
    <row r="110" s="11" customFormat="1" hidden="1" customHeight="1" spans="1:25">
      <c r="A110" s="13"/>
      <c r="B110" s="14"/>
      <c r="C110" s="15" t="s">
        <v>605</v>
      </c>
      <c r="D110" s="11" t="s">
        <v>606</v>
      </c>
      <c r="E110" s="15" t="s">
        <v>606</v>
      </c>
      <c r="F110" s="16" t="s">
        <v>607</v>
      </c>
      <c r="G110" s="15" t="s">
        <v>608</v>
      </c>
      <c r="H110" s="15" t="s">
        <v>609</v>
      </c>
      <c r="I110" s="15" t="s">
        <v>610</v>
      </c>
      <c r="J110" s="15" t="s">
        <v>342</v>
      </c>
      <c r="K110" s="11" t="s">
        <v>185</v>
      </c>
      <c r="L110" s="15" t="s">
        <v>185</v>
      </c>
      <c r="M110" s="15" t="s">
        <v>515</v>
      </c>
      <c r="N110" s="15" t="s">
        <v>611</v>
      </c>
      <c r="O110" s="15">
        <v>1</v>
      </c>
      <c r="P110" s="17">
        <v>44420</v>
      </c>
      <c r="Q110" s="15" t="s">
        <v>260</v>
      </c>
      <c r="R110" s="15" t="s">
        <v>612</v>
      </c>
      <c r="S110" s="15" t="s">
        <v>262</v>
      </c>
      <c r="T110" s="15" t="s">
        <v>613</v>
      </c>
      <c r="U110" s="15" t="s">
        <v>614</v>
      </c>
      <c r="V110" s="15" t="s">
        <v>615</v>
      </c>
      <c r="W110" s="15" t="s">
        <v>616</v>
      </c>
      <c r="X110" s="15"/>
      <c r="Y110" s="15"/>
    </row>
    <row r="111" s="11" customFormat="1" hidden="1" customHeight="1" spans="1:25">
      <c r="A111" s="13"/>
      <c r="B111" s="14"/>
      <c r="C111" s="15"/>
      <c r="D111" s="11" t="str">
        <f t="shared" ref="D111:D119" si="34">D110</f>
        <v>理想汽车</v>
      </c>
      <c r="E111" s="15"/>
      <c r="F111" s="16"/>
      <c r="G111" s="15"/>
      <c r="H111" s="15"/>
      <c r="I111" s="15"/>
      <c r="J111" s="15"/>
      <c r="K111" s="11" t="str">
        <f t="shared" ref="K111:K119" si="35">K110</f>
        <v>运营中</v>
      </c>
      <c r="L111" s="15"/>
      <c r="M111" s="15"/>
      <c r="N111" s="15"/>
      <c r="O111" s="15">
        <v>1</v>
      </c>
      <c r="P111" s="17">
        <v>44042</v>
      </c>
      <c r="Q111" s="15" t="s">
        <v>260</v>
      </c>
      <c r="R111" s="15" t="s">
        <v>617</v>
      </c>
      <c r="S111" s="15" t="s">
        <v>262</v>
      </c>
      <c r="T111" s="15"/>
      <c r="U111" s="15"/>
      <c r="V111" s="15"/>
      <c r="W111" s="15"/>
      <c r="X111" s="15"/>
      <c r="Y111" s="15"/>
    </row>
    <row r="112" s="11" customFormat="1" hidden="1" customHeight="1" spans="1:25">
      <c r="A112" s="13"/>
      <c r="B112" s="14"/>
      <c r="C112" s="15"/>
      <c r="D112" s="11" t="str">
        <f t="shared" si="34"/>
        <v>理想汽车</v>
      </c>
      <c r="E112" s="15"/>
      <c r="F112" s="16"/>
      <c r="G112" s="15"/>
      <c r="H112" s="15"/>
      <c r="I112" s="15"/>
      <c r="J112" s="15"/>
      <c r="K112" s="11" t="str">
        <f t="shared" si="35"/>
        <v>运营中</v>
      </c>
      <c r="L112" s="15"/>
      <c r="M112" s="15"/>
      <c r="N112" s="15"/>
      <c r="O112" s="15">
        <v>1</v>
      </c>
      <c r="P112" s="17">
        <v>44037</v>
      </c>
      <c r="Q112" s="15" t="s">
        <v>618</v>
      </c>
      <c r="R112" s="15" t="s">
        <v>619</v>
      </c>
      <c r="S112" s="15" t="s">
        <v>620</v>
      </c>
      <c r="T112" s="15"/>
      <c r="U112" s="15"/>
      <c r="V112" s="15"/>
      <c r="W112" s="15"/>
      <c r="X112" s="15"/>
      <c r="Y112" s="15"/>
    </row>
    <row r="113" s="11" customFormat="1" hidden="1" customHeight="1" spans="1:25">
      <c r="A113" s="13"/>
      <c r="B113" s="14"/>
      <c r="C113" s="15"/>
      <c r="D113" s="11" t="str">
        <f t="shared" si="34"/>
        <v>理想汽车</v>
      </c>
      <c r="E113" s="15"/>
      <c r="F113" s="16"/>
      <c r="G113" s="15"/>
      <c r="H113" s="15"/>
      <c r="I113" s="15"/>
      <c r="J113" s="15"/>
      <c r="K113" s="11" t="str">
        <f t="shared" si="35"/>
        <v>运营中</v>
      </c>
      <c r="L113" s="15"/>
      <c r="M113" s="15"/>
      <c r="N113" s="15"/>
      <c r="O113" s="15">
        <v>1</v>
      </c>
      <c r="P113" s="17">
        <v>44006</v>
      </c>
      <c r="Q113" s="15" t="s">
        <v>363</v>
      </c>
      <c r="R113" s="15" t="s">
        <v>621</v>
      </c>
      <c r="S113" s="15" t="s">
        <v>622</v>
      </c>
      <c r="T113" s="15"/>
      <c r="U113" s="15"/>
      <c r="V113" s="15"/>
      <c r="W113" s="15"/>
      <c r="X113" s="15"/>
      <c r="Y113" s="15"/>
    </row>
    <row r="114" s="11" customFormat="1" hidden="1" customHeight="1" spans="1:25">
      <c r="A114" s="13"/>
      <c r="B114" s="14"/>
      <c r="C114" s="15"/>
      <c r="D114" s="11" t="str">
        <f t="shared" si="34"/>
        <v>理想汽车</v>
      </c>
      <c r="E114" s="15"/>
      <c r="F114" s="16"/>
      <c r="G114" s="15"/>
      <c r="H114" s="15"/>
      <c r="I114" s="15"/>
      <c r="J114" s="15"/>
      <c r="K114" s="11" t="str">
        <f t="shared" si="35"/>
        <v>运营中</v>
      </c>
      <c r="L114" s="15"/>
      <c r="M114" s="15"/>
      <c r="N114" s="15"/>
      <c r="O114" s="15">
        <v>1</v>
      </c>
      <c r="P114" s="17">
        <v>43693</v>
      </c>
      <c r="Q114" s="15" t="s">
        <v>216</v>
      </c>
      <c r="R114" s="15" t="s">
        <v>623</v>
      </c>
      <c r="S114" s="15" t="s">
        <v>624</v>
      </c>
      <c r="T114" s="15"/>
      <c r="U114" s="15"/>
      <c r="V114" s="15"/>
      <c r="W114" s="15"/>
      <c r="X114" s="15"/>
      <c r="Y114" s="15"/>
    </row>
    <row r="115" s="11" customFormat="1" hidden="1" customHeight="1" spans="1:25">
      <c r="A115" s="13"/>
      <c r="B115" s="14"/>
      <c r="C115" s="15"/>
      <c r="D115" s="11" t="str">
        <f t="shared" si="34"/>
        <v>理想汽车</v>
      </c>
      <c r="E115" s="15"/>
      <c r="F115" s="16"/>
      <c r="G115" s="15"/>
      <c r="H115" s="15"/>
      <c r="I115" s="15"/>
      <c r="J115" s="15"/>
      <c r="K115" s="11" t="str">
        <f t="shared" si="35"/>
        <v>运营中</v>
      </c>
      <c r="L115" s="15"/>
      <c r="M115" s="15"/>
      <c r="N115" s="15"/>
      <c r="O115" s="15">
        <v>1</v>
      </c>
      <c r="P115" s="17">
        <v>43581</v>
      </c>
      <c r="Q115" s="15" t="s">
        <v>428</v>
      </c>
      <c r="R115" s="15" t="s">
        <v>263</v>
      </c>
      <c r="S115" s="15" t="s">
        <v>262</v>
      </c>
      <c r="T115" s="15"/>
      <c r="U115" s="15"/>
      <c r="V115" s="15"/>
      <c r="W115" s="15"/>
      <c r="X115" s="15"/>
      <c r="Y115" s="15"/>
    </row>
    <row r="116" s="11" customFormat="1" hidden="1" customHeight="1" spans="1:25">
      <c r="A116" s="13"/>
      <c r="B116" s="14"/>
      <c r="C116" s="15"/>
      <c r="D116" s="11" t="str">
        <f t="shared" si="34"/>
        <v>理想汽车</v>
      </c>
      <c r="E116" s="15"/>
      <c r="F116" s="16"/>
      <c r="G116" s="15"/>
      <c r="H116" s="15"/>
      <c r="I116" s="15"/>
      <c r="J116" s="15"/>
      <c r="K116" s="11" t="str">
        <f t="shared" si="35"/>
        <v>运营中</v>
      </c>
      <c r="L116" s="15"/>
      <c r="M116" s="15"/>
      <c r="N116" s="15"/>
      <c r="O116" s="15">
        <v>1</v>
      </c>
      <c r="P116" s="17">
        <v>43181</v>
      </c>
      <c r="Q116" s="15" t="s">
        <v>219</v>
      </c>
      <c r="R116" s="15" t="s">
        <v>625</v>
      </c>
      <c r="S116" s="15" t="s">
        <v>626</v>
      </c>
      <c r="T116" s="15"/>
      <c r="U116" s="15"/>
      <c r="V116" s="15"/>
      <c r="W116" s="15"/>
      <c r="X116" s="15"/>
      <c r="Y116" s="15"/>
    </row>
    <row r="117" s="11" customFormat="1" hidden="1" customHeight="1" spans="1:25">
      <c r="A117" s="13"/>
      <c r="B117" s="14"/>
      <c r="C117" s="15"/>
      <c r="D117" s="11" t="str">
        <f t="shared" si="34"/>
        <v>理想汽车</v>
      </c>
      <c r="E117" s="15"/>
      <c r="F117" s="16"/>
      <c r="G117" s="15"/>
      <c r="H117" s="15"/>
      <c r="I117" s="15"/>
      <c r="J117" s="15"/>
      <c r="K117" s="11" t="str">
        <f t="shared" si="35"/>
        <v>运营中</v>
      </c>
      <c r="L117" s="15"/>
      <c r="M117" s="15"/>
      <c r="N117" s="15"/>
      <c r="O117" s="15">
        <v>1</v>
      </c>
      <c r="P117" s="17">
        <v>42986</v>
      </c>
      <c r="Q117" s="15" t="s">
        <v>334</v>
      </c>
      <c r="R117" s="15" t="s">
        <v>627</v>
      </c>
      <c r="S117" s="15" t="s">
        <v>628</v>
      </c>
      <c r="T117" s="15"/>
      <c r="U117" s="15"/>
      <c r="V117" s="15"/>
      <c r="W117" s="15"/>
      <c r="X117" s="15"/>
      <c r="Y117" s="15"/>
    </row>
    <row r="118" s="11" customFormat="1" hidden="1" customHeight="1" spans="1:25">
      <c r="A118" s="13"/>
      <c r="B118" s="14"/>
      <c r="C118" s="15"/>
      <c r="D118" s="11" t="str">
        <f t="shared" si="34"/>
        <v>理想汽车</v>
      </c>
      <c r="E118" s="15"/>
      <c r="F118" s="16"/>
      <c r="G118" s="15"/>
      <c r="H118" s="15"/>
      <c r="I118" s="15"/>
      <c r="J118" s="15"/>
      <c r="K118" s="11" t="str">
        <f t="shared" si="35"/>
        <v>运营中</v>
      </c>
      <c r="L118" s="15"/>
      <c r="M118" s="15"/>
      <c r="N118" s="15"/>
      <c r="O118" s="15">
        <v>1</v>
      </c>
      <c r="P118" s="17">
        <v>42493</v>
      </c>
      <c r="Q118" s="15" t="s">
        <v>222</v>
      </c>
      <c r="R118" s="15" t="s">
        <v>629</v>
      </c>
      <c r="S118" s="15" t="s">
        <v>630</v>
      </c>
      <c r="T118" s="15"/>
      <c r="U118" s="15"/>
      <c r="V118" s="15"/>
      <c r="W118" s="15"/>
      <c r="X118" s="15"/>
      <c r="Y118" s="15"/>
    </row>
    <row r="119" s="11" customFormat="1" hidden="1" customHeight="1" spans="1:25">
      <c r="A119" s="13"/>
      <c r="B119" s="14"/>
      <c r="C119" s="15"/>
      <c r="D119" s="11" t="str">
        <f t="shared" si="34"/>
        <v>理想汽车</v>
      </c>
      <c r="E119" s="15"/>
      <c r="F119" s="16"/>
      <c r="G119" s="15"/>
      <c r="H119" s="15"/>
      <c r="I119" s="15"/>
      <c r="J119" s="15"/>
      <c r="K119" s="11" t="str">
        <f t="shared" si="35"/>
        <v>运营中</v>
      </c>
      <c r="L119" s="15"/>
      <c r="M119" s="15"/>
      <c r="N119" s="15"/>
      <c r="O119" s="15">
        <v>1</v>
      </c>
      <c r="P119" s="17">
        <v>42305</v>
      </c>
      <c r="Q119" s="15" t="s">
        <v>196</v>
      </c>
      <c r="R119" s="15" t="s">
        <v>217</v>
      </c>
      <c r="S119" s="15" t="s">
        <v>631</v>
      </c>
      <c r="T119" s="15"/>
      <c r="U119" s="15"/>
      <c r="V119" s="15"/>
      <c r="W119" s="15"/>
      <c r="X119" s="15"/>
      <c r="Y119" s="15"/>
    </row>
    <row r="120" s="11" customFormat="1" hidden="1" customHeight="1" spans="1:25">
      <c r="A120" s="13"/>
      <c r="B120" s="14"/>
      <c r="C120" s="15" t="s">
        <v>632</v>
      </c>
      <c r="D120" s="11" t="s">
        <v>344</v>
      </c>
      <c r="E120" s="15" t="s">
        <v>344</v>
      </c>
      <c r="F120" s="16" t="s">
        <v>633</v>
      </c>
      <c r="G120" s="15" t="s">
        <v>634</v>
      </c>
      <c r="H120" s="15" t="s">
        <v>635</v>
      </c>
      <c r="I120" s="15" t="s">
        <v>636</v>
      </c>
      <c r="J120" s="15" t="s">
        <v>184</v>
      </c>
      <c r="K120" s="11" t="s">
        <v>185</v>
      </c>
      <c r="L120" s="15" t="s">
        <v>185</v>
      </c>
      <c r="M120" s="15" t="s">
        <v>186</v>
      </c>
      <c r="N120" s="15" t="s">
        <v>343</v>
      </c>
      <c r="O120" s="15"/>
      <c r="P120" s="17">
        <v>45055</v>
      </c>
      <c r="Q120" s="15" t="s">
        <v>207</v>
      </c>
      <c r="R120" s="15" t="s">
        <v>189</v>
      </c>
      <c r="S120" s="15" t="s">
        <v>637</v>
      </c>
      <c r="T120" s="15" t="s">
        <v>638</v>
      </c>
      <c r="U120" s="15" t="s">
        <v>639</v>
      </c>
      <c r="V120" s="15" t="s">
        <v>640</v>
      </c>
      <c r="W120" s="15"/>
      <c r="X120" s="15"/>
      <c r="Y120" s="15"/>
    </row>
    <row r="121" s="11" customFormat="1" hidden="1" customHeight="1" spans="1:25">
      <c r="A121" s="13"/>
      <c r="B121" s="14"/>
      <c r="C121" s="15"/>
      <c r="D121" s="11" t="str">
        <f t="shared" ref="D121:D125" si="36">D120</f>
        <v>奥琦玮</v>
      </c>
      <c r="E121" s="15"/>
      <c r="F121" s="16"/>
      <c r="G121" s="15"/>
      <c r="H121" s="15"/>
      <c r="I121" s="15"/>
      <c r="J121" s="15"/>
      <c r="K121" s="11" t="str">
        <f t="shared" ref="K121:K125" si="37">K120</f>
        <v>运营中</v>
      </c>
      <c r="L121" s="15"/>
      <c r="M121" s="15"/>
      <c r="N121" s="15"/>
      <c r="O121" s="15"/>
      <c r="P121" s="17">
        <v>44363</v>
      </c>
      <c r="Q121" s="15" t="s">
        <v>363</v>
      </c>
      <c r="R121" s="15" t="s">
        <v>269</v>
      </c>
      <c r="S121" s="15" t="s">
        <v>641</v>
      </c>
      <c r="T121" s="15"/>
      <c r="U121" s="15"/>
      <c r="V121" s="15"/>
      <c r="W121" s="15"/>
      <c r="X121" s="15"/>
      <c r="Y121" s="15"/>
    </row>
    <row r="122" s="11" customFormat="1" hidden="1" customHeight="1" spans="1:25">
      <c r="A122" s="13"/>
      <c r="B122" s="14"/>
      <c r="C122" s="15"/>
      <c r="D122" s="11" t="str">
        <f t="shared" si="36"/>
        <v>奥琦玮</v>
      </c>
      <c r="E122" s="15"/>
      <c r="F122" s="16"/>
      <c r="G122" s="15"/>
      <c r="H122" s="15"/>
      <c r="I122" s="15"/>
      <c r="J122" s="15"/>
      <c r="K122" s="11" t="str">
        <f t="shared" si="37"/>
        <v>运营中</v>
      </c>
      <c r="L122" s="15"/>
      <c r="M122" s="15"/>
      <c r="N122" s="15"/>
      <c r="O122" s="15"/>
      <c r="P122" s="17">
        <v>44063</v>
      </c>
      <c r="Q122" s="15" t="s">
        <v>207</v>
      </c>
      <c r="R122" s="15" t="s">
        <v>217</v>
      </c>
      <c r="S122" s="15" t="s">
        <v>642</v>
      </c>
      <c r="T122" s="15"/>
      <c r="U122" s="15"/>
      <c r="V122" s="15"/>
      <c r="W122" s="15"/>
      <c r="X122" s="15"/>
      <c r="Y122" s="15"/>
    </row>
    <row r="123" s="11" customFormat="1" hidden="1" customHeight="1" spans="1:25">
      <c r="A123" s="13"/>
      <c r="B123" s="14"/>
      <c r="C123" s="15"/>
      <c r="D123" s="11" t="str">
        <f t="shared" si="36"/>
        <v>奥琦玮</v>
      </c>
      <c r="E123" s="15"/>
      <c r="F123" s="16"/>
      <c r="G123" s="15"/>
      <c r="H123" s="15"/>
      <c r="I123" s="15"/>
      <c r="J123" s="15"/>
      <c r="K123" s="11" t="str">
        <f t="shared" si="37"/>
        <v>运营中</v>
      </c>
      <c r="L123" s="15"/>
      <c r="M123" s="15"/>
      <c r="N123" s="15"/>
      <c r="O123" s="15"/>
      <c r="P123" s="17">
        <v>43187</v>
      </c>
      <c r="Q123" s="15" t="s">
        <v>216</v>
      </c>
      <c r="R123" s="15" t="s">
        <v>569</v>
      </c>
      <c r="S123" s="15" t="s">
        <v>643</v>
      </c>
      <c r="T123" s="15"/>
      <c r="U123" s="15"/>
      <c r="V123" s="15"/>
      <c r="W123" s="15"/>
      <c r="X123" s="15"/>
      <c r="Y123" s="15"/>
    </row>
    <row r="124" s="11" customFormat="1" hidden="1" customHeight="1" spans="1:25">
      <c r="A124" s="13"/>
      <c r="B124" s="14"/>
      <c r="C124" s="15"/>
      <c r="D124" s="11" t="str">
        <f t="shared" si="36"/>
        <v>奥琦玮</v>
      </c>
      <c r="E124" s="15"/>
      <c r="F124" s="16"/>
      <c r="G124" s="15"/>
      <c r="H124" s="15"/>
      <c r="I124" s="15"/>
      <c r="J124" s="15"/>
      <c r="K124" s="11" t="str">
        <f t="shared" si="37"/>
        <v>运营中</v>
      </c>
      <c r="L124" s="15"/>
      <c r="M124" s="15"/>
      <c r="N124" s="15"/>
      <c r="O124" s="15"/>
      <c r="P124" s="17">
        <v>42254</v>
      </c>
      <c r="Q124" s="15" t="s">
        <v>219</v>
      </c>
      <c r="R124" s="15" t="s">
        <v>269</v>
      </c>
      <c r="S124" s="15" t="s">
        <v>643</v>
      </c>
      <c r="T124" s="15"/>
      <c r="U124" s="15"/>
      <c r="V124" s="15"/>
      <c r="W124" s="15"/>
      <c r="X124" s="15"/>
      <c r="Y124" s="15"/>
    </row>
    <row r="125" s="11" customFormat="1" hidden="1" customHeight="1" spans="1:25">
      <c r="A125" s="13"/>
      <c r="B125" s="14"/>
      <c r="C125" s="15"/>
      <c r="D125" s="11" t="str">
        <f t="shared" si="36"/>
        <v>奥琦玮</v>
      </c>
      <c r="E125" s="15"/>
      <c r="F125" s="16"/>
      <c r="G125" s="15"/>
      <c r="H125" s="15"/>
      <c r="I125" s="15"/>
      <c r="J125" s="15"/>
      <c r="K125" s="11" t="str">
        <f t="shared" si="37"/>
        <v>运营中</v>
      </c>
      <c r="L125" s="15"/>
      <c r="M125" s="15"/>
      <c r="N125" s="15"/>
      <c r="O125" s="15"/>
      <c r="P125" s="17">
        <v>41988</v>
      </c>
      <c r="Q125" s="15" t="s">
        <v>222</v>
      </c>
      <c r="R125" s="15" t="s">
        <v>217</v>
      </c>
      <c r="S125" s="15" t="s">
        <v>644</v>
      </c>
      <c r="T125" s="15"/>
      <c r="U125" s="15"/>
      <c r="V125" s="15"/>
      <c r="W125" s="15"/>
      <c r="X125" s="15"/>
      <c r="Y125" s="15"/>
    </row>
    <row r="126" s="11" customFormat="1" hidden="1" customHeight="1" spans="1:25">
      <c r="A126" s="13"/>
      <c r="B126" s="14"/>
      <c r="C126" s="15" t="s">
        <v>645</v>
      </c>
      <c r="D126" s="11" t="s">
        <v>646</v>
      </c>
      <c r="E126" s="15" t="s">
        <v>646</v>
      </c>
      <c r="F126" s="16" t="s">
        <v>647</v>
      </c>
      <c r="G126" s="15"/>
      <c r="H126" s="15" t="s">
        <v>648</v>
      </c>
      <c r="I126" s="15" t="s">
        <v>649</v>
      </c>
      <c r="J126" s="15" t="s">
        <v>650</v>
      </c>
      <c r="K126" s="11" t="s">
        <v>185</v>
      </c>
      <c r="L126" s="15" t="s">
        <v>185</v>
      </c>
      <c r="M126" s="15" t="s">
        <v>515</v>
      </c>
      <c r="N126" s="15" t="s">
        <v>651</v>
      </c>
      <c r="O126" s="15">
        <v>1</v>
      </c>
      <c r="P126" s="17">
        <v>44333</v>
      </c>
      <c r="Q126" s="15" t="s">
        <v>265</v>
      </c>
      <c r="R126" s="15" t="s">
        <v>189</v>
      </c>
      <c r="S126" s="15" t="s">
        <v>652</v>
      </c>
      <c r="T126" s="15" t="s">
        <v>653</v>
      </c>
      <c r="U126" s="15" t="s">
        <v>191</v>
      </c>
      <c r="V126" s="15" t="s">
        <v>654</v>
      </c>
      <c r="W126" s="15"/>
      <c r="X126" s="15"/>
      <c r="Y126" s="15"/>
    </row>
    <row r="127" s="11" customFormat="1" hidden="1" customHeight="1" spans="1:25">
      <c r="A127" s="13"/>
      <c r="B127" s="14"/>
      <c r="C127" s="15"/>
      <c r="D127" s="11" t="str">
        <f t="shared" ref="D127:D141" si="38">D126</f>
        <v>Gojek</v>
      </c>
      <c r="E127" s="15"/>
      <c r="F127" s="16"/>
      <c r="G127" s="15"/>
      <c r="H127" s="15"/>
      <c r="I127" s="15"/>
      <c r="J127" s="15"/>
      <c r="K127" s="11" t="str">
        <f t="shared" ref="K127:K141" si="39">K126</f>
        <v>运营中</v>
      </c>
      <c r="L127" s="15"/>
      <c r="M127" s="15"/>
      <c r="N127" s="15"/>
      <c r="O127" s="15">
        <v>1</v>
      </c>
      <c r="P127" s="17">
        <v>44327</v>
      </c>
      <c r="Q127" s="15" t="s">
        <v>207</v>
      </c>
      <c r="R127" s="15" t="s">
        <v>526</v>
      </c>
      <c r="S127" s="15" t="s">
        <v>655</v>
      </c>
      <c r="T127" s="15"/>
      <c r="U127" s="15"/>
      <c r="V127" s="15"/>
      <c r="W127" s="15"/>
      <c r="X127" s="15"/>
      <c r="Y127" s="15"/>
    </row>
    <row r="128" s="11" customFormat="1" hidden="1" customHeight="1" spans="1:25">
      <c r="A128" s="13"/>
      <c r="B128" s="14"/>
      <c r="C128" s="15"/>
      <c r="D128" s="11" t="str">
        <f t="shared" si="38"/>
        <v>Gojek</v>
      </c>
      <c r="E128" s="15"/>
      <c r="F128" s="16"/>
      <c r="G128" s="15"/>
      <c r="H128" s="15"/>
      <c r="I128" s="15"/>
      <c r="J128" s="15"/>
      <c r="K128" s="11" t="str">
        <f t="shared" si="39"/>
        <v>运营中</v>
      </c>
      <c r="L128" s="15"/>
      <c r="M128" s="15"/>
      <c r="N128" s="15"/>
      <c r="O128" s="15">
        <v>1</v>
      </c>
      <c r="P128" s="17">
        <v>44152</v>
      </c>
      <c r="Q128" s="15" t="s">
        <v>207</v>
      </c>
      <c r="R128" s="15" t="s">
        <v>656</v>
      </c>
      <c r="S128" s="15" t="s">
        <v>655</v>
      </c>
      <c r="T128" s="15"/>
      <c r="U128" s="15"/>
      <c r="V128" s="15"/>
      <c r="W128" s="15"/>
      <c r="X128" s="15"/>
      <c r="Y128" s="15"/>
    </row>
    <row r="129" s="11" customFormat="1" hidden="1" customHeight="1" spans="1:25">
      <c r="A129" s="13"/>
      <c r="B129" s="14"/>
      <c r="C129" s="15"/>
      <c r="D129" s="11" t="str">
        <f t="shared" si="38"/>
        <v>Gojek</v>
      </c>
      <c r="E129" s="15"/>
      <c r="F129" s="16"/>
      <c r="G129" s="15"/>
      <c r="H129" s="15"/>
      <c r="I129" s="15"/>
      <c r="J129" s="15"/>
      <c r="K129" s="11" t="str">
        <f t="shared" si="39"/>
        <v>运营中</v>
      </c>
      <c r="L129" s="15"/>
      <c r="M129" s="15"/>
      <c r="N129" s="15"/>
      <c r="O129" s="15">
        <v>1</v>
      </c>
      <c r="P129" s="17">
        <v>43985</v>
      </c>
      <c r="Q129" s="15" t="s">
        <v>207</v>
      </c>
      <c r="R129" s="15" t="s">
        <v>313</v>
      </c>
      <c r="S129" s="15" t="s">
        <v>657</v>
      </c>
      <c r="T129" s="15"/>
      <c r="U129" s="15"/>
      <c r="V129" s="15"/>
      <c r="W129" s="15"/>
      <c r="X129" s="15"/>
      <c r="Y129" s="15"/>
    </row>
    <row r="130" s="11" customFormat="1" hidden="1" customHeight="1" spans="1:25">
      <c r="A130" s="13"/>
      <c r="B130" s="14"/>
      <c r="C130" s="15"/>
      <c r="D130" s="11" t="str">
        <f t="shared" si="38"/>
        <v>Gojek</v>
      </c>
      <c r="E130" s="15"/>
      <c r="F130" s="16"/>
      <c r="G130" s="15"/>
      <c r="H130" s="15"/>
      <c r="I130" s="15"/>
      <c r="J130" s="15"/>
      <c r="K130" s="11" t="str">
        <f t="shared" si="39"/>
        <v>运营中</v>
      </c>
      <c r="L130" s="15"/>
      <c r="M130" s="15"/>
      <c r="N130" s="15"/>
      <c r="O130" s="15">
        <v>1</v>
      </c>
      <c r="P130" s="17">
        <v>43907</v>
      </c>
      <c r="Q130" s="15" t="s">
        <v>207</v>
      </c>
      <c r="R130" s="15" t="s">
        <v>658</v>
      </c>
      <c r="S130" s="15" t="s">
        <v>659</v>
      </c>
      <c r="T130" s="15"/>
      <c r="U130" s="15"/>
      <c r="V130" s="15"/>
      <c r="W130" s="15"/>
      <c r="X130" s="15"/>
      <c r="Y130" s="15"/>
    </row>
    <row r="131" s="11" customFormat="1" hidden="1" customHeight="1" spans="1:25">
      <c r="A131" s="13"/>
      <c r="B131" s="14"/>
      <c r="C131" s="15"/>
      <c r="D131" s="11" t="str">
        <f t="shared" si="38"/>
        <v>Gojek</v>
      </c>
      <c r="E131" s="15"/>
      <c r="F131" s="16"/>
      <c r="G131" s="15"/>
      <c r="H131" s="15"/>
      <c r="I131" s="15"/>
      <c r="J131" s="15"/>
      <c r="K131" s="11" t="str">
        <f t="shared" si="39"/>
        <v>运营中</v>
      </c>
      <c r="L131" s="15"/>
      <c r="M131" s="15"/>
      <c r="N131" s="15"/>
      <c r="O131" s="15">
        <v>1</v>
      </c>
      <c r="P131" s="17">
        <v>43766</v>
      </c>
      <c r="Q131" s="15" t="s">
        <v>207</v>
      </c>
      <c r="R131" s="15" t="s">
        <v>660</v>
      </c>
      <c r="S131" s="15" t="s">
        <v>661</v>
      </c>
      <c r="T131" s="15"/>
      <c r="U131" s="15"/>
      <c r="V131" s="15"/>
      <c r="W131" s="15"/>
      <c r="X131" s="15"/>
      <c r="Y131" s="15"/>
    </row>
    <row r="132" s="11" customFormat="1" hidden="1" customHeight="1" spans="1:25">
      <c r="A132" s="13"/>
      <c r="B132" s="14"/>
      <c r="C132" s="15"/>
      <c r="D132" s="11" t="str">
        <f t="shared" si="38"/>
        <v>Gojek</v>
      </c>
      <c r="E132" s="15"/>
      <c r="F132" s="16"/>
      <c r="G132" s="15"/>
      <c r="H132" s="15"/>
      <c r="I132" s="15"/>
      <c r="J132" s="15"/>
      <c r="K132" s="11" t="str">
        <f t="shared" si="39"/>
        <v>运营中</v>
      </c>
      <c r="L132" s="15"/>
      <c r="M132" s="15"/>
      <c r="N132" s="15"/>
      <c r="O132" s="15">
        <v>1</v>
      </c>
      <c r="P132" s="17">
        <v>43663</v>
      </c>
      <c r="Q132" s="15" t="s">
        <v>207</v>
      </c>
      <c r="R132" s="15" t="s">
        <v>313</v>
      </c>
      <c r="S132" s="15" t="s">
        <v>662</v>
      </c>
      <c r="T132" s="15"/>
      <c r="U132" s="15"/>
      <c r="V132" s="15"/>
      <c r="W132" s="15"/>
      <c r="X132" s="15"/>
      <c r="Y132" s="15"/>
    </row>
    <row r="133" s="11" customFormat="1" hidden="1" customHeight="1" spans="1:25">
      <c r="A133" s="13"/>
      <c r="B133" s="14"/>
      <c r="C133" s="15"/>
      <c r="D133" s="11" t="str">
        <f t="shared" si="38"/>
        <v>Gojek</v>
      </c>
      <c r="E133" s="15"/>
      <c r="F133" s="16"/>
      <c r="G133" s="15"/>
      <c r="H133" s="15"/>
      <c r="I133" s="15"/>
      <c r="J133" s="15"/>
      <c r="K133" s="11" t="str">
        <f t="shared" si="39"/>
        <v>运营中</v>
      </c>
      <c r="L133" s="15"/>
      <c r="M133" s="15"/>
      <c r="N133" s="15"/>
      <c r="O133" s="15">
        <v>1</v>
      </c>
      <c r="P133" s="17">
        <v>43654</v>
      </c>
      <c r="Q133" s="15" t="s">
        <v>207</v>
      </c>
      <c r="R133" s="15" t="s">
        <v>313</v>
      </c>
      <c r="S133" s="15" t="s">
        <v>663</v>
      </c>
      <c r="T133" s="15"/>
      <c r="U133" s="15"/>
      <c r="V133" s="15"/>
      <c r="W133" s="15"/>
      <c r="X133" s="15"/>
      <c r="Y133" s="15"/>
    </row>
    <row r="134" s="11" customFormat="1" hidden="1" customHeight="1" spans="1:25">
      <c r="A134" s="13"/>
      <c r="B134" s="14"/>
      <c r="C134" s="15"/>
      <c r="D134" s="11" t="str">
        <f t="shared" si="38"/>
        <v>Gojek</v>
      </c>
      <c r="E134" s="15"/>
      <c r="F134" s="16"/>
      <c r="G134" s="15"/>
      <c r="H134" s="15"/>
      <c r="I134" s="15"/>
      <c r="J134" s="15"/>
      <c r="K134" s="11" t="str">
        <f t="shared" si="39"/>
        <v>运营中</v>
      </c>
      <c r="L134" s="15"/>
      <c r="M134" s="15"/>
      <c r="N134" s="15"/>
      <c r="O134" s="15">
        <v>1</v>
      </c>
      <c r="P134" s="17">
        <v>43529</v>
      </c>
      <c r="Q134" s="15" t="s">
        <v>207</v>
      </c>
      <c r="R134" s="15" t="s">
        <v>565</v>
      </c>
      <c r="S134" s="15" t="s">
        <v>664</v>
      </c>
      <c r="T134" s="15"/>
      <c r="U134" s="15"/>
      <c r="V134" s="15"/>
      <c r="W134" s="15"/>
      <c r="X134" s="15"/>
      <c r="Y134" s="15"/>
    </row>
    <row r="135" s="11" customFormat="1" hidden="1" customHeight="1" spans="1:25">
      <c r="A135" s="13"/>
      <c r="B135" s="14"/>
      <c r="C135" s="15"/>
      <c r="D135" s="11" t="str">
        <f t="shared" si="38"/>
        <v>Gojek</v>
      </c>
      <c r="E135" s="15"/>
      <c r="F135" s="16"/>
      <c r="G135" s="15"/>
      <c r="H135" s="15"/>
      <c r="I135" s="15"/>
      <c r="J135" s="15"/>
      <c r="K135" s="11" t="str">
        <f t="shared" si="39"/>
        <v>运营中</v>
      </c>
      <c r="L135" s="15"/>
      <c r="M135" s="15"/>
      <c r="N135" s="15"/>
      <c r="O135" s="15">
        <v>1</v>
      </c>
      <c r="P135" s="17">
        <v>43497</v>
      </c>
      <c r="Q135" s="15" t="s">
        <v>474</v>
      </c>
      <c r="R135" s="15" t="s">
        <v>593</v>
      </c>
      <c r="S135" s="15" t="s">
        <v>665</v>
      </c>
      <c r="T135" s="15"/>
      <c r="U135" s="15"/>
      <c r="V135" s="15"/>
      <c r="W135" s="15"/>
      <c r="X135" s="15"/>
      <c r="Y135" s="15"/>
    </row>
    <row r="136" s="11" customFormat="1" hidden="1" customHeight="1" spans="1:25">
      <c r="A136" s="13"/>
      <c r="B136" s="14"/>
      <c r="C136" s="15"/>
      <c r="D136" s="11" t="str">
        <f t="shared" si="38"/>
        <v>Gojek</v>
      </c>
      <c r="E136" s="15"/>
      <c r="F136" s="16"/>
      <c r="G136" s="15"/>
      <c r="H136" s="15"/>
      <c r="I136" s="15"/>
      <c r="J136" s="15"/>
      <c r="K136" s="11" t="str">
        <f t="shared" si="39"/>
        <v>运营中</v>
      </c>
      <c r="L136" s="15"/>
      <c r="M136" s="15"/>
      <c r="N136" s="15"/>
      <c r="O136" s="15">
        <v>1</v>
      </c>
      <c r="P136" s="17">
        <v>43158</v>
      </c>
      <c r="Q136" s="15" t="s">
        <v>484</v>
      </c>
      <c r="R136" s="15" t="s">
        <v>666</v>
      </c>
      <c r="S136" s="15" t="s">
        <v>667</v>
      </c>
      <c r="T136" s="15"/>
      <c r="U136" s="15"/>
      <c r="V136" s="15"/>
      <c r="W136" s="15"/>
      <c r="X136" s="15"/>
      <c r="Y136" s="15"/>
    </row>
    <row r="137" s="11" customFormat="1" hidden="1" customHeight="1" spans="1:25">
      <c r="A137" s="13"/>
      <c r="B137" s="14"/>
      <c r="C137" s="15"/>
      <c r="D137" s="11" t="str">
        <f t="shared" si="38"/>
        <v>Gojek</v>
      </c>
      <c r="E137" s="15"/>
      <c r="F137" s="16"/>
      <c r="G137" s="15"/>
      <c r="H137" s="15"/>
      <c r="I137" s="15"/>
      <c r="J137" s="15"/>
      <c r="K137" s="11" t="str">
        <f t="shared" si="39"/>
        <v>运营中</v>
      </c>
      <c r="L137" s="15"/>
      <c r="M137" s="15"/>
      <c r="N137" s="15"/>
      <c r="O137" s="15">
        <v>1</v>
      </c>
      <c r="P137" s="17">
        <v>42972</v>
      </c>
      <c r="Q137" s="15" t="s">
        <v>207</v>
      </c>
      <c r="R137" s="15" t="s">
        <v>668</v>
      </c>
      <c r="S137" s="15" t="s">
        <v>669</v>
      </c>
      <c r="T137" s="15"/>
      <c r="U137" s="15"/>
      <c r="V137" s="15"/>
      <c r="W137" s="15"/>
      <c r="X137" s="15"/>
      <c r="Y137" s="15"/>
    </row>
    <row r="138" s="11" customFormat="1" hidden="1" customHeight="1" spans="1:25">
      <c r="A138" s="13"/>
      <c r="B138" s="14"/>
      <c r="C138" s="15"/>
      <c r="D138" s="11" t="str">
        <f t="shared" si="38"/>
        <v>Gojek</v>
      </c>
      <c r="E138" s="15"/>
      <c r="F138" s="16"/>
      <c r="G138" s="15"/>
      <c r="H138" s="15"/>
      <c r="I138" s="15"/>
      <c r="J138" s="15"/>
      <c r="K138" s="11" t="str">
        <f t="shared" si="39"/>
        <v>运营中</v>
      </c>
      <c r="L138" s="15"/>
      <c r="M138" s="15"/>
      <c r="N138" s="15"/>
      <c r="O138" s="15">
        <v>1</v>
      </c>
      <c r="P138" s="17">
        <v>42587</v>
      </c>
      <c r="Q138" s="15" t="s">
        <v>363</v>
      </c>
      <c r="R138" s="15" t="s">
        <v>621</v>
      </c>
      <c r="S138" s="15" t="s">
        <v>670</v>
      </c>
      <c r="T138" s="15"/>
      <c r="U138" s="15"/>
      <c r="V138" s="15"/>
      <c r="W138" s="15"/>
      <c r="X138" s="15"/>
      <c r="Y138" s="15"/>
    </row>
    <row r="139" s="11" customFormat="1" hidden="1" customHeight="1" spans="1:25">
      <c r="A139" s="13"/>
      <c r="B139" s="14"/>
      <c r="C139" s="15"/>
      <c r="D139" s="11" t="str">
        <f t="shared" si="38"/>
        <v>Gojek</v>
      </c>
      <c r="E139" s="15"/>
      <c r="F139" s="16"/>
      <c r="G139" s="15"/>
      <c r="H139" s="15"/>
      <c r="I139" s="15"/>
      <c r="J139" s="15"/>
      <c r="K139" s="11" t="str">
        <f t="shared" si="39"/>
        <v>运营中</v>
      </c>
      <c r="L139" s="15"/>
      <c r="M139" s="15"/>
      <c r="N139" s="15"/>
      <c r="O139" s="15">
        <v>1</v>
      </c>
      <c r="P139" s="17">
        <v>42461</v>
      </c>
      <c r="Q139" s="15" t="s">
        <v>216</v>
      </c>
      <c r="R139" s="15" t="s">
        <v>313</v>
      </c>
      <c r="S139" s="15" t="s">
        <v>671</v>
      </c>
      <c r="T139" s="15"/>
      <c r="U139" s="15"/>
      <c r="V139" s="15"/>
      <c r="W139" s="15"/>
      <c r="X139" s="15"/>
      <c r="Y139" s="15"/>
    </row>
    <row r="140" s="11" customFormat="1" hidden="1" customHeight="1" spans="1:25">
      <c r="A140" s="13"/>
      <c r="B140" s="14"/>
      <c r="C140" s="15"/>
      <c r="D140" s="11" t="str">
        <f t="shared" si="38"/>
        <v>Gojek</v>
      </c>
      <c r="E140" s="15"/>
      <c r="F140" s="16"/>
      <c r="G140" s="15"/>
      <c r="H140" s="15"/>
      <c r="I140" s="15"/>
      <c r="J140" s="15"/>
      <c r="K140" s="11" t="str">
        <f t="shared" si="39"/>
        <v>运营中</v>
      </c>
      <c r="L140" s="15"/>
      <c r="M140" s="15"/>
      <c r="N140" s="15"/>
      <c r="O140" s="15">
        <v>1</v>
      </c>
      <c r="P140" s="17">
        <v>42293</v>
      </c>
      <c r="Q140" s="15" t="s">
        <v>219</v>
      </c>
      <c r="R140" s="15" t="s">
        <v>313</v>
      </c>
      <c r="S140" s="15" t="s">
        <v>672</v>
      </c>
      <c r="T140" s="15"/>
      <c r="U140" s="15"/>
      <c r="V140" s="15"/>
      <c r="W140" s="15"/>
      <c r="X140" s="15"/>
      <c r="Y140" s="15"/>
    </row>
    <row r="141" s="11" customFormat="1" hidden="1" customHeight="1" spans="1:25">
      <c r="A141" s="13"/>
      <c r="B141" s="14"/>
      <c r="C141" s="15"/>
      <c r="D141" s="11" t="str">
        <f t="shared" si="38"/>
        <v>Gojek</v>
      </c>
      <c r="E141" s="15"/>
      <c r="F141" s="16"/>
      <c r="G141" s="15"/>
      <c r="H141" s="15"/>
      <c r="I141" s="15"/>
      <c r="J141" s="15"/>
      <c r="K141" s="11" t="str">
        <f t="shared" si="39"/>
        <v>运营中</v>
      </c>
      <c r="L141" s="15"/>
      <c r="M141" s="15"/>
      <c r="N141" s="15"/>
      <c r="O141" s="15">
        <v>1</v>
      </c>
      <c r="P141" s="17">
        <v>42004</v>
      </c>
      <c r="Q141" s="15" t="s">
        <v>222</v>
      </c>
      <c r="R141" s="15" t="s">
        <v>313</v>
      </c>
      <c r="S141" s="15" t="s">
        <v>673</v>
      </c>
      <c r="T141" s="15"/>
      <c r="U141" s="15"/>
      <c r="V141" s="15"/>
      <c r="W141" s="15"/>
      <c r="X141" s="15"/>
      <c r="Y141" s="15"/>
    </row>
    <row r="142" s="11" customFormat="1" hidden="1" customHeight="1" spans="1:25">
      <c r="A142" s="13"/>
      <c r="B142" s="14"/>
      <c r="C142" s="15" t="s">
        <v>674</v>
      </c>
      <c r="D142" s="11" t="s">
        <v>675</v>
      </c>
      <c r="E142" s="15" t="s">
        <v>675</v>
      </c>
      <c r="F142" s="16" t="s">
        <v>676</v>
      </c>
      <c r="G142" s="15" t="s">
        <v>677</v>
      </c>
      <c r="H142" s="15" t="s">
        <v>678</v>
      </c>
      <c r="I142" s="15" t="s">
        <v>679</v>
      </c>
      <c r="J142" s="15" t="s">
        <v>415</v>
      </c>
      <c r="K142" s="11" t="s">
        <v>185</v>
      </c>
      <c r="L142" s="15" t="s">
        <v>185</v>
      </c>
      <c r="M142" s="15" t="s">
        <v>680</v>
      </c>
      <c r="N142" s="15" t="s">
        <v>681</v>
      </c>
      <c r="O142" s="15"/>
      <c r="P142" s="17">
        <v>44559</v>
      </c>
      <c r="Q142" s="15" t="s">
        <v>524</v>
      </c>
      <c r="R142" s="15" t="s">
        <v>313</v>
      </c>
      <c r="S142" s="15" t="s">
        <v>682</v>
      </c>
      <c r="T142" s="15" t="s">
        <v>683</v>
      </c>
      <c r="U142" s="15" t="s">
        <v>684</v>
      </c>
      <c r="V142" s="15" t="s">
        <v>685</v>
      </c>
      <c r="W142" s="15" t="s">
        <v>686</v>
      </c>
      <c r="X142" s="15" t="s">
        <v>687</v>
      </c>
      <c r="Y142" s="15" t="s">
        <v>688</v>
      </c>
    </row>
    <row r="143" s="11" customFormat="1" hidden="1" customHeight="1" spans="1:25">
      <c r="A143" s="13"/>
      <c r="B143" s="14"/>
      <c r="C143" s="15"/>
      <c r="D143" s="11" t="str">
        <f t="shared" ref="D143:D150" si="40">D142</f>
        <v>领健</v>
      </c>
      <c r="E143" s="15"/>
      <c r="F143" s="16"/>
      <c r="G143" s="15"/>
      <c r="H143" s="15"/>
      <c r="I143" s="15"/>
      <c r="J143" s="15"/>
      <c r="K143" s="11" t="str">
        <f t="shared" ref="K143:K150" si="41">K142</f>
        <v>运营中</v>
      </c>
      <c r="L143" s="15"/>
      <c r="M143" s="15"/>
      <c r="N143" s="15"/>
      <c r="O143" s="15"/>
      <c r="P143" s="17">
        <v>44370</v>
      </c>
      <c r="Q143" s="15" t="s">
        <v>363</v>
      </c>
      <c r="R143" s="15" t="s">
        <v>565</v>
      </c>
      <c r="S143" s="15" t="s">
        <v>689</v>
      </c>
      <c r="T143" s="15"/>
      <c r="U143" s="15"/>
      <c r="V143" s="15"/>
      <c r="W143" s="15"/>
      <c r="X143" s="15"/>
      <c r="Y143" s="15"/>
    </row>
    <row r="144" s="11" customFormat="1" hidden="1" customHeight="1" spans="1:25">
      <c r="A144" s="13"/>
      <c r="B144" s="14"/>
      <c r="C144" s="15"/>
      <c r="D144" s="11" t="str">
        <f t="shared" si="40"/>
        <v>领健</v>
      </c>
      <c r="E144" s="15"/>
      <c r="F144" s="16"/>
      <c r="G144" s="15"/>
      <c r="H144" s="15"/>
      <c r="I144" s="15"/>
      <c r="J144" s="15"/>
      <c r="K144" s="11" t="str">
        <f t="shared" si="41"/>
        <v>运营中</v>
      </c>
      <c r="L144" s="15"/>
      <c r="M144" s="15"/>
      <c r="N144" s="15"/>
      <c r="O144" s="15"/>
      <c r="P144" s="17">
        <v>44168</v>
      </c>
      <c r="Q144" s="15" t="s">
        <v>690</v>
      </c>
      <c r="R144" s="15" t="s">
        <v>569</v>
      </c>
      <c r="S144" s="15" t="s">
        <v>691</v>
      </c>
      <c r="T144" s="15"/>
      <c r="U144" s="15"/>
      <c r="V144" s="15"/>
      <c r="W144" s="15"/>
      <c r="X144" s="15"/>
      <c r="Y144" s="15"/>
    </row>
    <row r="145" s="11" customFormat="1" hidden="1" customHeight="1" spans="1:25">
      <c r="A145" s="13"/>
      <c r="B145" s="14"/>
      <c r="C145" s="15"/>
      <c r="D145" s="11" t="str">
        <f t="shared" si="40"/>
        <v>领健</v>
      </c>
      <c r="E145" s="15"/>
      <c r="F145" s="16"/>
      <c r="G145" s="15"/>
      <c r="H145" s="15"/>
      <c r="I145" s="15"/>
      <c r="J145" s="15"/>
      <c r="K145" s="11" t="str">
        <f t="shared" si="41"/>
        <v>运营中</v>
      </c>
      <c r="L145" s="15"/>
      <c r="M145" s="15"/>
      <c r="N145" s="15"/>
      <c r="O145" s="15"/>
      <c r="P145" s="17">
        <v>43584</v>
      </c>
      <c r="Q145" s="15" t="s">
        <v>216</v>
      </c>
      <c r="R145" s="15" t="s">
        <v>434</v>
      </c>
      <c r="S145" s="15" t="s">
        <v>692</v>
      </c>
      <c r="T145" s="15"/>
      <c r="U145" s="15"/>
      <c r="V145" s="15"/>
      <c r="W145" s="15"/>
      <c r="X145" s="15"/>
      <c r="Y145" s="15"/>
    </row>
    <row r="146" s="11" customFormat="1" hidden="1" customHeight="1" spans="1:25">
      <c r="A146" s="13"/>
      <c r="B146" s="14"/>
      <c r="C146" s="15"/>
      <c r="D146" s="11" t="str">
        <f t="shared" si="40"/>
        <v>领健</v>
      </c>
      <c r="E146" s="15"/>
      <c r="F146" s="16"/>
      <c r="G146" s="15"/>
      <c r="H146" s="15"/>
      <c r="I146" s="15"/>
      <c r="J146" s="15"/>
      <c r="K146" s="11" t="str">
        <f t="shared" si="41"/>
        <v>运营中</v>
      </c>
      <c r="L146" s="15"/>
      <c r="M146" s="15"/>
      <c r="N146" s="15"/>
      <c r="O146" s="15"/>
      <c r="P146" s="17">
        <v>43371</v>
      </c>
      <c r="Q146" s="15" t="s">
        <v>428</v>
      </c>
      <c r="R146" s="15" t="s">
        <v>217</v>
      </c>
      <c r="S146" s="15" t="s">
        <v>177</v>
      </c>
      <c r="T146" s="15"/>
      <c r="U146" s="15"/>
      <c r="V146" s="15"/>
      <c r="W146" s="15"/>
      <c r="X146" s="15"/>
      <c r="Y146" s="15"/>
    </row>
    <row r="147" s="11" customFormat="1" hidden="1" customHeight="1" spans="1:25">
      <c r="A147" s="13"/>
      <c r="B147" s="14"/>
      <c r="C147" s="15"/>
      <c r="D147" s="11" t="str">
        <f t="shared" si="40"/>
        <v>领健</v>
      </c>
      <c r="E147" s="15"/>
      <c r="F147" s="16"/>
      <c r="G147" s="15"/>
      <c r="H147" s="15"/>
      <c r="I147" s="15"/>
      <c r="J147" s="15"/>
      <c r="K147" s="11" t="str">
        <f t="shared" si="41"/>
        <v>运营中</v>
      </c>
      <c r="L147" s="15"/>
      <c r="M147" s="15"/>
      <c r="N147" s="15"/>
      <c r="O147" s="15"/>
      <c r="P147" s="17">
        <v>43077</v>
      </c>
      <c r="Q147" s="15" t="s">
        <v>219</v>
      </c>
      <c r="R147" s="15" t="s">
        <v>434</v>
      </c>
      <c r="S147" s="15" t="s">
        <v>693</v>
      </c>
      <c r="T147" s="15"/>
      <c r="U147" s="15"/>
      <c r="V147" s="15"/>
      <c r="W147" s="15"/>
      <c r="X147" s="15"/>
      <c r="Y147" s="15"/>
    </row>
    <row r="148" s="11" customFormat="1" hidden="1" customHeight="1" spans="1:25">
      <c r="A148" s="13"/>
      <c r="B148" s="14"/>
      <c r="C148" s="15"/>
      <c r="D148" s="11" t="str">
        <f t="shared" si="40"/>
        <v>领健</v>
      </c>
      <c r="E148" s="15"/>
      <c r="F148" s="16"/>
      <c r="G148" s="15"/>
      <c r="H148" s="15"/>
      <c r="I148" s="15"/>
      <c r="J148" s="15"/>
      <c r="K148" s="11" t="str">
        <f t="shared" si="41"/>
        <v>运营中</v>
      </c>
      <c r="L148" s="15"/>
      <c r="M148" s="15"/>
      <c r="N148" s="15"/>
      <c r="O148" s="15"/>
      <c r="P148" s="17">
        <v>42639</v>
      </c>
      <c r="Q148" s="15" t="s">
        <v>334</v>
      </c>
      <c r="R148" s="15" t="s">
        <v>217</v>
      </c>
      <c r="S148" s="15" t="s">
        <v>694</v>
      </c>
      <c r="T148" s="15"/>
      <c r="U148" s="15"/>
      <c r="V148" s="15"/>
      <c r="W148" s="15"/>
      <c r="X148" s="15"/>
      <c r="Y148" s="15"/>
    </row>
    <row r="149" s="11" customFormat="1" hidden="1" customHeight="1" spans="1:25">
      <c r="A149" s="13"/>
      <c r="B149" s="14"/>
      <c r="C149" s="15"/>
      <c r="D149" s="11" t="str">
        <f t="shared" si="40"/>
        <v>领健</v>
      </c>
      <c r="E149" s="15"/>
      <c r="F149" s="16"/>
      <c r="G149" s="15"/>
      <c r="H149" s="15"/>
      <c r="I149" s="15"/>
      <c r="J149" s="15"/>
      <c r="K149" s="11" t="str">
        <f t="shared" si="41"/>
        <v>运营中</v>
      </c>
      <c r="L149" s="15"/>
      <c r="M149" s="15"/>
      <c r="N149" s="15"/>
      <c r="O149" s="15"/>
      <c r="P149" s="17">
        <v>42399</v>
      </c>
      <c r="Q149" s="15" t="s">
        <v>222</v>
      </c>
      <c r="R149" s="15" t="s">
        <v>217</v>
      </c>
      <c r="S149" s="15" t="s">
        <v>695</v>
      </c>
      <c r="T149" s="15"/>
      <c r="U149" s="15"/>
      <c r="V149" s="15"/>
      <c r="W149" s="15"/>
      <c r="X149" s="15"/>
      <c r="Y149" s="15"/>
    </row>
    <row r="150" s="11" customFormat="1" hidden="1" customHeight="1" spans="1:25">
      <c r="A150" s="13"/>
      <c r="B150" s="14"/>
      <c r="C150" s="15"/>
      <c r="D150" s="11" t="str">
        <f t="shared" si="40"/>
        <v>领健</v>
      </c>
      <c r="E150" s="15"/>
      <c r="F150" s="16"/>
      <c r="G150" s="15"/>
      <c r="H150" s="15"/>
      <c r="I150" s="15"/>
      <c r="J150" s="15"/>
      <c r="K150" s="11" t="str">
        <f t="shared" si="41"/>
        <v>运营中</v>
      </c>
      <c r="L150" s="15"/>
      <c r="M150" s="15"/>
      <c r="N150" s="15"/>
      <c r="O150" s="15"/>
      <c r="P150" s="17">
        <v>42298</v>
      </c>
      <c r="Q150" s="15" t="s">
        <v>196</v>
      </c>
      <c r="R150" s="15" t="s">
        <v>197</v>
      </c>
      <c r="S150" s="15" t="s">
        <v>224</v>
      </c>
      <c r="T150" s="15"/>
      <c r="U150" s="15"/>
      <c r="V150" s="15"/>
      <c r="W150" s="15"/>
      <c r="X150" s="15"/>
      <c r="Y150" s="15"/>
    </row>
    <row r="151" s="11" customFormat="1" hidden="1" customHeight="1" spans="1:25">
      <c r="A151" s="13"/>
      <c r="B151" s="14"/>
      <c r="C151" s="15" t="s">
        <v>696</v>
      </c>
      <c r="D151" s="15" t="s">
        <v>697</v>
      </c>
      <c r="E151" s="15" t="s">
        <v>697</v>
      </c>
      <c r="F151" s="16" t="s">
        <v>698</v>
      </c>
      <c r="G151" s="15" t="s">
        <v>699</v>
      </c>
      <c r="H151" s="15"/>
      <c r="I151" s="15" t="s">
        <v>700</v>
      </c>
      <c r="J151" s="15" t="s">
        <v>701</v>
      </c>
      <c r="K151" s="15" t="s">
        <v>185</v>
      </c>
      <c r="L151" s="15" t="s">
        <v>185</v>
      </c>
      <c r="M151" s="15" t="s">
        <v>702</v>
      </c>
      <c r="N151" s="15" t="s">
        <v>703</v>
      </c>
      <c r="O151" s="15"/>
      <c r="P151" s="17">
        <v>42083</v>
      </c>
      <c r="Q151" s="15" t="s">
        <v>222</v>
      </c>
      <c r="R151" s="15" t="s">
        <v>217</v>
      </c>
      <c r="S151" s="15" t="s">
        <v>177</v>
      </c>
      <c r="T151" s="15" t="s">
        <v>378</v>
      </c>
      <c r="U151" s="15" t="s">
        <v>379</v>
      </c>
      <c r="V151" s="15" t="s">
        <v>704</v>
      </c>
      <c r="W151" s="15"/>
      <c r="X151" s="15"/>
      <c r="Y151" s="15"/>
    </row>
    <row r="152" s="11" customFormat="1" hidden="1" customHeight="1" spans="1:25">
      <c r="A152" s="13"/>
      <c r="B152" s="14"/>
      <c r="C152" s="15" t="s">
        <v>705</v>
      </c>
      <c r="D152" s="11" t="s">
        <v>706</v>
      </c>
      <c r="E152" s="15" t="s">
        <v>706</v>
      </c>
      <c r="F152" s="16" t="s">
        <v>707</v>
      </c>
      <c r="G152" s="15" t="s">
        <v>708</v>
      </c>
      <c r="H152" s="15" t="s">
        <v>709</v>
      </c>
      <c r="I152" s="15" t="s">
        <v>710</v>
      </c>
      <c r="J152" s="15" t="s">
        <v>184</v>
      </c>
      <c r="K152" s="11" t="s">
        <v>185</v>
      </c>
      <c r="L152" s="15" t="s">
        <v>185</v>
      </c>
      <c r="M152" s="15" t="s">
        <v>186</v>
      </c>
      <c r="N152" s="15" t="s">
        <v>187</v>
      </c>
      <c r="O152" s="15">
        <v>1</v>
      </c>
      <c r="P152" s="17">
        <v>43236</v>
      </c>
      <c r="Q152" s="15" t="s">
        <v>188</v>
      </c>
      <c r="R152" s="15" t="s">
        <v>189</v>
      </c>
      <c r="S152" s="15" t="s">
        <v>177</v>
      </c>
      <c r="T152" s="15" t="s">
        <v>711</v>
      </c>
      <c r="U152" s="15" t="s">
        <v>191</v>
      </c>
      <c r="V152" s="15" t="s">
        <v>712</v>
      </c>
      <c r="W152" s="15" t="s">
        <v>713</v>
      </c>
      <c r="X152" s="15" t="s">
        <v>714</v>
      </c>
      <c r="Y152" s="15" t="s">
        <v>715</v>
      </c>
    </row>
    <row r="153" s="11" customFormat="1" hidden="1" customHeight="1" spans="1:25">
      <c r="A153" s="13"/>
      <c r="B153" s="14"/>
      <c r="C153" s="15"/>
      <c r="D153" s="11" t="str">
        <f t="shared" ref="D153:D155" si="42">D152</f>
        <v>屏芯科技</v>
      </c>
      <c r="E153" s="15"/>
      <c r="F153" s="16"/>
      <c r="G153" s="15"/>
      <c r="H153" s="15"/>
      <c r="I153" s="15"/>
      <c r="J153" s="15"/>
      <c r="K153" s="11" t="str">
        <f t="shared" ref="K153:K155" si="43">K152</f>
        <v>运营中</v>
      </c>
      <c r="L153" s="15"/>
      <c r="M153" s="15"/>
      <c r="N153" s="15"/>
      <c r="O153" s="15">
        <v>1</v>
      </c>
      <c r="P153" s="17">
        <v>42480</v>
      </c>
      <c r="Q153" s="15" t="s">
        <v>188</v>
      </c>
      <c r="R153" s="15" t="s">
        <v>189</v>
      </c>
      <c r="S153" s="15" t="s">
        <v>177</v>
      </c>
      <c r="T153" s="15"/>
      <c r="U153" s="15"/>
      <c r="V153" s="15"/>
      <c r="W153" s="15"/>
      <c r="X153" s="15"/>
      <c r="Y153" s="15"/>
    </row>
    <row r="154" s="11" customFormat="1" hidden="1" customHeight="1" spans="1:25">
      <c r="A154" s="13"/>
      <c r="B154" s="14"/>
      <c r="C154" s="15"/>
      <c r="D154" s="11" t="str">
        <f t="shared" si="42"/>
        <v>屏芯科技</v>
      </c>
      <c r="E154" s="15"/>
      <c r="F154" s="16"/>
      <c r="G154" s="15"/>
      <c r="H154" s="15"/>
      <c r="I154" s="15"/>
      <c r="J154" s="15"/>
      <c r="K154" s="11" t="str">
        <f t="shared" si="43"/>
        <v>运营中</v>
      </c>
      <c r="L154" s="15"/>
      <c r="M154" s="15"/>
      <c r="N154" s="15"/>
      <c r="O154" s="15">
        <v>1</v>
      </c>
      <c r="P154" s="17">
        <v>42214</v>
      </c>
      <c r="Q154" s="15" t="s">
        <v>207</v>
      </c>
      <c r="R154" s="15" t="s">
        <v>217</v>
      </c>
      <c r="S154" s="15" t="s">
        <v>716</v>
      </c>
      <c r="T154" s="15"/>
      <c r="U154" s="15"/>
      <c r="V154" s="15"/>
      <c r="W154" s="15"/>
      <c r="X154" s="15"/>
      <c r="Y154" s="15"/>
    </row>
    <row r="155" s="11" customFormat="1" hidden="1" customHeight="1" spans="1:25">
      <c r="A155" s="13"/>
      <c r="B155" s="14"/>
      <c r="C155" s="15"/>
      <c r="D155" s="11" t="str">
        <f t="shared" si="42"/>
        <v>屏芯科技</v>
      </c>
      <c r="E155" s="15"/>
      <c r="F155" s="16"/>
      <c r="G155" s="15"/>
      <c r="H155" s="15"/>
      <c r="I155" s="15"/>
      <c r="J155" s="15"/>
      <c r="K155" s="11" t="str">
        <f t="shared" si="43"/>
        <v>运营中</v>
      </c>
      <c r="L155" s="15"/>
      <c r="M155" s="15"/>
      <c r="N155" s="15"/>
      <c r="O155" s="15">
        <v>1</v>
      </c>
      <c r="P155" s="17">
        <v>41754</v>
      </c>
      <c r="Q155" s="15" t="s">
        <v>222</v>
      </c>
      <c r="R155" s="15" t="s">
        <v>217</v>
      </c>
      <c r="S155" s="15" t="s">
        <v>717</v>
      </c>
      <c r="T155" s="15"/>
      <c r="U155" s="15"/>
      <c r="V155" s="15"/>
      <c r="W155" s="15"/>
      <c r="X155" s="15"/>
      <c r="Y155" s="15"/>
    </row>
    <row r="156" s="11" customFormat="1" hidden="1" customHeight="1" spans="1:25">
      <c r="A156" s="13"/>
      <c r="B156" s="14"/>
      <c r="C156" s="15" t="s">
        <v>718</v>
      </c>
      <c r="D156" s="11" t="s">
        <v>719</v>
      </c>
      <c r="E156" s="15" t="s">
        <v>719</v>
      </c>
      <c r="F156" s="16" t="s">
        <v>720</v>
      </c>
      <c r="G156" s="15" t="s">
        <v>721</v>
      </c>
      <c r="H156" s="15" t="s">
        <v>722</v>
      </c>
      <c r="I156" s="15" t="s">
        <v>723</v>
      </c>
      <c r="J156" s="15" t="s">
        <v>342</v>
      </c>
      <c r="K156" s="11" t="s">
        <v>185</v>
      </c>
      <c r="L156" s="15" t="s">
        <v>185</v>
      </c>
      <c r="M156" s="15" t="s">
        <v>297</v>
      </c>
      <c r="N156" s="15" t="s">
        <v>724</v>
      </c>
      <c r="O156" s="15">
        <v>1</v>
      </c>
      <c r="P156" s="17">
        <v>44324</v>
      </c>
      <c r="Q156" s="15" t="s">
        <v>260</v>
      </c>
      <c r="R156" s="15" t="s">
        <v>725</v>
      </c>
      <c r="S156" s="15" t="s">
        <v>262</v>
      </c>
      <c r="T156" s="15" t="s">
        <v>726</v>
      </c>
      <c r="U156" s="15" t="s">
        <v>727</v>
      </c>
      <c r="V156" s="15" t="s">
        <v>728</v>
      </c>
      <c r="W156" s="15" t="s">
        <v>729</v>
      </c>
      <c r="X156" s="15" t="s">
        <v>730</v>
      </c>
      <c r="Y156" s="15" t="s">
        <v>731</v>
      </c>
    </row>
    <row r="157" s="11" customFormat="1" hidden="1" customHeight="1" spans="1:25">
      <c r="A157" s="13"/>
      <c r="B157" s="14"/>
      <c r="C157" s="15"/>
      <c r="D157" s="11" t="str">
        <f t="shared" ref="D157:D163" si="44">D156</f>
        <v>水滴公司</v>
      </c>
      <c r="E157" s="15"/>
      <c r="F157" s="16"/>
      <c r="G157" s="15"/>
      <c r="H157" s="15"/>
      <c r="I157" s="15"/>
      <c r="J157" s="15"/>
      <c r="K157" s="11" t="str">
        <f t="shared" ref="K157:K163" si="45">K156</f>
        <v>运营中</v>
      </c>
      <c r="L157" s="15"/>
      <c r="M157" s="15"/>
      <c r="N157" s="15"/>
      <c r="O157" s="15">
        <v>1</v>
      </c>
      <c r="P157" s="17">
        <v>44317</v>
      </c>
      <c r="Q157" s="15" t="s">
        <v>618</v>
      </c>
      <c r="R157" s="15" t="s">
        <v>596</v>
      </c>
      <c r="S157" s="15" t="s">
        <v>732</v>
      </c>
      <c r="T157" s="15"/>
      <c r="U157" s="15"/>
      <c r="V157" s="15"/>
      <c r="W157" s="15"/>
      <c r="X157" s="15"/>
      <c r="Y157" s="15"/>
    </row>
    <row r="158" s="11" customFormat="1" hidden="1" customHeight="1" spans="1:25">
      <c r="A158" s="13"/>
      <c r="B158" s="14"/>
      <c r="C158" s="15"/>
      <c r="D158" s="11" t="str">
        <f t="shared" si="44"/>
        <v>水滴公司</v>
      </c>
      <c r="E158" s="15"/>
      <c r="F158" s="16"/>
      <c r="G158" s="15"/>
      <c r="H158" s="15"/>
      <c r="I158" s="15"/>
      <c r="J158" s="15"/>
      <c r="K158" s="11" t="str">
        <f t="shared" si="45"/>
        <v>运营中</v>
      </c>
      <c r="L158" s="15"/>
      <c r="M158" s="15"/>
      <c r="N158" s="15"/>
      <c r="O158" s="15">
        <v>1</v>
      </c>
      <c r="P158" s="17">
        <v>44159</v>
      </c>
      <c r="Q158" s="15" t="s">
        <v>207</v>
      </c>
      <c r="R158" s="15" t="s">
        <v>656</v>
      </c>
      <c r="S158" s="15" t="s">
        <v>264</v>
      </c>
      <c r="T158" s="15"/>
      <c r="U158" s="15"/>
      <c r="V158" s="15"/>
      <c r="W158" s="15"/>
      <c r="X158" s="15"/>
      <c r="Y158" s="15"/>
    </row>
    <row r="159" s="11" customFormat="1" hidden="1" customHeight="1" spans="1:25">
      <c r="A159" s="13"/>
      <c r="B159" s="14"/>
      <c r="C159" s="15"/>
      <c r="D159" s="11" t="str">
        <f t="shared" si="44"/>
        <v>水滴公司</v>
      </c>
      <c r="E159" s="15"/>
      <c r="F159" s="16"/>
      <c r="G159" s="15"/>
      <c r="H159" s="15"/>
      <c r="I159" s="15"/>
      <c r="J159" s="15"/>
      <c r="K159" s="11" t="str">
        <f t="shared" si="45"/>
        <v>运营中</v>
      </c>
      <c r="L159" s="15"/>
      <c r="M159" s="15"/>
      <c r="N159" s="15"/>
      <c r="O159" s="15">
        <v>1</v>
      </c>
      <c r="P159" s="17">
        <v>44063</v>
      </c>
      <c r="Q159" s="15" t="s">
        <v>363</v>
      </c>
      <c r="R159" s="15" t="s">
        <v>733</v>
      </c>
      <c r="S159" s="15" t="s">
        <v>734</v>
      </c>
      <c r="T159" s="15"/>
      <c r="U159" s="15"/>
      <c r="V159" s="15"/>
      <c r="W159" s="15"/>
      <c r="X159" s="15"/>
      <c r="Y159" s="15"/>
    </row>
    <row r="160" s="11" customFormat="1" hidden="1" customHeight="1" spans="1:25">
      <c r="A160" s="13"/>
      <c r="B160" s="14"/>
      <c r="C160" s="15"/>
      <c r="D160" s="11" t="str">
        <f t="shared" si="44"/>
        <v>水滴公司</v>
      </c>
      <c r="E160" s="15"/>
      <c r="F160" s="16"/>
      <c r="G160" s="15"/>
      <c r="H160" s="15"/>
      <c r="I160" s="15"/>
      <c r="J160" s="15"/>
      <c r="K160" s="11" t="str">
        <f t="shared" si="45"/>
        <v>运营中</v>
      </c>
      <c r="L160" s="15"/>
      <c r="M160" s="15"/>
      <c r="N160" s="15"/>
      <c r="O160" s="15">
        <v>1</v>
      </c>
      <c r="P160" s="17">
        <v>43628</v>
      </c>
      <c r="Q160" s="15" t="s">
        <v>216</v>
      </c>
      <c r="R160" s="15" t="s">
        <v>263</v>
      </c>
      <c r="S160" s="15" t="s">
        <v>735</v>
      </c>
      <c r="T160" s="15"/>
      <c r="U160" s="15"/>
      <c r="V160" s="15"/>
      <c r="W160" s="15"/>
      <c r="X160" s="15"/>
      <c r="Y160" s="15"/>
    </row>
    <row r="161" s="11" customFormat="1" hidden="1" customHeight="1" spans="1:25">
      <c r="A161" s="13"/>
      <c r="B161" s="14"/>
      <c r="C161" s="15"/>
      <c r="D161" s="11" t="str">
        <f t="shared" si="44"/>
        <v>水滴公司</v>
      </c>
      <c r="E161" s="15"/>
      <c r="F161" s="16"/>
      <c r="G161" s="15"/>
      <c r="H161" s="15"/>
      <c r="I161" s="15"/>
      <c r="J161" s="15"/>
      <c r="K161" s="11" t="str">
        <f t="shared" si="45"/>
        <v>运营中</v>
      </c>
      <c r="L161" s="15"/>
      <c r="M161" s="15"/>
      <c r="N161" s="15"/>
      <c r="O161" s="15">
        <v>1</v>
      </c>
      <c r="P161" s="17">
        <v>43551</v>
      </c>
      <c r="Q161" s="15" t="s">
        <v>219</v>
      </c>
      <c r="R161" s="15" t="s">
        <v>736</v>
      </c>
      <c r="S161" s="15" t="s">
        <v>737</v>
      </c>
      <c r="T161" s="15"/>
      <c r="U161" s="15"/>
      <c r="V161" s="15"/>
      <c r="W161" s="15"/>
      <c r="X161" s="15"/>
      <c r="Y161" s="15"/>
    </row>
    <row r="162" s="11" customFormat="1" hidden="1" customHeight="1" spans="1:25">
      <c r="A162" s="13"/>
      <c r="B162" s="14"/>
      <c r="C162" s="15"/>
      <c r="D162" s="11" t="str">
        <f t="shared" si="44"/>
        <v>水滴公司</v>
      </c>
      <c r="E162" s="15"/>
      <c r="F162" s="16"/>
      <c r="G162" s="15"/>
      <c r="H162" s="15"/>
      <c r="I162" s="15"/>
      <c r="J162" s="15"/>
      <c r="K162" s="11" t="str">
        <f t="shared" si="45"/>
        <v>运营中</v>
      </c>
      <c r="L162" s="15"/>
      <c r="M162" s="15"/>
      <c r="N162" s="15"/>
      <c r="O162" s="15">
        <v>1</v>
      </c>
      <c r="P162" s="17">
        <v>42977</v>
      </c>
      <c r="Q162" s="15" t="s">
        <v>222</v>
      </c>
      <c r="R162" s="15" t="s">
        <v>738</v>
      </c>
      <c r="S162" s="15" t="s">
        <v>739</v>
      </c>
      <c r="T162" s="15"/>
      <c r="U162" s="15"/>
      <c r="V162" s="15"/>
      <c r="W162" s="15"/>
      <c r="X162" s="15"/>
      <c r="Y162" s="15"/>
    </row>
    <row r="163" s="11" customFormat="1" hidden="1" customHeight="1" spans="1:25">
      <c r="A163" s="13"/>
      <c r="B163" s="14"/>
      <c r="C163" s="15"/>
      <c r="D163" s="11" t="str">
        <f t="shared" si="44"/>
        <v>水滴公司</v>
      </c>
      <c r="E163" s="15"/>
      <c r="F163" s="16"/>
      <c r="G163" s="15"/>
      <c r="H163" s="15"/>
      <c r="I163" s="15"/>
      <c r="J163" s="15"/>
      <c r="K163" s="11" t="str">
        <f t="shared" si="45"/>
        <v>运营中</v>
      </c>
      <c r="L163" s="15"/>
      <c r="M163" s="15"/>
      <c r="N163" s="15"/>
      <c r="O163" s="15">
        <v>1</v>
      </c>
      <c r="P163" s="17">
        <v>42584</v>
      </c>
      <c r="Q163" s="15" t="s">
        <v>196</v>
      </c>
      <c r="R163" s="15" t="s">
        <v>388</v>
      </c>
      <c r="S163" s="15" t="s">
        <v>740</v>
      </c>
      <c r="T163" s="15"/>
      <c r="U163" s="15"/>
      <c r="V163" s="15"/>
      <c r="W163" s="15"/>
      <c r="X163" s="15"/>
      <c r="Y163" s="15"/>
    </row>
    <row r="164" s="11" customFormat="1" hidden="1" customHeight="1" spans="1:25">
      <c r="A164" s="13"/>
      <c r="B164" s="14"/>
      <c r="C164" s="15" t="s">
        <v>741</v>
      </c>
      <c r="D164" s="11" t="s">
        <v>742</v>
      </c>
      <c r="E164" s="15" t="s">
        <v>742</v>
      </c>
      <c r="F164" s="16" t="s">
        <v>743</v>
      </c>
      <c r="G164" s="15" t="s">
        <v>744</v>
      </c>
      <c r="H164" s="15" t="s">
        <v>745</v>
      </c>
      <c r="I164" s="15" t="s">
        <v>746</v>
      </c>
      <c r="J164" s="15" t="s">
        <v>342</v>
      </c>
      <c r="K164" s="11" t="s">
        <v>328</v>
      </c>
      <c r="L164" s="15" t="s">
        <v>328</v>
      </c>
      <c r="M164" s="15" t="s">
        <v>311</v>
      </c>
      <c r="N164" s="15" t="s">
        <v>329</v>
      </c>
      <c r="O164" s="15"/>
      <c r="P164" s="17">
        <v>42524</v>
      </c>
      <c r="Q164" s="15" t="s">
        <v>222</v>
      </c>
      <c r="R164" s="15" t="s">
        <v>217</v>
      </c>
      <c r="S164" s="15" t="s">
        <v>177</v>
      </c>
      <c r="T164" s="15" t="s">
        <v>747</v>
      </c>
      <c r="U164" s="15" t="s">
        <v>379</v>
      </c>
      <c r="V164" s="15" t="s">
        <v>748</v>
      </c>
      <c r="W164" s="15"/>
      <c r="X164" s="15" t="s">
        <v>749</v>
      </c>
      <c r="Y164" s="15" t="s">
        <v>750</v>
      </c>
    </row>
    <row r="165" s="11" customFormat="1" hidden="1" customHeight="1" spans="1:25">
      <c r="A165" s="13"/>
      <c r="B165" s="14"/>
      <c r="C165" s="15"/>
      <c r="D165" s="11" t="str">
        <f>D164</f>
        <v>必去科技</v>
      </c>
      <c r="E165" s="15"/>
      <c r="F165" s="16"/>
      <c r="G165" s="15"/>
      <c r="H165" s="15"/>
      <c r="I165" s="15"/>
      <c r="J165" s="15"/>
      <c r="K165" s="11" t="str">
        <f>K164</f>
        <v>已关闭</v>
      </c>
      <c r="L165" s="15"/>
      <c r="M165" s="15"/>
      <c r="N165" s="15"/>
      <c r="O165" s="15"/>
      <c r="P165" s="17">
        <v>41946</v>
      </c>
      <c r="Q165" s="15" t="s">
        <v>196</v>
      </c>
      <c r="R165" s="15" t="s">
        <v>197</v>
      </c>
      <c r="S165" s="15" t="s">
        <v>262</v>
      </c>
      <c r="T165" s="15"/>
      <c r="U165" s="15"/>
      <c r="V165" s="15"/>
      <c r="W165" s="15"/>
      <c r="X165" s="15"/>
      <c r="Y165" s="15"/>
    </row>
    <row r="166" s="11" customFormat="1" hidden="1" customHeight="1" spans="1:25">
      <c r="A166" s="13"/>
      <c r="B166" s="14"/>
      <c r="C166" s="15" t="s">
        <v>751</v>
      </c>
      <c r="D166" s="11" t="s">
        <v>752</v>
      </c>
      <c r="E166" s="15" t="s">
        <v>752</v>
      </c>
      <c r="F166" s="16" t="s">
        <v>753</v>
      </c>
      <c r="G166" s="15" t="s">
        <v>754</v>
      </c>
      <c r="H166" s="15" t="s">
        <v>755</v>
      </c>
      <c r="I166" s="15" t="s">
        <v>756</v>
      </c>
      <c r="J166" s="15" t="s">
        <v>184</v>
      </c>
      <c r="K166" s="11" t="s">
        <v>185</v>
      </c>
      <c r="L166" s="15" t="s">
        <v>185</v>
      </c>
      <c r="M166" s="15" t="s">
        <v>515</v>
      </c>
      <c r="N166" s="15" t="s">
        <v>651</v>
      </c>
      <c r="O166" s="15">
        <v>1</v>
      </c>
      <c r="P166" s="17">
        <v>43194</v>
      </c>
      <c r="Q166" s="15" t="s">
        <v>188</v>
      </c>
      <c r="R166" s="15" t="s">
        <v>757</v>
      </c>
      <c r="S166" s="15" t="s">
        <v>177</v>
      </c>
      <c r="T166" s="15" t="s">
        <v>758</v>
      </c>
      <c r="U166" s="15" t="s">
        <v>759</v>
      </c>
      <c r="V166" s="15" t="s">
        <v>760</v>
      </c>
      <c r="W166" s="15" t="s">
        <v>761</v>
      </c>
      <c r="X166" s="15" t="s">
        <v>762</v>
      </c>
      <c r="Y166" s="15" t="s">
        <v>763</v>
      </c>
    </row>
    <row r="167" s="11" customFormat="1" hidden="1" customHeight="1" spans="1:25">
      <c r="A167" s="13"/>
      <c r="B167" s="14"/>
      <c r="C167" s="15"/>
      <c r="D167" s="11" t="str">
        <f t="shared" ref="D167:D178" si="46">D166</f>
        <v>摩拜单车</v>
      </c>
      <c r="E167" s="15"/>
      <c r="F167" s="16"/>
      <c r="G167" s="15"/>
      <c r="H167" s="15"/>
      <c r="I167" s="15"/>
      <c r="J167" s="15"/>
      <c r="K167" s="11" t="str">
        <f t="shared" ref="K167:K178" si="47">K166</f>
        <v>运营中</v>
      </c>
      <c r="L167" s="15"/>
      <c r="M167" s="15"/>
      <c r="N167" s="15"/>
      <c r="O167" s="15">
        <v>1</v>
      </c>
      <c r="P167" s="17">
        <v>43125</v>
      </c>
      <c r="Q167" s="15" t="s">
        <v>207</v>
      </c>
      <c r="R167" s="15" t="s">
        <v>593</v>
      </c>
      <c r="S167" s="15" t="s">
        <v>262</v>
      </c>
      <c r="T167" s="15"/>
      <c r="U167" s="15"/>
      <c r="V167" s="15"/>
      <c r="W167" s="15"/>
      <c r="X167" s="15"/>
      <c r="Y167" s="15"/>
    </row>
    <row r="168" s="11" customFormat="1" hidden="1" customHeight="1" spans="1:25">
      <c r="A168" s="13"/>
      <c r="B168" s="14"/>
      <c r="C168" s="15"/>
      <c r="D168" s="11" t="str">
        <f t="shared" si="46"/>
        <v>摩拜单车</v>
      </c>
      <c r="E168" s="15"/>
      <c r="F168" s="16"/>
      <c r="G168" s="15"/>
      <c r="H168" s="15"/>
      <c r="I168" s="15"/>
      <c r="J168" s="15"/>
      <c r="K168" s="11" t="str">
        <f t="shared" si="47"/>
        <v>运营中</v>
      </c>
      <c r="L168" s="15"/>
      <c r="M168" s="15"/>
      <c r="N168" s="15"/>
      <c r="O168" s="15">
        <v>1</v>
      </c>
      <c r="P168" s="17">
        <v>43054</v>
      </c>
      <c r="Q168" s="15" t="s">
        <v>207</v>
      </c>
      <c r="R168" s="15" t="s">
        <v>313</v>
      </c>
      <c r="S168" s="15" t="s">
        <v>764</v>
      </c>
      <c r="T168" s="15"/>
      <c r="U168" s="15"/>
      <c r="V168" s="15"/>
      <c r="W168" s="15"/>
      <c r="X168" s="15"/>
      <c r="Y168" s="15"/>
    </row>
    <row r="169" s="11" customFormat="1" hidden="1" customHeight="1" spans="1:25">
      <c r="A169" s="13"/>
      <c r="B169" s="14"/>
      <c r="C169" s="15"/>
      <c r="D169" s="11" t="str">
        <f t="shared" si="46"/>
        <v>摩拜单车</v>
      </c>
      <c r="E169" s="15"/>
      <c r="F169" s="16"/>
      <c r="G169" s="15"/>
      <c r="H169" s="15"/>
      <c r="I169" s="15"/>
      <c r="J169" s="15"/>
      <c r="K169" s="11" t="str">
        <f t="shared" si="47"/>
        <v>运营中</v>
      </c>
      <c r="L169" s="15"/>
      <c r="M169" s="15"/>
      <c r="N169" s="15"/>
      <c r="O169" s="15">
        <v>1</v>
      </c>
      <c r="P169" s="17">
        <v>42902</v>
      </c>
      <c r="Q169" s="15" t="s">
        <v>484</v>
      </c>
      <c r="R169" s="15" t="s">
        <v>475</v>
      </c>
      <c r="S169" s="15" t="s">
        <v>765</v>
      </c>
      <c r="T169" s="15"/>
      <c r="U169" s="15"/>
      <c r="V169" s="15"/>
      <c r="W169" s="15"/>
      <c r="X169" s="15"/>
      <c r="Y169" s="15"/>
    </row>
    <row r="170" s="11" customFormat="1" hidden="1" customHeight="1" spans="1:25">
      <c r="A170" s="13"/>
      <c r="B170" s="14"/>
      <c r="C170" s="15"/>
      <c r="D170" s="11" t="str">
        <f t="shared" si="46"/>
        <v>摩拜单车</v>
      </c>
      <c r="E170" s="15"/>
      <c r="F170" s="16"/>
      <c r="G170" s="15"/>
      <c r="H170" s="15"/>
      <c r="I170" s="15"/>
      <c r="J170" s="15"/>
      <c r="K170" s="11" t="str">
        <f t="shared" si="47"/>
        <v>运营中</v>
      </c>
      <c r="L170" s="15"/>
      <c r="M170" s="15"/>
      <c r="N170" s="15"/>
      <c r="O170" s="15">
        <v>1</v>
      </c>
      <c r="P170" s="17">
        <v>42786</v>
      </c>
      <c r="Q170" s="15" t="s">
        <v>524</v>
      </c>
      <c r="R170" s="15" t="s">
        <v>668</v>
      </c>
      <c r="S170" s="15" t="s">
        <v>766</v>
      </c>
      <c r="T170" s="15"/>
      <c r="U170" s="15"/>
      <c r="V170" s="15"/>
      <c r="W170" s="15"/>
      <c r="X170" s="15"/>
      <c r="Y170" s="15"/>
    </row>
    <row r="171" s="11" customFormat="1" hidden="1" customHeight="1" spans="1:25">
      <c r="A171" s="13"/>
      <c r="B171" s="14"/>
      <c r="C171" s="15"/>
      <c r="D171" s="11" t="str">
        <f t="shared" si="46"/>
        <v>摩拜单车</v>
      </c>
      <c r="E171" s="15"/>
      <c r="F171" s="16"/>
      <c r="G171" s="15"/>
      <c r="H171" s="15"/>
      <c r="I171" s="15"/>
      <c r="J171" s="15"/>
      <c r="K171" s="11" t="str">
        <f t="shared" si="47"/>
        <v>运营中</v>
      </c>
      <c r="L171" s="15"/>
      <c r="M171" s="15"/>
      <c r="N171" s="15"/>
      <c r="O171" s="15">
        <v>1</v>
      </c>
      <c r="P171" s="17">
        <v>42758</v>
      </c>
      <c r="Q171" s="15" t="s">
        <v>207</v>
      </c>
      <c r="R171" s="15" t="s">
        <v>668</v>
      </c>
      <c r="S171" s="15" t="s">
        <v>767</v>
      </c>
      <c r="T171" s="15"/>
      <c r="U171" s="15"/>
      <c r="V171" s="15"/>
      <c r="W171" s="15"/>
      <c r="X171" s="15"/>
      <c r="Y171" s="15"/>
    </row>
    <row r="172" s="11" customFormat="1" hidden="1" customHeight="1" spans="1:25">
      <c r="A172" s="13"/>
      <c r="B172" s="14"/>
      <c r="C172" s="15"/>
      <c r="D172" s="11" t="str">
        <f t="shared" si="46"/>
        <v>摩拜单车</v>
      </c>
      <c r="E172" s="15"/>
      <c r="F172" s="16"/>
      <c r="G172" s="15"/>
      <c r="H172" s="15"/>
      <c r="I172" s="15"/>
      <c r="J172" s="15"/>
      <c r="K172" s="11" t="str">
        <f t="shared" si="47"/>
        <v>运营中</v>
      </c>
      <c r="L172" s="15"/>
      <c r="M172" s="15"/>
      <c r="N172" s="15"/>
      <c r="O172" s="15">
        <v>1</v>
      </c>
      <c r="P172" s="17">
        <v>42739</v>
      </c>
      <c r="Q172" s="15" t="s">
        <v>363</v>
      </c>
      <c r="R172" s="15" t="s">
        <v>768</v>
      </c>
      <c r="S172" s="15" t="s">
        <v>769</v>
      </c>
      <c r="T172" s="15"/>
      <c r="U172" s="15"/>
      <c r="V172" s="15"/>
      <c r="W172" s="15"/>
      <c r="X172" s="15"/>
      <c r="Y172" s="15"/>
    </row>
    <row r="173" s="11" customFormat="1" hidden="1" customHeight="1" spans="1:25">
      <c r="A173" s="13"/>
      <c r="B173" s="14"/>
      <c r="C173" s="15"/>
      <c r="D173" s="11" t="str">
        <f t="shared" si="46"/>
        <v>摩拜单车</v>
      </c>
      <c r="E173" s="15"/>
      <c r="F173" s="16"/>
      <c r="G173" s="15"/>
      <c r="H173" s="15"/>
      <c r="I173" s="15"/>
      <c r="J173" s="15"/>
      <c r="K173" s="11" t="str">
        <f t="shared" si="47"/>
        <v>运营中</v>
      </c>
      <c r="L173" s="15"/>
      <c r="M173" s="15"/>
      <c r="N173" s="15"/>
      <c r="O173" s="15">
        <v>1</v>
      </c>
      <c r="P173" s="17">
        <v>42656</v>
      </c>
      <c r="Q173" s="15" t="s">
        <v>690</v>
      </c>
      <c r="R173" s="15" t="s">
        <v>770</v>
      </c>
      <c r="S173" s="15" t="s">
        <v>771</v>
      </c>
      <c r="T173" s="15"/>
      <c r="U173" s="15"/>
      <c r="V173" s="15"/>
      <c r="W173" s="15"/>
      <c r="X173" s="15"/>
      <c r="Y173" s="15"/>
    </row>
    <row r="174" s="11" customFormat="1" hidden="1" customHeight="1" spans="1:25">
      <c r="A174" s="13"/>
      <c r="B174" s="14"/>
      <c r="C174" s="15"/>
      <c r="D174" s="11" t="str">
        <f t="shared" si="46"/>
        <v>摩拜单车</v>
      </c>
      <c r="E174" s="15"/>
      <c r="F174" s="16"/>
      <c r="G174" s="15"/>
      <c r="H174" s="15"/>
      <c r="I174" s="15"/>
      <c r="J174" s="15"/>
      <c r="K174" s="11" t="str">
        <f t="shared" si="47"/>
        <v>运营中</v>
      </c>
      <c r="L174" s="15"/>
      <c r="M174" s="15"/>
      <c r="N174" s="15"/>
      <c r="O174" s="15">
        <v>1</v>
      </c>
      <c r="P174" s="17">
        <v>42643</v>
      </c>
      <c r="Q174" s="15" t="s">
        <v>216</v>
      </c>
      <c r="R174" s="15" t="s">
        <v>565</v>
      </c>
      <c r="S174" s="15" t="s">
        <v>772</v>
      </c>
      <c r="T174" s="15"/>
      <c r="U174" s="15"/>
      <c r="V174" s="15"/>
      <c r="W174" s="15"/>
      <c r="X174" s="15"/>
      <c r="Y174" s="15"/>
    </row>
    <row r="175" s="11" customFormat="1" hidden="1" customHeight="1" spans="1:25">
      <c r="A175" s="13"/>
      <c r="B175" s="14"/>
      <c r="C175" s="15"/>
      <c r="D175" s="11" t="str">
        <f t="shared" si="46"/>
        <v>摩拜单车</v>
      </c>
      <c r="E175" s="15"/>
      <c r="F175" s="16"/>
      <c r="G175" s="15"/>
      <c r="H175" s="15"/>
      <c r="I175" s="15"/>
      <c r="J175" s="15"/>
      <c r="K175" s="11" t="str">
        <f t="shared" si="47"/>
        <v>运营中</v>
      </c>
      <c r="L175" s="15"/>
      <c r="M175" s="15"/>
      <c r="N175" s="15"/>
      <c r="O175" s="15">
        <v>1</v>
      </c>
      <c r="P175" s="17">
        <v>42612</v>
      </c>
      <c r="Q175" s="15" t="s">
        <v>428</v>
      </c>
      <c r="R175" s="15" t="s">
        <v>220</v>
      </c>
      <c r="S175" s="15" t="s">
        <v>773</v>
      </c>
      <c r="T175" s="15"/>
      <c r="U175" s="15"/>
      <c r="V175" s="15"/>
      <c r="W175" s="15"/>
      <c r="X175" s="15"/>
      <c r="Y175" s="15"/>
    </row>
    <row r="176" s="11" customFormat="1" hidden="1" customHeight="1" spans="1:25">
      <c r="A176" s="13"/>
      <c r="B176" s="14"/>
      <c r="C176" s="15"/>
      <c r="D176" s="11" t="str">
        <f t="shared" si="46"/>
        <v>摩拜单车</v>
      </c>
      <c r="E176" s="15"/>
      <c r="F176" s="16"/>
      <c r="G176" s="15"/>
      <c r="H176" s="15"/>
      <c r="I176" s="15"/>
      <c r="J176" s="15"/>
      <c r="K176" s="11" t="str">
        <f t="shared" si="47"/>
        <v>运营中</v>
      </c>
      <c r="L176" s="15"/>
      <c r="M176" s="15"/>
      <c r="N176" s="15"/>
      <c r="O176" s="15">
        <v>1</v>
      </c>
      <c r="P176" s="17">
        <v>42601</v>
      </c>
      <c r="Q176" s="15" t="s">
        <v>219</v>
      </c>
      <c r="R176" s="15" t="s">
        <v>220</v>
      </c>
      <c r="S176" s="15" t="s">
        <v>774</v>
      </c>
      <c r="T176" s="15"/>
      <c r="U176" s="15"/>
      <c r="V176" s="15"/>
      <c r="W176" s="15"/>
      <c r="X176" s="15"/>
      <c r="Y176" s="15"/>
    </row>
    <row r="177" s="11" customFormat="1" hidden="1" customHeight="1" spans="1:25">
      <c r="A177" s="13"/>
      <c r="B177" s="14"/>
      <c r="C177" s="15"/>
      <c r="D177" s="11" t="str">
        <f t="shared" si="46"/>
        <v>摩拜单车</v>
      </c>
      <c r="E177" s="15"/>
      <c r="F177" s="16"/>
      <c r="G177" s="15"/>
      <c r="H177" s="15"/>
      <c r="I177" s="15"/>
      <c r="J177" s="15"/>
      <c r="K177" s="11" t="str">
        <f t="shared" si="47"/>
        <v>运营中</v>
      </c>
      <c r="L177" s="15"/>
      <c r="M177" s="15"/>
      <c r="N177" s="15"/>
      <c r="O177" s="15">
        <v>1</v>
      </c>
      <c r="P177" s="17">
        <v>42307</v>
      </c>
      <c r="Q177" s="15" t="s">
        <v>222</v>
      </c>
      <c r="R177" s="15" t="s">
        <v>775</v>
      </c>
      <c r="S177" s="15" t="s">
        <v>776</v>
      </c>
      <c r="T177" s="15"/>
      <c r="U177" s="15"/>
      <c r="V177" s="15"/>
      <c r="W177" s="15"/>
      <c r="X177" s="15"/>
      <c r="Y177" s="15"/>
    </row>
    <row r="178" s="11" customFormat="1" hidden="1" customHeight="1" spans="1:25">
      <c r="A178" s="13"/>
      <c r="B178" s="14"/>
      <c r="C178" s="15"/>
      <c r="D178" s="11" t="str">
        <f t="shared" si="46"/>
        <v>摩拜单车</v>
      </c>
      <c r="E178" s="15"/>
      <c r="F178" s="16"/>
      <c r="G178" s="15"/>
      <c r="H178" s="15"/>
      <c r="I178" s="15"/>
      <c r="J178" s="15"/>
      <c r="K178" s="11" t="str">
        <f t="shared" si="47"/>
        <v>运营中</v>
      </c>
      <c r="L178" s="15"/>
      <c r="M178" s="15"/>
      <c r="N178" s="15"/>
      <c r="O178" s="15">
        <v>1</v>
      </c>
      <c r="P178" s="17">
        <v>42064</v>
      </c>
      <c r="Q178" s="15" t="s">
        <v>196</v>
      </c>
      <c r="R178" s="15" t="s">
        <v>777</v>
      </c>
      <c r="S178" s="15" t="s">
        <v>778</v>
      </c>
      <c r="T178" s="15"/>
      <c r="U178" s="15"/>
      <c r="V178" s="15"/>
      <c r="W178" s="15"/>
      <c r="X178" s="15"/>
      <c r="Y178" s="15"/>
    </row>
    <row r="179" s="11" customFormat="1" hidden="1" customHeight="1" spans="1:25">
      <c r="A179" s="13"/>
      <c r="B179" s="14"/>
      <c r="C179" s="15" t="s">
        <v>779</v>
      </c>
      <c r="D179" s="11" t="s">
        <v>780</v>
      </c>
      <c r="E179" s="15" t="s">
        <v>780</v>
      </c>
      <c r="F179" s="16" t="s">
        <v>781</v>
      </c>
      <c r="G179" s="15" t="s">
        <v>782</v>
      </c>
      <c r="H179" s="15" t="s">
        <v>783</v>
      </c>
      <c r="I179" s="15" t="s">
        <v>784</v>
      </c>
      <c r="J179" s="15" t="s">
        <v>184</v>
      </c>
      <c r="K179" s="11" t="s">
        <v>185</v>
      </c>
      <c r="L179" s="15" t="s">
        <v>185</v>
      </c>
      <c r="M179" s="15" t="s">
        <v>416</v>
      </c>
      <c r="N179" s="15" t="s">
        <v>417</v>
      </c>
      <c r="O179" s="15"/>
      <c r="P179" s="17">
        <v>44732</v>
      </c>
      <c r="Q179" s="15" t="s">
        <v>690</v>
      </c>
      <c r="R179" s="15" t="s">
        <v>189</v>
      </c>
      <c r="S179" s="15" t="s">
        <v>785</v>
      </c>
      <c r="T179" s="15" t="s">
        <v>786</v>
      </c>
      <c r="U179" s="15" t="s">
        <v>787</v>
      </c>
      <c r="V179" s="15" t="s">
        <v>788</v>
      </c>
      <c r="W179" s="15" t="s">
        <v>789</v>
      </c>
      <c r="X179" s="15"/>
      <c r="Y179" s="15" t="s">
        <v>790</v>
      </c>
    </row>
    <row r="180" s="3" customFormat="1" ht="72.5" customHeight="1" spans="1:25">
      <c r="A180" s="1"/>
      <c r="B180" s="7"/>
      <c r="C180" s="8"/>
      <c r="D180" s="11" t="str">
        <f t="shared" ref="D180:D188" si="48">D179</f>
        <v>梅卡曼德机器人</v>
      </c>
      <c r="E180" s="8"/>
      <c r="F180" s="9"/>
      <c r="G180" s="15"/>
      <c r="H180" s="15"/>
      <c r="I180" s="8"/>
      <c r="J180" s="8"/>
      <c r="K180" s="11" t="str">
        <f t="shared" ref="K180:K188" si="49">K179</f>
        <v>运营中</v>
      </c>
      <c r="L180" s="8"/>
      <c r="M180" s="8"/>
      <c r="N180" s="8"/>
      <c r="O180" s="8"/>
      <c r="P180" s="10">
        <v>44466</v>
      </c>
      <c r="Q180" s="8" t="s">
        <v>791</v>
      </c>
      <c r="R180" s="8" t="s">
        <v>792</v>
      </c>
      <c r="S180" s="8" t="s">
        <v>793</v>
      </c>
      <c r="T180" s="8"/>
      <c r="U180" s="8"/>
      <c r="V180" s="9"/>
      <c r="W180" s="15"/>
      <c r="X180" s="15"/>
      <c r="Y180" s="15"/>
    </row>
    <row r="181" s="3" customFormat="1" ht="72.5" customHeight="1" spans="1:25">
      <c r="A181" s="1"/>
      <c r="B181" s="7"/>
      <c r="C181" s="8"/>
      <c r="D181" s="11" t="str">
        <f t="shared" si="48"/>
        <v>梅卡曼德机器人</v>
      </c>
      <c r="E181" s="8"/>
      <c r="F181" s="9"/>
      <c r="G181" s="15"/>
      <c r="H181" s="15"/>
      <c r="I181" s="8"/>
      <c r="J181" s="8"/>
      <c r="K181" s="11" t="str">
        <f t="shared" si="49"/>
        <v>运营中</v>
      </c>
      <c r="L181" s="8"/>
      <c r="M181" s="8"/>
      <c r="N181" s="8"/>
      <c r="O181" s="8"/>
      <c r="P181" s="10">
        <v>44299</v>
      </c>
      <c r="Q181" s="8" t="s">
        <v>425</v>
      </c>
      <c r="R181" s="8" t="s">
        <v>430</v>
      </c>
      <c r="S181" s="8" t="s">
        <v>794</v>
      </c>
      <c r="T181" s="8"/>
      <c r="U181" s="8"/>
      <c r="V181" s="9"/>
      <c r="W181" s="15"/>
      <c r="X181" s="15"/>
      <c r="Y181" s="15"/>
    </row>
    <row r="182" s="11" customFormat="1" hidden="1" customHeight="1" spans="1:25">
      <c r="A182" s="13"/>
      <c r="B182" s="14"/>
      <c r="C182" s="15"/>
      <c r="D182" s="11" t="str">
        <f t="shared" si="48"/>
        <v>梅卡曼德机器人</v>
      </c>
      <c r="E182" s="15"/>
      <c r="F182" s="16"/>
      <c r="G182" s="15"/>
      <c r="H182" s="15"/>
      <c r="I182" s="15"/>
      <c r="J182" s="15"/>
      <c r="K182" s="11" t="str">
        <f t="shared" si="49"/>
        <v>运营中</v>
      </c>
      <c r="L182" s="15"/>
      <c r="M182" s="15"/>
      <c r="N182" s="15"/>
      <c r="O182" s="15"/>
      <c r="P182" s="17">
        <v>44151</v>
      </c>
      <c r="Q182" s="15" t="s">
        <v>428</v>
      </c>
      <c r="R182" s="15" t="s">
        <v>189</v>
      </c>
      <c r="S182" s="15" t="s">
        <v>795</v>
      </c>
      <c r="T182" s="15"/>
      <c r="U182" s="15"/>
      <c r="V182" s="15"/>
      <c r="W182" s="15"/>
      <c r="X182" s="15"/>
      <c r="Y182" s="15"/>
    </row>
    <row r="183" s="11" customFormat="1" hidden="1" customHeight="1" spans="1:25">
      <c r="A183" s="13"/>
      <c r="B183" s="14"/>
      <c r="C183" s="15"/>
      <c r="D183" s="11" t="str">
        <f t="shared" si="48"/>
        <v>梅卡曼德机器人</v>
      </c>
      <c r="E183" s="15"/>
      <c r="F183" s="16"/>
      <c r="G183" s="15"/>
      <c r="H183" s="15"/>
      <c r="I183" s="15"/>
      <c r="J183" s="15"/>
      <c r="K183" s="11" t="str">
        <f t="shared" si="49"/>
        <v>运营中</v>
      </c>
      <c r="L183" s="15"/>
      <c r="M183" s="15"/>
      <c r="N183" s="15"/>
      <c r="O183" s="15"/>
      <c r="P183" s="17">
        <v>43892</v>
      </c>
      <c r="Q183" s="15" t="s">
        <v>219</v>
      </c>
      <c r="R183" s="15" t="s">
        <v>434</v>
      </c>
      <c r="S183" s="15" t="s">
        <v>644</v>
      </c>
      <c r="T183" s="15"/>
      <c r="U183" s="15"/>
      <c r="V183" s="15"/>
      <c r="W183" s="15"/>
      <c r="X183" s="15"/>
      <c r="Y183" s="15"/>
    </row>
    <row r="184" s="11" customFormat="1" hidden="1" customHeight="1" spans="1:25">
      <c r="A184" s="13"/>
      <c r="B184" s="14"/>
      <c r="C184" s="15"/>
      <c r="D184" s="11" t="str">
        <f t="shared" si="48"/>
        <v>梅卡曼德机器人</v>
      </c>
      <c r="E184" s="15"/>
      <c r="F184" s="16"/>
      <c r="G184" s="15"/>
      <c r="H184" s="15"/>
      <c r="I184" s="15"/>
      <c r="J184" s="15"/>
      <c r="K184" s="11" t="str">
        <f t="shared" si="49"/>
        <v>运营中</v>
      </c>
      <c r="L184" s="15"/>
      <c r="M184" s="15"/>
      <c r="N184" s="15"/>
      <c r="O184" s="15"/>
      <c r="P184" s="17">
        <v>43696</v>
      </c>
      <c r="Q184" s="15" t="s">
        <v>207</v>
      </c>
      <c r="R184" s="15" t="s">
        <v>189</v>
      </c>
      <c r="S184" s="15" t="s">
        <v>796</v>
      </c>
      <c r="T184" s="15"/>
      <c r="U184" s="15"/>
      <c r="V184" s="15"/>
      <c r="W184" s="15"/>
      <c r="X184" s="15"/>
      <c r="Y184" s="15"/>
    </row>
    <row r="185" s="11" customFormat="1" hidden="1" customHeight="1" spans="1:25">
      <c r="A185" s="13"/>
      <c r="B185" s="14"/>
      <c r="C185" s="15"/>
      <c r="D185" s="11" t="str">
        <f t="shared" si="48"/>
        <v>梅卡曼德机器人</v>
      </c>
      <c r="E185" s="15"/>
      <c r="F185" s="16"/>
      <c r="G185" s="15"/>
      <c r="H185" s="15"/>
      <c r="I185" s="15"/>
      <c r="J185" s="15"/>
      <c r="K185" s="11" t="str">
        <f t="shared" si="49"/>
        <v>运营中</v>
      </c>
      <c r="L185" s="15"/>
      <c r="M185" s="15"/>
      <c r="N185" s="15"/>
      <c r="O185" s="15"/>
      <c r="P185" s="17">
        <v>43581</v>
      </c>
      <c r="Q185" s="15" t="s">
        <v>334</v>
      </c>
      <c r="R185" s="15" t="s">
        <v>217</v>
      </c>
      <c r="S185" s="15" t="s">
        <v>797</v>
      </c>
      <c r="T185" s="15"/>
      <c r="U185" s="15"/>
      <c r="V185" s="15"/>
      <c r="W185" s="15"/>
      <c r="X185" s="15"/>
      <c r="Y185" s="15"/>
    </row>
    <row r="186" s="11" customFormat="1" hidden="1" customHeight="1" spans="1:25">
      <c r="A186" s="13"/>
      <c r="B186" s="14"/>
      <c r="C186" s="15"/>
      <c r="D186" s="11" t="str">
        <f t="shared" si="48"/>
        <v>梅卡曼德机器人</v>
      </c>
      <c r="E186" s="15"/>
      <c r="F186" s="16"/>
      <c r="G186" s="15"/>
      <c r="H186" s="15"/>
      <c r="I186" s="15"/>
      <c r="J186" s="15"/>
      <c r="K186" s="11" t="str">
        <f t="shared" si="49"/>
        <v>运营中</v>
      </c>
      <c r="L186" s="15"/>
      <c r="M186" s="15"/>
      <c r="N186" s="15"/>
      <c r="O186" s="15"/>
      <c r="P186" s="17">
        <v>43081</v>
      </c>
      <c r="Q186" s="15" t="s">
        <v>222</v>
      </c>
      <c r="R186" s="15" t="s">
        <v>189</v>
      </c>
      <c r="S186" s="15" t="s">
        <v>798</v>
      </c>
      <c r="T186" s="15"/>
      <c r="U186" s="15"/>
      <c r="V186" s="15"/>
      <c r="W186" s="15"/>
      <c r="X186" s="15"/>
      <c r="Y186" s="15"/>
    </row>
    <row r="187" s="11" customFormat="1" hidden="1" customHeight="1" spans="1:25">
      <c r="A187" s="13"/>
      <c r="B187" s="14"/>
      <c r="C187" s="15"/>
      <c r="D187" s="11" t="str">
        <f t="shared" si="48"/>
        <v>梅卡曼德机器人</v>
      </c>
      <c r="E187" s="15"/>
      <c r="F187" s="16"/>
      <c r="G187" s="15"/>
      <c r="H187" s="15"/>
      <c r="I187" s="15"/>
      <c r="J187" s="15"/>
      <c r="K187" s="11" t="str">
        <f t="shared" si="49"/>
        <v>运营中</v>
      </c>
      <c r="L187" s="15"/>
      <c r="M187" s="15"/>
      <c r="N187" s="15"/>
      <c r="O187" s="15"/>
      <c r="P187" s="17">
        <v>42877</v>
      </c>
      <c r="Q187" s="15" t="s">
        <v>393</v>
      </c>
      <c r="R187" s="15" t="s">
        <v>217</v>
      </c>
      <c r="S187" s="15" t="s">
        <v>799</v>
      </c>
      <c r="T187" s="15"/>
      <c r="U187" s="15"/>
      <c r="V187" s="15"/>
      <c r="W187" s="15"/>
      <c r="X187" s="15"/>
      <c r="Y187" s="15"/>
    </row>
    <row r="188" s="11" customFormat="1" hidden="1" customHeight="1" spans="1:25">
      <c r="A188" s="13"/>
      <c r="B188" s="14"/>
      <c r="C188" s="15"/>
      <c r="D188" s="11" t="str">
        <f t="shared" si="48"/>
        <v>梅卡曼德机器人</v>
      </c>
      <c r="E188" s="15"/>
      <c r="F188" s="16"/>
      <c r="G188" s="15"/>
      <c r="H188" s="15"/>
      <c r="I188" s="15"/>
      <c r="J188" s="15"/>
      <c r="K188" s="11" t="str">
        <f t="shared" si="49"/>
        <v>运营中</v>
      </c>
      <c r="L188" s="15"/>
      <c r="M188" s="15"/>
      <c r="N188" s="15"/>
      <c r="O188" s="15"/>
      <c r="P188" s="17">
        <v>42711</v>
      </c>
      <c r="Q188" s="15" t="s">
        <v>196</v>
      </c>
      <c r="R188" s="15" t="s">
        <v>197</v>
      </c>
      <c r="S188" s="15" t="s">
        <v>800</v>
      </c>
      <c r="T188" s="15"/>
      <c r="U188" s="15"/>
      <c r="V188" s="15"/>
      <c r="W188" s="15"/>
      <c r="X188" s="15"/>
      <c r="Y188" s="15"/>
    </row>
    <row r="189" s="3" customFormat="1" ht="72.5" customHeight="1" spans="1:25">
      <c r="A189" s="1"/>
      <c r="B189" s="7"/>
      <c r="C189" s="8" t="s">
        <v>801</v>
      </c>
      <c r="D189" s="15" t="s">
        <v>802</v>
      </c>
      <c r="E189" s="8" t="s">
        <v>803</v>
      </c>
      <c r="F189" s="9" t="s">
        <v>804</v>
      </c>
      <c r="G189" s="15" t="s">
        <v>805</v>
      </c>
      <c r="H189" s="15" t="s">
        <v>806</v>
      </c>
      <c r="I189" s="8" t="s">
        <v>756</v>
      </c>
      <c r="J189" s="8" t="s">
        <v>807</v>
      </c>
      <c r="K189" s="15" t="s">
        <v>185</v>
      </c>
      <c r="L189" s="8" t="s">
        <v>278</v>
      </c>
      <c r="M189" s="8" t="s">
        <v>23</v>
      </c>
      <c r="N189" s="8" t="s">
        <v>808</v>
      </c>
      <c r="O189" s="8"/>
      <c r="P189" s="10">
        <v>44567</v>
      </c>
      <c r="Q189" s="8" t="s">
        <v>280</v>
      </c>
      <c r="R189" s="8" t="s">
        <v>281</v>
      </c>
      <c r="S189" s="8" t="s">
        <v>809</v>
      </c>
      <c r="T189" s="8" t="s">
        <v>810</v>
      </c>
      <c r="U189" s="8" t="s">
        <v>284</v>
      </c>
      <c r="V189" s="9" t="s">
        <v>811</v>
      </c>
      <c r="W189" s="15" t="s">
        <v>812</v>
      </c>
      <c r="X189" s="15" t="s">
        <v>813</v>
      </c>
      <c r="Y189" s="15" t="s">
        <v>814</v>
      </c>
    </row>
    <row r="190" s="11" customFormat="1" hidden="1" customHeight="1" spans="1:25">
      <c r="A190" s="13"/>
      <c r="B190" s="14"/>
      <c r="C190" s="15" t="s">
        <v>815</v>
      </c>
      <c r="D190" s="11" t="s">
        <v>816</v>
      </c>
      <c r="E190" s="15" t="s">
        <v>816</v>
      </c>
      <c r="F190" s="16" t="s">
        <v>817</v>
      </c>
      <c r="G190" s="15" t="s">
        <v>818</v>
      </c>
      <c r="H190" s="15" t="s">
        <v>819</v>
      </c>
      <c r="I190" s="15" t="s">
        <v>820</v>
      </c>
      <c r="J190" s="15" t="s">
        <v>821</v>
      </c>
      <c r="K190" s="11" t="s">
        <v>185</v>
      </c>
      <c r="L190" s="15" t="s">
        <v>185</v>
      </c>
      <c r="M190" s="15" t="s">
        <v>186</v>
      </c>
      <c r="N190" s="15" t="s">
        <v>343</v>
      </c>
      <c r="O190" s="15">
        <v>1</v>
      </c>
      <c r="P190" s="17">
        <v>44554</v>
      </c>
      <c r="Q190" s="15" t="s">
        <v>188</v>
      </c>
      <c r="R190" s="15" t="s">
        <v>189</v>
      </c>
      <c r="S190" s="15" t="s">
        <v>177</v>
      </c>
      <c r="T190" s="15" t="s">
        <v>822</v>
      </c>
      <c r="U190" s="15" t="s">
        <v>191</v>
      </c>
      <c r="V190" s="15" t="s">
        <v>823</v>
      </c>
      <c r="W190" s="15"/>
      <c r="X190" s="15" t="s">
        <v>824</v>
      </c>
      <c r="Y190" s="15" t="s">
        <v>825</v>
      </c>
    </row>
    <row r="191" s="11" customFormat="1" hidden="1" customHeight="1" spans="1:25">
      <c r="A191" s="13"/>
      <c r="B191" s="14"/>
      <c r="C191" s="15"/>
      <c r="D191" s="11" t="str">
        <f t="shared" ref="D191:D193" si="50">D190</f>
        <v>钱到到菜么么</v>
      </c>
      <c r="E191" s="15"/>
      <c r="F191" s="16"/>
      <c r="G191" s="15"/>
      <c r="H191" s="15"/>
      <c r="I191" s="15"/>
      <c r="J191" s="15"/>
      <c r="K191" s="11" t="str">
        <f t="shared" ref="K191:K193" si="51">K190</f>
        <v>运营中</v>
      </c>
      <c r="L191" s="15"/>
      <c r="M191" s="15"/>
      <c r="N191" s="15"/>
      <c r="O191" s="15">
        <v>1</v>
      </c>
      <c r="P191" s="17">
        <v>43187</v>
      </c>
      <c r="Q191" s="15" t="s">
        <v>222</v>
      </c>
      <c r="R191" s="15" t="s">
        <v>826</v>
      </c>
      <c r="S191" s="15" t="s">
        <v>827</v>
      </c>
      <c r="T191" s="15"/>
      <c r="U191" s="15"/>
      <c r="V191" s="15"/>
      <c r="W191" s="15"/>
      <c r="X191" s="15"/>
      <c r="Y191" s="15"/>
    </row>
    <row r="192" s="11" customFormat="1" hidden="1" customHeight="1" spans="1:25">
      <c r="A192" s="13"/>
      <c r="B192" s="14"/>
      <c r="C192" s="15"/>
      <c r="D192" s="11" t="str">
        <f t="shared" si="50"/>
        <v>钱到到菜么么</v>
      </c>
      <c r="E192" s="15"/>
      <c r="F192" s="16"/>
      <c r="G192" s="15"/>
      <c r="H192" s="15"/>
      <c r="I192" s="15"/>
      <c r="J192" s="15"/>
      <c r="K192" s="11" t="str">
        <f t="shared" si="51"/>
        <v>运营中</v>
      </c>
      <c r="L192" s="15"/>
      <c r="M192" s="15"/>
      <c r="N192" s="15"/>
      <c r="O192" s="15">
        <v>1</v>
      </c>
      <c r="P192" s="17">
        <v>42870</v>
      </c>
      <c r="Q192" s="15" t="s">
        <v>393</v>
      </c>
      <c r="R192" s="15" t="s">
        <v>217</v>
      </c>
      <c r="S192" s="15" t="s">
        <v>828</v>
      </c>
      <c r="T192" s="15"/>
      <c r="U192" s="15"/>
      <c r="V192" s="15"/>
      <c r="W192" s="15"/>
      <c r="X192" s="15"/>
      <c r="Y192" s="15"/>
    </row>
    <row r="193" s="11" customFormat="1" hidden="1" customHeight="1" spans="1:25">
      <c r="A193" s="13"/>
      <c r="B193" s="14"/>
      <c r="C193" s="15"/>
      <c r="D193" s="11" t="str">
        <f t="shared" si="50"/>
        <v>钱到到菜么么</v>
      </c>
      <c r="E193" s="15"/>
      <c r="F193" s="16"/>
      <c r="G193" s="15"/>
      <c r="H193" s="15"/>
      <c r="I193" s="15"/>
      <c r="J193" s="15"/>
      <c r="K193" s="11" t="str">
        <f t="shared" si="51"/>
        <v>运营中</v>
      </c>
      <c r="L193" s="15"/>
      <c r="M193" s="15"/>
      <c r="N193" s="15"/>
      <c r="O193" s="15">
        <v>1</v>
      </c>
      <c r="P193" s="17">
        <v>42786</v>
      </c>
      <c r="Q193" s="15" t="s">
        <v>196</v>
      </c>
      <c r="R193" s="15" t="s">
        <v>197</v>
      </c>
      <c r="S193" s="15" t="s">
        <v>829</v>
      </c>
      <c r="T193" s="15"/>
      <c r="U193" s="15"/>
      <c r="V193" s="15"/>
      <c r="W193" s="15"/>
      <c r="X193" s="15"/>
      <c r="Y193" s="15"/>
    </row>
    <row r="194" s="11" customFormat="1" hidden="1" customHeight="1" spans="1:25">
      <c r="A194" s="13"/>
      <c r="B194" s="14"/>
      <c r="C194" s="15" t="s">
        <v>830</v>
      </c>
      <c r="D194" s="11" t="s">
        <v>831</v>
      </c>
      <c r="E194" s="15" t="s">
        <v>831</v>
      </c>
      <c r="F194" s="16" t="s">
        <v>832</v>
      </c>
      <c r="G194" s="15" t="s">
        <v>833</v>
      </c>
      <c r="H194" s="15" t="s">
        <v>834</v>
      </c>
      <c r="I194" s="15" t="s">
        <v>835</v>
      </c>
      <c r="J194" s="15" t="s">
        <v>836</v>
      </c>
      <c r="K194" s="11" t="s">
        <v>185</v>
      </c>
      <c r="L194" s="15" t="s">
        <v>185</v>
      </c>
      <c r="M194" s="15" t="s">
        <v>837</v>
      </c>
      <c r="N194" s="15" t="s">
        <v>838</v>
      </c>
      <c r="O194" s="15"/>
      <c r="P194" s="17">
        <v>43906</v>
      </c>
      <c r="Q194" s="15" t="s">
        <v>219</v>
      </c>
      <c r="R194" s="15" t="s">
        <v>189</v>
      </c>
      <c r="S194" s="15" t="s">
        <v>839</v>
      </c>
      <c r="T194" s="15" t="s">
        <v>840</v>
      </c>
      <c r="U194" s="15" t="s">
        <v>191</v>
      </c>
      <c r="V194" s="15" t="s">
        <v>841</v>
      </c>
      <c r="W194" s="15" t="s">
        <v>842</v>
      </c>
      <c r="X194" s="15" t="s">
        <v>843</v>
      </c>
      <c r="Y194" s="15" t="s">
        <v>844</v>
      </c>
    </row>
    <row r="195" s="11" customFormat="1" hidden="1" customHeight="1" spans="1:25">
      <c r="A195" s="13"/>
      <c r="B195" s="14"/>
      <c r="C195" s="15"/>
      <c r="D195" s="11" t="str">
        <f>D194</f>
        <v>网易味央</v>
      </c>
      <c r="E195" s="15"/>
      <c r="F195" s="16"/>
      <c r="G195" s="15"/>
      <c r="H195" s="15"/>
      <c r="I195" s="15"/>
      <c r="J195" s="15"/>
      <c r="K195" s="11" t="str">
        <f>K194</f>
        <v>运营中</v>
      </c>
      <c r="L195" s="15"/>
      <c r="M195" s="15"/>
      <c r="N195" s="15"/>
      <c r="O195" s="15"/>
      <c r="P195" s="17">
        <v>42853</v>
      </c>
      <c r="Q195" s="15" t="s">
        <v>222</v>
      </c>
      <c r="R195" s="15" t="s">
        <v>738</v>
      </c>
      <c r="S195" s="15" t="s">
        <v>845</v>
      </c>
      <c r="T195" s="15"/>
      <c r="U195" s="15"/>
      <c r="V195" s="15"/>
      <c r="W195" s="15"/>
      <c r="X195" s="15"/>
      <c r="Y195" s="15"/>
    </row>
    <row r="196" s="11" customFormat="1" hidden="1" customHeight="1" spans="1:25">
      <c r="A196" s="13"/>
      <c r="B196" s="14"/>
      <c r="C196" s="15" t="s">
        <v>846</v>
      </c>
      <c r="D196" s="11" t="s">
        <v>847</v>
      </c>
      <c r="E196" s="15" t="s">
        <v>847</v>
      </c>
      <c r="F196" s="16" t="s">
        <v>848</v>
      </c>
      <c r="G196" s="15" t="s">
        <v>849</v>
      </c>
      <c r="H196" s="15" t="s">
        <v>850</v>
      </c>
      <c r="I196" s="15" t="s">
        <v>851</v>
      </c>
      <c r="J196" s="15" t="s">
        <v>852</v>
      </c>
      <c r="K196" s="11" t="s">
        <v>185</v>
      </c>
      <c r="L196" s="15" t="s">
        <v>185</v>
      </c>
      <c r="M196" s="15" t="s">
        <v>416</v>
      </c>
      <c r="N196" s="15" t="s">
        <v>417</v>
      </c>
      <c r="O196" s="15"/>
      <c r="P196" s="17">
        <v>45051</v>
      </c>
      <c r="Q196" s="15" t="s">
        <v>690</v>
      </c>
      <c r="R196" s="15" t="s">
        <v>269</v>
      </c>
      <c r="S196" s="15" t="s">
        <v>853</v>
      </c>
      <c r="T196" s="15" t="s">
        <v>854</v>
      </c>
      <c r="U196" s="15" t="s">
        <v>855</v>
      </c>
      <c r="V196" s="15" t="s">
        <v>856</v>
      </c>
      <c r="W196" s="15" t="s">
        <v>857</v>
      </c>
      <c r="X196" s="15" t="s">
        <v>858</v>
      </c>
      <c r="Y196" s="15" t="s">
        <v>859</v>
      </c>
    </row>
    <row r="197" s="11" customFormat="1" hidden="1" customHeight="1" spans="1:25">
      <c r="A197" s="13"/>
      <c r="B197" s="14"/>
      <c r="C197" s="15"/>
      <c r="D197" s="11" t="str">
        <f t="shared" ref="D197:D206" si="52">D196</f>
        <v>普渡科技</v>
      </c>
      <c r="E197" s="15"/>
      <c r="F197" s="16"/>
      <c r="G197" s="15"/>
      <c r="H197" s="15"/>
      <c r="I197" s="15"/>
      <c r="J197" s="15"/>
      <c r="K197" s="11" t="str">
        <f t="shared" ref="K197:K206" si="53">K196</f>
        <v>运营中</v>
      </c>
      <c r="L197" s="15"/>
      <c r="M197" s="15"/>
      <c r="N197" s="15"/>
      <c r="O197" s="15"/>
      <c r="P197" s="17">
        <v>44972</v>
      </c>
      <c r="Q197" s="15" t="s">
        <v>690</v>
      </c>
      <c r="R197" s="15" t="s">
        <v>434</v>
      </c>
      <c r="S197" s="15" t="s">
        <v>860</v>
      </c>
      <c r="T197" s="15"/>
      <c r="U197" s="15"/>
      <c r="V197" s="15"/>
      <c r="W197" s="15"/>
      <c r="X197" s="15"/>
      <c r="Y197" s="15"/>
    </row>
    <row r="198" s="3" customFormat="1" customHeight="1" spans="1:25">
      <c r="A198" s="1"/>
      <c r="B198" s="7"/>
      <c r="C198" s="8"/>
      <c r="D198" s="11" t="str">
        <f t="shared" si="52"/>
        <v>普渡科技</v>
      </c>
      <c r="E198" s="8"/>
      <c r="F198" s="9"/>
      <c r="G198" s="15"/>
      <c r="H198" s="15"/>
      <c r="I198" s="8"/>
      <c r="J198" s="8"/>
      <c r="K198" s="11" t="str">
        <f t="shared" si="53"/>
        <v>运营中</v>
      </c>
      <c r="L198" s="8"/>
      <c r="M198" s="8"/>
      <c r="N198" s="8"/>
      <c r="O198" s="8"/>
      <c r="P198" s="10">
        <v>44453</v>
      </c>
      <c r="Q198" s="8" t="s">
        <v>791</v>
      </c>
      <c r="R198" s="8" t="s">
        <v>430</v>
      </c>
      <c r="S198" s="8" t="s">
        <v>861</v>
      </c>
      <c r="T198" s="8"/>
      <c r="U198" s="8"/>
      <c r="V198" s="9"/>
      <c r="W198" s="15"/>
      <c r="X198" s="15"/>
      <c r="Y198" s="15"/>
    </row>
    <row r="199" s="11" customFormat="1" hidden="1" customHeight="1" spans="1:25">
      <c r="A199" s="13"/>
      <c r="B199" s="14"/>
      <c r="C199" s="15"/>
      <c r="D199" s="11" t="str">
        <f t="shared" si="52"/>
        <v>普渡科技</v>
      </c>
      <c r="E199" s="15"/>
      <c r="F199" s="16"/>
      <c r="G199" s="15"/>
      <c r="H199" s="15"/>
      <c r="I199" s="15"/>
      <c r="J199" s="15"/>
      <c r="K199" s="11" t="str">
        <f t="shared" si="53"/>
        <v>运营中</v>
      </c>
      <c r="L199" s="15"/>
      <c r="M199" s="15"/>
      <c r="N199" s="15"/>
      <c r="O199" s="15"/>
      <c r="P199" s="17">
        <v>44438</v>
      </c>
      <c r="Q199" s="15" t="s">
        <v>690</v>
      </c>
      <c r="R199" s="15" t="s">
        <v>269</v>
      </c>
      <c r="S199" s="15" t="s">
        <v>862</v>
      </c>
      <c r="T199" s="15"/>
      <c r="U199" s="15"/>
      <c r="V199" s="15"/>
      <c r="W199" s="15"/>
      <c r="X199" s="15"/>
      <c r="Y199" s="15"/>
    </row>
    <row r="200" s="3" customFormat="1" customHeight="1" spans="1:25">
      <c r="A200" s="1"/>
      <c r="B200" s="7"/>
      <c r="C200" s="8"/>
      <c r="D200" s="11" t="str">
        <f t="shared" si="52"/>
        <v>普渡科技</v>
      </c>
      <c r="E200" s="8"/>
      <c r="F200" s="9"/>
      <c r="G200" s="15"/>
      <c r="H200" s="15"/>
      <c r="I200" s="8"/>
      <c r="J200" s="8"/>
      <c r="K200" s="11" t="str">
        <f t="shared" si="53"/>
        <v>运营中</v>
      </c>
      <c r="L200" s="8"/>
      <c r="M200" s="8"/>
      <c r="N200" s="8"/>
      <c r="O200" s="8"/>
      <c r="P200" s="10">
        <v>44333</v>
      </c>
      <c r="Q200" s="8" t="s">
        <v>425</v>
      </c>
      <c r="R200" s="8" t="s">
        <v>863</v>
      </c>
      <c r="S200" s="8" t="s">
        <v>864</v>
      </c>
      <c r="T200" s="8"/>
      <c r="U200" s="8"/>
      <c r="V200" s="9"/>
      <c r="W200" s="15"/>
      <c r="X200" s="15"/>
      <c r="Y200" s="15"/>
    </row>
    <row r="201" s="3" customFormat="1" customHeight="1" spans="1:25">
      <c r="A201" s="1"/>
      <c r="B201" s="7"/>
      <c r="C201" s="8"/>
      <c r="D201" s="11" t="str">
        <f t="shared" si="52"/>
        <v>普渡科技</v>
      </c>
      <c r="E201" s="8"/>
      <c r="F201" s="9"/>
      <c r="G201" s="15"/>
      <c r="H201" s="15"/>
      <c r="I201" s="8"/>
      <c r="J201" s="8"/>
      <c r="K201" s="11" t="str">
        <f t="shared" si="53"/>
        <v>运营中</v>
      </c>
      <c r="L201" s="8"/>
      <c r="M201" s="8"/>
      <c r="N201" s="8"/>
      <c r="O201" s="8"/>
      <c r="P201" s="10">
        <v>44062</v>
      </c>
      <c r="Q201" s="8" t="s">
        <v>865</v>
      </c>
      <c r="R201" s="8" t="s">
        <v>866</v>
      </c>
      <c r="S201" s="8" t="s">
        <v>867</v>
      </c>
      <c r="T201" s="8"/>
      <c r="U201" s="8"/>
      <c r="V201" s="9"/>
      <c r="W201" s="15"/>
      <c r="X201" s="15"/>
      <c r="Y201" s="15"/>
    </row>
    <row r="202" s="3" customFormat="1" customHeight="1" spans="1:25">
      <c r="A202" s="1"/>
      <c r="B202" s="7"/>
      <c r="C202" s="8"/>
      <c r="D202" s="11" t="str">
        <f t="shared" si="52"/>
        <v>普渡科技</v>
      </c>
      <c r="E202" s="8"/>
      <c r="F202" s="9"/>
      <c r="G202" s="15"/>
      <c r="H202" s="15"/>
      <c r="I202" s="8"/>
      <c r="J202" s="8"/>
      <c r="K202" s="11" t="str">
        <f t="shared" si="53"/>
        <v>运营中</v>
      </c>
      <c r="L202" s="8"/>
      <c r="M202" s="8"/>
      <c r="N202" s="8"/>
      <c r="O202" s="8"/>
      <c r="P202" s="10">
        <v>44013</v>
      </c>
      <c r="Q202" s="8" t="s">
        <v>868</v>
      </c>
      <c r="R202" s="8" t="s">
        <v>430</v>
      </c>
      <c r="S202" s="8" t="s">
        <v>809</v>
      </c>
      <c r="T202" s="8"/>
      <c r="U202" s="8"/>
      <c r="V202" s="9"/>
      <c r="W202" s="15"/>
      <c r="X202" s="15"/>
      <c r="Y202" s="15"/>
    </row>
    <row r="203" s="11" customFormat="1" hidden="1" customHeight="1" spans="1:25">
      <c r="A203" s="13"/>
      <c r="B203" s="14"/>
      <c r="C203" s="15"/>
      <c r="D203" s="11" t="str">
        <f t="shared" si="52"/>
        <v>普渡科技</v>
      </c>
      <c r="E203" s="15"/>
      <c r="F203" s="16"/>
      <c r="G203" s="15"/>
      <c r="H203" s="15"/>
      <c r="I203" s="15"/>
      <c r="J203" s="15"/>
      <c r="K203" s="11" t="str">
        <f t="shared" si="53"/>
        <v>运营中</v>
      </c>
      <c r="L203" s="15"/>
      <c r="M203" s="15"/>
      <c r="N203" s="15"/>
      <c r="O203" s="15"/>
      <c r="P203" s="17">
        <v>43373</v>
      </c>
      <c r="Q203" s="15" t="s">
        <v>334</v>
      </c>
      <c r="R203" s="15" t="s">
        <v>189</v>
      </c>
      <c r="S203" s="15" t="s">
        <v>869</v>
      </c>
      <c r="T203" s="15"/>
      <c r="U203" s="15"/>
      <c r="V203" s="15"/>
      <c r="W203" s="15"/>
      <c r="X203" s="15"/>
      <c r="Y203" s="15"/>
    </row>
    <row r="204" s="11" customFormat="1" hidden="1" customHeight="1" spans="1:25">
      <c r="A204" s="13"/>
      <c r="B204" s="14"/>
      <c r="C204" s="15"/>
      <c r="D204" s="11" t="str">
        <f t="shared" si="52"/>
        <v>普渡科技</v>
      </c>
      <c r="E204" s="15"/>
      <c r="F204" s="16"/>
      <c r="G204" s="15"/>
      <c r="H204" s="15"/>
      <c r="I204" s="15"/>
      <c r="J204" s="15"/>
      <c r="K204" s="11" t="str">
        <f t="shared" si="53"/>
        <v>运营中</v>
      </c>
      <c r="L204" s="15"/>
      <c r="M204" s="15"/>
      <c r="N204" s="15"/>
      <c r="O204" s="15"/>
      <c r="P204" s="17">
        <v>43259</v>
      </c>
      <c r="Q204" s="15" t="s">
        <v>222</v>
      </c>
      <c r="R204" s="15" t="s">
        <v>388</v>
      </c>
      <c r="S204" s="15" t="s">
        <v>870</v>
      </c>
      <c r="T204" s="15"/>
      <c r="U204" s="15"/>
      <c r="V204" s="15"/>
      <c r="W204" s="15"/>
      <c r="X204" s="15"/>
      <c r="Y204" s="15"/>
    </row>
    <row r="205" s="11" customFormat="1" hidden="1" customHeight="1" spans="1:25">
      <c r="A205" s="13"/>
      <c r="B205" s="14"/>
      <c r="C205" s="15"/>
      <c r="D205" s="11" t="str">
        <f t="shared" si="52"/>
        <v>普渡科技</v>
      </c>
      <c r="E205" s="15"/>
      <c r="F205" s="16"/>
      <c r="G205" s="15"/>
      <c r="H205" s="15"/>
      <c r="I205" s="15"/>
      <c r="J205" s="15"/>
      <c r="K205" s="11" t="str">
        <f t="shared" si="53"/>
        <v>运营中</v>
      </c>
      <c r="L205" s="15"/>
      <c r="M205" s="15"/>
      <c r="N205" s="15"/>
      <c r="O205" s="15"/>
      <c r="P205" s="17">
        <v>42888</v>
      </c>
      <c r="Q205" s="15" t="s">
        <v>393</v>
      </c>
      <c r="R205" s="15" t="s">
        <v>189</v>
      </c>
      <c r="S205" s="15" t="s">
        <v>262</v>
      </c>
      <c r="T205" s="15"/>
      <c r="U205" s="15"/>
      <c r="V205" s="15"/>
      <c r="W205" s="15"/>
      <c r="X205" s="15"/>
      <c r="Y205" s="15"/>
    </row>
    <row r="206" s="11" customFormat="1" hidden="1" customHeight="1" spans="1:25">
      <c r="A206" s="13"/>
      <c r="B206" s="14"/>
      <c r="C206" s="15"/>
      <c r="D206" s="11" t="str">
        <f t="shared" si="52"/>
        <v>普渡科技</v>
      </c>
      <c r="E206" s="15"/>
      <c r="F206" s="16"/>
      <c r="G206" s="15"/>
      <c r="H206" s="15"/>
      <c r="I206" s="15"/>
      <c r="J206" s="15"/>
      <c r="K206" s="11" t="str">
        <f t="shared" si="53"/>
        <v>运营中</v>
      </c>
      <c r="L206" s="15"/>
      <c r="M206" s="15"/>
      <c r="N206" s="15"/>
      <c r="O206" s="15"/>
      <c r="P206" s="17">
        <v>42534</v>
      </c>
      <c r="Q206" s="15" t="s">
        <v>196</v>
      </c>
      <c r="R206" s="15" t="s">
        <v>197</v>
      </c>
      <c r="S206" s="15" t="s">
        <v>871</v>
      </c>
      <c r="T206" s="15"/>
      <c r="U206" s="15"/>
      <c r="V206" s="15"/>
      <c r="W206" s="15"/>
      <c r="X206" s="15"/>
      <c r="Y206" s="15"/>
    </row>
    <row r="207" s="3" customFormat="1" ht="85.5" customHeight="1" spans="1:25">
      <c r="A207" s="1"/>
      <c r="B207" s="7"/>
      <c r="C207" s="8" t="s">
        <v>872</v>
      </c>
      <c r="D207" s="15" t="s">
        <v>873</v>
      </c>
      <c r="E207" s="8" t="s">
        <v>874</v>
      </c>
      <c r="F207" s="9" t="s">
        <v>875</v>
      </c>
      <c r="G207" s="15" t="s">
        <v>876</v>
      </c>
      <c r="H207" s="15" t="s">
        <v>877</v>
      </c>
      <c r="I207" s="8" t="s">
        <v>401</v>
      </c>
      <c r="J207" s="8" t="s">
        <v>807</v>
      </c>
      <c r="K207" s="15" t="s">
        <v>185</v>
      </c>
      <c r="L207" s="8" t="s">
        <v>278</v>
      </c>
      <c r="M207" s="8" t="s">
        <v>62</v>
      </c>
      <c r="N207" s="8" t="s">
        <v>878</v>
      </c>
      <c r="O207" s="8"/>
      <c r="P207" s="10">
        <v>44201</v>
      </c>
      <c r="Q207" s="8" t="s">
        <v>280</v>
      </c>
      <c r="R207" s="8" t="s">
        <v>281</v>
      </c>
      <c r="S207" s="8" t="s">
        <v>809</v>
      </c>
      <c r="T207" s="8" t="s">
        <v>810</v>
      </c>
      <c r="U207" s="8" t="s">
        <v>284</v>
      </c>
      <c r="V207" s="9" t="s">
        <v>879</v>
      </c>
      <c r="W207" s="15" t="s">
        <v>880</v>
      </c>
      <c r="X207" s="15" t="s">
        <v>881</v>
      </c>
      <c r="Y207" s="15" t="s">
        <v>882</v>
      </c>
    </row>
    <row r="208" s="3" customFormat="1" ht="85.5" customHeight="1" spans="1:25">
      <c r="A208" s="1"/>
      <c r="B208" s="7"/>
      <c r="C208" s="8" t="s">
        <v>883</v>
      </c>
      <c r="D208" s="11" t="s">
        <v>884</v>
      </c>
      <c r="E208" s="8" t="s">
        <v>885</v>
      </c>
      <c r="F208" s="9" t="s">
        <v>886</v>
      </c>
      <c r="G208" s="15" t="s">
        <v>887</v>
      </c>
      <c r="H208" s="15" t="s">
        <v>888</v>
      </c>
      <c r="I208" s="8" t="s">
        <v>889</v>
      </c>
      <c r="J208" s="8" t="s">
        <v>890</v>
      </c>
      <c r="K208" s="11" t="s">
        <v>185</v>
      </c>
      <c r="L208" s="8" t="s">
        <v>278</v>
      </c>
      <c r="M208" s="8" t="s">
        <v>19</v>
      </c>
      <c r="N208" s="8" t="s">
        <v>891</v>
      </c>
      <c r="O208" s="8"/>
      <c r="P208" s="10">
        <v>44705</v>
      </c>
      <c r="Q208" s="8" t="s">
        <v>868</v>
      </c>
      <c r="R208" s="8" t="s">
        <v>892</v>
      </c>
      <c r="S208" s="8" t="s">
        <v>893</v>
      </c>
      <c r="T208" s="8" t="s">
        <v>894</v>
      </c>
      <c r="U208" s="8" t="s">
        <v>895</v>
      </c>
      <c r="V208" s="9" t="s">
        <v>896</v>
      </c>
      <c r="W208" s="15" t="s">
        <v>897</v>
      </c>
      <c r="X208" s="15" t="s">
        <v>898</v>
      </c>
      <c r="Y208" s="15" t="s">
        <v>899</v>
      </c>
    </row>
    <row r="209" s="11" customFormat="1" hidden="1" customHeight="1" spans="1:25">
      <c r="A209" s="13"/>
      <c r="B209" s="14"/>
      <c r="C209" s="15"/>
      <c r="D209" s="11" t="str">
        <f t="shared" ref="D209:D214" si="54">D208</f>
        <v>史河科技</v>
      </c>
      <c r="E209" s="15"/>
      <c r="F209" s="16"/>
      <c r="G209" s="15"/>
      <c r="H209" s="15"/>
      <c r="I209" s="15"/>
      <c r="J209" s="15"/>
      <c r="K209" s="11" t="str">
        <f t="shared" ref="K209:K214" si="55">K208</f>
        <v>运营中</v>
      </c>
      <c r="L209" s="15"/>
      <c r="M209" s="15"/>
      <c r="N209" s="15"/>
      <c r="O209" s="15"/>
      <c r="P209" s="17">
        <v>44200</v>
      </c>
      <c r="Q209" s="15" t="s">
        <v>222</v>
      </c>
      <c r="R209" s="15" t="s">
        <v>434</v>
      </c>
      <c r="S209" s="15" t="s">
        <v>900</v>
      </c>
      <c r="T209" s="15"/>
      <c r="U209" s="15"/>
      <c r="V209" s="15"/>
      <c r="W209" s="15"/>
      <c r="X209" s="15"/>
      <c r="Y209" s="15"/>
    </row>
    <row r="210" s="11" customFormat="1" hidden="1" customHeight="1" spans="1:25">
      <c r="A210" s="13"/>
      <c r="B210" s="14"/>
      <c r="C210" s="15"/>
      <c r="D210" s="11" t="str">
        <f t="shared" si="54"/>
        <v>史河科技</v>
      </c>
      <c r="E210" s="15"/>
      <c r="F210" s="16"/>
      <c r="G210" s="15"/>
      <c r="H210" s="15"/>
      <c r="I210" s="15"/>
      <c r="J210" s="15"/>
      <c r="K210" s="11" t="str">
        <f t="shared" si="55"/>
        <v>运营中</v>
      </c>
      <c r="L210" s="15"/>
      <c r="M210" s="15"/>
      <c r="N210" s="15"/>
      <c r="O210" s="15"/>
      <c r="P210" s="17">
        <v>43896</v>
      </c>
      <c r="Q210" s="15" t="s">
        <v>207</v>
      </c>
      <c r="R210" s="15" t="s">
        <v>189</v>
      </c>
      <c r="S210" s="15" t="s">
        <v>901</v>
      </c>
      <c r="T210" s="15"/>
      <c r="U210" s="15"/>
      <c r="V210" s="15"/>
      <c r="W210" s="15"/>
      <c r="X210" s="15"/>
      <c r="Y210" s="15"/>
    </row>
    <row r="211" s="11" customFormat="1" hidden="1" customHeight="1" spans="1:25">
      <c r="A211" s="13"/>
      <c r="B211" s="14"/>
      <c r="C211" s="15"/>
      <c r="D211" s="11" t="str">
        <f t="shared" si="54"/>
        <v>史河科技</v>
      </c>
      <c r="E211" s="15"/>
      <c r="F211" s="16"/>
      <c r="G211" s="15"/>
      <c r="H211" s="15"/>
      <c r="I211" s="15"/>
      <c r="J211" s="15"/>
      <c r="K211" s="11" t="str">
        <f t="shared" si="55"/>
        <v>运营中</v>
      </c>
      <c r="L211" s="15"/>
      <c r="M211" s="15"/>
      <c r="N211" s="15"/>
      <c r="O211" s="15"/>
      <c r="P211" s="17">
        <v>43739</v>
      </c>
      <c r="Q211" s="15" t="s">
        <v>393</v>
      </c>
      <c r="R211" s="15" t="s">
        <v>826</v>
      </c>
      <c r="S211" s="15" t="s">
        <v>902</v>
      </c>
      <c r="T211" s="15"/>
      <c r="U211" s="15"/>
      <c r="V211" s="15"/>
      <c r="W211" s="15"/>
      <c r="X211" s="15"/>
      <c r="Y211" s="15"/>
    </row>
    <row r="212" s="11" customFormat="1" hidden="1" customHeight="1" spans="1:25">
      <c r="A212" s="13"/>
      <c r="B212" s="14"/>
      <c r="C212" s="15"/>
      <c r="D212" s="11" t="str">
        <f t="shared" si="54"/>
        <v>史河科技</v>
      </c>
      <c r="E212" s="15"/>
      <c r="F212" s="16"/>
      <c r="G212" s="15"/>
      <c r="H212" s="15"/>
      <c r="I212" s="15"/>
      <c r="J212" s="15"/>
      <c r="K212" s="11" t="str">
        <f t="shared" si="55"/>
        <v>运营中</v>
      </c>
      <c r="L212" s="15"/>
      <c r="M212" s="15"/>
      <c r="N212" s="15"/>
      <c r="O212" s="15"/>
      <c r="P212" s="17">
        <v>43440</v>
      </c>
      <c r="Q212" s="15" t="s">
        <v>393</v>
      </c>
      <c r="R212" s="15" t="s">
        <v>214</v>
      </c>
      <c r="S212" s="15" t="s">
        <v>903</v>
      </c>
      <c r="T212" s="15"/>
      <c r="U212" s="15"/>
      <c r="V212" s="15"/>
      <c r="W212" s="15"/>
      <c r="X212" s="15"/>
      <c r="Y212" s="15"/>
    </row>
    <row r="213" s="11" customFormat="1" hidden="1" customHeight="1" spans="1:25">
      <c r="A213" s="13"/>
      <c r="B213" s="14"/>
      <c r="C213" s="15"/>
      <c r="D213" s="11" t="str">
        <f t="shared" si="54"/>
        <v>史河科技</v>
      </c>
      <c r="E213" s="15"/>
      <c r="F213" s="16"/>
      <c r="G213" s="15"/>
      <c r="H213" s="15"/>
      <c r="I213" s="15"/>
      <c r="J213" s="15"/>
      <c r="K213" s="11" t="str">
        <f t="shared" si="55"/>
        <v>运营中</v>
      </c>
      <c r="L213" s="15"/>
      <c r="M213" s="15"/>
      <c r="N213" s="15"/>
      <c r="O213" s="15"/>
      <c r="P213" s="17">
        <v>43209</v>
      </c>
      <c r="Q213" s="15" t="s">
        <v>196</v>
      </c>
      <c r="R213" s="15" t="s">
        <v>217</v>
      </c>
      <c r="S213" s="15" t="s">
        <v>904</v>
      </c>
      <c r="T213" s="15"/>
      <c r="U213" s="15"/>
      <c r="V213" s="15"/>
      <c r="W213" s="15"/>
      <c r="X213" s="15"/>
      <c r="Y213" s="15"/>
    </row>
    <row r="214" s="11" customFormat="1" hidden="1" customHeight="1" spans="1:25">
      <c r="A214" s="13"/>
      <c r="B214" s="14"/>
      <c r="C214" s="15"/>
      <c r="D214" s="11" t="str">
        <f t="shared" si="54"/>
        <v>史河科技</v>
      </c>
      <c r="E214" s="15"/>
      <c r="F214" s="16"/>
      <c r="G214" s="15"/>
      <c r="H214" s="15"/>
      <c r="I214" s="15"/>
      <c r="J214" s="15"/>
      <c r="K214" s="11" t="str">
        <f t="shared" si="55"/>
        <v>运营中</v>
      </c>
      <c r="L214" s="15"/>
      <c r="M214" s="15"/>
      <c r="N214" s="15"/>
      <c r="O214" s="15"/>
      <c r="P214" s="17">
        <v>42403</v>
      </c>
      <c r="Q214" s="15" t="s">
        <v>905</v>
      </c>
      <c r="R214" s="15" t="s">
        <v>189</v>
      </c>
      <c r="S214" s="15" t="s">
        <v>906</v>
      </c>
      <c r="T214" s="15"/>
      <c r="U214" s="15"/>
      <c r="V214" s="15"/>
      <c r="W214" s="15"/>
      <c r="X214" s="15"/>
      <c r="Y214" s="15"/>
    </row>
    <row r="215" s="11" customFormat="1" hidden="1" customHeight="1" spans="1:25">
      <c r="A215" s="13"/>
      <c r="B215" s="14"/>
      <c r="C215" s="15" t="s">
        <v>907</v>
      </c>
      <c r="D215" s="11" t="s">
        <v>908</v>
      </c>
      <c r="E215" s="15" t="s">
        <v>908</v>
      </c>
      <c r="F215" s="16" t="s">
        <v>909</v>
      </c>
      <c r="G215" s="15" t="s">
        <v>910</v>
      </c>
      <c r="H215" s="15" t="s">
        <v>911</v>
      </c>
      <c r="I215" s="15" t="s">
        <v>912</v>
      </c>
      <c r="J215" s="15" t="s">
        <v>402</v>
      </c>
      <c r="K215" s="11" t="s">
        <v>185</v>
      </c>
      <c r="L215" s="15" t="s">
        <v>185</v>
      </c>
      <c r="M215" s="15" t="s">
        <v>416</v>
      </c>
      <c r="N215" s="15" t="s">
        <v>417</v>
      </c>
      <c r="O215" s="15"/>
      <c r="P215" s="17">
        <v>44741</v>
      </c>
      <c r="Q215" s="15" t="s">
        <v>428</v>
      </c>
      <c r="R215" s="15" t="s">
        <v>313</v>
      </c>
      <c r="S215" s="15" t="s">
        <v>262</v>
      </c>
      <c r="T215" s="15" t="s">
        <v>913</v>
      </c>
      <c r="U215" s="15" t="s">
        <v>914</v>
      </c>
      <c r="V215" s="15" t="s">
        <v>915</v>
      </c>
      <c r="W215" s="15" t="s">
        <v>916</v>
      </c>
      <c r="X215" s="15" t="s">
        <v>917</v>
      </c>
      <c r="Y215" s="15" t="s">
        <v>918</v>
      </c>
    </row>
    <row r="216" s="3" customFormat="1" ht="85.5" customHeight="1" spans="1:25">
      <c r="A216" s="1"/>
      <c r="B216" s="7"/>
      <c r="C216" s="8"/>
      <c r="D216" s="11" t="str">
        <f t="shared" ref="D216:D218" si="56">D215</f>
        <v>Flexiv非夕</v>
      </c>
      <c r="E216" s="8"/>
      <c r="F216" s="9"/>
      <c r="G216" s="15"/>
      <c r="H216" s="15"/>
      <c r="I216" s="8"/>
      <c r="J216" s="8"/>
      <c r="K216" s="11" t="str">
        <f t="shared" ref="K216:K218" si="57">K215</f>
        <v>运营中</v>
      </c>
      <c r="L216" s="8"/>
      <c r="M216" s="8"/>
      <c r="N216" s="8"/>
      <c r="O216" s="8"/>
      <c r="P216" s="10">
        <v>44196</v>
      </c>
      <c r="Q216" s="8" t="s">
        <v>868</v>
      </c>
      <c r="R216" s="8" t="s">
        <v>919</v>
      </c>
      <c r="S216" s="8" t="s">
        <v>920</v>
      </c>
      <c r="T216" s="8"/>
      <c r="U216" s="8"/>
      <c r="V216" s="9"/>
      <c r="W216" s="15"/>
      <c r="X216" s="15"/>
      <c r="Y216" s="15"/>
    </row>
    <row r="217" s="11" customFormat="1" hidden="1" customHeight="1" spans="1:25">
      <c r="A217" s="13"/>
      <c r="B217" s="14"/>
      <c r="C217" s="15"/>
      <c r="D217" s="11" t="str">
        <f t="shared" si="56"/>
        <v>Flexiv非夕</v>
      </c>
      <c r="E217" s="15"/>
      <c r="F217" s="16"/>
      <c r="G217" s="15"/>
      <c r="H217" s="15"/>
      <c r="I217" s="15"/>
      <c r="J217" s="15"/>
      <c r="K217" s="11" t="str">
        <f t="shared" si="57"/>
        <v>运营中</v>
      </c>
      <c r="L217" s="15"/>
      <c r="M217" s="15"/>
      <c r="N217" s="15"/>
      <c r="O217" s="15"/>
      <c r="P217" s="17">
        <v>42777</v>
      </c>
      <c r="Q217" s="15" t="s">
        <v>222</v>
      </c>
      <c r="R217" s="15" t="s">
        <v>317</v>
      </c>
      <c r="S217" s="15" t="s">
        <v>921</v>
      </c>
      <c r="T217" s="15"/>
      <c r="U217" s="15"/>
      <c r="V217" s="15"/>
      <c r="W217" s="15"/>
      <c r="X217" s="15"/>
      <c r="Y217" s="15"/>
    </row>
    <row r="218" s="11" customFormat="1" hidden="1" customHeight="1" spans="1:25">
      <c r="A218" s="13"/>
      <c r="B218" s="14"/>
      <c r="C218" s="15"/>
      <c r="D218" s="11" t="str">
        <f t="shared" si="56"/>
        <v>Flexiv非夕</v>
      </c>
      <c r="E218" s="15"/>
      <c r="F218" s="16"/>
      <c r="G218" s="15"/>
      <c r="H218" s="15"/>
      <c r="I218" s="15"/>
      <c r="J218" s="15"/>
      <c r="K218" s="11" t="str">
        <f t="shared" si="57"/>
        <v>运营中</v>
      </c>
      <c r="L218" s="15"/>
      <c r="M218" s="15"/>
      <c r="N218" s="15"/>
      <c r="O218" s="15"/>
      <c r="P218" s="17">
        <v>42705</v>
      </c>
      <c r="Q218" s="15" t="s">
        <v>196</v>
      </c>
      <c r="R218" s="15" t="s">
        <v>922</v>
      </c>
      <c r="S218" s="15" t="s">
        <v>493</v>
      </c>
      <c r="T218" s="15"/>
      <c r="U218" s="15"/>
      <c r="V218" s="15"/>
      <c r="W218" s="15"/>
      <c r="X218" s="15"/>
      <c r="Y218" s="15"/>
    </row>
    <row r="219" s="11" customFormat="1" hidden="1" customHeight="1" spans="1:25">
      <c r="A219" s="13"/>
      <c r="B219" s="14"/>
      <c r="C219" s="15" t="s">
        <v>923</v>
      </c>
      <c r="D219" s="15" t="s">
        <v>924</v>
      </c>
      <c r="E219" s="15" t="s">
        <v>924</v>
      </c>
      <c r="F219" s="16" t="s">
        <v>925</v>
      </c>
      <c r="G219" s="15" t="s">
        <v>926</v>
      </c>
      <c r="H219" s="15" t="s">
        <v>927</v>
      </c>
      <c r="I219" s="15" t="s">
        <v>928</v>
      </c>
      <c r="J219" s="15" t="s">
        <v>701</v>
      </c>
      <c r="K219" s="15" t="s">
        <v>185</v>
      </c>
      <c r="L219" s="15" t="s">
        <v>185</v>
      </c>
      <c r="M219" s="15" t="s">
        <v>356</v>
      </c>
      <c r="N219" s="15" t="s">
        <v>929</v>
      </c>
      <c r="O219" s="15"/>
      <c r="P219" s="17">
        <v>42907</v>
      </c>
      <c r="Q219" s="15" t="s">
        <v>222</v>
      </c>
      <c r="R219" s="15" t="s">
        <v>269</v>
      </c>
      <c r="S219" s="15" t="s">
        <v>177</v>
      </c>
      <c r="T219" s="15" t="s">
        <v>299</v>
      </c>
      <c r="U219" s="15" t="s">
        <v>504</v>
      </c>
      <c r="V219" s="15" t="s">
        <v>930</v>
      </c>
      <c r="W219" s="15" t="s">
        <v>931</v>
      </c>
      <c r="X219" s="15"/>
      <c r="Y219" s="15" t="s">
        <v>932</v>
      </c>
    </row>
    <row r="220" s="11" customFormat="1" hidden="1" customHeight="1" spans="1:25">
      <c r="A220" s="13"/>
      <c r="B220" s="14"/>
      <c r="C220" s="15" t="s">
        <v>933</v>
      </c>
      <c r="D220" s="15" t="s">
        <v>934</v>
      </c>
      <c r="E220" s="15" t="s">
        <v>934</v>
      </c>
      <c r="F220" s="16" t="s">
        <v>935</v>
      </c>
      <c r="G220" s="15" t="s">
        <v>936</v>
      </c>
      <c r="H220" s="15"/>
      <c r="I220" s="15" t="s">
        <v>937</v>
      </c>
      <c r="J220" s="15" t="s">
        <v>938</v>
      </c>
      <c r="K220" s="15" t="s">
        <v>185</v>
      </c>
      <c r="L220" s="15" t="s">
        <v>185</v>
      </c>
      <c r="M220" s="15" t="s">
        <v>205</v>
      </c>
      <c r="N220" s="15" t="s">
        <v>377</v>
      </c>
      <c r="O220" s="15"/>
      <c r="P220" s="17">
        <v>42871</v>
      </c>
      <c r="Q220" s="15" t="s">
        <v>196</v>
      </c>
      <c r="R220" s="15" t="s">
        <v>939</v>
      </c>
      <c r="S220" s="15" t="s">
        <v>940</v>
      </c>
      <c r="T220" s="15" t="s">
        <v>941</v>
      </c>
      <c r="U220" s="15" t="s">
        <v>942</v>
      </c>
      <c r="V220" s="15" t="s">
        <v>943</v>
      </c>
      <c r="W220" s="15" t="s">
        <v>944</v>
      </c>
      <c r="X220" s="15"/>
      <c r="Y220" s="15"/>
    </row>
    <row r="221" s="3" customFormat="1" ht="85.5" customHeight="1" spans="1:25">
      <c r="A221" s="1"/>
      <c r="B221" s="7"/>
      <c r="C221" s="8" t="s">
        <v>945</v>
      </c>
      <c r="D221" s="11" t="s">
        <v>946</v>
      </c>
      <c r="E221" s="8" t="s">
        <v>947</v>
      </c>
      <c r="F221" s="9" t="s">
        <v>948</v>
      </c>
      <c r="G221" s="15" t="s">
        <v>949</v>
      </c>
      <c r="H221" s="15" t="s">
        <v>950</v>
      </c>
      <c r="I221" s="8" t="s">
        <v>951</v>
      </c>
      <c r="J221" s="8" t="s">
        <v>952</v>
      </c>
      <c r="K221" s="11" t="s">
        <v>185</v>
      </c>
      <c r="L221" s="8" t="s">
        <v>278</v>
      </c>
      <c r="M221" s="8" t="s">
        <v>19</v>
      </c>
      <c r="N221" s="8" t="s">
        <v>891</v>
      </c>
      <c r="O221" s="8"/>
      <c r="P221" s="10">
        <v>44681</v>
      </c>
      <c r="Q221" s="8" t="s">
        <v>791</v>
      </c>
      <c r="R221" s="8" t="s">
        <v>953</v>
      </c>
      <c r="S221" s="8" t="s">
        <v>954</v>
      </c>
      <c r="T221" s="8" t="s">
        <v>955</v>
      </c>
      <c r="U221" s="8" t="s">
        <v>956</v>
      </c>
      <c r="V221" s="9" t="s">
        <v>957</v>
      </c>
      <c r="W221" s="15" t="s">
        <v>958</v>
      </c>
      <c r="X221" s="15" t="s">
        <v>959</v>
      </c>
      <c r="Y221" s="15" t="s">
        <v>960</v>
      </c>
    </row>
    <row r="222" s="11" customFormat="1" hidden="1" customHeight="1" spans="1:25">
      <c r="A222" s="13"/>
      <c r="B222" s="14"/>
      <c r="C222" s="15"/>
      <c r="D222" s="11" t="str">
        <f t="shared" ref="D222:D226" si="58">D221</f>
        <v>未来机器人</v>
      </c>
      <c r="E222" s="15"/>
      <c r="F222" s="16"/>
      <c r="G222" s="15"/>
      <c r="H222" s="15"/>
      <c r="I222" s="15"/>
      <c r="J222" s="15"/>
      <c r="K222" s="11" t="str">
        <f t="shared" ref="K222:K226" si="59">K221</f>
        <v>运营中</v>
      </c>
      <c r="L222" s="15"/>
      <c r="M222" s="15"/>
      <c r="N222" s="15"/>
      <c r="O222" s="15"/>
      <c r="P222" s="17">
        <v>44469</v>
      </c>
      <c r="Q222" s="15" t="s">
        <v>216</v>
      </c>
      <c r="R222" s="15" t="s">
        <v>269</v>
      </c>
      <c r="S222" s="15" t="s">
        <v>961</v>
      </c>
      <c r="T222" s="15"/>
      <c r="U222" s="15"/>
      <c r="V222" s="15"/>
      <c r="W222" s="15"/>
      <c r="X222" s="15"/>
      <c r="Y222" s="15"/>
    </row>
    <row r="223" s="11" customFormat="1" hidden="1" customHeight="1" spans="1:25">
      <c r="A223" s="13"/>
      <c r="B223" s="14"/>
      <c r="C223" s="15"/>
      <c r="D223" s="11" t="str">
        <f t="shared" si="58"/>
        <v>未来机器人</v>
      </c>
      <c r="E223" s="15"/>
      <c r="F223" s="16"/>
      <c r="G223" s="15"/>
      <c r="H223" s="15"/>
      <c r="I223" s="15"/>
      <c r="J223" s="15"/>
      <c r="K223" s="11" t="str">
        <f t="shared" si="59"/>
        <v>运营中</v>
      </c>
      <c r="L223" s="15"/>
      <c r="M223" s="15"/>
      <c r="N223" s="15"/>
      <c r="O223" s="15"/>
      <c r="P223" s="17">
        <v>44308</v>
      </c>
      <c r="Q223" s="15" t="s">
        <v>428</v>
      </c>
      <c r="R223" s="15" t="s">
        <v>189</v>
      </c>
      <c r="S223" s="15" t="s">
        <v>962</v>
      </c>
      <c r="T223" s="15"/>
      <c r="U223" s="15"/>
      <c r="V223" s="15"/>
      <c r="W223" s="15"/>
      <c r="X223" s="15"/>
      <c r="Y223" s="15"/>
    </row>
    <row r="224" s="11" customFormat="1" hidden="1" customHeight="1" spans="1:25">
      <c r="A224" s="13"/>
      <c r="B224" s="14"/>
      <c r="C224" s="15"/>
      <c r="D224" s="11" t="str">
        <f t="shared" si="58"/>
        <v>未来机器人</v>
      </c>
      <c r="E224" s="15"/>
      <c r="F224" s="16"/>
      <c r="G224" s="15"/>
      <c r="H224" s="15"/>
      <c r="I224" s="15"/>
      <c r="J224" s="15"/>
      <c r="K224" s="11" t="str">
        <f t="shared" si="59"/>
        <v>运营中</v>
      </c>
      <c r="L224" s="15"/>
      <c r="M224" s="15"/>
      <c r="N224" s="15"/>
      <c r="O224" s="15"/>
      <c r="P224" s="17">
        <v>43997</v>
      </c>
      <c r="Q224" s="15" t="s">
        <v>219</v>
      </c>
      <c r="R224" s="15" t="s">
        <v>434</v>
      </c>
      <c r="S224" s="15" t="s">
        <v>963</v>
      </c>
      <c r="T224" s="15"/>
      <c r="U224" s="15"/>
      <c r="V224" s="15"/>
      <c r="W224" s="15"/>
      <c r="X224" s="15"/>
      <c r="Y224" s="15"/>
    </row>
    <row r="225" s="11" customFormat="1" hidden="1" customHeight="1" spans="1:25">
      <c r="A225" s="13"/>
      <c r="B225" s="14"/>
      <c r="C225" s="15"/>
      <c r="D225" s="11" t="str">
        <f t="shared" si="58"/>
        <v>未来机器人</v>
      </c>
      <c r="E225" s="15"/>
      <c r="F225" s="16"/>
      <c r="G225" s="15"/>
      <c r="H225" s="15"/>
      <c r="I225" s="15"/>
      <c r="J225" s="15"/>
      <c r="K225" s="11" t="str">
        <f t="shared" si="59"/>
        <v>运营中</v>
      </c>
      <c r="L225" s="15"/>
      <c r="M225" s="15"/>
      <c r="N225" s="15"/>
      <c r="O225" s="15"/>
      <c r="P225" s="17">
        <v>43245</v>
      </c>
      <c r="Q225" s="15" t="s">
        <v>222</v>
      </c>
      <c r="R225" s="15" t="s">
        <v>189</v>
      </c>
      <c r="S225" s="15" t="s">
        <v>964</v>
      </c>
      <c r="T225" s="15"/>
      <c r="U225" s="15"/>
      <c r="V225" s="15"/>
      <c r="W225" s="15"/>
      <c r="X225" s="15"/>
      <c r="Y225" s="15"/>
    </row>
    <row r="226" s="11" customFormat="1" hidden="1" customHeight="1" spans="1:25">
      <c r="A226" s="13"/>
      <c r="B226" s="14"/>
      <c r="C226" s="15"/>
      <c r="D226" s="11" t="str">
        <f t="shared" si="58"/>
        <v>未来机器人</v>
      </c>
      <c r="E226" s="15"/>
      <c r="F226" s="16"/>
      <c r="G226" s="15"/>
      <c r="H226" s="15"/>
      <c r="I226" s="15"/>
      <c r="J226" s="15"/>
      <c r="K226" s="11" t="str">
        <f t="shared" si="59"/>
        <v>运营中</v>
      </c>
      <c r="L226" s="15"/>
      <c r="M226" s="15"/>
      <c r="N226" s="15"/>
      <c r="O226" s="15"/>
      <c r="P226" s="17">
        <v>42494</v>
      </c>
      <c r="Q226" s="15" t="s">
        <v>196</v>
      </c>
      <c r="R226" s="15" t="s">
        <v>189</v>
      </c>
      <c r="S226" s="15" t="s">
        <v>965</v>
      </c>
      <c r="T226" s="15"/>
      <c r="U226" s="15"/>
      <c r="V226" s="15"/>
      <c r="W226" s="15"/>
      <c r="X226" s="15"/>
      <c r="Y226" s="15"/>
    </row>
    <row r="227" s="11" customFormat="1" hidden="1" customHeight="1" spans="1:25">
      <c r="A227" s="13"/>
      <c r="B227" s="14"/>
      <c r="C227" s="15" t="s">
        <v>966</v>
      </c>
      <c r="D227" s="11" t="s">
        <v>967</v>
      </c>
      <c r="E227" s="15" t="s">
        <v>967</v>
      </c>
      <c r="F227" s="16" t="s">
        <v>968</v>
      </c>
      <c r="G227" s="15" t="s">
        <v>969</v>
      </c>
      <c r="H227" s="15" t="s">
        <v>970</v>
      </c>
      <c r="I227" s="15" t="s">
        <v>971</v>
      </c>
      <c r="J227" s="15" t="s">
        <v>972</v>
      </c>
      <c r="K227" s="11" t="s">
        <v>185</v>
      </c>
      <c r="L227" s="15" t="s">
        <v>185</v>
      </c>
      <c r="M227" s="15" t="s">
        <v>186</v>
      </c>
      <c r="N227" s="15" t="s">
        <v>187</v>
      </c>
      <c r="O227" s="15"/>
      <c r="P227" s="17">
        <v>43028</v>
      </c>
      <c r="Q227" s="15" t="s">
        <v>222</v>
      </c>
      <c r="R227" s="15" t="s">
        <v>269</v>
      </c>
      <c r="S227" s="15" t="s">
        <v>973</v>
      </c>
      <c r="T227" s="15" t="s">
        <v>974</v>
      </c>
      <c r="U227" s="15" t="s">
        <v>504</v>
      </c>
      <c r="V227" s="15" t="s">
        <v>975</v>
      </c>
      <c r="W227" s="15" t="s">
        <v>976</v>
      </c>
      <c r="X227" s="15" t="s">
        <v>977</v>
      </c>
      <c r="Y227" s="15" t="s">
        <v>978</v>
      </c>
    </row>
    <row r="228" s="11" customFormat="1" hidden="1" customHeight="1" spans="1:25">
      <c r="A228" s="13"/>
      <c r="B228" s="14"/>
      <c r="C228" s="15"/>
      <c r="D228" s="11" t="str">
        <f>D227</f>
        <v>大家来</v>
      </c>
      <c r="E228" s="15"/>
      <c r="F228" s="16"/>
      <c r="G228" s="15"/>
      <c r="H228" s="15"/>
      <c r="I228" s="15"/>
      <c r="J228" s="15"/>
      <c r="K228" s="11" t="str">
        <f>K227</f>
        <v>运营中</v>
      </c>
      <c r="L228" s="15"/>
      <c r="M228" s="15"/>
      <c r="N228" s="15"/>
      <c r="O228" s="15"/>
      <c r="P228" s="17">
        <v>42175</v>
      </c>
      <c r="Q228" s="15" t="s">
        <v>196</v>
      </c>
      <c r="R228" s="15" t="s">
        <v>214</v>
      </c>
      <c r="S228" s="15" t="s">
        <v>979</v>
      </c>
      <c r="T228" s="15"/>
      <c r="U228" s="15"/>
      <c r="V228" s="15"/>
      <c r="W228" s="15"/>
      <c r="X228" s="15"/>
      <c r="Y228" s="15"/>
    </row>
    <row r="229" s="3" customFormat="1" ht="85.5" customHeight="1" spans="1:25">
      <c r="A229" s="1"/>
      <c r="B229" s="7"/>
      <c r="C229" s="8" t="s">
        <v>980</v>
      </c>
      <c r="D229" s="11" t="s">
        <v>981</v>
      </c>
      <c r="E229" s="8" t="s">
        <v>982</v>
      </c>
      <c r="F229" s="9" t="s">
        <v>983</v>
      </c>
      <c r="G229" s="15" t="s">
        <v>984</v>
      </c>
      <c r="H229" s="15" t="s">
        <v>985</v>
      </c>
      <c r="I229" s="8" t="s">
        <v>986</v>
      </c>
      <c r="J229" s="8" t="s">
        <v>987</v>
      </c>
      <c r="K229" s="11" t="s">
        <v>185</v>
      </c>
      <c r="L229" s="8" t="s">
        <v>278</v>
      </c>
      <c r="M229" s="8" t="s">
        <v>44</v>
      </c>
      <c r="N229" s="8" t="s">
        <v>988</v>
      </c>
      <c r="O229" s="8"/>
      <c r="P229" s="10">
        <v>44917</v>
      </c>
      <c r="Q229" s="8" t="s">
        <v>425</v>
      </c>
      <c r="R229" s="8" t="s">
        <v>989</v>
      </c>
      <c r="S229" s="8" t="s">
        <v>990</v>
      </c>
      <c r="T229" s="8" t="s">
        <v>991</v>
      </c>
      <c r="U229" s="8" t="s">
        <v>992</v>
      </c>
      <c r="V229" s="9" t="s">
        <v>993</v>
      </c>
      <c r="W229" s="15" t="s">
        <v>994</v>
      </c>
      <c r="X229" s="15" t="s">
        <v>995</v>
      </c>
      <c r="Y229" s="15" t="s">
        <v>996</v>
      </c>
    </row>
    <row r="230" s="11" customFormat="1" hidden="1" customHeight="1" spans="1:25">
      <c r="A230" s="13"/>
      <c r="B230" s="14"/>
      <c r="C230" s="15"/>
      <c r="D230" s="11" t="str">
        <f t="shared" ref="D230:D234" si="60">D229</f>
        <v>齐碳科技</v>
      </c>
      <c r="E230" s="15"/>
      <c r="F230" s="16"/>
      <c r="G230" s="15"/>
      <c r="H230" s="15"/>
      <c r="I230" s="15"/>
      <c r="J230" s="15"/>
      <c r="K230" s="11" t="str">
        <f t="shared" ref="K230:K234" si="61">K229</f>
        <v>运营中</v>
      </c>
      <c r="L230" s="15"/>
      <c r="M230" s="15"/>
      <c r="N230" s="15"/>
      <c r="O230" s="15"/>
      <c r="P230" s="17">
        <v>44355</v>
      </c>
      <c r="Q230" s="15" t="s">
        <v>219</v>
      </c>
      <c r="R230" s="15" t="s">
        <v>997</v>
      </c>
      <c r="S230" s="15" t="s">
        <v>998</v>
      </c>
      <c r="T230" s="15"/>
      <c r="U230" s="15"/>
      <c r="V230" s="15"/>
      <c r="W230" s="15"/>
      <c r="X230" s="15"/>
      <c r="Y230" s="15"/>
    </row>
    <row r="231" s="11" customFormat="1" hidden="1" customHeight="1" spans="1:25">
      <c r="A231" s="13"/>
      <c r="B231" s="14"/>
      <c r="C231" s="15"/>
      <c r="D231" s="11" t="str">
        <f t="shared" si="60"/>
        <v>齐碳科技</v>
      </c>
      <c r="E231" s="15"/>
      <c r="F231" s="16"/>
      <c r="G231" s="15"/>
      <c r="H231" s="15"/>
      <c r="I231" s="15"/>
      <c r="J231" s="15"/>
      <c r="K231" s="11" t="str">
        <f t="shared" si="61"/>
        <v>运营中</v>
      </c>
      <c r="L231" s="15"/>
      <c r="M231" s="15"/>
      <c r="N231" s="15"/>
      <c r="O231" s="15"/>
      <c r="P231" s="17">
        <v>43964</v>
      </c>
      <c r="Q231" s="15" t="s">
        <v>222</v>
      </c>
      <c r="R231" s="15" t="s">
        <v>434</v>
      </c>
      <c r="S231" s="15" t="s">
        <v>999</v>
      </c>
      <c r="T231" s="15"/>
      <c r="U231" s="15"/>
      <c r="V231" s="15"/>
      <c r="W231" s="15"/>
      <c r="X231" s="15"/>
      <c r="Y231" s="15"/>
    </row>
    <row r="232" s="11" customFormat="1" hidden="1" customHeight="1" spans="1:25">
      <c r="A232" s="13"/>
      <c r="B232" s="14"/>
      <c r="C232" s="15"/>
      <c r="D232" s="11" t="str">
        <f t="shared" si="60"/>
        <v>齐碳科技</v>
      </c>
      <c r="E232" s="15"/>
      <c r="F232" s="16"/>
      <c r="G232" s="15"/>
      <c r="H232" s="15"/>
      <c r="I232" s="15"/>
      <c r="J232" s="15"/>
      <c r="K232" s="11" t="str">
        <f t="shared" si="61"/>
        <v>运营中</v>
      </c>
      <c r="L232" s="15"/>
      <c r="M232" s="15"/>
      <c r="N232" s="15"/>
      <c r="O232" s="15"/>
      <c r="P232" s="17">
        <v>43685</v>
      </c>
      <c r="Q232" s="15" t="s">
        <v>393</v>
      </c>
      <c r="R232" s="15" t="s">
        <v>1000</v>
      </c>
      <c r="S232" s="15" t="s">
        <v>1001</v>
      </c>
      <c r="T232" s="15"/>
      <c r="U232" s="15"/>
      <c r="V232" s="15"/>
      <c r="W232" s="15"/>
      <c r="X232" s="15"/>
      <c r="Y232" s="15"/>
    </row>
    <row r="233" s="11" customFormat="1" hidden="1" customHeight="1" spans="1:25">
      <c r="A233" s="13"/>
      <c r="B233" s="14"/>
      <c r="C233" s="15"/>
      <c r="D233" s="11" t="str">
        <f t="shared" si="60"/>
        <v>齐碳科技</v>
      </c>
      <c r="E233" s="15"/>
      <c r="F233" s="16"/>
      <c r="G233" s="15"/>
      <c r="H233" s="15"/>
      <c r="I233" s="15"/>
      <c r="J233" s="15"/>
      <c r="K233" s="11" t="str">
        <f t="shared" si="61"/>
        <v>运营中</v>
      </c>
      <c r="L233" s="15"/>
      <c r="M233" s="15"/>
      <c r="N233" s="15"/>
      <c r="O233" s="15"/>
      <c r="P233" s="17">
        <v>43210</v>
      </c>
      <c r="Q233" s="15" t="s">
        <v>207</v>
      </c>
      <c r="R233" s="15" t="s">
        <v>217</v>
      </c>
      <c r="S233" s="15" t="s">
        <v>1002</v>
      </c>
      <c r="T233" s="15"/>
      <c r="U233" s="15"/>
      <c r="V233" s="15"/>
      <c r="W233" s="15"/>
      <c r="X233" s="15"/>
      <c r="Y233" s="15"/>
    </row>
    <row r="234" s="11" customFormat="1" hidden="1" customHeight="1" spans="1:25">
      <c r="A234" s="13"/>
      <c r="B234" s="14"/>
      <c r="C234" s="15"/>
      <c r="D234" s="11" t="str">
        <f t="shared" si="60"/>
        <v>齐碳科技</v>
      </c>
      <c r="E234" s="15"/>
      <c r="F234" s="16"/>
      <c r="G234" s="15"/>
      <c r="H234" s="15"/>
      <c r="I234" s="15"/>
      <c r="J234" s="15"/>
      <c r="K234" s="11" t="str">
        <f t="shared" si="61"/>
        <v>运营中</v>
      </c>
      <c r="L234" s="15"/>
      <c r="M234" s="15"/>
      <c r="N234" s="15"/>
      <c r="O234" s="15"/>
      <c r="P234" s="17">
        <v>42853</v>
      </c>
      <c r="Q234" s="15" t="s">
        <v>196</v>
      </c>
      <c r="R234" s="15" t="s">
        <v>217</v>
      </c>
      <c r="S234" s="15" t="s">
        <v>1003</v>
      </c>
      <c r="T234" s="15"/>
      <c r="U234" s="15"/>
      <c r="V234" s="15"/>
      <c r="W234" s="15"/>
      <c r="X234" s="15"/>
      <c r="Y234" s="15"/>
    </row>
    <row r="235" s="11" customFormat="1" hidden="1" customHeight="1" spans="1:25">
      <c r="A235" s="13"/>
      <c r="B235" s="14"/>
      <c r="C235" s="15" t="s">
        <v>1004</v>
      </c>
      <c r="D235" s="11" t="s">
        <v>1005</v>
      </c>
      <c r="E235" s="15" t="s">
        <v>1005</v>
      </c>
      <c r="F235" s="16" t="s">
        <v>1006</v>
      </c>
      <c r="G235" s="15" t="s">
        <v>1007</v>
      </c>
      <c r="H235" s="15" t="s">
        <v>1008</v>
      </c>
      <c r="I235" s="15" t="s">
        <v>820</v>
      </c>
      <c r="J235" s="15" t="s">
        <v>342</v>
      </c>
      <c r="K235" s="11" t="s">
        <v>185</v>
      </c>
      <c r="L235" s="15" t="s">
        <v>185</v>
      </c>
      <c r="M235" s="15" t="s">
        <v>416</v>
      </c>
      <c r="N235" s="15" t="s">
        <v>1009</v>
      </c>
      <c r="O235" s="15"/>
      <c r="P235" s="17">
        <v>43628</v>
      </c>
      <c r="Q235" s="15" t="s">
        <v>219</v>
      </c>
      <c r="R235" s="15" t="s">
        <v>189</v>
      </c>
      <c r="S235" s="15" t="s">
        <v>1010</v>
      </c>
      <c r="T235" s="15" t="s">
        <v>345</v>
      </c>
      <c r="U235" s="15" t="s">
        <v>191</v>
      </c>
      <c r="V235" s="15" t="s">
        <v>1011</v>
      </c>
      <c r="W235" s="15" t="s">
        <v>1012</v>
      </c>
      <c r="X235" s="15" t="s">
        <v>1013</v>
      </c>
      <c r="Y235" s="15" t="s">
        <v>1014</v>
      </c>
    </row>
    <row r="236" s="11" customFormat="1" hidden="1" customHeight="1" spans="1:25">
      <c r="A236" s="13"/>
      <c r="B236" s="14"/>
      <c r="C236" s="15"/>
      <c r="D236" s="11" t="str">
        <f>D235</f>
        <v>青萍</v>
      </c>
      <c r="E236" s="15"/>
      <c r="F236" s="16"/>
      <c r="G236" s="15"/>
      <c r="H236" s="15"/>
      <c r="I236" s="15"/>
      <c r="J236" s="15"/>
      <c r="K236" s="11" t="str">
        <f>K235</f>
        <v>运营中</v>
      </c>
      <c r="L236" s="15"/>
      <c r="M236" s="15"/>
      <c r="N236" s="15"/>
      <c r="O236" s="15"/>
      <c r="P236" s="17">
        <v>42584</v>
      </c>
      <c r="Q236" s="15" t="s">
        <v>222</v>
      </c>
      <c r="R236" s="15" t="s">
        <v>189</v>
      </c>
      <c r="S236" s="15" t="s">
        <v>1015</v>
      </c>
      <c r="T236" s="15"/>
      <c r="U236" s="15"/>
      <c r="V236" s="15"/>
      <c r="W236" s="15"/>
      <c r="X236" s="15"/>
      <c r="Y236" s="15"/>
    </row>
    <row r="237" s="11" customFormat="1" hidden="1" customHeight="1" spans="1:25">
      <c r="A237" s="13"/>
      <c r="B237" s="14"/>
      <c r="C237" s="15" t="s">
        <v>1016</v>
      </c>
      <c r="D237" s="11" t="s">
        <v>1017</v>
      </c>
      <c r="E237" s="15" t="s">
        <v>1017</v>
      </c>
      <c r="F237" s="16" t="s">
        <v>1018</v>
      </c>
      <c r="G237" s="15" t="s">
        <v>1019</v>
      </c>
      <c r="H237" s="15" t="s">
        <v>1020</v>
      </c>
      <c r="I237" s="15" t="s">
        <v>649</v>
      </c>
      <c r="J237" s="15" t="s">
        <v>1021</v>
      </c>
      <c r="K237" s="11" t="s">
        <v>185</v>
      </c>
      <c r="L237" s="15" t="s">
        <v>185</v>
      </c>
      <c r="M237" s="15" t="s">
        <v>186</v>
      </c>
      <c r="N237" s="15" t="s">
        <v>1022</v>
      </c>
      <c r="O237" s="15"/>
      <c r="P237" s="17">
        <v>43080</v>
      </c>
      <c r="Q237" s="15" t="s">
        <v>216</v>
      </c>
      <c r="R237" s="15" t="s">
        <v>217</v>
      </c>
      <c r="S237" s="15" t="s">
        <v>1023</v>
      </c>
      <c r="T237" s="15" t="s">
        <v>1024</v>
      </c>
      <c r="U237" s="15" t="s">
        <v>379</v>
      </c>
      <c r="V237" s="15" t="s">
        <v>1025</v>
      </c>
      <c r="W237" s="15" t="s">
        <v>1026</v>
      </c>
      <c r="X237" s="15" t="s">
        <v>1027</v>
      </c>
      <c r="Y237" s="15" t="s">
        <v>1028</v>
      </c>
    </row>
    <row r="238" s="11" customFormat="1" hidden="1" customHeight="1" spans="1:25">
      <c r="A238" s="13"/>
      <c r="B238" s="14"/>
      <c r="C238" s="15"/>
      <c r="D238" s="11" t="str">
        <f t="shared" ref="D238:D239" si="62">D237</f>
        <v>超洁智联</v>
      </c>
      <c r="E238" s="15"/>
      <c r="F238" s="16"/>
      <c r="G238" s="15"/>
      <c r="H238" s="15"/>
      <c r="I238" s="15"/>
      <c r="J238" s="15"/>
      <c r="K238" s="11" t="str">
        <f t="shared" ref="K238:K239" si="63">K237</f>
        <v>运营中</v>
      </c>
      <c r="L238" s="15"/>
      <c r="M238" s="15"/>
      <c r="N238" s="15"/>
      <c r="O238" s="15"/>
      <c r="P238" s="17">
        <v>42458</v>
      </c>
      <c r="Q238" s="15" t="s">
        <v>219</v>
      </c>
      <c r="R238" s="15" t="s">
        <v>217</v>
      </c>
      <c r="S238" s="15" t="s">
        <v>1029</v>
      </c>
      <c r="T238" s="15"/>
      <c r="U238" s="15"/>
      <c r="V238" s="15"/>
      <c r="W238" s="15"/>
      <c r="X238" s="15"/>
      <c r="Y238" s="15"/>
    </row>
    <row r="239" s="11" customFormat="1" hidden="1" customHeight="1" spans="1:25">
      <c r="A239" s="13"/>
      <c r="B239" s="14"/>
      <c r="C239" s="15"/>
      <c r="D239" s="11" t="str">
        <f t="shared" si="62"/>
        <v>超洁智联</v>
      </c>
      <c r="E239" s="15"/>
      <c r="F239" s="16"/>
      <c r="G239" s="15"/>
      <c r="H239" s="15"/>
      <c r="I239" s="15"/>
      <c r="J239" s="15"/>
      <c r="K239" s="11" t="str">
        <f t="shared" si="63"/>
        <v>运营中</v>
      </c>
      <c r="L239" s="15"/>
      <c r="M239" s="15"/>
      <c r="N239" s="15"/>
      <c r="O239" s="15"/>
      <c r="P239" s="17">
        <v>42050</v>
      </c>
      <c r="Q239" s="15" t="s">
        <v>222</v>
      </c>
      <c r="R239" s="15" t="s">
        <v>217</v>
      </c>
      <c r="S239" s="15" t="s">
        <v>1030</v>
      </c>
      <c r="T239" s="15"/>
      <c r="U239" s="15"/>
      <c r="V239" s="15"/>
      <c r="W239" s="15"/>
      <c r="X239" s="15"/>
      <c r="Y239" s="15"/>
    </row>
    <row r="240" s="11" customFormat="1" hidden="1" customHeight="1" spans="1:25">
      <c r="A240" s="13"/>
      <c r="B240" s="14"/>
      <c r="C240" s="15" t="s">
        <v>1031</v>
      </c>
      <c r="D240" s="11" t="s">
        <v>1032</v>
      </c>
      <c r="E240" s="15" t="s">
        <v>1032</v>
      </c>
      <c r="F240" s="16" t="s">
        <v>1033</v>
      </c>
      <c r="G240" s="15" t="s">
        <v>1034</v>
      </c>
      <c r="H240" s="15" t="s">
        <v>1035</v>
      </c>
      <c r="I240" s="15" t="s">
        <v>1036</v>
      </c>
      <c r="J240" s="15" t="s">
        <v>1037</v>
      </c>
      <c r="K240" s="11" t="s">
        <v>185</v>
      </c>
      <c r="L240" s="15" t="s">
        <v>185</v>
      </c>
      <c r="M240" s="15" t="s">
        <v>186</v>
      </c>
      <c r="N240" s="15" t="s">
        <v>187</v>
      </c>
      <c r="O240" s="15"/>
      <c r="P240" s="17">
        <v>43640</v>
      </c>
      <c r="Q240" s="15" t="s">
        <v>219</v>
      </c>
      <c r="R240" s="15" t="s">
        <v>434</v>
      </c>
      <c r="S240" s="15" t="s">
        <v>1038</v>
      </c>
      <c r="T240" s="15" t="s">
        <v>1039</v>
      </c>
      <c r="U240" s="15" t="s">
        <v>1040</v>
      </c>
      <c r="V240" s="15" t="s">
        <v>975</v>
      </c>
      <c r="W240" s="15" t="s">
        <v>1041</v>
      </c>
      <c r="X240" s="15" t="s">
        <v>1042</v>
      </c>
      <c r="Y240" s="15" t="s">
        <v>1043</v>
      </c>
    </row>
    <row r="241" s="11" customFormat="1" hidden="1" customHeight="1" spans="1:25">
      <c r="A241" s="13"/>
      <c r="B241" s="14"/>
      <c r="C241" s="15"/>
      <c r="D241" s="11" t="str">
        <f>D240</f>
        <v>掌单</v>
      </c>
      <c r="E241" s="15"/>
      <c r="F241" s="16"/>
      <c r="G241" s="15"/>
      <c r="H241" s="15"/>
      <c r="I241" s="15"/>
      <c r="J241" s="15"/>
      <c r="K241" s="11" t="str">
        <f>K240</f>
        <v>运营中</v>
      </c>
      <c r="L241" s="15"/>
      <c r="M241" s="15"/>
      <c r="N241" s="15"/>
      <c r="O241" s="15"/>
      <c r="P241" s="17">
        <v>43308</v>
      </c>
      <c r="Q241" s="15" t="s">
        <v>222</v>
      </c>
      <c r="R241" s="15" t="s">
        <v>313</v>
      </c>
      <c r="S241" s="15" t="s">
        <v>1044</v>
      </c>
      <c r="T241" s="15"/>
      <c r="U241" s="15"/>
      <c r="V241" s="15"/>
      <c r="W241" s="15"/>
      <c r="X241" s="15"/>
      <c r="Y241" s="15"/>
    </row>
    <row r="242" s="11" customFormat="1" hidden="1" customHeight="1" spans="1:25">
      <c r="A242" s="13"/>
      <c r="B242" s="14"/>
      <c r="C242" s="15" t="s">
        <v>1045</v>
      </c>
      <c r="D242" s="11" t="s">
        <v>1046</v>
      </c>
      <c r="E242" s="15" t="s">
        <v>1046</v>
      </c>
      <c r="F242" s="16" t="s">
        <v>1047</v>
      </c>
      <c r="G242" s="15" t="s">
        <v>1048</v>
      </c>
      <c r="H242" s="15" t="s">
        <v>1049</v>
      </c>
      <c r="I242" s="15" t="s">
        <v>1050</v>
      </c>
      <c r="J242" s="15" t="s">
        <v>852</v>
      </c>
      <c r="K242" s="11" t="s">
        <v>185</v>
      </c>
      <c r="L242" s="15" t="s">
        <v>185</v>
      </c>
      <c r="M242" s="15" t="s">
        <v>837</v>
      </c>
      <c r="N242" s="15" t="s">
        <v>1051</v>
      </c>
      <c r="O242" s="15"/>
      <c r="P242" s="17">
        <v>44249</v>
      </c>
      <c r="Q242" s="15" t="s">
        <v>428</v>
      </c>
      <c r="R242" s="15" t="s">
        <v>1052</v>
      </c>
      <c r="S242" s="15" t="s">
        <v>1053</v>
      </c>
      <c r="T242" s="15" t="s">
        <v>1054</v>
      </c>
      <c r="U242" s="15" t="s">
        <v>1055</v>
      </c>
      <c r="V242" s="15" t="s">
        <v>1056</v>
      </c>
      <c r="W242" s="15" t="s">
        <v>1057</v>
      </c>
      <c r="X242" s="15" t="s">
        <v>1058</v>
      </c>
      <c r="Y242" s="15" t="s">
        <v>1059</v>
      </c>
    </row>
    <row r="243" s="3" customFormat="1" ht="85.5" customHeight="1" spans="1:25">
      <c r="A243" s="1"/>
      <c r="B243" s="7"/>
      <c r="C243" s="8"/>
      <c r="D243" s="11" t="str">
        <f t="shared" ref="D243:D244" si="64">D242</f>
        <v>望家欢</v>
      </c>
      <c r="E243" s="8"/>
      <c r="F243" s="9"/>
      <c r="G243" s="15"/>
      <c r="H243" s="15"/>
      <c r="I243" s="8"/>
      <c r="J243" s="8"/>
      <c r="K243" s="11" t="str">
        <f t="shared" ref="K243:K244" si="65">K242</f>
        <v>运营中</v>
      </c>
      <c r="L243" s="8"/>
      <c r="M243" s="8"/>
      <c r="N243" s="8"/>
      <c r="O243" s="8"/>
      <c r="P243" s="10">
        <v>43899</v>
      </c>
      <c r="Q243" s="8" t="s">
        <v>868</v>
      </c>
      <c r="R243" s="8" t="s">
        <v>1060</v>
      </c>
      <c r="S243" s="8" t="s">
        <v>1061</v>
      </c>
      <c r="T243" s="8"/>
      <c r="U243" s="8"/>
      <c r="V243" s="9"/>
      <c r="W243" s="15"/>
      <c r="X243" s="15"/>
      <c r="Y243" s="15"/>
    </row>
    <row r="244" s="11" customFormat="1" hidden="1" customHeight="1" spans="1:25">
      <c r="A244" s="13"/>
      <c r="B244" s="14"/>
      <c r="C244" s="15"/>
      <c r="D244" s="11" t="str">
        <f t="shared" si="64"/>
        <v>望家欢</v>
      </c>
      <c r="E244" s="15"/>
      <c r="F244" s="16"/>
      <c r="G244" s="15"/>
      <c r="H244" s="15"/>
      <c r="I244" s="15"/>
      <c r="J244" s="15"/>
      <c r="K244" s="11" t="str">
        <f t="shared" si="65"/>
        <v>运营中</v>
      </c>
      <c r="L244" s="15"/>
      <c r="M244" s="15"/>
      <c r="N244" s="15"/>
      <c r="O244" s="15"/>
      <c r="P244" s="17">
        <v>43314</v>
      </c>
      <c r="Q244" s="15" t="s">
        <v>222</v>
      </c>
      <c r="R244" s="15" t="s">
        <v>997</v>
      </c>
      <c r="S244" s="15" t="s">
        <v>1062</v>
      </c>
      <c r="T244" s="15"/>
      <c r="U244" s="15"/>
      <c r="V244" s="15"/>
      <c r="W244" s="15"/>
      <c r="X244" s="15"/>
      <c r="Y244" s="15"/>
    </row>
    <row r="245" s="11" customFormat="1" hidden="1" customHeight="1" spans="1:25">
      <c r="A245" s="13"/>
      <c r="B245" s="14"/>
      <c r="C245" s="15" t="s">
        <v>1063</v>
      </c>
      <c r="D245" s="11" t="s">
        <v>1064</v>
      </c>
      <c r="E245" s="15" t="s">
        <v>1064</v>
      </c>
      <c r="F245" s="16" t="s">
        <v>1065</v>
      </c>
      <c r="G245" s="15" t="s">
        <v>1066</v>
      </c>
      <c r="H245" s="15" t="s">
        <v>1067</v>
      </c>
      <c r="I245" s="15" t="s">
        <v>1068</v>
      </c>
      <c r="J245" s="15" t="s">
        <v>1037</v>
      </c>
      <c r="K245" s="11" t="s">
        <v>185</v>
      </c>
      <c r="L245" s="15" t="s">
        <v>185</v>
      </c>
      <c r="M245" s="15" t="s">
        <v>515</v>
      </c>
      <c r="N245" s="15" t="s">
        <v>651</v>
      </c>
      <c r="O245" s="15"/>
      <c r="P245" s="17">
        <v>43463</v>
      </c>
      <c r="Q245" s="15" t="s">
        <v>207</v>
      </c>
      <c r="R245" s="15" t="s">
        <v>217</v>
      </c>
      <c r="S245" s="15" t="s">
        <v>1069</v>
      </c>
      <c r="T245" s="15" t="s">
        <v>747</v>
      </c>
      <c r="U245" s="15" t="s">
        <v>1070</v>
      </c>
      <c r="V245" s="15" t="s">
        <v>1071</v>
      </c>
      <c r="W245" s="15" t="s">
        <v>1072</v>
      </c>
      <c r="X245" s="15" t="s">
        <v>1073</v>
      </c>
      <c r="Y245" s="15" t="s">
        <v>1074</v>
      </c>
    </row>
    <row r="246" s="11" customFormat="1" hidden="1" customHeight="1" spans="1:25">
      <c r="A246" s="13"/>
      <c r="B246" s="14"/>
      <c r="C246" s="15"/>
      <c r="D246" s="11" t="str">
        <f>D245</f>
        <v>WKUP单车</v>
      </c>
      <c r="E246" s="15"/>
      <c r="F246" s="16"/>
      <c r="G246" s="15"/>
      <c r="H246" s="15"/>
      <c r="I246" s="15"/>
      <c r="J246" s="15"/>
      <c r="K246" s="11" t="str">
        <f>K245</f>
        <v>运营中</v>
      </c>
      <c r="L246" s="15"/>
      <c r="M246" s="15"/>
      <c r="N246" s="15"/>
      <c r="O246" s="15"/>
      <c r="P246" s="17">
        <v>42159</v>
      </c>
      <c r="Q246" s="15" t="s">
        <v>196</v>
      </c>
      <c r="R246" s="15" t="s">
        <v>197</v>
      </c>
      <c r="S246" s="15" t="s">
        <v>1075</v>
      </c>
      <c r="T246" s="15"/>
      <c r="U246" s="15"/>
      <c r="V246" s="15"/>
      <c r="W246" s="15"/>
      <c r="X246" s="15"/>
      <c r="Y246" s="15"/>
    </row>
    <row r="247" s="3" customFormat="1" ht="85.5" customHeight="1" spans="1:25">
      <c r="A247" s="1"/>
      <c r="B247" s="7"/>
      <c r="C247" s="8" t="s">
        <v>1076</v>
      </c>
      <c r="D247" s="11" t="s">
        <v>1077</v>
      </c>
      <c r="E247" s="8" t="s">
        <v>1078</v>
      </c>
      <c r="F247" s="9" t="s">
        <v>1079</v>
      </c>
      <c r="G247" s="15" t="s">
        <v>1080</v>
      </c>
      <c r="H247" s="15" t="s">
        <v>1081</v>
      </c>
      <c r="I247" s="8" t="s">
        <v>1082</v>
      </c>
      <c r="J247" s="8" t="s">
        <v>807</v>
      </c>
      <c r="K247" s="11" t="s">
        <v>185</v>
      </c>
      <c r="L247" s="8" t="s">
        <v>278</v>
      </c>
      <c r="M247" s="8" t="s">
        <v>57</v>
      </c>
      <c r="N247" s="8" t="s">
        <v>1083</v>
      </c>
      <c r="O247" s="8"/>
      <c r="P247" s="10">
        <v>43832</v>
      </c>
      <c r="Q247" s="8" t="s">
        <v>280</v>
      </c>
      <c r="R247" s="8" t="s">
        <v>430</v>
      </c>
      <c r="S247" s="8" t="s">
        <v>809</v>
      </c>
      <c r="T247" s="8" t="s">
        <v>1084</v>
      </c>
      <c r="U247" s="8" t="s">
        <v>1085</v>
      </c>
      <c r="V247" s="9"/>
      <c r="W247" s="15" t="s">
        <v>1086</v>
      </c>
      <c r="X247" s="15" t="s">
        <v>1087</v>
      </c>
      <c r="Y247" s="15"/>
    </row>
    <row r="248" s="11" customFormat="1" hidden="1" customHeight="1" spans="1:25">
      <c r="A248" s="13"/>
      <c r="B248" s="14"/>
      <c r="C248" s="15"/>
      <c r="D248" s="11" t="str">
        <f>D247</f>
        <v>壹号食品</v>
      </c>
      <c r="E248" s="15"/>
      <c r="F248" s="16"/>
      <c r="G248" s="15"/>
      <c r="H248" s="15"/>
      <c r="I248" s="15"/>
      <c r="J248" s="15"/>
      <c r="K248" s="11" t="str">
        <f>K247</f>
        <v>运营中</v>
      </c>
      <c r="L248" s="15"/>
      <c r="M248" s="15"/>
      <c r="N248" s="15"/>
      <c r="O248" s="15"/>
      <c r="P248" s="17">
        <v>43628</v>
      </c>
      <c r="Q248" s="15" t="s">
        <v>207</v>
      </c>
      <c r="R248" s="15" t="s">
        <v>736</v>
      </c>
      <c r="S248" s="15" t="s">
        <v>1088</v>
      </c>
      <c r="T248" s="15"/>
      <c r="U248" s="15"/>
      <c r="V248" s="15"/>
      <c r="W248" s="15"/>
      <c r="X248" s="15"/>
      <c r="Y248" s="15"/>
    </row>
    <row r="249" s="3" customFormat="1" ht="85.5" customHeight="1" spans="1:25">
      <c r="A249" s="1"/>
      <c r="B249" s="7"/>
      <c r="C249" s="8" t="s">
        <v>1089</v>
      </c>
      <c r="D249" s="11" t="s">
        <v>1090</v>
      </c>
      <c r="E249" s="8" t="s">
        <v>1091</v>
      </c>
      <c r="F249" s="9" t="s">
        <v>1092</v>
      </c>
      <c r="G249" s="15" t="s">
        <v>1093</v>
      </c>
      <c r="H249" s="15" t="s">
        <v>1094</v>
      </c>
      <c r="I249" s="8" t="s">
        <v>1095</v>
      </c>
      <c r="J249" s="8" t="s">
        <v>1096</v>
      </c>
      <c r="K249" s="11" t="s">
        <v>185</v>
      </c>
      <c r="L249" s="8" t="s">
        <v>278</v>
      </c>
      <c r="M249" s="8" t="s">
        <v>33</v>
      </c>
      <c r="N249" s="8" t="s">
        <v>1097</v>
      </c>
      <c r="O249" s="8"/>
      <c r="P249" s="10">
        <v>44620</v>
      </c>
      <c r="Q249" s="8" t="s">
        <v>865</v>
      </c>
      <c r="R249" s="8" t="s">
        <v>1098</v>
      </c>
      <c r="S249" s="8" t="s">
        <v>1099</v>
      </c>
      <c r="T249" s="8" t="s">
        <v>1100</v>
      </c>
      <c r="U249" s="8" t="s">
        <v>1101</v>
      </c>
      <c r="V249" s="9" t="s">
        <v>1102</v>
      </c>
      <c r="W249" s="15" t="s">
        <v>1103</v>
      </c>
      <c r="X249" s="15" t="s">
        <v>1104</v>
      </c>
      <c r="Y249" s="15" t="s">
        <v>1105</v>
      </c>
    </row>
    <row r="250" s="3" customFormat="1" ht="85.5" customHeight="1" spans="1:25">
      <c r="A250" s="1"/>
      <c r="B250" s="7"/>
      <c r="C250" s="8"/>
      <c r="D250" s="11" t="str">
        <f t="shared" ref="D250:D253" si="66">D249</f>
        <v>嬴彻科技</v>
      </c>
      <c r="E250" s="8"/>
      <c r="F250" s="9"/>
      <c r="G250" s="15"/>
      <c r="H250" s="15"/>
      <c r="I250" s="8"/>
      <c r="J250" s="8"/>
      <c r="K250" s="11" t="str">
        <f t="shared" ref="K250:K253" si="67">K249</f>
        <v>运营中</v>
      </c>
      <c r="L250" s="8"/>
      <c r="M250" s="8"/>
      <c r="N250" s="8"/>
      <c r="O250" s="8"/>
      <c r="P250" s="10">
        <v>44411</v>
      </c>
      <c r="Q250" s="8" t="s">
        <v>868</v>
      </c>
      <c r="R250" s="8" t="s">
        <v>1106</v>
      </c>
      <c r="S250" s="8" t="s">
        <v>1107</v>
      </c>
      <c r="T250" s="8"/>
      <c r="U250" s="8"/>
      <c r="V250" s="9"/>
      <c r="W250" s="15"/>
      <c r="X250" s="15"/>
      <c r="Y250" s="15"/>
    </row>
    <row r="251" s="11" customFormat="1" hidden="1" customHeight="1" spans="1:25">
      <c r="A251" s="13"/>
      <c r="B251" s="14"/>
      <c r="C251" s="15"/>
      <c r="D251" s="11" t="str">
        <f t="shared" si="66"/>
        <v>嬴彻科技</v>
      </c>
      <c r="E251" s="15"/>
      <c r="F251" s="16"/>
      <c r="G251" s="15"/>
      <c r="H251" s="15"/>
      <c r="I251" s="15"/>
      <c r="J251" s="15"/>
      <c r="K251" s="11" t="str">
        <f t="shared" si="67"/>
        <v>运营中</v>
      </c>
      <c r="L251" s="15"/>
      <c r="M251" s="15"/>
      <c r="N251" s="15"/>
      <c r="O251" s="15"/>
      <c r="P251" s="17">
        <v>44144</v>
      </c>
      <c r="Q251" s="15" t="s">
        <v>207</v>
      </c>
      <c r="R251" s="15" t="s">
        <v>1108</v>
      </c>
      <c r="S251" s="15" t="s">
        <v>1109</v>
      </c>
      <c r="T251" s="15"/>
      <c r="U251" s="15"/>
      <c r="V251" s="15"/>
      <c r="W251" s="15"/>
      <c r="X251" s="15"/>
      <c r="Y251" s="15"/>
    </row>
    <row r="252" s="11" customFormat="1" hidden="1" customHeight="1" spans="1:25">
      <c r="A252" s="13"/>
      <c r="B252" s="14"/>
      <c r="C252" s="15"/>
      <c r="D252" s="11" t="str">
        <f t="shared" si="66"/>
        <v>嬴彻科技</v>
      </c>
      <c r="E252" s="15"/>
      <c r="F252" s="16"/>
      <c r="G252" s="15"/>
      <c r="H252" s="15"/>
      <c r="I252" s="15"/>
      <c r="J252" s="15"/>
      <c r="K252" s="11" t="str">
        <f t="shared" si="67"/>
        <v>运营中</v>
      </c>
      <c r="L252" s="15"/>
      <c r="M252" s="15"/>
      <c r="N252" s="15"/>
      <c r="O252" s="15"/>
      <c r="P252" s="17">
        <v>43950</v>
      </c>
      <c r="Q252" s="15" t="s">
        <v>207</v>
      </c>
      <c r="R252" s="15" t="s">
        <v>565</v>
      </c>
      <c r="S252" s="15" t="s">
        <v>262</v>
      </c>
      <c r="T252" s="15"/>
      <c r="U252" s="15"/>
      <c r="V252" s="15"/>
      <c r="W252" s="15"/>
      <c r="X252" s="15"/>
      <c r="Y252" s="15"/>
    </row>
    <row r="253" s="11" customFormat="1" hidden="1" customHeight="1" spans="1:25">
      <c r="A253" s="13"/>
      <c r="B253" s="14"/>
      <c r="C253" s="15"/>
      <c r="D253" s="11" t="str">
        <f t="shared" si="66"/>
        <v>嬴彻科技</v>
      </c>
      <c r="E253" s="15"/>
      <c r="F253" s="16"/>
      <c r="G253" s="15"/>
      <c r="H253" s="15"/>
      <c r="I253" s="15"/>
      <c r="J253" s="15"/>
      <c r="K253" s="11" t="str">
        <f t="shared" si="67"/>
        <v>运营中</v>
      </c>
      <c r="L253" s="15"/>
      <c r="M253" s="15"/>
      <c r="N253" s="15"/>
      <c r="O253" s="15"/>
      <c r="P253" s="17">
        <v>43135</v>
      </c>
      <c r="Q253" s="15" t="s">
        <v>207</v>
      </c>
      <c r="R253" s="15" t="s">
        <v>220</v>
      </c>
      <c r="S253" s="15" t="s">
        <v>1110</v>
      </c>
      <c r="T253" s="15"/>
      <c r="U253" s="15"/>
      <c r="V253" s="15"/>
      <c r="W253" s="15"/>
      <c r="X253" s="15"/>
      <c r="Y253" s="15"/>
    </row>
    <row r="254" s="11" customFormat="1" hidden="1" customHeight="1" spans="1:25">
      <c r="A254" s="13"/>
      <c r="B254" s="14"/>
      <c r="C254" s="15" t="s">
        <v>1111</v>
      </c>
      <c r="D254" s="11" t="s">
        <v>1112</v>
      </c>
      <c r="E254" s="15" t="s">
        <v>1112</v>
      </c>
      <c r="F254" s="16" t="s">
        <v>1113</v>
      </c>
      <c r="G254" s="15"/>
      <c r="H254" s="15" t="s">
        <v>1114</v>
      </c>
      <c r="I254" s="15" t="s">
        <v>1115</v>
      </c>
      <c r="J254" s="15" t="s">
        <v>1116</v>
      </c>
      <c r="K254" s="11" t="s">
        <v>185</v>
      </c>
      <c r="L254" s="15" t="s">
        <v>185</v>
      </c>
      <c r="M254" s="15" t="s">
        <v>297</v>
      </c>
      <c r="N254" s="15" t="s">
        <v>298</v>
      </c>
      <c r="O254" s="15"/>
      <c r="P254" s="17">
        <v>44432</v>
      </c>
      <c r="Q254" s="15" t="s">
        <v>216</v>
      </c>
      <c r="R254" s="15" t="s">
        <v>1117</v>
      </c>
      <c r="S254" s="15" t="s">
        <v>1118</v>
      </c>
      <c r="T254" s="15" t="s">
        <v>1119</v>
      </c>
      <c r="U254" s="15" t="s">
        <v>1120</v>
      </c>
      <c r="V254" s="15" t="s">
        <v>1121</v>
      </c>
      <c r="W254" s="15"/>
      <c r="X254" s="15"/>
      <c r="Y254" s="15"/>
    </row>
    <row r="255" s="11" customFormat="1" hidden="1" customHeight="1" spans="1:25">
      <c r="A255" s="13"/>
      <c r="B255" s="14"/>
      <c r="C255" s="15"/>
      <c r="D255" s="11" t="str">
        <f t="shared" ref="D255:D256" si="68">D254</f>
        <v>OPay</v>
      </c>
      <c r="E255" s="15"/>
      <c r="F255" s="16"/>
      <c r="G255" s="15"/>
      <c r="H255" s="15"/>
      <c r="I255" s="15"/>
      <c r="J255" s="15"/>
      <c r="K255" s="11" t="str">
        <f t="shared" ref="K255:K256" si="69">K254</f>
        <v>运营中</v>
      </c>
      <c r="L255" s="15"/>
      <c r="M255" s="15"/>
      <c r="N255" s="15"/>
      <c r="O255" s="15"/>
      <c r="P255" s="17">
        <v>43788</v>
      </c>
      <c r="Q255" s="15" t="s">
        <v>219</v>
      </c>
      <c r="R255" s="15" t="s">
        <v>1108</v>
      </c>
      <c r="S255" s="15" t="s">
        <v>1122</v>
      </c>
      <c r="T255" s="15"/>
      <c r="U255" s="15"/>
      <c r="V255" s="15"/>
      <c r="W255" s="15"/>
      <c r="X255" s="15"/>
      <c r="Y255" s="15"/>
    </row>
    <row r="256" s="11" customFormat="1" hidden="1" customHeight="1" spans="1:25">
      <c r="A256" s="13"/>
      <c r="B256" s="14"/>
      <c r="C256" s="15"/>
      <c r="D256" s="11" t="str">
        <f t="shared" si="68"/>
        <v>OPay</v>
      </c>
      <c r="E256" s="15"/>
      <c r="F256" s="16"/>
      <c r="G256" s="15"/>
      <c r="H256" s="15"/>
      <c r="I256" s="15"/>
      <c r="J256" s="15"/>
      <c r="K256" s="11" t="str">
        <f t="shared" si="69"/>
        <v>运营中</v>
      </c>
      <c r="L256" s="15"/>
      <c r="M256" s="15"/>
      <c r="N256" s="15"/>
      <c r="O256" s="15"/>
      <c r="P256" s="17">
        <v>43657</v>
      </c>
      <c r="Q256" s="15" t="s">
        <v>222</v>
      </c>
      <c r="R256" s="15" t="s">
        <v>660</v>
      </c>
      <c r="S256" s="15" t="s">
        <v>1123</v>
      </c>
      <c r="T256" s="15"/>
      <c r="U256" s="15"/>
      <c r="V256" s="15"/>
      <c r="W256" s="15"/>
      <c r="X256" s="15"/>
      <c r="Y256" s="15"/>
    </row>
    <row r="257" s="11" customFormat="1" hidden="1" customHeight="1" spans="1:25">
      <c r="A257" s="13"/>
      <c r="B257" s="14"/>
      <c r="C257" s="15" t="s">
        <v>1124</v>
      </c>
      <c r="D257" s="11" t="s">
        <v>1125</v>
      </c>
      <c r="E257" s="15" t="s">
        <v>1125</v>
      </c>
      <c r="F257" s="16" t="s">
        <v>1126</v>
      </c>
      <c r="G257" s="15" t="s">
        <v>1127</v>
      </c>
      <c r="H257" s="15"/>
      <c r="I257" s="15" t="s">
        <v>1128</v>
      </c>
      <c r="J257" s="15" t="s">
        <v>184</v>
      </c>
      <c r="K257" s="11" t="s">
        <v>185</v>
      </c>
      <c r="L257" s="15" t="s">
        <v>185</v>
      </c>
      <c r="M257" s="15" t="s">
        <v>205</v>
      </c>
      <c r="N257" s="15" t="s">
        <v>1129</v>
      </c>
      <c r="O257" s="15">
        <v>1</v>
      </c>
      <c r="P257" s="17">
        <v>45106</v>
      </c>
      <c r="Q257" s="15" t="s">
        <v>188</v>
      </c>
      <c r="R257" s="15" t="s">
        <v>1130</v>
      </c>
      <c r="S257" s="15" t="s">
        <v>177</v>
      </c>
      <c r="T257" s="15" t="s">
        <v>1131</v>
      </c>
      <c r="U257" s="15" t="s">
        <v>1132</v>
      </c>
      <c r="V257" s="15" t="s">
        <v>1133</v>
      </c>
      <c r="W257" s="15" t="s">
        <v>1134</v>
      </c>
      <c r="X257" s="15">
        <v>13661305870</v>
      </c>
      <c r="Y257" s="15" t="s">
        <v>1135</v>
      </c>
    </row>
    <row r="258" s="11" customFormat="1" hidden="1" customHeight="1" spans="1:25">
      <c r="A258" s="13"/>
      <c r="B258" s="14"/>
      <c r="C258" s="15"/>
      <c r="D258" s="11" t="str">
        <f t="shared" ref="D258:D260" si="70">D257</f>
        <v>光年之外</v>
      </c>
      <c r="E258" s="15"/>
      <c r="F258" s="16"/>
      <c r="G258" s="15"/>
      <c r="H258" s="15"/>
      <c r="I258" s="15"/>
      <c r="J258" s="15"/>
      <c r="K258" s="11" t="str">
        <f t="shared" ref="K258:K260" si="71">K257</f>
        <v>运营中</v>
      </c>
      <c r="L258" s="15"/>
      <c r="M258" s="15"/>
      <c r="N258" s="15"/>
      <c r="O258" s="15">
        <v>1</v>
      </c>
      <c r="P258" s="17">
        <v>45082</v>
      </c>
      <c r="Q258" s="15" t="s">
        <v>207</v>
      </c>
      <c r="R258" s="15" t="s">
        <v>733</v>
      </c>
      <c r="S258" s="15" t="s">
        <v>1136</v>
      </c>
      <c r="T258" s="15"/>
      <c r="U258" s="15"/>
      <c r="V258" s="15"/>
      <c r="W258" s="15"/>
      <c r="X258" s="15"/>
      <c r="Y258" s="15"/>
    </row>
    <row r="259" s="11" customFormat="1" hidden="1" customHeight="1" spans="1:25">
      <c r="A259" s="13"/>
      <c r="B259" s="14"/>
      <c r="C259" s="15"/>
      <c r="D259" s="11" t="str">
        <f t="shared" si="70"/>
        <v>光年之外</v>
      </c>
      <c r="E259" s="15"/>
      <c r="F259" s="16"/>
      <c r="G259" s="15"/>
      <c r="H259" s="15"/>
      <c r="I259" s="15"/>
      <c r="J259" s="15"/>
      <c r="K259" s="11" t="str">
        <f t="shared" si="71"/>
        <v>运营中</v>
      </c>
      <c r="L259" s="15"/>
      <c r="M259" s="15"/>
      <c r="N259" s="15"/>
      <c r="O259" s="15">
        <v>1</v>
      </c>
      <c r="P259" s="17">
        <v>44993</v>
      </c>
      <c r="Q259" s="15" t="s">
        <v>222</v>
      </c>
      <c r="R259" s="15" t="s">
        <v>313</v>
      </c>
      <c r="S259" s="15" t="s">
        <v>1137</v>
      </c>
      <c r="T259" s="15"/>
      <c r="U259" s="15"/>
      <c r="V259" s="15"/>
      <c r="W259" s="15"/>
      <c r="X259" s="15"/>
      <c r="Y259" s="15"/>
    </row>
    <row r="260" s="11" customFormat="1" hidden="1" customHeight="1" spans="1:25">
      <c r="A260" s="13"/>
      <c r="B260" s="14"/>
      <c r="C260" s="15"/>
      <c r="D260" s="11" t="str">
        <f t="shared" si="70"/>
        <v>光年之外</v>
      </c>
      <c r="E260" s="15"/>
      <c r="F260" s="16"/>
      <c r="G260" s="15"/>
      <c r="H260" s="15"/>
      <c r="I260" s="15"/>
      <c r="J260" s="15"/>
      <c r="K260" s="11" t="str">
        <f t="shared" si="71"/>
        <v>运营中</v>
      </c>
      <c r="L260" s="15"/>
      <c r="M260" s="15"/>
      <c r="N260" s="15"/>
      <c r="O260" s="15">
        <v>1</v>
      </c>
      <c r="P260" s="17">
        <v>44970</v>
      </c>
      <c r="Q260" s="15" t="s">
        <v>196</v>
      </c>
      <c r="R260" s="15" t="s">
        <v>660</v>
      </c>
      <c r="S260" s="15" t="s">
        <v>1138</v>
      </c>
      <c r="T260" s="15"/>
      <c r="U260" s="15"/>
      <c r="V260" s="15"/>
      <c r="W260" s="15"/>
      <c r="X260" s="15"/>
      <c r="Y260" s="15"/>
    </row>
    <row r="261" s="3" customFormat="1" ht="85.5" customHeight="1" spans="1:25">
      <c r="A261" s="1"/>
      <c r="B261" s="7"/>
      <c r="C261" s="8" t="s">
        <v>1139</v>
      </c>
      <c r="D261" s="11" t="s">
        <v>1140</v>
      </c>
      <c r="E261" s="8" t="s">
        <v>1141</v>
      </c>
      <c r="F261" s="9" t="s">
        <v>1142</v>
      </c>
      <c r="G261" s="15" t="s">
        <v>1143</v>
      </c>
      <c r="H261" s="15"/>
      <c r="I261" s="8" t="s">
        <v>1144</v>
      </c>
      <c r="J261" s="8" t="s">
        <v>1145</v>
      </c>
      <c r="K261" s="11" t="s">
        <v>185</v>
      </c>
      <c r="L261" s="8" t="s">
        <v>278</v>
      </c>
      <c r="M261" s="8" t="s">
        <v>44</v>
      </c>
      <c r="N261" s="8" t="s">
        <v>988</v>
      </c>
      <c r="O261" s="8"/>
      <c r="P261" s="10">
        <v>44406</v>
      </c>
      <c r="Q261" s="8" t="s">
        <v>868</v>
      </c>
      <c r="R261" s="8" t="s">
        <v>919</v>
      </c>
      <c r="S261" s="8" t="s">
        <v>1146</v>
      </c>
      <c r="T261" s="8" t="s">
        <v>1147</v>
      </c>
      <c r="U261" s="8" t="s">
        <v>1148</v>
      </c>
      <c r="V261" s="9" t="s">
        <v>1149</v>
      </c>
      <c r="W261" s="15" t="s">
        <v>1150</v>
      </c>
      <c r="X261" s="15"/>
      <c r="Y261" s="15"/>
    </row>
    <row r="262" s="11" customFormat="1" hidden="1" customHeight="1" spans="1:25">
      <c r="A262" s="13"/>
      <c r="B262" s="14"/>
      <c r="C262" s="15"/>
      <c r="D262" s="11" t="str">
        <f t="shared" ref="D262:D264" si="72">D261</f>
        <v>恩和生物</v>
      </c>
      <c r="E262" s="15"/>
      <c r="F262" s="16"/>
      <c r="G262" s="15"/>
      <c r="H262" s="15"/>
      <c r="I262" s="15"/>
      <c r="J262" s="15"/>
      <c r="K262" s="11" t="str">
        <f t="shared" ref="K262:K264" si="73">K261</f>
        <v>运营中</v>
      </c>
      <c r="L262" s="15"/>
      <c r="M262" s="15"/>
      <c r="N262" s="15"/>
      <c r="O262" s="15"/>
      <c r="P262" s="17">
        <v>44272</v>
      </c>
      <c r="Q262" s="15" t="s">
        <v>222</v>
      </c>
      <c r="R262" s="15" t="s">
        <v>220</v>
      </c>
      <c r="S262" s="15" t="s">
        <v>1151</v>
      </c>
      <c r="T262" s="15"/>
      <c r="U262" s="15"/>
      <c r="V262" s="15"/>
      <c r="W262" s="15"/>
      <c r="X262" s="15"/>
      <c r="Y262" s="15"/>
    </row>
    <row r="263" s="11" customFormat="1" hidden="1" customHeight="1" spans="1:25">
      <c r="A263" s="13"/>
      <c r="B263" s="14"/>
      <c r="C263" s="15"/>
      <c r="D263" s="11" t="str">
        <f t="shared" si="72"/>
        <v>恩和生物</v>
      </c>
      <c r="E263" s="15"/>
      <c r="F263" s="16"/>
      <c r="G263" s="15"/>
      <c r="H263" s="15"/>
      <c r="I263" s="15"/>
      <c r="J263" s="15"/>
      <c r="K263" s="11" t="str">
        <f t="shared" si="73"/>
        <v>运营中</v>
      </c>
      <c r="L263" s="15"/>
      <c r="M263" s="15"/>
      <c r="N263" s="15"/>
      <c r="O263" s="15"/>
      <c r="P263" s="17">
        <v>44099</v>
      </c>
      <c r="Q263" s="15" t="s">
        <v>393</v>
      </c>
      <c r="R263" s="15" t="s">
        <v>600</v>
      </c>
      <c r="S263" s="15" t="s">
        <v>1152</v>
      </c>
      <c r="T263" s="15"/>
      <c r="U263" s="15"/>
      <c r="V263" s="15"/>
      <c r="W263" s="15"/>
      <c r="X263" s="15"/>
      <c r="Y263" s="15"/>
    </row>
    <row r="264" s="11" customFormat="1" hidden="1" customHeight="1" spans="1:25">
      <c r="A264" s="13"/>
      <c r="B264" s="14"/>
      <c r="C264" s="15"/>
      <c r="D264" s="11" t="str">
        <f t="shared" si="72"/>
        <v>恩和生物</v>
      </c>
      <c r="E264" s="15"/>
      <c r="F264" s="16"/>
      <c r="G264" s="15"/>
      <c r="H264" s="15"/>
      <c r="I264" s="15"/>
      <c r="J264" s="15"/>
      <c r="K264" s="11" t="str">
        <f t="shared" si="73"/>
        <v>运营中</v>
      </c>
      <c r="L264" s="15"/>
      <c r="M264" s="15"/>
      <c r="N264" s="15"/>
      <c r="O264" s="15"/>
      <c r="P264" s="17">
        <v>43718</v>
      </c>
      <c r="Q264" s="15" t="s">
        <v>905</v>
      </c>
      <c r="R264" s="15" t="s">
        <v>223</v>
      </c>
      <c r="S264" s="15" t="s">
        <v>1153</v>
      </c>
      <c r="T264" s="15"/>
      <c r="U264" s="15"/>
      <c r="V264" s="15"/>
      <c r="W264" s="15"/>
      <c r="X264" s="15"/>
      <c r="Y264" s="15"/>
    </row>
    <row r="265" s="11" customFormat="1" hidden="1" customHeight="1" spans="1:25">
      <c r="A265" s="13"/>
      <c r="B265" s="14"/>
      <c r="C265" s="15" t="s">
        <v>1154</v>
      </c>
      <c r="D265" s="11" t="s">
        <v>1155</v>
      </c>
      <c r="E265" s="15" t="s">
        <v>1155</v>
      </c>
      <c r="F265" s="16" t="s">
        <v>1156</v>
      </c>
      <c r="G265" s="15" t="s">
        <v>1157</v>
      </c>
      <c r="H265" s="15" t="s">
        <v>1158</v>
      </c>
      <c r="I265" s="15" t="s">
        <v>1159</v>
      </c>
      <c r="J265" s="15" t="s">
        <v>1160</v>
      </c>
      <c r="K265" s="11" t="s">
        <v>185</v>
      </c>
      <c r="L265" s="15" t="s">
        <v>185</v>
      </c>
      <c r="M265" s="15" t="s">
        <v>515</v>
      </c>
      <c r="N265" s="15" t="s">
        <v>516</v>
      </c>
      <c r="O265" s="15"/>
      <c r="P265" s="17">
        <v>44662</v>
      </c>
      <c r="Q265" s="15" t="s">
        <v>334</v>
      </c>
      <c r="R265" s="15" t="s">
        <v>269</v>
      </c>
      <c r="S265" s="15" t="s">
        <v>1161</v>
      </c>
      <c r="T265" s="15" t="s">
        <v>1162</v>
      </c>
      <c r="U265" s="15" t="s">
        <v>787</v>
      </c>
      <c r="V265" s="15" t="s">
        <v>1163</v>
      </c>
      <c r="W265" s="15" t="s">
        <v>1164</v>
      </c>
      <c r="X265" s="15" t="s">
        <v>1165</v>
      </c>
      <c r="Y265" s="15" t="s">
        <v>1166</v>
      </c>
    </row>
    <row r="266" s="3" customFormat="1" ht="85.5" customHeight="1" spans="1:25">
      <c r="A266" s="1"/>
      <c r="B266" s="7"/>
      <c r="C266" s="8"/>
      <c r="D266" s="11" t="str">
        <f t="shared" ref="D266:D267" si="74">D265</f>
        <v>毫末智行</v>
      </c>
      <c r="E266" s="8"/>
      <c r="F266" s="9"/>
      <c r="G266" s="15"/>
      <c r="H266" s="15"/>
      <c r="I266" s="8"/>
      <c r="J266" s="8"/>
      <c r="K266" s="11" t="str">
        <f t="shared" ref="K266:K267" si="75">K265</f>
        <v>运营中</v>
      </c>
      <c r="L266" s="8"/>
      <c r="M266" s="8"/>
      <c r="N266" s="8"/>
      <c r="O266" s="8"/>
      <c r="P266" s="10">
        <v>44552</v>
      </c>
      <c r="Q266" s="8" t="s">
        <v>1167</v>
      </c>
      <c r="R266" s="8" t="s">
        <v>792</v>
      </c>
      <c r="S266" s="8" t="s">
        <v>1168</v>
      </c>
      <c r="T266" s="8"/>
      <c r="U266" s="8"/>
      <c r="V266" s="9"/>
      <c r="W266" s="15"/>
      <c r="X266" s="15"/>
      <c r="Y266" s="15"/>
    </row>
    <row r="267" s="3" customFormat="1" ht="85.5" customHeight="1" spans="1:25">
      <c r="A267" s="1"/>
      <c r="B267" s="7"/>
      <c r="C267" s="8"/>
      <c r="D267" s="11" t="str">
        <f t="shared" si="74"/>
        <v>毫末智行</v>
      </c>
      <c r="E267" s="8"/>
      <c r="F267" s="9"/>
      <c r="G267" s="15"/>
      <c r="H267" s="15"/>
      <c r="I267" s="8"/>
      <c r="J267" s="8"/>
      <c r="K267" s="11" t="str">
        <f t="shared" si="75"/>
        <v>运营中</v>
      </c>
      <c r="L267" s="8"/>
      <c r="M267" s="8"/>
      <c r="N267" s="8"/>
      <c r="O267" s="8"/>
      <c r="P267" s="10">
        <v>44249</v>
      </c>
      <c r="Q267" s="8" t="s">
        <v>1169</v>
      </c>
      <c r="R267" s="8" t="s">
        <v>1170</v>
      </c>
      <c r="S267" s="8" t="s">
        <v>1171</v>
      </c>
      <c r="T267" s="8"/>
      <c r="U267" s="8"/>
      <c r="V267" s="9"/>
      <c r="W267" s="15"/>
      <c r="X267" s="15"/>
      <c r="Y267" s="15"/>
    </row>
    <row r="268" s="3" customFormat="1" ht="85.5" customHeight="1" spans="1:25">
      <c r="A268" s="1"/>
      <c r="B268" s="7"/>
      <c r="C268" s="8" t="s">
        <v>1172</v>
      </c>
      <c r="D268" s="11" t="s">
        <v>1173</v>
      </c>
      <c r="E268" s="8" t="s">
        <v>1174</v>
      </c>
      <c r="F268" s="9" t="s">
        <v>1175</v>
      </c>
      <c r="G268" s="15" t="s">
        <v>1176</v>
      </c>
      <c r="H268" s="15" t="s">
        <v>1177</v>
      </c>
      <c r="I268" s="8" t="s">
        <v>1178</v>
      </c>
      <c r="J268" s="8" t="s">
        <v>890</v>
      </c>
      <c r="K268" s="11" t="s">
        <v>185</v>
      </c>
      <c r="L268" s="8" t="s">
        <v>278</v>
      </c>
      <c r="M268" s="8" t="s">
        <v>19</v>
      </c>
      <c r="N268" s="8" t="s">
        <v>1179</v>
      </c>
      <c r="O268" s="8"/>
      <c r="P268" s="10">
        <v>44578</v>
      </c>
      <c r="Q268" s="8" t="s">
        <v>1180</v>
      </c>
      <c r="R268" s="8" t="s">
        <v>1181</v>
      </c>
      <c r="S268" s="8" t="s">
        <v>1182</v>
      </c>
      <c r="T268" s="8" t="s">
        <v>1183</v>
      </c>
      <c r="U268" s="8" t="s">
        <v>1184</v>
      </c>
      <c r="V268" s="9" t="s">
        <v>1185</v>
      </c>
      <c r="W268" s="15" t="s">
        <v>1186</v>
      </c>
      <c r="X268" s="15" t="s">
        <v>1187</v>
      </c>
      <c r="Y268" s="15" t="s">
        <v>1188</v>
      </c>
    </row>
    <row r="269" s="3" customFormat="1" ht="85.5" customHeight="1" spans="1:25">
      <c r="A269" s="1"/>
      <c r="B269" s="7"/>
      <c r="C269" s="8"/>
      <c r="D269" s="11" t="str">
        <f t="shared" ref="D269:D271" si="76">D268</f>
        <v>爱芯元智</v>
      </c>
      <c r="E269" s="8"/>
      <c r="F269" s="9"/>
      <c r="G269" s="15"/>
      <c r="H269" s="15"/>
      <c r="I269" s="8"/>
      <c r="J269" s="8"/>
      <c r="K269" s="11" t="str">
        <f t="shared" ref="K269:K271" si="77">K268</f>
        <v>运营中</v>
      </c>
      <c r="L269" s="8"/>
      <c r="M269" s="8"/>
      <c r="N269" s="8"/>
      <c r="O269" s="8"/>
      <c r="P269" s="10">
        <v>44414</v>
      </c>
      <c r="Q269" s="8" t="s">
        <v>1180</v>
      </c>
      <c r="R269" s="8" t="s">
        <v>430</v>
      </c>
      <c r="S269" s="8" t="s">
        <v>1189</v>
      </c>
      <c r="T269" s="8"/>
      <c r="U269" s="8"/>
      <c r="V269" s="9"/>
      <c r="W269" s="15"/>
      <c r="X269" s="15"/>
      <c r="Y269" s="15"/>
    </row>
    <row r="270" s="11" customFormat="1" hidden="1" customHeight="1" spans="1:25">
      <c r="A270" s="13"/>
      <c r="B270" s="14"/>
      <c r="C270" s="15"/>
      <c r="D270" s="11" t="str">
        <f t="shared" si="76"/>
        <v>爱芯元智</v>
      </c>
      <c r="E270" s="15"/>
      <c r="F270" s="16"/>
      <c r="G270" s="15"/>
      <c r="H270" s="15"/>
      <c r="I270" s="15"/>
      <c r="J270" s="15"/>
      <c r="K270" s="11" t="str">
        <f t="shared" si="77"/>
        <v>运营中</v>
      </c>
      <c r="L270" s="15"/>
      <c r="M270" s="15"/>
      <c r="N270" s="15"/>
      <c r="O270" s="15"/>
      <c r="P270" s="17">
        <v>44293</v>
      </c>
      <c r="Q270" s="15" t="s">
        <v>222</v>
      </c>
      <c r="R270" s="15" t="s">
        <v>269</v>
      </c>
      <c r="S270" s="15" t="s">
        <v>1190</v>
      </c>
      <c r="T270" s="15"/>
      <c r="U270" s="15"/>
      <c r="V270" s="15"/>
      <c r="W270" s="15"/>
      <c r="X270" s="15"/>
      <c r="Y270" s="15"/>
    </row>
    <row r="271" s="11" customFormat="1" hidden="1" customHeight="1" spans="1:25">
      <c r="A271" s="13"/>
      <c r="B271" s="14"/>
      <c r="C271" s="15"/>
      <c r="D271" s="11" t="str">
        <f t="shared" si="76"/>
        <v>爱芯元智</v>
      </c>
      <c r="E271" s="15"/>
      <c r="F271" s="16"/>
      <c r="G271" s="15"/>
      <c r="H271" s="15"/>
      <c r="I271" s="15"/>
      <c r="J271" s="15"/>
      <c r="K271" s="11" t="str">
        <f t="shared" si="77"/>
        <v>运营中</v>
      </c>
      <c r="L271" s="15"/>
      <c r="M271" s="15"/>
      <c r="N271" s="15"/>
      <c r="O271" s="15"/>
      <c r="P271" s="17">
        <v>44287</v>
      </c>
      <c r="Q271" s="15" t="s">
        <v>393</v>
      </c>
      <c r="R271" s="15" t="s">
        <v>189</v>
      </c>
      <c r="S271" s="15" t="s">
        <v>1191</v>
      </c>
      <c r="T271" s="15"/>
      <c r="U271" s="15"/>
      <c r="V271" s="15"/>
      <c r="W271" s="15"/>
      <c r="X271" s="15"/>
      <c r="Y271" s="15"/>
    </row>
    <row r="272" s="11" customFormat="1" hidden="1" customHeight="1" spans="1:25">
      <c r="A272" s="13"/>
      <c r="B272" s="14"/>
      <c r="C272" s="15" t="s">
        <v>1192</v>
      </c>
      <c r="D272" s="11" t="s">
        <v>1193</v>
      </c>
      <c r="E272" s="15" t="s">
        <v>1193</v>
      </c>
      <c r="F272" s="16" t="s">
        <v>1194</v>
      </c>
      <c r="G272" s="15" t="s">
        <v>1195</v>
      </c>
      <c r="H272" s="15" t="s">
        <v>1196</v>
      </c>
      <c r="I272" s="15" t="s">
        <v>1197</v>
      </c>
      <c r="J272" s="15" t="s">
        <v>1198</v>
      </c>
      <c r="K272" s="11" t="s">
        <v>185</v>
      </c>
      <c r="L272" s="15" t="s">
        <v>185</v>
      </c>
      <c r="M272" s="15" t="s">
        <v>416</v>
      </c>
      <c r="N272" s="15" t="s">
        <v>1199</v>
      </c>
      <c r="O272" s="15"/>
      <c r="P272" s="17">
        <v>44607</v>
      </c>
      <c r="Q272" s="15" t="s">
        <v>207</v>
      </c>
      <c r="R272" s="15" t="s">
        <v>189</v>
      </c>
      <c r="S272" s="15" t="s">
        <v>1200</v>
      </c>
      <c r="T272" s="15" t="s">
        <v>1201</v>
      </c>
      <c r="U272" s="15" t="s">
        <v>1202</v>
      </c>
      <c r="V272" s="15"/>
      <c r="W272" s="15" t="s">
        <v>1203</v>
      </c>
      <c r="X272" s="15"/>
      <c r="Y272" s="15"/>
    </row>
    <row r="273" s="3" customFormat="1" ht="85.5" customHeight="1" spans="1:25">
      <c r="A273" s="1"/>
      <c r="B273" s="7"/>
      <c r="C273" s="8"/>
      <c r="D273" s="11" t="str">
        <f t="shared" ref="D273:D275" si="78">D272</f>
        <v>星云智联</v>
      </c>
      <c r="E273" s="8"/>
      <c r="F273" s="9"/>
      <c r="G273" s="15"/>
      <c r="H273" s="15"/>
      <c r="I273" s="8"/>
      <c r="J273" s="8"/>
      <c r="K273" s="11" t="str">
        <f t="shared" ref="K273:K275" si="79">K272</f>
        <v>运营中</v>
      </c>
      <c r="L273" s="8"/>
      <c r="M273" s="8"/>
      <c r="N273" s="8"/>
      <c r="O273" s="8"/>
      <c r="P273" s="10">
        <v>44438</v>
      </c>
      <c r="Q273" s="8" t="s">
        <v>1167</v>
      </c>
      <c r="R273" s="8" t="s">
        <v>430</v>
      </c>
      <c r="S273" s="8" t="s">
        <v>809</v>
      </c>
      <c r="T273" s="8"/>
      <c r="U273" s="8"/>
      <c r="V273" s="9"/>
      <c r="W273" s="15"/>
      <c r="X273" s="15"/>
      <c r="Y273" s="15"/>
    </row>
    <row r="274" s="11" customFormat="1" hidden="1" customHeight="1" spans="1:25">
      <c r="A274" s="13"/>
      <c r="B274" s="14"/>
      <c r="C274" s="15"/>
      <c r="D274" s="11" t="str">
        <f t="shared" si="78"/>
        <v>星云智联</v>
      </c>
      <c r="E274" s="15"/>
      <c r="F274" s="16"/>
      <c r="G274" s="15"/>
      <c r="H274" s="15"/>
      <c r="I274" s="15"/>
      <c r="J274" s="15"/>
      <c r="K274" s="11" t="str">
        <f t="shared" si="79"/>
        <v>运营中</v>
      </c>
      <c r="L274" s="15"/>
      <c r="M274" s="15"/>
      <c r="N274" s="15"/>
      <c r="O274" s="15"/>
      <c r="P274" s="17">
        <v>44400</v>
      </c>
      <c r="Q274" s="15" t="s">
        <v>393</v>
      </c>
      <c r="R274" s="15" t="s">
        <v>269</v>
      </c>
      <c r="S274" s="15" t="s">
        <v>1204</v>
      </c>
      <c r="T274" s="15"/>
      <c r="U274" s="15"/>
      <c r="V274" s="15"/>
      <c r="W274" s="15"/>
      <c r="X274" s="15"/>
      <c r="Y274" s="15"/>
    </row>
    <row r="275" s="11" customFormat="1" hidden="1" customHeight="1" spans="1:25">
      <c r="A275" s="13"/>
      <c r="B275" s="14"/>
      <c r="C275" s="15"/>
      <c r="D275" s="11" t="str">
        <f t="shared" si="78"/>
        <v>星云智联</v>
      </c>
      <c r="E275" s="15"/>
      <c r="F275" s="16"/>
      <c r="G275" s="15"/>
      <c r="H275" s="15"/>
      <c r="I275" s="15"/>
      <c r="J275" s="15"/>
      <c r="K275" s="11" t="str">
        <f t="shared" si="79"/>
        <v>运营中</v>
      </c>
      <c r="L275" s="15"/>
      <c r="M275" s="15"/>
      <c r="N275" s="15"/>
      <c r="O275" s="15"/>
      <c r="P275" s="17">
        <v>44302</v>
      </c>
      <c r="Q275" s="15" t="s">
        <v>196</v>
      </c>
      <c r="R275" s="15" t="s">
        <v>269</v>
      </c>
      <c r="S275" s="15" t="s">
        <v>1205</v>
      </c>
      <c r="T275" s="15"/>
      <c r="U275" s="15"/>
      <c r="V275" s="15"/>
      <c r="W275" s="15"/>
      <c r="X275" s="15"/>
      <c r="Y275" s="15"/>
    </row>
    <row r="276" s="3" customFormat="1" ht="85.5" customHeight="1" spans="1:25">
      <c r="A276" s="1"/>
      <c r="B276" s="7"/>
      <c r="C276" s="8" t="s">
        <v>1206</v>
      </c>
      <c r="D276" s="11" t="s">
        <v>1207</v>
      </c>
      <c r="E276" s="8" t="s">
        <v>1208</v>
      </c>
      <c r="F276" s="9" t="s">
        <v>1209</v>
      </c>
      <c r="G276" s="15" t="s">
        <v>1210</v>
      </c>
      <c r="H276" s="15" t="s">
        <v>1211</v>
      </c>
      <c r="I276" s="8" t="s">
        <v>1212</v>
      </c>
      <c r="J276" s="8" t="s">
        <v>890</v>
      </c>
      <c r="K276" s="11" t="s">
        <v>185</v>
      </c>
      <c r="L276" s="8" t="s">
        <v>278</v>
      </c>
      <c r="M276" s="8" t="s">
        <v>27</v>
      </c>
      <c r="N276" s="8" t="s">
        <v>1213</v>
      </c>
      <c r="O276" s="8"/>
      <c r="P276" s="10">
        <v>45126</v>
      </c>
      <c r="Q276" s="8" t="s">
        <v>865</v>
      </c>
      <c r="R276" s="8" t="s">
        <v>430</v>
      </c>
      <c r="S276" s="8" t="s">
        <v>809</v>
      </c>
      <c r="T276" s="8" t="s">
        <v>1214</v>
      </c>
      <c r="U276" s="8" t="s">
        <v>1215</v>
      </c>
      <c r="V276" s="9" t="s">
        <v>1216</v>
      </c>
      <c r="W276" s="15" t="s">
        <v>1217</v>
      </c>
      <c r="X276" s="15" t="s">
        <v>1218</v>
      </c>
      <c r="Y276" s="15" t="s">
        <v>1219</v>
      </c>
    </row>
    <row r="277" s="11" customFormat="1" hidden="1" customHeight="1" spans="1:25">
      <c r="A277" s="13"/>
      <c r="B277" s="14"/>
      <c r="C277" s="15"/>
      <c r="D277" s="11" t="str">
        <f t="shared" ref="D277:D279" si="80">D276</f>
        <v>智谱AI</v>
      </c>
      <c r="E277" s="15"/>
      <c r="F277" s="16"/>
      <c r="G277" s="15"/>
      <c r="H277" s="15"/>
      <c r="I277" s="15"/>
      <c r="J277" s="15"/>
      <c r="K277" s="11" t="str">
        <f t="shared" ref="K277:K279" si="81">K276</f>
        <v>运营中</v>
      </c>
      <c r="L277" s="15"/>
      <c r="M277" s="15"/>
      <c r="N277" s="15"/>
      <c r="O277" s="15"/>
      <c r="P277" s="17">
        <v>44830</v>
      </c>
      <c r="Q277" s="15" t="s">
        <v>219</v>
      </c>
      <c r="R277" s="15" t="s">
        <v>269</v>
      </c>
      <c r="S277" s="15" t="s">
        <v>1220</v>
      </c>
      <c r="T277" s="15"/>
      <c r="U277" s="15"/>
      <c r="V277" s="15"/>
      <c r="W277" s="15"/>
      <c r="X277" s="15"/>
      <c r="Y277" s="15"/>
    </row>
    <row r="278" s="11" customFormat="1" hidden="1" customHeight="1" spans="1:25">
      <c r="A278" s="13"/>
      <c r="B278" s="14"/>
      <c r="C278" s="15"/>
      <c r="D278" s="11" t="str">
        <f t="shared" si="80"/>
        <v>智谱AI</v>
      </c>
      <c r="E278" s="15"/>
      <c r="F278" s="16"/>
      <c r="G278" s="15"/>
      <c r="H278" s="15"/>
      <c r="I278" s="15"/>
      <c r="J278" s="15"/>
      <c r="K278" s="11" t="str">
        <f t="shared" si="81"/>
        <v>运营中</v>
      </c>
      <c r="L278" s="15"/>
      <c r="M278" s="15"/>
      <c r="N278" s="15"/>
      <c r="O278" s="15"/>
      <c r="P278" s="17">
        <v>44453</v>
      </c>
      <c r="Q278" s="15" t="s">
        <v>222</v>
      </c>
      <c r="R278" s="15" t="s">
        <v>269</v>
      </c>
      <c r="S278" s="15" t="s">
        <v>1221</v>
      </c>
      <c r="T278" s="15"/>
      <c r="U278" s="15"/>
      <c r="V278" s="15"/>
      <c r="W278" s="15"/>
      <c r="X278" s="15"/>
      <c r="Y278" s="15"/>
    </row>
    <row r="279" s="11" customFormat="1" hidden="1" customHeight="1" spans="1:25">
      <c r="A279" s="13"/>
      <c r="B279" s="14"/>
      <c r="C279" s="15"/>
      <c r="D279" s="11" t="str">
        <f t="shared" si="80"/>
        <v>智谱AI</v>
      </c>
      <c r="E279" s="15"/>
      <c r="F279" s="16"/>
      <c r="G279" s="15"/>
      <c r="H279" s="15"/>
      <c r="I279" s="15"/>
      <c r="J279" s="15"/>
      <c r="K279" s="11" t="str">
        <f t="shared" si="81"/>
        <v>运营中</v>
      </c>
      <c r="L279" s="15"/>
      <c r="M279" s="15"/>
      <c r="N279" s="15"/>
      <c r="O279" s="15"/>
      <c r="P279" s="17">
        <v>43690</v>
      </c>
      <c r="Q279" s="15" t="s">
        <v>207</v>
      </c>
      <c r="R279" s="15" t="s">
        <v>217</v>
      </c>
      <c r="S279" s="15" t="s">
        <v>1222</v>
      </c>
      <c r="T279" s="15"/>
      <c r="U279" s="15"/>
      <c r="V279" s="15"/>
      <c r="W279" s="15"/>
      <c r="X279" s="15"/>
      <c r="Y279" s="15"/>
    </row>
    <row r="280" s="11" customFormat="1" hidden="1" customHeight="1" spans="1:25">
      <c r="A280" s="13"/>
      <c r="B280" s="14"/>
      <c r="C280" s="15" t="s">
        <v>1223</v>
      </c>
      <c r="D280" s="11" t="s">
        <v>1224</v>
      </c>
      <c r="E280" s="15" t="s">
        <v>1224</v>
      </c>
      <c r="F280" s="16" t="s">
        <v>1225</v>
      </c>
      <c r="G280" s="15" t="s">
        <v>1226</v>
      </c>
      <c r="H280" s="15" t="s">
        <v>1227</v>
      </c>
      <c r="I280" s="15" t="s">
        <v>1228</v>
      </c>
      <c r="J280" s="15" t="s">
        <v>1229</v>
      </c>
      <c r="K280" s="11" t="s">
        <v>185</v>
      </c>
      <c r="L280" s="15" t="s">
        <v>185</v>
      </c>
      <c r="M280" s="15" t="s">
        <v>416</v>
      </c>
      <c r="N280" s="15" t="s">
        <v>1199</v>
      </c>
      <c r="O280" s="15"/>
      <c r="P280" s="17">
        <v>45026</v>
      </c>
      <c r="Q280" s="15" t="s">
        <v>207</v>
      </c>
      <c r="R280" s="15" t="s">
        <v>189</v>
      </c>
      <c r="S280" s="15" t="s">
        <v>1230</v>
      </c>
      <c r="T280" s="15" t="s">
        <v>1201</v>
      </c>
      <c r="U280" s="15" t="s">
        <v>1231</v>
      </c>
      <c r="V280" s="15"/>
      <c r="W280" s="15" t="s">
        <v>1232</v>
      </c>
      <c r="X280" s="15"/>
      <c r="Y280" s="15"/>
    </row>
    <row r="281" s="11" customFormat="1" hidden="1" customHeight="1" spans="1:25">
      <c r="A281" s="13"/>
      <c r="B281" s="14"/>
      <c r="C281" s="15"/>
      <c r="D281" s="11" t="str">
        <f t="shared" ref="D281:D283" si="82">D280</f>
        <v>荣芯半导体</v>
      </c>
      <c r="E281" s="15"/>
      <c r="F281" s="16"/>
      <c r="G281" s="15"/>
      <c r="H281" s="15"/>
      <c r="I281" s="15"/>
      <c r="J281" s="15"/>
      <c r="K281" s="11" t="str">
        <f t="shared" ref="K281:K283" si="83">K280</f>
        <v>运营中</v>
      </c>
      <c r="L281" s="15"/>
      <c r="M281" s="15"/>
      <c r="N281" s="15"/>
      <c r="O281" s="15"/>
      <c r="P281" s="17">
        <v>44665</v>
      </c>
      <c r="Q281" s="15" t="s">
        <v>207</v>
      </c>
      <c r="R281" s="15" t="s">
        <v>1233</v>
      </c>
      <c r="S281" s="15" t="s">
        <v>1234</v>
      </c>
      <c r="T281" s="15"/>
      <c r="U281" s="15"/>
      <c r="V281" s="15"/>
      <c r="W281" s="15"/>
      <c r="X281" s="15"/>
      <c r="Y281" s="15"/>
    </row>
    <row r="282" s="11" customFormat="1" hidden="1" customHeight="1" spans="1:25">
      <c r="A282" s="13"/>
      <c r="B282" s="14"/>
      <c r="C282" s="15"/>
      <c r="D282" s="11" t="str">
        <f t="shared" si="82"/>
        <v>荣芯半导体</v>
      </c>
      <c r="E282" s="15"/>
      <c r="F282" s="16"/>
      <c r="G282" s="15"/>
      <c r="H282" s="15"/>
      <c r="I282" s="15"/>
      <c r="J282" s="15"/>
      <c r="K282" s="11" t="str">
        <f t="shared" si="83"/>
        <v>运营中</v>
      </c>
      <c r="L282" s="15"/>
      <c r="M282" s="15"/>
      <c r="N282" s="15"/>
      <c r="O282" s="15"/>
      <c r="P282" s="17">
        <v>44578</v>
      </c>
      <c r="Q282" s="15" t="s">
        <v>207</v>
      </c>
      <c r="R282" s="15" t="s">
        <v>189</v>
      </c>
      <c r="S282" s="15" t="s">
        <v>1235</v>
      </c>
      <c r="T282" s="15"/>
      <c r="U282" s="15"/>
      <c r="V282" s="15"/>
      <c r="W282" s="15"/>
      <c r="X282" s="15"/>
      <c r="Y282" s="15"/>
    </row>
    <row r="283" s="3" customFormat="1" ht="85.5" customHeight="1" spans="1:25">
      <c r="A283" s="1"/>
      <c r="B283" s="7"/>
      <c r="C283" s="8"/>
      <c r="D283" s="11" t="str">
        <f t="shared" si="82"/>
        <v>荣芯半导体</v>
      </c>
      <c r="E283" s="8"/>
      <c r="F283" s="9"/>
      <c r="G283" s="15"/>
      <c r="H283" s="15"/>
      <c r="I283" s="8"/>
      <c r="J283" s="8"/>
      <c r="K283" s="11" t="str">
        <f t="shared" si="83"/>
        <v>运营中</v>
      </c>
      <c r="L283" s="8"/>
      <c r="M283" s="8"/>
      <c r="N283" s="8"/>
      <c r="O283" s="8"/>
      <c r="P283" s="10">
        <v>44412</v>
      </c>
      <c r="Q283" s="8" t="s">
        <v>280</v>
      </c>
      <c r="R283" s="8" t="s">
        <v>281</v>
      </c>
      <c r="S283" s="8" t="s">
        <v>1236</v>
      </c>
      <c r="T283" s="8"/>
      <c r="U283" s="8"/>
      <c r="V283" s="9"/>
      <c r="W283" s="15"/>
      <c r="X283" s="15"/>
      <c r="Y283" s="15"/>
    </row>
    <row r="284" s="11" customFormat="1" hidden="1" customHeight="1" spans="1:25">
      <c r="A284" s="13"/>
      <c r="B284" s="14"/>
      <c r="C284" s="15" t="s">
        <v>1237</v>
      </c>
      <c r="D284" s="11" t="s">
        <v>1238</v>
      </c>
      <c r="E284" s="15" t="s">
        <v>1238</v>
      </c>
      <c r="F284" s="16" t="s">
        <v>1239</v>
      </c>
      <c r="G284" s="15" t="s">
        <v>1240</v>
      </c>
      <c r="H284" s="15" t="s">
        <v>1241</v>
      </c>
      <c r="I284" s="15" t="s">
        <v>457</v>
      </c>
      <c r="J284" s="15" t="s">
        <v>852</v>
      </c>
      <c r="K284" s="11" t="s">
        <v>185</v>
      </c>
      <c r="L284" s="15" t="s">
        <v>185</v>
      </c>
      <c r="M284" s="15" t="s">
        <v>416</v>
      </c>
      <c r="N284" s="15" t="s">
        <v>1242</v>
      </c>
      <c r="O284" s="15"/>
      <c r="P284" s="17">
        <v>45098</v>
      </c>
      <c r="Q284" s="15" t="s">
        <v>219</v>
      </c>
      <c r="R284" s="15" t="s">
        <v>1243</v>
      </c>
      <c r="S284" s="15" t="s">
        <v>1244</v>
      </c>
      <c r="T284" s="15" t="s">
        <v>1245</v>
      </c>
      <c r="U284" s="15" t="s">
        <v>1246</v>
      </c>
      <c r="V284" s="15" t="s">
        <v>1247</v>
      </c>
      <c r="W284" s="15" t="s">
        <v>1248</v>
      </c>
      <c r="X284" s="15" t="s">
        <v>1249</v>
      </c>
      <c r="Y284" s="15" t="s">
        <v>1250</v>
      </c>
    </row>
    <row r="285" s="3" customFormat="1" ht="85.5" customHeight="1" spans="1:25">
      <c r="A285" s="1"/>
      <c r="B285" s="7"/>
      <c r="C285" s="8"/>
      <c r="D285" s="11" t="str">
        <f t="shared" ref="D285:D288" si="84">D284</f>
        <v>欣旺达动力EVB</v>
      </c>
      <c r="E285" s="8"/>
      <c r="F285" s="9"/>
      <c r="G285" s="15"/>
      <c r="H285" s="15"/>
      <c r="I285" s="8"/>
      <c r="J285" s="8"/>
      <c r="K285" s="11" t="str">
        <f t="shared" ref="K285:K288" si="85">K284</f>
        <v>运营中</v>
      </c>
      <c r="L285" s="8"/>
      <c r="M285" s="8"/>
      <c r="N285" s="8"/>
      <c r="O285" s="8"/>
      <c r="P285" s="10">
        <v>45090</v>
      </c>
      <c r="Q285" s="8" t="s">
        <v>280</v>
      </c>
      <c r="R285" s="8" t="s">
        <v>1251</v>
      </c>
      <c r="S285" s="8" t="s">
        <v>1252</v>
      </c>
      <c r="T285" s="8"/>
      <c r="U285" s="8"/>
      <c r="V285" s="9"/>
      <c r="W285" s="15"/>
      <c r="X285" s="15"/>
      <c r="Y285" s="15"/>
    </row>
    <row r="286" s="3" customFormat="1" ht="85.5" customHeight="1" spans="1:25">
      <c r="A286" s="1"/>
      <c r="B286" s="7"/>
      <c r="C286" s="8"/>
      <c r="D286" s="11" t="str">
        <f t="shared" si="84"/>
        <v>欣旺达动力EVB</v>
      </c>
      <c r="E286" s="8"/>
      <c r="F286" s="9"/>
      <c r="G286" s="15"/>
      <c r="H286" s="15"/>
      <c r="I286" s="8"/>
      <c r="J286" s="8"/>
      <c r="K286" s="11" t="str">
        <f t="shared" si="85"/>
        <v>运营中</v>
      </c>
      <c r="L286" s="8"/>
      <c r="M286" s="8"/>
      <c r="N286" s="8"/>
      <c r="O286" s="8"/>
      <c r="P286" s="10">
        <v>44798</v>
      </c>
      <c r="Q286" s="8" t="s">
        <v>1167</v>
      </c>
      <c r="R286" s="8" t="s">
        <v>1253</v>
      </c>
      <c r="S286" s="8" t="s">
        <v>1254</v>
      </c>
      <c r="T286" s="8"/>
      <c r="U286" s="8"/>
      <c r="V286" s="9"/>
      <c r="W286" s="15"/>
      <c r="X286" s="15"/>
      <c r="Y286" s="15"/>
    </row>
    <row r="287" s="11" customFormat="1" hidden="1" customHeight="1" spans="1:25">
      <c r="A287" s="13"/>
      <c r="B287" s="14"/>
      <c r="C287" s="15"/>
      <c r="D287" s="11" t="str">
        <f t="shared" si="84"/>
        <v>欣旺达动力EVB</v>
      </c>
      <c r="E287" s="15"/>
      <c r="F287" s="16"/>
      <c r="G287" s="15"/>
      <c r="H287" s="15"/>
      <c r="I287" s="15"/>
      <c r="J287" s="15"/>
      <c r="K287" s="11" t="str">
        <f t="shared" si="85"/>
        <v>运营中</v>
      </c>
      <c r="L287" s="15"/>
      <c r="M287" s="15"/>
      <c r="N287" s="15"/>
      <c r="O287" s="15"/>
      <c r="P287" s="17">
        <v>44721</v>
      </c>
      <c r="Q287" s="15" t="s">
        <v>207</v>
      </c>
      <c r="R287" s="15" t="s">
        <v>269</v>
      </c>
      <c r="S287" s="15" t="s">
        <v>1255</v>
      </c>
      <c r="T287" s="15"/>
      <c r="U287" s="15"/>
      <c r="V287" s="15"/>
      <c r="W287" s="15"/>
      <c r="X287" s="15"/>
      <c r="Y287" s="15"/>
    </row>
    <row r="288" s="11" customFormat="1" hidden="1" customHeight="1" spans="1:25">
      <c r="A288" s="13"/>
      <c r="B288" s="14"/>
      <c r="C288" s="15"/>
      <c r="D288" s="11" t="str">
        <f t="shared" si="84"/>
        <v>欣旺达动力EVB</v>
      </c>
      <c r="E288" s="15"/>
      <c r="F288" s="16"/>
      <c r="G288" s="15"/>
      <c r="H288" s="15"/>
      <c r="I288" s="15"/>
      <c r="J288" s="15"/>
      <c r="K288" s="11" t="str">
        <f t="shared" si="85"/>
        <v>运营中</v>
      </c>
      <c r="L288" s="15"/>
      <c r="M288" s="15"/>
      <c r="N288" s="15"/>
      <c r="O288" s="15"/>
      <c r="P288" s="17">
        <v>44620</v>
      </c>
      <c r="Q288" s="15" t="s">
        <v>207</v>
      </c>
      <c r="R288" s="15" t="s">
        <v>1256</v>
      </c>
      <c r="S288" s="15" t="s">
        <v>1257</v>
      </c>
      <c r="T288" s="15"/>
      <c r="U288" s="15"/>
      <c r="V288" s="15"/>
      <c r="W288" s="15"/>
      <c r="X288" s="15"/>
      <c r="Y288" s="15"/>
    </row>
    <row r="289" s="11" customFormat="1" hidden="1" customHeight="1" spans="1:25">
      <c r="A289" s="13"/>
      <c r="B289" s="14"/>
      <c r="C289" s="15" t="s">
        <v>1258</v>
      </c>
      <c r="D289" s="11" t="s">
        <v>1259</v>
      </c>
      <c r="E289" s="15" t="s">
        <v>1259</v>
      </c>
      <c r="F289" s="16" t="s">
        <v>1260</v>
      </c>
      <c r="G289" s="15" t="s">
        <v>1261</v>
      </c>
      <c r="H289" s="15" t="s">
        <v>1262</v>
      </c>
      <c r="I289" s="15" t="s">
        <v>1263</v>
      </c>
      <c r="J289" s="15" t="s">
        <v>1264</v>
      </c>
      <c r="K289" s="11" t="s">
        <v>185</v>
      </c>
      <c r="L289" s="15" t="s">
        <v>185</v>
      </c>
      <c r="M289" s="15" t="s">
        <v>416</v>
      </c>
      <c r="N289" s="15" t="s">
        <v>1242</v>
      </c>
      <c r="O289" s="15"/>
      <c r="P289" s="17">
        <v>45092</v>
      </c>
      <c r="Q289" s="15" t="s">
        <v>222</v>
      </c>
      <c r="R289" s="15" t="s">
        <v>434</v>
      </c>
      <c r="S289" s="15" t="s">
        <v>1265</v>
      </c>
      <c r="T289" s="15" t="s">
        <v>1266</v>
      </c>
      <c r="U289" s="15" t="s">
        <v>1040</v>
      </c>
      <c r="V289" s="15" t="s">
        <v>1267</v>
      </c>
      <c r="W289" s="15" t="s">
        <v>1268</v>
      </c>
      <c r="X289" s="15" t="s">
        <v>1269</v>
      </c>
      <c r="Y289" s="15" t="s">
        <v>1270</v>
      </c>
    </row>
    <row r="290" s="3" customFormat="1" ht="85.5" customHeight="1" spans="1:25">
      <c r="A290" s="1"/>
      <c r="B290" s="7"/>
      <c r="C290" s="8"/>
      <c r="D290" s="11" t="str">
        <f t="shared" ref="D290:D291" si="86">D289</f>
        <v>超钠新能源</v>
      </c>
      <c r="E290" s="8"/>
      <c r="F290" s="9"/>
      <c r="G290" s="15"/>
      <c r="H290" s="15"/>
      <c r="I290" s="8"/>
      <c r="J290" s="8"/>
      <c r="K290" s="11" t="str">
        <f t="shared" ref="K290:K291" si="87">K289</f>
        <v>运营中</v>
      </c>
      <c r="L290" s="8"/>
      <c r="M290" s="8"/>
      <c r="N290" s="8"/>
      <c r="O290" s="8"/>
      <c r="P290" s="10">
        <v>44900</v>
      </c>
      <c r="Q290" s="8" t="s">
        <v>1169</v>
      </c>
      <c r="R290" s="8" t="s">
        <v>281</v>
      </c>
      <c r="S290" s="8" t="s">
        <v>809</v>
      </c>
      <c r="T290" s="8"/>
      <c r="U290" s="8"/>
      <c r="V290" s="9"/>
      <c r="W290" s="15"/>
      <c r="X290" s="15"/>
      <c r="Y290" s="15"/>
    </row>
    <row r="291" s="11" customFormat="1" hidden="1" customHeight="1" spans="1:25">
      <c r="A291" s="13"/>
      <c r="B291" s="14"/>
      <c r="C291" s="15"/>
      <c r="D291" s="11" t="str">
        <f t="shared" si="86"/>
        <v>超钠新能源</v>
      </c>
      <c r="E291" s="15"/>
      <c r="F291" s="16"/>
      <c r="G291" s="15"/>
      <c r="H291" s="15"/>
      <c r="I291" s="15"/>
      <c r="J291" s="15"/>
      <c r="K291" s="11" t="str">
        <f t="shared" si="87"/>
        <v>运营中</v>
      </c>
      <c r="L291" s="15"/>
      <c r="M291" s="15"/>
      <c r="N291" s="15"/>
      <c r="O291" s="15"/>
      <c r="P291" s="17">
        <v>44419</v>
      </c>
      <c r="Q291" s="15" t="s">
        <v>196</v>
      </c>
      <c r="R291" s="15" t="s">
        <v>189</v>
      </c>
      <c r="S291" s="15" t="s">
        <v>1271</v>
      </c>
      <c r="T291" s="15"/>
      <c r="U291" s="15"/>
      <c r="V291" s="15"/>
      <c r="W291" s="15"/>
      <c r="X291" s="15"/>
      <c r="Y291" s="15"/>
    </row>
    <row r="292" s="11" customFormat="1" hidden="1" customHeight="1" spans="1:25">
      <c r="A292" s="13"/>
      <c r="B292" s="14" t="s">
        <v>716</v>
      </c>
      <c r="C292" s="15" t="s">
        <v>1272</v>
      </c>
      <c r="D292" s="11" t="s">
        <v>1273</v>
      </c>
      <c r="E292" s="15" t="s">
        <v>1273</v>
      </c>
      <c r="F292" s="16" t="s">
        <v>1274</v>
      </c>
      <c r="G292" s="15" t="s">
        <v>1275</v>
      </c>
      <c r="H292" s="15" t="s">
        <v>1276</v>
      </c>
      <c r="I292" s="15" t="s">
        <v>1277</v>
      </c>
      <c r="J292" s="15" t="s">
        <v>342</v>
      </c>
      <c r="K292" s="11" t="s">
        <v>185</v>
      </c>
      <c r="L292" s="15" t="s">
        <v>185</v>
      </c>
      <c r="M292" s="15" t="s">
        <v>186</v>
      </c>
      <c r="N292" s="15" t="s">
        <v>187</v>
      </c>
      <c r="O292" s="15"/>
      <c r="P292" s="17">
        <v>44546</v>
      </c>
      <c r="Q292" s="15" t="s">
        <v>1278</v>
      </c>
      <c r="R292" s="15" t="s">
        <v>313</v>
      </c>
      <c r="S292" s="15" t="s">
        <v>1279</v>
      </c>
      <c r="T292" s="15" t="s">
        <v>1280</v>
      </c>
      <c r="U292" s="15" t="s">
        <v>1281</v>
      </c>
      <c r="V292" s="15" t="s">
        <v>1282</v>
      </c>
      <c r="W292" s="15"/>
      <c r="X292" s="15"/>
      <c r="Y292" s="15"/>
    </row>
    <row r="293" s="11" customFormat="1" hidden="1" customHeight="1" spans="1:25">
      <c r="A293" s="13"/>
      <c r="B293" s="14"/>
      <c r="C293" s="15"/>
      <c r="D293" s="11" t="str">
        <f t="shared" ref="D293:D301" si="88">D292</f>
        <v>美餐网</v>
      </c>
      <c r="E293" s="15"/>
      <c r="F293" s="16"/>
      <c r="G293" s="15"/>
      <c r="H293" s="15"/>
      <c r="I293" s="15"/>
      <c r="J293" s="15"/>
      <c r="K293" s="11" t="str">
        <f t="shared" ref="K293:K301" si="89">K292</f>
        <v>运营中</v>
      </c>
      <c r="L293" s="15"/>
      <c r="M293" s="15"/>
      <c r="N293" s="15"/>
      <c r="O293" s="15"/>
      <c r="P293" s="17">
        <v>44510</v>
      </c>
      <c r="Q293" s="15" t="s">
        <v>484</v>
      </c>
      <c r="R293" s="15" t="s">
        <v>565</v>
      </c>
      <c r="S293" s="15" t="s">
        <v>1283</v>
      </c>
      <c r="T293" s="15"/>
      <c r="U293" s="15"/>
      <c r="V293" s="15"/>
      <c r="W293" s="15"/>
      <c r="X293" s="15"/>
      <c r="Y293" s="15"/>
    </row>
    <row r="294" s="11" customFormat="1" hidden="1" customHeight="1" spans="1:25">
      <c r="A294" s="13"/>
      <c r="B294" s="14"/>
      <c r="C294" s="15"/>
      <c r="D294" s="11" t="str">
        <f t="shared" si="88"/>
        <v>美餐网</v>
      </c>
      <c r="E294" s="15"/>
      <c r="F294" s="16"/>
      <c r="G294" s="15"/>
      <c r="H294" s="15"/>
      <c r="I294" s="15"/>
      <c r="J294" s="15"/>
      <c r="K294" s="11" t="str">
        <f t="shared" si="89"/>
        <v>运营中</v>
      </c>
      <c r="L294" s="15"/>
      <c r="M294" s="15"/>
      <c r="N294" s="15"/>
      <c r="O294" s="15"/>
      <c r="P294" s="17">
        <v>43697</v>
      </c>
      <c r="Q294" s="15" t="s">
        <v>207</v>
      </c>
      <c r="R294" s="15" t="s">
        <v>269</v>
      </c>
      <c r="S294" s="15" t="s">
        <v>1284</v>
      </c>
      <c r="T294" s="15"/>
      <c r="U294" s="15"/>
      <c r="V294" s="15"/>
      <c r="W294" s="15"/>
      <c r="X294" s="15"/>
      <c r="Y294" s="15"/>
    </row>
    <row r="295" s="11" customFormat="1" hidden="1" customHeight="1" spans="1:25">
      <c r="A295" s="13"/>
      <c r="B295" s="14"/>
      <c r="C295" s="15"/>
      <c r="D295" s="11" t="str">
        <f t="shared" si="88"/>
        <v>美餐网</v>
      </c>
      <c r="E295" s="15"/>
      <c r="F295" s="16"/>
      <c r="G295" s="15"/>
      <c r="H295" s="15"/>
      <c r="I295" s="15"/>
      <c r="J295" s="15"/>
      <c r="K295" s="11" t="str">
        <f t="shared" si="89"/>
        <v>运营中</v>
      </c>
      <c r="L295" s="15"/>
      <c r="M295" s="15"/>
      <c r="N295" s="15"/>
      <c r="O295" s="15"/>
      <c r="P295" s="17">
        <v>43251</v>
      </c>
      <c r="Q295" s="15" t="s">
        <v>524</v>
      </c>
      <c r="R295" s="15" t="s">
        <v>269</v>
      </c>
      <c r="S295" s="15" t="s">
        <v>1285</v>
      </c>
      <c r="T295" s="15"/>
      <c r="U295" s="15"/>
      <c r="V295" s="15"/>
      <c r="W295" s="15"/>
      <c r="X295" s="15"/>
      <c r="Y295" s="15"/>
    </row>
    <row r="296" s="11" customFormat="1" hidden="1" customHeight="1" spans="1:25">
      <c r="A296" s="13"/>
      <c r="B296" s="14"/>
      <c r="C296" s="15"/>
      <c r="D296" s="11" t="str">
        <f t="shared" si="88"/>
        <v>美餐网</v>
      </c>
      <c r="E296" s="15"/>
      <c r="F296" s="16"/>
      <c r="G296" s="15"/>
      <c r="H296" s="15"/>
      <c r="I296" s="15"/>
      <c r="J296" s="15"/>
      <c r="K296" s="11" t="str">
        <f t="shared" si="89"/>
        <v>运营中</v>
      </c>
      <c r="L296" s="15"/>
      <c r="M296" s="15"/>
      <c r="N296" s="15"/>
      <c r="O296" s="15"/>
      <c r="P296" s="17">
        <v>42949</v>
      </c>
      <c r="Q296" s="15" t="s">
        <v>363</v>
      </c>
      <c r="R296" s="15" t="s">
        <v>313</v>
      </c>
      <c r="S296" s="15" t="s">
        <v>1286</v>
      </c>
      <c r="T296" s="15"/>
      <c r="U296" s="15"/>
      <c r="V296" s="15"/>
      <c r="W296" s="15"/>
      <c r="X296" s="15"/>
      <c r="Y296" s="15"/>
    </row>
    <row r="297" s="11" customFormat="1" hidden="1" customHeight="1" spans="1:25">
      <c r="A297" s="13"/>
      <c r="B297" s="14"/>
      <c r="C297" s="15"/>
      <c r="D297" s="11" t="str">
        <f t="shared" si="88"/>
        <v>美餐网</v>
      </c>
      <c r="E297" s="15"/>
      <c r="F297" s="16"/>
      <c r="G297" s="15"/>
      <c r="H297" s="15"/>
      <c r="I297" s="15"/>
      <c r="J297" s="15"/>
      <c r="K297" s="11" t="str">
        <f t="shared" si="89"/>
        <v>运营中</v>
      </c>
      <c r="L297" s="15"/>
      <c r="M297" s="15"/>
      <c r="N297" s="15"/>
      <c r="O297" s="15"/>
      <c r="P297" s="17">
        <v>42101</v>
      </c>
      <c r="Q297" s="15" t="s">
        <v>216</v>
      </c>
      <c r="R297" s="15" t="s">
        <v>1287</v>
      </c>
      <c r="S297" s="15" t="s">
        <v>1288</v>
      </c>
      <c r="T297" s="15"/>
      <c r="U297" s="15"/>
      <c r="V297" s="15"/>
      <c r="W297" s="15"/>
      <c r="X297" s="15"/>
      <c r="Y297" s="15"/>
    </row>
    <row r="298" s="11" customFormat="1" hidden="1" customHeight="1" spans="1:25">
      <c r="A298" s="13"/>
      <c r="B298" s="14"/>
      <c r="C298" s="15"/>
      <c r="D298" s="11" t="str">
        <f t="shared" si="88"/>
        <v>美餐网</v>
      </c>
      <c r="E298" s="15"/>
      <c r="F298" s="16"/>
      <c r="G298" s="15"/>
      <c r="H298" s="15"/>
      <c r="I298" s="15"/>
      <c r="J298" s="15"/>
      <c r="K298" s="11" t="str">
        <f t="shared" si="89"/>
        <v>运营中</v>
      </c>
      <c r="L298" s="15"/>
      <c r="M298" s="15"/>
      <c r="N298" s="15"/>
      <c r="O298" s="15"/>
      <c r="P298" s="17">
        <v>41752</v>
      </c>
      <c r="Q298" s="15" t="s">
        <v>428</v>
      </c>
      <c r="R298" s="15" t="s">
        <v>223</v>
      </c>
      <c r="S298" s="15" t="s">
        <v>1289</v>
      </c>
      <c r="T298" s="15"/>
      <c r="U298" s="15"/>
      <c r="V298" s="15"/>
      <c r="W298" s="15"/>
      <c r="X298" s="15"/>
      <c r="Y298" s="15"/>
    </row>
    <row r="299" s="11" customFormat="1" hidden="1" customHeight="1" spans="1:25">
      <c r="A299" s="13"/>
      <c r="B299" s="14"/>
      <c r="C299" s="15"/>
      <c r="D299" s="11" t="str">
        <f t="shared" si="88"/>
        <v>美餐网</v>
      </c>
      <c r="E299" s="15"/>
      <c r="F299" s="16"/>
      <c r="G299" s="15"/>
      <c r="H299" s="15"/>
      <c r="I299" s="15"/>
      <c r="J299" s="15"/>
      <c r="K299" s="11" t="str">
        <f t="shared" si="89"/>
        <v>运营中</v>
      </c>
      <c r="L299" s="15"/>
      <c r="M299" s="15"/>
      <c r="N299" s="15"/>
      <c r="O299" s="15"/>
      <c r="P299" s="17">
        <v>41699</v>
      </c>
      <c r="Q299" s="15" t="s">
        <v>219</v>
      </c>
      <c r="R299" s="15" t="s">
        <v>317</v>
      </c>
      <c r="S299" s="15" t="s">
        <v>1290</v>
      </c>
      <c r="T299" s="15"/>
      <c r="U299" s="15"/>
      <c r="V299" s="15"/>
      <c r="W299" s="15"/>
      <c r="X299" s="15"/>
      <c r="Y299" s="15"/>
    </row>
    <row r="300" s="11" customFormat="1" hidden="1" customHeight="1" spans="1:25">
      <c r="A300" s="13"/>
      <c r="B300" s="14"/>
      <c r="C300" s="15"/>
      <c r="D300" s="11" t="str">
        <f t="shared" si="88"/>
        <v>美餐网</v>
      </c>
      <c r="E300" s="15"/>
      <c r="F300" s="16"/>
      <c r="G300" s="15"/>
      <c r="H300" s="15"/>
      <c r="I300" s="15"/>
      <c r="J300" s="15"/>
      <c r="K300" s="11" t="str">
        <f t="shared" si="89"/>
        <v>运营中</v>
      </c>
      <c r="L300" s="15"/>
      <c r="M300" s="15"/>
      <c r="N300" s="15"/>
      <c r="O300" s="15"/>
      <c r="P300" s="17">
        <v>41183</v>
      </c>
      <c r="Q300" s="15" t="s">
        <v>222</v>
      </c>
      <c r="R300" s="15" t="s">
        <v>223</v>
      </c>
      <c r="S300" s="15" t="s">
        <v>1291</v>
      </c>
      <c r="T300" s="15"/>
      <c r="U300" s="15"/>
      <c r="V300" s="15"/>
      <c r="W300" s="15"/>
      <c r="X300" s="15"/>
      <c r="Y300" s="15"/>
    </row>
    <row r="301" s="11" customFormat="1" hidden="1" customHeight="1" spans="1:25">
      <c r="A301" s="13"/>
      <c r="B301" s="14"/>
      <c r="C301" s="15"/>
      <c r="D301" s="11" t="str">
        <f t="shared" si="88"/>
        <v>美餐网</v>
      </c>
      <c r="E301" s="15"/>
      <c r="F301" s="16"/>
      <c r="G301" s="15"/>
      <c r="H301" s="15"/>
      <c r="I301" s="15"/>
      <c r="J301" s="15"/>
      <c r="K301" s="11" t="str">
        <f t="shared" si="89"/>
        <v>运营中</v>
      </c>
      <c r="L301" s="15"/>
      <c r="M301" s="15"/>
      <c r="N301" s="15"/>
      <c r="O301" s="15"/>
      <c r="P301" s="17">
        <v>40940</v>
      </c>
      <c r="Q301" s="15" t="s">
        <v>196</v>
      </c>
      <c r="R301" s="15" t="s">
        <v>197</v>
      </c>
      <c r="S301" s="15" t="s">
        <v>1292</v>
      </c>
      <c r="T301" s="15"/>
      <c r="U301" s="15"/>
      <c r="V301" s="15"/>
      <c r="W301" s="15"/>
      <c r="X301" s="15"/>
      <c r="Y301" s="15"/>
    </row>
    <row r="302" s="11" customFormat="1" hidden="1" customHeight="1" spans="1:25">
      <c r="A302" s="13"/>
      <c r="B302" s="14"/>
      <c r="C302" s="15" t="s">
        <v>1293</v>
      </c>
      <c r="D302" s="11" t="s">
        <v>1294</v>
      </c>
      <c r="E302" s="15" t="s">
        <v>1294</v>
      </c>
      <c r="F302" s="16" t="s">
        <v>1295</v>
      </c>
      <c r="G302" s="15" t="s">
        <v>1296</v>
      </c>
      <c r="H302" s="15" t="s">
        <v>1297</v>
      </c>
      <c r="I302" s="15" t="s">
        <v>1298</v>
      </c>
      <c r="J302" s="15" t="s">
        <v>415</v>
      </c>
      <c r="K302" s="11" t="s">
        <v>185</v>
      </c>
      <c r="L302" s="15" t="s">
        <v>185</v>
      </c>
      <c r="M302" s="15" t="s">
        <v>186</v>
      </c>
      <c r="N302" s="15" t="s">
        <v>343</v>
      </c>
      <c r="O302" s="15">
        <v>1</v>
      </c>
      <c r="P302" s="17">
        <v>44214</v>
      </c>
      <c r="Q302" s="15" t="s">
        <v>188</v>
      </c>
      <c r="R302" s="15" t="s">
        <v>189</v>
      </c>
      <c r="S302" s="15" t="s">
        <v>1299</v>
      </c>
      <c r="T302" s="15" t="s">
        <v>1300</v>
      </c>
      <c r="U302" s="15" t="s">
        <v>191</v>
      </c>
      <c r="V302" s="15" t="s">
        <v>1301</v>
      </c>
      <c r="W302" s="15"/>
      <c r="X302" s="15"/>
      <c r="Y302" s="15"/>
    </row>
    <row r="303" s="11" customFormat="1" hidden="1" customHeight="1" spans="1:25">
      <c r="A303" s="13"/>
      <c r="B303" s="14"/>
      <c r="C303" s="15"/>
      <c r="D303" s="11" t="str">
        <f t="shared" ref="D303:D308" si="90">D302</f>
        <v>美味不用等</v>
      </c>
      <c r="E303" s="15"/>
      <c r="F303" s="16"/>
      <c r="G303" s="15"/>
      <c r="H303" s="15"/>
      <c r="I303" s="15"/>
      <c r="J303" s="15"/>
      <c r="K303" s="11" t="str">
        <f t="shared" ref="K303:K308" si="91">K302</f>
        <v>运营中</v>
      </c>
      <c r="L303" s="15"/>
      <c r="M303" s="15"/>
      <c r="N303" s="15"/>
      <c r="O303" s="15">
        <v>1</v>
      </c>
      <c r="P303" s="17">
        <v>43231</v>
      </c>
      <c r="Q303" s="15" t="s">
        <v>363</v>
      </c>
      <c r="R303" s="15" t="s">
        <v>997</v>
      </c>
      <c r="S303" s="15" t="s">
        <v>1302</v>
      </c>
      <c r="T303" s="15"/>
      <c r="U303" s="15"/>
      <c r="V303" s="15"/>
      <c r="W303" s="15"/>
      <c r="X303" s="15"/>
      <c r="Y303" s="15"/>
    </row>
    <row r="304" s="11" customFormat="1" hidden="1" customHeight="1" spans="1:25">
      <c r="A304" s="13"/>
      <c r="B304" s="14"/>
      <c r="C304" s="15"/>
      <c r="D304" s="11" t="str">
        <f t="shared" si="90"/>
        <v>美味不用等</v>
      </c>
      <c r="E304" s="15"/>
      <c r="F304" s="16"/>
      <c r="G304" s="15"/>
      <c r="H304" s="15"/>
      <c r="I304" s="15"/>
      <c r="J304" s="15"/>
      <c r="K304" s="11" t="str">
        <f t="shared" si="91"/>
        <v>运营中</v>
      </c>
      <c r="L304" s="15"/>
      <c r="M304" s="15"/>
      <c r="N304" s="15"/>
      <c r="O304" s="15">
        <v>1</v>
      </c>
      <c r="P304" s="17">
        <v>42734</v>
      </c>
      <c r="Q304" s="15" t="s">
        <v>690</v>
      </c>
      <c r="R304" s="15" t="s">
        <v>269</v>
      </c>
      <c r="S304" s="15" t="s">
        <v>1303</v>
      </c>
      <c r="T304" s="15"/>
      <c r="U304" s="15"/>
      <c r="V304" s="15"/>
      <c r="W304" s="15"/>
      <c r="X304" s="15"/>
      <c r="Y304" s="15"/>
    </row>
    <row r="305" s="11" customFormat="1" hidden="1" customHeight="1" spans="1:25">
      <c r="A305" s="13"/>
      <c r="B305" s="14"/>
      <c r="C305" s="15"/>
      <c r="D305" s="11" t="str">
        <f t="shared" si="90"/>
        <v>美味不用等</v>
      </c>
      <c r="E305" s="15"/>
      <c r="F305" s="16"/>
      <c r="G305" s="15"/>
      <c r="H305" s="15"/>
      <c r="I305" s="15"/>
      <c r="J305" s="15"/>
      <c r="K305" s="11" t="str">
        <f t="shared" si="91"/>
        <v>运营中</v>
      </c>
      <c r="L305" s="15"/>
      <c r="M305" s="15"/>
      <c r="N305" s="15"/>
      <c r="O305" s="15">
        <v>1</v>
      </c>
      <c r="P305" s="17">
        <v>42305</v>
      </c>
      <c r="Q305" s="15" t="s">
        <v>216</v>
      </c>
      <c r="R305" s="15" t="s">
        <v>736</v>
      </c>
      <c r="S305" s="15" t="s">
        <v>1304</v>
      </c>
      <c r="T305" s="15"/>
      <c r="U305" s="15"/>
      <c r="V305" s="15"/>
      <c r="W305" s="15"/>
      <c r="X305" s="15"/>
      <c r="Y305" s="15"/>
    </row>
    <row r="306" s="11" customFormat="1" hidden="1" customHeight="1" spans="1:25">
      <c r="A306" s="13"/>
      <c r="B306" s="14"/>
      <c r="C306" s="15"/>
      <c r="D306" s="11" t="str">
        <f t="shared" si="90"/>
        <v>美味不用等</v>
      </c>
      <c r="E306" s="15"/>
      <c r="F306" s="16"/>
      <c r="G306" s="15"/>
      <c r="H306" s="15"/>
      <c r="I306" s="15"/>
      <c r="J306" s="15"/>
      <c r="K306" s="11" t="str">
        <f t="shared" si="91"/>
        <v>运营中</v>
      </c>
      <c r="L306" s="15"/>
      <c r="M306" s="15"/>
      <c r="N306" s="15"/>
      <c r="O306" s="15">
        <v>1</v>
      </c>
      <c r="P306" s="17">
        <v>42019</v>
      </c>
      <c r="Q306" s="15" t="s">
        <v>219</v>
      </c>
      <c r="R306" s="15" t="s">
        <v>366</v>
      </c>
      <c r="S306" s="15" t="s">
        <v>1305</v>
      </c>
      <c r="T306" s="15"/>
      <c r="U306" s="15"/>
      <c r="V306" s="15"/>
      <c r="W306" s="15"/>
      <c r="X306" s="15"/>
      <c r="Y306" s="15"/>
    </row>
    <row r="307" s="11" customFormat="1" hidden="1" customHeight="1" spans="1:25">
      <c r="A307" s="13"/>
      <c r="B307" s="14"/>
      <c r="C307" s="15"/>
      <c r="D307" s="11" t="str">
        <f t="shared" si="90"/>
        <v>美味不用等</v>
      </c>
      <c r="E307" s="15"/>
      <c r="F307" s="16"/>
      <c r="G307" s="15"/>
      <c r="H307" s="15"/>
      <c r="I307" s="15"/>
      <c r="J307" s="15"/>
      <c r="K307" s="11" t="str">
        <f t="shared" si="91"/>
        <v>运营中</v>
      </c>
      <c r="L307" s="15"/>
      <c r="M307" s="15"/>
      <c r="N307" s="15"/>
      <c r="O307" s="15">
        <v>1</v>
      </c>
      <c r="P307" s="17">
        <v>41863</v>
      </c>
      <c r="Q307" s="15" t="s">
        <v>222</v>
      </c>
      <c r="R307" s="15" t="s">
        <v>223</v>
      </c>
      <c r="S307" s="15" t="s">
        <v>1306</v>
      </c>
      <c r="T307" s="15"/>
      <c r="U307" s="15"/>
      <c r="V307" s="15"/>
      <c r="W307" s="15"/>
      <c r="X307" s="15"/>
      <c r="Y307" s="15"/>
    </row>
    <row r="308" s="11" customFormat="1" hidden="1" customHeight="1" spans="1:25">
      <c r="A308" s="13"/>
      <c r="B308" s="14"/>
      <c r="C308" s="15"/>
      <c r="D308" s="11" t="str">
        <f t="shared" si="90"/>
        <v>美味不用等</v>
      </c>
      <c r="E308" s="15"/>
      <c r="F308" s="16"/>
      <c r="G308" s="15"/>
      <c r="H308" s="15"/>
      <c r="I308" s="15"/>
      <c r="J308" s="15"/>
      <c r="K308" s="11" t="str">
        <f t="shared" si="91"/>
        <v>运营中</v>
      </c>
      <c r="L308" s="15"/>
      <c r="M308" s="15"/>
      <c r="N308" s="15"/>
      <c r="O308" s="15">
        <v>1</v>
      </c>
      <c r="P308" s="17">
        <v>41550</v>
      </c>
      <c r="Q308" s="15" t="s">
        <v>196</v>
      </c>
      <c r="R308" s="15" t="s">
        <v>197</v>
      </c>
      <c r="S308" s="15" t="s">
        <v>1307</v>
      </c>
      <c r="T308" s="15"/>
      <c r="U308" s="15"/>
      <c r="V308" s="15"/>
      <c r="W308" s="15"/>
      <c r="X308" s="15"/>
      <c r="Y308" s="15"/>
    </row>
    <row r="309" s="11" customFormat="1" hidden="1" customHeight="1" spans="1:25">
      <c r="A309" s="13"/>
      <c r="B309" s="14"/>
      <c r="C309" s="15" t="s">
        <v>1308</v>
      </c>
      <c r="D309" s="11" t="s">
        <v>1309</v>
      </c>
      <c r="E309" s="15" t="s">
        <v>1309</v>
      </c>
      <c r="F309" s="16" t="s">
        <v>1310</v>
      </c>
      <c r="G309" s="15" t="s">
        <v>1311</v>
      </c>
      <c r="H309" s="15" t="s">
        <v>1312</v>
      </c>
      <c r="I309" s="15" t="s">
        <v>1313</v>
      </c>
      <c r="J309" s="15" t="s">
        <v>1314</v>
      </c>
      <c r="K309" s="11" t="s">
        <v>185</v>
      </c>
      <c r="L309" s="15" t="s">
        <v>185</v>
      </c>
      <c r="M309" s="15" t="s">
        <v>186</v>
      </c>
      <c r="N309" s="15" t="s">
        <v>187</v>
      </c>
      <c r="O309" s="15">
        <v>1</v>
      </c>
      <c r="P309" s="17">
        <v>43385</v>
      </c>
      <c r="Q309" s="15" t="s">
        <v>265</v>
      </c>
      <c r="R309" s="15" t="s">
        <v>189</v>
      </c>
      <c r="S309" s="15" t="s">
        <v>502</v>
      </c>
      <c r="T309" s="15" t="s">
        <v>1315</v>
      </c>
      <c r="U309" s="15" t="s">
        <v>191</v>
      </c>
      <c r="V309" s="15" t="s">
        <v>1316</v>
      </c>
      <c r="W309" s="15" t="s">
        <v>1317</v>
      </c>
      <c r="X309" s="15" t="s">
        <v>1318</v>
      </c>
      <c r="Y309" s="15" t="s">
        <v>1319</v>
      </c>
    </row>
    <row r="310" s="11" customFormat="1" hidden="1" customHeight="1" spans="1:25">
      <c r="A310" s="13"/>
      <c r="B310" s="14"/>
      <c r="C310" s="15"/>
      <c r="D310" s="11" t="str">
        <f t="shared" ref="D310:D319" si="92">D309</f>
        <v>饿了么</v>
      </c>
      <c r="E310" s="15"/>
      <c r="F310" s="16"/>
      <c r="G310" s="15"/>
      <c r="H310" s="15"/>
      <c r="I310" s="15"/>
      <c r="J310" s="15"/>
      <c r="K310" s="11" t="str">
        <f t="shared" ref="K310:K319" si="93">K309</f>
        <v>运营中</v>
      </c>
      <c r="L310" s="15"/>
      <c r="M310" s="15"/>
      <c r="N310" s="15"/>
      <c r="O310" s="15">
        <v>1</v>
      </c>
      <c r="P310" s="17">
        <v>43192</v>
      </c>
      <c r="Q310" s="15" t="s">
        <v>188</v>
      </c>
      <c r="R310" s="15" t="s">
        <v>1320</v>
      </c>
      <c r="S310" s="15" t="s">
        <v>1321</v>
      </c>
      <c r="T310" s="15"/>
      <c r="U310" s="15"/>
      <c r="V310" s="15"/>
      <c r="W310" s="15"/>
      <c r="X310" s="15"/>
      <c r="Y310" s="15"/>
    </row>
    <row r="311" s="11" customFormat="1" hidden="1" customHeight="1" spans="1:25">
      <c r="A311" s="13"/>
      <c r="B311" s="14"/>
      <c r="C311" s="15"/>
      <c r="D311" s="11" t="str">
        <f t="shared" si="92"/>
        <v>饿了么</v>
      </c>
      <c r="E311" s="15"/>
      <c r="F311" s="16"/>
      <c r="G311" s="15"/>
      <c r="H311" s="15"/>
      <c r="I311" s="15"/>
      <c r="J311" s="15"/>
      <c r="K311" s="11" t="str">
        <f t="shared" si="93"/>
        <v>运营中</v>
      </c>
      <c r="L311" s="15"/>
      <c r="M311" s="15"/>
      <c r="N311" s="15"/>
      <c r="O311" s="15">
        <v>1</v>
      </c>
      <c r="P311" s="17">
        <v>42888</v>
      </c>
      <c r="Q311" s="15" t="s">
        <v>207</v>
      </c>
      <c r="R311" s="15" t="s">
        <v>593</v>
      </c>
      <c r="S311" s="15" t="s">
        <v>1299</v>
      </c>
      <c r="T311" s="15"/>
      <c r="U311" s="15"/>
      <c r="V311" s="15"/>
      <c r="W311" s="15"/>
      <c r="X311" s="15"/>
      <c r="Y311" s="15"/>
    </row>
    <row r="312" s="11" customFormat="1" hidden="1" customHeight="1" spans="1:25">
      <c r="A312" s="13"/>
      <c r="B312" s="14"/>
      <c r="C312" s="15"/>
      <c r="D312" s="11" t="str">
        <f t="shared" si="92"/>
        <v>饿了么</v>
      </c>
      <c r="E312" s="15"/>
      <c r="F312" s="16"/>
      <c r="G312" s="15"/>
      <c r="H312" s="15"/>
      <c r="I312" s="15"/>
      <c r="J312" s="15"/>
      <c r="K312" s="11" t="str">
        <f t="shared" si="93"/>
        <v>运营中</v>
      </c>
      <c r="L312" s="15"/>
      <c r="M312" s="15"/>
      <c r="N312" s="15"/>
      <c r="O312" s="15">
        <v>1</v>
      </c>
      <c r="P312" s="17">
        <v>42473</v>
      </c>
      <c r="Q312" s="15" t="s">
        <v>474</v>
      </c>
      <c r="R312" s="15" t="s">
        <v>584</v>
      </c>
      <c r="S312" s="15" t="s">
        <v>1321</v>
      </c>
      <c r="T312" s="15"/>
      <c r="U312" s="15"/>
      <c r="V312" s="15"/>
      <c r="W312" s="15"/>
      <c r="X312" s="15"/>
      <c r="Y312" s="15"/>
    </row>
    <row r="313" s="11" customFormat="1" hidden="1" customHeight="1" spans="1:25">
      <c r="A313" s="13"/>
      <c r="B313" s="14"/>
      <c r="C313" s="15"/>
      <c r="D313" s="11" t="str">
        <f t="shared" si="92"/>
        <v>饿了么</v>
      </c>
      <c r="E313" s="15"/>
      <c r="F313" s="16"/>
      <c r="G313" s="15"/>
      <c r="H313" s="15"/>
      <c r="I313" s="15"/>
      <c r="J313" s="15"/>
      <c r="K313" s="11" t="str">
        <f t="shared" si="93"/>
        <v>运营中</v>
      </c>
      <c r="L313" s="15"/>
      <c r="M313" s="15"/>
      <c r="N313" s="15"/>
      <c r="O313" s="15">
        <v>1</v>
      </c>
      <c r="P313" s="17">
        <v>42321</v>
      </c>
      <c r="Q313" s="15" t="s">
        <v>207</v>
      </c>
      <c r="R313" s="15" t="s">
        <v>313</v>
      </c>
      <c r="S313" s="15" t="s">
        <v>1322</v>
      </c>
      <c r="T313" s="15"/>
      <c r="U313" s="15"/>
      <c r="V313" s="15"/>
      <c r="W313" s="15"/>
      <c r="X313" s="15"/>
      <c r="Y313" s="15"/>
    </row>
    <row r="314" s="11" customFormat="1" hidden="1" customHeight="1" spans="1:25">
      <c r="A314" s="13"/>
      <c r="B314" s="14"/>
      <c r="C314" s="15"/>
      <c r="D314" s="11" t="str">
        <f t="shared" si="92"/>
        <v>饿了么</v>
      </c>
      <c r="E314" s="15"/>
      <c r="F314" s="16"/>
      <c r="G314" s="15"/>
      <c r="H314" s="15"/>
      <c r="I314" s="15"/>
      <c r="J314" s="15"/>
      <c r="K314" s="11" t="str">
        <f t="shared" si="93"/>
        <v>运营中</v>
      </c>
      <c r="L314" s="15"/>
      <c r="M314" s="15"/>
      <c r="N314" s="15"/>
      <c r="O314" s="15">
        <v>1</v>
      </c>
      <c r="P314" s="17">
        <v>42243</v>
      </c>
      <c r="Q314" s="15" t="s">
        <v>474</v>
      </c>
      <c r="R314" s="15" t="s">
        <v>1323</v>
      </c>
      <c r="S314" s="15" t="s">
        <v>1324</v>
      </c>
      <c r="T314" s="15"/>
      <c r="U314" s="15"/>
      <c r="V314" s="15"/>
      <c r="W314" s="15"/>
      <c r="X314" s="15"/>
      <c r="Y314" s="15"/>
    </row>
    <row r="315" s="11" customFormat="1" hidden="1" customHeight="1" spans="1:25">
      <c r="A315" s="13"/>
      <c r="B315" s="14"/>
      <c r="C315" s="15"/>
      <c r="D315" s="11" t="str">
        <f t="shared" si="92"/>
        <v>饿了么</v>
      </c>
      <c r="E315" s="15"/>
      <c r="F315" s="16"/>
      <c r="G315" s="15"/>
      <c r="H315" s="15"/>
      <c r="I315" s="15"/>
      <c r="J315" s="15"/>
      <c r="K315" s="11" t="str">
        <f t="shared" si="93"/>
        <v>运营中</v>
      </c>
      <c r="L315" s="15"/>
      <c r="M315" s="15"/>
      <c r="N315" s="15"/>
      <c r="O315" s="15">
        <v>1</v>
      </c>
      <c r="P315" s="17">
        <v>42027</v>
      </c>
      <c r="Q315" s="15" t="s">
        <v>484</v>
      </c>
      <c r="R315" s="15" t="s">
        <v>1325</v>
      </c>
      <c r="S315" s="15" t="s">
        <v>1326</v>
      </c>
      <c r="T315" s="15"/>
      <c r="U315" s="15"/>
      <c r="V315" s="15"/>
      <c r="W315" s="15"/>
      <c r="X315" s="15"/>
      <c r="Y315" s="15"/>
    </row>
    <row r="316" s="11" customFormat="1" hidden="1" customHeight="1" spans="1:25">
      <c r="A316" s="13"/>
      <c r="B316" s="14"/>
      <c r="C316" s="15"/>
      <c r="D316" s="11" t="str">
        <f t="shared" si="92"/>
        <v>饿了么</v>
      </c>
      <c r="E316" s="15"/>
      <c r="F316" s="16"/>
      <c r="G316" s="15"/>
      <c r="H316" s="15"/>
      <c r="I316" s="15"/>
      <c r="J316" s="15"/>
      <c r="K316" s="11" t="str">
        <f t="shared" si="93"/>
        <v>运营中</v>
      </c>
      <c r="L316" s="15"/>
      <c r="M316" s="15"/>
      <c r="N316" s="15"/>
      <c r="O316" s="15">
        <v>1</v>
      </c>
      <c r="P316" s="17">
        <v>41760</v>
      </c>
      <c r="Q316" s="15" t="s">
        <v>363</v>
      </c>
      <c r="R316" s="15" t="s">
        <v>564</v>
      </c>
      <c r="S316" s="15" t="s">
        <v>716</v>
      </c>
      <c r="T316" s="15"/>
      <c r="U316" s="15"/>
      <c r="V316" s="15"/>
      <c r="W316" s="15"/>
      <c r="X316" s="15"/>
      <c r="Y316" s="15"/>
    </row>
    <row r="317" s="11" customFormat="1" hidden="1" customHeight="1" spans="1:25">
      <c r="A317" s="13"/>
      <c r="B317" s="14"/>
      <c r="C317" s="15"/>
      <c r="D317" s="11" t="str">
        <f t="shared" si="92"/>
        <v>饿了么</v>
      </c>
      <c r="E317" s="15"/>
      <c r="F317" s="16"/>
      <c r="G317" s="15"/>
      <c r="H317" s="15"/>
      <c r="I317" s="15"/>
      <c r="J317" s="15"/>
      <c r="K317" s="11" t="str">
        <f t="shared" si="93"/>
        <v>运营中</v>
      </c>
      <c r="L317" s="15"/>
      <c r="M317" s="15"/>
      <c r="N317" s="15"/>
      <c r="O317" s="15">
        <v>1</v>
      </c>
      <c r="P317" s="17">
        <v>41579</v>
      </c>
      <c r="Q317" s="15" t="s">
        <v>216</v>
      </c>
      <c r="R317" s="15" t="s">
        <v>1327</v>
      </c>
      <c r="S317" s="15" t="s">
        <v>1328</v>
      </c>
      <c r="T317" s="15"/>
      <c r="U317" s="15"/>
      <c r="V317" s="15"/>
      <c r="W317" s="15"/>
      <c r="X317" s="15"/>
      <c r="Y317" s="15"/>
    </row>
    <row r="318" s="11" customFormat="1" hidden="1" customHeight="1" spans="1:25">
      <c r="A318" s="13"/>
      <c r="B318" s="14"/>
      <c r="C318" s="15"/>
      <c r="D318" s="11" t="str">
        <f t="shared" si="92"/>
        <v>饿了么</v>
      </c>
      <c r="E318" s="15"/>
      <c r="F318" s="16"/>
      <c r="G318" s="15"/>
      <c r="H318" s="15"/>
      <c r="I318" s="15"/>
      <c r="J318" s="15"/>
      <c r="K318" s="11" t="str">
        <f t="shared" si="93"/>
        <v>运营中</v>
      </c>
      <c r="L318" s="15"/>
      <c r="M318" s="15"/>
      <c r="N318" s="15"/>
      <c r="O318" s="15">
        <v>1</v>
      </c>
      <c r="P318" s="17">
        <v>41275</v>
      </c>
      <c r="Q318" s="15" t="s">
        <v>219</v>
      </c>
      <c r="R318" s="15" t="s">
        <v>223</v>
      </c>
      <c r="S318" s="15" t="s">
        <v>1329</v>
      </c>
      <c r="T318" s="15"/>
      <c r="U318" s="15"/>
      <c r="V318" s="15"/>
      <c r="W318" s="15"/>
      <c r="X318" s="15"/>
      <c r="Y318" s="15"/>
    </row>
    <row r="319" s="11" customFormat="1" hidden="1" customHeight="1" spans="1:25">
      <c r="A319" s="13"/>
      <c r="B319" s="14"/>
      <c r="C319" s="15"/>
      <c r="D319" s="11" t="str">
        <f t="shared" si="92"/>
        <v>饿了么</v>
      </c>
      <c r="E319" s="15"/>
      <c r="F319" s="16"/>
      <c r="G319" s="15"/>
      <c r="H319" s="15"/>
      <c r="I319" s="15"/>
      <c r="J319" s="15"/>
      <c r="K319" s="11" t="str">
        <f t="shared" si="93"/>
        <v>运营中</v>
      </c>
      <c r="L319" s="15"/>
      <c r="M319" s="15"/>
      <c r="N319" s="15"/>
      <c r="O319" s="15">
        <v>1</v>
      </c>
      <c r="P319" s="17">
        <v>40603</v>
      </c>
      <c r="Q319" s="15" t="s">
        <v>222</v>
      </c>
      <c r="R319" s="15" t="s">
        <v>223</v>
      </c>
      <c r="S319" s="15" t="s">
        <v>1330</v>
      </c>
      <c r="T319" s="15"/>
      <c r="U319" s="15"/>
      <c r="V319" s="15"/>
      <c r="W319" s="15"/>
      <c r="X319" s="15"/>
      <c r="Y319" s="15"/>
    </row>
    <row r="320" s="11" customFormat="1" hidden="1" customHeight="1" spans="1:25">
      <c r="A320" s="13"/>
      <c r="B320" s="14"/>
      <c r="C320" s="15" t="s">
        <v>1331</v>
      </c>
      <c r="D320" s="11" t="s">
        <v>1332</v>
      </c>
      <c r="E320" s="15" t="s">
        <v>1332</v>
      </c>
      <c r="F320" s="16" t="s">
        <v>1333</v>
      </c>
      <c r="G320" s="15" t="s">
        <v>1334</v>
      </c>
      <c r="H320" s="15" t="s">
        <v>1335</v>
      </c>
      <c r="I320" s="15" t="s">
        <v>1336</v>
      </c>
      <c r="J320" s="15" t="s">
        <v>1337</v>
      </c>
      <c r="K320" s="11" t="s">
        <v>185</v>
      </c>
      <c r="L320" s="15" t="s">
        <v>185</v>
      </c>
      <c r="M320" s="15" t="s">
        <v>186</v>
      </c>
      <c r="N320" s="15" t="s">
        <v>187</v>
      </c>
      <c r="O320" s="15"/>
      <c r="P320" s="17">
        <v>42367</v>
      </c>
      <c r="Q320" s="15" t="s">
        <v>1338</v>
      </c>
      <c r="R320" s="15" t="s">
        <v>189</v>
      </c>
      <c r="S320" s="15" t="s">
        <v>262</v>
      </c>
      <c r="T320" s="15" t="s">
        <v>1339</v>
      </c>
      <c r="U320" s="15" t="s">
        <v>191</v>
      </c>
      <c r="V320" s="15" t="s">
        <v>1340</v>
      </c>
      <c r="W320" s="15"/>
      <c r="X320" s="15"/>
      <c r="Y320" s="15" t="s">
        <v>1341</v>
      </c>
    </row>
    <row r="321" s="11" customFormat="1" hidden="1" customHeight="1" spans="1:25">
      <c r="A321" s="13"/>
      <c r="B321" s="14"/>
      <c r="C321" s="15"/>
      <c r="D321" s="11" t="str">
        <f t="shared" ref="D321:D322" si="94">D320</f>
        <v>天财商龙</v>
      </c>
      <c r="E321" s="15"/>
      <c r="F321" s="16"/>
      <c r="G321" s="15"/>
      <c r="H321" s="15"/>
      <c r="I321" s="15"/>
      <c r="J321" s="15"/>
      <c r="K321" s="11" t="str">
        <f t="shared" ref="K321:K322" si="95">K320</f>
        <v>运营中</v>
      </c>
      <c r="L321" s="15"/>
      <c r="M321" s="15"/>
      <c r="N321" s="15"/>
      <c r="O321" s="15"/>
      <c r="P321" s="17">
        <v>41883</v>
      </c>
      <c r="Q321" s="15" t="s">
        <v>219</v>
      </c>
      <c r="R321" s="15" t="s">
        <v>217</v>
      </c>
      <c r="S321" s="15" t="s">
        <v>716</v>
      </c>
      <c r="T321" s="15"/>
      <c r="U321" s="15"/>
      <c r="V321" s="15"/>
      <c r="W321" s="15"/>
      <c r="X321" s="15"/>
      <c r="Y321" s="15"/>
    </row>
    <row r="322" s="11" customFormat="1" hidden="1" customHeight="1" spans="1:25">
      <c r="A322" s="13"/>
      <c r="B322" s="14"/>
      <c r="C322" s="15"/>
      <c r="D322" s="11" t="str">
        <f t="shared" si="94"/>
        <v>天财商龙</v>
      </c>
      <c r="E322" s="15"/>
      <c r="F322" s="16"/>
      <c r="G322" s="15"/>
      <c r="H322" s="15"/>
      <c r="I322" s="15"/>
      <c r="J322" s="15"/>
      <c r="K322" s="11" t="str">
        <f t="shared" si="95"/>
        <v>运营中</v>
      </c>
      <c r="L322" s="15"/>
      <c r="M322" s="15"/>
      <c r="N322" s="15"/>
      <c r="O322" s="15"/>
      <c r="P322" s="17">
        <v>41426</v>
      </c>
      <c r="Q322" s="15" t="s">
        <v>222</v>
      </c>
      <c r="R322" s="15" t="s">
        <v>217</v>
      </c>
      <c r="S322" s="15" t="s">
        <v>1342</v>
      </c>
      <c r="T322" s="15"/>
      <c r="U322" s="15"/>
      <c r="V322" s="15"/>
      <c r="W322" s="15"/>
      <c r="X322" s="15"/>
      <c r="Y322" s="15"/>
    </row>
    <row r="323" s="11" customFormat="1" hidden="1" customHeight="1" spans="1:25">
      <c r="A323" s="13"/>
      <c r="B323" s="14"/>
      <c r="C323" s="15" t="s">
        <v>1343</v>
      </c>
      <c r="D323" s="11" t="s">
        <v>1344</v>
      </c>
      <c r="E323" s="15" t="s">
        <v>1344</v>
      </c>
      <c r="F323" s="16" t="s">
        <v>1345</v>
      </c>
      <c r="G323" s="15" t="s">
        <v>1346</v>
      </c>
      <c r="H323" s="15" t="s">
        <v>1347</v>
      </c>
      <c r="I323" s="15" t="s">
        <v>1348</v>
      </c>
      <c r="J323" s="15" t="s">
        <v>342</v>
      </c>
      <c r="K323" s="11" t="s">
        <v>185</v>
      </c>
      <c r="L323" s="15" t="s">
        <v>185</v>
      </c>
      <c r="M323" s="15" t="s">
        <v>416</v>
      </c>
      <c r="N323" s="15" t="s">
        <v>1349</v>
      </c>
      <c r="O323" s="15"/>
      <c r="P323" s="17">
        <v>42882</v>
      </c>
      <c r="Q323" s="15" t="s">
        <v>363</v>
      </c>
      <c r="R323" s="15" t="s">
        <v>269</v>
      </c>
      <c r="S323" s="15" t="s">
        <v>1350</v>
      </c>
      <c r="T323" s="15" t="s">
        <v>1351</v>
      </c>
      <c r="U323" s="15" t="s">
        <v>504</v>
      </c>
      <c r="V323" s="15" t="s">
        <v>1352</v>
      </c>
      <c r="W323" s="15" t="s">
        <v>1353</v>
      </c>
      <c r="X323" s="15" t="s">
        <v>1354</v>
      </c>
      <c r="Y323" s="15" t="s">
        <v>1355</v>
      </c>
    </row>
    <row r="324" s="11" customFormat="1" hidden="1" customHeight="1" spans="1:25">
      <c r="A324" s="13"/>
      <c r="B324" s="14"/>
      <c r="C324" s="15"/>
      <c r="D324" s="11" t="str">
        <f t="shared" ref="D324:D326" si="96">D323</f>
        <v>WiWide迈外迪</v>
      </c>
      <c r="E324" s="15"/>
      <c r="F324" s="16"/>
      <c r="G324" s="15"/>
      <c r="H324" s="15"/>
      <c r="I324" s="15"/>
      <c r="J324" s="15"/>
      <c r="K324" s="11" t="str">
        <f t="shared" ref="K324:K326" si="97">K323</f>
        <v>运营中</v>
      </c>
      <c r="L324" s="15"/>
      <c r="M324" s="15"/>
      <c r="N324" s="15"/>
      <c r="O324" s="15"/>
      <c r="P324" s="17">
        <v>41981</v>
      </c>
      <c r="Q324" s="15" t="s">
        <v>216</v>
      </c>
      <c r="R324" s="15" t="s">
        <v>1356</v>
      </c>
      <c r="S324" s="15" t="s">
        <v>1357</v>
      </c>
      <c r="T324" s="15"/>
      <c r="U324" s="15"/>
      <c r="V324" s="15"/>
      <c r="W324" s="15"/>
      <c r="X324" s="15"/>
      <c r="Y324" s="15"/>
    </row>
    <row r="325" s="11" customFormat="1" hidden="1" customHeight="1" spans="1:25">
      <c r="A325" s="13"/>
      <c r="B325" s="14"/>
      <c r="C325" s="15"/>
      <c r="D325" s="11" t="str">
        <f t="shared" si="96"/>
        <v>WiWide迈外迪</v>
      </c>
      <c r="E325" s="15"/>
      <c r="F325" s="16"/>
      <c r="G325" s="15"/>
      <c r="H325" s="15"/>
      <c r="I325" s="15"/>
      <c r="J325" s="15"/>
      <c r="K325" s="11" t="str">
        <f t="shared" si="97"/>
        <v>运营中</v>
      </c>
      <c r="L325" s="15"/>
      <c r="M325" s="15"/>
      <c r="N325" s="15"/>
      <c r="O325" s="15"/>
      <c r="P325" s="17">
        <v>41518</v>
      </c>
      <c r="Q325" s="15" t="s">
        <v>219</v>
      </c>
      <c r="R325" s="15" t="s">
        <v>217</v>
      </c>
      <c r="S325" s="15" t="s">
        <v>525</v>
      </c>
      <c r="T325" s="15"/>
      <c r="U325" s="15"/>
      <c r="V325" s="15"/>
      <c r="W325" s="15"/>
      <c r="X325" s="15"/>
      <c r="Y325" s="15"/>
    </row>
    <row r="326" s="11" customFormat="1" hidden="1" customHeight="1" spans="1:25">
      <c r="A326" s="13"/>
      <c r="B326" s="14"/>
      <c r="C326" s="15"/>
      <c r="D326" s="11" t="str">
        <f t="shared" si="96"/>
        <v>WiWide迈外迪</v>
      </c>
      <c r="E326" s="15"/>
      <c r="F326" s="16"/>
      <c r="G326" s="15"/>
      <c r="H326" s="15"/>
      <c r="I326" s="15"/>
      <c r="J326" s="15"/>
      <c r="K326" s="11" t="str">
        <f t="shared" si="97"/>
        <v>运营中</v>
      </c>
      <c r="L326" s="15"/>
      <c r="M326" s="15"/>
      <c r="N326" s="15"/>
      <c r="O326" s="15"/>
      <c r="P326" s="17">
        <v>41165</v>
      </c>
      <c r="Q326" s="15" t="s">
        <v>222</v>
      </c>
      <c r="R326" s="15" t="s">
        <v>369</v>
      </c>
      <c r="S326" s="15" t="s">
        <v>1358</v>
      </c>
      <c r="T326" s="15"/>
      <c r="U326" s="15"/>
      <c r="V326" s="15"/>
      <c r="W326" s="15"/>
      <c r="X326" s="15"/>
      <c r="Y326" s="15"/>
    </row>
    <row r="327" s="3" customFormat="1" ht="85.5" customHeight="1" spans="1:25">
      <c r="A327" s="1"/>
      <c r="B327" s="7"/>
      <c r="C327" s="8" t="s">
        <v>270</v>
      </c>
      <c r="D327" s="11" t="s">
        <v>271</v>
      </c>
      <c r="E327" s="8" t="s">
        <v>272</v>
      </c>
      <c r="F327" s="9" t="s">
        <v>273</v>
      </c>
      <c r="G327" s="15" t="s">
        <v>274</v>
      </c>
      <c r="H327" s="15" t="s">
        <v>275</v>
      </c>
      <c r="I327" s="8" t="s">
        <v>276</v>
      </c>
      <c r="J327" s="8" t="s">
        <v>277</v>
      </c>
      <c r="K327" s="11" t="s">
        <v>185</v>
      </c>
      <c r="L327" s="8" t="s">
        <v>278</v>
      </c>
      <c r="M327" s="8" t="s">
        <v>10</v>
      </c>
      <c r="N327" s="8" t="s">
        <v>279</v>
      </c>
      <c r="O327" s="8"/>
      <c r="P327" s="10">
        <v>43991</v>
      </c>
      <c r="Q327" s="8" t="s">
        <v>280</v>
      </c>
      <c r="R327" s="8" t="s">
        <v>281</v>
      </c>
      <c r="S327" s="8" t="s">
        <v>282</v>
      </c>
      <c r="T327" s="8" t="s">
        <v>283</v>
      </c>
      <c r="U327" s="8" t="s">
        <v>284</v>
      </c>
      <c r="V327" s="9" t="s">
        <v>285</v>
      </c>
      <c r="W327" s="15" t="s">
        <v>286</v>
      </c>
      <c r="X327" s="15" t="s">
        <v>287</v>
      </c>
      <c r="Y327" s="15" t="s">
        <v>288</v>
      </c>
    </row>
    <row r="328" s="11" customFormat="1" hidden="1" customHeight="1" spans="1:25">
      <c r="A328" s="13"/>
      <c r="B328" s="14"/>
      <c r="C328" s="15"/>
      <c r="D328" s="11" t="str">
        <f t="shared" ref="D328:D329" si="98">D327</f>
        <v>哗啦啦</v>
      </c>
      <c r="E328" s="15"/>
      <c r="F328" s="16"/>
      <c r="G328" s="15"/>
      <c r="H328" s="15"/>
      <c r="I328" s="15"/>
      <c r="J328" s="15"/>
      <c r="K328" s="11" t="str">
        <f t="shared" ref="K328:K329" si="99">K327</f>
        <v>运营中</v>
      </c>
      <c r="L328" s="15"/>
      <c r="M328" s="15"/>
      <c r="N328" s="15"/>
      <c r="O328" s="15"/>
      <c r="P328" s="17">
        <v>43313</v>
      </c>
      <c r="Q328" s="15" t="s">
        <v>219</v>
      </c>
      <c r="R328" s="15" t="s">
        <v>189</v>
      </c>
      <c r="S328" s="15" t="s">
        <v>289</v>
      </c>
      <c r="T328" s="15"/>
      <c r="U328" s="15"/>
      <c r="V328" s="15"/>
      <c r="W328" s="15"/>
      <c r="X328" s="15"/>
      <c r="Y328" s="15"/>
    </row>
    <row r="329" s="11" customFormat="1" hidden="1" customHeight="1" spans="1:25">
      <c r="A329" s="13"/>
      <c r="B329" s="14"/>
      <c r="C329" s="15"/>
      <c r="D329" s="11" t="str">
        <f t="shared" si="98"/>
        <v>哗啦啦</v>
      </c>
      <c r="E329" s="15"/>
      <c r="F329" s="16"/>
      <c r="G329" s="15"/>
      <c r="H329" s="15"/>
      <c r="I329" s="15"/>
      <c r="J329" s="15"/>
      <c r="K329" s="11" t="str">
        <f t="shared" si="99"/>
        <v>运营中</v>
      </c>
      <c r="L329" s="15"/>
      <c r="M329" s="15"/>
      <c r="N329" s="15"/>
      <c r="O329" s="15"/>
      <c r="P329" s="17">
        <v>42684</v>
      </c>
      <c r="Q329" s="15" t="s">
        <v>222</v>
      </c>
      <c r="R329" s="15" t="s">
        <v>189</v>
      </c>
      <c r="S329" s="15" t="s">
        <v>290</v>
      </c>
      <c r="T329" s="15"/>
      <c r="U329" s="15"/>
      <c r="V329" s="15"/>
      <c r="W329" s="15"/>
      <c r="X329" s="15"/>
      <c r="Y329" s="15"/>
    </row>
    <row r="330" s="11" customFormat="1" hidden="1" customHeight="1" spans="1:25">
      <c r="A330" s="13"/>
      <c r="B330" s="14"/>
      <c r="C330" s="15" t="s">
        <v>1359</v>
      </c>
      <c r="D330" s="15" t="s">
        <v>1360</v>
      </c>
      <c r="E330" s="15" t="s">
        <v>1360</v>
      </c>
      <c r="F330" s="16" t="s">
        <v>1361</v>
      </c>
      <c r="G330" s="15" t="s">
        <v>1362</v>
      </c>
      <c r="H330" s="15" t="s">
        <v>1363</v>
      </c>
      <c r="I330" s="15" t="s">
        <v>1364</v>
      </c>
      <c r="J330" s="15" t="s">
        <v>1037</v>
      </c>
      <c r="K330" s="15" t="s">
        <v>185</v>
      </c>
      <c r="L330" s="15" t="s">
        <v>185</v>
      </c>
      <c r="M330" s="15" t="s">
        <v>205</v>
      </c>
      <c r="N330" s="15" t="s">
        <v>403</v>
      </c>
      <c r="O330" s="15"/>
      <c r="P330" s="17">
        <v>40179</v>
      </c>
      <c r="Q330" s="15" t="s">
        <v>222</v>
      </c>
      <c r="R330" s="15" t="s">
        <v>189</v>
      </c>
      <c r="S330" s="15" t="s">
        <v>716</v>
      </c>
      <c r="T330" s="15" t="s">
        <v>1365</v>
      </c>
      <c r="U330" s="15" t="s">
        <v>191</v>
      </c>
      <c r="V330" s="15"/>
      <c r="W330" s="15"/>
      <c r="X330" s="15"/>
      <c r="Y330" s="15"/>
    </row>
    <row r="331" s="11" customFormat="1" hidden="1" customHeight="1" spans="1:25">
      <c r="A331" s="13"/>
      <c r="B331" s="14"/>
      <c r="C331" s="15" t="s">
        <v>1366</v>
      </c>
      <c r="D331" s="11" t="s">
        <v>1367</v>
      </c>
      <c r="E331" s="15" t="s">
        <v>1367</v>
      </c>
      <c r="F331" s="16" t="s">
        <v>1368</v>
      </c>
      <c r="G331" s="15" t="s">
        <v>1369</v>
      </c>
      <c r="H331" s="15" t="s">
        <v>1370</v>
      </c>
      <c r="I331" s="15" t="s">
        <v>1371</v>
      </c>
      <c r="J331" s="15" t="s">
        <v>184</v>
      </c>
      <c r="K331" s="11" t="s">
        <v>185</v>
      </c>
      <c r="L331" s="15" t="s">
        <v>185</v>
      </c>
      <c r="M331" s="15" t="s">
        <v>232</v>
      </c>
      <c r="N331" s="15" t="s">
        <v>252</v>
      </c>
      <c r="O331" s="15">
        <v>1</v>
      </c>
      <c r="P331" s="17">
        <v>42888</v>
      </c>
      <c r="Q331" s="15" t="s">
        <v>188</v>
      </c>
      <c r="R331" s="15" t="s">
        <v>1372</v>
      </c>
      <c r="S331" s="15" t="s">
        <v>246</v>
      </c>
      <c r="T331" s="15" t="s">
        <v>1373</v>
      </c>
      <c r="U331" s="15" t="s">
        <v>1374</v>
      </c>
      <c r="V331" s="15" t="s">
        <v>1375</v>
      </c>
      <c r="W331" s="15" t="s">
        <v>1376</v>
      </c>
      <c r="X331" s="15" t="s">
        <v>1377</v>
      </c>
      <c r="Y331" s="15" t="s">
        <v>1378</v>
      </c>
    </row>
    <row r="332" s="11" customFormat="1" hidden="1" customHeight="1" spans="1:25">
      <c r="A332" s="13"/>
      <c r="B332" s="14"/>
      <c r="C332" s="15"/>
      <c r="D332" s="11" t="str">
        <f t="shared" ref="D332:D334" si="100">D331</f>
        <v>捷通无限</v>
      </c>
      <c r="E332" s="15"/>
      <c r="F332" s="16"/>
      <c r="G332" s="15"/>
      <c r="H332" s="15"/>
      <c r="I332" s="15"/>
      <c r="J332" s="15"/>
      <c r="K332" s="11" t="str">
        <f t="shared" ref="K332:K334" si="101">K331</f>
        <v>运营中</v>
      </c>
      <c r="L332" s="15"/>
      <c r="M332" s="15"/>
      <c r="N332" s="15"/>
      <c r="O332" s="15">
        <v>1</v>
      </c>
      <c r="P332" s="17">
        <v>42197</v>
      </c>
      <c r="Q332" s="15" t="s">
        <v>188</v>
      </c>
      <c r="R332" s="15" t="s">
        <v>1372</v>
      </c>
      <c r="S332" s="15" t="s">
        <v>267</v>
      </c>
      <c r="T332" s="15"/>
      <c r="U332" s="15"/>
      <c r="V332" s="15"/>
      <c r="W332" s="15"/>
      <c r="X332" s="15"/>
      <c r="Y332" s="15"/>
    </row>
    <row r="333" s="11" customFormat="1" hidden="1" customHeight="1" spans="1:25">
      <c r="A333" s="13"/>
      <c r="B333" s="14"/>
      <c r="C333" s="15"/>
      <c r="D333" s="11" t="str">
        <f t="shared" si="100"/>
        <v>捷通无限</v>
      </c>
      <c r="E333" s="15"/>
      <c r="F333" s="16"/>
      <c r="G333" s="15"/>
      <c r="H333" s="15"/>
      <c r="I333" s="15"/>
      <c r="J333" s="15"/>
      <c r="K333" s="11" t="str">
        <f t="shared" si="101"/>
        <v>运营中</v>
      </c>
      <c r="L333" s="15"/>
      <c r="M333" s="15"/>
      <c r="N333" s="15"/>
      <c r="O333" s="15">
        <v>1</v>
      </c>
      <c r="P333" s="17">
        <v>40909</v>
      </c>
      <c r="Q333" s="15" t="s">
        <v>219</v>
      </c>
      <c r="R333" s="15" t="s">
        <v>217</v>
      </c>
      <c r="S333" s="15" t="s">
        <v>1379</v>
      </c>
      <c r="T333" s="15"/>
      <c r="U333" s="15"/>
      <c r="V333" s="15"/>
      <c r="W333" s="15"/>
      <c r="X333" s="15"/>
      <c r="Y333" s="15"/>
    </row>
    <row r="334" s="11" customFormat="1" hidden="1" customHeight="1" spans="1:25">
      <c r="A334" s="13"/>
      <c r="B334" s="14"/>
      <c r="C334" s="15"/>
      <c r="D334" s="11" t="str">
        <f t="shared" si="100"/>
        <v>捷通无限</v>
      </c>
      <c r="E334" s="15"/>
      <c r="F334" s="16"/>
      <c r="G334" s="15"/>
      <c r="H334" s="15"/>
      <c r="I334" s="15"/>
      <c r="J334" s="15"/>
      <c r="K334" s="11" t="str">
        <f t="shared" si="101"/>
        <v>运营中</v>
      </c>
      <c r="L334" s="15"/>
      <c r="M334" s="15"/>
      <c r="N334" s="15"/>
      <c r="O334" s="15">
        <v>1</v>
      </c>
      <c r="P334" s="17">
        <v>40179</v>
      </c>
      <c r="Q334" s="15" t="s">
        <v>222</v>
      </c>
      <c r="R334" s="15" t="s">
        <v>1380</v>
      </c>
      <c r="S334" s="15" t="s">
        <v>1307</v>
      </c>
      <c r="T334" s="15"/>
      <c r="U334" s="15"/>
      <c r="V334" s="15"/>
      <c r="W334" s="15"/>
      <c r="X334" s="15"/>
      <c r="Y334" s="15"/>
    </row>
    <row r="335" s="11" customFormat="1" hidden="1" customHeight="1" spans="1:25">
      <c r="A335" s="13"/>
      <c r="B335" s="14"/>
      <c r="C335" s="15" t="s">
        <v>1381</v>
      </c>
      <c r="D335" s="11" t="s">
        <v>1382</v>
      </c>
      <c r="E335" s="15" t="s">
        <v>1382</v>
      </c>
      <c r="F335" s="16" t="s">
        <v>1383</v>
      </c>
      <c r="G335" s="15" t="s">
        <v>1384</v>
      </c>
      <c r="H335" s="15" t="s">
        <v>1385</v>
      </c>
      <c r="I335" s="15" t="s">
        <v>1386</v>
      </c>
      <c r="J335" s="15" t="s">
        <v>1387</v>
      </c>
      <c r="K335" s="11" t="s">
        <v>185</v>
      </c>
      <c r="L335" s="15" t="s">
        <v>185</v>
      </c>
      <c r="M335" s="15" t="s">
        <v>186</v>
      </c>
      <c r="N335" s="15" t="s">
        <v>458</v>
      </c>
      <c r="O335" s="15"/>
      <c r="P335" s="17">
        <v>41275</v>
      </c>
      <c r="Q335" s="15" t="s">
        <v>219</v>
      </c>
      <c r="R335" s="15" t="s">
        <v>223</v>
      </c>
      <c r="S335" s="15" t="s">
        <v>716</v>
      </c>
      <c r="T335" s="15" t="s">
        <v>1388</v>
      </c>
      <c r="U335" s="15" t="s">
        <v>1389</v>
      </c>
      <c r="V335" s="15" t="s">
        <v>1390</v>
      </c>
      <c r="W335" s="15"/>
      <c r="X335" s="15"/>
      <c r="Y335" s="15"/>
    </row>
    <row r="336" s="11" customFormat="1" hidden="1" customHeight="1" spans="1:25">
      <c r="A336" s="13"/>
      <c r="B336" s="14"/>
      <c r="C336" s="15"/>
      <c r="D336" s="11" t="str">
        <f>D335</f>
        <v>爱评网iPeen</v>
      </c>
      <c r="E336" s="15"/>
      <c r="F336" s="16"/>
      <c r="G336" s="15"/>
      <c r="H336" s="15"/>
      <c r="I336" s="15"/>
      <c r="J336" s="15"/>
      <c r="K336" s="11" t="str">
        <f>K335</f>
        <v>运营中</v>
      </c>
      <c r="L336" s="15"/>
      <c r="M336" s="15"/>
      <c r="N336" s="15"/>
      <c r="O336" s="15"/>
      <c r="P336" s="17">
        <v>40664</v>
      </c>
      <c r="Q336" s="15" t="s">
        <v>222</v>
      </c>
      <c r="R336" s="15" t="s">
        <v>922</v>
      </c>
      <c r="S336" s="15" t="s">
        <v>1391</v>
      </c>
      <c r="T336" s="15"/>
      <c r="U336" s="15"/>
      <c r="V336" s="15"/>
      <c r="W336" s="15"/>
      <c r="X336" s="15"/>
      <c r="Y336" s="15"/>
    </row>
    <row r="337" s="11" customFormat="1" hidden="1" customHeight="1" spans="1:25">
      <c r="A337" s="13"/>
      <c r="B337" s="14"/>
      <c r="C337" s="15" t="s">
        <v>1392</v>
      </c>
      <c r="D337" s="11" t="s">
        <v>1393</v>
      </c>
      <c r="E337" s="15" t="s">
        <v>1393</v>
      </c>
      <c r="F337" s="16" t="s">
        <v>1394</v>
      </c>
      <c r="G337" s="15" t="s">
        <v>1395</v>
      </c>
      <c r="H337" s="15" t="s">
        <v>1396</v>
      </c>
      <c r="I337" s="15" t="s">
        <v>700</v>
      </c>
      <c r="J337" s="15" t="s">
        <v>500</v>
      </c>
      <c r="K337" s="11" t="s">
        <v>328</v>
      </c>
      <c r="L337" s="15" t="s">
        <v>328</v>
      </c>
      <c r="M337" s="15" t="s">
        <v>186</v>
      </c>
      <c r="N337" s="15" t="s">
        <v>187</v>
      </c>
      <c r="O337" s="15"/>
      <c r="P337" s="17">
        <v>41760</v>
      </c>
      <c r="Q337" s="15" t="s">
        <v>222</v>
      </c>
      <c r="R337" s="15" t="s">
        <v>388</v>
      </c>
      <c r="S337" s="15" t="s">
        <v>716</v>
      </c>
      <c r="T337" s="15" t="s">
        <v>1397</v>
      </c>
      <c r="U337" s="15" t="s">
        <v>391</v>
      </c>
      <c r="V337" s="15" t="s">
        <v>1398</v>
      </c>
      <c r="W337" s="15"/>
      <c r="X337" s="15"/>
      <c r="Y337" s="15"/>
    </row>
    <row r="338" s="11" customFormat="1" hidden="1" customHeight="1" spans="1:25">
      <c r="A338" s="13"/>
      <c r="B338" s="14"/>
      <c r="C338" s="15"/>
      <c r="D338" s="11" t="str">
        <f>D337</f>
        <v>大嘴巴</v>
      </c>
      <c r="E338" s="15"/>
      <c r="F338" s="16"/>
      <c r="G338" s="15"/>
      <c r="H338" s="15"/>
      <c r="I338" s="15"/>
      <c r="J338" s="15"/>
      <c r="K338" s="11" t="str">
        <f>K337</f>
        <v>已关闭</v>
      </c>
      <c r="L338" s="15"/>
      <c r="M338" s="15"/>
      <c r="N338" s="15"/>
      <c r="O338" s="15"/>
      <c r="P338" s="17">
        <v>41487</v>
      </c>
      <c r="Q338" s="15" t="s">
        <v>196</v>
      </c>
      <c r="R338" s="15" t="s">
        <v>189</v>
      </c>
      <c r="S338" s="15" t="s">
        <v>716</v>
      </c>
      <c r="T338" s="15"/>
      <c r="U338" s="15"/>
      <c r="V338" s="15"/>
      <c r="W338" s="15"/>
      <c r="X338" s="15"/>
      <c r="Y338" s="15"/>
    </row>
    <row r="339" s="11" customFormat="1" hidden="1" customHeight="1" spans="1:25">
      <c r="A339" s="13"/>
      <c r="B339" s="14"/>
      <c r="C339" s="15" t="s">
        <v>1399</v>
      </c>
      <c r="D339" s="11" t="s">
        <v>1400</v>
      </c>
      <c r="E339" s="15" t="s">
        <v>1400</v>
      </c>
      <c r="F339" s="16" t="s">
        <v>1401</v>
      </c>
      <c r="G339" s="15" t="s">
        <v>1402</v>
      </c>
      <c r="H339" s="15" t="s">
        <v>1403</v>
      </c>
      <c r="I339" s="15" t="s">
        <v>1404</v>
      </c>
      <c r="J339" s="15" t="s">
        <v>972</v>
      </c>
      <c r="K339" s="11" t="s">
        <v>185</v>
      </c>
      <c r="L339" s="15" t="s">
        <v>185</v>
      </c>
      <c r="M339" s="15" t="s">
        <v>186</v>
      </c>
      <c r="N339" s="15" t="s">
        <v>187</v>
      </c>
      <c r="O339" s="15"/>
      <c r="P339" s="17">
        <v>42156</v>
      </c>
      <c r="Q339" s="15" t="s">
        <v>219</v>
      </c>
      <c r="R339" s="15" t="s">
        <v>217</v>
      </c>
      <c r="S339" s="15" t="s">
        <v>1405</v>
      </c>
      <c r="T339" s="15" t="s">
        <v>1406</v>
      </c>
      <c r="U339" s="15" t="s">
        <v>379</v>
      </c>
      <c r="V339" s="15" t="s">
        <v>1407</v>
      </c>
      <c r="W339" s="15"/>
      <c r="X339" s="15"/>
      <c r="Y339" s="15"/>
    </row>
    <row r="340" s="11" customFormat="1" hidden="1" customHeight="1" spans="1:25">
      <c r="A340" s="13"/>
      <c r="B340" s="14"/>
      <c r="C340" s="15"/>
      <c r="D340" s="11" t="str">
        <f t="shared" ref="D340:D341" si="102">D339</f>
        <v>我有外卖</v>
      </c>
      <c r="E340" s="15"/>
      <c r="F340" s="16"/>
      <c r="G340" s="15"/>
      <c r="H340" s="15"/>
      <c r="I340" s="15"/>
      <c r="J340" s="15"/>
      <c r="K340" s="11" t="str">
        <f t="shared" ref="K340:K341" si="103">K339</f>
        <v>运营中</v>
      </c>
      <c r="L340" s="15"/>
      <c r="M340" s="15"/>
      <c r="N340" s="15"/>
      <c r="O340" s="15"/>
      <c r="P340" s="17">
        <v>41883</v>
      </c>
      <c r="Q340" s="15" t="s">
        <v>222</v>
      </c>
      <c r="R340" s="15" t="s">
        <v>1408</v>
      </c>
      <c r="S340" s="15" t="s">
        <v>1409</v>
      </c>
      <c r="T340" s="15"/>
      <c r="U340" s="15"/>
      <c r="V340" s="15"/>
      <c r="W340" s="15"/>
      <c r="X340" s="15"/>
      <c r="Y340" s="15"/>
    </row>
    <row r="341" s="11" customFormat="1" hidden="1" customHeight="1" spans="1:25">
      <c r="A341" s="13"/>
      <c r="B341" s="14"/>
      <c r="C341" s="15"/>
      <c r="D341" s="11" t="str">
        <f t="shared" si="102"/>
        <v>我有外卖</v>
      </c>
      <c r="E341" s="15"/>
      <c r="F341" s="16"/>
      <c r="G341" s="15"/>
      <c r="H341" s="15"/>
      <c r="I341" s="15"/>
      <c r="J341" s="15"/>
      <c r="K341" s="11" t="str">
        <f t="shared" si="103"/>
        <v>运营中</v>
      </c>
      <c r="L341" s="15"/>
      <c r="M341" s="15"/>
      <c r="N341" s="15"/>
      <c r="O341" s="15"/>
      <c r="P341" s="17">
        <v>41710</v>
      </c>
      <c r="Q341" s="15" t="s">
        <v>196</v>
      </c>
      <c r="R341" s="15" t="s">
        <v>197</v>
      </c>
      <c r="S341" s="15" t="s">
        <v>1410</v>
      </c>
      <c r="T341" s="15"/>
      <c r="U341" s="15"/>
      <c r="V341" s="15"/>
      <c r="W341" s="15"/>
      <c r="X341" s="15"/>
      <c r="Y341" s="15"/>
    </row>
    <row r="342" s="11" customFormat="1" hidden="1" customHeight="1" spans="1:25">
      <c r="A342" s="13"/>
      <c r="B342" s="14"/>
      <c r="C342" s="15" t="s">
        <v>1411</v>
      </c>
      <c r="D342" s="11" t="s">
        <v>1412</v>
      </c>
      <c r="E342" s="15" t="s">
        <v>1412</v>
      </c>
      <c r="F342" s="16" t="s">
        <v>1413</v>
      </c>
      <c r="G342" s="15" t="s">
        <v>1414</v>
      </c>
      <c r="H342" s="15" t="s">
        <v>1415</v>
      </c>
      <c r="I342" s="15" t="s">
        <v>1416</v>
      </c>
      <c r="J342" s="15" t="s">
        <v>1417</v>
      </c>
      <c r="K342" s="11" t="s">
        <v>185</v>
      </c>
      <c r="L342" s="15" t="s">
        <v>185</v>
      </c>
      <c r="M342" s="15" t="s">
        <v>1418</v>
      </c>
      <c r="N342" s="15" t="s">
        <v>1419</v>
      </c>
      <c r="O342" s="15">
        <v>1</v>
      </c>
      <c r="P342" s="17">
        <v>42079</v>
      </c>
      <c r="Q342" s="15" t="s">
        <v>188</v>
      </c>
      <c r="R342" s="15" t="s">
        <v>189</v>
      </c>
      <c r="S342" s="15" t="s">
        <v>716</v>
      </c>
      <c r="T342" s="15" t="s">
        <v>378</v>
      </c>
      <c r="U342" s="15" t="s">
        <v>191</v>
      </c>
      <c r="V342" s="15" t="s">
        <v>1420</v>
      </c>
      <c r="W342" s="15"/>
      <c r="X342" s="15"/>
      <c r="Y342" s="15"/>
    </row>
    <row r="343" s="11" customFormat="1" hidden="1" customHeight="1" spans="1:25">
      <c r="A343" s="13"/>
      <c r="B343" s="14"/>
      <c r="C343" s="15"/>
      <c r="D343" s="11" t="str">
        <f>D342</f>
        <v>孩子学啥</v>
      </c>
      <c r="E343" s="15"/>
      <c r="F343" s="16"/>
      <c r="G343" s="15"/>
      <c r="H343" s="15"/>
      <c r="I343" s="15"/>
      <c r="J343" s="15"/>
      <c r="K343" s="11" t="str">
        <f>K342</f>
        <v>运营中</v>
      </c>
      <c r="L343" s="15"/>
      <c r="M343" s="15"/>
      <c r="N343" s="15"/>
      <c r="O343" s="15">
        <v>1</v>
      </c>
      <c r="P343" s="17">
        <v>41821</v>
      </c>
      <c r="Q343" s="15" t="s">
        <v>222</v>
      </c>
      <c r="R343" s="15" t="s">
        <v>217</v>
      </c>
      <c r="S343" s="15" t="s">
        <v>1421</v>
      </c>
      <c r="T343" s="15"/>
      <c r="U343" s="15"/>
      <c r="V343" s="15"/>
      <c r="W343" s="15"/>
      <c r="X343" s="15"/>
      <c r="Y343" s="15"/>
    </row>
    <row r="344" s="11" customFormat="1" hidden="1" customHeight="1" spans="1:25">
      <c r="A344" s="13"/>
      <c r="B344" s="14"/>
      <c r="C344" s="15" t="s">
        <v>1422</v>
      </c>
      <c r="D344" s="11" t="s">
        <v>1423</v>
      </c>
      <c r="E344" s="15" t="s">
        <v>1423</v>
      </c>
      <c r="F344" s="16" t="s">
        <v>1424</v>
      </c>
      <c r="G344" s="15" t="s">
        <v>1425</v>
      </c>
      <c r="H344" s="15" t="s">
        <v>1426</v>
      </c>
      <c r="I344" s="15" t="s">
        <v>576</v>
      </c>
      <c r="J344" s="15" t="s">
        <v>342</v>
      </c>
      <c r="K344" s="11" t="s">
        <v>185</v>
      </c>
      <c r="L344" s="15" t="s">
        <v>185</v>
      </c>
      <c r="M344" s="15" t="s">
        <v>186</v>
      </c>
      <c r="N344" s="15" t="s">
        <v>187</v>
      </c>
      <c r="O344" s="15"/>
      <c r="P344" s="17">
        <v>42937</v>
      </c>
      <c r="Q344" s="15" t="s">
        <v>428</v>
      </c>
      <c r="R344" s="15" t="s">
        <v>217</v>
      </c>
      <c r="S344" s="15" t="s">
        <v>1427</v>
      </c>
      <c r="T344" s="15" t="s">
        <v>1428</v>
      </c>
      <c r="U344" s="15" t="s">
        <v>1429</v>
      </c>
      <c r="V344" s="15" t="s">
        <v>1430</v>
      </c>
      <c r="W344" s="15" t="s">
        <v>1431</v>
      </c>
      <c r="X344" s="15" t="s">
        <v>1432</v>
      </c>
      <c r="Y344" s="15" t="s">
        <v>1433</v>
      </c>
    </row>
    <row r="345" s="11" customFormat="1" hidden="1" customHeight="1" spans="1:25">
      <c r="A345" s="13"/>
      <c r="B345" s="14"/>
      <c r="C345" s="15"/>
      <c r="D345" s="11" t="str">
        <f t="shared" ref="D345:D348" si="104">D344</f>
        <v>链农互动</v>
      </c>
      <c r="E345" s="15"/>
      <c r="F345" s="16"/>
      <c r="G345" s="15"/>
      <c r="H345" s="15"/>
      <c r="I345" s="15"/>
      <c r="J345" s="15"/>
      <c r="K345" s="11" t="str">
        <f t="shared" ref="K345:K348" si="105">K344</f>
        <v>运营中</v>
      </c>
      <c r="L345" s="15"/>
      <c r="M345" s="15"/>
      <c r="N345" s="15"/>
      <c r="O345" s="15"/>
      <c r="P345" s="17">
        <v>42172</v>
      </c>
      <c r="Q345" s="15" t="s">
        <v>219</v>
      </c>
      <c r="R345" s="15" t="s">
        <v>1434</v>
      </c>
      <c r="S345" s="15" t="s">
        <v>1435</v>
      </c>
      <c r="T345" s="15"/>
      <c r="U345" s="15"/>
      <c r="V345" s="15"/>
      <c r="W345" s="15"/>
      <c r="X345" s="15"/>
      <c r="Y345" s="15"/>
    </row>
    <row r="346" s="11" customFormat="1" hidden="1" customHeight="1" spans="1:25">
      <c r="A346" s="13"/>
      <c r="B346" s="14"/>
      <c r="C346" s="15"/>
      <c r="D346" s="11" t="str">
        <f t="shared" si="104"/>
        <v>链农互动</v>
      </c>
      <c r="E346" s="15"/>
      <c r="F346" s="16"/>
      <c r="G346" s="15"/>
      <c r="H346" s="15"/>
      <c r="I346" s="15"/>
      <c r="J346" s="15"/>
      <c r="K346" s="11" t="str">
        <f t="shared" si="105"/>
        <v>运营中</v>
      </c>
      <c r="L346" s="15"/>
      <c r="M346" s="15"/>
      <c r="N346" s="15"/>
      <c r="O346" s="15"/>
      <c r="P346" s="17">
        <v>41973</v>
      </c>
      <c r="Q346" s="15" t="s">
        <v>222</v>
      </c>
      <c r="R346" s="15" t="s">
        <v>1436</v>
      </c>
      <c r="S346" s="15" t="s">
        <v>644</v>
      </c>
      <c r="T346" s="15"/>
      <c r="U346" s="15"/>
      <c r="V346" s="15"/>
      <c r="W346" s="15"/>
      <c r="X346" s="15"/>
      <c r="Y346" s="15"/>
    </row>
    <row r="347" s="11" customFormat="1" hidden="1" customHeight="1" spans="1:25">
      <c r="A347" s="13"/>
      <c r="B347" s="14"/>
      <c r="C347" s="15"/>
      <c r="D347" s="11" t="str">
        <f t="shared" si="104"/>
        <v>链农互动</v>
      </c>
      <c r="E347" s="15"/>
      <c r="F347" s="16"/>
      <c r="G347" s="15"/>
      <c r="H347" s="15"/>
      <c r="I347" s="15"/>
      <c r="J347" s="15"/>
      <c r="K347" s="11" t="str">
        <f t="shared" si="105"/>
        <v>运营中</v>
      </c>
      <c r="L347" s="15"/>
      <c r="M347" s="15"/>
      <c r="N347" s="15"/>
      <c r="O347" s="15"/>
      <c r="P347" s="17">
        <v>41942</v>
      </c>
      <c r="Q347" s="15" t="s">
        <v>196</v>
      </c>
      <c r="R347" s="15" t="s">
        <v>922</v>
      </c>
      <c r="S347" s="15" t="s">
        <v>1437</v>
      </c>
      <c r="T347" s="15"/>
      <c r="U347" s="15"/>
      <c r="V347" s="15"/>
      <c r="W347" s="15"/>
      <c r="X347" s="15"/>
      <c r="Y347" s="15"/>
    </row>
    <row r="348" s="11" customFormat="1" hidden="1" customHeight="1" spans="1:25">
      <c r="A348" s="13"/>
      <c r="B348" s="14"/>
      <c r="C348" s="15"/>
      <c r="D348" s="11" t="str">
        <f t="shared" si="104"/>
        <v>链农互动</v>
      </c>
      <c r="E348" s="15"/>
      <c r="F348" s="16"/>
      <c r="G348" s="15"/>
      <c r="H348" s="15"/>
      <c r="I348" s="15"/>
      <c r="J348" s="15"/>
      <c r="K348" s="11" t="str">
        <f t="shared" si="105"/>
        <v>运营中</v>
      </c>
      <c r="L348" s="15"/>
      <c r="M348" s="15"/>
      <c r="N348" s="15"/>
      <c r="O348" s="15"/>
      <c r="P348" s="17">
        <v>41912</v>
      </c>
      <c r="Q348" s="15" t="s">
        <v>905</v>
      </c>
      <c r="R348" s="15" t="s">
        <v>197</v>
      </c>
      <c r="S348" s="15" t="s">
        <v>262</v>
      </c>
      <c r="T348" s="15"/>
      <c r="U348" s="15"/>
      <c r="V348" s="15"/>
      <c r="W348" s="15"/>
      <c r="X348" s="15"/>
      <c r="Y348" s="15"/>
    </row>
    <row r="349" s="11" customFormat="1" hidden="1" customHeight="1" spans="1:25">
      <c r="A349" s="13"/>
      <c r="B349" s="14"/>
      <c r="C349" s="15" t="s">
        <v>1438</v>
      </c>
      <c r="D349" s="11" t="s">
        <v>1439</v>
      </c>
      <c r="E349" s="15" t="s">
        <v>1439</v>
      </c>
      <c r="F349" s="16" t="s">
        <v>1440</v>
      </c>
      <c r="G349" s="15" t="s">
        <v>1441</v>
      </c>
      <c r="H349" s="15" t="s">
        <v>1442</v>
      </c>
      <c r="I349" s="15" t="s">
        <v>1443</v>
      </c>
      <c r="J349" s="15" t="s">
        <v>938</v>
      </c>
      <c r="K349" s="11" t="s">
        <v>328</v>
      </c>
      <c r="L349" s="15" t="s">
        <v>328</v>
      </c>
      <c r="M349" s="15" t="s">
        <v>186</v>
      </c>
      <c r="N349" s="15" t="s">
        <v>377</v>
      </c>
      <c r="O349" s="15"/>
      <c r="P349" s="17">
        <v>41898</v>
      </c>
      <c r="Q349" s="15" t="s">
        <v>219</v>
      </c>
      <c r="R349" s="15" t="s">
        <v>217</v>
      </c>
      <c r="S349" s="15" t="s">
        <v>716</v>
      </c>
      <c r="T349" s="15" t="s">
        <v>1444</v>
      </c>
      <c r="U349" s="15" t="s">
        <v>379</v>
      </c>
      <c r="V349" s="15" t="s">
        <v>1445</v>
      </c>
      <c r="W349" s="15"/>
      <c r="X349" s="15"/>
      <c r="Y349" s="15" t="s">
        <v>1446</v>
      </c>
    </row>
    <row r="350" s="11" customFormat="1" hidden="1" customHeight="1" spans="1:25">
      <c r="A350" s="13"/>
      <c r="B350" s="14"/>
      <c r="C350" s="15"/>
      <c r="D350" s="11" t="str">
        <f t="shared" ref="D350:D351" si="106">D349</f>
        <v>上海石川科技</v>
      </c>
      <c r="E350" s="15"/>
      <c r="F350" s="16"/>
      <c r="G350" s="15"/>
      <c r="H350" s="15"/>
      <c r="I350" s="15"/>
      <c r="J350" s="15"/>
      <c r="K350" s="11" t="str">
        <f t="shared" ref="K350:K351" si="107">K349</f>
        <v>已关闭</v>
      </c>
      <c r="L350" s="15"/>
      <c r="M350" s="15"/>
      <c r="N350" s="15"/>
      <c r="O350" s="15"/>
      <c r="P350" s="17">
        <v>41287</v>
      </c>
      <c r="Q350" s="15" t="s">
        <v>222</v>
      </c>
      <c r="R350" s="15" t="s">
        <v>197</v>
      </c>
      <c r="S350" s="15" t="s">
        <v>1447</v>
      </c>
      <c r="T350" s="15"/>
      <c r="U350" s="15"/>
      <c r="V350" s="15"/>
      <c r="W350" s="15"/>
      <c r="X350" s="15"/>
      <c r="Y350" s="15"/>
    </row>
    <row r="351" s="11" customFormat="1" hidden="1" customHeight="1" spans="1:25">
      <c r="A351" s="13"/>
      <c r="B351" s="14"/>
      <c r="C351" s="15"/>
      <c r="D351" s="11" t="str">
        <f t="shared" si="106"/>
        <v>上海石川科技</v>
      </c>
      <c r="E351" s="15"/>
      <c r="F351" s="16"/>
      <c r="G351" s="15"/>
      <c r="H351" s="15"/>
      <c r="I351" s="15"/>
      <c r="J351" s="15"/>
      <c r="K351" s="11" t="str">
        <f t="shared" si="107"/>
        <v>已关闭</v>
      </c>
      <c r="L351" s="15"/>
      <c r="M351" s="15"/>
      <c r="N351" s="15"/>
      <c r="O351" s="15"/>
      <c r="P351" s="17">
        <v>40179</v>
      </c>
      <c r="Q351" s="15" t="s">
        <v>196</v>
      </c>
      <c r="R351" s="15" t="s">
        <v>189</v>
      </c>
      <c r="S351" s="15" t="s">
        <v>262</v>
      </c>
      <c r="T351" s="15"/>
      <c r="U351" s="15"/>
      <c r="V351" s="15"/>
      <c r="W351" s="15"/>
      <c r="X351" s="15"/>
      <c r="Y351" s="15"/>
    </row>
    <row r="352" s="11" customFormat="1" hidden="1" customHeight="1" spans="1:25">
      <c r="A352" s="13"/>
      <c r="B352" s="14"/>
      <c r="C352" s="15" t="s">
        <v>1448</v>
      </c>
      <c r="D352" s="15" t="s">
        <v>1449</v>
      </c>
      <c r="E352" s="15" t="s">
        <v>1449</v>
      </c>
      <c r="F352" s="16" t="s">
        <v>1450</v>
      </c>
      <c r="G352" s="15" t="s">
        <v>1451</v>
      </c>
      <c r="H352" s="15" t="s">
        <v>1452</v>
      </c>
      <c r="I352" s="15" t="s">
        <v>552</v>
      </c>
      <c r="J352" s="15" t="s">
        <v>1453</v>
      </c>
      <c r="K352" s="15" t="s">
        <v>328</v>
      </c>
      <c r="L352" s="15" t="s">
        <v>328</v>
      </c>
      <c r="M352" s="15" t="s">
        <v>186</v>
      </c>
      <c r="N352" s="15" t="s">
        <v>458</v>
      </c>
      <c r="O352" s="15"/>
      <c r="P352" s="17">
        <v>41892</v>
      </c>
      <c r="Q352" s="15" t="s">
        <v>196</v>
      </c>
      <c r="R352" s="15" t="s">
        <v>189</v>
      </c>
      <c r="S352" s="15" t="s">
        <v>716</v>
      </c>
      <c r="T352" s="15" t="s">
        <v>1454</v>
      </c>
      <c r="U352" s="15" t="s">
        <v>191</v>
      </c>
      <c r="V352" s="15" t="s">
        <v>1455</v>
      </c>
      <c r="W352" s="15"/>
      <c r="X352" s="15"/>
      <c r="Y352" s="15"/>
    </row>
    <row r="353" s="11" customFormat="1" hidden="1" customHeight="1" spans="1:25">
      <c r="A353" s="13"/>
      <c r="B353" s="14"/>
      <c r="C353" s="15" t="s">
        <v>1456</v>
      </c>
      <c r="D353" s="15" t="s">
        <v>1457</v>
      </c>
      <c r="E353" s="15" t="s">
        <v>1457</v>
      </c>
      <c r="F353" s="16" t="s">
        <v>1458</v>
      </c>
      <c r="G353" s="15" t="s">
        <v>1459</v>
      </c>
      <c r="H353" s="15" t="s">
        <v>1460</v>
      </c>
      <c r="I353" s="15" t="s">
        <v>1461</v>
      </c>
      <c r="J353" s="15" t="s">
        <v>446</v>
      </c>
      <c r="K353" s="15" t="s">
        <v>185</v>
      </c>
      <c r="L353" s="15" t="s">
        <v>185</v>
      </c>
      <c r="M353" s="15" t="s">
        <v>186</v>
      </c>
      <c r="N353" s="15" t="s">
        <v>187</v>
      </c>
      <c r="O353" s="15"/>
      <c r="P353" s="17">
        <v>41991</v>
      </c>
      <c r="Q353" s="15" t="s">
        <v>222</v>
      </c>
      <c r="R353" s="15" t="s">
        <v>217</v>
      </c>
      <c r="S353" s="15" t="s">
        <v>716</v>
      </c>
      <c r="T353" s="15" t="s">
        <v>378</v>
      </c>
      <c r="U353" s="15" t="s">
        <v>379</v>
      </c>
      <c r="V353" s="15"/>
      <c r="W353" s="15"/>
      <c r="X353" s="15"/>
      <c r="Y353" s="15" t="s">
        <v>1462</v>
      </c>
    </row>
    <row r="354" s="11" customFormat="1" hidden="1" customHeight="1" spans="1:25">
      <c r="A354" s="13"/>
      <c r="B354" s="14"/>
      <c r="C354" s="15" t="s">
        <v>1463</v>
      </c>
      <c r="D354" s="15" t="s">
        <v>1464</v>
      </c>
      <c r="E354" s="15" t="s">
        <v>1464</v>
      </c>
      <c r="F354" s="16" t="s">
        <v>1465</v>
      </c>
      <c r="G354" s="15" t="s">
        <v>1451</v>
      </c>
      <c r="H354" s="15" t="s">
        <v>1466</v>
      </c>
      <c r="I354" s="15" t="s">
        <v>552</v>
      </c>
      <c r="J354" s="15" t="s">
        <v>500</v>
      </c>
      <c r="K354" s="15" t="s">
        <v>328</v>
      </c>
      <c r="L354" s="15" t="s">
        <v>328</v>
      </c>
      <c r="M354" s="15" t="s">
        <v>1418</v>
      </c>
      <c r="N354" s="15" t="s">
        <v>1467</v>
      </c>
      <c r="O354" s="15"/>
      <c r="P354" s="17">
        <v>42351</v>
      </c>
      <c r="Q354" s="15" t="s">
        <v>196</v>
      </c>
      <c r="R354" s="15" t="s">
        <v>242</v>
      </c>
      <c r="S354" s="15" t="s">
        <v>716</v>
      </c>
      <c r="T354" s="15" t="s">
        <v>1468</v>
      </c>
      <c r="U354" s="15" t="s">
        <v>1469</v>
      </c>
      <c r="V354" s="15" t="s">
        <v>1470</v>
      </c>
      <c r="W354" s="15"/>
      <c r="X354" s="15"/>
      <c r="Y354" s="15"/>
    </row>
    <row r="355" s="11" customFormat="1" hidden="1" customHeight="1" spans="1:25">
      <c r="A355" s="13"/>
      <c r="B355" s="14"/>
      <c r="C355" s="15" t="s">
        <v>705</v>
      </c>
      <c r="D355" s="11" t="s">
        <v>706</v>
      </c>
      <c r="E355" s="15" t="s">
        <v>706</v>
      </c>
      <c r="F355" s="16" t="s">
        <v>707</v>
      </c>
      <c r="G355" s="15" t="s">
        <v>708</v>
      </c>
      <c r="H355" s="15" t="s">
        <v>709</v>
      </c>
      <c r="I355" s="15" t="s">
        <v>710</v>
      </c>
      <c r="J355" s="15" t="s">
        <v>184</v>
      </c>
      <c r="K355" s="11" t="s">
        <v>185</v>
      </c>
      <c r="L355" s="15" t="s">
        <v>185</v>
      </c>
      <c r="M355" s="15" t="s">
        <v>186</v>
      </c>
      <c r="N355" s="15" t="s">
        <v>187</v>
      </c>
      <c r="O355" s="15">
        <v>1</v>
      </c>
      <c r="P355" s="17">
        <v>43236</v>
      </c>
      <c r="Q355" s="15" t="s">
        <v>188</v>
      </c>
      <c r="R355" s="15" t="s">
        <v>189</v>
      </c>
      <c r="S355" s="15" t="s">
        <v>177</v>
      </c>
      <c r="T355" s="15" t="s">
        <v>711</v>
      </c>
      <c r="U355" s="15" t="s">
        <v>191</v>
      </c>
      <c r="V355" s="15" t="s">
        <v>712</v>
      </c>
      <c r="W355" s="15" t="s">
        <v>713</v>
      </c>
      <c r="X355" s="15" t="s">
        <v>714</v>
      </c>
      <c r="Y355" s="15" t="s">
        <v>715</v>
      </c>
    </row>
    <row r="356" s="11" customFormat="1" hidden="1" customHeight="1" spans="1:25">
      <c r="A356" s="13"/>
      <c r="B356" s="14"/>
      <c r="C356" s="15"/>
      <c r="D356" s="11" t="str">
        <f t="shared" ref="D356:D358" si="108">D355</f>
        <v>屏芯科技</v>
      </c>
      <c r="E356" s="15"/>
      <c r="F356" s="16"/>
      <c r="G356" s="15"/>
      <c r="H356" s="15"/>
      <c r="I356" s="15"/>
      <c r="J356" s="15"/>
      <c r="K356" s="11" t="str">
        <f t="shared" ref="K356:K358" si="109">K355</f>
        <v>运营中</v>
      </c>
      <c r="L356" s="15"/>
      <c r="M356" s="15"/>
      <c r="N356" s="15"/>
      <c r="O356" s="15">
        <v>1</v>
      </c>
      <c r="P356" s="17">
        <v>42480</v>
      </c>
      <c r="Q356" s="15" t="s">
        <v>188</v>
      </c>
      <c r="R356" s="15" t="s">
        <v>189</v>
      </c>
      <c r="S356" s="15" t="s">
        <v>177</v>
      </c>
      <c r="T356" s="15"/>
      <c r="U356" s="15"/>
      <c r="V356" s="15"/>
      <c r="W356" s="15"/>
      <c r="X356" s="15"/>
      <c r="Y356" s="15"/>
    </row>
    <row r="357" s="11" customFormat="1" hidden="1" customHeight="1" spans="1:25">
      <c r="A357" s="13"/>
      <c r="B357" s="14"/>
      <c r="C357" s="15"/>
      <c r="D357" s="11" t="str">
        <f t="shared" si="108"/>
        <v>屏芯科技</v>
      </c>
      <c r="E357" s="15"/>
      <c r="F357" s="16"/>
      <c r="G357" s="15"/>
      <c r="H357" s="15"/>
      <c r="I357" s="15"/>
      <c r="J357" s="15"/>
      <c r="K357" s="11" t="str">
        <f t="shared" si="109"/>
        <v>运营中</v>
      </c>
      <c r="L357" s="15"/>
      <c r="M357" s="15"/>
      <c r="N357" s="15"/>
      <c r="O357" s="15">
        <v>1</v>
      </c>
      <c r="P357" s="17">
        <v>42214</v>
      </c>
      <c r="Q357" s="15" t="s">
        <v>207</v>
      </c>
      <c r="R357" s="15" t="s">
        <v>217</v>
      </c>
      <c r="S357" s="15" t="s">
        <v>716</v>
      </c>
      <c r="T357" s="15"/>
      <c r="U357" s="15"/>
      <c r="V357" s="15"/>
      <c r="W357" s="15"/>
      <c r="X357" s="15"/>
      <c r="Y357" s="15"/>
    </row>
    <row r="358" s="11" customFormat="1" hidden="1" customHeight="1" spans="1:25">
      <c r="A358" s="13"/>
      <c r="B358" s="14"/>
      <c r="C358" s="15"/>
      <c r="D358" s="11" t="str">
        <f t="shared" si="108"/>
        <v>屏芯科技</v>
      </c>
      <c r="E358" s="15"/>
      <c r="F358" s="16"/>
      <c r="G358" s="15"/>
      <c r="H358" s="15"/>
      <c r="I358" s="15"/>
      <c r="J358" s="15"/>
      <c r="K358" s="11" t="str">
        <f t="shared" si="109"/>
        <v>运营中</v>
      </c>
      <c r="L358" s="15"/>
      <c r="M358" s="15"/>
      <c r="N358" s="15"/>
      <c r="O358" s="15">
        <v>1</v>
      </c>
      <c r="P358" s="17">
        <v>41754</v>
      </c>
      <c r="Q358" s="15" t="s">
        <v>222</v>
      </c>
      <c r="R358" s="15" t="s">
        <v>217</v>
      </c>
      <c r="S358" s="15" t="s">
        <v>717</v>
      </c>
      <c r="T358" s="15"/>
      <c r="U358" s="15"/>
      <c r="V358" s="15"/>
      <c r="W358" s="15"/>
      <c r="X358" s="15"/>
      <c r="Y358" s="15"/>
    </row>
    <row r="359" s="11" customFormat="1" hidden="1" customHeight="1" spans="1:25">
      <c r="A359" s="13"/>
      <c r="B359" s="14"/>
      <c r="C359" s="15" t="s">
        <v>1471</v>
      </c>
      <c r="D359" s="11" t="s">
        <v>1472</v>
      </c>
      <c r="E359" s="15" t="s">
        <v>1472</v>
      </c>
      <c r="F359" s="16" t="s">
        <v>1473</v>
      </c>
      <c r="G359" s="15" t="s">
        <v>1474</v>
      </c>
      <c r="H359" s="15" t="s">
        <v>1475</v>
      </c>
      <c r="I359" s="15" t="s">
        <v>1476</v>
      </c>
      <c r="J359" s="15" t="s">
        <v>415</v>
      </c>
      <c r="K359" s="11" t="s">
        <v>185</v>
      </c>
      <c r="L359" s="15" t="s">
        <v>185</v>
      </c>
      <c r="M359" s="15" t="s">
        <v>1418</v>
      </c>
      <c r="N359" s="15" t="s">
        <v>1419</v>
      </c>
      <c r="O359" s="15"/>
      <c r="P359" s="17">
        <v>43280</v>
      </c>
      <c r="Q359" s="15" t="s">
        <v>222</v>
      </c>
      <c r="R359" s="15" t="s">
        <v>217</v>
      </c>
      <c r="S359" s="15" t="s">
        <v>1477</v>
      </c>
      <c r="T359" s="15" t="s">
        <v>1478</v>
      </c>
      <c r="U359" s="15" t="s">
        <v>379</v>
      </c>
      <c r="V359" s="15" t="s">
        <v>1479</v>
      </c>
      <c r="W359" s="15" t="s">
        <v>1480</v>
      </c>
      <c r="X359" s="15" t="s">
        <v>1481</v>
      </c>
      <c r="Y359" s="15" t="s">
        <v>1482</v>
      </c>
    </row>
    <row r="360" s="11" customFormat="1" hidden="1" customHeight="1" spans="1:25">
      <c r="A360" s="13"/>
      <c r="B360" s="14"/>
      <c r="C360" s="15"/>
      <c r="D360" s="11" t="str">
        <f t="shared" ref="D360:D361" si="110">D359</f>
        <v>袋鼠麻麻</v>
      </c>
      <c r="E360" s="15"/>
      <c r="F360" s="16"/>
      <c r="G360" s="15"/>
      <c r="H360" s="15"/>
      <c r="I360" s="15"/>
      <c r="J360" s="15"/>
      <c r="K360" s="11" t="str">
        <f t="shared" ref="K360:K361" si="111">K359</f>
        <v>运营中</v>
      </c>
      <c r="L360" s="15"/>
      <c r="M360" s="15"/>
      <c r="N360" s="15"/>
      <c r="O360" s="15"/>
      <c r="P360" s="17">
        <v>42930</v>
      </c>
      <c r="Q360" s="15" t="s">
        <v>393</v>
      </c>
      <c r="R360" s="15" t="s">
        <v>1483</v>
      </c>
      <c r="S360" s="15" t="s">
        <v>1484</v>
      </c>
      <c r="T360" s="15"/>
      <c r="U360" s="15"/>
      <c r="V360" s="15"/>
      <c r="W360" s="15"/>
      <c r="X360" s="15"/>
      <c r="Y360" s="15"/>
    </row>
    <row r="361" s="11" customFormat="1" hidden="1" customHeight="1" spans="1:25">
      <c r="A361" s="13"/>
      <c r="B361" s="14"/>
      <c r="C361" s="15"/>
      <c r="D361" s="11" t="str">
        <f t="shared" si="110"/>
        <v>袋鼠麻麻</v>
      </c>
      <c r="E361" s="15"/>
      <c r="F361" s="16"/>
      <c r="G361" s="15"/>
      <c r="H361" s="15"/>
      <c r="I361" s="15"/>
      <c r="J361" s="15"/>
      <c r="K361" s="11" t="str">
        <f t="shared" si="111"/>
        <v>运营中</v>
      </c>
      <c r="L361" s="15"/>
      <c r="M361" s="15"/>
      <c r="N361" s="15"/>
      <c r="O361" s="15"/>
      <c r="P361" s="17">
        <v>42499</v>
      </c>
      <c r="Q361" s="15" t="s">
        <v>196</v>
      </c>
      <c r="R361" s="15" t="s">
        <v>1485</v>
      </c>
      <c r="S361" s="15" t="s">
        <v>716</v>
      </c>
      <c r="T361" s="15"/>
      <c r="U361" s="15"/>
      <c r="V361" s="15"/>
      <c r="W361" s="15"/>
      <c r="X361" s="15"/>
      <c r="Y361" s="15"/>
    </row>
    <row r="362" s="11" customFormat="1" hidden="1" customHeight="1" spans="1:25">
      <c r="A362" s="13"/>
      <c r="B362" s="14"/>
      <c r="C362" s="15" t="s">
        <v>1486</v>
      </c>
      <c r="D362" s="11" t="s">
        <v>1487</v>
      </c>
      <c r="E362" s="15" t="s">
        <v>1487</v>
      </c>
      <c r="F362" s="16" t="s">
        <v>1488</v>
      </c>
      <c r="G362" s="15" t="s">
        <v>1489</v>
      </c>
      <c r="H362" s="15" t="s">
        <v>1490</v>
      </c>
      <c r="I362" s="15" t="s">
        <v>1404</v>
      </c>
      <c r="J362" s="15" t="s">
        <v>972</v>
      </c>
      <c r="K362" s="11" t="s">
        <v>185</v>
      </c>
      <c r="L362" s="15" t="s">
        <v>185</v>
      </c>
      <c r="M362" s="15" t="s">
        <v>186</v>
      </c>
      <c r="N362" s="15" t="s">
        <v>343</v>
      </c>
      <c r="O362" s="15"/>
      <c r="P362" s="17">
        <v>43489</v>
      </c>
      <c r="Q362" s="15" t="s">
        <v>363</v>
      </c>
      <c r="R362" s="15" t="s">
        <v>269</v>
      </c>
      <c r="S362" s="15" t="s">
        <v>1491</v>
      </c>
      <c r="T362" s="15" t="s">
        <v>1492</v>
      </c>
      <c r="U362" s="15" t="s">
        <v>1493</v>
      </c>
      <c r="V362" s="15" t="s">
        <v>1494</v>
      </c>
      <c r="W362" s="15" t="s">
        <v>1495</v>
      </c>
      <c r="X362" s="15" t="s">
        <v>1496</v>
      </c>
      <c r="Y362" s="15" t="s">
        <v>1497</v>
      </c>
    </row>
    <row r="363" s="11" customFormat="1" hidden="1" customHeight="1" spans="1:25">
      <c r="A363" s="13"/>
      <c r="B363" s="14"/>
      <c r="C363" s="15"/>
      <c r="D363" s="11" t="str">
        <f t="shared" ref="D363:D367" si="112">D362</f>
        <v>商米科技</v>
      </c>
      <c r="E363" s="15"/>
      <c r="F363" s="16"/>
      <c r="G363" s="15"/>
      <c r="H363" s="15"/>
      <c r="I363" s="15"/>
      <c r="J363" s="15"/>
      <c r="K363" s="11" t="str">
        <f t="shared" ref="K363:K367" si="113">K362</f>
        <v>运营中</v>
      </c>
      <c r="L363" s="15"/>
      <c r="M363" s="15"/>
      <c r="N363" s="15"/>
      <c r="O363" s="15"/>
      <c r="P363" s="17">
        <v>42951</v>
      </c>
      <c r="Q363" s="15" t="s">
        <v>216</v>
      </c>
      <c r="R363" s="15" t="s">
        <v>269</v>
      </c>
      <c r="S363" s="15" t="s">
        <v>262</v>
      </c>
      <c r="T363" s="15"/>
      <c r="U363" s="15"/>
      <c r="V363" s="15"/>
      <c r="W363" s="15"/>
      <c r="X363" s="15"/>
      <c r="Y363" s="15"/>
    </row>
    <row r="364" s="11" customFormat="1" hidden="1" customHeight="1" spans="1:25">
      <c r="A364" s="13"/>
      <c r="B364" s="14"/>
      <c r="C364" s="15"/>
      <c r="D364" s="11" t="str">
        <f t="shared" si="112"/>
        <v>商米科技</v>
      </c>
      <c r="E364" s="15"/>
      <c r="F364" s="16"/>
      <c r="G364" s="15"/>
      <c r="H364" s="15"/>
      <c r="I364" s="15"/>
      <c r="J364" s="15"/>
      <c r="K364" s="11" t="str">
        <f t="shared" si="113"/>
        <v>运营中</v>
      </c>
      <c r="L364" s="15"/>
      <c r="M364" s="15"/>
      <c r="N364" s="15"/>
      <c r="O364" s="15"/>
      <c r="P364" s="17">
        <v>42185</v>
      </c>
      <c r="Q364" s="15" t="s">
        <v>428</v>
      </c>
      <c r="R364" s="15" t="s">
        <v>434</v>
      </c>
      <c r="S364" s="15" t="s">
        <v>1498</v>
      </c>
      <c r="T364" s="15"/>
      <c r="U364" s="15"/>
      <c r="V364" s="15"/>
      <c r="W364" s="15"/>
      <c r="X364" s="15"/>
      <c r="Y364" s="15"/>
    </row>
    <row r="365" s="11" customFormat="1" hidden="1" customHeight="1" spans="1:25">
      <c r="A365" s="13"/>
      <c r="B365" s="14"/>
      <c r="C365" s="15"/>
      <c r="D365" s="11" t="str">
        <f t="shared" si="112"/>
        <v>商米科技</v>
      </c>
      <c r="E365" s="15"/>
      <c r="F365" s="16"/>
      <c r="G365" s="15"/>
      <c r="H365" s="15"/>
      <c r="I365" s="15"/>
      <c r="J365" s="15"/>
      <c r="K365" s="11" t="str">
        <f t="shared" si="113"/>
        <v>运营中</v>
      </c>
      <c r="L365" s="15"/>
      <c r="M365" s="15"/>
      <c r="N365" s="15"/>
      <c r="O365" s="15"/>
      <c r="P365" s="17">
        <v>42129</v>
      </c>
      <c r="Q365" s="15" t="s">
        <v>219</v>
      </c>
      <c r="R365" s="15" t="s">
        <v>569</v>
      </c>
      <c r="S365" s="15" t="s">
        <v>1499</v>
      </c>
      <c r="T365" s="15"/>
      <c r="U365" s="15"/>
      <c r="V365" s="15"/>
      <c r="W365" s="15"/>
      <c r="X365" s="15"/>
      <c r="Y365" s="15"/>
    </row>
    <row r="366" s="11" customFormat="1" hidden="1" customHeight="1" spans="1:25">
      <c r="A366" s="13"/>
      <c r="B366" s="14"/>
      <c r="C366" s="15"/>
      <c r="D366" s="11" t="str">
        <f t="shared" si="112"/>
        <v>商米科技</v>
      </c>
      <c r="E366" s="15"/>
      <c r="F366" s="16"/>
      <c r="G366" s="15"/>
      <c r="H366" s="15"/>
      <c r="I366" s="15"/>
      <c r="J366" s="15"/>
      <c r="K366" s="11" t="str">
        <f t="shared" si="113"/>
        <v>运营中</v>
      </c>
      <c r="L366" s="15"/>
      <c r="M366" s="15"/>
      <c r="N366" s="15"/>
      <c r="O366" s="15"/>
      <c r="P366" s="17">
        <v>41874</v>
      </c>
      <c r="Q366" s="15" t="s">
        <v>222</v>
      </c>
      <c r="R366" s="15" t="s">
        <v>1408</v>
      </c>
      <c r="S366" s="15" t="s">
        <v>1500</v>
      </c>
      <c r="T366" s="15"/>
      <c r="U366" s="15"/>
      <c r="V366" s="15"/>
      <c r="W366" s="15"/>
      <c r="X366" s="15"/>
      <c r="Y366" s="15"/>
    </row>
    <row r="367" s="11" customFormat="1" hidden="1" customHeight="1" spans="1:25">
      <c r="A367" s="13"/>
      <c r="B367" s="14"/>
      <c r="C367" s="15"/>
      <c r="D367" s="11" t="str">
        <f t="shared" si="112"/>
        <v>商米科技</v>
      </c>
      <c r="E367" s="15"/>
      <c r="F367" s="16"/>
      <c r="G367" s="15"/>
      <c r="H367" s="15"/>
      <c r="I367" s="15"/>
      <c r="J367" s="15"/>
      <c r="K367" s="11" t="str">
        <f t="shared" si="113"/>
        <v>运营中</v>
      </c>
      <c r="L367" s="15"/>
      <c r="M367" s="15"/>
      <c r="N367" s="15"/>
      <c r="O367" s="15"/>
      <c r="P367" s="17">
        <v>41643</v>
      </c>
      <c r="Q367" s="15" t="s">
        <v>196</v>
      </c>
      <c r="R367" s="15" t="s">
        <v>189</v>
      </c>
      <c r="S367" s="15" t="s">
        <v>1410</v>
      </c>
      <c r="T367" s="15"/>
      <c r="U367" s="15"/>
      <c r="V367" s="15"/>
      <c r="W367" s="15"/>
      <c r="X367" s="15"/>
      <c r="Y367" s="15"/>
    </row>
    <row r="368" s="11" customFormat="1" hidden="1" customHeight="1" spans="1:25">
      <c r="A368" s="13"/>
      <c r="B368" s="14"/>
      <c r="C368" s="15" t="s">
        <v>966</v>
      </c>
      <c r="D368" s="11" t="s">
        <v>967</v>
      </c>
      <c r="E368" s="15" t="s">
        <v>967</v>
      </c>
      <c r="F368" s="16" t="s">
        <v>968</v>
      </c>
      <c r="G368" s="15" t="s">
        <v>969</v>
      </c>
      <c r="H368" s="15" t="s">
        <v>970</v>
      </c>
      <c r="I368" s="15" t="s">
        <v>971</v>
      </c>
      <c r="J368" s="15" t="s">
        <v>972</v>
      </c>
      <c r="K368" s="11" t="s">
        <v>185</v>
      </c>
      <c r="L368" s="15" t="s">
        <v>185</v>
      </c>
      <c r="M368" s="15" t="s">
        <v>186</v>
      </c>
      <c r="N368" s="15" t="s">
        <v>187</v>
      </c>
      <c r="O368" s="15"/>
      <c r="P368" s="17">
        <v>43028</v>
      </c>
      <c r="Q368" s="15" t="s">
        <v>222</v>
      </c>
      <c r="R368" s="15" t="s">
        <v>269</v>
      </c>
      <c r="S368" s="15" t="s">
        <v>973</v>
      </c>
      <c r="T368" s="15" t="s">
        <v>974</v>
      </c>
      <c r="U368" s="15" t="s">
        <v>504</v>
      </c>
      <c r="V368" s="15" t="s">
        <v>975</v>
      </c>
      <c r="W368" s="15" t="s">
        <v>976</v>
      </c>
      <c r="X368" s="15" t="s">
        <v>977</v>
      </c>
      <c r="Y368" s="15" t="s">
        <v>978</v>
      </c>
    </row>
    <row r="369" s="11" customFormat="1" hidden="1" customHeight="1" spans="1:25">
      <c r="A369" s="13"/>
      <c r="B369" s="14"/>
      <c r="C369" s="15"/>
      <c r="D369" s="11" t="str">
        <f>D368</f>
        <v>大家来</v>
      </c>
      <c r="E369" s="15"/>
      <c r="F369" s="16"/>
      <c r="G369" s="15"/>
      <c r="H369" s="15"/>
      <c r="I369" s="15"/>
      <c r="J369" s="15"/>
      <c r="K369" s="11" t="str">
        <f>K368</f>
        <v>运营中</v>
      </c>
      <c r="L369" s="15"/>
      <c r="M369" s="15"/>
      <c r="N369" s="15"/>
      <c r="O369" s="15"/>
      <c r="P369" s="17">
        <v>42175</v>
      </c>
      <c r="Q369" s="15" t="s">
        <v>196</v>
      </c>
      <c r="R369" s="15" t="s">
        <v>214</v>
      </c>
      <c r="S369" s="15" t="s">
        <v>979</v>
      </c>
      <c r="T369" s="15"/>
      <c r="U369" s="15"/>
      <c r="V369" s="15"/>
      <c r="W369" s="15"/>
      <c r="X369" s="15"/>
      <c r="Y369" s="15"/>
    </row>
    <row r="370" s="11" customFormat="1" hidden="1" customHeight="1" spans="1:25">
      <c r="A370" s="13"/>
      <c r="B370" s="14"/>
      <c r="C370" s="15" t="s">
        <v>1501</v>
      </c>
      <c r="D370" s="11" t="s">
        <v>1502</v>
      </c>
      <c r="E370" s="15" t="s">
        <v>1502</v>
      </c>
      <c r="F370" s="16" t="s">
        <v>1503</v>
      </c>
      <c r="G370" s="15" t="s">
        <v>1504</v>
      </c>
      <c r="H370" s="15" t="s">
        <v>1460</v>
      </c>
      <c r="I370" s="15" t="s">
        <v>457</v>
      </c>
      <c r="J370" s="15" t="s">
        <v>446</v>
      </c>
      <c r="K370" s="11" t="s">
        <v>185</v>
      </c>
      <c r="L370" s="15" t="s">
        <v>185</v>
      </c>
      <c r="M370" s="15" t="s">
        <v>205</v>
      </c>
      <c r="N370" s="15" t="s">
        <v>377</v>
      </c>
      <c r="O370" s="15"/>
      <c r="P370" s="17">
        <v>42800</v>
      </c>
      <c r="Q370" s="15" t="s">
        <v>207</v>
      </c>
      <c r="R370" s="15" t="s">
        <v>189</v>
      </c>
      <c r="S370" s="15" t="s">
        <v>1505</v>
      </c>
      <c r="T370" s="15" t="s">
        <v>1339</v>
      </c>
      <c r="U370" s="15" t="s">
        <v>191</v>
      </c>
      <c r="V370" s="15" t="s">
        <v>1506</v>
      </c>
      <c r="W370" s="15" t="s">
        <v>1507</v>
      </c>
      <c r="X370" s="15" t="s">
        <v>1508</v>
      </c>
      <c r="Y370" s="15" t="s">
        <v>1509</v>
      </c>
    </row>
    <row r="371" s="11" customFormat="1" hidden="1" customHeight="1" spans="1:25">
      <c r="A371" s="13"/>
      <c r="B371" s="14"/>
      <c r="C371" s="15"/>
      <c r="D371" s="11" t="str">
        <f t="shared" ref="D371:D372" si="114">D370</f>
        <v>食为天信息</v>
      </c>
      <c r="E371" s="15"/>
      <c r="F371" s="16"/>
      <c r="G371" s="15"/>
      <c r="H371" s="15"/>
      <c r="I371" s="15"/>
      <c r="J371" s="15"/>
      <c r="K371" s="11" t="str">
        <f t="shared" ref="K371:K372" si="115">K370</f>
        <v>运营中</v>
      </c>
      <c r="L371" s="15"/>
      <c r="M371" s="15"/>
      <c r="N371" s="15"/>
      <c r="O371" s="15"/>
      <c r="P371" s="17">
        <v>42370</v>
      </c>
      <c r="Q371" s="15" t="s">
        <v>207</v>
      </c>
      <c r="R371" s="15" t="s">
        <v>217</v>
      </c>
      <c r="S371" s="15" t="s">
        <v>1510</v>
      </c>
      <c r="T371" s="15"/>
      <c r="U371" s="15"/>
      <c r="V371" s="15"/>
      <c r="W371" s="15"/>
      <c r="X371" s="15"/>
      <c r="Y371" s="15"/>
    </row>
    <row r="372" s="11" customFormat="1" hidden="1" customHeight="1" spans="1:25">
      <c r="A372" s="13"/>
      <c r="B372" s="14"/>
      <c r="C372" s="15"/>
      <c r="D372" s="11" t="str">
        <f t="shared" si="114"/>
        <v>食为天信息</v>
      </c>
      <c r="E372" s="15"/>
      <c r="F372" s="16"/>
      <c r="G372" s="15"/>
      <c r="H372" s="15"/>
      <c r="I372" s="15"/>
      <c r="J372" s="15"/>
      <c r="K372" s="11" t="str">
        <f t="shared" si="115"/>
        <v>运营中</v>
      </c>
      <c r="L372" s="15"/>
      <c r="M372" s="15"/>
      <c r="N372" s="15"/>
      <c r="O372" s="15"/>
      <c r="P372" s="17">
        <v>42003</v>
      </c>
      <c r="Q372" s="15" t="s">
        <v>207</v>
      </c>
      <c r="R372" s="15" t="s">
        <v>217</v>
      </c>
      <c r="S372" s="15" t="s">
        <v>716</v>
      </c>
      <c r="T372" s="15"/>
      <c r="U372" s="15"/>
      <c r="V372" s="15"/>
      <c r="W372" s="15"/>
      <c r="X372" s="15"/>
      <c r="Y372" s="15"/>
    </row>
    <row r="373" s="3" customFormat="1" ht="85.5" customHeight="1" spans="1:25">
      <c r="A373" s="1"/>
      <c r="B373" s="7"/>
      <c r="C373" s="8" t="s">
        <v>1511</v>
      </c>
      <c r="D373" s="15" t="s">
        <v>1512</v>
      </c>
      <c r="E373" s="8" t="s">
        <v>1513</v>
      </c>
      <c r="F373" s="9" t="s">
        <v>1514</v>
      </c>
      <c r="G373" s="15" t="s">
        <v>1515</v>
      </c>
      <c r="H373" s="15"/>
      <c r="I373" s="8" t="s">
        <v>1516</v>
      </c>
      <c r="J373" s="8" t="s">
        <v>952</v>
      </c>
      <c r="K373" s="15" t="s">
        <v>185</v>
      </c>
      <c r="L373" s="8" t="s">
        <v>278</v>
      </c>
      <c r="M373" s="8" t="s">
        <v>37</v>
      </c>
      <c r="N373" s="8" t="s">
        <v>1517</v>
      </c>
      <c r="O373" s="8"/>
      <c r="P373" s="10">
        <v>44480</v>
      </c>
      <c r="Q373" s="8" t="s">
        <v>280</v>
      </c>
      <c r="R373" s="8" t="s">
        <v>281</v>
      </c>
      <c r="S373" s="8" t="s">
        <v>1518</v>
      </c>
      <c r="T373" s="8" t="s">
        <v>810</v>
      </c>
      <c r="U373" s="8" t="s">
        <v>284</v>
      </c>
      <c r="V373" s="9"/>
      <c r="W373" s="15" t="s">
        <v>1519</v>
      </c>
      <c r="X373" s="15" t="s">
        <v>1520</v>
      </c>
      <c r="Y373" s="15" t="s">
        <v>1521</v>
      </c>
    </row>
    <row r="374" s="11" customFormat="1" hidden="1" customHeight="1" spans="1:25">
      <c r="A374" s="13"/>
      <c r="B374" s="14" t="s">
        <v>1522</v>
      </c>
      <c r="C374" s="15" t="s">
        <v>1523</v>
      </c>
      <c r="D374" s="11" t="s">
        <v>1524</v>
      </c>
      <c r="E374" s="15" t="s">
        <v>1524</v>
      </c>
      <c r="F374" s="16" t="s">
        <v>1525</v>
      </c>
      <c r="G374" s="15" t="s">
        <v>1526</v>
      </c>
      <c r="H374" s="15" t="s">
        <v>1527</v>
      </c>
      <c r="I374" s="15" t="s">
        <v>1528</v>
      </c>
      <c r="J374" s="15" t="s">
        <v>342</v>
      </c>
      <c r="K374" s="11" t="s">
        <v>328</v>
      </c>
      <c r="L374" s="15" t="s">
        <v>328</v>
      </c>
      <c r="M374" s="15" t="s">
        <v>186</v>
      </c>
      <c r="N374" s="15" t="s">
        <v>187</v>
      </c>
      <c r="O374" s="15"/>
      <c r="P374" s="17">
        <v>43077</v>
      </c>
      <c r="Q374" s="15" t="s">
        <v>219</v>
      </c>
      <c r="R374" s="15" t="s">
        <v>217</v>
      </c>
      <c r="S374" s="15" t="s">
        <v>1529</v>
      </c>
      <c r="T374" s="15" t="s">
        <v>1530</v>
      </c>
      <c r="U374" s="15" t="s">
        <v>379</v>
      </c>
      <c r="V374" s="15" t="s">
        <v>1531</v>
      </c>
      <c r="W374" s="15"/>
      <c r="X374" s="15"/>
      <c r="Y374" s="15"/>
    </row>
    <row r="375" s="11" customFormat="1" hidden="1" customHeight="1" spans="1:25">
      <c r="A375" s="13"/>
      <c r="B375" s="14"/>
      <c r="C375" s="15"/>
      <c r="D375" s="11" t="str">
        <f t="shared" ref="D375:D376" si="116">D374</f>
        <v>甜心摇滚沙拉</v>
      </c>
      <c r="E375" s="15"/>
      <c r="F375" s="16"/>
      <c r="G375" s="15"/>
      <c r="H375" s="15"/>
      <c r="I375" s="15"/>
      <c r="J375" s="15"/>
      <c r="K375" s="11" t="str">
        <f t="shared" ref="K375:K376" si="117">K374</f>
        <v>已关闭</v>
      </c>
      <c r="L375" s="15"/>
      <c r="M375" s="15"/>
      <c r="N375" s="15"/>
      <c r="O375" s="15"/>
      <c r="P375" s="17">
        <v>42058</v>
      </c>
      <c r="Q375" s="15" t="s">
        <v>222</v>
      </c>
      <c r="R375" s="15" t="s">
        <v>217</v>
      </c>
      <c r="S375" s="15" t="s">
        <v>1532</v>
      </c>
      <c r="T375" s="15"/>
      <c r="U375" s="15"/>
      <c r="V375" s="15"/>
      <c r="W375" s="15"/>
      <c r="X375" s="15"/>
      <c r="Y375" s="15"/>
    </row>
    <row r="376" s="11" customFormat="1" hidden="1" customHeight="1" spans="1:25">
      <c r="A376" s="13"/>
      <c r="B376" s="14"/>
      <c r="C376" s="15"/>
      <c r="D376" s="11" t="str">
        <f t="shared" si="116"/>
        <v>甜心摇滚沙拉</v>
      </c>
      <c r="E376" s="15"/>
      <c r="F376" s="16"/>
      <c r="G376" s="15"/>
      <c r="H376" s="15"/>
      <c r="I376" s="15"/>
      <c r="J376" s="15"/>
      <c r="K376" s="11" t="str">
        <f t="shared" si="117"/>
        <v>已关闭</v>
      </c>
      <c r="L376" s="15"/>
      <c r="M376" s="15"/>
      <c r="N376" s="15"/>
      <c r="O376" s="15"/>
      <c r="P376" s="17">
        <v>41897</v>
      </c>
      <c r="Q376" s="15" t="s">
        <v>196</v>
      </c>
      <c r="R376" s="15" t="s">
        <v>197</v>
      </c>
      <c r="S376" s="15" t="s">
        <v>1533</v>
      </c>
      <c r="T376" s="15"/>
      <c r="U376" s="15"/>
      <c r="V376" s="15"/>
      <c r="W376" s="15"/>
      <c r="X376" s="15"/>
      <c r="Y376" s="15"/>
    </row>
    <row r="377" s="11" customFormat="1" hidden="1" customHeight="1" spans="1:25">
      <c r="A377" s="13"/>
      <c r="B377" s="14"/>
      <c r="C377" s="15" t="s">
        <v>546</v>
      </c>
      <c r="D377" s="11" t="s">
        <v>1534</v>
      </c>
      <c r="E377" s="15" t="s">
        <v>1534</v>
      </c>
      <c r="F377" s="16" t="s">
        <v>1535</v>
      </c>
      <c r="G377" s="15" t="s">
        <v>1536</v>
      </c>
      <c r="H377" s="15" t="s">
        <v>1537</v>
      </c>
      <c r="I377" s="15" t="s">
        <v>576</v>
      </c>
      <c r="J377" s="15" t="s">
        <v>446</v>
      </c>
      <c r="K377" s="11" t="s">
        <v>185</v>
      </c>
      <c r="L377" s="15" t="s">
        <v>185</v>
      </c>
      <c r="M377" s="15" t="s">
        <v>205</v>
      </c>
      <c r="N377" s="15" t="s">
        <v>206</v>
      </c>
      <c r="O377" s="15">
        <v>1</v>
      </c>
      <c r="P377" s="17">
        <v>43872</v>
      </c>
      <c r="Q377" s="15" t="s">
        <v>188</v>
      </c>
      <c r="R377" s="15" t="s">
        <v>189</v>
      </c>
      <c r="S377" s="15" t="s">
        <v>547</v>
      </c>
      <c r="T377" s="15" t="s">
        <v>1538</v>
      </c>
      <c r="U377" s="15" t="s">
        <v>191</v>
      </c>
      <c r="V377" s="15" t="s">
        <v>1539</v>
      </c>
      <c r="W377" s="15" t="s">
        <v>1540</v>
      </c>
      <c r="X377" s="15" t="s">
        <v>1541</v>
      </c>
      <c r="Y377" s="15" t="s">
        <v>1542</v>
      </c>
    </row>
    <row r="378" s="11" customFormat="1" hidden="1" customHeight="1" spans="1:25">
      <c r="A378" s="13"/>
      <c r="B378" s="14"/>
      <c r="C378" s="15"/>
      <c r="D378" s="11" t="str">
        <f t="shared" ref="D378:D380" si="118">D377</f>
        <v>掌上快销</v>
      </c>
      <c r="E378" s="15"/>
      <c r="F378" s="16"/>
      <c r="G378" s="15"/>
      <c r="H378" s="15"/>
      <c r="I378" s="15"/>
      <c r="J378" s="15"/>
      <c r="K378" s="11" t="str">
        <f t="shared" ref="K378:K380" si="119">K377</f>
        <v>运营中</v>
      </c>
      <c r="L378" s="15"/>
      <c r="M378" s="15"/>
      <c r="N378" s="15"/>
      <c r="O378" s="15">
        <v>1</v>
      </c>
      <c r="P378" s="17">
        <v>43157</v>
      </c>
      <c r="Q378" s="15" t="s">
        <v>219</v>
      </c>
      <c r="R378" s="15" t="s">
        <v>1543</v>
      </c>
      <c r="S378" s="15" t="s">
        <v>1544</v>
      </c>
      <c r="T378" s="15"/>
      <c r="U378" s="15"/>
      <c r="V378" s="15"/>
      <c r="W378" s="15"/>
      <c r="X378" s="15"/>
      <c r="Y378" s="15"/>
    </row>
    <row r="379" s="11" customFormat="1" hidden="1" customHeight="1" spans="1:25">
      <c r="A379" s="13"/>
      <c r="B379" s="14"/>
      <c r="C379" s="15"/>
      <c r="D379" s="11" t="str">
        <f t="shared" si="118"/>
        <v>掌上快销</v>
      </c>
      <c r="E379" s="15"/>
      <c r="F379" s="16"/>
      <c r="G379" s="15"/>
      <c r="H379" s="15"/>
      <c r="I379" s="15"/>
      <c r="J379" s="15"/>
      <c r="K379" s="11" t="str">
        <f t="shared" si="119"/>
        <v>运营中</v>
      </c>
      <c r="L379" s="15"/>
      <c r="M379" s="15"/>
      <c r="N379" s="15"/>
      <c r="O379" s="15">
        <v>1</v>
      </c>
      <c r="P379" s="17">
        <v>42917</v>
      </c>
      <c r="Q379" s="15" t="s">
        <v>222</v>
      </c>
      <c r="R379" s="15" t="s">
        <v>189</v>
      </c>
      <c r="S379" s="15" t="s">
        <v>1545</v>
      </c>
      <c r="T379" s="15"/>
      <c r="U379" s="15"/>
      <c r="V379" s="15"/>
      <c r="W379" s="15"/>
      <c r="X379" s="15"/>
      <c r="Y379" s="15"/>
    </row>
    <row r="380" s="11" customFormat="1" hidden="1" customHeight="1" spans="1:25">
      <c r="A380" s="13"/>
      <c r="B380" s="14"/>
      <c r="C380" s="15"/>
      <c r="D380" s="11" t="str">
        <f t="shared" si="118"/>
        <v>掌上快销</v>
      </c>
      <c r="E380" s="15"/>
      <c r="F380" s="16"/>
      <c r="G380" s="15"/>
      <c r="H380" s="15"/>
      <c r="I380" s="15"/>
      <c r="J380" s="15"/>
      <c r="K380" s="11" t="str">
        <f t="shared" si="119"/>
        <v>运营中</v>
      </c>
      <c r="L380" s="15"/>
      <c r="M380" s="15"/>
      <c r="N380" s="15"/>
      <c r="O380" s="15">
        <v>1</v>
      </c>
      <c r="P380" s="17">
        <v>42184</v>
      </c>
      <c r="Q380" s="15" t="s">
        <v>196</v>
      </c>
      <c r="R380" s="15" t="s">
        <v>197</v>
      </c>
      <c r="S380" s="15" t="s">
        <v>1546</v>
      </c>
      <c r="T380" s="15"/>
      <c r="U380" s="15"/>
      <c r="V380" s="15"/>
      <c r="W380" s="15"/>
      <c r="X380" s="15"/>
      <c r="Y380" s="15"/>
    </row>
    <row r="381" s="3" customFormat="1" ht="85.5" customHeight="1" spans="1:25">
      <c r="A381" s="1"/>
      <c r="B381" s="7"/>
      <c r="C381" s="8" t="s">
        <v>546</v>
      </c>
      <c r="D381" s="11" t="s">
        <v>547</v>
      </c>
      <c r="E381" s="8" t="s">
        <v>548</v>
      </c>
      <c r="F381" s="9" t="s">
        <v>549</v>
      </c>
      <c r="G381" s="15" t="s">
        <v>550</v>
      </c>
      <c r="H381" s="15" t="s">
        <v>551</v>
      </c>
      <c r="I381" s="8" t="s">
        <v>552</v>
      </c>
      <c r="J381" s="8" t="s">
        <v>553</v>
      </c>
      <c r="K381" s="11" t="s">
        <v>185</v>
      </c>
      <c r="L381" s="8" t="s">
        <v>278</v>
      </c>
      <c r="M381" s="8" t="s">
        <v>23</v>
      </c>
      <c r="N381" s="8" t="s">
        <v>554</v>
      </c>
      <c r="O381" s="8"/>
      <c r="P381" s="10">
        <v>43872</v>
      </c>
      <c r="Q381" s="8" t="s">
        <v>555</v>
      </c>
      <c r="R381" s="8" t="s">
        <v>556</v>
      </c>
      <c r="S381" s="8" t="s">
        <v>557</v>
      </c>
      <c r="T381" s="8" t="s">
        <v>558</v>
      </c>
      <c r="U381" s="8" t="s">
        <v>559</v>
      </c>
      <c r="V381" s="9" t="s">
        <v>560</v>
      </c>
      <c r="W381" s="15" t="s">
        <v>561</v>
      </c>
      <c r="X381" s="15" t="s">
        <v>562</v>
      </c>
      <c r="Y381" s="15" t="s">
        <v>563</v>
      </c>
    </row>
    <row r="382" s="11" customFormat="1" hidden="1" customHeight="1" spans="1:25">
      <c r="A382" s="13"/>
      <c r="B382" s="14"/>
      <c r="C382" s="15"/>
      <c r="D382" s="11" t="str">
        <f t="shared" ref="D382:D389" si="120">D381</f>
        <v>易酒批</v>
      </c>
      <c r="E382" s="15"/>
      <c r="F382" s="16"/>
      <c r="G382" s="15"/>
      <c r="H382" s="15"/>
      <c r="I382" s="15"/>
      <c r="J382" s="15"/>
      <c r="K382" s="11" t="str">
        <f t="shared" ref="K382:K389" si="121">K381</f>
        <v>运营中</v>
      </c>
      <c r="L382" s="15"/>
      <c r="M382" s="15"/>
      <c r="N382" s="15"/>
      <c r="O382" s="15"/>
      <c r="P382" s="17">
        <v>43698</v>
      </c>
      <c r="Q382" s="15" t="s">
        <v>207</v>
      </c>
      <c r="R382" s="15" t="s">
        <v>564</v>
      </c>
      <c r="S382" s="15" t="s">
        <v>264</v>
      </c>
      <c r="T382" s="15"/>
      <c r="U382" s="15"/>
      <c r="V382" s="15"/>
      <c r="W382" s="15"/>
      <c r="X382" s="15"/>
      <c r="Y382" s="15"/>
    </row>
    <row r="383" s="11" customFormat="1" hidden="1" customHeight="1" spans="1:25">
      <c r="A383" s="13"/>
      <c r="B383" s="14"/>
      <c r="C383" s="15"/>
      <c r="D383" s="11" t="str">
        <f t="shared" si="120"/>
        <v>易酒批</v>
      </c>
      <c r="E383" s="15"/>
      <c r="F383" s="16"/>
      <c r="G383" s="15"/>
      <c r="H383" s="15"/>
      <c r="I383" s="15"/>
      <c r="J383" s="15"/>
      <c r="K383" s="11" t="str">
        <f t="shared" si="121"/>
        <v>运营中</v>
      </c>
      <c r="L383" s="15"/>
      <c r="M383" s="15"/>
      <c r="N383" s="15"/>
      <c r="O383" s="15"/>
      <c r="P383" s="17">
        <v>43540</v>
      </c>
      <c r="Q383" s="15" t="s">
        <v>524</v>
      </c>
      <c r="R383" s="15" t="s">
        <v>565</v>
      </c>
      <c r="S383" s="15" t="s">
        <v>566</v>
      </c>
      <c r="T383" s="15"/>
      <c r="U383" s="15"/>
      <c r="V383" s="15"/>
      <c r="W383" s="15"/>
      <c r="X383" s="15"/>
      <c r="Y383" s="15"/>
    </row>
    <row r="384" s="11" customFormat="1" hidden="1" customHeight="1" spans="1:25">
      <c r="A384" s="13"/>
      <c r="B384" s="14"/>
      <c r="C384" s="15"/>
      <c r="D384" s="11" t="str">
        <f t="shared" si="120"/>
        <v>易酒批</v>
      </c>
      <c r="E384" s="15"/>
      <c r="F384" s="16"/>
      <c r="G384" s="15"/>
      <c r="H384" s="15"/>
      <c r="I384" s="15"/>
      <c r="J384" s="15"/>
      <c r="K384" s="11" t="str">
        <f t="shared" si="121"/>
        <v>运营中</v>
      </c>
      <c r="L384" s="15"/>
      <c r="M384" s="15"/>
      <c r="N384" s="15"/>
      <c r="O384" s="15"/>
      <c r="P384" s="17">
        <v>43363</v>
      </c>
      <c r="Q384" s="15" t="s">
        <v>363</v>
      </c>
      <c r="R384" s="15" t="s">
        <v>488</v>
      </c>
      <c r="S384" s="15" t="s">
        <v>567</v>
      </c>
      <c r="T384" s="15"/>
      <c r="U384" s="15"/>
      <c r="V384" s="15"/>
      <c r="W384" s="15"/>
      <c r="X384" s="15"/>
      <c r="Y384" s="15"/>
    </row>
    <row r="385" s="11" customFormat="1" hidden="1" customHeight="1" spans="1:25">
      <c r="A385" s="13"/>
      <c r="B385" s="14"/>
      <c r="C385" s="15"/>
      <c r="D385" s="11" t="str">
        <f t="shared" si="120"/>
        <v>易酒批</v>
      </c>
      <c r="E385" s="15"/>
      <c r="F385" s="16"/>
      <c r="G385" s="15"/>
      <c r="H385" s="15"/>
      <c r="I385" s="15"/>
      <c r="J385" s="15"/>
      <c r="K385" s="11" t="str">
        <f t="shared" si="121"/>
        <v>运营中</v>
      </c>
      <c r="L385" s="15"/>
      <c r="M385" s="15"/>
      <c r="N385" s="15"/>
      <c r="O385" s="15"/>
      <c r="P385" s="17">
        <v>42661</v>
      </c>
      <c r="Q385" s="15" t="s">
        <v>216</v>
      </c>
      <c r="R385" s="15" t="s">
        <v>565</v>
      </c>
      <c r="S385" s="15" t="s">
        <v>568</v>
      </c>
      <c r="T385" s="15"/>
      <c r="U385" s="15"/>
      <c r="V385" s="15"/>
      <c r="W385" s="15"/>
      <c r="X385" s="15"/>
      <c r="Y385" s="15"/>
    </row>
    <row r="386" s="11" customFormat="1" hidden="1" customHeight="1" spans="1:25">
      <c r="A386" s="13"/>
      <c r="B386" s="14"/>
      <c r="C386" s="15"/>
      <c r="D386" s="11" t="str">
        <f t="shared" si="120"/>
        <v>易酒批</v>
      </c>
      <c r="E386" s="15"/>
      <c r="F386" s="16"/>
      <c r="G386" s="15"/>
      <c r="H386" s="15"/>
      <c r="I386" s="15"/>
      <c r="J386" s="15"/>
      <c r="K386" s="11" t="str">
        <f t="shared" si="121"/>
        <v>运营中</v>
      </c>
      <c r="L386" s="15"/>
      <c r="M386" s="15"/>
      <c r="N386" s="15"/>
      <c r="O386" s="15"/>
      <c r="P386" s="17">
        <v>42503</v>
      </c>
      <c r="Q386" s="15" t="s">
        <v>428</v>
      </c>
      <c r="R386" s="15" t="s">
        <v>269</v>
      </c>
      <c r="S386" s="15" t="s">
        <v>177</v>
      </c>
      <c r="T386" s="15"/>
      <c r="U386" s="15"/>
      <c r="V386" s="15"/>
      <c r="W386" s="15"/>
      <c r="X386" s="15"/>
      <c r="Y386" s="15"/>
    </row>
    <row r="387" s="11" customFormat="1" hidden="1" customHeight="1" spans="1:25">
      <c r="A387" s="13"/>
      <c r="B387" s="14"/>
      <c r="C387" s="15"/>
      <c r="D387" s="11" t="str">
        <f t="shared" si="120"/>
        <v>易酒批</v>
      </c>
      <c r="E387" s="15"/>
      <c r="F387" s="16"/>
      <c r="G387" s="15"/>
      <c r="H387" s="15"/>
      <c r="I387" s="15"/>
      <c r="J387" s="15"/>
      <c r="K387" s="11" t="str">
        <f t="shared" si="121"/>
        <v>运营中</v>
      </c>
      <c r="L387" s="15"/>
      <c r="M387" s="15"/>
      <c r="N387" s="15"/>
      <c r="O387" s="15"/>
      <c r="P387" s="17">
        <v>42449</v>
      </c>
      <c r="Q387" s="15" t="s">
        <v>428</v>
      </c>
      <c r="R387" s="15" t="s">
        <v>569</v>
      </c>
      <c r="S387" s="15" t="s">
        <v>570</v>
      </c>
      <c r="T387" s="15"/>
      <c r="U387" s="15"/>
      <c r="V387" s="15"/>
      <c r="W387" s="15"/>
      <c r="X387" s="15"/>
      <c r="Y387" s="15"/>
    </row>
    <row r="388" s="11" customFormat="1" hidden="1" customHeight="1" spans="1:25">
      <c r="A388" s="13"/>
      <c r="B388" s="14"/>
      <c r="C388" s="15"/>
      <c r="D388" s="11" t="str">
        <f t="shared" si="120"/>
        <v>易酒批</v>
      </c>
      <c r="E388" s="15"/>
      <c r="F388" s="16"/>
      <c r="G388" s="15"/>
      <c r="H388" s="15"/>
      <c r="I388" s="15"/>
      <c r="J388" s="15"/>
      <c r="K388" s="11" t="str">
        <f t="shared" si="121"/>
        <v>运营中</v>
      </c>
      <c r="L388" s="15"/>
      <c r="M388" s="15"/>
      <c r="N388" s="15"/>
      <c r="O388" s="15"/>
      <c r="P388" s="17">
        <v>42257</v>
      </c>
      <c r="Q388" s="15" t="s">
        <v>219</v>
      </c>
      <c r="R388" s="15" t="s">
        <v>569</v>
      </c>
      <c r="S388" s="15" t="s">
        <v>571</v>
      </c>
      <c r="T388" s="15"/>
      <c r="U388" s="15"/>
      <c r="V388" s="15"/>
      <c r="W388" s="15"/>
      <c r="X388" s="15"/>
      <c r="Y388" s="15"/>
    </row>
    <row r="389" s="11" customFormat="1" hidden="1" customHeight="1" spans="1:25">
      <c r="A389" s="13"/>
      <c r="B389" s="14"/>
      <c r="C389" s="15"/>
      <c r="D389" s="11" t="str">
        <f t="shared" si="120"/>
        <v>易酒批</v>
      </c>
      <c r="E389" s="15"/>
      <c r="F389" s="16"/>
      <c r="G389" s="15"/>
      <c r="H389" s="15"/>
      <c r="I389" s="15"/>
      <c r="J389" s="15"/>
      <c r="K389" s="11" t="str">
        <f t="shared" si="121"/>
        <v>运营中</v>
      </c>
      <c r="L389" s="15"/>
      <c r="M389" s="15"/>
      <c r="N389" s="15"/>
      <c r="O389" s="15"/>
      <c r="P389" s="17">
        <v>41981</v>
      </c>
      <c r="Q389" s="15" t="s">
        <v>222</v>
      </c>
      <c r="R389" s="15" t="s">
        <v>223</v>
      </c>
      <c r="S389" s="15" t="s">
        <v>572</v>
      </c>
      <c r="T389" s="15"/>
      <c r="U389" s="15"/>
      <c r="V389" s="15"/>
      <c r="W389" s="15"/>
      <c r="X389" s="15"/>
      <c r="Y389" s="15"/>
    </row>
    <row r="390" s="11" customFormat="1" hidden="1" customHeight="1" spans="1:25">
      <c r="A390" s="13"/>
      <c r="B390" s="14"/>
      <c r="C390" s="15" t="s">
        <v>573</v>
      </c>
      <c r="D390" s="11" t="s">
        <v>20</v>
      </c>
      <c r="E390" s="15" t="s">
        <v>20</v>
      </c>
      <c r="F390" s="16" t="s">
        <v>574</v>
      </c>
      <c r="G390" s="15"/>
      <c r="H390" s="15" t="s">
        <v>575</v>
      </c>
      <c r="I390" s="15" t="s">
        <v>576</v>
      </c>
      <c r="J390" s="15" t="s">
        <v>577</v>
      </c>
      <c r="K390" s="11" t="s">
        <v>185</v>
      </c>
      <c r="L390" s="15" t="s">
        <v>185</v>
      </c>
      <c r="M390" s="15" t="s">
        <v>186</v>
      </c>
      <c r="N390" s="15" t="s">
        <v>187</v>
      </c>
      <c r="O390" s="15"/>
      <c r="P390" s="17">
        <v>44590</v>
      </c>
      <c r="Q390" s="15" t="s">
        <v>207</v>
      </c>
      <c r="R390" s="15" t="s">
        <v>578</v>
      </c>
      <c r="S390" s="15" t="s">
        <v>579</v>
      </c>
      <c r="T390" s="15" t="s">
        <v>580</v>
      </c>
      <c r="U390" s="15" t="s">
        <v>581</v>
      </c>
      <c r="V390" s="15" t="s">
        <v>582</v>
      </c>
      <c r="W390" s="15"/>
      <c r="X390" s="15"/>
      <c r="Y390" s="15" t="s">
        <v>583</v>
      </c>
    </row>
    <row r="391" s="11" customFormat="1" hidden="1" customHeight="1" spans="1:25">
      <c r="A391" s="13"/>
      <c r="B391" s="14"/>
      <c r="C391" s="15"/>
      <c r="D391" s="11" t="str">
        <f t="shared" ref="D391:D402" si="122">D390</f>
        <v>Swiggy</v>
      </c>
      <c r="E391" s="15"/>
      <c r="F391" s="16"/>
      <c r="G391" s="15"/>
      <c r="H391" s="15"/>
      <c r="I391" s="15"/>
      <c r="J391" s="15"/>
      <c r="K391" s="11" t="str">
        <f t="shared" ref="K391:K402" si="123">K390</f>
        <v>运营中</v>
      </c>
      <c r="L391" s="15"/>
      <c r="M391" s="15"/>
      <c r="N391" s="15"/>
      <c r="O391" s="15"/>
      <c r="P391" s="17">
        <v>44398</v>
      </c>
      <c r="Q391" s="15" t="s">
        <v>207</v>
      </c>
      <c r="R391" s="15" t="s">
        <v>584</v>
      </c>
      <c r="S391" s="15" t="s">
        <v>585</v>
      </c>
      <c r="T391" s="15"/>
      <c r="U391" s="15"/>
      <c r="V391" s="15"/>
      <c r="W391" s="15"/>
      <c r="X391" s="15"/>
      <c r="Y391" s="15"/>
    </row>
    <row r="392" s="11" customFormat="1" hidden="1" customHeight="1" spans="1:25">
      <c r="A392" s="13"/>
      <c r="B392" s="14"/>
      <c r="C392" s="15"/>
      <c r="D392" s="11" t="str">
        <f t="shared" si="122"/>
        <v>Swiggy</v>
      </c>
      <c r="E392" s="15"/>
      <c r="F392" s="16"/>
      <c r="G392" s="15"/>
      <c r="H392" s="15"/>
      <c r="I392" s="15"/>
      <c r="J392" s="15"/>
      <c r="K392" s="11" t="str">
        <f t="shared" si="123"/>
        <v>运营中</v>
      </c>
      <c r="L392" s="15"/>
      <c r="M392" s="15"/>
      <c r="N392" s="15"/>
      <c r="O392" s="15"/>
      <c r="P392" s="17">
        <v>44292</v>
      </c>
      <c r="Q392" s="15" t="s">
        <v>207</v>
      </c>
      <c r="R392" s="15" t="s">
        <v>586</v>
      </c>
      <c r="S392" s="15" t="s">
        <v>587</v>
      </c>
      <c r="T392" s="15"/>
      <c r="U392" s="15"/>
      <c r="V392" s="15"/>
      <c r="W392" s="15"/>
      <c r="X392" s="15"/>
      <c r="Y392" s="15"/>
    </row>
    <row r="393" s="11" customFormat="1" hidden="1" customHeight="1" spans="1:25">
      <c r="A393" s="13"/>
      <c r="B393" s="14"/>
      <c r="C393" s="15"/>
      <c r="D393" s="11" t="str">
        <f t="shared" si="122"/>
        <v>Swiggy</v>
      </c>
      <c r="E393" s="15"/>
      <c r="F393" s="16"/>
      <c r="G393" s="15"/>
      <c r="H393" s="15"/>
      <c r="I393" s="15"/>
      <c r="J393" s="15"/>
      <c r="K393" s="11" t="str">
        <f t="shared" si="123"/>
        <v>运营中</v>
      </c>
      <c r="L393" s="15"/>
      <c r="M393" s="15"/>
      <c r="N393" s="15"/>
      <c r="O393" s="15"/>
      <c r="P393" s="17">
        <v>43928</v>
      </c>
      <c r="Q393" s="15" t="s">
        <v>207</v>
      </c>
      <c r="R393" s="15" t="s">
        <v>588</v>
      </c>
      <c r="S393" s="15" t="s">
        <v>589</v>
      </c>
      <c r="T393" s="15"/>
      <c r="U393" s="15"/>
      <c r="V393" s="15"/>
      <c r="W393" s="15"/>
      <c r="X393" s="15"/>
      <c r="Y393" s="15"/>
    </row>
    <row r="394" s="3" customFormat="1" ht="85.5" customHeight="1" spans="1:25">
      <c r="A394" s="1"/>
      <c r="B394" s="7"/>
      <c r="C394" s="8"/>
      <c r="D394" s="11" t="str">
        <f t="shared" si="122"/>
        <v>Swiggy</v>
      </c>
      <c r="E394" s="8"/>
      <c r="F394" s="9"/>
      <c r="G394" s="15"/>
      <c r="H394" s="15"/>
      <c r="I394" s="8"/>
      <c r="J394" s="8"/>
      <c r="K394" s="11" t="str">
        <f t="shared" si="123"/>
        <v>运营中</v>
      </c>
      <c r="L394" s="8"/>
      <c r="M394" s="8"/>
      <c r="N394" s="8"/>
      <c r="O394" s="8"/>
      <c r="P394" s="10">
        <v>43881</v>
      </c>
      <c r="Q394" s="8" t="s">
        <v>280</v>
      </c>
      <c r="R394" s="8" t="s">
        <v>590</v>
      </c>
      <c r="S394" s="8" t="s">
        <v>591</v>
      </c>
      <c r="T394" s="8"/>
      <c r="U394" s="8"/>
      <c r="V394" s="9"/>
      <c r="W394" s="15"/>
      <c r="X394" s="15"/>
      <c r="Y394" s="15"/>
    </row>
    <row r="395" s="11" customFormat="1" hidden="1" customHeight="1" spans="1:25">
      <c r="A395" s="13"/>
      <c r="B395" s="14"/>
      <c r="C395" s="15"/>
      <c r="D395" s="11" t="str">
        <f t="shared" si="122"/>
        <v>Swiggy</v>
      </c>
      <c r="E395" s="15"/>
      <c r="F395" s="16"/>
      <c r="G395" s="15"/>
      <c r="H395" s="15"/>
      <c r="I395" s="15"/>
      <c r="J395" s="15"/>
      <c r="K395" s="11" t="str">
        <f t="shared" si="123"/>
        <v>运营中</v>
      </c>
      <c r="L395" s="15"/>
      <c r="M395" s="15"/>
      <c r="N395" s="15"/>
      <c r="O395" s="15"/>
      <c r="P395" s="17">
        <v>43454</v>
      </c>
      <c r="Q395" s="15" t="s">
        <v>592</v>
      </c>
      <c r="R395" s="15" t="s">
        <v>593</v>
      </c>
      <c r="S395" s="15" t="s">
        <v>594</v>
      </c>
      <c r="T395" s="15"/>
      <c r="U395" s="15"/>
      <c r="V395" s="15"/>
      <c r="W395" s="15"/>
      <c r="X395" s="15"/>
      <c r="Y395" s="15"/>
    </row>
    <row r="396" s="11" customFormat="1" hidden="1" customHeight="1" spans="1:25">
      <c r="A396" s="13"/>
      <c r="B396" s="14"/>
      <c r="C396" s="15"/>
      <c r="D396" s="11" t="str">
        <f t="shared" si="122"/>
        <v>Swiggy</v>
      </c>
      <c r="E396" s="15"/>
      <c r="F396" s="16"/>
      <c r="G396" s="15"/>
      <c r="H396" s="15"/>
      <c r="I396" s="15"/>
      <c r="J396" s="15"/>
      <c r="K396" s="11" t="str">
        <f t="shared" si="123"/>
        <v>运营中</v>
      </c>
      <c r="L396" s="15"/>
      <c r="M396" s="15"/>
      <c r="N396" s="15"/>
      <c r="O396" s="15"/>
      <c r="P396" s="17">
        <v>43273</v>
      </c>
      <c r="Q396" s="15" t="s">
        <v>595</v>
      </c>
      <c r="R396" s="15" t="s">
        <v>596</v>
      </c>
      <c r="S396" s="15" t="s">
        <v>597</v>
      </c>
      <c r="T396" s="15"/>
      <c r="U396" s="15"/>
      <c r="V396" s="15"/>
      <c r="W396" s="15"/>
      <c r="X396" s="15"/>
      <c r="Y396" s="15"/>
    </row>
    <row r="397" s="11" customFormat="1" hidden="1" customHeight="1" spans="1:25">
      <c r="A397" s="13"/>
      <c r="B397" s="14"/>
      <c r="C397" s="15"/>
      <c r="D397" s="11" t="str">
        <f t="shared" si="122"/>
        <v>Swiggy</v>
      </c>
      <c r="E397" s="15"/>
      <c r="F397" s="16"/>
      <c r="G397" s="15"/>
      <c r="H397" s="15"/>
      <c r="I397" s="15"/>
      <c r="J397" s="15"/>
      <c r="K397" s="11" t="str">
        <f t="shared" si="123"/>
        <v>运营中</v>
      </c>
      <c r="L397" s="15"/>
      <c r="M397" s="15"/>
      <c r="N397" s="15"/>
      <c r="O397" s="15"/>
      <c r="P397" s="17">
        <v>43139</v>
      </c>
      <c r="Q397" s="15" t="s">
        <v>474</v>
      </c>
      <c r="R397" s="15" t="s">
        <v>565</v>
      </c>
      <c r="S397" s="15" t="s">
        <v>598</v>
      </c>
      <c r="T397" s="15"/>
      <c r="U397" s="15"/>
      <c r="V397" s="15"/>
      <c r="W397" s="15"/>
      <c r="X397" s="15"/>
      <c r="Y397" s="15"/>
    </row>
    <row r="398" s="11" customFormat="1" hidden="1" customHeight="1" spans="1:25">
      <c r="A398" s="13"/>
      <c r="B398" s="14"/>
      <c r="C398" s="15"/>
      <c r="D398" s="11" t="str">
        <f t="shared" si="122"/>
        <v>Swiggy</v>
      </c>
      <c r="E398" s="15"/>
      <c r="F398" s="16"/>
      <c r="G398" s="15"/>
      <c r="H398" s="15"/>
      <c r="I398" s="15"/>
      <c r="J398" s="15"/>
      <c r="K398" s="11" t="str">
        <f t="shared" si="123"/>
        <v>运营中</v>
      </c>
      <c r="L398" s="15"/>
      <c r="M398" s="15"/>
      <c r="N398" s="15"/>
      <c r="O398" s="15"/>
      <c r="P398" s="17">
        <v>42886</v>
      </c>
      <c r="Q398" s="15" t="s">
        <v>484</v>
      </c>
      <c r="R398" s="15" t="s">
        <v>564</v>
      </c>
      <c r="S398" s="15" t="s">
        <v>599</v>
      </c>
      <c r="T398" s="15"/>
      <c r="U398" s="15"/>
      <c r="V398" s="15"/>
      <c r="W398" s="15"/>
      <c r="X398" s="15"/>
      <c r="Y398" s="15"/>
    </row>
    <row r="399" s="11" customFormat="1" hidden="1" customHeight="1" spans="1:25">
      <c r="A399" s="13"/>
      <c r="B399" s="14"/>
      <c r="C399" s="15"/>
      <c r="D399" s="11" t="str">
        <f t="shared" si="122"/>
        <v>Swiggy</v>
      </c>
      <c r="E399" s="15"/>
      <c r="F399" s="16"/>
      <c r="G399" s="15"/>
      <c r="H399" s="15"/>
      <c r="I399" s="15"/>
      <c r="J399" s="15"/>
      <c r="K399" s="11" t="str">
        <f t="shared" si="123"/>
        <v>运营中</v>
      </c>
      <c r="L399" s="15"/>
      <c r="M399" s="15"/>
      <c r="N399" s="15"/>
      <c r="O399" s="15"/>
      <c r="P399" s="17">
        <v>42633</v>
      </c>
      <c r="Q399" s="15" t="s">
        <v>363</v>
      </c>
      <c r="R399" s="15" t="s">
        <v>600</v>
      </c>
      <c r="S399" s="15" t="s">
        <v>601</v>
      </c>
      <c r="T399" s="15"/>
      <c r="U399" s="15"/>
      <c r="V399" s="15"/>
      <c r="W399" s="15"/>
      <c r="X399" s="15"/>
      <c r="Y399" s="15"/>
    </row>
    <row r="400" s="11" customFormat="1" hidden="1" customHeight="1" spans="1:25">
      <c r="A400" s="13"/>
      <c r="B400" s="14"/>
      <c r="C400" s="15"/>
      <c r="D400" s="11" t="str">
        <f t="shared" si="122"/>
        <v>Swiggy</v>
      </c>
      <c r="E400" s="15"/>
      <c r="F400" s="16"/>
      <c r="G400" s="15"/>
      <c r="H400" s="15"/>
      <c r="I400" s="15"/>
      <c r="J400" s="15"/>
      <c r="K400" s="11" t="str">
        <f t="shared" si="123"/>
        <v>运营中</v>
      </c>
      <c r="L400" s="15"/>
      <c r="M400" s="15"/>
      <c r="N400" s="15"/>
      <c r="O400" s="15"/>
      <c r="P400" s="17">
        <v>42388</v>
      </c>
      <c r="Q400" s="15" t="s">
        <v>216</v>
      </c>
      <c r="R400" s="15" t="s">
        <v>463</v>
      </c>
      <c r="S400" s="15" t="s">
        <v>602</v>
      </c>
      <c r="T400" s="15"/>
      <c r="U400" s="15"/>
      <c r="V400" s="15"/>
      <c r="W400" s="15"/>
      <c r="X400" s="15"/>
      <c r="Y400" s="15"/>
    </row>
    <row r="401" s="11" customFormat="1" hidden="1" customHeight="1" spans="1:25">
      <c r="A401" s="13"/>
      <c r="B401" s="14"/>
      <c r="C401" s="15"/>
      <c r="D401" s="11" t="str">
        <f t="shared" si="122"/>
        <v>Swiggy</v>
      </c>
      <c r="E401" s="15"/>
      <c r="F401" s="16"/>
      <c r="G401" s="15"/>
      <c r="H401" s="15"/>
      <c r="I401" s="15"/>
      <c r="J401" s="15"/>
      <c r="K401" s="11" t="str">
        <f t="shared" si="123"/>
        <v>运营中</v>
      </c>
      <c r="L401" s="15"/>
      <c r="M401" s="15"/>
      <c r="N401" s="15"/>
      <c r="O401" s="15"/>
      <c r="P401" s="17">
        <v>42179</v>
      </c>
      <c r="Q401" s="15" t="s">
        <v>219</v>
      </c>
      <c r="R401" s="15" t="s">
        <v>603</v>
      </c>
      <c r="S401" s="15" t="s">
        <v>604</v>
      </c>
      <c r="T401" s="15"/>
      <c r="U401" s="15"/>
      <c r="V401" s="15"/>
      <c r="W401" s="15"/>
      <c r="X401" s="15"/>
      <c r="Y401" s="15"/>
    </row>
    <row r="402" s="11" customFormat="1" hidden="1" customHeight="1" spans="1:25">
      <c r="A402" s="13"/>
      <c r="B402" s="14"/>
      <c r="C402" s="15"/>
      <c r="D402" s="11" t="str">
        <f t="shared" si="122"/>
        <v>Swiggy</v>
      </c>
      <c r="E402" s="15"/>
      <c r="F402" s="16"/>
      <c r="G402" s="15"/>
      <c r="H402" s="15"/>
      <c r="I402" s="15"/>
      <c r="J402" s="15"/>
      <c r="K402" s="11" t="str">
        <f t="shared" si="123"/>
        <v>运营中</v>
      </c>
      <c r="L402" s="15"/>
      <c r="M402" s="15"/>
      <c r="N402" s="15"/>
      <c r="O402" s="15"/>
      <c r="P402" s="17">
        <v>42107</v>
      </c>
      <c r="Q402" s="15" t="s">
        <v>222</v>
      </c>
      <c r="R402" s="15" t="s">
        <v>319</v>
      </c>
      <c r="S402" s="15" t="s">
        <v>602</v>
      </c>
      <c r="T402" s="15"/>
      <c r="U402" s="15"/>
      <c r="V402" s="15"/>
      <c r="W402" s="15"/>
      <c r="X402" s="15"/>
      <c r="Y402" s="15"/>
    </row>
    <row r="403" s="11" customFormat="1" hidden="1" customHeight="1" spans="1:25">
      <c r="A403" s="13"/>
      <c r="B403" s="14"/>
      <c r="C403" s="15" t="s">
        <v>1547</v>
      </c>
      <c r="D403" s="11" t="s">
        <v>1548</v>
      </c>
      <c r="E403" s="15" t="s">
        <v>1548</v>
      </c>
      <c r="F403" s="16" t="s">
        <v>1549</v>
      </c>
      <c r="G403" s="15" t="s">
        <v>1550</v>
      </c>
      <c r="H403" s="15" t="s">
        <v>1551</v>
      </c>
      <c r="I403" s="15" t="s">
        <v>1552</v>
      </c>
      <c r="J403" s="15" t="s">
        <v>852</v>
      </c>
      <c r="K403" s="11" t="s">
        <v>185</v>
      </c>
      <c r="L403" s="15" t="s">
        <v>185</v>
      </c>
      <c r="M403" s="15" t="s">
        <v>186</v>
      </c>
      <c r="N403" s="15" t="s">
        <v>187</v>
      </c>
      <c r="O403" s="15"/>
      <c r="P403" s="17">
        <v>44390</v>
      </c>
      <c r="Q403" s="15" t="s">
        <v>363</v>
      </c>
      <c r="R403" s="15" t="s">
        <v>1553</v>
      </c>
      <c r="S403" s="15" t="s">
        <v>1554</v>
      </c>
      <c r="T403" s="15" t="s">
        <v>1555</v>
      </c>
      <c r="U403" s="15" t="s">
        <v>1556</v>
      </c>
      <c r="V403" s="15" t="s">
        <v>1557</v>
      </c>
      <c r="W403" s="15" t="s">
        <v>1558</v>
      </c>
      <c r="X403" s="15"/>
      <c r="Y403" s="15" t="s">
        <v>1559</v>
      </c>
    </row>
    <row r="404" s="11" customFormat="1" hidden="1" customHeight="1" spans="1:25">
      <c r="A404" s="13"/>
      <c r="B404" s="14"/>
      <c r="C404" s="15"/>
      <c r="D404" s="11" t="str">
        <f t="shared" ref="D404:D407" si="124">D403</f>
        <v>喜茶HEYTEA</v>
      </c>
      <c r="E404" s="15"/>
      <c r="F404" s="16"/>
      <c r="G404" s="15"/>
      <c r="H404" s="15"/>
      <c r="I404" s="15"/>
      <c r="J404" s="15"/>
      <c r="K404" s="11" t="str">
        <f t="shared" ref="K404:K407" si="125">K403</f>
        <v>运营中</v>
      </c>
      <c r="L404" s="15"/>
      <c r="M404" s="15"/>
      <c r="N404" s="15"/>
      <c r="O404" s="15"/>
      <c r="P404" s="17">
        <v>43913</v>
      </c>
      <c r="Q404" s="15" t="s">
        <v>216</v>
      </c>
      <c r="R404" s="15" t="s">
        <v>668</v>
      </c>
      <c r="S404" s="15" t="s">
        <v>1560</v>
      </c>
      <c r="T404" s="15"/>
      <c r="U404" s="15"/>
      <c r="V404" s="15"/>
      <c r="W404" s="15"/>
      <c r="X404" s="15"/>
      <c r="Y404" s="15"/>
    </row>
    <row r="405" s="11" customFormat="1" hidden="1" customHeight="1" spans="1:25">
      <c r="A405" s="13"/>
      <c r="B405" s="14"/>
      <c r="C405" s="15"/>
      <c r="D405" s="11" t="str">
        <f t="shared" si="124"/>
        <v>喜茶HEYTEA</v>
      </c>
      <c r="E405" s="15"/>
      <c r="F405" s="16"/>
      <c r="G405" s="15"/>
      <c r="H405" s="15"/>
      <c r="I405" s="15"/>
      <c r="J405" s="15"/>
      <c r="K405" s="11" t="str">
        <f t="shared" si="125"/>
        <v>运营中</v>
      </c>
      <c r="L405" s="15"/>
      <c r="M405" s="15"/>
      <c r="N405" s="15"/>
      <c r="O405" s="15"/>
      <c r="P405" s="17">
        <v>43647</v>
      </c>
      <c r="Q405" s="15" t="s">
        <v>428</v>
      </c>
      <c r="R405" s="15" t="s">
        <v>269</v>
      </c>
      <c r="S405" s="15" t="s">
        <v>1561</v>
      </c>
      <c r="T405" s="15"/>
      <c r="U405" s="15"/>
      <c r="V405" s="15"/>
      <c r="W405" s="15"/>
      <c r="X405" s="15"/>
      <c r="Y405" s="15"/>
    </row>
    <row r="406" s="11" customFormat="1" hidden="1" customHeight="1" spans="1:25">
      <c r="A406" s="13"/>
      <c r="B406" s="14"/>
      <c r="C406" s="15"/>
      <c r="D406" s="11" t="str">
        <f t="shared" si="124"/>
        <v>喜茶HEYTEA</v>
      </c>
      <c r="E406" s="15"/>
      <c r="F406" s="16"/>
      <c r="G406" s="15"/>
      <c r="H406" s="15"/>
      <c r="I406" s="15"/>
      <c r="J406" s="15"/>
      <c r="K406" s="11" t="str">
        <f t="shared" si="125"/>
        <v>运营中</v>
      </c>
      <c r="L406" s="15"/>
      <c r="M406" s="15"/>
      <c r="N406" s="15"/>
      <c r="O406" s="15"/>
      <c r="P406" s="17">
        <v>43215</v>
      </c>
      <c r="Q406" s="15" t="s">
        <v>219</v>
      </c>
      <c r="R406" s="15" t="s">
        <v>997</v>
      </c>
      <c r="S406" s="15" t="s">
        <v>1562</v>
      </c>
      <c r="T406" s="15"/>
      <c r="U406" s="15"/>
      <c r="V406" s="15"/>
      <c r="W406" s="15"/>
      <c r="X406" s="15"/>
      <c r="Y406" s="15"/>
    </row>
    <row r="407" s="11" customFormat="1" hidden="1" customHeight="1" spans="1:25">
      <c r="A407" s="13"/>
      <c r="B407" s="14"/>
      <c r="C407" s="15"/>
      <c r="D407" s="11" t="str">
        <f t="shared" si="124"/>
        <v>喜茶HEYTEA</v>
      </c>
      <c r="E407" s="15"/>
      <c r="F407" s="16"/>
      <c r="G407" s="15"/>
      <c r="H407" s="15"/>
      <c r="I407" s="15"/>
      <c r="J407" s="15"/>
      <c r="K407" s="11" t="str">
        <f t="shared" si="125"/>
        <v>运营中</v>
      </c>
      <c r="L407" s="15"/>
      <c r="M407" s="15"/>
      <c r="N407" s="15"/>
      <c r="O407" s="15"/>
      <c r="P407" s="17">
        <v>42604</v>
      </c>
      <c r="Q407" s="15" t="s">
        <v>222</v>
      </c>
      <c r="R407" s="15" t="s">
        <v>434</v>
      </c>
      <c r="S407" s="15" t="s">
        <v>1563</v>
      </c>
      <c r="T407" s="15"/>
      <c r="U407" s="15"/>
      <c r="V407" s="15"/>
      <c r="W407" s="15"/>
      <c r="X407" s="15"/>
      <c r="Y407" s="15"/>
    </row>
    <row r="408" s="3" customFormat="1" ht="85.5" customHeight="1" spans="1:25">
      <c r="A408" s="1"/>
      <c r="B408" s="7"/>
      <c r="C408" s="8" t="s">
        <v>1564</v>
      </c>
      <c r="D408" s="11" t="s">
        <v>1565</v>
      </c>
      <c r="E408" s="8" t="s">
        <v>1566</v>
      </c>
      <c r="F408" s="9" t="s">
        <v>1567</v>
      </c>
      <c r="G408" s="15" t="s">
        <v>1568</v>
      </c>
      <c r="H408" s="15" t="s">
        <v>1569</v>
      </c>
      <c r="I408" s="8" t="s">
        <v>1570</v>
      </c>
      <c r="J408" s="8" t="s">
        <v>807</v>
      </c>
      <c r="K408" s="11" t="s">
        <v>185</v>
      </c>
      <c r="L408" s="8" t="s">
        <v>278</v>
      </c>
      <c r="M408" s="8" t="s">
        <v>10</v>
      </c>
      <c r="N408" s="8" t="s">
        <v>279</v>
      </c>
      <c r="O408" s="8"/>
      <c r="P408" s="10">
        <v>44550</v>
      </c>
      <c r="Q408" s="8" t="s">
        <v>1571</v>
      </c>
      <c r="R408" s="8" t="s">
        <v>430</v>
      </c>
      <c r="S408" s="8" t="s">
        <v>1572</v>
      </c>
      <c r="T408" s="8" t="s">
        <v>1573</v>
      </c>
      <c r="U408" s="8" t="s">
        <v>1574</v>
      </c>
      <c r="V408" s="9" t="s">
        <v>1575</v>
      </c>
      <c r="W408" s="15" t="s">
        <v>1576</v>
      </c>
      <c r="X408" s="15" t="s">
        <v>1577</v>
      </c>
      <c r="Y408" s="15" t="s">
        <v>1578</v>
      </c>
    </row>
    <row r="409" s="3" customFormat="1" ht="85.5" customHeight="1" spans="1:25">
      <c r="A409" s="1"/>
      <c r="B409" s="7"/>
      <c r="C409" s="8"/>
      <c r="D409" s="11" t="str">
        <f t="shared" ref="D409:D414" si="126">D408</f>
        <v>乐禾食品</v>
      </c>
      <c r="E409" s="8"/>
      <c r="F409" s="9"/>
      <c r="G409" s="15"/>
      <c r="H409" s="15"/>
      <c r="I409" s="8"/>
      <c r="J409" s="8"/>
      <c r="K409" s="11" t="str">
        <f t="shared" ref="K409:K414" si="127">K408</f>
        <v>运营中</v>
      </c>
      <c r="L409" s="8"/>
      <c r="M409" s="8"/>
      <c r="N409" s="8"/>
      <c r="O409" s="8"/>
      <c r="P409" s="10">
        <v>44183</v>
      </c>
      <c r="Q409" s="8" t="s">
        <v>1579</v>
      </c>
      <c r="R409" s="8" t="s">
        <v>430</v>
      </c>
      <c r="S409" s="8" t="s">
        <v>1580</v>
      </c>
      <c r="T409" s="8"/>
      <c r="U409" s="8"/>
      <c r="V409" s="9"/>
      <c r="W409" s="15"/>
      <c r="X409" s="15"/>
      <c r="Y409" s="15"/>
    </row>
    <row r="410" s="3" customFormat="1" ht="85.5" customHeight="1" spans="1:25">
      <c r="A410" s="1"/>
      <c r="B410" s="7"/>
      <c r="C410" s="8"/>
      <c r="D410" s="11" t="str">
        <f t="shared" si="126"/>
        <v>乐禾食品</v>
      </c>
      <c r="E410" s="8"/>
      <c r="F410" s="9"/>
      <c r="G410" s="15"/>
      <c r="H410" s="15"/>
      <c r="I410" s="8"/>
      <c r="J410" s="8"/>
      <c r="K410" s="11" t="str">
        <f t="shared" si="127"/>
        <v>运营中</v>
      </c>
      <c r="L410" s="8"/>
      <c r="M410" s="8"/>
      <c r="N410" s="8"/>
      <c r="O410" s="8"/>
      <c r="P410" s="10">
        <v>43962</v>
      </c>
      <c r="Q410" s="8" t="s">
        <v>425</v>
      </c>
      <c r="R410" s="8" t="s">
        <v>1581</v>
      </c>
      <c r="S410" s="8" t="s">
        <v>1582</v>
      </c>
      <c r="T410" s="8"/>
      <c r="U410" s="8"/>
      <c r="V410" s="9"/>
      <c r="W410" s="15"/>
      <c r="X410" s="15"/>
      <c r="Y410" s="15"/>
    </row>
    <row r="411" s="11" customFormat="1" hidden="1" customHeight="1" spans="1:25">
      <c r="A411" s="13"/>
      <c r="B411" s="14"/>
      <c r="C411" s="15"/>
      <c r="D411" s="11" t="str">
        <f t="shared" si="126"/>
        <v>乐禾食品</v>
      </c>
      <c r="E411" s="15"/>
      <c r="F411" s="16"/>
      <c r="G411" s="15"/>
      <c r="H411" s="15"/>
      <c r="I411" s="15"/>
      <c r="J411" s="15"/>
      <c r="K411" s="11" t="str">
        <f t="shared" si="127"/>
        <v>运营中</v>
      </c>
      <c r="L411" s="15"/>
      <c r="M411" s="15"/>
      <c r="N411" s="15"/>
      <c r="O411" s="15"/>
      <c r="P411" s="17">
        <v>43759</v>
      </c>
      <c r="Q411" s="15" t="s">
        <v>428</v>
      </c>
      <c r="R411" s="15" t="s">
        <v>434</v>
      </c>
      <c r="S411" s="15" t="s">
        <v>1583</v>
      </c>
      <c r="T411" s="15"/>
      <c r="U411" s="15"/>
      <c r="V411" s="15"/>
      <c r="W411" s="15"/>
      <c r="X411" s="15"/>
      <c r="Y411" s="15"/>
    </row>
    <row r="412" s="11" customFormat="1" hidden="1" customHeight="1" spans="1:25">
      <c r="A412" s="13"/>
      <c r="B412" s="14"/>
      <c r="C412" s="15"/>
      <c r="D412" s="11" t="str">
        <f t="shared" si="126"/>
        <v>乐禾食品</v>
      </c>
      <c r="E412" s="15"/>
      <c r="F412" s="16"/>
      <c r="G412" s="15"/>
      <c r="H412" s="15"/>
      <c r="I412" s="15"/>
      <c r="J412" s="15"/>
      <c r="K412" s="11" t="str">
        <f t="shared" si="127"/>
        <v>运营中</v>
      </c>
      <c r="L412" s="15"/>
      <c r="M412" s="15"/>
      <c r="N412" s="15"/>
      <c r="O412" s="15"/>
      <c r="P412" s="17">
        <v>43552</v>
      </c>
      <c r="Q412" s="15" t="s">
        <v>219</v>
      </c>
      <c r="R412" s="15" t="s">
        <v>434</v>
      </c>
      <c r="S412" s="15" t="s">
        <v>1584</v>
      </c>
      <c r="T412" s="15"/>
      <c r="U412" s="15"/>
      <c r="V412" s="15"/>
      <c r="W412" s="15"/>
      <c r="X412" s="15"/>
      <c r="Y412" s="15"/>
    </row>
    <row r="413" s="11" customFormat="1" hidden="1" customHeight="1" spans="1:25">
      <c r="A413" s="13"/>
      <c r="B413" s="14"/>
      <c r="C413" s="15"/>
      <c r="D413" s="11" t="str">
        <f t="shared" si="126"/>
        <v>乐禾食品</v>
      </c>
      <c r="E413" s="15"/>
      <c r="F413" s="16"/>
      <c r="G413" s="15"/>
      <c r="H413" s="15"/>
      <c r="I413" s="15"/>
      <c r="J413" s="15"/>
      <c r="K413" s="11" t="str">
        <f t="shared" si="127"/>
        <v>运营中</v>
      </c>
      <c r="L413" s="15"/>
      <c r="M413" s="15"/>
      <c r="N413" s="15"/>
      <c r="O413" s="15"/>
      <c r="P413" s="17">
        <v>43070</v>
      </c>
      <c r="Q413" s="15" t="s">
        <v>334</v>
      </c>
      <c r="R413" s="15" t="s">
        <v>189</v>
      </c>
      <c r="S413" s="15" t="s">
        <v>262</v>
      </c>
      <c r="T413" s="15"/>
      <c r="U413" s="15"/>
      <c r="V413" s="15"/>
      <c r="W413" s="15"/>
      <c r="X413" s="15"/>
      <c r="Y413" s="15"/>
    </row>
    <row r="414" s="11" customFormat="1" hidden="1" customHeight="1" spans="1:25">
      <c r="A414" s="13"/>
      <c r="B414" s="14"/>
      <c r="C414" s="15"/>
      <c r="D414" s="11" t="str">
        <f t="shared" si="126"/>
        <v>乐禾食品</v>
      </c>
      <c r="E414" s="15"/>
      <c r="F414" s="16"/>
      <c r="G414" s="15"/>
      <c r="H414" s="15"/>
      <c r="I414" s="15"/>
      <c r="J414" s="15"/>
      <c r="K414" s="11" t="str">
        <f t="shared" si="127"/>
        <v>运营中</v>
      </c>
      <c r="L414" s="15"/>
      <c r="M414" s="15"/>
      <c r="N414" s="15"/>
      <c r="O414" s="15"/>
      <c r="P414" s="17">
        <v>42339</v>
      </c>
      <c r="Q414" s="15" t="s">
        <v>222</v>
      </c>
      <c r="R414" s="15" t="s">
        <v>1000</v>
      </c>
      <c r="S414" s="15" t="s">
        <v>1585</v>
      </c>
      <c r="T414" s="15"/>
      <c r="U414" s="15"/>
      <c r="V414" s="15"/>
      <c r="W414" s="15"/>
      <c r="X414" s="15"/>
      <c r="Y414" s="15"/>
    </row>
    <row r="415" s="3" customFormat="1" ht="85.5" customHeight="1" spans="1:25">
      <c r="A415" s="1"/>
      <c r="B415" s="7"/>
      <c r="C415" s="8" t="s">
        <v>1586</v>
      </c>
      <c r="D415" s="11" t="s">
        <v>1587</v>
      </c>
      <c r="E415" s="8" t="s">
        <v>1588</v>
      </c>
      <c r="F415" s="9" t="s">
        <v>1589</v>
      </c>
      <c r="G415" s="15" t="s">
        <v>1590</v>
      </c>
      <c r="H415" s="15" t="s">
        <v>1591</v>
      </c>
      <c r="I415" s="8" t="s">
        <v>1592</v>
      </c>
      <c r="J415" s="8" t="s">
        <v>1145</v>
      </c>
      <c r="K415" s="11" t="s">
        <v>185</v>
      </c>
      <c r="L415" s="8" t="s">
        <v>278</v>
      </c>
      <c r="M415" s="8" t="s">
        <v>23</v>
      </c>
      <c r="N415" s="8" t="s">
        <v>554</v>
      </c>
      <c r="O415" s="8"/>
      <c r="P415" s="10">
        <v>44547</v>
      </c>
      <c r="Q415" s="8" t="s">
        <v>868</v>
      </c>
      <c r="R415" s="8" t="s">
        <v>281</v>
      </c>
      <c r="S415" s="8" t="s">
        <v>1593</v>
      </c>
      <c r="T415" s="8" t="s">
        <v>1594</v>
      </c>
      <c r="U415" s="8" t="s">
        <v>284</v>
      </c>
      <c r="V415" s="9" t="s">
        <v>1595</v>
      </c>
      <c r="W415" s="15" t="s">
        <v>1596</v>
      </c>
      <c r="X415" s="15" t="s">
        <v>1597</v>
      </c>
      <c r="Y415" s="15" t="s">
        <v>1598</v>
      </c>
    </row>
    <row r="416" s="11" customFormat="1" hidden="1" customHeight="1" spans="1:25">
      <c r="A416" s="13"/>
      <c r="B416" s="14"/>
      <c r="C416" s="15"/>
      <c r="D416" s="11" t="str">
        <f t="shared" ref="D416:D418" si="128">D415</f>
        <v>认养一头牛</v>
      </c>
      <c r="E416" s="15"/>
      <c r="F416" s="16"/>
      <c r="G416" s="15"/>
      <c r="H416" s="15"/>
      <c r="I416" s="15"/>
      <c r="J416" s="15"/>
      <c r="K416" s="11" t="str">
        <f t="shared" ref="K416:K418" si="129">K415</f>
        <v>运营中</v>
      </c>
      <c r="L416" s="15"/>
      <c r="M416" s="15"/>
      <c r="N416" s="15"/>
      <c r="O416" s="15"/>
      <c r="P416" s="17">
        <v>44305</v>
      </c>
      <c r="Q416" s="15" t="s">
        <v>222</v>
      </c>
      <c r="R416" s="15" t="s">
        <v>269</v>
      </c>
      <c r="S416" s="15" t="s">
        <v>1599</v>
      </c>
      <c r="T416" s="15"/>
      <c r="U416" s="15"/>
      <c r="V416" s="15"/>
      <c r="W416" s="15"/>
      <c r="X416" s="15"/>
      <c r="Y416" s="15"/>
    </row>
    <row r="417" s="11" customFormat="1" hidden="1" customHeight="1" spans="1:25">
      <c r="A417" s="13"/>
      <c r="B417" s="14"/>
      <c r="C417" s="15"/>
      <c r="D417" s="11" t="str">
        <f t="shared" si="128"/>
        <v>认养一头牛</v>
      </c>
      <c r="E417" s="15"/>
      <c r="F417" s="16"/>
      <c r="G417" s="15"/>
      <c r="H417" s="15"/>
      <c r="I417" s="15"/>
      <c r="J417" s="15"/>
      <c r="K417" s="11" t="str">
        <f t="shared" si="129"/>
        <v>运营中</v>
      </c>
      <c r="L417" s="15"/>
      <c r="M417" s="15"/>
      <c r="N417" s="15"/>
      <c r="O417" s="15"/>
      <c r="P417" s="17">
        <v>43468</v>
      </c>
      <c r="Q417" s="15" t="s">
        <v>393</v>
      </c>
      <c r="R417" s="15" t="s">
        <v>217</v>
      </c>
      <c r="S417" s="15" t="s">
        <v>1600</v>
      </c>
      <c r="T417" s="15"/>
      <c r="U417" s="15"/>
      <c r="V417" s="15"/>
      <c r="W417" s="15"/>
      <c r="X417" s="15"/>
      <c r="Y417" s="15"/>
    </row>
    <row r="418" s="11" customFormat="1" hidden="1" customHeight="1" spans="1:25">
      <c r="A418" s="13"/>
      <c r="B418" s="14"/>
      <c r="C418" s="15"/>
      <c r="D418" s="11" t="str">
        <f t="shared" si="128"/>
        <v>认养一头牛</v>
      </c>
      <c r="E418" s="15"/>
      <c r="F418" s="16"/>
      <c r="G418" s="15"/>
      <c r="H418" s="15"/>
      <c r="I418" s="15"/>
      <c r="J418" s="15"/>
      <c r="K418" s="11" t="str">
        <f t="shared" si="129"/>
        <v>运营中</v>
      </c>
      <c r="L418" s="15"/>
      <c r="M418" s="15"/>
      <c r="N418" s="15"/>
      <c r="O418" s="15"/>
      <c r="P418" s="17">
        <v>42779</v>
      </c>
      <c r="Q418" s="15" t="s">
        <v>196</v>
      </c>
      <c r="R418" s="15" t="s">
        <v>197</v>
      </c>
      <c r="S418" s="15" t="s">
        <v>1601</v>
      </c>
      <c r="T418" s="15"/>
      <c r="U418" s="15"/>
      <c r="V418" s="15"/>
      <c r="W418" s="15"/>
      <c r="X418" s="15"/>
      <c r="Y418" s="15"/>
    </row>
    <row r="419" s="11" customFormat="1" hidden="1" customHeight="1" spans="1:25">
      <c r="A419" s="13"/>
      <c r="B419" s="14"/>
      <c r="C419" s="15" t="s">
        <v>1602</v>
      </c>
      <c r="D419" s="11" t="s">
        <v>1603</v>
      </c>
      <c r="E419" s="15" t="s">
        <v>1603</v>
      </c>
      <c r="F419" s="16" t="s">
        <v>1604</v>
      </c>
      <c r="G419" s="15" t="s">
        <v>1605</v>
      </c>
      <c r="H419" s="15"/>
      <c r="I419" s="15" t="s">
        <v>1404</v>
      </c>
      <c r="J419" s="15" t="s">
        <v>415</v>
      </c>
      <c r="K419" s="11" t="s">
        <v>185</v>
      </c>
      <c r="L419" s="15" t="s">
        <v>185</v>
      </c>
      <c r="M419" s="15" t="s">
        <v>356</v>
      </c>
      <c r="N419" s="15" t="s">
        <v>1606</v>
      </c>
      <c r="O419" s="15"/>
      <c r="P419" s="17">
        <v>44258</v>
      </c>
      <c r="Q419" s="15" t="s">
        <v>428</v>
      </c>
      <c r="R419" s="15" t="s">
        <v>434</v>
      </c>
      <c r="S419" s="15" t="s">
        <v>1607</v>
      </c>
      <c r="T419" s="15" t="s">
        <v>1339</v>
      </c>
      <c r="U419" s="15" t="s">
        <v>1040</v>
      </c>
      <c r="V419" s="15" t="s">
        <v>1608</v>
      </c>
      <c r="W419" s="15" t="s">
        <v>1609</v>
      </c>
      <c r="X419" s="15" t="s">
        <v>1610</v>
      </c>
      <c r="Y419" s="15" t="s">
        <v>1611</v>
      </c>
    </row>
    <row r="420" s="11" customFormat="1" hidden="1" customHeight="1" spans="1:25">
      <c r="A420" s="13"/>
      <c r="B420" s="14"/>
      <c r="C420" s="15"/>
      <c r="D420" s="11" t="str">
        <f t="shared" ref="D420:D421" si="130">D419</f>
        <v>康品汇</v>
      </c>
      <c r="E420" s="15"/>
      <c r="F420" s="16"/>
      <c r="G420" s="15"/>
      <c r="H420" s="15"/>
      <c r="I420" s="15"/>
      <c r="J420" s="15"/>
      <c r="K420" s="11" t="str">
        <f t="shared" ref="K420:K421" si="131">K419</f>
        <v>运营中</v>
      </c>
      <c r="L420" s="15"/>
      <c r="M420" s="15"/>
      <c r="N420" s="15"/>
      <c r="O420" s="15"/>
      <c r="P420" s="17">
        <v>43194</v>
      </c>
      <c r="Q420" s="15" t="s">
        <v>219</v>
      </c>
      <c r="R420" s="15" t="s">
        <v>217</v>
      </c>
      <c r="S420" s="15" t="s">
        <v>1612</v>
      </c>
      <c r="T420" s="15"/>
      <c r="U420" s="15"/>
      <c r="V420" s="15"/>
      <c r="W420" s="15"/>
      <c r="X420" s="15"/>
      <c r="Y420" s="15"/>
    </row>
    <row r="421" s="11" customFormat="1" hidden="1" customHeight="1" spans="1:25">
      <c r="A421" s="13"/>
      <c r="B421" s="14"/>
      <c r="C421" s="15"/>
      <c r="D421" s="11" t="str">
        <f t="shared" si="130"/>
        <v>康品汇</v>
      </c>
      <c r="E421" s="15"/>
      <c r="F421" s="16"/>
      <c r="G421" s="15"/>
      <c r="H421" s="15"/>
      <c r="I421" s="15"/>
      <c r="J421" s="15"/>
      <c r="K421" s="11" t="str">
        <f t="shared" si="131"/>
        <v>运营中</v>
      </c>
      <c r="L421" s="15"/>
      <c r="M421" s="15"/>
      <c r="N421" s="15"/>
      <c r="O421" s="15"/>
      <c r="P421" s="17">
        <v>43059</v>
      </c>
      <c r="Q421" s="15" t="s">
        <v>222</v>
      </c>
      <c r="R421" s="15" t="s">
        <v>217</v>
      </c>
      <c r="S421" s="15" t="s">
        <v>1613</v>
      </c>
      <c r="T421" s="15"/>
      <c r="U421" s="15"/>
      <c r="V421" s="15"/>
      <c r="W421" s="15"/>
      <c r="X421" s="15"/>
      <c r="Y421" s="15"/>
    </row>
    <row r="422" s="11" customFormat="1" hidden="1" customHeight="1" spans="1:25">
      <c r="A422" s="13"/>
      <c r="B422" s="14"/>
      <c r="C422" s="15" t="s">
        <v>1564</v>
      </c>
      <c r="D422" s="11" t="s">
        <v>1614</v>
      </c>
      <c r="E422" s="15" t="s">
        <v>1614</v>
      </c>
      <c r="F422" s="16" t="s">
        <v>1615</v>
      </c>
      <c r="G422" s="15" t="s">
        <v>1616</v>
      </c>
      <c r="H422" s="15" t="s">
        <v>1617</v>
      </c>
      <c r="I422" s="15" t="s">
        <v>1618</v>
      </c>
      <c r="J422" s="15" t="s">
        <v>852</v>
      </c>
      <c r="K422" s="11" t="s">
        <v>185</v>
      </c>
      <c r="L422" s="15" t="s">
        <v>185</v>
      </c>
      <c r="M422" s="15" t="s">
        <v>186</v>
      </c>
      <c r="N422" s="15" t="s">
        <v>187</v>
      </c>
      <c r="O422" s="15"/>
      <c r="P422" s="17">
        <v>44550</v>
      </c>
      <c r="Q422" s="15" t="s">
        <v>207</v>
      </c>
      <c r="R422" s="15" t="s">
        <v>434</v>
      </c>
      <c r="S422" s="15" t="s">
        <v>1619</v>
      </c>
      <c r="T422" s="15" t="s">
        <v>1620</v>
      </c>
      <c r="U422" s="15" t="s">
        <v>1621</v>
      </c>
      <c r="V422" s="15" t="s">
        <v>1622</v>
      </c>
      <c r="W422" s="15" t="s">
        <v>1623</v>
      </c>
      <c r="X422" s="15" t="s">
        <v>1624</v>
      </c>
      <c r="Y422" s="15" t="s">
        <v>1625</v>
      </c>
    </row>
    <row r="423" s="11" customFormat="1" hidden="1" customHeight="1" spans="1:25">
      <c r="A423" s="13"/>
      <c r="B423" s="14"/>
      <c r="C423" s="15"/>
      <c r="D423" s="11" t="str">
        <f t="shared" ref="D423:D426" si="132">D422</f>
        <v>幸福西饼</v>
      </c>
      <c r="E423" s="15"/>
      <c r="F423" s="16"/>
      <c r="G423" s="15"/>
      <c r="H423" s="15"/>
      <c r="I423" s="15"/>
      <c r="J423" s="15"/>
      <c r="K423" s="11" t="str">
        <f t="shared" ref="K423:K426" si="133">K422</f>
        <v>运营中</v>
      </c>
      <c r="L423" s="15"/>
      <c r="M423" s="15"/>
      <c r="N423" s="15"/>
      <c r="O423" s="15"/>
      <c r="P423" s="17">
        <v>43305</v>
      </c>
      <c r="Q423" s="15" t="s">
        <v>428</v>
      </c>
      <c r="R423" s="15" t="s">
        <v>997</v>
      </c>
      <c r="S423" s="15" t="s">
        <v>1626</v>
      </c>
      <c r="T423" s="15"/>
      <c r="U423" s="15"/>
      <c r="V423" s="15"/>
      <c r="W423" s="15"/>
      <c r="X423" s="15"/>
      <c r="Y423" s="15"/>
    </row>
    <row r="424" s="11" customFormat="1" hidden="1" customHeight="1" spans="1:25">
      <c r="A424" s="13"/>
      <c r="B424" s="14"/>
      <c r="C424" s="15"/>
      <c r="D424" s="11" t="str">
        <f t="shared" si="132"/>
        <v>幸福西饼</v>
      </c>
      <c r="E424" s="15"/>
      <c r="F424" s="16"/>
      <c r="G424" s="15"/>
      <c r="H424" s="15"/>
      <c r="I424" s="15"/>
      <c r="J424" s="15"/>
      <c r="K424" s="11" t="str">
        <f t="shared" si="133"/>
        <v>运营中</v>
      </c>
      <c r="L424" s="15"/>
      <c r="M424" s="15"/>
      <c r="N424" s="15"/>
      <c r="O424" s="15"/>
      <c r="P424" s="17">
        <v>43166</v>
      </c>
      <c r="Q424" s="15" t="s">
        <v>219</v>
      </c>
      <c r="R424" s="15" t="s">
        <v>1356</v>
      </c>
      <c r="S424" s="15" t="s">
        <v>1627</v>
      </c>
      <c r="T424" s="15"/>
      <c r="U424" s="15"/>
      <c r="V424" s="15"/>
      <c r="W424" s="15"/>
      <c r="X424" s="15"/>
      <c r="Y424" s="15"/>
    </row>
    <row r="425" s="11" customFormat="1" hidden="1" customHeight="1" spans="1:25">
      <c r="A425" s="13"/>
      <c r="B425" s="14"/>
      <c r="C425" s="15"/>
      <c r="D425" s="11" t="str">
        <f t="shared" si="132"/>
        <v>幸福西饼</v>
      </c>
      <c r="E425" s="15"/>
      <c r="F425" s="16"/>
      <c r="G425" s="15"/>
      <c r="H425" s="15"/>
      <c r="I425" s="15"/>
      <c r="J425" s="15"/>
      <c r="K425" s="11" t="str">
        <f t="shared" si="133"/>
        <v>运营中</v>
      </c>
      <c r="L425" s="15"/>
      <c r="M425" s="15"/>
      <c r="N425" s="15"/>
      <c r="O425" s="15"/>
      <c r="P425" s="17">
        <v>43080</v>
      </c>
      <c r="Q425" s="15" t="s">
        <v>222</v>
      </c>
      <c r="R425" s="15" t="s">
        <v>1628</v>
      </c>
      <c r="S425" s="15" t="s">
        <v>1629</v>
      </c>
      <c r="T425" s="15"/>
      <c r="U425" s="15"/>
      <c r="V425" s="15"/>
      <c r="W425" s="15"/>
      <c r="X425" s="15"/>
      <c r="Y425" s="15"/>
    </row>
    <row r="426" s="11" customFormat="1" hidden="1" customHeight="1" spans="1:25">
      <c r="A426" s="13"/>
      <c r="B426" s="14"/>
      <c r="C426" s="15"/>
      <c r="D426" s="11" t="str">
        <f t="shared" si="132"/>
        <v>幸福西饼</v>
      </c>
      <c r="E426" s="15"/>
      <c r="F426" s="16"/>
      <c r="G426" s="15"/>
      <c r="H426" s="15"/>
      <c r="I426" s="15"/>
      <c r="J426" s="15"/>
      <c r="K426" s="11" t="str">
        <f t="shared" si="133"/>
        <v>运营中</v>
      </c>
      <c r="L426" s="15"/>
      <c r="M426" s="15"/>
      <c r="N426" s="15"/>
      <c r="O426" s="15"/>
      <c r="P426" s="17">
        <v>42746</v>
      </c>
      <c r="Q426" s="15" t="s">
        <v>393</v>
      </c>
      <c r="R426" s="15" t="s">
        <v>189</v>
      </c>
      <c r="S426" s="15" t="s">
        <v>1630</v>
      </c>
      <c r="T426" s="15"/>
      <c r="U426" s="15"/>
      <c r="V426" s="15"/>
      <c r="W426" s="15"/>
      <c r="X426" s="15"/>
      <c r="Y426" s="15"/>
    </row>
    <row r="427" s="11" customFormat="1" hidden="1" customHeight="1" spans="1:25">
      <c r="A427" s="13"/>
      <c r="B427" s="14"/>
      <c r="C427" s="15" t="s">
        <v>1631</v>
      </c>
      <c r="D427" s="11" t="s">
        <v>1632</v>
      </c>
      <c r="E427" s="15" t="s">
        <v>1632</v>
      </c>
      <c r="F427" s="16" t="s">
        <v>1633</v>
      </c>
      <c r="G427" s="15" t="s">
        <v>1634</v>
      </c>
      <c r="H427" s="15" t="s">
        <v>1635</v>
      </c>
      <c r="I427" s="15" t="s">
        <v>1636</v>
      </c>
      <c r="J427" s="15" t="s">
        <v>500</v>
      </c>
      <c r="K427" s="11" t="s">
        <v>185</v>
      </c>
      <c r="L427" s="15" t="s">
        <v>185</v>
      </c>
      <c r="M427" s="15" t="s">
        <v>186</v>
      </c>
      <c r="N427" s="15" t="s">
        <v>187</v>
      </c>
      <c r="O427" s="15"/>
      <c r="P427" s="17">
        <v>44363</v>
      </c>
      <c r="Q427" s="15" t="s">
        <v>428</v>
      </c>
      <c r="R427" s="15" t="s">
        <v>668</v>
      </c>
      <c r="S427" s="15" t="s">
        <v>1637</v>
      </c>
      <c r="T427" s="15" t="s">
        <v>1638</v>
      </c>
      <c r="U427" s="15" t="s">
        <v>1639</v>
      </c>
      <c r="V427" s="15" t="s">
        <v>1640</v>
      </c>
      <c r="W427" s="15" t="s">
        <v>1641</v>
      </c>
      <c r="X427" s="15" t="s">
        <v>1642</v>
      </c>
      <c r="Y427" s="15" t="s">
        <v>1643</v>
      </c>
    </row>
    <row r="428" s="3" customFormat="1" ht="85.5" customHeight="1" spans="1:25">
      <c r="A428" s="1"/>
      <c r="B428" s="7"/>
      <c r="C428" s="8"/>
      <c r="D428" s="11" t="str">
        <f t="shared" ref="D428:D431" si="134">D427</f>
        <v>Manner咖啡</v>
      </c>
      <c r="E428" s="8"/>
      <c r="F428" s="9"/>
      <c r="G428" s="15"/>
      <c r="H428" s="15"/>
      <c r="I428" s="8"/>
      <c r="J428" s="8"/>
      <c r="K428" s="11" t="str">
        <f t="shared" ref="K428:K431" si="135">K427</f>
        <v>运营中</v>
      </c>
      <c r="L428" s="8"/>
      <c r="M428" s="8"/>
      <c r="N428" s="8"/>
      <c r="O428" s="8"/>
      <c r="P428" s="10">
        <v>44340</v>
      </c>
      <c r="Q428" s="8" t="s">
        <v>868</v>
      </c>
      <c r="R428" s="8" t="s">
        <v>1644</v>
      </c>
      <c r="S428" s="8" t="s">
        <v>1645</v>
      </c>
      <c r="T428" s="8"/>
      <c r="U428" s="8"/>
      <c r="V428" s="9"/>
      <c r="W428" s="15"/>
      <c r="X428" s="15"/>
      <c r="Y428" s="15"/>
    </row>
    <row r="429" s="11" customFormat="1" hidden="1" customHeight="1" spans="1:25">
      <c r="A429" s="13"/>
      <c r="B429" s="14"/>
      <c r="C429" s="15"/>
      <c r="D429" s="11" t="str">
        <f t="shared" si="134"/>
        <v>Manner咖啡</v>
      </c>
      <c r="E429" s="15"/>
      <c r="F429" s="16"/>
      <c r="G429" s="15"/>
      <c r="H429" s="15"/>
      <c r="I429" s="15"/>
      <c r="J429" s="15"/>
      <c r="K429" s="11" t="str">
        <f t="shared" si="135"/>
        <v>运营中</v>
      </c>
      <c r="L429" s="15"/>
      <c r="M429" s="15"/>
      <c r="N429" s="15"/>
      <c r="O429" s="15"/>
      <c r="P429" s="17">
        <v>44259</v>
      </c>
      <c r="Q429" s="15" t="s">
        <v>334</v>
      </c>
      <c r="R429" s="15" t="s">
        <v>220</v>
      </c>
      <c r="S429" s="15" t="s">
        <v>1646</v>
      </c>
      <c r="T429" s="15"/>
      <c r="U429" s="15"/>
      <c r="V429" s="15"/>
      <c r="W429" s="15"/>
      <c r="X429" s="15"/>
      <c r="Y429" s="15"/>
    </row>
    <row r="430" s="11" customFormat="1" hidden="1" customHeight="1" spans="1:25">
      <c r="A430" s="13"/>
      <c r="B430" s="14"/>
      <c r="C430" s="15"/>
      <c r="D430" s="11" t="str">
        <f t="shared" si="134"/>
        <v>Manner咖啡</v>
      </c>
      <c r="E430" s="15"/>
      <c r="F430" s="16"/>
      <c r="G430" s="15"/>
      <c r="H430" s="15"/>
      <c r="I430" s="15"/>
      <c r="J430" s="15"/>
      <c r="K430" s="11" t="str">
        <f t="shared" si="135"/>
        <v>运营中</v>
      </c>
      <c r="L430" s="15"/>
      <c r="M430" s="15"/>
      <c r="N430" s="15"/>
      <c r="O430" s="15"/>
      <c r="P430" s="17">
        <v>44189</v>
      </c>
      <c r="Q430" s="15" t="s">
        <v>207</v>
      </c>
      <c r="R430" s="15" t="s">
        <v>220</v>
      </c>
      <c r="S430" s="15" t="s">
        <v>1647</v>
      </c>
      <c r="T430" s="15"/>
      <c r="U430" s="15"/>
      <c r="V430" s="15"/>
      <c r="W430" s="15"/>
      <c r="X430" s="15"/>
      <c r="Y430" s="15"/>
    </row>
    <row r="431" s="11" customFormat="1" hidden="1" customHeight="1" spans="1:25">
      <c r="A431" s="13"/>
      <c r="B431" s="14"/>
      <c r="C431" s="15"/>
      <c r="D431" s="11" t="str">
        <f t="shared" si="134"/>
        <v>Manner咖啡</v>
      </c>
      <c r="E431" s="15"/>
      <c r="F431" s="16"/>
      <c r="G431" s="15"/>
      <c r="H431" s="15"/>
      <c r="I431" s="15"/>
      <c r="J431" s="15"/>
      <c r="K431" s="11" t="str">
        <f t="shared" si="135"/>
        <v>运营中</v>
      </c>
      <c r="L431" s="15"/>
      <c r="M431" s="15"/>
      <c r="N431" s="15"/>
      <c r="O431" s="15"/>
      <c r="P431" s="17">
        <v>43392</v>
      </c>
      <c r="Q431" s="15" t="s">
        <v>222</v>
      </c>
      <c r="R431" s="15" t="s">
        <v>1408</v>
      </c>
      <c r="S431" s="15" t="s">
        <v>1648</v>
      </c>
      <c r="T431" s="15"/>
      <c r="U431" s="15"/>
      <c r="V431" s="15"/>
      <c r="W431" s="15"/>
      <c r="X431" s="15"/>
      <c r="Y431" s="15"/>
    </row>
    <row r="432" s="3" customFormat="1" ht="85.5" customHeight="1" spans="1:25">
      <c r="A432" s="1"/>
      <c r="B432" s="7"/>
      <c r="C432" s="8" t="s">
        <v>1649</v>
      </c>
      <c r="D432" s="11" t="s">
        <v>1650</v>
      </c>
      <c r="E432" s="8" t="s">
        <v>1651</v>
      </c>
      <c r="F432" s="9" t="s">
        <v>1652</v>
      </c>
      <c r="G432" s="15" t="s">
        <v>1653</v>
      </c>
      <c r="H432" s="15" t="s">
        <v>1654</v>
      </c>
      <c r="I432" s="8" t="s">
        <v>1655</v>
      </c>
      <c r="J432" s="8" t="s">
        <v>1656</v>
      </c>
      <c r="K432" s="11" t="s">
        <v>185</v>
      </c>
      <c r="L432" s="8" t="s">
        <v>278</v>
      </c>
      <c r="M432" s="8" t="s">
        <v>23</v>
      </c>
      <c r="N432" s="8" t="s">
        <v>1657</v>
      </c>
      <c r="O432" s="8"/>
      <c r="P432" s="10">
        <v>44400</v>
      </c>
      <c r="Q432" s="8" t="s">
        <v>280</v>
      </c>
      <c r="R432" s="8" t="s">
        <v>281</v>
      </c>
      <c r="S432" s="8" t="s">
        <v>1658</v>
      </c>
      <c r="T432" s="8" t="s">
        <v>1659</v>
      </c>
      <c r="U432" s="8" t="s">
        <v>1660</v>
      </c>
      <c r="V432" s="9" t="s">
        <v>1661</v>
      </c>
      <c r="W432" s="15" t="s">
        <v>1662</v>
      </c>
      <c r="X432" s="15" t="s">
        <v>1663</v>
      </c>
      <c r="Y432" s="15" t="s">
        <v>1664</v>
      </c>
    </row>
    <row r="433" s="11" customFormat="1" hidden="1" customHeight="1" spans="1:25">
      <c r="A433" s="13"/>
      <c r="B433" s="14"/>
      <c r="C433" s="15"/>
      <c r="D433" s="11" t="str">
        <f t="shared" ref="D433:D435" si="136">D432</f>
        <v>谊品生鲜</v>
      </c>
      <c r="E433" s="15"/>
      <c r="F433" s="16"/>
      <c r="G433" s="15"/>
      <c r="H433" s="15"/>
      <c r="I433" s="15"/>
      <c r="J433" s="15"/>
      <c r="K433" s="11" t="str">
        <f t="shared" ref="K433:K435" si="137">K432</f>
        <v>运营中</v>
      </c>
      <c r="L433" s="15"/>
      <c r="M433" s="15"/>
      <c r="N433" s="15"/>
      <c r="O433" s="15"/>
      <c r="P433" s="17">
        <v>44048</v>
      </c>
      <c r="Q433" s="15" t="s">
        <v>216</v>
      </c>
      <c r="R433" s="15" t="s">
        <v>1665</v>
      </c>
      <c r="S433" s="15" t="s">
        <v>1666</v>
      </c>
      <c r="T433" s="15"/>
      <c r="U433" s="15"/>
      <c r="V433" s="15"/>
      <c r="W433" s="15"/>
      <c r="X433" s="15"/>
      <c r="Y433" s="15"/>
    </row>
    <row r="434" s="11" customFormat="1" hidden="1" customHeight="1" spans="1:25">
      <c r="A434" s="13"/>
      <c r="B434" s="14"/>
      <c r="C434" s="15"/>
      <c r="D434" s="11" t="str">
        <f t="shared" si="136"/>
        <v>谊品生鲜</v>
      </c>
      <c r="E434" s="15"/>
      <c r="F434" s="16"/>
      <c r="G434" s="15"/>
      <c r="H434" s="15"/>
      <c r="I434" s="15"/>
      <c r="J434" s="15"/>
      <c r="K434" s="11" t="str">
        <f t="shared" si="137"/>
        <v>运营中</v>
      </c>
      <c r="L434" s="15"/>
      <c r="M434" s="15"/>
      <c r="N434" s="15"/>
      <c r="O434" s="15"/>
      <c r="P434" s="17">
        <v>43553</v>
      </c>
      <c r="Q434" s="15" t="s">
        <v>219</v>
      </c>
      <c r="R434" s="15" t="s">
        <v>1667</v>
      </c>
      <c r="S434" s="15" t="s">
        <v>1668</v>
      </c>
      <c r="T434" s="15"/>
      <c r="U434" s="15"/>
      <c r="V434" s="15"/>
      <c r="W434" s="15"/>
      <c r="X434" s="15"/>
      <c r="Y434" s="15"/>
    </row>
    <row r="435" s="11" customFormat="1" hidden="1" customHeight="1" spans="1:25">
      <c r="A435" s="13"/>
      <c r="B435" s="14"/>
      <c r="C435" s="15"/>
      <c r="D435" s="11" t="str">
        <f t="shared" si="136"/>
        <v>谊品生鲜</v>
      </c>
      <c r="E435" s="15"/>
      <c r="F435" s="16"/>
      <c r="G435" s="15"/>
      <c r="H435" s="15"/>
      <c r="I435" s="15"/>
      <c r="J435" s="15"/>
      <c r="K435" s="11" t="str">
        <f t="shared" si="137"/>
        <v>运营中</v>
      </c>
      <c r="L435" s="15"/>
      <c r="M435" s="15"/>
      <c r="N435" s="15"/>
      <c r="O435" s="15"/>
      <c r="P435" s="17">
        <v>43335</v>
      </c>
      <c r="Q435" s="15" t="s">
        <v>222</v>
      </c>
      <c r="R435" s="15" t="s">
        <v>189</v>
      </c>
      <c r="S435" s="15" t="s">
        <v>1648</v>
      </c>
      <c r="T435" s="15"/>
      <c r="U435" s="15"/>
      <c r="V435" s="15"/>
      <c r="W435" s="15"/>
      <c r="X435" s="15"/>
      <c r="Y435" s="15"/>
    </row>
    <row r="436" s="3" customFormat="1" ht="85.5" customHeight="1" spans="1:25">
      <c r="A436" s="1"/>
      <c r="B436" s="7"/>
      <c r="C436" s="8" t="s">
        <v>1669</v>
      </c>
      <c r="D436" s="11" t="s">
        <v>1670</v>
      </c>
      <c r="E436" s="8" t="s">
        <v>1671</v>
      </c>
      <c r="F436" s="9" t="s">
        <v>1672</v>
      </c>
      <c r="G436" s="15" t="s">
        <v>1673</v>
      </c>
      <c r="H436" s="15" t="s">
        <v>1674</v>
      </c>
      <c r="I436" s="8" t="s">
        <v>1675</v>
      </c>
      <c r="J436" s="8" t="s">
        <v>1676</v>
      </c>
      <c r="K436" s="11" t="s">
        <v>185</v>
      </c>
      <c r="L436" s="8" t="s">
        <v>278</v>
      </c>
      <c r="M436" s="8" t="s">
        <v>27</v>
      </c>
      <c r="N436" s="8" t="s">
        <v>1677</v>
      </c>
      <c r="O436" s="8"/>
      <c r="P436" s="10">
        <v>44526</v>
      </c>
      <c r="Q436" s="8" t="s">
        <v>425</v>
      </c>
      <c r="R436" s="8" t="s">
        <v>1678</v>
      </c>
      <c r="S436" s="8" t="s">
        <v>1679</v>
      </c>
      <c r="T436" s="8" t="s">
        <v>1680</v>
      </c>
      <c r="U436" s="8" t="s">
        <v>1681</v>
      </c>
      <c r="V436" s="9" t="s">
        <v>1682</v>
      </c>
      <c r="W436" s="15" t="s">
        <v>1683</v>
      </c>
      <c r="X436" s="15" t="s">
        <v>1684</v>
      </c>
      <c r="Y436" s="15" t="s">
        <v>1685</v>
      </c>
    </row>
    <row r="437" s="11" customFormat="1" hidden="1" customHeight="1" spans="1:25">
      <c r="A437" s="13"/>
      <c r="B437" s="14"/>
      <c r="C437" s="15"/>
      <c r="D437" s="11" t="str">
        <f t="shared" ref="D437:D438" si="138">D436</f>
        <v>甄云科技</v>
      </c>
      <c r="E437" s="15"/>
      <c r="F437" s="16"/>
      <c r="G437" s="15"/>
      <c r="H437" s="15"/>
      <c r="I437" s="15"/>
      <c r="J437" s="15"/>
      <c r="K437" s="11" t="str">
        <f t="shared" ref="K437:K438" si="139">K436</f>
        <v>运营中</v>
      </c>
      <c r="L437" s="15"/>
      <c r="M437" s="15"/>
      <c r="N437" s="15"/>
      <c r="O437" s="15"/>
      <c r="P437" s="17">
        <v>44138</v>
      </c>
      <c r="Q437" s="15" t="s">
        <v>219</v>
      </c>
      <c r="R437" s="15" t="s">
        <v>1356</v>
      </c>
      <c r="S437" s="15" t="s">
        <v>1686</v>
      </c>
      <c r="T437" s="15"/>
      <c r="U437" s="15"/>
      <c r="V437" s="15"/>
      <c r="W437" s="15"/>
      <c r="X437" s="15"/>
      <c r="Y437" s="15"/>
    </row>
    <row r="438" s="11" customFormat="1" hidden="1" customHeight="1" spans="1:25">
      <c r="A438" s="13"/>
      <c r="B438" s="14"/>
      <c r="C438" s="15"/>
      <c r="D438" s="11" t="str">
        <f t="shared" si="138"/>
        <v>甄云科技</v>
      </c>
      <c r="E438" s="15"/>
      <c r="F438" s="16"/>
      <c r="G438" s="15"/>
      <c r="H438" s="15"/>
      <c r="I438" s="15"/>
      <c r="J438" s="15"/>
      <c r="K438" s="11" t="str">
        <f t="shared" si="139"/>
        <v>运营中</v>
      </c>
      <c r="L438" s="15"/>
      <c r="M438" s="15"/>
      <c r="N438" s="15"/>
      <c r="O438" s="15"/>
      <c r="P438" s="17">
        <v>43357</v>
      </c>
      <c r="Q438" s="15" t="s">
        <v>222</v>
      </c>
      <c r="R438" s="15" t="s">
        <v>432</v>
      </c>
      <c r="S438" s="15" t="s">
        <v>1687</v>
      </c>
      <c r="T438" s="15"/>
      <c r="U438" s="15"/>
      <c r="V438" s="15"/>
      <c r="W438" s="15"/>
      <c r="X438" s="15"/>
      <c r="Y438" s="15"/>
    </row>
    <row r="439" s="3" customFormat="1" ht="85.5" customHeight="1" spans="1:25">
      <c r="A439" s="1"/>
      <c r="B439" s="7"/>
      <c r="C439" s="8" t="s">
        <v>1688</v>
      </c>
      <c r="D439" s="11" t="s">
        <v>1689</v>
      </c>
      <c r="E439" s="8" t="s">
        <v>1690</v>
      </c>
      <c r="F439" s="9" t="s">
        <v>1691</v>
      </c>
      <c r="G439" s="15" t="s">
        <v>1692</v>
      </c>
      <c r="H439" s="15" t="s">
        <v>1693</v>
      </c>
      <c r="I439" s="8" t="s">
        <v>1694</v>
      </c>
      <c r="J439" s="8" t="s">
        <v>1695</v>
      </c>
      <c r="K439" s="11" t="s">
        <v>185</v>
      </c>
      <c r="L439" s="8" t="s">
        <v>278</v>
      </c>
      <c r="M439" s="8" t="s">
        <v>19</v>
      </c>
      <c r="N439" s="8" t="s">
        <v>1179</v>
      </c>
      <c r="O439" s="8"/>
      <c r="P439" s="10">
        <v>44903</v>
      </c>
      <c r="Q439" s="8" t="s">
        <v>425</v>
      </c>
      <c r="R439" s="8" t="s">
        <v>430</v>
      </c>
      <c r="S439" s="8" t="s">
        <v>1696</v>
      </c>
      <c r="T439" s="8" t="s">
        <v>1697</v>
      </c>
      <c r="U439" s="8" t="s">
        <v>1085</v>
      </c>
      <c r="V439" s="9"/>
      <c r="W439" s="15" t="s">
        <v>1698</v>
      </c>
      <c r="X439" s="15" t="s">
        <v>1699</v>
      </c>
      <c r="Y439" s="15" t="s">
        <v>1700</v>
      </c>
    </row>
    <row r="440" s="11" customFormat="1" hidden="1" customHeight="1" spans="1:25">
      <c r="A440" s="13"/>
      <c r="B440" s="14"/>
      <c r="C440" s="15"/>
      <c r="D440" s="11" t="str">
        <f t="shared" ref="D440:D444" si="140">D439</f>
        <v>晶湛半导体</v>
      </c>
      <c r="E440" s="15"/>
      <c r="F440" s="16"/>
      <c r="G440" s="15"/>
      <c r="H440" s="15"/>
      <c r="I440" s="15"/>
      <c r="J440" s="15"/>
      <c r="K440" s="11" t="str">
        <f t="shared" ref="K440:K444" si="141">K439</f>
        <v>运营中</v>
      </c>
      <c r="L440" s="15"/>
      <c r="M440" s="15"/>
      <c r="N440" s="15"/>
      <c r="O440" s="15"/>
      <c r="P440" s="17">
        <v>44623</v>
      </c>
      <c r="Q440" s="15" t="s">
        <v>428</v>
      </c>
      <c r="R440" s="15" t="s">
        <v>269</v>
      </c>
      <c r="S440" s="15" t="s">
        <v>1701</v>
      </c>
      <c r="T440" s="15"/>
      <c r="U440" s="15"/>
      <c r="V440" s="15"/>
      <c r="W440" s="15"/>
      <c r="X440" s="15"/>
      <c r="Y440" s="15"/>
    </row>
    <row r="441" s="11" customFormat="1" hidden="1" customHeight="1" spans="1:25">
      <c r="A441" s="13"/>
      <c r="B441" s="14"/>
      <c r="C441" s="15"/>
      <c r="D441" s="11" t="str">
        <f t="shared" si="140"/>
        <v>晶湛半导体</v>
      </c>
      <c r="E441" s="15"/>
      <c r="F441" s="16"/>
      <c r="G441" s="15"/>
      <c r="H441" s="15"/>
      <c r="I441" s="15"/>
      <c r="J441" s="15"/>
      <c r="K441" s="11" t="str">
        <f t="shared" si="141"/>
        <v>运营中</v>
      </c>
      <c r="L441" s="15"/>
      <c r="M441" s="15"/>
      <c r="N441" s="15"/>
      <c r="O441" s="15"/>
      <c r="P441" s="17">
        <v>44006</v>
      </c>
      <c r="Q441" s="15" t="s">
        <v>219</v>
      </c>
      <c r="R441" s="15" t="s">
        <v>189</v>
      </c>
      <c r="S441" s="15" t="s">
        <v>1702</v>
      </c>
      <c r="T441" s="15"/>
      <c r="U441" s="15"/>
      <c r="V441" s="15"/>
      <c r="W441" s="15"/>
      <c r="X441" s="15"/>
      <c r="Y441" s="15"/>
    </row>
    <row r="442" s="11" customFormat="1" hidden="1" customHeight="1" spans="1:25">
      <c r="A442" s="13"/>
      <c r="B442" s="14"/>
      <c r="C442" s="15"/>
      <c r="D442" s="11" t="str">
        <f t="shared" si="140"/>
        <v>晶湛半导体</v>
      </c>
      <c r="E442" s="15"/>
      <c r="F442" s="16"/>
      <c r="G442" s="15"/>
      <c r="H442" s="15"/>
      <c r="I442" s="15"/>
      <c r="J442" s="15"/>
      <c r="K442" s="11" t="str">
        <f t="shared" si="141"/>
        <v>运营中</v>
      </c>
      <c r="L442" s="15"/>
      <c r="M442" s="15"/>
      <c r="N442" s="15"/>
      <c r="O442" s="15"/>
      <c r="P442" s="17">
        <v>43558</v>
      </c>
      <c r="Q442" s="15" t="s">
        <v>222</v>
      </c>
      <c r="R442" s="15" t="s">
        <v>189</v>
      </c>
      <c r="S442" s="15" t="s">
        <v>1703</v>
      </c>
      <c r="T442" s="15"/>
      <c r="U442" s="15"/>
      <c r="V442" s="15"/>
      <c r="W442" s="15"/>
      <c r="X442" s="15"/>
      <c r="Y442" s="15"/>
    </row>
    <row r="443" s="11" customFormat="1" hidden="1" customHeight="1" spans="1:25">
      <c r="A443" s="13"/>
      <c r="B443" s="14"/>
      <c r="C443" s="15"/>
      <c r="D443" s="11" t="str">
        <f t="shared" si="140"/>
        <v>晶湛半导体</v>
      </c>
      <c r="E443" s="15"/>
      <c r="F443" s="16"/>
      <c r="G443" s="15"/>
      <c r="H443" s="15"/>
      <c r="I443" s="15"/>
      <c r="J443" s="15"/>
      <c r="K443" s="11" t="str">
        <f t="shared" si="141"/>
        <v>运营中</v>
      </c>
      <c r="L443" s="15"/>
      <c r="M443" s="15"/>
      <c r="N443" s="15"/>
      <c r="O443" s="15"/>
      <c r="P443" s="17">
        <v>43440</v>
      </c>
      <c r="Q443" s="15" t="s">
        <v>393</v>
      </c>
      <c r="R443" s="15" t="s">
        <v>189</v>
      </c>
      <c r="S443" s="15" t="s">
        <v>1704</v>
      </c>
      <c r="T443" s="15"/>
      <c r="U443" s="15"/>
      <c r="V443" s="15"/>
      <c r="W443" s="15"/>
      <c r="X443" s="15"/>
      <c r="Y443" s="15"/>
    </row>
    <row r="444" s="11" customFormat="1" hidden="1" customHeight="1" spans="1:25">
      <c r="A444" s="13"/>
      <c r="B444" s="14"/>
      <c r="C444" s="15"/>
      <c r="D444" s="11" t="str">
        <f t="shared" si="140"/>
        <v>晶湛半导体</v>
      </c>
      <c r="E444" s="15"/>
      <c r="F444" s="16"/>
      <c r="G444" s="15"/>
      <c r="H444" s="15"/>
      <c r="I444" s="15"/>
      <c r="J444" s="15"/>
      <c r="K444" s="11" t="str">
        <f t="shared" si="141"/>
        <v>运营中</v>
      </c>
      <c r="L444" s="15"/>
      <c r="M444" s="15"/>
      <c r="N444" s="15"/>
      <c r="O444" s="15"/>
      <c r="P444" s="17">
        <v>42468</v>
      </c>
      <c r="Q444" s="15" t="s">
        <v>196</v>
      </c>
      <c r="R444" s="15" t="s">
        <v>189</v>
      </c>
      <c r="S444" s="15" t="s">
        <v>1705</v>
      </c>
      <c r="T444" s="15"/>
      <c r="U444" s="15"/>
      <c r="V444" s="15"/>
      <c r="W444" s="15"/>
      <c r="X444" s="15"/>
      <c r="Y444" s="15"/>
    </row>
    <row r="445" s="11" customFormat="1" hidden="1" customHeight="1" spans="1:25">
      <c r="A445" s="13"/>
      <c r="B445" s="14"/>
      <c r="C445" s="15" t="s">
        <v>1111</v>
      </c>
      <c r="D445" s="11" t="s">
        <v>1112</v>
      </c>
      <c r="E445" s="15" t="s">
        <v>1112</v>
      </c>
      <c r="F445" s="16" t="s">
        <v>1113</v>
      </c>
      <c r="G445" s="15"/>
      <c r="H445" s="15" t="s">
        <v>1114</v>
      </c>
      <c r="I445" s="15" t="s">
        <v>1115</v>
      </c>
      <c r="J445" s="15" t="s">
        <v>1116</v>
      </c>
      <c r="K445" s="11" t="s">
        <v>185</v>
      </c>
      <c r="L445" s="15" t="s">
        <v>185</v>
      </c>
      <c r="M445" s="15" t="s">
        <v>297</v>
      </c>
      <c r="N445" s="15" t="s">
        <v>298</v>
      </c>
      <c r="O445" s="15"/>
      <c r="P445" s="17">
        <v>44432</v>
      </c>
      <c r="Q445" s="15" t="s">
        <v>216</v>
      </c>
      <c r="R445" s="15" t="s">
        <v>1117</v>
      </c>
      <c r="S445" s="15" t="s">
        <v>1118</v>
      </c>
      <c r="T445" s="15" t="s">
        <v>1119</v>
      </c>
      <c r="U445" s="15" t="s">
        <v>1120</v>
      </c>
      <c r="V445" s="15" t="s">
        <v>1121</v>
      </c>
      <c r="W445" s="15"/>
      <c r="X445" s="15"/>
      <c r="Y445" s="15"/>
    </row>
    <row r="446" s="11" customFormat="1" hidden="1" customHeight="1" spans="1:25">
      <c r="A446" s="13"/>
      <c r="B446" s="14"/>
      <c r="C446" s="15"/>
      <c r="D446" s="11" t="str">
        <f t="shared" ref="D446:D447" si="142">D445</f>
        <v>OPay</v>
      </c>
      <c r="E446" s="15"/>
      <c r="F446" s="16"/>
      <c r="G446" s="15"/>
      <c r="H446" s="15"/>
      <c r="I446" s="15"/>
      <c r="J446" s="15"/>
      <c r="K446" s="11" t="str">
        <f t="shared" ref="K446:K447" si="143">K445</f>
        <v>运营中</v>
      </c>
      <c r="L446" s="15"/>
      <c r="M446" s="15"/>
      <c r="N446" s="15"/>
      <c r="O446" s="15"/>
      <c r="P446" s="17">
        <v>43788</v>
      </c>
      <c r="Q446" s="15" t="s">
        <v>219</v>
      </c>
      <c r="R446" s="15" t="s">
        <v>1108</v>
      </c>
      <c r="S446" s="15" t="s">
        <v>1122</v>
      </c>
      <c r="T446" s="15"/>
      <c r="U446" s="15"/>
      <c r="V446" s="15"/>
      <c r="W446" s="15"/>
      <c r="X446" s="15"/>
      <c r="Y446" s="15"/>
    </row>
    <row r="447" s="11" customFormat="1" hidden="1" customHeight="1" spans="1:25">
      <c r="A447" s="13"/>
      <c r="B447" s="14"/>
      <c r="C447" s="15"/>
      <c r="D447" s="11" t="str">
        <f t="shared" si="142"/>
        <v>OPay</v>
      </c>
      <c r="E447" s="15"/>
      <c r="F447" s="16"/>
      <c r="G447" s="15"/>
      <c r="H447" s="15"/>
      <c r="I447" s="15"/>
      <c r="J447" s="15"/>
      <c r="K447" s="11" t="str">
        <f t="shared" si="143"/>
        <v>运营中</v>
      </c>
      <c r="L447" s="15"/>
      <c r="M447" s="15"/>
      <c r="N447" s="15"/>
      <c r="O447" s="15"/>
      <c r="P447" s="17">
        <v>43657</v>
      </c>
      <c r="Q447" s="15" t="s">
        <v>222</v>
      </c>
      <c r="R447" s="15" t="s">
        <v>660</v>
      </c>
      <c r="S447" s="15" t="s">
        <v>1123</v>
      </c>
      <c r="T447" s="15"/>
      <c r="U447" s="15"/>
      <c r="V447" s="15"/>
      <c r="W447" s="15"/>
      <c r="X447" s="15"/>
      <c r="Y447" s="15"/>
    </row>
    <row r="448" s="3" customFormat="1" ht="85.5" customHeight="1" spans="1:25">
      <c r="A448" s="1"/>
      <c r="B448" s="7"/>
      <c r="C448" s="8" t="s">
        <v>1706</v>
      </c>
      <c r="D448" s="15" t="s">
        <v>1707</v>
      </c>
      <c r="E448" s="8" t="s">
        <v>1708</v>
      </c>
      <c r="F448" s="9" t="s">
        <v>1709</v>
      </c>
      <c r="G448" s="15" t="s">
        <v>1710</v>
      </c>
      <c r="H448" s="15" t="s">
        <v>1711</v>
      </c>
      <c r="I448" s="8" t="s">
        <v>1712</v>
      </c>
      <c r="J448" s="8" t="s">
        <v>1713</v>
      </c>
      <c r="K448" s="15" t="s">
        <v>185</v>
      </c>
      <c r="L448" s="8" t="s">
        <v>278</v>
      </c>
      <c r="M448" s="8" t="s">
        <v>10</v>
      </c>
      <c r="N448" s="8" t="s">
        <v>279</v>
      </c>
      <c r="O448" s="8"/>
      <c r="P448" s="10">
        <v>44209</v>
      </c>
      <c r="Q448" s="8" t="s">
        <v>1167</v>
      </c>
      <c r="R448" s="8" t="s">
        <v>1714</v>
      </c>
      <c r="S448" s="8" t="s">
        <v>1715</v>
      </c>
      <c r="T448" s="8" t="s">
        <v>1716</v>
      </c>
      <c r="U448" s="8" t="s">
        <v>1717</v>
      </c>
      <c r="V448" s="9" t="s">
        <v>1718</v>
      </c>
      <c r="W448" s="15" t="s">
        <v>1719</v>
      </c>
      <c r="X448" s="15" t="s">
        <v>1720</v>
      </c>
      <c r="Y448" s="15" t="s">
        <v>1721</v>
      </c>
    </row>
    <row r="449" s="11" customFormat="1" hidden="1" customHeight="1" spans="1:25">
      <c r="A449" s="13"/>
      <c r="B449" s="14"/>
      <c r="C449" s="15" t="s">
        <v>1722</v>
      </c>
      <c r="D449" s="15" t="s">
        <v>1723</v>
      </c>
      <c r="E449" s="15" t="s">
        <v>1723</v>
      </c>
      <c r="F449" s="16" t="s">
        <v>1724</v>
      </c>
      <c r="G449" s="15" t="s">
        <v>1725</v>
      </c>
      <c r="H449" s="15"/>
      <c r="I449" s="15" t="s">
        <v>1178</v>
      </c>
      <c r="J449" s="15" t="s">
        <v>1726</v>
      </c>
      <c r="K449" s="15" t="s">
        <v>185</v>
      </c>
      <c r="L449" s="15" t="s">
        <v>185</v>
      </c>
      <c r="M449" s="15" t="s">
        <v>356</v>
      </c>
      <c r="N449" s="15" t="s">
        <v>357</v>
      </c>
      <c r="O449" s="15"/>
      <c r="P449" s="17">
        <v>43830</v>
      </c>
      <c r="Q449" s="15" t="s">
        <v>222</v>
      </c>
      <c r="R449" s="15" t="s">
        <v>217</v>
      </c>
      <c r="S449" s="15" t="s">
        <v>1522</v>
      </c>
      <c r="T449" s="15" t="s">
        <v>378</v>
      </c>
      <c r="U449" s="15" t="s">
        <v>379</v>
      </c>
      <c r="V449" s="15" t="s">
        <v>1727</v>
      </c>
      <c r="W449" s="15" t="s">
        <v>1728</v>
      </c>
      <c r="X449" s="15"/>
      <c r="Y449" s="15"/>
    </row>
    <row r="450" s="11" customFormat="1" hidden="1" customHeight="1" spans="1:25">
      <c r="A450" s="13"/>
      <c r="B450" s="14"/>
      <c r="C450" s="15" t="s">
        <v>1729</v>
      </c>
      <c r="D450" s="11" t="s">
        <v>1730</v>
      </c>
      <c r="E450" s="15" t="s">
        <v>1730</v>
      </c>
      <c r="F450" s="16" t="s">
        <v>1731</v>
      </c>
      <c r="G450" s="15" t="s">
        <v>1732</v>
      </c>
      <c r="H450" s="15" t="s">
        <v>1733</v>
      </c>
      <c r="I450" s="15" t="s">
        <v>1178</v>
      </c>
      <c r="J450" s="15" t="s">
        <v>184</v>
      </c>
      <c r="K450" s="11" t="s">
        <v>185</v>
      </c>
      <c r="L450" s="15" t="s">
        <v>185</v>
      </c>
      <c r="M450" s="15" t="s">
        <v>515</v>
      </c>
      <c r="N450" s="15" t="s">
        <v>516</v>
      </c>
      <c r="O450" s="15"/>
      <c r="P450" s="17">
        <v>44897</v>
      </c>
      <c r="Q450" s="15" t="s">
        <v>219</v>
      </c>
      <c r="R450" s="15" t="s">
        <v>269</v>
      </c>
      <c r="S450" s="15" t="s">
        <v>1734</v>
      </c>
      <c r="T450" s="15" t="s">
        <v>1735</v>
      </c>
      <c r="U450" s="15" t="s">
        <v>787</v>
      </c>
      <c r="V450" s="15" t="s">
        <v>1736</v>
      </c>
      <c r="W450" s="15" t="s">
        <v>1737</v>
      </c>
      <c r="X450" s="15"/>
      <c r="Y450" s="15"/>
    </row>
    <row r="451" s="3" customFormat="1" ht="85.5" customHeight="1" spans="1:25">
      <c r="A451" s="1"/>
      <c r="B451" s="7"/>
      <c r="C451" s="8"/>
      <c r="D451" s="11" t="str">
        <f t="shared" ref="D451:D455" si="144">D450</f>
        <v>轻舟智航</v>
      </c>
      <c r="E451" s="8"/>
      <c r="F451" s="9"/>
      <c r="G451" s="15"/>
      <c r="H451" s="15"/>
      <c r="I451" s="8"/>
      <c r="J451" s="8"/>
      <c r="K451" s="11" t="str">
        <f t="shared" ref="K451:K455" si="145">K450</f>
        <v>运营中</v>
      </c>
      <c r="L451" s="8"/>
      <c r="M451" s="8"/>
      <c r="N451" s="8"/>
      <c r="O451" s="8"/>
      <c r="P451" s="10">
        <v>44424</v>
      </c>
      <c r="Q451" s="8" t="s">
        <v>1180</v>
      </c>
      <c r="R451" s="8" t="s">
        <v>919</v>
      </c>
      <c r="S451" s="8" t="s">
        <v>1738</v>
      </c>
      <c r="T451" s="8"/>
      <c r="U451" s="8"/>
      <c r="V451" s="9"/>
      <c r="W451" s="15"/>
      <c r="X451" s="15"/>
      <c r="Y451" s="15"/>
    </row>
    <row r="452" s="11" customFormat="1" hidden="1" customHeight="1" spans="1:25">
      <c r="A452" s="13"/>
      <c r="B452" s="14"/>
      <c r="C452" s="15"/>
      <c r="D452" s="11" t="str">
        <f t="shared" si="144"/>
        <v>轻舟智航</v>
      </c>
      <c r="E452" s="15"/>
      <c r="F452" s="16"/>
      <c r="G452" s="15"/>
      <c r="H452" s="15"/>
      <c r="I452" s="15"/>
      <c r="J452" s="15"/>
      <c r="K452" s="11" t="str">
        <f t="shared" si="145"/>
        <v>运营中</v>
      </c>
      <c r="L452" s="15"/>
      <c r="M452" s="15"/>
      <c r="N452" s="15"/>
      <c r="O452" s="15"/>
      <c r="P452" s="17">
        <v>44260</v>
      </c>
      <c r="Q452" s="15" t="s">
        <v>222</v>
      </c>
      <c r="R452" s="15" t="s">
        <v>220</v>
      </c>
      <c r="S452" s="15" t="s">
        <v>262</v>
      </c>
      <c r="T452" s="15"/>
      <c r="U452" s="15"/>
      <c r="V452" s="15"/>
      <c r="W452" s="15"/>
      <c r="X452" s="15"/>
      <c r="Y452" s="15"/>
    </row>
    <row r="453" s="11" customFormat="1" hidden="1" customHeight="1" spans="1:25">
      <c r="A453" s="13"/>
      <c r="B453" s="14"/>
      <c r="C453" s="15"/>
      <c r="D453" s="11" t="str">
        <f t="shared" si="144"/>
        <v>轻舟智航</v>
      </c>
      <c r="E453" s="15"/>
      <c r="F453" s="16"/>
      <c r="G453" s="15"/>
      <c r="H453" s="15"/>
      <c r="I453" s="15"/>
      <c r="J453" s="15"/>
      <c r="K453" s="11" t="str">
        <f t="shared" si="145"/>
        <v>运营中</v>
      </c>
      <c r="L453" s="15"/>
      <c r="M453" s="15"/>
      <c r="N453" s="15"/>
      <c r="O453" s="15"/>
      <c r="P453" s="17">
        <v>44198</v>
      </c>
      <c r="Q453" s="15" t="s">
        <v>207</v>
      </c>
      <c r="R453" s="15" t="s">
        <v>313</v>
      </c>
      <c r="S453" s="15" t="s">
        <v>1739</v>
      </c>
      <c r="T453" s="15"/>
      <c r="U453" s="15"/>
      <c r="V453" s="15"/>
      <c r="W453" s="15"/>
      <c r="X453" s="15"/>
      <c r="Y453" s="15"/>
    </row>
    <row r="454" s="11" customFormat="1" hidden="1" customHeight="1" spans="1:25">
      <c r="A454" s="13"/>
      <c r="B454" s="14"/>
      <c r="C454" s="15"/>
      <c r="D454" s="11" t="str">
        <f t="shared" si="144"/>
        <v>轻舟智航</v>
      </c>
      <c r="E454" s="15"/>
      <c r="F454" s="16"/>
      <c r="G454" s="15"/>
      <c r="H454" s="15"/>
      <c r="I454" s="15"/>
      <c r="J454" s="15"/>
      <c r="K454" s="11" t="str">
        <f t="shared" si="145"/>
        <v>运营中</v>
      </c>
      <c r="L454" s="15"/>
      <c r="M454" s="15"/>
      <c r="N454" s="15"/>
      <c r="O454" s="15"/>
      <c r="P454" s="17">
        <v>44116</v>
      </c>
      <c r="Q454" s="15" t="s">
        <v>207</v>
      </c>
      <c r="R454" s="15" t="s">
        <v>313</v>
      </c>
      <c r="S454" s="15" t="s">
        <v>1740</v>
      </c>
      <c r="T454" s="15"/>
      <c r="U454" s="15"/>
      <c r="V454" s="15"/>
      <c r="W454" s="15"/>
      <c r="X454" s="15"/>
      <c r="Y454" s="15"/>
    </row>
    <row r="455" s="11" customFormat="1" hidden="1" customHeight="1" spans="1:25">
      <c r="A455" s="13"/>
      <c r="B455" s="14"/>
      <c r="C455" s="15"/>
      <c r="D455" s="11" t="str">
        <f t="shared" si="144"/>
        <v>轻舟智航</v>
      </c>
      <c r="E455" s="15"/>
      <c r="F455" s="16"/>
      <c r="G455" s="15"/>
      <c r="H455" s="15"/>
      <c r="I455" s="15"/>
      <c r="J455" s="15"/>
      <c r="K455" s="11" t="str">
        <f t="shared" si="145"/>
        <v>运营中</v>
      </c>
      <c r="L455" s="15"/>
      <c r="M455" s="15"/>
      <c r="N455" s="15"/>
      <c r="O455" s="15"/>
      <c r="P455" s="17">
        <v>43924</v>
      </c>
      <c r="Q455" s="15" t="s">
        <v>905</v>
      </c>
      <c r="R455" s="15" t="s">
        <v>220</v>
      </c>
      <c r="S455" s="15" t="s">
        <v>1741</v>
      </c>
      <c r="T455" s="15"/>
      <c r="U455" s="15"/>
      <c r="V455" s="15"/>
      <c r="W455" s="15"/>
      <c r="X455" s="15"/>
      <c r="Y455" s="15"/>
    </row>
    <row r="456" s="11" customFormat="1" hidden="1" customHeight="1" spans="1:25">
      <c r="A456" s="13"/>
      <c r="B456" s="14"/>
      <c r="C456" s="15" t="s">
        <v>509</v>
      </c>
      <c r="D456" s="11" t="s">
        <v>1742</v>
      </c>
      <c r="E456" s="15" t="s">
        <v>1742</v>
      </c>
      <c r="F456" s="16" t="s">
        <v>1743</v>
      </c>
      <c r="G456" s="15" t="s">
        <v>1744</v>
      </c>
      <c r="H456" s="15" t="s">
        <v>1745</v>
      </c>
      <c r="I456" s="15" t="s">
        <v>1036</v>
      </c>
      <c r="J456" s="15" t="s">
        <v>852</v>
      </c>
      <c r="K456" s="11" t="s">
        <v>185</v>
      </c>
      <c r="L456" s="15" t="s">
        <v>185</v>
      </c>
      <c r="M456" s="15" t="s">
        <v>416</v>
      </c>
      <c r="N456" s="15" t="s">
        <v>1746</v>
      </c>
      <c r="O456" s="15"/>
      <c r="P456" s="17">
        <v>44967</v>
      </c>
      <c r="Q456" s="15" t="s">
        <v>690</v>
      </c>
      <c r="R456" s="15" t="s">
        <v>269</v>
      </c>
      <c r="S456" s="15" t="s">
        <v>1747</v>
      </c>
      <c r="T456" s="15" t="s">
        <v>1748</v>
      </c>
      <c r="U456" s="15" t="s">
        <v>1055</v>
      </c>
      <c r="V456" s="15"/>
      <c r="W456" s="15" t="s">
        <v>1749</v>
      </c>
      <c r="X456" s="15" t="s">
        <v>1750</v>
      </c>
      <c r="Y456" s="15" t="s">
        <v>1751</v>
      </c>
    </row>
    <row r="457" s="3" customFormat="1" ht="85.5" customHeight="1" spans="1:25">
      <c r="A457" s="1"/>
      <c r="B457" s="7"/>
      <c r="C457" s="8"/>
      <c r="D457" s="11" t="str">
        <f t="shared" ref="D457:D462" si="146">D456</f>
        <v>灵明光子</v>
      </c>
      <c r="E457" s="8"/>
      <c r="F457" s="9"/>
      <c r="G457" s="15"/>
      <c r="H457" s="15"/>
      <c r="I457" s="8"/>
      <c r="J457" s="8"/>
      <c r="K457" s="11" t="str">
        <f t="shared" ref="K457:K462" si="147">K456</f>
        <v>运营中</v>
      </c>
      <c r="L457" s="8"/>
      <c r="M457" s="8"/>
      <c r="N457" s="8"/>
      <c r="O457" s="8"/>
      <c r="P457" s="10">
        <v>44662</v>
      </c>
      <c r="Q457" s="8" t="s">
        <v>425</v>
      </c>
      <c r="R457" s="8" t="s">
        <v>430</v>
      </c>
      <c r="S457" s="8" t="s">
        <v>1752</v>
      </c>
      <c r="T457" s="8"/>
      <c r="U457" s="8"/>
      <c r="V457" s="9"/>
      <c r="W457" s="15"/>
      <c r="X457" s="15"/>
      <c r="Y457" s="15"/>
    </row>
    <row r="458" s="11" customFormat="1" hidden="1" customHeight="1" spans="1:25">
      <c r="A458" s="13"/>
      <c r="B458" s="14"/>
      <c r="C458" s="15"/>
      <c r="D458" s="11" t="str">
        <f t="shared" si="146"/>
        <v>灵明光子</v>
      </c>
      <c r="E458" s="15"/>
      <c r="F458" s="16"/>
      <c r="G458" s="15"/>
      <c r="H458" s="15"/>
      <c r="I458" s="15"/>
      <c r="J458" s="15"/>
      <c r="K458" s="11" t="str">
        <f t="shared" si="147"/>
        <v>运营中</v>
      </c>
      <c r="L458" s="15"/>
      <c r="M458" s="15"/>
      <c r="N458" s="15"/>
      <c r="O458" s="15"/>
      <c r="P458" s="17">
        <v>44453</v>
      </c>
      <c r="Q458" s="15" t="s">
        <v>219</v>
      </c>
      <c r="R458" s="15" t="s">
        <v>217</v>
      </c>
      <c r="S458" s="15" t="s">
        <v>1753</v>
      </c>
      <c r="T458" s="15"/>
      <c r="U458" s="15"/>
      <c r="V458" s="15"/>
      <c r="W458" s="15"/>
      <c r="X458" s="15"/>
      <c r="Y458" s="15"/>
    </row>
    <row r="459" s="11" customFormat="1" hidden="1" customHeight="1" spans="1:25">
      <c r="A459" s="13"/>
      <c r="B459" s="14"/>
      <c r="C459" s="15"/>
      <c r="D459" s="11" t="str">
        <f t="shared" si="146"/>
        <v>灵明光子</v>
      </c>
      <c r="E459" s="15"/>
      <c r="F459" s="16"/>
      <c r="G459" s="15"/>
      <c r="H459" s="15"/>
      <c r="I459" s="15"/>
      <c r="J459" s="15"/>
      <c r="K459" s="11" t="str">
        <f t="shared" si="147"/>
        <v>运营中</v>
      </c>
      <c r="L459" s="15"/>
      <c r="M459" s="15"/>
      <c r="N459" s="15"/>
      <c r="O459" s="15"/>
      <c r="P459" s="17">
        <v>44133</v>
      </c>
      <c r="Q459" s="15" t="s">
        <v>334</v>
      </c>
      <c r="R459" s="15" t="s">
        <v>217</v>
      </c>
      <c r="S459" s="15" t="s">
        <v>1754</v>
      </c>
      <c r="T459" s="15"/>
      <c r="U459" s="15"/>
      <c r="V459" s="15"/>
      <c r="W459" s="15"/>
      <c r="X459" s="15"/>
      <c r="Y459" s="15"/>
    </row>
    <row r="460" s="11" customFormat="1" hidden="1" customHeight="1" spans="1:25">
      <c r="A460" s="13"/>
      <c r="B460" s="14"/>
      <c r="C460" s="15"/>
      <c r="D460" s="11" t="str">
        <f t="shared" si="146"/>
        <v>灵明光子</v>
      </c>
      <c r="E460" s="15"/>
      <c r="F460" s="16"/>
      <c r="G460" s="15"/>
      <c r="H460" s="15"/>
      <c r="I460" s="15"/>
      <c r="J460" s="15"/>
      <c r="K460" s="11" t="str">
        <f t="shared" si="147"/>
        <v>运营中</v>
      </c>
      <c r="L460" s="15"/>
      <c r="M460" s="15"/>
      <c r="N460" s="15"/>
      <c r="O460" s="15"/>
      <c r="P460" s="17">
        <v>44006</v>
      </c>
      <c r="Q460" s="15" t="s">
        <v>222</v>
      </c>
      <c r="R460" s="15" t="s">
        <v>217</v>
      </c>
      <c r="S460" s="15" t="s">
        <v>1755</v>
      </c>
      <c r="T460" s="15"/>
      <c r="U460" s="15"/>
      <c r="V460" s="15"/>
      <c r="W460" s="15"/>
      <c r="X460" s="15"/>
      <c r="Y460" s="15"/>
    </row>
    <row r="461" s="11" customFormat="1" hidden="1" customHeight="1" spans="1:25">
      <c r="A461" s="13"/>
      <c r="B461" s="14"/>
      <c r="C461" s="15"/>
      <c r="D461" s="11" t="str">
        <f t="shared" si="146"/>
        <v>灵明光子</v>
      </c>
      <c r="E461" s="15"/>
      <c r="F461" s="16"/>
      <c r="G461" s="15"/>
      <c r="H461" s="15"/>
      <c r="I461" s="15"/>
      <c r="J461" s="15"/>
      <c r="K461" s="11" t="str">
        <f t="shared" si="147"/>
        <v>运营中</v>
      </c>
      <c r="L461" s="15"/>
      <c r="M461" s="15"/>
      <c r="N461" s="15"/>
      <c r="O461" s="15"/>
      <c r="P461" s="17">
        <v>43734</v>
      </c>
      <c r="Q461" s="15" t="s">
        <v>393</v>
      </c>
      <c r="R461" s="15" t="s">
        <v>217</v>
      </c>
      <c r="S461" s="15" t="s">
        <v>1756</v>
      </c>
      <c r="T461" s="15"/>
      <c r="U461" s="15"/>
      <c r="V461" s="15"/>
      <c r="W461" s="15"/>
      <c r="X461" s="15"/>
      <c r="Y461" s="15"/>
    </row>
    <row r="462" s="11" customFormat="1" hidden="1" customHeight="1" spans="1:25">
      <c r="A462" s="13"/>
      <c r="B462" s="14"/>
      <c r="C462" s="15"/>
      <c r="D462" s="11" t="str">
        <f t="shared" si="146"/>
        <v>灵明光子</v>
      </c>
      <c r="E462" s="15"/>
      <c r="F462" s="16"/>
      <c r="G462" s="15"/>
      <c r="H462" s="15"/>
      <c r="I462" s="15"/>
      <c r="J462" s="15"/>
      <c r="K462" s="11" t="str">
        <f t="shared" si="147"/>
        <v>运营中</v>
      </c>
      <c r="L462" s="15"/>
      <c r="M462" s="15"/>
      <c r="N462" s="15"/>
      <c r="O462" s="15"/>
      <c r="P462" s="17">
        <v>43250</v>
      </c>
      <c r="Q462" s="15" t="s">
        <v>196</v>
      </c>
      <c r="R462" s="15" t="s">
        <v>189</v>
      </c>
      <c r="S462" s="15" t="s">
        <v>1757</v>
      </c>
      <c r="T462" s="15"/>
      <c r="U462" s="15"/>
      <c r="V462" s="15"/>
      <c r="W462" s="15"/>
      <c r="X462" s="15"/>
      <c r="Y462" s="15"/>
    </row>
    <row r="463" s="11" customFormat="1" hidden="1" customHeight="1" spans="1:25">
      <c r="A463" s="13"/>
      <c r="B463" s="14"/>
      <c r="C463" s="15" t="s">
        <v>1758</v>
      </c>
      <c r="D463" s="11" t="s">
        <v>1759</v>
      </c>
      <c r="E463" s="15" t="s">
        <v>1759</v>
      </c>
      <c r="F463" s="16" t="s">
        <v>1760</v>
      </c>
      <c r="G463" s="15" t="s">
        <v>1761</v>
      </c>
      <c r="H463" s="15" t="s">
        <v>1762</v>
      </c>
      <c r="I463" s="15" t="s">
        <v>1763</v>
      </c>
      <c r="J463" s="15" t="s">
        <v>836</v>
      </c>
      <c r="K463" s="11" t="s">
        <v>185</v>
      </c>
      <c r="L463" s="15" t="s">
        <v>185</v>
      </c>
      <c r="M463" s="15" t="s">
        <v>356</v>
      </c>
      <c r="N463" s="15" t="s">
        <v>929</v>
      </c>
      <c r="O463" s="15"/>
      <c r="P463" s="17">
        <v>44224</v>
      </c>
      <c r="Q463" s="15" t="s">
        <v>393</v>
      </c>
      <c r="R463" s="15" t="s">
        <v>189</v>
      </c>
      <c r="S463" s="15" t="s">
        <v>1764</v>
      </c>
      <c r="T463" s="15" t="s">
        <v>1765</v>
      </c>
      <c r="U463" s="15" t="s">
        <v>191</v>
      </c>
      <c r="V463" s="15"/>
      <c r="W463" s="15" t="s">
        <v>1766</v>
      </c>
      <c r="X463" s="15"/>
      <c r="Y463" s="15"/>
    </row>
    <row r="464" s="3" customFormat="1" ht="85.5" customHeight="1" spans="1:25">
      <c r="A464" s="1"/>
      <c r="B464" s="7"/>
      <c r="C464" s="8"/>
      <c r="D464" s="11" t="str">
        <f>D463</f>
        <v>古茗茶饮</v>
      </c>
      <c r="E464" s="8"/>
      <c r="F464" s="9"/>
      <c r="G464" s="15"/>
      <c r="H464" s="15"/>
      <c r="I464" s="8"/>
      <c r="J464" s="8"/>
      <c r="K464" s="11" t="str">
        <f>K463</f>
        <v>运营中</v>
      </c>
      <c r="L464" s="8"/>
      <c r="M464" s="8"/>
      <c r="N464" s="8"/>
      <c r="O464" s="8"/>
      <c r="P464" s="10">
        <v>44019</v>
      </c>
      <c r="Q464" s="8" t="s">
        <v>280</v>
      </c>
      <c r="R464" s="8" t="s">
        <v>281</v>
      </c>
      <c r="S464" s="8" t="s">
        <v>1767</v>
      </c>
      <c r="T464" s="8"/>
      <c r="U464" s="8"/>
      <c r="V464" s="9"/>
      <c r="W464" s="15"/>
      <c r="X464" s="15"/>
      <c r="Y464" s="15"/>
    </row>
    <row r="465" s="11" customFormat="1" hidden="1" customHeight="1" spans="1:25">
      <c r="A465" s="13"/>
      <c r="B465" s="14"/>
      <c r="C465" s="15" t="s">
        <v>1768</v>
      </c>
      <c r="D465" s="11" t="s">
        <v>1769</v>
      </c>
      <c r="E465" s="15" t="s">
        <v>1769</v>
      </c>
      <c r="F465" s="16" t="s">
        <v>1770</v>
      </c>
      <c r="G465" s="15" t="s">
        <v>1771</v>
      </c>
      <c r="H465" s="15" t="s">
        <v>1772</v>
      </c>
      <c r="I465" s="15" t="s">
        <v>1144</v>
      </c>
      <c r="J465" s="15" t="s">
        <v>1198</v>
      </c>
      <c r="K465" s="11" t="s">
        <v>185</v>
      </c>
      <c r="L465" s="15" t="s">
        <v>185</v>
      </c>
      <c r="M465" s="15" t="s">
        <v>356</v>
      </c>
      <c r="N465" s="15" t="s">
        <v>1773</v>
      </c>
      <c r="O465" s="15"/>
      <c r="P465" s="17">
        <v>44784</v>
      </c>
      <c r="Q465" s="15" t="s">
        <v>334</v>
      </c>
      <c r="R465" s="15" t="s">
        <v>217</v>
      </c>
      <c r="S465" s="15" t="s">
        <v>1740</v>
      </c>
      <c r="T465" s="15" t="s">
        <v>1774</v>
      </c>
      <c r="U465" s="15" t="s">
        <v>1775</v>
      </c>
      <c r="V465" s="15" t="s">
        <v>1776</v>
      </c>
      <c r="W465" s="15" t="s">
        <v>1777</v>
      </c>
      <c r="X465" s="15"/>
      <c r="Y465" s="15"/>
    </row>
    <row r="466" s="3" customFormat="1" ht="85.5" customHeight="1" spans="1:25">
      <c r="A466" s="1"/>
      <c r="B466" s="7"/>
      <c r="C466" s="8"/>
      <c r="D466" s="11" t="str">
        <f t="shared" ref="D466:D468" si="148">D465</f>
        <v>怒喵科技Angry Miao</v>
      </c>
      <c r="E466" s="8"/>
      <c r="F466" s="9"/>
      <c r="G466" s="15"/>
      <c r="H466" s="15"/>
      <c r="I466" s="8"/>
      <c r="J466" s="8"/>
      <c r="K466" s="11" t="str">
        <f t="shared" ref="K466:K468" si="149">K465</f>
        <v>运营中</v>
      </c>
      <c r="L466" s="8"/>
      <c r="M466" s="8"/>
      <c r="N466" s="8"/>
      <c r="O466" s="8"/>
      <c r="P466" s="10">
        <v>44503</v>
      </c>
      <c r="Q466" s="8" t="s">
        <v>1167</v>
      </c>
      <c r="R466" s="8" t="s">
        <v>1778</v>
      </c>
      <c r="S466" s="8" t="s">
        <v>1645</v>
      </c>
      <c r="T466" s="8"/>
      <c r="U466" s="8"/>
      <c r="V466" s="9"/>
      <c r="W466" s="15"/>
      <c r="X466" s="15"/>
      <c r="Y466" s="15"/>
    </row>
    <row r="467" s="11" customFormat="1" hidden="1" customHeight="1" spans="1:25">
      <c r="A467" s="13"/>
      <c r="B467" s="14"/>
      <c r="C467" s="15"/>
      <c r="D467" s="11" t="str">
        <f t="shared" si="148"/>
        <v>怒喵科技Angry Miao</v>
      </c>
      <c r="E467" s="15"/>
      <c r="F467" s="16"/>
      <c r="G467" s="15"/>
      <c r="H467" s="15"/>
      <c r="I467" s="15"/>
      <c r="J467" s="15"/>
      <c r="K467" s="11" t="str">
        <f t="shared" si="149"/>
        <v>运营中</v>
      </c>
      <c r="L467" s="15"/>
      <c r="M467" s="15"/>
      <c r="N467" s="15"/>
      <c r="O467" s="15"/>
      <c r="P467" s="17">
        <v>44049</v>
      </c>
      <c r="Q467" s="15" t="s">
        <v>393</v>
      </c>
      <c r="R467" s="15" t="s">
        <v>189</v>
      </c>
      <c r="S467" s="15" t="s">
        <v>493</v>
      </c>
      <c r="T467" s="15"/>
      <c r="U467" s="15"/>
      <c r="V467" s="15"/>
      <c r="W467" s="15"/>
      <c r="X467" s="15"/>
      <c r="Y467" s="15"/>
    </row>
    <row r="468" s="11" customFormat="1" hidden="1" customHeight="1" spans="1:25">
      <c r="A468" s="13"/>
      <c r="B468" s="14"/>
      <c r="C468" s="15"/>
      <c r="D468" s="11" t="str">
        <f t="shared" si="148"/>
        <v>怒喵科技Angry Miao</v>
      </c>
      <c r="E468" s="15"/>
      <c r="F468" s="16"/>
      <c r="G468" s="15"/>
      <c r="H468" s="15"/>
      <c r="I468" s="15"/>
      <c r="J468" s="15"/>
      <c r="K468" s="11" t="str">
        <f t="shared" si="149"/>
        <v>运营中</v>
      </c>
      <c r="L468" s="15"/>
      <c r="M468" s="15"/>
      <c r="N468" s="15"/>
      <c r="O468" s="15"/>
      <c r="P468" s="17">
        <v>43767</v>
      </c>
      <c r="Q468" s="15" t="s">
        <v>196</v>
      </c>
      <c r="R468" s="15" t="s">
        <v>217</v>
      </c>
      <c r="S468" s="15" t="s">
        <v>1779</v>
      </c>
      <c r="T468" s="15"/>
      <c r="U468" s="15"/>
      <c r="V468" s="15"/>
      <c r="W468" s="15"/>
      <c r="X468" s="15"/>
      <c r="Y468" s="15"/>
    </row>
    <row r="469" s="3" customFormat="1" ht="85.5" customHeight="1" spans="1:25">
      <c r="A469" s="1"/>
      <c r="B469" s="7"/>
      <c r="C469" s="8" t="s">
        <v>1780</v>
      </c>
      <c r="D469" s="11" t="s">
        <v>1781</v>
      </c>
      <c r="E469" s="8" t="s">
        <v>1782</v>
      </c>
      <c r="F469" s="9" t="s">
        <v>1783</v>
      </c>
      <c r="G469" s="15" t="s">
        <v>1784</v>
      </c>
      <c r="H469" s="15"/>
      <c r="I469" s="8" t="s">
        <v>1144</v>
      </c>
      <c r="J469" s="8" t="s">
        <v>952</v>
      </c>
      <c r="K469" s="11" t="s">
        <v>185</v>
      </c>
      <c r="L469" s="8" t="s">
        <v>278</v>
      </c>
      <c r="M469" s="8" t="s">
        <v>19</v>
      </c>
      <c r="N469" s="8" t="s">
        <v>891</v>
      </c>
      <c r="O469" s="8"/>
      <c r="P469" s="10">
        <v>45107</v>
      </c>
      <c r="Q469" s="8" t="s">
        <v>425</v>
      </c>
      <c r="R469" s="8" t="s">
        <v>1181</v>
      </c>
      <c r="S469" s="8" t="s">
        <v>1785</v>
      </c>
      <c r="T469" s="8" t="s">
        <v>1786</v>
      </c>
      <c r="U469" s="8" t="s">
        <v>1787</v>
      </c>
      <c r="V469" s="9"/>
      <c r="W469" s="15" t="s">
        <v>1788</v>
      </c>
      <c r="X469" s="15" t="s">
        <v>1789</v>
      </c>
      <c r="Y469" s="15" t="s">
        <v>1790</v>
      </c>
    </row>
    <row r="470" s="3" customFormat="1" ht="85.5" customHeight="1" spans="1:25">
      <c r="A470" s="1"/>
      <c r="B470" s="7"/>
      <c r="C470" s="8"/>
      <c r="D470" s="11" t="str">
        <f t="shared" ref="D470:D471" si="150">D469</f>
        <v>康诺思腾</v>
      </c>
      <c r="E470" s="8"/>
      <c r="F470" s="9"/>
      <c r="G470" s="15"/>
      <c r="H470" s="15"/>
      <c r="I470" s="8"/>
      <c r="J470" s="8"/>
      <c r="K470" s="11" t="str">
        <f t="shared" ref="K470:K471" si="151">K469</f>
        <v>运营中</v>
      </c>
      <c r="L470" s="8"/>
      <c r="M470" s="8"/>
      <c r="N470" s="8"/>
      <c r="O470" s="8"/>
      <c r="P470" s="10">
        <v>44522</v>
      </c>
      <c r="Q470" s="8" t="s">
        <v>868</v>
      </c>
      <c r="R470" s="8" t="s">
        <v>863</v>
      </c>
      <c r="S470" s="8" t="s">
        <v>1791</v>
      </c>
      <c r="T470" s="8"/>
      <c r="U470" s="8"/>
      <c r="V470" s="9"/>
      <c r="W470" s="15"/>
      <c r="X470" s="15"/>
      <c r="Y470" s="15"/>
    </row>
    <row r="471" s="11" customFormat="1" hidden="1" customHeight="1" spans="1:25">
      <c r="A471" s="13"/>
      <c r="B471" s="14"/>
      <c r="C471" s="15"/>
      <c r="D471" s="11" t="str">
        <f t="shared" si="150"/>
        <v>康诺思腾</v>
      </c>
      <c r="E471" s="15"/>
      <c r="F471" s="16"/>
      <c r="G471" s="15"/>
      <c r="H471" s="15"/>
      <c r="I471" s="15"/>
      <c r="J471" s="15"/>
      <c r="K471" s="11" t="str">
        <f t="shared" si="151"/>
        <v>运营中</v>
      </c>
      <c r="L471" s="15"/>
      <c r="M471" s="15"/>
      <c r="N471" s="15"/>
      <c r="O471" s="15"/>
      <c r="P471" s="17">
        <v>44155</v>
      </c>
      <c r="Q471" s="15" t="s">
        <v>222</v>
      </c>
      <c r="R471" s="15" t="s">
        <v>189</v>
      </c>
      <c r="S471" s="15" t="s">
        <v>1792</v>
      </c>
      <c r="T471" s="15"/>
      <c r="U471" s="15"/>
      <c r="V471" s="15"/>
      <c r="W471" s="15"/>
      <c r="X471" s="15"/>
      <c r="Y471" s="15"/>
    </row>
    <row r="472" s="3" customFormat="1" ht="85.5" customHeight="1" spans="1:25">
      <c r="A472" s="1"/>
      <c r="B472" s="7"/>
      <c r="C472" s="8" t="s">
        <v>1793</v>
      </c>
      <c r="D472" s="11" t="s">
        <v>1794</v>
      </c>
      <c r="E472" s="8" t="s">
        <v>1795</v>
      </c>
      <c r="F472" s="9" t="s">
        <v>1796</v>
      </c>
      <c r="G472" s="15" t="s">
        <v>1797</v>
      </c>
      <c r="H472" s="15"/>
      <c r="I472" s="8" t="s">
        <v>1798</v>
      </c>
      <c r="J472" s="8" t="s">
        <v>277</v>
      </c>
      <c r="K472" s="11" t="s">
        <v>185</v>
      </c>
      <c r="L472" s="8" t="s">
        <v>278</v>
      </c>
      <c r="M472" s="8" t="s">
        <v>62</v>
      </c>
      <c r="N472" s="8" t="s">
        <v>1799</v>
      </c>
      <c r="O472" s="8"/>
      <c r="P472" s="10">
        <v>44501</v>
      </c>
      <c r="Q472" s="8" t="s">
        <v>865</v>
      </c>
      <c r="R472" s="8" t="s">
        <v>866</v>
      </c>
      <c r="S472" s="8" t="s">
        <v>1800</v>
      </c>
      <c r="T472" s="8" t="s">
        <v>1801</v>
      </c>
      <c r="U472" s="8" t="s">
        <v>1802</v>
      </c>
      <c r="V472" s="9" t="s">
        <v>1803</v>
      </c>
      <c r="W472" s="15" t="s">
        <v>1804</v>
      </c>
      <c r="X472" s="15"/>
      <c r="Y472" s="15" t="s">
        <v>1805</v>
      </c>
    </row>
    <row r="473" s="11" customFormat="1" hidden="1" customHeight="1" spans="1:25">
      <c r="A473" s="13"/>
      <c r="B473" s="14"/>
      <c r="C473" s="15"/>
      <c r="D473" s="11" t="str">
        <f t="shared" ref="D473:D475" si="152">D472</f>
        <v>变形积木</v>
      </c>
      <c r="E473" s="15"/>
      <c r="F473" s="16"/>
      <c r="G473" s="15"/>
      <c r="H473" s="15"/>
      <c r="I473" s="15"/>
      <c r="J473" s="15"/>
      <c r="K473" s="11" t="str">
        <f t="shared" ref="K473:K475" si="153">K472</f>
        <v>运营中</v>
      </c>
      <c r="L473" s="15"/>
      <c r="M473" s="15"/>
      <c r="N473" s="15"/>
      <c r="O473" s="15"/>
      <c r="P473" s="17">
        <v>44246</v>
      </c>
      <c r="Q473" s="15" t="s">
        <v>428</v>
      </c>
      <c r="R473" s="15" t="s">
        <v>189</v>
      </c>
      <c r="S473" s="15" t="s">
        <v>1806</v>
      </c>
      <c r="T473" s="15"/>
      <c r="U473" s="15"/>
      <c r="V473" s="15"/>
      <c r="W473" s="15"/>
      <c r="X473" s="15"/>
      <c r="Y473" s="15"/>
    </row>
    <row r="474" s="11" customFormat="1" hidden="1" customHeight="1" spans="1:25">
      <c r="A474" s="13"/>
      <c r="B474" s="14"/>
      <c r="C474" s="15"/>
      <c r="D474" s="11" t="str">
        <f t="shared" si="152"/>
        <v>变形积木</v>
      </c>
      <c r="E474" s="15"/>
      <c r="F474" s="16"/>
      <c r="G474" s="15"/>
      <c r="H474" s="15"/>
      <c r="I474" s="15"/>
      <c r="J474" s="15"/>
      <c r="K474" s="11" t="str">
        <f t="shared" si="153"/>
        <v>运营中</v>
      </c>
      <c r="L474" s="15"/>
      <c r="M474" s="15"/>
      <c r="N474" s="15"/>
      <c r="O474" s="15"/>
      <c r="P474" s="17">
        <v>44183</v>
      </c>
      <c r="Q474" s="15" t="s">
        <v>219</v>
      </c>
      <c r="R474" s="15" t="s">
        <v>434</v>
      </c>
      <c r="S474" s="15" t="s">
        <v>1807</v>
      </c>
      <c r="T474" s="15"/>
      <c r="U474" s="15"/>
      <c r="V474" s="15"/>
      <c r="W474" s="15"/>
      <c r="X474" s="15"/>
      <c r="Y474" s="15"/>
    </row>
    <row r="475" s="11" customFormat="1" hidden="1" customHeight="1" spans="1:25">
      <c r="A475" s="13"/>
      <c r="B475" s="14"/>
      <c r="C475" s="15"/>
      <c r="D475" s="11" t="str">
        <f t="shared" si="152"/>
        <v>变形积木</v>
      </c>
      <c r="E475" s="15"/>
      <c r="F475" s="16"/>
      <c r="G475" s="15"/>
      <c r="H475" s="15"/>
      <c r="I475" s="15"/>
      <c r="J475" s="15"/>
      <c r="K475" s="11" t="str">
        <f t="shared" si="153"/>
        <v>运营中</v>
      </c>
      <c r="L475" s="15"/>
      <c r="M475" s="15"/>
      <c r="N475" s="15"/>
      <c r="O475" s="15"/>
      <c r="P475" s="17">
        <v>44133</v>
      </c>
      <c r="Q475" s="15" t="s">
        <v>222</v>
      </c>
      <c r="R475" s="15" t="s">
        <v>214</v>
      </c>
      <c r="S475" s="15" t="s">
        <v>1808</v>
      </c>
      <c r="T475" s="15"/>
      <c r="U475" s="15"/>
      <c r="V475" s="15"/>
      <c r="W475" s="15"/>
      <c r="X475" s="15"/>
      <c r="Y475" s="15"/>
    </row>
    <row r="476" s="3" customFormat="1" ht="85.5" customHeight="1" spans="1:25">
      <c r="A476" s="1"/>
      <c r="B476" s="7"/>
      <c r="C476" s="8" t="s">
        <v>1809</v>
      </c>
      <c r="D476" s="11" t="s">
        <v>1810</v>
      </c>
      <c r="E476" s="8" t="s">
        <v>1811</v>
      </c>
      <c r="F476" s="9" t="s">
        <v>1812</v>
      </c>
      <c r="G476" s="15" t="s">
        <v>1813</v>
      </c>
      <c r="H476" s="15" t="s">
        <v>1814</v>
      </c>
      <c r="I476" s="8" t="s">
        <v>1815</v>
      </c>
      <c r="J476" s="8" t="s">
        <v>553</v>
      </c>
      <c r="K476" s="11" t="s">
        <v>185</v>
      </c>
      <c r="L476" s="8" t="s">
        <v>278</v>
      </c>
      <c r="M476" s="8" t="s">
        <v>10</v>
      </c>
      <c r="N476" s="8" t="s">
        <v>279</v>
      </c>
      <c r="O476" s="8"/>
      <c r="P476" s="10">
        <v>44418</v>
      </c>
      <c r="Q476" s="8" t="s">
        <v>1167</v>
      </c>
      <c r="R476" s="8" t="s">
        <v>1816</v>
      </c>
      <c r="S476" s="8" t="s">
        <v>1817</v>
      </c>
      <c r="T476" s="8" t="s">
        <v>1818</v>
      </c>
      <c r="U476" s="8" t="s">
        <v>1819</v>
      </c>
      <c r="V476" s="9"/>
      <c r="W476" s="15" t="s">
        <v>1820</v>
      </c>
      <c r="X476" s="15" t="s">
        <v>1821</v>
      </c>
      <c r="Y476" s="15"/>
    </row>
    <row r="477" s="11" customFormat="1" hidden="1" customHeight="1" spans="1:25">
      <c r="A477" s="13"/>
      <c r="B477" s="14"/>
      <c r="C477" s="15"/>
      <c r="D477" s="11" t="str">
        <f>D476</f>
        <v>熊大爷</v>
      </c>
      <c r="E477" s="15"/>
      <c r="F477" s="16"/>
      <c r="G477" s="15"/>
      <c r="H477" s="15"/>
      <c r="I477" s="15"/>
      <c r="J477" s="15"/>
      <c r="K477" s="11" t="str">
        <f>K476</f>
        <v>运营中</v>
      </c>
      <c r="L477" s="15"/>
      <c r="M477" s="15"/>
      <c r="N477" s="15"/>
      <c r="O477" s="15"/>
      <c r="P477" s="17">
        <v>44224</v>
      </c>
      <c r="Q477" s="15" t="s">
        <v>196</v>
      </c>
      <c r="R477" s="15" t="s">
        <v>197</v>
      </c>
      <c r="S477" s="15" t="s">
        <v>1822</v>
      </c>
      <c r="T477" s="15"/>
      <c r="U477" s="15"/>
      <c r="V477" s="15"/>
      <c r="W477" s="15"/>
      <c r="X477" s="15"/>
      <c r="Y477" s="15"/>
    </row>
    <row r="478" s="3" customFormat="1" ht="85.5" customHeight="1" spans="1:25">
      <c r="A478" s="1"/>
      <c r="B478" s="7"/>
      <c r="C478" s="8" t="s">
        <v>1823</v>
      </c>
      <c r="D478" s="11" t="s">
        <v>1824</v>
      </c>
      <c r="E478" s="8" t="s">
        <v>1825</v>
      </c>
      <c r="F478" s="9" t="s">
        <v>1826</v>
      </c>
      <c r="G478" s="15" t="s">
        <v>1827</v>
      </c>
      <c r="H478" s="15"/>
      <c r="I478" s="8" t="s">
        <v>1068</v>
      </c>
      <c r="J478" s="8" t="s">
        <v>952</v>
      </c>
      <c r="K478" s="11" t="s">
        <v>185</v>
      </c>
      <c r="L478" s="8" t="s">
        <v>278</v>
      </c>
      <c r="M478" s="8" t="s">
        <v>19</v>
      </c>
      <c r="N478" s="8" t="s">
        <v>1828</v>
      </c>
      <c r="O478" s="8"/>
      <c r="P478" s="10">
        <v>44529</v>
      </c>
      <c r="Q478" s="8" t="s">
        <v>868</v>
      </c>
      <c r="R478" s="8" t="s">
        <v>1170</v>
      </c>
      <c r="S478" s="8" t="s">
        <v>1829</v>
      </c>
      <c r="T478" s="8" t="s">
        <v>1830</v>
      </c>
      <c r="U478" s="8" t="s">
        <v>1085</v>
      </c>
      <c r="V478" s="9" t="s">
        <v>1831</v>
      </c>
      <c r="W478" s="15" t="s">
        <v>1832</v>
      </c>
      <c r="X478" s="15" t="s">
        <v>1833</v>
      </c>
      <c r="Y478" s="15" t="s">
        <v>1834</v>
      </c>
    </row>
    <row r="479" s="11" customFormat="1" hidden="1" customHeight="1" spans="1:25">
      <c r="A479" s="13"/>
      <c r="B479" s="14"/>
      <c r="C479" s="15"/>
      <c r="D479" s="11" t="str">
        <f>D478</f>
        <v>长芯盛智连</v>
      </c>
      <c r="E479" s="15"/>
      <c r="F479" s="16"/>
      <c r="G479" s="15"/>
      <c r="H479" s="15"/>
      <c r="I479" s="15"/>
      <c r="J479" s="15"/>
      <c r="K479" s="11" t="str">
        <f>K478</f>
        <v>运营中</v>
      </c>
      <c r="L479" s="15"/>
      <c r="M479" s="15"/>
      <c r="N479" s="15"/>
      <c r="O479" s="15"/>
      <c r="P479" s="17">
        <v>44256</v>
      </c>
      <c r="Q479" s="15" t="s">
        <v>222</v>
      </c>
      <c r="R479" s="15" t="s">
        <v>1356</v>
      </c>
      <c r="S479" s="15" t="s">
        <v>1835</v>
      </c>
      <c r="T479" s="15"/>
      <c r="U479" s="15"/>
      <c r="V479" s="15"/>
      <c r="W479" s="15"/>
      <c r="X479" s="15"/>
      <c r="Y479" s="15"/>
    </row>
    <row r="480" s="3" customFormat="1" ht="85.5" customHeight="1" spans="1:25">
      <c r="A480" s="1"/>
      <c r="B480" s="7"/>
      <c r="C480" s="8" t="s">
        <v>1172</v>
      </c>
      <c r="D480" s="11" t="s">
        <v>1173</v>
      </c>
      <c r="E480" s="8" t="s">
        <v>1174</v>
      </c>
      <c r="F480" s="9" t="s">
        <v>1175</v>
      </c>
      <c r="G480" s="15" t="s">
        <v>1176</v>
      </c>
      <c r="H480" s="15" t="s">
        <v>1177</v>
      </c>
      <c r="I480" s="8" t="s">
        <v>1178</v>
      </c>
      <c r="J480" s="8" t="s">
        <v>890</v>
      </c>
      <c r="K480" s="11" t="s">
        <v>185</v>
      </c>
      <c r="L480" s="8" t="s">
        <v>278</v>
      </c>
      <c r="M480" s="8" t="s">
        <v>19</v>
      </c>
      <c r="N480" s="8" t="s">
        <v>1179</v>
      </c>
      <c r="O480" s="8"/>
      <c r="P480" s="10">
        <v>44578</v>
      </c>
      <c r="Q480" s="8" t="s">
        <v>1180</v>
      </c>
      <c r="R480" s="8" t="s">
        <v>1181</v>
      </c>
      <c r="S480" s="8" t="s">
        <v>1182</v>
      </c>
      <c r="T480" s="8" t="s">
        <v>1183</v>
      </c>
      <c r="U480" s="8" t="s">
        <v>1184</v>
      </c>
      <c r="V480" s="9" t="s">
        <v>1185</v>
      </c>
      <c r="W480" s="15" t="s">
        <v>1186</v>
      </c>
      <c r="X480" s="15" t="s">
        <v>1187</v>
      </c>
      <c r="Y480" s="15" t="s">
        <v>1188</v>
      </c>
    </row>
    <row r="481" s="3" customFormat="1" ht="85.5" customHeight="1" spans="1:25">
      <c r="A481" s="1"/>
      <c r="B481" s="7"/>
      <c r="C481" s="8"/>
      <c r="D481" s="11" t="str">
        <f t="shared" ref="D481:D483" si="154">D480</f>
        <v>爱芯元智</v>
      </c>
      <c r="E481" s="8"/>
      <c r="F481" s="9"/>
      <c r="G481" s="15"/>
      <c r="H481" s="15"/>
      <c r="I481" s="8"/>
      <c r="J481" s="8"/>
      <c r="K481" s="11" t="str">
        <f t="shared" ref="K481:K483" si="155">K480</f>
        <v>运营中</v>
      </c>
      <c r="L481" s="8"/>
      <c r="M481" s="8"/>
      <c r="N481" s="8"/>
      <c r="O481" s="8"/>
      <c r="P481" s="10">
        <v>44414</v>
      </c>
      <c r="Q481" s="8" t="s">
        <v>1180</v>
      </c>
      <c r="R481" s="8" t="s">
        <v>430</v>
      </c>
      <c r="S481" s="8" t="s">
        <v>1189</v>
      </c>
      <c r="T481" s="8"/>
      <c r="U481" s="8"/>
      <c r="V481" s="9"/>
      <c r="W481" s="15"/>
      <c r="X481" s="15"/>
      <c r="Y481" s="15"/>
    </row>
    <row r="482" s="11" customFormat="1" hidden="1" customHeight="1" spans="1:25">
      <c r="A482" s="13"/>
      <c r="B482" s="14"/>
      <c r="C482" s="15"/>
      <c r="D482" s="11" t="str">
        <f t="shared" si="154"/>
        <v>爱芯元智</v>
      </c>
      <c r="E482" s="15"/>
      <c r="F482" s="16"/>
      <c r="G482" s="15"/>
      <c r="H482" s="15"/>
      <c r="I482" s="15"/>
      <c r="J482" s="15"/>
      <c r="K482" s="11" t="str">
        <f t="shared" si="155"/>
        <v>运营中</v>
      </c>
      <c r="L482" s="15"/>
      <c r="M482" s="15"/>
      <c r="N482" s="15"/>
      <c r="O482" s="15"/>
      <c r="P482" s="17">
        <v>44293</v>
      </c>
      <c r="Q482" s="15" t="s">
        <v>222</v>
      </c>
      <c r="R482" s="15" t="s">
        <v>269</v>
      </c>
      <c r="S482" s="15" t="s">
        <v>1190</v>
      </c>
      <c r="T482" s="15"/>
      <c r="U482" s="15"/>
      <c r="V482" s="15"/>
      <c r="W482" s="15"/>
      <c r="X482" s="15"/>
      <c r="Y482" s="15"/>
    </row>
    <row r="483" s="11" customFormat="1" hidden="1" customHeight="1" spans="1:25">
      <c r="A483" s="13"/>
      <c r="B483" s="14"/>
      <c r="C483" s="15"/>
      <c r="D483" s="11" t="str">
        <f t="shared" si="154"/>
        <v>爱芯元智</v>
      </c>
      <c r="E483" s="15"/>
      <c r="F483" s="16"/>
      <c r="G483" s="15"/>
      <c r="H483" s="15"/>
      <c r="I483" s="15"/>
      <c r="J483" s="15"/>
      <c r="K483" s="11" t="str">
        <f t="shared" si="155"/>
        <v>运营中</v>
      </c>
      <c r="L483" s="15"/>
      <c r="M483" s="15"/>
      <c r="N483" s="15"/>
      <c r="O483" s="15"/>
      <c r="P483" s="17">
        <v>44287</v>
      </c>
      <c r="Q483" s="15" t="s">
        <v>393</v>
      </c>
      <c r="R483" s="15" t="s">
        <v>189</v>
      </c>
      <c r="S483" s="15" t="s">
        <v>1191</v>
      </c>
      <c r="T483" s="15"/>
      <c r="U483" s="15"/>
      <c r="V483" s="15"/>
      <c r="W483" s="15"/>
      <c r="X483" s="15"/>
      <c r="Y483" s="15"/>
    </row>
    <row r="484" s="3" customFormat="1" ht="85.5" customHeight="1" spans="1:25">
      <c r="A484" s="1"/>
      <c r="B484" s="7"/>
      <c r="C484" s="8" t="s">
        <v>1836</v>
      </c>
      <c r="D484" s="11" t="s">
        <v>1837</v>
      </c>
      <c r="E484" s="8" t="s">
        <v>1838</v>
      </c>
      <c r="F484" s="9" t="s">
        <v>1839</v>
      </c>
      <c r="G484" s="15" t="s">
        <v>1840</v>
      </c>
      <c r="H484" s="15"/>
      <c r="I484" s="8" t="s">
        <v>1841</v>
      </c>
      <c r="J484" s="8" t="s">
        <v>1842</v>
      </c>
      <c r="K484" s="11" t="s">
        <v>185</v>
      </c>
      <c r="L484" s="8" t="s">
        <v>278</v>
      </c>
      <c r="M484" s="8" t="s">
        <v>23</v>
      </c>
      <c r="N484" s="8" t="s">
        <v>554</v>
      </c>
      <c r="O484" s="8"/>
      <c r="P484" s="10">
        <v>44441</v>
      </c>
      <c r="Q484" s="8" t="s">
        <v>280</v>
      </c>
      <c r="R484" s="8" t="s">
        <v>430</v>
      </c>
      <c r="S484" s="8" t="s">
        <v>1645</v>
      </c>
      <c r="T484" s="8" t="s">
        <v>1843</v>
      </c>
      <c r="U484" s="8" t="s">
        <v>1844</v>
      </c>
      <c r="V484" s="9" t="s">
        <v>1845</v>
      </c>
      <c r="W484" s="15" t="s">
        <v>1846</v>
      </c>
      <c r="X484" s="15"/>
      <c r="Y484" s="15"/>
    </row>
    <row r="485" s="11" customFormat="1" hidden="1" customHeight="1" spans="1:25">
      <c r="A485" s="13"/>
      <c r="B485" s="14"/>
      <c r="C485" s="15"/>
      <c r="D485" s="11" t="str">
        <f t="shared" ref="D485:D487" si="156">D484</f>
        <v>墨茉点心局</v>
      </c>
      <c r="E485" s="15"/>
      <c r="F485" s="16"/>
      <c r="G485" s="15"/>
      <c r="H485" s="15"/>
      <c r="I485" s="15"/>
      <c r="J485" s="15"/>
      <c r="K485" s="11" t="str">
        <f t="shared" ref="K485:K487" si="157">K484</f>
        <v>运营中</v>
      </c>
      <c r="L485" s="15"/>
      <c r="M485" s="15"/>
      <c r="N485" s="15"/>
      <c r="O485" s="15"/>
      <c r="P485" s="17">
        <v>44372</v>
      </c>
      <c r="Q485" s="15" t="s">
        <v>222</v>
      </c>
      <c r="R485" s="15" t="s">
        <v>269</v>
      </c>
      <c r="S485" s="15" t="s">
        <v>1847</v>
      </c>
      <c r="T485" s="15"/>
      <c r="U485" s="15"/>
      <c r="V485" s="15"/>
      <c r="W485" s="15"/>
      <c r="X485" s="15"/>
      <c r="Y485" s="15"/>
    </row>
    <row r="486" s="11" customFormat="1" hidden="1" customHeight="1" spans="1:25">
      <c r="A486" s="13"/>
      <c r="B486" s="14"/>
      <c r="C486" s="15"/>
      <c r="D486" s="11" t="str">
        <f t="shared" si="156"/>
        <v>墨茉点心局</v>
      </c>
      <c r="E486" s="15"/>
      <c r="F486" s="16"/>
      <c r="G486" s="15"/>
      <c r="H486" s="15"/>
      <c r="I486" s="15"/>
      <c r="J486" s="15"/>
      <c r="K486" s="11" t="str">
        <f t="shared" si="157"/>
        <v>运营中</v>
      </c>
      <c r="L486" s="15"/>
      <c r="M486" s="15"/>
      <c r="N486" s="15"/>
      <c r="O486" s="15"/>
      <c r="P486" s="17">
        <v>44294</v>
      </c>
      <c r="Q486" s="15" t="s">
        <v>393</v>
      </c>
      <c r="R486" s="15" t="s">
        <v>217</v>
      </c>
      <c r="S486" s="15" t="s">
        <v>1848</v>
      </c>
      <c r="T486" s="15"/>
      <c r="U486" s="15"/>
      <c r="V486" s="15"/>
      <c r="W486" s="15"/>
      <c r="X486" s="15"/>
      <c r="Y486" s="15"/>
    </row>
    <row r="487" s="11" customFormat="1" hidden="1" customHeight="1" spans="1:25">
      <c r="A487" s="13"/>
      <c r="B487" s="14"/>
      <c r="C487" s="15"/>
      <c r="D487" s="11" t="str">
        <f t="shared" si="156"/>
        <v>墨茉点心局</v>
      </c>
      <c r="E487" s="15"/>
      <c r="F487" s="16"/>
      <c r="G487" s="15"/>
      <c r="H487" s="15"/>
      <c r="I487" s="15"/>
      <c r="J487" s="15"/>
      <c r="K487" s="11" t="str">
        <f t="shared" si="157"/>
        <v>运营中</v>
      </c>
      <c r="L487" s="15"/>
      <c r="M487" s="15"/>
      <c r="N487" s="15"/>
      <c r="O487" s="15"/>
      <c r="P487" s="17">
        <v>44091</v>
      </c>
      <c r="Q487" s="15" t="s">
        <v>196</v>
      </c>
      <c r="R487" s="15" t="s">
        <v>197</v>
      </c>
      <c r="S487" s="15" t="s">
        <v>1849</v>
      </c>
      <c r="T487" s="15"/>
      <c r="U487" s="15"/>
      <c r="V487" s="15"/>
      <c r="W487" s="15"/>
      <c r="X487" s="15"/>
      <c r="Y487" s="15"/>
    </row>
    <row r="488" s="3" customFormat="1" ht="85.5" customHeight="1" spans="1:25">
      <c r="A488" s="1"/>
      <c r="B488" s="7"/>
      <c r="C488" s="8" t="s">
        <v>1850</v>
      </c>
      <c r="D488" s="11" t="s">
        <v>1851</v>
      </c>
      <c r="E488" s="8" t="s">
        <v>1852</v>
      </c>
      <c r="F488" s="9" t="s">
        <v>1853</v>
      </c>
      <c r="G488" s="15" t="s">
        <v>1854</v>
      </c>
      <c r="H488" s="15" t="s">
        <v>1855</v>
      </c>
      <c r="I488" s="8" t="s">
        <v>1856</v>
      </c>
      <c r="J488" s="8" t="s">
        <v>1695</v>
      </c>
      <c r="K488" s="11" t="s">
        <v>185</v>
      </c>
      <c r="L488" s="8" t="s">
        <v>278</v>
      </c>
      <c r="M488" s="8" t="s">
        <v>19</v>
      </c>
      <c r="N488" s="8" t="s">
        <v>891</v>
      </c>
      <c r="O488" s="8"/>
      <c r="P488" s="10">
        <v>44629</v>
      </c>
      <c r="Q488" s="8" t="s">
        <v>868</v>
      </c>
      <c r="R488" s="8" t="s">
        <v>1857</v>
      </c>
      <c r="S488" s="8" t="s">
        <v>1858</v>
      </c>
      <c r="T488" s="8" t="s">
        <v>1859</v>
      </c>
      <c r="U488" s="8" t="s">
        <v>1860</v>
      </c>
      <c r="V488" s="9" t="s">
        <v>1861</v>
      </c>
      <c r="W488" s="15" t="s">
        <v>1862</v>
      </c>
      <c r="X488" s="15" t="s">
        <v>1863</v>
      </c>
      <c r="Y488" s="15" t="s">
        <v>1864</v>
      </c>
    </row>
    <row r="489" s="11" customFormat="1" hidden="1" customHeight="1" spans="1:25">
      <c r="A489" s="13"/>
      <c r="B489" s="14"/>
      <c r="C489" s="15"/>
      <c r="D489" s="11" t="str">
        <f t="shared" ref="D489:D490" si="158">D488</f>
        <v>法奥FAIR</v>
      </c>
      <c r="E489" s="15"/>
      <c r="F489" s="16"/>
      <c r="G489" s="15"/>
      <c r="H489" s="15"/>
      <c r="I489" s="15"/>
      <c r="J489" s="15"/>
      <c r="K489" s="11" t="str">
        <f t="shared" ref="K489:K490" si="159">K488</f>
        <v>运营中</v>
      </c>
      <c r="L489" s="15"/>
      <c r="M489" s="15"/>
      <c r="N489" s="15"/>
      <c r="O489" s="15"/>
      <c r="P489" s="17">
        <v>44372</v>
      </c>
      <c r="Q489" s="15" t="s">
        <v>334</v>
      </c>
      <c r="R489" s="15" t="s">
        <v>1434</v>
      </c>
      <c r="S489" s="15" t="s">
        <v>1865</v>
      </c>
      <c r="T489" s="15"/>
      <c r="U489" s="15"/>
      <c r="V489" s="15"/>
      <c r="W489" s="15"/>
      <c r="X489" s="15"/>
      <c r="Y489" s="15"/>
    </row>
    <row r="490" s="11" customFormat="1" hidden="1" customHeight="1" spans="1:25">
      <c r="A490" s="13"/>
      <c r="B490" s="14"/>
      <c r="C490" s="15"/>
      <c r="D490" s="11" t="str">
        <f t="shared" si="158"/>
        <v>法奥FAIR</v>
      </c>
      <c r="E490" s="15"/>
      <c r="F490" s="16"/>
      <c r="G490" s="15"/>
      <c r="H490" s="15"/>
      <c r="I490" s="15"/>
      <c r="J490" s="15"/>
      <c r="K490" s="11" t="str">
        <f t="shared" si="159"/>
        <v>运营中</v>
      </c>
      <c r="L490" s="15"/>
      <c r="M490" s="15"/>
      <c r="N490" s="15"/>
      <c r="O490" s="15"/>
      <c r="P490" s="17">
        <v>44326</v>
      </c>
      <c r="Q490" s="15" t="s">
        <v>222</v>
      </c>
      <c r="R490" s="15" t="s">
        <v>313</v>
      </c>
      <c r="S490" s="15" t="s">
        <v>370</v>
      </c>
      <c r="T490" s="15"/>
      <c r="U490" s="15"/>
      <c r="V490" s="15"/>
      <c r="W490" s="15"/>
      <c r="X490" s="15"/>
      <c r="Y490" s="15"/>
    </row>
    <row r="491" s="11" customFormat="1" hidden="1" customHeight="1" spans="1:25">
      <c r="A491" s="13"/>
      <c r="B491" s="14"/>
      <c r="C491" s="15" t="s">
        <v>1850</v>
      </c>
      <c r="D491" s="11" t="s">
        <v>1866</v>
      </c>
      <c r="E491" s="15" t="s">
        <v>1866</v>
      </c>
      <c r="F491" s="16" t="s">
        <v>1867</v>
      </c>
      <c r="G491" s="15" t="s">
        <v>1868</v>
      </c>
      <c r="H491" s="15"/>
      <c r="I491" s="15" t="s">
        <v>1869</v>
      </c>
      <c r="J491" s="15" t="s">
        <v>1870</v>
      </c>
      <c r="K491" s="11" t="s">
        <v>185</v>
      </c>
      <c r="L491" s="15" t="s">
        <v>185</v>
      </c>
      <c r="M491" s="15" t="s">
        <v>186</v>
      </c>
      <c r="N491" s="15" t="s">
        <v>187</v>
      </c>
      <c r="O491" s="15"/>
      <c r="P491" s="17">
        <v>44629</v>
      </c>
      <c r="Q491" s="15" t="s">
        <v>222</v>
      </c>
      <c r="R491" s="15" t="s">
        <v>189</v>
      </c>
      <c r="S491" s="15" t="s">
        <v>1871</v>
      </c>
      <c r="T491" s="15" t="s">
        <v>345</v>
      </c>
      <c r="U491" s="15" t="s">
        <v>191</v>
      </c>
      <c r="V491" s="15"/>
      <c r="W491" s="15" t="s">
        <v>1872</v>
      </c>
      <c r="X491" s="15" t="s">
        <v>1873</v>
      </c>
      <c r="Y491" s="15" t="s">
        <v>1874</v>
      </c>
    </row>
    <row r="492" s="3" customFormat="1" ht="85.5" customHeight="1" spans="1:25">
      <c r="A492" s="1"/>
      <c r="B492" s="7"/>
      <c r="C492" s="8"/>
      <c r="D492" s="11" t="str">
        <f>D491</f>
        <v>顾思特汉堡</v>
      </c>
      <c r="E492" s="8"/>
      <c r="F492" s="9"/>
      <c r="G492" s="15"/>
      <c r="H492" s="15"/>
      <c r="I492" s="8"/>
      <c r="J492" s="8"/>
      <c r="K492" s="11" t="str">
        <f>K491</f>
        <v>运营中</v>
      </c>
      <c r="L492" s="8"/>
      <c r="M492" s="8"/>
      <c r="N492" s="8"/>
      <c r="O492" s="8"/>
      <c r="P492" s="10">
        <v>44538</v>
      </c>
      <c r="Q492" s="8" t="s">
        <v>1875</v>
      </c>
      <c r="R492" s="8" t="s">
        <v>1876</v>
      </c>
      <c r="S492" s="8" t="s">
        <v>1877</v>
      </c>
      <c r="T492" s="8"/>
      <c r="U492" s="8"/>
      <c r="V492" s="9"/>
      <c r="W492" s="15"/>
      <c r="X492" s="15"/>
      <c r="Y492" s="15"/>
    </row>
    <row r="493" s="11" customFormat="1" hidden="1" customHeight="1" spans="1:25">
      <c r="A493" s="13"/>
      <c r="B493" s="14"/>
      <c r="C493" s="15" t="s">
        <v>1237</v>
      </c>
      <c r="D493" s="11" t="s">
        <v>1238</v>
      </c>
      <c r="E493" s="15" t="s">
        <v>1238</v>
      </c>
      <c r="F493" s="16" t="s">
        <v>1239</v>
      </c>
      <c r="G493" s="15" t="s">
        <v>1240</v>
      </c>
      <c r="H493" s="15" t="s">
        <v>1241</v>
      </c>
      <c r="I493" s="15" t="s">
        <v>457</v>
      </c>
      <c r="J493" s="15" t="s">
        <v>852</v>
      </c>
      <c r="K493" s="11" t="s">
        <v>185</v>
      </c>
      <c r="L493" s="15" t="s">
        <v>185</v>
      </c>
      <c r="M493" s="15" t="s">
        <v>416</v>
      </c>
      <c r="N493" s="15" t="s">
        <v>1242</v>
      </c>
      <c r="O493" s="15"/>
      <c r="P493" s="17">
        <v>45098</v>
      </c>
      <c r="Q493" s="15" t="s">
        <v>219</v>
      </c>
      <c r="R493" s="15" t="s">
        <v>1243</v>
      </c>
      <c r="S493" s="15" t="s">
        <v>1244</v>
      </c>
      <c r="T493" s="15" t="s">
        <v>1245</v>
      </c>
      <c r="U493" s="15" t="s">
        <v>1246</v>
      </c>
      <c r="V493" s="15" t="s">
        <v>1247</v>
      </c>
      <c r="W493" s="15" t="s">
        <v>1248</v>
      </c>
      <c r="X493" s="15" t="s">
        <v>1249</v>
      </c>
      <c r="Y493" s="15" t="s">
        <v>1250</v>
      </c>
    </row>
    <row r="494" s="3" customFormat="1" ht="85.5" customHeight="1" spans="1:25">
      <c r="A494" s="1"/>
      <c r="B494" s="7"/>
      <c r="C494" s="8"/>
      <c r="D494" s="11" t="str">
        <f t="shared" ref="D494:D497" si="160">D493</f>
        <v>欣旺达动力EVB</v>
      </c>
      <c r="E494" s="8"/>
      <c r="F494" s="9"/>
      <c r="G494" s="15"/>
      <c r="H494" s="15"/>
      <c r="I494" s="8"/>
      <c r="J494" s="8"/>
      <c r="K494" s="11" t="str">
        <f t="shared" ref="K494:K497" si="161">K493</f>
        <v>运营中</v>
      </c>
      <c r="L494" s="8"/>
      <c r="M494" s="8"/>
      <c r="N494" s="8"/>
      <c r="O494" s="8"/>
      <c r="P494" s="10">
        <v>45090</v>
      </c>
      <c r="Q494" s="8" t="s">
        <v>280</v>
      </c>
      <c r="R494" s="8" t="s">
        <v>1251</v>
      </c>
      <c r="S494" s="8" t="s">
        <v>1252</v>
      </c>
      <c r="T494" s="8"/>
      <c r="U494" s="8"/>
      <c r="V494" s="9"/>
      <c r="W494" s="15"/>
      <c r="X494" s="15"/>
      <c r="Y494" s="15"/>
    </row>
    <row r="495" s="3" customFormat="1" ht="85.5" customHeight="1" spans="1:25">
      <c r="A495" s="1"/>
      <c r="B495" s="7"/>
      <c r="C495" s="8"/>
      <c r="D495" s="11" t="str">
        <f t="shared" si="160"/>
        <v>欣旺达动力EVB</v>
      </c>
      <c r="E495" s="8"/>
      <c r="F495" s="9"/>
      <c r="G495" s="15"/>
      <c r="H495" s="15"/>
      <c r="I495" s="8"/>
      <c r="J495" s="8"/>
      <c r="K495" s="11" t="str">
        <f t="shared" si="161"/>
        <v>运营中</v>
      </c>
      <c r="L495" s="8"/>
      <c r="M495" s="8"/>
      <c r="N495" s="8"/>
      <c r="O495" s="8"/>
      <c r="P495" s="10">
        <v>44798</v>
      </c>
      <c r="Q495" s="8" t="s">
        <v>1167</v>
      </c>
      <c r="R495" s="8" t="s">
        <v>1253</v>
      </c>
      <c r="S495" s="8" t="s">
        <v>1254</v>
      </c>
      <c r="T495" s="8"/>
      <c r="U495" s="8"/>
      <c r="V495" s="9"/>
      <c r="W495" s="15"/>
      <c r="X495" s="15"/>
      <c r="Y495" s="15"/>
    </row>
    <row r="496" s="11" customFormat="1" hidden="1" customHeight="1" spans="1:25">
      <c r="A496" s="13"/>
      <c r="B496" s="14"/>
      <c r="C496" s="15"/>
      <c r="D496" s="11" t="str">
        <f t="shared" si="160"/>
        <v>欣旺达动力EVB</v>
      </c>
      <c r="E496" s="15"/>
      <c r="F496" s="16"/>
      <c r="G496" s="15"/>
      <c r="H496" s="15"/>
      <c r="I496" s="15"/>
      <c r="J496" s="15"/>
      <c r="K496" s="11" t="str">
        <f t="shared" si="161"/>
        <v>运营中</v>
      </c>
      <c r="L496" s="15"/>
      <c r="M496" s="15"/>
      <c r="N496" s="15"/>
      <c r="O496" s="15"/>
      <c r="P496" s="17">
        <v>44721</v>
      </c>
      <c r="Q496" s="15" t="s">
        <v>207</v>
      </c>
      <c r="R496" s="15" t="s">
        <v>269</v>
      </c>
      <c r="S496" s="15" t="s">
        <v>1255</v>
      </c>
      <c r="T496" s="15"/>
      <c r="U496" s="15"/>
      <c r="V496" s="15"/>
      <c r="W496" s="15"/>
      <c r="X496" s="15"/>
      <c r="Y496" s="15"/>
    </row>
    <row r="497" s="11" customFormat="1" hidden="1" customHeight="1" spans="1:25">
      <c r="A497" s="13"/>
      <c r="B497" s="14"/>
      <c r="C497" s="15"/>
      <c r="D497" s="11" t="str">
        <f t="shared" si="160"/>
        <v>欣旺达动力EVB</v>
      </c>
      <c r="E497" s="15"/>
      <c r="F497" s="16"/>
      <c r="G497" s="15"/>
      <c r="H497" s="15"/>
      <c r="I497" s="15"/>
      <c r="J497" s="15"/>
      <c r="K497" s="11" t="str">
        <f t="shared" si="161"/>
        <v>运营中</v>
      </c>
      <c r="L497" s="15"/>
      <c r="M497" s="15"/>
      <c r="N497" s="15"/>
      <c r="O497" s="15"/>
      <c r="P497" s="17">
        <v>44620</v>
      </c>
      <c r="Q497" s="15" t="s">
        <v>207</v>
      </c>
      <c r="R497" s="15" t="s">
        <v>1256</v>
      </c>
      <c r="S497" s="15" t="s">
        <v>1257</v>
      </c>
      <c r="T497" s="15"/>
      <c r="U497" s="15"/>
      <c r="V497" s="15"/>
      <c r="W497" s="15"/>
      <c r="X497" s="15"/>
      <c r="Y497" s="15"/>
    </row>
    <row r="498" s="3" customFormat="1" ht="85.5" customHeight="1" spans="1:25">
      <c r="A498" s="1"/>
      <c r="B498" s="7"/>
      <c r="C498" s="8" t="s">
        <v>1878</v>
      </c>
      <c r="D498" s="11" t="s">
        <v>1879</v>
      </c>
      <c r="E498" s="8" t="s">
        <v>1880</v>
      </c>
      <c r="F498" s="9" t="s">
        <v>1881</v>
      </c>
      <c r="G498" s="15" t="s">
        <v>1882</v>
      </c>
      <c r="H498" s="15" t="s">
        <v>1883</v>
      </c>
      <c r="I498" s="8" t="s">
        <v>1884</v>
      </c>
      <c r="J498" s="8" t="s">
        <v>890</v>
      </c>
      <c r="K498" s="11" t="s">
        <v>185</v>
      </c>
      <c r="L498" s="8" t="s">
        <v>278</v>
      </c>
      <c r="M498" s="8" t="s">
        <v>19</v>
      </c>
      <c r="N498" s="8" t="s">
        <v>1179</v>
      </c>
      <c r="O498" s="8"/>
      <c r="P498" s="10">
        <v>44754</v>
      </c>
      <c r="Q498" s="8" t="s">
        <v>1167</v>
      </c>
      <c r="R498" s="8" t="s">
        <v>281</v>
      </c>
      <c r="S498" s="8" t="s">
        <v>1885</v>
      </c>
      <c r="T498" s="8" t="s">
        <v>1886</v>
      </c>
      <c r="U498" s="8" t="s">
        <v>1802</v>
      </c>
      <c r="V498" s="9" t="s">
        <v>1887</v>
      </c>
      <c r="W498" s="15" t="s">
        <v>1888</v>
      </c>
      <c r="X498" s="15" t="s">
        <v>1889</v>
      </c>
      <c r="Y498" s="15" t="s">
        <v>1890</v>
      </c>
    </row>
    <row r="499" s="11" customFormat="1" hidden="1" customHeight="1" spans="1:25">
      <c r="A499" s="13"/>
      <c r="B499" s="14"/>
      <c r="C499" s="15"/>
      <c r="D499" s="11" t="str">
        <f t="shared" ref="D499:D500" si="162">D498</f>
        <v>芯格诺微电子</v>
      </c>
      <c r="E499" s="15"/>
      <c r="F499" s="16"/>
      <c r="G499" s="15"/>
      <c r="H499" s="15"/>
      <c r="I499" s="15"/>
      <c r="J499" s="15"/>
      <c r="K499" s="11" t="str">
        <f t="shared" ref="K499:K500" si="163">K498</f>
        <v>运营中</v>
      </c>
      <c r="L499" s="15"/>
      <c r="M499" s="15"/>
      <c r="N499" s="15"/>
      <c r="O499" s="15"/>
      <c r="P499" s="17">
        <v>44651</v>
      </c>
      <c r="Q499" s="15" t="s">
        <v>207</v>
      </c>
      <c r="R499" s="15" t="s">
        <v>217</v>
      </c>
      <c r="S499" s="15" t="s">
        <v>1891</v>
      </c>
      <c r="T499" s="15"/>
      <c r="U499" s="15"/>
      <c r="V499" s="15"/>
      <c r="W499" s="15"/>
      <c r="X499" s="15"/>
      <c r="Y499" s="15"/>
    </row>
    <row r="500" s="3" customFormat="1" ht="85.5" customHeight="1" spans="1:25">
      <c r="A500" s="1"/>
      <c r="B500" s="7"/>
      <c r="C500" s="8"/>
      <c r="D500" s="11" t="str">
        <f t="shared" si="162"/>
        <v>芯格诺微电子</v>
      </c>
      <c r="E500" s="8"/>
      <c r="F500" s="9"/>
      <c r="G500" s="15"/>
      <c r="H500" s="15"/>
      <c r="I500" s="8"/>
      <c r="J500" s="8"/>
      <c r="K500" s="11" t="str">
        <f t="shared" si="163"/>
        <v>运营中</v>
      </c>
      <c r="L500" s="8"/>
      <c r="M500" s="8"/>
      <c r="N500" s="8"/>
      <c r="O500" s="8"/>
      <c r="P500" s="10">
        <v>44364</v>
      </c>
      <c r="Q500" s="8" t="s">
        <v>1875</v>
      </c>
      <c r="R500" s="8" t="s">
        <v>1816</v>
      </c>
      <c r="S500" s="8" t="s">
        <v>1892</v>
      </c>
      <c r="T500" s="8"/>
      <c r="U500" s="8"/>
      <c r="V500" s="9"/>
      <c r="W500" s="15"/>
      <c r="X500" s="15"/>
      <c r="Y500" s="15"/>
    </row>
    <row r="501" s="3" customFormat="1" ht="85.5" customHeight="1" spans="1:25">
      <c r="A501" s="1"/>
      <c r="B501" s="7"/>
      <c r="C501" s="8" t="s">
        <v>1893</v>
      </c>
      <c r="D501" s="15" t="s">
        <v>1894</v>
      </c>
      <c r="E501" s="8" t="s">
        <v>1895</v>
      </c>
      <c r="F501" s="9" t="s">
        <v>1896</v>
      </c>
      <c r="G501" s="15" t="s">
        <v>1897</v>
      </c>
      <c r="H501" s="15" t="s">
        <v>1898</v>
      </c>
      <c r="I501" s="8" t="s">
        <v>1128</v>
      </c>
      <c r="J501" s="8" t="s">
        <v>890</v>
      </c>
      <c r="K501" s="15" t="s">
        <v>185</v>
      </c>
      <c r="L501" s="8" t="s">
        <v>278</v>
      </c>
      <c r="M501" s="8" t="s">
        <v>19</v>
      </c>
      <c r="N501" s="8" t="s">
        <v>1899</v>
      </c>
      <c r="O501" s="8"/>
      <c r="P501" s="10">
        <v>44888</v>
      </c>
      <c r="Q501" s="8" t="s">
        <v>1875</v>
      </c>
      <c r="R501" s="8" t="s">
        <v>1857</v>
      </c>
      <c r="S501" s="8" t="s">
        <v>1900</v>
      </c>
      <c r="T501" s="8" t="s">
        <v>1901</v>
      </c>
      <c r="U501" s="8" t="s">
        <v>1902</v>
      </c>
      <c r="V501" s="9" t="s">
        <v>1903</v>
      </c>
      <c r="W501" s="15" t="s">
        <v>1904</v>
      </c>
      <c r="X501" s="15" t="s">
        <v>1905</v>
      </c>
      <c r="Y501" s="15" t="s">
        <v>1906</v>
      </c>
    </row>
    <row r="502" s="3" customFormat="1" ht="85.5" customHeight="1" spans="1:25">
      <c r="A502" s="1"/>
      <c r="B502" s="7"/>
      <c r="C502" s="8" t="s">
        <v>1907</v>
      </c>
      <c r="D502" s="15" t="s">
        <v>1908</v>
      </c>
      <c r="E502" s="8" t="s">
        <v>1909</v>
      </c>
      <c r="F502" s="9" t="s">
        <v>1910</v>
      </c>
      <c r="G502" s="15" t="s">
        <v>1911</v>
      </c>
      <c r="H502" s="15"/>
      <c r="I502" s="8" t="s">
        <v>820</v>
      </c>
      <c r="J502" s="8" t="s">
        <v>1912</v>
      </c>
      <c r="K502" s="15" t="s">
        <v>185</v>
      </c>
      <c r="L502" s="8" t="s">
        <v>278</v>
      </c>
      <c r="M502" s="8" t="s">
        <v>23</v>
      </c>
      <c r="N502" s="8" t="s">
        <v>554</v>
      </c>
      <c r="O502" s="8"/>
      <c r="P502" s="10">
        <v>44819</v>
      </c>
      <c r="Q502" s="8" t="s">
        <v>1167</v>
      </c>
      <c r="R502" s="8" t="s">
        <v>1060</v>
      </c>
      <c r="S502" s="8" t="s">
        <v>1913</v>
      </c>
      <c r="T502" s="8" t="s">
        <v>1830</v>
      </c>
      <c r="U502" s="8" t="s">
        <v>1681</v>
      </c>
      <c r="V502" s="9" t="s">
        <v>1914</v>
      </c>
      <c r="W502" s="15" t="s">
        <v>1915</v>
      </c>
      <c r="X502" s="15" t="s">
        <v>1916</v>
      </c>
      <c r="Y502" s="15" t="s">
        <v>1917</v>
      </c>
    </row>
    <row r="503" s="11" customFormat="1" hidden="1" customHeight="1" spans="1:25">
      <c r="A503" s="13"/>
      <c r="B503" s="14" t="s">
        <v>752</v>
      </c>
      <c r="C503" s="15" t="s">
        <v>1918</v>
      </c>
      <c r="D503" s="11" t="s">
        <v>1919</v>
      </c>
      <c r="E503" s="15" t="s">
        <v>1919</v>
      </c>
      <c r="F503" s="16" t="s">
        <v>1920</v>
      </c>
      <c r="G503" s="15" t="s">
        <v>1921</v>
      </c>
      <c r="H503" s="15" t="s">
        <v>1922</v>
      </c>
      <c r="I503" s="15" t="s">
        <v>1923</v>
      </c>
      <c r="J503" s="15" t="s">
        <v>1924</v>
      </c>
      <c r="K503" s="11" t="s">
        <v>185</v>
      </c>
      <c r="L503" s="15" t="s">
        <v>185</v>
      </c>
      <c r="M503" s="15" t="s">
        <v>515</v>
      </c>
      <c r="N503" s="15" t="s">
        <v>651</v>
      </c>
      <c r="O503" s="15"/>
      <c r="P503" s="17">
        <v>42849</v>
      </c>
      <c r="Q503" s="15" t="s">
        <v>222</v>
      </c>
      <c r="R503" s="15" t="s">
        <v>434</v>
      </c>
      <c r="S503" s="15" t="s">
        <v>752</v>
      </c>
      <c r="T503" s="15" t="s">
        <v>1925</v>
      </c>
      <c r="U503" s="15" t="s">
        <v>1040</v>
      </c>
      <c r="V503" s="15" t="s">
        <v>1926</v>
      </c>
      <c r="W503" s="15" t="s">
        <v>1927</v>
      </c>
      <c r="X503" s="15"/>
      <c r="Y503" s="15" t="s">
        <v>1928</v>
      </c>
    </row>
    <row r="504" s="11" customFormat="1" hidden="1" customHeight="1" spans="1:25">
      <c r="A504" s="13"/>
      <c r="B504" s="14"/>
      <c r="C504" s="15"/>
      <c r="D504" s="11" t="str">
        <f>D503</f>
        <v>UniBike由你单车</v>
      </c>
      <c r="E504" s="15"/>
      <c r="F504" s="16"/>
      <c r="G504" s="15"/>
      <c r="H504" s="15"/>
      <c r="I504" s="15"/>
      <c r="J504" s="15"/>
      <c r="K504" s="11" t="str">
        <f>K503</f>
        <v>运营中</v>
      </c>
      <c r="L504" s="15"/>
      <c r="M504" s="15"/>
      <c r="N504" s="15"/>
      <c r="O504" s="15"/>
      <c r="P504" s="17">
        <v>42705</v>
      </c>
      <c r="Q504" s="15" t="s">
        <v>196</v>
      </c>
      <c r="R504" s="15" t="s">
        <v>242</v>
      </c>
      <c r="S504" s="15" t="s">
        <v>752</v>
      </c>
      <c r="T504" s="15"/>
      <c r="U504" s="15"/>
      <c r="V504" s="15"/>
      <c r="W504" s="15"/>
      <c r="X504" s="15"/>
      <c r="Y504" s="15"/>
    </row>
    <row r="505" s="11" customFormat="1" hidden="1" customHeight="1" spans="1:25">
      <c r="A505" s="13"/>
      <c r="B505" s="14"/>
      <c r="C505" s="15" t="s">
        <v>1929</v>
      </c>
      <c r="D505" s="11" t="s">
        <v>1930</v>
      </c>
      <c r="E505" s="15" t="s">
        <v>1930</v>
      </c>
      <c r="F505" s="16" t="s">
        <v>1931</v>
      </c>
      <c r="G505" s="15" t="s">
        <v>1932</v>
      </c>
      <c r="H505" s="15" t="s">
        <v>1933</v>
      </c>
      <c r="I505" s="15" t="s">
        <v>355</v>
      </c>
      <c r="J505" s="15" t="s">
        <v>514</v>
      </c>
      <c r="K505" s="11" t="s">
        <v>185</v>
      </c>
      <c r="L505" s="15" t="s">
        <v>185</v>
      </c>
      <c r="M505" s="15" t="s">
        <v>515</v>
      </c>
      <c r="N505" s="15" t="s">
        <v>651</v>
      </c>
      <c r="O505" s="15"/>
      <c r="P505" s="17">
        <v>43160</v>
      </c>
      <c r="Q505" s="15" t="s">
        <v>222</v>
      </c>
      <c r="R505" s="15" t="s">
        <v>189</v>
      </c>
      <c r="S505" s="15" t="s">
        <v>752</v>
      </c>
      <c r="T505" s="15" t="s">
        <v>1934</v>
      </c>
      <c r="U505" s="15" t="s">
        <v>191</v>
      </c>
      <c r="V505" s="15" t="s">
        <v>1935</v>
      </c>
      <c r="W505" s="15" t="s">
        <v>1936</v>
      </c>
      <c r="X505" s="15" t="s">
        <v>1937</v>
      </c>
      <c r="Y505" s="15" t="s">
        <v>1938</v>
      </c>
    </row>
    <row r="506" s="11" customFormat="1" hidden="1" customHeight="1" spans="1:25">
      <c r="A506" s="13"/>
      <c r="B506" s="14"/>
      <c r="C506" s="15"/>
      <c r="D506" s="11" t="str">
        <f>D505</f>
        <v>展卷科技</v>
      </c>
      <c r="E506" s="15"/>
      <c r="F506" s="16"/>
      <c r="G506" s="15"/>
      <c r="H506" s="15"/>
      <c r="I506" s="15"/>
      <c r="J506" s="15"/>
      <c r="K506" s="11" t="str">
        <f>K505</f>
        <v>运营中</v>
      </c>
      <c r="L506" s="15"/>
      <c r="M506" s="15"/>
      <c r="N506" s="15"/>
      <c r="O506" s="15"/>
      <c r="P506" s="17">
        <v>42752</v>
      </c>
      <c r="Q506" s="15" t="s">
        <v>196</v>
      </c>
      <c r="R506" s="15" t="s">
        <v>242</v>
      </c>
      <c r="S506" s="15" t="s">
        <v>1939</v>
      </c>
      <c r="T506" s="15"/>
      <c r="U506" s="15"/>
      <c r="V506" s="15"/>
      <c r="W506" s="15"/>
      <c r="X506" s="15"/>
      <c r="Y506" s="15"/>
    </row>
    <row r="507" s="11" customFormat="1" hidden="1" customHeight="1" spans="1:25">
      <c r="A507" s="13"/>
      <c r="B507" s="14"/>
      <c r="C507" s="15" t="s">
        <v>1063</v>
      </c>
      <c r="D507" s="11" t="s">
        <v>1064</v>
      </c>
      <c r="E507" s="15" t="s">
        <v>1064</v>
      </c>
      <c r="F507" s="16" t="s">
        <v>1065</v>
      </c>
      <c r="G507" s="15" t="s">
        <v>1066</v>
      </c>
      <c r="H507" s="15" t="s">
        <v>1067</v>
      </c>
      <c r="I507" s="15" t="s">
        <v>1068</v>
      </c>
      <c r="J507" s="15" t="s">
        <v>1037</v>
      </c>
      <c r="K507" s="11" t="s">
        <v>185</v>
      </c>
      <c r="L507" s="15" t="s">
        <v>185</v>
      </c>
      <c r="M507" s="15" t="s">
        <v>515</v>
      </c>
      <c r="N507" s="15" t="s">
        <v>651</v>
      </c>
      <c r="O507" s="15"/>
      <c r="P507" s="17">
        <v>43463</v>
      </c>
      <c r="Q507" s="15" t="s">
        <v>207</v>
      </c>
      <c r="R507" s="15" t="s">
        <v>217</v>
      </c>
      <c r="S507" s="15" t="s">
        <v>1069</v>
      </c>
      <c r="T507" s="15" t="s">
        <v>747</v>
      </c>
      <c r="U507" s="15" t="s">
        <v>1070</v>
      </c>
      <c r="V507" s="15" t="s">
        <v>1071</v>
      </c>
      <c r="W507" s="15" t="s">
        <v>1072</v>
      </c>
      <c r="X507" s="15" t="s">
        <v>1073</v>
      </c>
      <c r="Y507" s="15" t="s">
        <v>1074</v>
      </c>
    </row>
    <row r="508" s="11" customFormat="1" hidden="1" customHeight="1" spans="1:25">
      <c r="A508" s="13"/>
      <c r="B508" s="14"/>
      <c r="C508" s="15"/>
      <c r="D508" s="11" t="str">
        <f>D507</f>
        <v>WKUP单车</v>
      </c>
      <c r="E508" s="15"/>
      <c r="F508" s="16"/>
      <c r="G508" s="15"/>
      <c r="H508" s="15"/>
      <c r="I508" s="15"/>
      <c r="J508" s="15"/>
      <c r="K508" s="11" t="str">
        <f>K507</f>
        <v>运营中</v>
      </c>
      <c r="L508" s="15"/>
      <c r="M508" s="15"/>
      <c r="N508" s="15"/>
      <c r="O508" s="15"/>
      <c r="P508" s="17">
        <v>42159</v>
      </c>
      <c r="Q508" s="15" t="s">
        <v>196</v>
      </c>
      <c r="R508" s="15" t="s">
        <v>197</v>
      </c>
      <c r="S508" s="15" t="s">
        <v>1075</v>
      </c>
      <c r="T508" s="15"/>
      <c r="U508" s="15"/>
      <c r="V508" s="15"/>
      <c r="W508" s="15"/>
      <c r="X508" s="15"/>
      <c r="Y508" s="15"/>
    </row>
  </sheetData>
  <sheetProtection formatCells="0" formatColumns="0" formatRows="0" insertRows="0" insertColumns="0" insertHyperlinks="0" deleteColumns="0" deleteRows="0" sort="0" autoFilter="0" pivotTables="0"/>
  <autoFilter ref="B1:Y508">
    <filterColumn colId="9">
      <customFilters>
        <customFilter operator="equal" val="运营中"/>
      </customFilters>
    </filterColumn>
    <filterColumn colId="13">
      <filters blank="1"/>
    </filterColumn>
    <filterColumn colId="14">
      <filters>
        <dateGroupItem year="2020" dateTimeGrouping="year"/>
        <dateGroupItem year="2021" dateTimeGrouping="year"/>
        <dateGroupItem year="2022" dateTimeGrouping="year"/>
        <dateGroupItem year="2023" dateTimeGrouping="year"/>
      </filters>
    </filterColumn>
    <filterColumn colId="17">
      <customFilters>
        <customFilter operator="equal" val="*美团*"/>
        <customFilter operator="equal" val="*大众点评*"/>
      </customFilters>
    </filterColumn>
    <extLst/>
  </autoFilter>
  <mergeCells count="1668">
    <mergeCell ref="B2:B291"/>
    <mergeCell ref="B292:B373"/>
    <mergeCell ref="B374:B502"/>
    <mergeCell ref="B503:B508"/>
    <mergeCell ref="C2:C3"/>
    <mergeCell ref="C4:C9"/>
    <mergeCell ref="C10:C12"/>
    <mergeCell ref="C13:C19"/>
    <mergeCell ref="C20:C22"/>
    <mergeCell ref="C23:C24"/>
    <mergeCell ref="C25:C28"/>
    <mergeCell ref="C29:C32"/>
    <mergeCell ref="C33:C35"/>
    <mergeCell ref="C36:C41"/>
    <mergeCell ref="C43:C45"/>
    <mergeCell ref="C46:C49"/>
    <mergeCell ref="C50:C58"/>
    <mergeCell ref="C59:C60"/>
    <mergeCell ref="C61:C66"/>
    <mergeCell ref="C67:C75"/>
    <mergeCell ref="C76:C78"/>
    <mergeCell ref="C79:C85"/>
    <mergeCell ref="C86:C87"/>
    <mergeCell ref="C88:C96"/>
    <mergeCell ref="C97:C109"/>
    <mergeCell ref="C110:C119"/>
    <mergeCell ref="C120:C125"/>
    <mergeCell ref="C126:C141"/>
    <mergeCell ref="C142:C150"/>
    <mergeCell ref="C152:C155"/>
    <mergeCell ref="C156:C163"/>
    <mergeCell ref="C164:C165"/>
    <mergeCell ref="C166:C178"/>
    <mergeCell ref="C179:C188"/>
    <mergeCell ref="C190:C193"/>
    <mergeCell ref="C194:C195"/>
    <mergeCell ref="C196:C206"/>
    <mergeCell ref="C208:C214"/>
    <mergeCell ref="C215:C218"/>
    <mergeCell ref="C221:C226"/>
    <mergeCell ref="C227:C228"/>
    <mergeCell ref="C229:C234"/>
    <mergeCell ref="C235:C236"/>
    <mergeCell ref="C237:C239"/>
    <mergeCell ref="C240:C241"/>
    <mergeCell ref="C242:C244"/>
    <mergeCell ref="C245:C246"/>
    <mergeCell ref="C247:C248"/>
    <mergeCell ref="C249:C253"/>
    <mergeCell ref="C254:C256"/>
    <mergeCell ref="C257:C260"/>
    <mergeCell ref="C261:C264"/>
    <mergeCell ref="C265:C267"/>
    <mergeCell ref="C268:C271"/>
    <mergeCell ref="C272:C275"/>
    <mergeCell ref="C276:C279"/>
    <mergeCell ref="C280:C283"/>
    <mergeCell ref="C284:C288"/>
    <mergeCell ref="C289:C291"/>
    <mergeCell ref="C292:C301"/>
    <mergeCell ref="C302:C308"/>
    <mergeCell ref="C309:C319"/>
    <mergeCell ref="C320:C322"/>
    <mergeCell ref="C323:C326"/>
    <mergeCell ref="C327:C329"/>
    <mergeCell ref="C331:C334"/>
    <mergeCell ref="C335:C336"/>
    <mergeCell ref="C337:C338"/>
    <mergeCell ref="C339:C341"/>
    <mergeCell ref="C342:C343"/>
    <mergeCell ref="C344:C348"/>
    <mergeCell ref="C349:C351"/>
    <mergeCell ref="C355:C358"/>
    <mergeCell ref="C359:C361"/>
    <mergeCell ref="C362:C367"/>
    <mergeCell ref="C368:C369"/>
    <mergeCell ref="C370:C372"/>
    <mergeCell ref="C374:C376"/>
    <mergeCell ref="C377:C380"/>
    <mergeCell ref="C381:C389"/>
    <mergeCell ref="C390:C402"/>
    <mergeCell ref="C403:C407"/>
    <mergeCell ref="C408:C414"/>
    <mergeCell ref="C415:C418"/>
    <mergeCell ref="C419:C421"/>
    <mergeCell ref="C422:C426"/>
    <mergeCell ref="C427:C431"/>
    <mergeCell ref="C432:C435"/>
    <mergeCell ref="C436:C438"/>
    <mergeCell ref="C439:C444"/>
    <mergeCell ref="C445:C447"/>
    <mergeCell ref="C450:C455"/>
    <mergeCell ref="C456:C462"/>
    <mergeCell ref="C463:C464"/>
    <mergeCell ref="C465:C468"/>
    <mergeCell ref="C469:C471"/>
    <mergeCell ref="C472:C475"/>
    <mergeCell ref="C476:C477"/>
    <mergeCell ref="C478:C479"/>
    <mergeCell ref="C480:C483"/>
    <mergeCell ref="C484:C487"/>
    <mergeCell ref="C488:C490"/>
    <mergeCell ref="C491:C492"/>
    <mergeCell ref="C493:C497"/>
    <mergeCell ref="C498:C500"/>
    <mergeCell ref="C503:C504"/>
    <mergeCell ref="C505:C506"/>
    <mergeCell ref="C507:C508"/>
    <mergeCell ref="E2:E3"/>
    <mergeCell ref="E4:E9"/>
    <mergeCell ref="E10:E12"/>
    <mergeCell ref="E13:E19"/>
    <mergeCell ref="E20:E22"/>
    <mergeCell ref="E23:E24"/>
    <mergeCell ref="E25:E28"/>
    <mergeCell ref="E29:E32"/>
    <mergeCell ref="E33:E35"/>
    <mergeCell ref="E36:E41"/>
    <mergeCell ref="E43:E45"/>
    <mergeCell ref="E46:E49"/>
    <mergeCell ref="E50:E58"/>
    <mergeCell ref="E59:E60"/>
    <mergeCell ref="E61:E66"/>
    <mergeCell ref="E67:E75"/>
    <mergeCell ref="E76:E78"/>
    <mergeCell ref="E79:E85"/>
    <mergeCell ref="E86:E87"/>
    <mergeCell ref="E88:E96"/>
    <mergeCell ref="E97:E109"/>
    <mergeCell ref="E110:E119"/>
    <mergeCell ref="E120:E125"/>
    <mergeCell ref="E126:E141"/>
    <mergeCell ref="E142:E150"/>
    <mergeCell ref="E152:E155"/>
    <mergeCell ref="E156:E163"/>
    <mergeCell ref="E164:E165"/>
    <mergeCell ref="E166:E178"/>
    <mergeCell ref="E179:E188"/>
    <mergeCell ref="E190:E193"/>
    <mergeCell ref="E194:E195"/>
    <mergeCell ref="E196:E206"/>
    <mergeCell ref="E208:E214"/>
    <mergeCell ref="E215:E218"/>
    <mergeCell ref="E221:E226"/>
    <mergeCell ref="E227:E228"/>
    <mergeCell ref="E229:E234"/>
    <mergeCell ref="E235:E236"/>
    <mergeCell ref="E237:E239"/>
    <mergeCell ref="E240:E241"/>
    <mergeCell ref="E242:E244"/>
    <mergeCell ref="E245:E246"/>
    <mergeCell ref="E247:E248"/>
    <mergeCell ref="E249:E253"/>
    <mergeCell ref="E254:E256"/>
    <mergeCell ref="E257:E260"/>
    <mergeCell ref="E261:E264"/>
    <mergeCell ref="E265:E267"/>
    <mergeCell ref="E268:E271"/>
    <mergeCell ref="E272:E275"/>
    <mergeCell ref="E276:E279"/>
    <mergeCell ref="E280:E283"/>
    <mergeCell ref="E284:E288"/>
    <mergeCell ref="E289:E291"/>
    <mergeCell ref="E292:E301"/>
    <mergeCell ref="E302:E308"/>
    <mergeCell ref="E309:E319"/>
    <mergeCell ref="E320:E322"/>
    <mergeCell ref="E323:E326"/>
    <mergeCell ref="E327:E329"/>
    <mergeCell ref="E331:E334"/>
    <mergeCell ref="E335:E336"/>
    <mergeCell ref="E337:E338"/>
    <mergeCell ref="E339:E341"/>
    <mergeCell ref="E342:E343"/>
    <mergeCell ref="E344:E348"/>
    <mergeCell ref="E349:E351"/>
    <mergeCell ref="E355:E358"/>
    <mergeCell ref="E359:E361"/>
    <mergeCell ref="E362:E367"/>
    <mergeCell ref="E368:E369"/>
    <mergeCell ref="E370:E372"/>
    <mergeCell ref="E374:E376"/>
    <mergeCell ref="E377:E380"/>
    <mergeCell ref="E381:E389"/>
    <mergeCell ref="E390:E402"/>
    <mergeCell ref="E403:E407"/>
    <mergeCell ref="E408:E414"/>
    <mergeCell ref="E415:E418"/>
    <mergeCell ref="E419:E421"/>
    <mergeCell ref="E422:E426"/>
    <mergeCell ref="E427:E431"/>
    <mergeCell ref="E432:E435"/>
    <mergeCell ref="E436:E438"/>
    <mergeCell ref="E439:E444"/>
    <mergeCell ref="E445:E447"/>
    <mergeCell ref="E450:E455"/>
    <mergeCell ref="E456:E462"/>
    <mergeCell ref="E463:E464"/>
    <mergeCell ref="E465:E468"/>
    <mergeCell ref="E469:E471"/>
    <mergeCell ref="E472:E475"/>
    <mergeCell ref="E476:E477"/>
    <mergeCell ref="E478:E479"/>
    <mergeCell ref="E480:E483"/>
    <mergeCell ref="E484:E487"/>
    <mergeCell ref="E488:E490"/>
    <mergeCell ref="E491:E492"/>
    <mergeCell ref="E493:E497"/>
    <mergeCell ref="E498:E500"/>
    <mergeCell ref="E503:E504"/>
    <mergeCell ref="E505:E506"/>
    <mergeCell ref="E507:E508"/>
    <mergeCell ref="F2:F3"/>
    <mergeCell ref="F4:F9"/>
    <mergeCell ref="F10:F12"/>
    <mergeCell ref="F13:F19"/>
    <mergeCell ref="F20:F22"/>
    <mergeCell ref="F23:F24"/>
    <mergeCell ref="F25:F28"/>
    <mergeCell ref="F29:F32"/>
    <mergeCell ref="F33:F35"/>
    <mergeCell ref="F36:F41"/>
    <mergeCell ref="F43:F45"/>
    <mergeCell ref="F46:F49"/>
    <mergeCell ref="F50:F58"/>
    <mergeCell ref="F59:F60"/>
    <mergeCell ref="F61:F66"/>
    <mergeCell ref="F67:F75"/>
    <mergeCell ref="F76:F78"/>
    <mergeCell ref="F79:F85"/>
    <mergeCell ref="F86:F87"/>
    <mergeCell ref="F88:F96"/>
    <mergeCell ref="F97:F109"/>
    <mergeCell ref="F110:F119"/>
    <mergeCell ref="F120:F125"/>
    <mergeCell ref="F126:F141"/>
    <mergeCell ref="F142:F150"/>
    <mergeCell ref="F152:F155"/>
    <mergeCell ref="F156:F163"/>
    <mergeCell ref="F164:F165"/>
    <mergeCell ref="F166:F178"/>
    <mergeCell ref="F179:F188"/>
    <mergeCell ref="F190:F193"/>
    <mergeCell ref="F194:F195"/>
    <mergeCell ref="F196:F206"/>
    <mergeCell ref="F208:F214"/>
    <mergeCell ref="F215:F218"/>
    <mergeCell ref="F221:F226"/>
    <mergeCell ref="F227:F228"/>
    <mergeCell ref="F229:F234"/>
    <mergeCell ref="F235:F236"/>
    <mergeCell ref="F237:F239"/>
    <mergeCell ref="F240:F241"/>
    <mergeCell ref="F242:F244"/>
    <mergeCell ref="F245:F246"/>
    <mergeCell ref="F247:F248"/>
    <mergeCell ref="F249:F253"/>
    <mergeCell ref="F254:F256"/>
    <mergeCell ref="F257:F260"/>
    <mergeCell ref="F261:F264"/>
    <mergeCell ref="F265:F267"/>
    <mergeCell ref="F268:F271"/>
    <mergeCell ref="F272:F275"/>
    <mergeCell ref="F276:F279"/>
    <mergeCell ref="F280:F283"/>
    <mergeCell ref="F284:F288"/>
    <mergeCell ref="F289:F291"/>
    <mergeCell ref="F292:F301"/>
    <mergeCell ref="F302:F308"/>
    <mergeCell ref="F309:F319"/>
    <mergeCell ref="F320:F322"/>
    <mergeCell ref="F323:F326"/>
    <mergeCell ref="F327:F329"/>
    <mergeCell ref="F331:F334"/>
    <mergeCell ref="F335:F336"/>
    <mergeCell ref="F337:F338"/>
    <mergeCell ref="F339:F341"/>
    <mergeCell ref="F342:F343"/>
    <mergeCell ref="F344:F348"/>
    <mergeCell ref="F349:F351"/>
    <mergeCell ref="F355:F358"/>
    <mergeCell ref="F359:F361"/>
    <mergeCell ref="F362:F367"/>
    <mergeCell ref="F368:F369"/>
    <mergeCell ref="F370:F372"/>
    <mergeCell ref="F374:F376"/>
    <mergeCell ref="F377:F380"/>
    <mergeCell ref="F381:F389"/>
    <mergeCell ref="F390:F402"/>
    <mergeCell ref="F403:F407"/>
    <mergeCell ref="F408:F414"/>
    <mergeCell ref="F415:F418"/>
    <mergeCell ref="F419:F421"/>
    <mergeCell ref="F422:F426"/>
    <mergeCell ref="F427:F431"/>
    <mergeCell ref="F432:F435"/>
    <mergeCell ref="F436:F438"/>
    <mergeCell ref="F439:F444"/>
    <mergeCell ref="F445:F447"/>
    <mergeCell ref="F450:F455"/>
    <mergeCell ref="F456:F462"/>
    <mergeCell ref="F463:F464"/>
    <mergeCell ref="F465:F468"/>
    <mergeCell ref="F469:F471"/>
    <mergeCell ref="F472:F475"/>
    <mergeCell ref="F476:F477"/>
    <mergeCell ref="F478:F479"/>
    <mergeCell ref="F480:F483"/>
    <mergeCell ref="F484:F487"/>
    <mergeCell ref="F488:F490"/>
    <mergeCell ref="F491:F492"/>
    <mergeCell ref="F493:F497"/>
    <mergeCell ref="F498:F500"/>
    <mergeCell ref="F503:F504"/>
    <mergeCell ref="F505:F506"/>
    <mergeCell ref="F507:F508"/>
    <mergeCell ref="G2:G3"/>
    <mergeCell ref="G4:G9"/>
    <mergeCell ref="G10:G12"/>
    <mergeCell ref="G13:G19"/>
    <mergeCell ref="G20:G22"/>
    <mergeCell ref="G23:G24"/>
    <mergeCell ref="G25:G28"/>
    <mergeCell ref="G29:G32"/>
    <mergeCell ref="G33:G35"/>
    <mergeCell ref="G36:G41"/>
    <mergeCell ref="G43:G45"/>
    <mergeCell ref="G46:G49"/>
    <mergeCell ref="G50:G58"/>
    <mergeCell ref="G59:G60"/>
    <mergeCell ref="G61:G66"/>
    <mergeCell ref="G67:G75"/>
    <mergeCell ref="G76:G78"/>
    <mergeCell ref="G79:G85"/>
    <mergeCell ref="G86:G87"/>
    <mergeCell ref="G88:G96"/>
    <mergeCell ref="G97:G109"/>
    <mergeCell ref="G110:G119"/>
    <mergeCell ref="G120:G125"/>
    <mergeCell ref="G126:G141"/>
    <mergeCell ref="G142:G150"/>
    <mergeCell ref="G152:G155"/>
    <mergeCell ref="G156:G163"/>
    <mergeCell ref="G164:G165"/>
    <mergeCell ref="G166:G178"/>
    <mergeCell ref="G179:G188"/>
    <mergeCell ref="G190:G193"/>
    <mergeCell ref="G194:G195"/>
    <mergeCell ref="G196:G206"/>
    <mergeCell ref="G208:G214"/>
    <mergeCell ref="G215:G218"/>
    <mergeCell ref="G221:G226"/>
    <mergeCell ref="G227:G228"/>
    <mergeCell ref="G229:G234"/>
    <mergeCell ref="G235:G236"/>
    <mergeCell ref="G237:G239"/>
    <mergeCell ref="G240:G241"/>
    <mergeCell ref="G242:G244"/>
    <mergeCell ref="G245:G246"/>
    <mergeCell ref="G247:G248"/>
    <mergeCell ref="G249:G253"/>
    <mergeCell ref="G254:G256"/>
    <mergeCell ref="G257:G260"/>
    <mergeCell ref="G261:G264"/>
    <mergeCell ref="G265:G267"/>
    <mergeCell ref="G268:G271"/>
    <mergeCell ref="G272:G275"/>
    <mergeCell ref="G276:G279"/>
    <mergeCell ref="G280:G283"/>
    <mergeCell ref="G284:G288"/>
    <mergeCell ref="G289:G291"/>
    <mergeCell ref="G292:G301"/>
    <mergeCell ref="G302:G308"/>
    <mergeCell ref="G309:G319"/>
    <mergeCell ref="G320:G322"/>
    <mergeCell ref="G323:G326"/>
    <mergeCell ref="G327:G329"/>
    <mergeCell ref="G331:G334"/>
    <mergeCell ref="G335:G336"/>
    <mergeCell ref="G337:G338"/>
    <mergeCell ref="G339:G341"/>
    <mergeCell ref="G342:G343"/>
    <mergeCell ref="G344:G348"/>
    <mergeCell ref="G349:G351"/>
    <mergeCell ref="G355:G358"/>
    <mergeCell ref="G359:G361"/>
    <mergeCell ref="G362:G367"/>
    <mergeCell ref="G368:G369"/>
    <mergeCell ref="G370:G372"/>
    <mergeCell ref="G374:G376"/>
    <mergeCell ref="G377:G380"/>
    <mergeCell ref="G381:G389"/>
    <mergeCell ref="G390:G402"/>
    <mergeCell ref="G403:G407"/>
    <mergeCell ref="G408:G414"/>
    <mergeCell ref="G415:G418"/>
    <mergeCell ref="G419:G421"/>
    <mergeCell ref="G422:G426"/>
    <mergeCell ref="G427:G431"/>
    <mergeCell ref="G432:G435"/>
    <mergeCell ref="G436:G438"/>
    <mergeCell ref="G439:G444"/>
    <mergeCell ref="G445:G447"/>
    <mergeCell ref="G450:G455"/>
    <mergeCell ref="G456:G462"/>
    <mergeCell ref="G463:G464"/>
    <mergeCell ref="G465:G468"/>
    <mergeCell ref="G469:G471"/>
    <mergeCell ref="G472:G475"/>
    <mergeCell ref="G476:G477"/>
    <mergeCell ref="G478:G479"/>
    <mergeCell ref="G480:G483"/>
    <mergeCell ref="G484:G487"/>
    <mergeCell ref="G488:G490"/>
    <mergeCell ref="G491:G492"/>
    <mergeCell ref="G493:G497"/>
    <mergeCell ref="G498:G500"/>
    <mergeCell ref="G503:G504"/>
    <mergeCell ref="G505:G506"/>
    <mergeCell ref="G507:G508"/>
    <mergeCell ref="H2:H3"/>
    <mergeCell ref="H4:H9"/>
    <mergeCell ref="H10:H12"/>
    <mergeCell ref="H13:H19"/>
    <mergeCell ref="H20:H22"/>
    <mergeCell ref="H23:H24"/>
    <mergeCell ref="H25:H28"/>
    <mergeCell ref="H29:H32"/>
    <mergeCell ref="H33:H35"/>
    <mergeCell ref="H36:H41"/>
    <mergeCell ref="H43:H45"/>
    <mergeCell ref="H46:H49"/>
    <mergeCell ref="H50:H58"/>
    <mergeCell ref="H59:H60"/>
    <mergeCell ref="H61:H66"/>
    <mergeCell ref="H67:H75"/>
    <mergeCell ref="H76:H78"/>
    <mergeCell ref="H79:H85"/>
    <mergeCell ref="H86:H87"/>
    <mergeCell ref="H88:H96"/>
    <mergeCell ref="H97:H109"/>
    <mergeCell ref="H110:H119"/>
    <mergeCell ref="H120:H125"/>
    <mergeCell ref="H126:H141"/>
    <mergeCell ref="H142:H150"/>
    <mergeCell ref="H152:H155"/>
    <mergeCell ref="H156:H163"/>
    <mergeCell ref="H164:H165"/>
    <mergeCell ref="H166:H178"/>
    <mergeCell ref="H179:H188"/>
    <mergeCell ref="H190:H193"/>
    <mergeCell ref="H194:H195"/>
    <mergeCell ref="H196:H206"/>
    <mergeCell ref="H208:H214"/>
    <mergeCell ref="H215:H218"/>
    <mergeCell ref="H221:H226"/>
    <mergeCell ref="H227:H228"/>
    <mergeCell ref="H229:H234"/>
    <mergeCell ref="H235:H236"/>
    <mergeCell ref="H237:H239"/>
    <mergeCell ref="H240:H241"/>
    <mergeCell ref="H242:H244"/>
    <mergeCell ref="H245:H246"/>
    <mergeCell ref="H247:H248"/>
    <mergeCell ref="H249:H253"/>
    <mergeCell ref="H254:H256"/>
    <mergeCell ref="H257:H260"/>
    <mergeCell ref="H261:H264"/>
    <mergeCell ref="H265:H267"/>
    <mergeCell ref="H268:H271"/>
    <mergeCell ref="H272:H275"/>
    <mergeCell ref="H276:H279"/>
    <mergeCell ref="H280:H283"/>
    <mergeCell ref="H284:H288"/>
    <mergeCell ref="H289:H291"/>
    <mergeCell ref="H292:H301"/>
    <mergeCell ref="H302:H308"/>
    <mergeCell ref="H309:H319"/>
    <mergeCell ref="H320:H322"/>
    <mergeCell ref="H323:H326"/>
    <mergeCell ref="H327:H329"/>
    <mergeCell ref="H331:H334"/>
    <mergeCell ref="H335:H336"/>
    <mergeCell ref="H337:H338"/>
    <mergeCell ref="H339:H341"/>
    <mergeCell ref="H342:H343"/>
    <mergeCell ref="H344:H348"/>
    <mergeCell ref="H349:H351"/>
    <mergeCell ref="H355:H358"/>
    <mergeCell ref="H359:H361"/>
    <mergeCell ref="H362:H367"/>
    <mergeCell ref="H368:H369"/>
    <mergeCell ref="H370:H372"/>
    <mergeCell ref="H374:H376"/>
    <mergeCell ref="H377:H380"/>
    <mergeCell ref="H381:H389"/>
    <mergeCell ref="H390:H402"/>
    <mergeCell ref="H403:H407"/>
    <mergeCell ref="H408:H414"/>
    <mergeCell ref="H415:H418"/>
    <mergeCell ref="H419:H421"/>
    <mergeCell ref="H422:H426"/>
    <mergeCell ref="H427:H431"/>
    <mergeCell ref="H432:H435"/>
    <mergeCell ref="H436:H438"/>
    <mergeCell ref="H439:H444"/>
    <mergeCell ref="H445:H447"/>
    <mergeCell ref="H450:H455"/>
    <mergeCell ref="H456:H462"/>
    <mergeCell ref="H463:H464"/>
    <mergeCell ref="H465:H468"/>
    <mergeCell ref="H469:H471"/>
    <mergeCell ref="H472:H475"/>
    <mergeCell ref="H476:H477"/>
    <mergeCell ref="H478:H479"/>
    <mergeCell ref="H480:H483"/>
    <mergeCell ref="H484:H487"/>
    <mergeCell ref="H488:H490"/>
    <mergeCell ref="H491:H492"/>
    <mergeCell ref="H493:H497"/>
    <mergeCell ref="H498:H500"/>
    <mergeCell ref="H503:H504"/>
    <mergeCell ref="H505:H506"/>
    <mergeCell ref="H507:H508"/>
    <mergeCell ref="I2:I3"/>
    <mergeCell ref="I4:I9"/>
    <mergeCell ref="I10:I12"/>
    <mergeCell ref="I13:I19"/>
    <mergeCell ref="I20:I22"/>
    <mergeCell ref="I23:I24"/>
    <mergeCell ref="I25:I28"/>
    <mergeCell ref="I29:I32"/>
    <mergeCell ref="I33:I35"/>
    <mergeCell ref="I36:I41"/>
    <mergeCell ref="I43:I45"/>
    <mergeCell ref="I46:I49"/>
    <mergeCell ref="I50:I58"/>
    <mergeCell ref="I59:I60"/>
    <mergeCell ref="I61:I66"/>
    <mergeCell ref="I67:I75"/>
    <mergeCell ref="I76:I78"/>
    <mergeCell ref="I79:I85"/>
    <mergeCell ref="I86:I87"/>
    <mergeCell ref="I88:I96"/>
    <mergeCell ref="I97:I109"/>
    <mergeCell ref="I110:I119"/>
    <mergeCell ref="I120:I125"/>
    <mergeCell ref="I126:I141"/>
    <mergeCell ref="I142:I150"/>
    <mergeCell ref="I152:I155"/>
    <mergeCell ref="I156:I163"/>
    <mergeCell ref="I164:I165"/>
    <mergeCell ref="I166:I178"/>
    <mergeCell ref="I179:I188"/>
    <mergeCell ref="I190:I193"/>
    <mergeCell ref="I194:I195"/>
    <mergeCell ref="I196:I206"/>
    <mergeCell ref="I208:I214"/>
    <mergeCell ref="I215:I218"/>
    <mergeCell ref="I221:I226"/>
    <mergeCell ref="I227:I228"/>
    <mergeCell ref="I229:I234"/>
    <mergeCell ref="I235:I236"/>
    <mergeCell ref="I237:I239"/>
    <mergeCell ref="I240:I241"/>
    <mergeCell ref="I242:I244"/>
    <mergeCell ref="I245:I246"/>
    <mergeCell ref="I247:I248"/>
    <mergeCell ref="I249:I253"/>
    <mergeCell ref="I254:I256"/>
    <mergeCell ref="I257:I260"/>
    <mergeCell ref="I261:I264"/>
    <mergeCell ref="I265:I267"/>
    <mergeCell ref="I268:I271"/>
    <mergeCell ref="I272:I275"/>
    <mergeCell ref="I276:I279"/>
    <mergeCell ref="I280:I283"/>
    <mergeCell ref="I284:I288"/>
    <mergeCell ref="I289:I291"/>
    <mergeCell ref="I292:I301"/>
    <mergeCell ref="I302:I308"/>
    <mergeCell ref="I309:I319"/>
    <mergeCell ref="I320:I322"/>
    <mergeCell ref="I323:I326"/>
    <mergeCell ref="I327:I329"/>
    <mergeCell ref="I331:I334"/>
    <mergeCell ref="I335:I336"/>
    <mergeCell ref="I337:I338"/>
    <mergeCell ref="I339:I341"/>
    <mergeCell ref="I342:I343"/>
    <mergeCell ref="I344:I348"/>
    <mergeCell ref="I349:I351"/>
    <mergeCell ref="I355:I358"/>
    <mergeCell ref="I359:I361"/>
    <mergeCell ref="I362:I367"/>
    <mergeCell ref="I368:I369"/>
    <mergeCell ref="I370:I372"/>
    <mergeCell ref="I374:I376"/>
    <mergeCell ref="I377:I380"/>
    <mergeCell ref="I381:I389"/>
    <mergeCell ref="I390:I402"/>
    <mergeCell ref="I403:I407"/>
    <mergeCell ref="I408:I414"/>
    <mergeCell ref="I415:I418"/>
    <mergeCell ref="I419:I421"/>
    <mergeCell ref="I422:I426"/>
    <mergeCell ref="I427:I431"/>
    <mergeCell ref="I432:I435"/>
    <mergeCell ref="I436:I438"/>
    <mergeCell ref="I439:I444"/>
    <mergeCell ref="I445:I447"/>
    <mergeCell ref="I450:I455"/>
    <mergeCell ref="I456:I462"/>
    <mergeCell ref="I463:I464"/>
    <mergeCell ref="I465:I468"/>
    <mergeCell ref="I469:I471"/>
    <mergeCell ref="I472:I475"/>
    <mergeCell ref="I476:I477"/>
    <mergeCell ref="I478:I479"/>
    <mergeCell ref="I480:I483"/>
    <mergeCell ref="I484:I487"/>
    <mergeCell ref="I488:I490"/>
    <mergeCell ref="I491:I492"/>
    <mergeCell ref="I493:I497"/>
    <mergeCell ref="I498:I500"/>
    <mergeCell ref="I503:I504"/>
    <mergeCell ref="I505:I506"/>
    <mergeCell ref="I507:I508"/>
    <mergeCell ref="J2:J3"/>
    <mergeCell ref="J4:J9"/>
    <mergeCell ref="J10:J12"/>
    <mergeCell ref="J13:J19"/>
    <mergeCell ref="J20:J22"/>
    <mergeCell ref="J23:J24"/>
    <mergeCell ref="J25:J28"/>
    <mergeCell ref="J29:J32"/>
    <mergeCell ref="J33:J35"/>
    <mergeCell ref="J36:J41"/>
    <mergeCell ref="J43:J45"/>
    <mergeCell ref="J46:J49"/>
    <mergeCell ref="J50:J58"/>
    <mergeCell ref="J59:J60"/>
    <mergeCell ref="J61:J66"/>
    <mergeCell ref="J67:J75"/>
    <mergeCell ref="J76:J78"/>
    <mergeCell ref="J79:J85"/>
    <mergeCell ref="J86:J87"/>
    <mergeCell ref="J88:J96"/>
    <mergeCell ref="J97:J109"/>
    <mergeCell ref="J110:J119"/>
    <mergeCell ref="J120:J125"/>
    <mergeCell ref="J126:J141"/>
    <mergeCell ref="J142:J150"/>
    <mergeCell ref="J152:J155"/>
    <mergeCell ref="J156:J163"/>
    <mergeCell ref="J164:J165"/>
    <mergeCell ref="J166:J178"/>
    <mergeCell ref="J179:J188"/>
    <mergeCell ref="J190:J193"/>
    <mergeCell ref="J194:J195"/>
    <mergeCell ref="J196:J206"/>
    <mergeCell ref="J208:J214"/>
    <mergeCell ref="J215:J218"/>
    <mergeCell ref="J221:J226"/>
    <mergeCell ref="J227:J228"/>
    <mergeCell ref="J229:J234"/>
    <mergeCell ref="J235:J236"/>
    <mergeCell ref="J237:J239"/>
    <mergeCell ref="J240:J241"/>
    <mergeCell ref="J242:J244"/>
    <mergeCell ref="J245:J246"/>
    <mergeCell ref="J247:J248"/>
    <mergeCell ref="J249:J253"/>
    <mergeCell ref="J254:J256"/>
    <mergeCell ref="J257:J260"/>
    <mergeCell ref="J261:J264"/>
    <mergeCell ref="J265:J267"/>
    <mergeCell ref="J268:J271"/>
    <mergeCell ref="J272:J275"/>
    <mergeCell ref="J276:J279"/>
    <mergeCell ref="J280:J283"/>
    <mergeCell ref="J284:J288"/>
    <mergeCell ref="J289:J291"/>
    <mergeCell ref="J292:J301"/>
    <mergeCell ref="J302:J308"/>
    <mergeCell ref="J309:J319"/>
    <mergeCell ref="J320:J322"/>
    <mergeCell ref="J323:J326"/>
    <mergeCell ref="J327:J329"/>
    <mergeCell ref="J331:J334"/>
    <mergeCell ref="J335:J336"/>
    <mergeCell ref="J337:J338"/>
    <mergeCell ref="J339:J341"/>
    <mergeCell ref="J342:J343"/>
    <mergeCell ref="J344:J348"/>
    <mergeCell ref="J349:J351"/>
    <mergeCell ref="J355:J358"/>
    <mergeCell ref="J359:J361"/>
    <mergeCell ref="J362:J367"/>
    <mergeCell ref="J368:J369"/>
    <mergeCell ref="J370:J372"/>
    <mergeCell ref="J374:J376"/>
    <mergeCell ref="J377:J380"/>
    <mergeCell ref="J381:J389"/>
    <mergeCell ref="J390:J402"/>
    <mergeCell ref="J403:J407"/>
    <mergeCell ref="J408:J414"/>
    <mergeCell ref="J415:J418"/>
    <mergeCell ref="J419:J421"/>
    <mergeCell ref="J422:J426"/>
    <mergeCell ref="J427:J431"/>
    <mergeCell ref="J432:J435"/>
    <mergeCell ref="J436:J438"/>
    <mergeCell ref="J439:J444"/>
    <mergeCell ref="J445:J447"/>
    <mergeCell ref="J450:J455"/>
    <mergeCell ref="J456:J462"/>
    <mergeCell ref="J463:J464"/>
    <mergeCell ref="J465:J468"/>
    <mergeCell ref="J469:J471"/>
    <mergeCell ref="J472:J475"/>
    <mergeCell ref="J476:J477"/>
    <mergeCell ref="J478:J479"/>
    <mergeCell ref="J480:J483"/>
    <mergeCell ref="J484:J487"/>
    <mergeCell ref="J488:J490"/>
    <mergeCell ref="J491:J492"/>
    <mergeCell ref="J493:J497"/>
    <mergeCell ref="J498:J500"/>
    <mergeCell ref="J503:J504"/>
    <mergeCell ref="J505:J506"/>
    <mergeCell ref="J507:J508"/>
    <mergeCell ref="L2:L3"/>
    <mergeCell ref="L4:L9"/>
    <mergeCell ref="L10:L12"/>
    <mergeCell ref="L13:L19"/>
    <mergeCell ref="L20:L22"/>
    <mergeCell ref="L23:L24"/>
    <mergeCell ref="L25:L28"/>
    <mergeCell ref="L29:L32"/>
    <mergeCell ref="L33:L35"/>
    <mergeCell ref="L36:L41"/>
    <mergeCell ref="L43:L45"/>
    <mergeCell ref="L46:L49"/>
    <mergeCell ref="L50:L58"/>
    <mergeCell ref="L59:L60"/>
    <mergeCell ref="L61:L66"/>
    <mergeCell ref="L67:L75"/>
    <mergeCell ref="L76:L78"/>
    <mergeCell ref="L79:L85"/>
    <mergeCell ref="L86:L87"/>
    <mergeCell ref="L88:L96"/>
    <mergeCell ref="L97:L109"/>
    <mergeCell ref="L110:L119"/>
    <mergeCell ref="L120:L125"/>
    <mergeCell ref="L126:L141"/>
    <mergeCell ref="L142:L150"/>
    <mergeCell ref="L152:L155"/>
    <mergeCell ref="L156:L163"/>
    <mergeCell ref="L164:L165"/>
    <mergeCell ref="L166:L178"/>
    <mergeCell ref="L179:L188"/>
    <mergeCell ref="L190:L193"/>
    <mergeCell ref="L194:L195"/>
    <mergeCell ref="L196:L206"/>
    <mergeCell ref="L208:L214"/>
    <mergeCell ref="L215:L218"/>
    <mergeCell ref="L221:L226"/>
    <mergeCell ref="L227:L228"/>
    <mergeCell ref="L229:L234"/>
    <mergeCell ref="L235:L236"/>
    <mergeCell ref="L237:L239"/>
    <mergeCell ref="L240:L241"/>
    <mergeCell ref="L242:L244"/>
    <mergeCell ref="L245:L246"/>
    <mergeCell ref="L247:L248"/>
    <mergeCell ref="L249:L253"/>
    <mergeCell ref="L254:L256"/>
    <mergeCell ref="L257:L260"/>
    <mergeCell ref="L261:L264"/>
    <mergeCell ref="L265:L267"/>
    <mergeCell ref="L268:L271"/>
    <mergeCell ref="L272:L275"/>
    <mergeCell ref="L276:L279"/>
    <mergeCell ref="L280:L283"/>
    <mergeCell ref="L284:L288"/>
    <mergeCell ref="L289:L291"/>
    <mergeCell ref="L292:L301"/>
    <mergeCell ref="L302:L308"/>
    <mergeCell ref="L309:L319"/>
    <mergeCell ref="L320:L322"/>
    <mergeCell ref="L323:L326"/>
    <mergeCell ref="L327:L329"/>
    <mergeCell ref="L331:L334"/>
    <mergeCell ref="L335:L336"/>
    <mergeCell ref="L337:L338"/>
    <mergeCell ref="L339:L341"/>
    <mergeCell ref="L342:L343"/>
    <mergeCell ref="L344:L348"/>
    <mergeCell ref="L349:L351"/>
    <mergeCell ref="L355:L358"/>
    <mergeCell ref="L359:L361"/>
    <mergeCell ref="L362:L367"/>
    <mergeCell ref="L368:L369"/>
    <mergeCell ref="L370:L372"/>
    <mergeCell ref="L374:L376"/>
    <mergeCell ref="L377:L380"/>
    <mergeCell ref="L381:L389"/>
    <mergeCell ref="L390:L402"/>
    <mergeCell ref="L403:L407"/>
    <mergeCell ref="L408:L414"/>
    <mergeCell ref="L415:L418"/>
    <mergeCell ref="L419:L421"/>
    <mergeCell ref="L422:L426"/>
    <mergeCell ref="L427:L431"/>
    <mergeCell ref="L432:L435"/>
    <mergeCell ref="L436:L438"/>
    <mergeCell ref="L439:L444"/>
    <mergeCell ref="L445:L447"/>
    <mergeCell ref="L450:L455"/>
    <mergeCell ref="L456:L462"/>
    <mergeCell ref="L463:L464"/>
    <mergeCell ref="L465:L468"/>
    <mergeCell ref="L469:L471"/>
    <mergeCell ref="L472:L475"/>
    <mergeCell ref="L476:L477"/>
    <mergeCell ref="L478:L479"/>
    <mergeCell ref="L480:L483"/>
    <mergeCell ref="L484:L487"/>
    <mergeCell ref="L488:L490"/>
    <mergeCell ref="L491:L492"/>
    <mergeCell ref="L493:L497"/>
    <mergeCell ref="L498:L500"/>
    <mergeCell ref="L503:L504"/>
    <mergeCell ref="L505:L506"/>
    <mergeCell ref="L507:L508"/>
    <mergeCell ref="M2:M3"/>
    <mergeCell ref="M4:M9"/>
    <mergeCell ref="M10:M12"/>
    <mergeCell ref="M13:M19"/>
    <mergeCell ref="M20:M22"/>
    <mergeCell ref="M23:M24"/>
    <mergeCell ref="M25:M28"/>
    <mergeCell ref="M29:M32"/>
    <mergeCell ref="M33:M35"/>
    <mergeCell ref="M36:M41"/>
    <mergeCell ref="M43:M45"/>
    <mergeCell ref="M46:M49"/>
    <mergeCell ref="M50:M58"/>
    <mergeCell ref="M59:M60"/>
    <mergeCell ref="M61:M66"/>
    <mergeCell ref="M67:M75"/>
    <mergeCell ref="M76:M78"/>
    <mergeCell ref="M79:M85"/>
    <mergeCell ref="M86:M87"/>
    <mergeCell ref="M88:M96"/>
    <mergeCell ref="M97:M109"/>
    <mergeCell ref="M110:M119"/>
    <mergeCell ref="M120:M125"/>
    <mergeCell ref="M126:M141"/>
    <mergeCell ref="M142:M150"/>
    <mergeCell ref="M152:M155"/>
    <mergeCell ref="M156:M163"/>
    <mergeCell ref="M164:M165"/>
    <mergeCell ref="M166:M178"/>
    <mergeCell ref="M179:M188"/>
    <mergeCell ref="M190:M193"/>
    <mergeCell ref="M194:M195"/>
    <mergeCell ref="M196:M206"/>
    <mergeCell ref="M208:M214"/>
    <mergeCell ref="M215:M218"/>
    <mergeCell ref="M221:M226"/>
    <mergeCell ref="M227:M228"/>
    <mergeCell ref="M229:M234"/>
    <mergeCell ref="M235:M236"/>
    <mergeCell ref="M237:M239"/>
    <mergeCell ref="M240:M241"/>
    <mergeCell ref="M242:M244"/>
    <mergeCell ref="M245:M246"/>
    <mergeCell ref="M247:M248"/>
    <mergeCell ref="M249:M253"/>
    <mergeCell ref="M254:M256"/>
    <mergeCell ref="M257:M260"/>
    <mergeCell ref="M261:M264"/>
    <mergeCell ref="M265:M267"/>
    <mergeCell ref="M268:M271"/>
    <mergeCell ref="M272:M275"/>
    <mergeCell ref="M276:M279"/>
    <mergeCell ref="M280:M283"/>
    <mergeCell ref="M284:M288"/>
    <mergeCell ref="M289:M291"/>
    <mergeCell ref="M292:M301"/>
    <mergeCell ref="M302:M308"/>
    <mergeCell ref="M309:M319"/>
    <mergeCell ref="M320:M322"/>
    <mergeCell ref="M323:M326"/>
    <mergeCell ref="M327:M329"/>
    <mergeCell ref="M331:M334"/>
    <mergeCell ref="M335:M336"/>
    <mergeCell ref="M337:M338"/>
    <mergeCell ref="M339:M341"/>
    <mergeCell ref="M342:M343"/>
    <mergeCell ref="M344:M348"/>
    <mergeCell ref="M349:M351"/>
    <mergeCell ref="M355:M358"/>
    <mergeCell ref="M359:M361"/>
    <mergeCell ref="M362:M367"/>
    <mergeCell ref="M368:M369"/>
    <mergeCell ref="M370:M372"/>
    <mergeCell ref="M374:M376"/>
    <mergeCell ref="M377:M380"/>
    <mergeCell ref="M381:M389"/>
    <mergeCell ref="M390:M402"/>
    <mergeCell ref="M403:M407"/>
    <mergeCell ref="M408:M414"/>
    <mergeCell ref="M415:M418"/>
    <mergeCell ref="M419:M421"/>
    <mergeCell ref="M422:M426"/>
    <mergeCell ref="M427:M431"/>
    <mergeCell ref="M432:M435"/>
    <mergeCell ref="M436:M438"/>
    <mergeCell ref="M439:M444"/>
    <mergeCell ref="M445:M447"/>
    <mergeCell ref="M450:M455"/>
    <mergeCell ref="M456:M462"/>
    <mergeCell ref="M463:M464"/>
    <mergeCell ref="M465:M468"/>
    <mergeCell ref="M469:M471"/>
    <mergeCell ref="M472:M475"/>
    <mergeCell ref="M476:M477"/>
    <mergeCell ref="M478:M479"/>
    <mergeCell ref="M480:M483"/>
    <mergeCell ref="M484:M487"/>
    <mergeCell ref="M488:M490"/>
    <mergeCell ref="M491:M492"/>
    <mergeCell ref="M493:M497"/>
    <mergeCell ref="M498:M500"/>
    <mergeCell ref="M503:M504"/>
    <mergeCell ref="M505:M506"/>
    <mergeCell ref="M507:M508"/>
    <mergeCell ref="N2:N3"/>
    <mergeCell ref="N4:N9"/>
    <mergeCell ref="N10:N12"/>
    <mergeCell ref="N13:N19"/>
    <mergeCell ref="N20:N22"/>
    <mergeCell ref="N23:N24"/>
    <mergeCell ref="N25:N28"/>
    <mergeCell ref="N29:N32"/>
    <mergeCell ref="N33:N35"/>
    <mergeCell ref="N36:N41"/>
    <mergeCell ref="N43:N45"/>
    <mergeCell ref="N46:N49"/>
    <mergeCell ref="N50:N58"/>
    <mergeCell ref="N59:N60"/>
    <mergeCell ref="N61:N66"/>
    <mergeCell ref="N67:N75"/>
    <mergeCell ref="N76:N78"/>
    <mergeCell ref="N79:N85"/>
    <mergeCell ref="N86:N87"/>
    <mergeCell ref="N88:N96"/>
    <mergeCell ref="N97:N109"/>
    <mergeCell ref="N110:N119"/>
    <mergeCell ref="N120:N125"/>
    <mergeCell ref="N126:N141"/>
    <mergeCell ref="N142:N150"/>
    <mergeCell ref="N152:N155"/>
    <mergeCell ref="N156:N163"/>
    <mergeCell ref="N164:N165"/>
    <mergeCell ref="N166:N178"/>
    <mergeCell ref="N179:N188"/>
    <mergeCell ref="N190:N193"/>
    <mergeCell ref="N194:N195"/>
    <mergeCell ref="N196:N206"/>
    <mergeCell ref="N208:N214"/>
    <mergeCell ref="N215:N218"/>
    <mergeCell ref="N221:N226"/>
    <mergeCell ref="N227:N228"/>
    <mergeCell ref="N229:N234"/>
    <mergeCell ref="N235:N236"/>
    <mergeCell ref="N237:N239"/>
    <mergeCell ref="N240:N241"/>
    <mergeCell ref="N242:N244"/>
    <mergeCell ref="N245:N246"/>
    <mergeCell ref="N247:N248"/>
    <mergeCell ref="N249:N253"/>
    <mergeCell ref="N254:N256"/>
    <mergeCell ref="N257:N260"/>
    <mergeCell ref="N261:N264"/>
    <mergeCell ref="N265:N267"/>
    <mergeCell ref="N268:N271"/>
    <mergeCell ref="N272:N275"/>
    <mergeCell ref="N276:N279"/>
    <mergeCell ref="N280:N283"/>
    <mergeCell ref="N284:N288"/>
    <mergeCell ref="N289:N291"/>
    <mergeCell ref="N292:N301"/>
    <mergeCell ref="N302:N308"/>
    <mergeCell ref="N309:N319"/>
    <mergeCell ref="N320:N322"/>
    <mergeCell ref="N323:N326"/>
    <mergeCell ref="N327:N329"/>
    <mergeCell ref="N331:N334"/>
    <mergeCell ref="N335:N336"/>
    <mergeCell ref="N337:N338"/>
    <mergeCell ref="N339:N341"/>
    <mergeCell ref="N342:N343"/>
    <mergeCell ref="N344:N348"/>
    <mergeCell ref="N349:N351"/>
    <mergeCell ref="N355:N358"/>
    <mergeCell ref="N359:N361"/>
    <mergeCell ref="N362:N367"/>
    <mergeCell ref="N368:N369"/>
    <mergeCell ref="N370:N372"/>
    <mergeCell ref="N374:N376"/>
    <mergeCell ref="N377:N380"/>
    <mergeCell ref="N381:N389"/>
    <mergeCell ref="N390:N402"/>
    <mergeCell ref="N403:N407"/>
    <mergeCell ref="N408:N414"/>
    <mergeCell ref="N415:N418"/>
    <mergeCell ref="N419:N421"/>
    <mergeCell ref="N422:N426"/>
    <mergeCell ref="N427:N431"/>
    <mergeCell ref="N432:N435"/>
    <mergeCell ref="N436:N438"/>
    <mergeCell ref="N439:N444"/>
    <mergeCell ref="N445:N447"/>
    <mergeCell ref="N450:N455"/>
    <mergeCell ref="N456:N462"/>
    <mergeCell ref="N463:N464"/>
    <mergeCell ref="N465:N468"/>
    <mergeCell ref="N469:N471"/>
    <mergeCell ref="N472:N475"/>
    <mergeCell ref="N476:N477"/>
    <mergeCell ref="N478:N479"/>
    <mergeCell ref="N480:N483"/>
    <mergeCell ref="N484:N487"/>
    <mergeCell ref="N488:N490"/>
    <mergeCell ref="N491:N492"/>
    <mergeCell ref="N493:N497"/>
    <mergeCell ref="N498:N500"/>
    <mergeCell ref="N503:N504"/>
    <mergeCell ref="N505:N506"/>
    <mergeCell ref="N507:N508"/>
    <mergeCell ref="T2:T3"/>
    <mergeCell ref="T4:T9"/>
    <mergeCell ref="T10:T12"/>
    <mergeCell ref="T13:T19"/>
    <mergeCell ref="T20:T22"/>
    <mergeCell ref="T23:T24"/>
    <mergeCell ref="T25:T28"/>
    <mergeCell ref="T29:T32"/>
    <mergeCell ref="T33:T35"/>
    <mergeCell ref="T36:T41"/>
    <mergeCell ref="T43:T45"/>
    <mergeCell ref="T46:T49"/>
    <mergeCell ref="T50:T58"/>
    <mergeCell ref="T59:T60"/>
    <mergeCell ref="T61:T66"/>
    <mergeCell ref="T67:T75"/>
    <mergeCell ref="T76:T78"/>
    <mergeCell ref="T79:T85"/>
    <mergeCell ref="T86:T87"/>
    <mergeCell ref="T88:T96"/>
    <mergeCell ref="T97:T109"/>
    <mergeCell ref="T110:T119"/>
    <mergeCell ref="T120:T125"/>
    <mergeCell ref="T126:T141"/>
    <mergeCell ref="T142:T150"/>
    <mergeCell ref="T152:T155"/>
    <mergeCell ref="T156:T163"/>
    <mergeCell ref="T164:T165"/>
    <mergeCell ref="T166:T178"/>
    <mergeCell ref="T179:T188"/>
    <mergeCell ref="T190:T193"/>
    <mergeCell ref="T194:T195"/>
    <mergeCell ref="T196:T206"/>
    <mergeCell ref="T208:T214"/>
    <mergeCell ref="T215:T218"/>
    <mergeCell ref="T221:T226"/>
    <mergeCell ref="T227:T228"/>
    <mergeCell ref="T229:T234"/>
    <mergeCell ref="T235:T236"/>
    <mergeCell ref="T237:T239"/>
    <mergeCell ref="T240:T241"/>
    <mergeCell ref="T242:T244"/>
    <mergeCell ref="T245:T246"/>
    <mergeCell ref="T247:T248"/>
    <mergeCell ref="T249:T253"/>
    <mergeCell ref="T254:T256"/>
    <mergeCell ref="T257:T260"/>
    <mergeCell ref="T261:T264"/>
    <mergeCell ref="T265:T267"/>
    <mergeCell ref="T268:T271"/>
    <mergeCell ref="T272:T275"/>
    <mergeCell ref="T276:T279"/>
    <mergeCell ref="T280:T283"/>
    <mergeCell ref="T284:T288"/>
    <mergeCell ref="T289:T291"/>
    <mergeCell ref="T292:T301"/>
    <mergeCell ref="T302:T308"/>
    <mergeCell ref="T309:T319"/>
    <mergeCell ref="T320:T322"/>
    <mergeCell ref="T323:T326"/>
    <mergeCell ref="T327:T329"/>
    <mergeCell ref="T331:T334"/>
    <mergeCell ref="T335:T336"/>
    <mergeCell ref="T337:T338"/>
    <mergeCell ref="T339:T341"/>
    <mergeCell ref="T342:T343"/>
    <mergeCell ref="T344:T348"/>
    <mergeCell ref="T349:T351"/>
    <mergeCell ref="T355:T358"/>
    <mergeCell ref="T359:T361"/>
    <mergeCell ref="T362:T367"/>
    <mergeCell ref="T368:T369"/>
    <mergeCell ref="T370:T372"/>
    <mergeCell ref="T374:T376"/>
    <mergeCell ref="T377:T380"/>
    <mergeCell ref="T381:T389"/>
    <mergeCell ref="T390:T402"/>
    <mergeCell ref="T403:T407"/>
    <mergeCell ref="T408:T414"/>
    <mergeCell ref="T415:T418"/>
    <mergeCell ref="T419:T421"/>
    <mergeCell ref="T422:T426"/>
    <mergeCell ref="T427:T431"/>
    <mergeCell ref="T432:T435"/>
    <mergeCell ref="T436:T438"/>
    <mergeCell ref="T439:T444"/>
    <mergeCell ref="T445:T447"/>
    <mergeCell ref="T450:T455"/>
    <mergeCell ref="T456:T462"/>
    <mergeCell ref="T463:T464"/>
    <mergeCell ref="T465:T468"/>
    <mergeCell ref="T469:T471"/>
    <mergeCell ref="T472:T475"/>
    <mergeCell ref="T476:T477"/>
    <mergeCell ref="T478:T479"/>
    <mergeCell ref="T480:T483"/>
    <mergeCell ref="T484:T487"/>
    <mergeCell ref="T488:T490"/>
    <mergeCell ref="T491:T492"/>
    <mergeCell ref="T493:T497"/>
    <mergeCell ref="T498:T500"/>
    <mergeCell ref="T503:T504"/>
    <mergeCell ref="T505:T506"/>
    <mergeCell ref="T507:T508"/>
    <mergeCell ref="U2:U3"/>
    <mergeCell ref="U4:U9"/>
    <mergeCell ref="U10:U12"/>
    <mergeCell ref="U13:U19"/>
    <mergeCell ref="U20:U22"/>
    <mergeCell ref="U23:U24"/>
    <mergeCell ref="U25:U28"/>
    <mergeCell ref="U29:U32"/>
    <mergeCell ref="U33:U35"/>
    <mergeCell ref="U36:U41"/>
    <mergeCell ref="U43:U45"/>
    <mergeCell ref="U46:U49"/>
    <mergeCell ref="U50:U58"/>
    <mergeCell ref="U59:U60"/>
    <mergeCell ref="U61:U66"/>
    <mergeCell ref="U67:U75"/>
    <mergeCell ref="U76:U78"/>
    <mergeCell ref="U79:U85"/>
    <mergeCell ref="U86:U87"/>
    <mergeCell ref="U88:U96"/>
    <mergeCell ref="U97:U109"/>
    <mergeCell ref="U110:U119"/>
    <mergeCell ref="U120:U125"/>
    <mergeCell ref="U126:U141"/>
    <mergeCell ref="U142:U150"/>
    <mergeCell ref="U152:U155"/>
    <mergeCell ref="U156:U163"/>
    <mergeCell ref="U164:U165"/>
    <mergeCell ref="U166:U178"/>
    <mergeCell ref="U179:U188"/>
    <mergeCell ref="U190:U193"/>
    <mergeCell ref="U194:U195"/>
    <mergeCell ref="U196:U206"/>
    <mergeCell ref="U208:U214"/>
    <mergeCell ref="U215:U218"/>
    <mergeCell ref="U221:U226"/>
    <mergeCell ref="U227:U228"/>
    <mergeCell ref="U229:U234"/>
    <mergeCell ref="U235:U236"/>
    <mergeCell ref="U237:U239"/>
    <mergeCell ref="U240:U241"/>
    <mergeCell ref="U242:U244"/>
    <mergeCell ref="U245:U246"/>
    <mergeCell ref="U247:U248"/>
    <mergeCell ref="U249:U253"/>
    <mergeCell ref="U254:U256"/>
    <mergeCell ref="U257:U260"/>
    <mergeCell ref="U261:U264"/>
    <mergeCell ref="U265:U267"/>
    <mergeCell ref="U268:U271"/>
    <mergeCell ref="U272:U275"/>
    <mergeCell ref="U276:U279"/>
    <mergeCell ref="U280:U283"/>
    <mergeCell ref="U284:U288"/>
    <mergeCell ref="U289:U291"/>
    <mergeCell ref="U292:U301"/>
    <mergeCell ref="U302:U308"/>
    <mergeCell ref="U309:U319"/>
    <mergeCell ref="U320:U322"/>
    <mergeCell ref="U323:U326"/>
    <mergeCell ref="U327:U329"/>
    <mergeCell ref="U331:U334"/>
    <mergeCell ref="U335:U336"/>
    <mergeCell ref="U337:U338"/>
    <mergeCell ref="U339:U341"/>
    <mergeCell ref="U342:U343"/>
    <mergeCell ref="U344:U348"/>
    <mergeCell ref="U349:U351"/>
    <mergeCell ref="U355:U358"/>
    <mergeCell ref="U359:U361"/>
    <mergeCell ref="U362:U367"/>
    <mergeCell ref="U368:U369"/>
    <mergeCell ref="U370:U372"/>
    <mergeCell ref="U374:U376"/>
    <mergeCell ref="U377:U380"/>
    <mergeCell ref="U381:U389"/>
    <mergeCell ref="U390:U402"/>
    <mergeCell ref="U403:U407"/>
    <mergeCell ref="U408:U414"/>
    <mergeCell ref="U415:U418"/>
    <mergeCell ref="U419:U421"/>
    <mergeCell ref="U422:U426"/>
    <mergeCell ref="U427:U431"/>
    <mergeCell ref="U432:U435"/>
    <mergeCell ref="U436:U438"/>
    <mergeCell ref="U439:U444"/>
    <mergeCell ref="U445:U447"/>
    <mergeCell ref="U450:U455"/>
    <mergeCell ref="U456:U462"/>
    <mergeCell ref="U463:U464"/>
    <mergeCell ref="U465:U468"/>
    <mergeCell ref="U469:U471"/>
    <mergeCell ref="U472:U475"/>
    <mergeCell ref="U476:U477"/>
    <mergeCell ref="U478:U479"/>
    <mergeCell ref="U480:U483"/>
    <mergeCell ref="U484:U487"/>
    <mergeCell ref="U488:U490"/>
    <mergeCell ref="U491:U492"/>
    <mergeCell ref="U493:U497"/>
    <mergeCell ref="U498:U500"/>
    <mergeCell ref="U503:U504"/>
    <mergeCell ref="U505:U506"/>
    <mergeCell ref="U507:U508"/>
    <mergeCell ref="V2:V3"/>
    <mergeCell ref="V4:V9"/>
    <mergeCell ref="V10:V12"/>
    <mergeCell ref="V13:V19"/>
    <mergeCell ref="V20:V22"/>
    <mergeCell ref="V23:V24"/>
    <mergeCell ref="V25:V28"/>
    <mergeCell ref="V29:V32"/>
    <mergeCell ref="V33:V35"/>
    <mergeCell ref="V36:V41"/>
    <mergeCell ref="V43:V45"/>
    <mergeCell ref="V46:V49"/>
    <mergeCell ref="V50:V58"/>
    <mergeCell ref="V59:V60"/>
    <mergeCell ref="V61:V66"/>
    <mergeCell ref="V67:V75"/>
    <mergeCell ref="V76:V78"/>
    <mergeCell ref="V79:V85"/>
    <mergeCell ref="V86:V87"/>
    <mergeCell ref="V88:V96"/>
    <mergeCell ref="V97:V109"/>
    <mergeCell ref="V110:V119"/>
    <mergeCell ref="V120:V125"/>
    <mergeCell ref="V126:V141"/>
    <mergeCell ref="V142:V150"/>
    <mergeCell ref="V152:V155"/>
    <mergeCell ref="V156:V163"/>
    <mergeCell ref="V164:V165"/>
    <mergeCell ref="V166:V178"/>
    <mergeCell ref="V179:V188"/>
    <mergeCell ref="V190:V193"/>
    <mergeCell ref="V194:V195"/>
    <mergeCell ref="V196:V206"/>
    <mergeCell ref="V208:V214"/>
    <mergeCell ref="V215:V218"/>
    <mergeCell ref="V221:V226"/>
    <mergeCell ref="V227:V228"/>
    <mergeCell ref="V229:V234"/>
    <mergeCell ref="V235:V236"/>
    <mergeCell ref="V237:V239"/>
    <mergeCell ref="V240:V241"/>
    <mergeCell ref="V242:V244"/>
    <mergeCell ref="V245:V246"/>
    <mergeCell ref="V247:V248"/>
    <mergeCell ref="V249:V253"/>
    <mergeCell ref="V254:V256"/>
    <mergeCell ref="V257:V260"/>
    <mergeCell ref="V261:V264"/>
    <mergeCell ref="V265:V267"/>
    <mergeCell ref="V268:V271"/>
    <mergeCell ref="V272:V275"/>
    <mergeCell ref="V276:V279"/>
    <mergeCell ref="V280:V283"/>
    <mergeCell ref="V284:V288"/>
    <mergeCell ref="V289:V291"/>
    <mergeCell ref="V292:V301"/>
    <mergeCell ref="V302:V308"/>
    <mergeCell ref="V309:V319"/>
    <mergeCell ref="V320:V322"/>
    <mergeCell ref="V323:V326"/>
    <mergeCell ref="V327:V329"/>
    <mergeCell ref="V331:V334"/>
    <mergeCell ref="V335:V336"/>
    <mergeCell ref="V337:V338"/>
    <mergeCell ref="V339:V341"/>
    <mergeCell ref="V342:V343"/>
    <mergeCell ref="V344:V348"/>
    <mergeCell ref="V349:V351"/>
    <mergeCell ref="V355:V358"/>
    <mergeCell ref="V359:V361"/>
    <mergeCell ref="V362:V367"/>
    <mergeCell ref="V368:V369"/>
    <mergeCell ref="V370:V372"/>
    <mergeCell ref="V374:V376"/>
    <mergeCell ref="V377:V380"/>
    <mergeCell ref="V381:V389"/>
    <mergeCell ref="V390:V402"/>
    <mergeCell ref="V403:V407"/>
    <mergeCell ref="V408:V414"/>
    <mergeCell ref="V415:V418"/>
    <mergeCell ref="V419:V421"/>
    <mergeCell ref="V422:V426"/>
    <mergeCell ref="V427:V431"/>
    <mergeCell ref="V432:V435"/>
    <mergeCell ref="V436:V438"/>
    <mergeCell ref="V439:V444"/>
    <mergeCell ref="V445:V447"/>
    <mergeCell ref="V450:V455"/>
    <mergeCell ref="V456:V462"/>
    <mergeCell ref="V463:V464"/>
    <mergeCell ref="V465:V468"/>
    <mergeCell ref="V469:V471"/>
    <mergeCell ref="V472:V475"/>
    <mergeCell ref="V476:V477"/>
    <mergeCell ref="V478:V479"/>
    <mergeCell ref="V480:V483"/>
    <mergeCell ref="V484:V487"/>
    <mergeCell ref="V488:V490"/>
    <mergeCell ref="V491:V492"/>
    <mergeCell ref="V493:V497"/>
    <mergeCell ref="V498:V500"/>
    <mergeCell ref="V503:V504"/>
    <mergeCell ref="V505:V506"/>
    <mergeCell ref="V507:V508"/>
    <mergeCell ref="W2:W3"/>
    <mergeCell ref="W4:W9"/>
    <mergeCell ref="W10:W12"/>
    <mergeCell ref="W13:W19"/>
    <mergeCell ref="W20:W22"/>
    <mergeCell ref="W23:W24"/>
    <mergeCell ref="W25:W28"/>
    <mergeCell ref="W29:W32"/>
    <mergeCell ref="W33:W35"/>
    <mergeCell ref="W36:W41"/>
    <mergeCell ref="W43:W45"/>
    <mergeCell ref="W46:W49"/>
    <mergeCell ref="W50:W58"/>
    <mergeCell ref="W59:W60"/>
    <mergeCell ref="W61:W66"/>
    <mergeCell ref="W67:W75"/>
    <mergeCell ref="W76:W78"/>
    <mergeCell ref="W79:W85"/>
    <mergeCell ref="W86:W87"/>
    <mergeCell ref="W88:W96"/>
    <mergeCell ref="W97:W109"/>
    <mergeCell ref="W110:W119"/>
    <mergeCell ref="W120:W125"/>
    <mergeCell ref="W126:W141"/>
    <mergeCell ref="W142:W150"/>
    <mergeCell ref="W152:W155"/>
    <mergeCell ref="W156:W163"/>
    <mergeCell ref="W164:W165"/>
    <mergeCell ref="W166:W178"/>
    <mergeCell ref="W179:W188"/>
    <mergeCell ref="W190:W193"/>
    <mergeCell ref="W194:W195"/>
    <mergeCell ref="W196:W206"/>
    <mergeCell ref="W208:W214"/>
    <mergeCell ref="W215:W218"/>
    <mergeCell ref="W221:W226"/>
    <mergeCell ref="W227:W228"/>
    <mergeCell ref="W229:W234"/>
    <mergeCell ref="W235:W236"/>
    <mergeCell ref="W237:W239"/>
    <mergeCell ref="W240:W241"/>
    <mergeCell ref="W242:W244"/>
    <mergeCell ref="W245:W246"/>
    <mergeCell ref="W247:W248"/>
    <mergeCell ref="W249:W253"/>
    <mergeCell ref="W254:W256"/>
    <mergeCell ref="W257:W260"/>
    <mergeCell ref="W261:W264"/>
    <mergeCell ref="W265:W267"/>
    <mergeCell ref="W268:W271"/>
    <mergeCell ref="W272:W275"/>
    <mergeCell ref="W276:W279"/>
    <mergeCell ref="W280:W283"/>
    <mergeCell ref="W284:W288"/>
    <mergeCell ref="W289:W291"/>
    <mergeCell ref="W292:W301"/>
    <mergeCell ref="W302:W308"/>
    <mergeCell ref="W309:W319"/>
    <mergeCell ref="W320:W322"/>
    <mergeCell ref="W323:W326"/>
    <mergeCell ref="W327:W329"/>
    <mergeCell ref="W331:W334"/>
    <mergeCell ref="W335:W336"/>
    <mergeCell ref="W337:W338"/>
    <mergeCell ref="W339:W341"/>
    <mergeCell ref="W342:W343"/>
    <mergeCell ref="W344:W348"/>
    <mergeCell ref="W349:W351"/>
    <mergeCell ref="W355:W358"/>
    <mergeCell ref="W359:W361"/>
    <mergeCell ref="W362:W367"/>
    <mergeCell ref="W368:W369"/>
    <mergeCell ref="W370:W372"/>
    <mergeCell ref="W374:W376"/>
    <mergeCell ref="W377:W380"/>
    <mergeCell ref="W381:W389"/>
    <mergeCell ref="W390:W402"/>
    <mergeCell ref="W403:W407"/>
    <mergeCell ref="W408:W414"/>
    <mergeCell ref="W415:W418"/>
    <mergeCell ref="W419:W421"/>
    <mergeCell ref="W422:W426"/>
    <mergeCell ref="W427:W431"/>
    <mergeCell ref="W432:W435"/>
    <mergeCell ref="W436:W438"/>
    <mergeCell ref="W439:W444"/>
    <mergeCell ref="W445:W447"/>
    <mergeCell ref="W450:W455"/>
    <mergeCell ref="W456:W462"/>
    <mergeCell ref="W463:W464"/>
    <mergeCell ref="W465:W468"/>
    <mergeCell ref="W469:W471"/>
    <mergeCell ref="W472:W475"/>
    <mergeCell ref="W476:W477"/>
    <mergeCell ref="W478:W479"/>
    <mergeCell ref="W480:W483"/>
    <mergeCell ref="W484:W487"/>
    <mergeCell ref="W488:W490"/>
    <mergeCell ref="W491:W492"/>
    <mergeCell ref="W493:W497"/>
    <mergeCell ref="W498:W500"/>
    <mergeCell ref="W503:W504"/>
    <mergeCell ref="W505:W506"/>
    <mergeCell ref="W507:W508"/>
    <mergeCell ref="X2:X3"/>
    <mergeCell ref="X4:X9"/>
    <mergeCell ref="X10:X12"/>
    <mergeCell ref="X13:X19"/>
    <mergeCell ref="X20:X22"/>
    <mergeCell ref="X23:X24"/>
    <mergeCell ref="X25:X28"/>
    <mergeCell ref="X29:X32"/>
    <mergeCell ref="X33:X35"/>
    <mergeCell ref="X36:X41"/>
    <mergeCell ref="X43:X45"/>
    <mergeCell ref="X46:X49"/>
    <mergeCell ref="X50:X58"/>
    <mergeCell ref="X59:X60"/>
    <mergeCell ref="X61:X66"/>
    <mergeCell ref="X67:X75"/>
    <mergeCell ref="X76:X78"/>
    <mergeCell ref="X79:X85"/>
    <mergeCell ref="X86:X87"/>
    <mergeCell ref="X88:X96"/>
    <mergeCell ref="X97:X109"/>
    <mergeCell ref="X110:X119"/>
    <mergeCell ref="X120:X125"/>
    <mergeCell ref="X126:X141"/>
    <mergeCell ref="X142:X150"/>
    <mergeCell ref="X152:X155"/>
    <mergeCell ref="X156:X163"/>
    <mergeCell ref="X164:X165"/>
    <mergeCell ref="X166:X178"/>
    <mergeCell ref="X179:X188"/>
    <mergeCell ref="X190:X193"/>
    <mergeCell ref="X194:X195"/>
    <mergeCell ref="X196:X206"/>
    <mergeCell ref="X208:X214"/>
    <mergeCell ref="X215:X218"/>
    <mergeCell ref="X221:X226"/>
    <mergeCell ref="X227:X228"/>
    <mergeCell ref="X229:X234"/>
    <mergeCell ref="X235:X236"/>
    <mergeCell ref="X237:X239"/>
    <mergeCell ref="X240:X241"/>
    <mergeCell ref="X242:X244"/>
    <mergeCell ref="X245:X246"/>
    <mergeCell ref="X247:X248"/>
    <mergeCell ref="X249:X253"/>
    <mergeCell ref="X254:X256"/>
    <mergeCell ref="X257:X260"/>
    <mergeCell ref="X261:X264"/>
    <mergeCell ref="X265:X267"/>
    <mergeCell ref="X268:X271"/>
    <mergeCell ref="X272:X275"/>
    <mergeCell ref="X276:X279"/>
    <mergeCell ref="X280:X283"/>
    <mergeCell ref="X284:X288"/>
    <mergeCell ref="X289:X291"/>
    <mergeCell ref="X292:X301"/>
    <mergeCell ref="X302:X308"/>
    <mergeCell ref="X309:X319"/>
    <mergeCell ref="X320:X322"/>
    <mergeCell ref="X323:X326"/>
    <mergeCell ref="X327:X329"/>
    <mergeCell ref="X331:X334"/>
    <mergeCell ref="X335:X336"/>
    <mergeCell ref="X337:X338"/>
    <mergeCell ref="X339:X341"/>
    <mergeCell ref="X342:X343"/>
    <mergeCell ref="X344:X348"/>
    <mergeCell ref="X349:X351"/>
    <mergeCell ref="X355:X358"/>
    <mergeCell ref="X359:X361"/>
    <mergeCell ref="X362:X367"/>
    <mergeCell ref="X368:X369"/>
    <mergeCell ref="X370:X372"/>
    <mergeCell ref="X374:X376"/>
    <mergeCell ref="X377:X380"/>
    <mergeCell ref="X381:X389"/>
    <mergeCell ref="X390:X402"/>
    <mergeCell ref="X403:X407"/>
    <mergeCell ref="X408:X414"/>
    <mergeCell ref="X415:X418"/>
    <mergeCell ref="X419:X421"/>
    <mergeCell ref="X422:X426"/>
    <mergeCell ref="X427:X431"/>
    <mergeCell ref="X432:X435"/>
    <mergeCell ref="X436:X438"/>
    <mergeCell ref="X439:X444"/>
    <mergeCell ref="X445:X447"/>
    <mergeCell ref="X450:X455"/>
    <mergeCell ref="X456:X462"/>
    <mergeCell ref="X463:X464"/>
    <mergeCell ref="X465:X468"/>
    <mergeCell ref="X469:X471"/>
    <mergeCell ref="X472:X475"/>
    <mergeCell ref="X476:X477"/>
    <mergeCell ref="X478:X479"/>
    <mergeCell ref="X480:X483"/>
    <mergeCell ref="X484:X487"/>
    <mergeCell ref="X488:X490"/>
    <mergeCell ref="X491:X492"/>
    <mergeCell ref="X493:X497"/>
    <mergeCell ref="X498:X500"/>
    <mergeCell ref="X503:X504"/>
    <mergeCell ref="X505:X506"/>
    <mergeCell ref="X507:X508"/>
    <mergeCell ref="Y2:Y3"/>
    <mergeCell ref="Y4:Y9"/>
    <mergeCell ref="Y10:Y12"/>
    <mergeCell ref="Y13:Y19"/>
    <mergeCell ref="Y20:Y22"/>
    <mergeCell ref="Y23:Y24"/>
    <mergeCell ref="Y25:Y28"/>
    <mergeCell ref="Y29:Y32"/>
    <mergeCell ref="Y33:Y35"/>
    <mergeCell ref="Y36:Y41"/>
    <mergeCell ref="Y43:Y45"/>
    <mergeCell ref="Y46:Y49"/>
    <mergeCell ref="Y50:Y58"/>
    <mergeCell ref="Y59:Y60"/>
    <mergeCell ref="Y61:Y66"/>
    <mergeCell ref="Y67:Y75"/>
    <mergeCell ref="Y76:Y78"/>
    <mergeCell ref="Y79:Y85"/>
    <mergeCell ref="Y86:Y87"/>
    <mergeCell ref="Y88:Y96"/>
    <mergeCell ref="Y97:Y109"/>
    <mergeCell ref="Y110:Y119"/>
    <mergeCell ref="Y120:Y125"/>
    <mergeCell ref="Y126:Y141"/>
    <mergeCell ref="Y142:Y150"/>
    <mergeCell ref="Y152:Y155"/>
    <mergeCell ref="Y156:Y163"/>
    <mergeCell ref="Y164:Y165"/>
    <mergeCell ref="Y166:Y178"/>
    <mergeCell ref="Y179:Y188"/>
    <mergeCell ref="Y190:Y193"/>
    <mergeCell ref="Y194:Y195"/>
    <mergeCell ref="Y196:Y206"/>
    <mergeCell ref="Y208:Y214"/>
    <mergeCell ref="Y215:Y218"/>
    <mergeCell ref="Y221:Y226"/>
    <mergeCell ref="Y227:Y228"/>
    <mergeCell ref="Y229:Y234"/>
    <mergeCell ref="Y235:Y236"/>
    <mergeCell ref="Y237:Y239"/>
    <mergeCell ref="Y240:Y241"/>
    <mergeCell ref="Y242:Y244"/>
    <mergeCell ref="Y245:Y246"/>
    <mergeCell ref="Y247:Y248"/>
    <mergeCell ref="Y249:Y253"/>
    <mergeCell ref="Y254:Y256"/>
    <mergeCell ref="Y257:Y260"/>
    <mergeCell ref="Y261:Y264"/>
    <mergeCell ref="Y265:Y267"/>
    <mergeCell ref="Y268:Y271"/>
    <mergeCell ref="Y272:Y275"/>
    <mergeCell ref="Y276:Y279"/>
    <mergeCell ref="Y280:Y283"/>
    <mergeCell ref="Y284:Y288"/>
    <mergeCell ref="Y289:Y291"/>
    <mergeCell ref="Y292:Y301"/>
    <mergeCell ref="Y302:Y308"/>
    <mergeCell ref="Y309:Y319"/>
    <mergeCell ref="Y320:Y322"/>
    <mergeCell ref="Y323:Y326"/>
    <mergeCell ref="Y327:Y329"/>
    <mergeCell ref="Y331:Y334"/>
    <mergeCell ref="Y335:Y336"/>
    <mergeCell ref="Y337:Y338"/>
    <mergeCell ref="Y339:Y341"/>
    <mergeCell ref="Y342:Y343"/>
    <mergeCell ref="Y344:Y348"/>
    <mergeCell ref="Y349:Y351"/>
    <mergeCell ref="Y355:Y358"/>
    <mergeCell ref="Y359:Y361"/>
    <mergeCell ref="Y362:Y367"/>
    <mergeCell ref="Y368:Y369"/>
    <mergeCell ref="Y370:Y372"/>
    <mergeCell ref="Y374:Y376"/>
    <mergeCell ref="Y377:Y380"/>
    <mergeCell ref="Y381:Y389"/>
    <mergeCell ref="Y390:Y402"/>
    <mergeCell ref="Y403:Y407"/>
    <mergeCell ref="Y408:Y414"/>
    <mergeCell ref="Y415:Y418"/>
    <mergeCell ref="Y419:Y421"/>
    <mergeCell ref="Y422:Y426"/>
    <mergeCell ref="Y427:Y431"/>
    <mergeCell ref="Y432:Y435"/>
    <mergeCell ref="Y436:Y438"/>
    <mergeCell ref="Y439:Y444"/>
    <mergeCell ref="Y445:Y447"/>
    <mergeCell ref="Y450:Y455"/>
    <mergeCell ref="Y456:Y462"/>
    <mergeCell ref="Y463:Y464"/>
    <mergeCell ref="Y465:Y468"/>
    <mergeCell ref="Y469:Y471"/>
    <mergeCell ref="Y472:Y475"/>
    <mergeCell ref="Y476:Y477"/>
    <mergeCell ref="Y478:Y479"/>
    <mergeCell ref="Y480:Y483"/>
    <mergeCell ref="Y484:Y487"/>
    <mergeCell ref="Y488:Y490"/>
    <mergeCell ref="Y491:Y492"/>
    <mergeCell ref="Y493:Y497"/>
    <mergeCell ref="Y498:Y500"/>
    <mergeCell ref="Y503:Y504"/>
    <mergeCell ref="Y505:Y506"/>
    <mergeCell ref="Y507:Y508"/>
  </mergeCell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Y508"/>
  <sheetViews>
    <sheetView workbookViewId="0">
      <pane ySplit="1" topLeftCell="A2" activePane="bottomLeft" state="frozen"/>
      <selection/>
      <selection pane="bottomLeft" activeCell="F10" sqref="F10:F12"/>
    </sheetView>
  </sheetViews>
  <sheetFormatPr defaultColWidth="9" defaultRowHeight="15.5" customHeight="1"/>
  <cols>
    <col min="1" max="1" width="2.63636363636364" style="1" customWidth="1"/>
    <col min="2" max="2" width="8.72727272727273" style="2"/>
    <col min="3" max="3" width="8.72727272727273" style="3"/>
    <col min="4" max="4" width="9" style="3" hidden="1" customWidth="1"/>
    <col min="5" max="5" width="8.72727272727273" style="3"/>
    <col min="6" max="6" width="51.6363636363636" style="4" customWidth="1"/>
    <col min="7" max="8" width="9" style="3" hidden="1" customWidth="1"/>
    <col min="9" max="14" width="8.72727272727273" style="3"/>
    <col min="15" max="15" width="13.4545454545455" style="3" customWidth="1"/>
    <col min="16" max="16" width="11.0909090909091" style="3" customWidth="1"/>
    <col min="17" max="23" width="8.72727272727273" style="3"/>
    <col min="24" max="24" width="10.8181818181818" style="3" customWidth="1"/>
    <col min="25" max="16384" width="8.72727272727273" style="3"/>
  </cols>
  <sheetData>
    <row r="1" customHeight="1" spans="2:25">
      <c r="B1" s="5" t="s">
        <v>153</v>
      </c>
      <c r="C1" s="5" t="s">
        <v>154</v>
      </c>
      <c r="D1" s="5" t="s">
        <v>156</v>
      </c>
      <c r="E1" s="5" t="s">
        <v>156</v>
      </c>
      <c r="F1" s="6" t="s">
        <v>157</v>
      </c>
      <c r="G1" s="5" t="s">
        <v>1940</v>
      </c>
      <c r="H1" s="5" t="s">
        <v>1941</v>
      </c>
      <c r="I1" s="5" t="s">
        <v>160</v>
      </c>
      <c r="J1" s="5" t="s">
        <v>161</v>
      </c>
      <c r="K1" s="5" t="s">
        <v>163</v>
      </c>
      <c r="L1" s="5" t="s">
        <v>163</v>
      </c>
      <c r="M1" s="5" t="s">
        <v>164</v>
      </c>
      <c r="N1" s="5" t="s">
        <v>165</v>
      </c>
      <c r="O1" s="5" t="s">
        <v>166</v>
      </c>
      <c r="P1" s="5" t="s">
        <v>167</v>
      </c>
      <c r="Q1" s="5" t="s">
        <v>168</v>
      </c>
      <c r="R1" s="5" t="s">
        <v>169</v>
      </c>
      <c r="S1" s="5" t="s">
        <v>170</v>
      </c>
      <c r="T1" s="5" t="s">
        <v>171</v>
      </c>
      <c r="U1" s="5" t="s">
        <v>172</v>
      </c>
      <c r="V1" s="5" t="s">
        <v>173</v>
      </c>
      <c r="W1" s="5" t="s">
        <v>1942</v>
      </c>
      <c r="X1" s="5" t="s">
        <v>1943</v>
      </c>
      <c r="Y1" s="5" t="s">
        <v>1944</v>
      </c>
    </row>
    <row r="2" customHeight="1" spans="2:25">
      <c r="B2" s="7" t="s">
        <v>809</v>
      </c>
      <c r="C2" s="8" t="s">
        <v>178</v>
      </c>
      <c r="D2" s="3" t="s">
        <v>1945</v>
      </c>
      <c r="E2" s="8" t="s">
        <v>1945</v>
      </c>
      <c r="F2" s="9" t="s">
        <v>1946</v>
      </c>
      <c r="G2" s="8" t="s">
        <v>1947</v>
      </c>
      <c r="H2" s="8" t="s">
        <v>182</v>
      </c>
      <c r="I2" s="8" t="s">
        <v>183</v>
      </c>
      <c r="J2" s="8" t="s">
        <v>890</v>
      </c>
      <c r="K2" s="3" t="s">
        <v>278</v>
      </c>
      <c r="L2" s="8" t="s">
        <v>278</v>
      </c>
      <c r="M2" s="8" t="s">
        <v>10</v>
      </c>
      <c r="N2" s="8" t="s">
        <v>279</v>
      </c>
      <c r="O2" s="8">
        <v>1</v>
      </c>
      <c r="P2" s="10">
        <v>42107</v>
      </c>
      <c r="Q2" s="8" t="s">
        <v>1948</v>
      </c>
      <c r="R2" s="8" t="s">
        <v>281</v>
      </c>
      <c r="S2" s="8" t="s">
        <v>809</v>
      </c>
      <c r="T2" s="8" t="s">
        <v>1949</v>
      </c>
      <c r="U2" s="8" t="s">
        <v>284</v>
      </c>
      <c r="V2" s="8" t="s">
        <v>1950</v>
      </c>
      <c r="W2" s="8" t="s">
        <v>1951</v>
      </c>
      <c r="X2" s="8" t="s">
        <v>194</v>
      </c>
      <c r="Y2" s="8" t="s">
        <v>195</v>
      </c>
    </row>
    <row r="3" ht="41" customHeight="1" spans="2:25">
      <c r="B3" s="7"/>
      <c r="C3" s="8"/>
      <c r="D3" s="3" t="str">
        <f>D2</f>
        <v>遥控餐厅</v>
      </c>
      <c r="E3" s="8"/>
      <c r="F3" s="9"/>
      <c r="G3" s="8"/>
      <c r="H3" s="8"/>
      <c r="I3" s="8"/>
      <c r="J3" s="8"/>
      <c r="K3" s="3" t="str">
        <f>K2</f>
        <v>运营中</v>
      </c>
      <c r="L3" s="8"/>
      <c r="M3" s="8"/>
      <c r="N3" s="8"/>
      <c r="O3" s="8">
        <v>1</v>
      </c>
      <c r="P3" s="10">
        <v>41960</v>
      </c>
      <c r="Q3" s="8" t="s">
        <v>1875</v>
      </c>
      <c r="R3" s="8" t="s">
        <v>1952</v>
      </c>
      <c r="S3" s="8" t="s">
        <v>1953</v>
      </c>
      <c r="T3" s="8"/>
      <c r="U3" s="8"/>
      <c r="V3" s="8"/>
      <c r="W3" s="8"/>
      <c r="X3" s="8"/>
      <c r="Y3" s="8"/>
    </row>
    <row r="4" customHeight="1" spans="2:25">
      <c r="B4" s="7"/>
      <c r="C4" s="8" t="s">
        <v>199</v>
      </c>
      <c r="D4" s="3" t="s">
        <v>1954</v>
      </c>
      <c r="E4" s="8" t="s">
        <v>1954</v>
      </c>
      <c r="F4" s="9" t="s">
        <v>1955</v>
      </c>
      <c r="G4" s="8" t="s">
        <v>1956</v>
      </c>
      <c r="H4" s="8" t="s">
        <v>203</v>
      </c>
      <c r="I4" s="8" t="s">
        <v>204</v>
      </c>
      <c r="J4" s="8" t="s">
        <v>890</v>
      </c>
      <c r="K4" s="3" t="s">
        <v>278</v>
      </c>
      <c r="L4" s="8" t="s">
        <v>278</v>
      </c>
      <c r="M4" s="8" t="s">
        <v>27</v>
      </c>
      <c r="N4" s="8" t="s">
        <v>1957</v>
      </c>
      <c r="O4" s="8"/>
      <c r="P4" s="10">
        <v>43368</v>
      </c>
      <c r="Q4" s="8" t="s">
        <v>280</v>
      </c>
      <c r="R4" s="8" t="s">
        <v>281</v>
      </c>
      <c r="S4" s="8" t="s">
        <v>1958</v>
      </c>
      <c r="T4" s="8" t="s">
        <v>1959</v>
      </c>
      <c r="U4" s="8" t="s">
        <v>284</v>
      </c>
      <c r="V4" s="8" t="s">
        <v>1960</v>
      </c>
      <c r="W4" s="8" t="s">
        <v>1961</v>
      </c>
      <c r="X4" s="8"/>
      <c r="Y4" s="8" t="s">
        <v>212</v>
      </c>
    </row>
    <row r="5" customHeight="1" spans="2:25">
      <c r="B5" s="7"/>
      <c r="C5" s="8"/>
      <c r="D5" s="3" t="str">
        <f t="shared" ref="D5:D9" si="0">D4</f>
        <v>智慧图</v>
      </c>
      <c r="E5" s="8"/>
      <c r="F5" s="9"/>
      <c r="G5" s="8"/>
      <c r="H5" s="8"/>
      <c r="I5" s="8"/>
      <c r="J5" s="8"/>
      <c r="K5" s="3" t="str">
        <f t="shared" ref="K5:K9" si="1">K4</f>
        <v>运营中</v>
      </c>
      <c r="L5" s="8"/>
      <c r="M5" s="8"/>
      <c r="N5" s="8"/>
      <c r="O5" s="8"/>
      <c r="P5" s="10">
        <v>42999</v>
      </c>
      <c r="Q5" s="8" t="s">
        <v>280</v>
      </c>
      <c r="R5" s="8" t="s">
        <v>281</v>
      </c>
      <c r="S5" s="8" t="s">
        <v>1962</v>
      </c>
      <c r="T5" s="8"/>
      <c r="U5" s="8"/>
      <c r="V5" s="8"/>
      <c r="W5" s="8"/>
      <c r="X5" s="8"/>
      <c r="Y5" s="8"/>
    </row>
    <row r="6" customHeight="1" spans="2:25">
      <c r="B6" s="7"/>
      <c r="C6" s="8"/>
      <c r="D6" s="3" t="str">
        <f t="shared" si="0"/>
        <v>智慧图</v>
      </c>
      <c r="E6" s="8"/>
      <c r="F6" s="9"/>
      <c r="G6" s="8"/>
      <c r="H6" s="8"/>
      <c r="I6" s="8"/>
      <c r="J6" s="8"/>
      <c r="K6" s="3" t="str">
        <f t="shared" si="1"/>
        <v>运营中</v>
      </c>
      <c r="L6" s="8"/>
      <c r="M6" s="8"/>
      <c r="N6" s="8"/>
      <c r="O6" s="8"/>
      <c r="P6" s="10">
        <v>42389</v>
      </c>
      <c r="Q6" s="8" t="s">
        <v>280</v>
      </c>
      <c r="R6" s="8" t="s">
        <v>1963</v>
      </c>
      <c r="S6" s="8" t="s">
        <v>1964</v>
      </c>
      <c r="T6" s="8"/>
      <c r="U6" s="8"/>
      <c r="V6" s="8"/>
      <c r="W6" s="8"/>
      <c r="X6" s="8"/>
      <c r="Y6" s="8"/>
    </row>
    <row r="7" customHeight="1" spans="2:25">
      <c r="B7" s="7"/>
      <c r="C7" s="8"/>
      <c r="D7" s="3" t="str">
        <f t="shared" si="0"/>
        <v>智慧图</v>
      </c>
      <c r="E7" s="8"/>
      <c r="F7" s="9"/>
      <c r="G7" s="8"/>
      <c r="H7" s="8"/>
      <c r="I7" s="8"/>
      <c r="J7" s="8"/>
      <c r="K7" s="3" t="str">
        <f t="shared" si="1"/>
        <v>运营中</v>
      </c>
      <c r="L7" s="8"/>
      <c r="M7" s="8"/>
      <c r="N7" s="8"/>
      <c r="O7" s="8"/>
      <c r="P7" s="10">
        <v>42292</v>
      </c>
      <c r="Q7" s="8" t="s">
        <v>425</v>
      </c>
      <c r="R7" s="8" t="s">
        <v>1816</v>
      </c>
      <c r="S7" s="8" t="s">
        <v>1965</v>
      </c>
      <c r="T7" s="8"/>
      <c r="U7" s="8"/>
      <c r="V7" s="8"/>
      <c r="W7" s="8"/>
      <c r="X7" s="8"/>
      <c r="Y7" s="8"/>
    </row>
    <row r="8" customHeight="1" spans="2:25">
      <c r="B8" s="7"/>
      <c r="C8" s="8"/>
      <c r="D8" s="3" t="str">
        <f t="shared" si="0"/>
        <v>智慧图</v>
      </c>
      <c r="E8" s="8"/>
      <c r="F8" s="9"/>
      <c r="G8" s="8"/>
      <c r="H8" s="8"/>
      <c r="I8" s="8"/>
      <c r="J8" s="8"/>
      <c r="K8" s="3" t="str">
        <f t="shared" si="1"/>
        <v>运营中</v>
      </c>
      <c r="L8" s="8"/>
      <c r="M8" s="8"/>
      <c r="N8" s="8"/>
      <c r="O8" s="8"/>
      <c r="P8" s="10">
        <v>41982</v>
      </c>
      <c r="Q8" s="8" t="s">
        <v>868</v>
      </c>
      <c r="R8" s="8" t="s">
        <v>1966</v>
      </c>
      <c r="S8" s="8" t="s">
        <v>1967</v>
      </c>
      <c r="T8" s="8"/>
      <c r="U8" s="8"/>
      <c r="V8" s="8"/>
      <c r="W8" s="8"/>
      <c r="X8" s="8"/>
      <c r="Y8" s="8"/>
    </row>
    <row r="9" customHeight="1" spans="2:25">
      <c r="B9" s="7"/>
      <c r="C9" s="8"/>
      <c r="D9" s="3" t="str">
        <f t="shared" si="0"/>
        <v>智慧图</v>
      </c>
      <c r="E9" s="8"/>
      <c r="F9" s="9"/>
      <c r="G9" s="8"/>
      <c r="H9" s="8"/>
      <c r="I9" s="8"/>
      <c r="J9" s="8"/>
      <c r="K9" s="3" t="str">
        <f t="shared" si="1"/>
        <v>运营中</v>
      </c>
      <c r="L9" s="8"/>
      <c r="M9" s="8"/>
      <c r="N9" s="8"/>
      <c r="O9" s="8"/>
      <c r="P9" s="10">
        <v>41571</v>
      </c>
      <c r="Q9" s="8" t="s">
        <v>1167</v>
      </c>
      <c r="R9" s="8" t="s">
        <v>1968</v>
      </c>
      <c r="S9" s="8" t="s">
        <v>1969</v>
      </c>
      <c r="T9" s="8"/>
      <c r="U9" s="8"/>
      <c r="V9" s="8"/>
      <c r="W9" s="8"/>
      <c r="X9" s="8"/>
      <c r="Y9" s="8"/>
    </row>
    <row r="10" customHeight="1" spans="2:25">
      <c r="B10" s="7"/>
      <c r="C10" s="8" t="s">
        <v>225</v>
      </c>
      <c r="D10" s="3" t="s">
        <v>1970</v>
      </c>
      <c r="E10" s="8" t="s">
        <v>1970</v>
      </c>
      <c r="F10" s="9" t="s">
        <v>1971</v>
      </c>
      <c r="G10" s="8" t="s">
        <v>1972</v>
      </c>
      <c r="H10" s="8" t="s">
        <v>229</v>
      </c>
      <c r="I10" s="8" t="s">
        <v>230</v>
      </c>
      <c r="J10" s="8" t="s">
        <v>1973</v>
      </c>
      <c r="K10" s="3" t="s">
        <v>278</v>
      </c>
      <c r="L10" s="8" t="s">
        <v>278</v>
      </c>
      <c r="M10" s="8" t="s">
        <v>37</v>
      </c>
      <c r="N10" s="8" t="s">
        <v>1974</v>
      </c>
      <c r="O10" s="8"/>
      <c r="P10" s="10">
        <v>43189</v>
      </c>
      <c r="Q10" s="8" t="s">
        <v>868</v>
      </c>
      <c r="R10" s="8" t="s">
        <v>1975</v>
      </c>
      <c r="S10" s="8" t="s">
        <v>1976</v>
      </c>
      <c r="T10" s="8" t="s">
        <v>1977</v>
      </c>
      <c r="U10" s="8" t="s">
        <v>1978</v>
      </c>
      <c r="V10" s="8" t="s">
        <v>1979</v>
      </c>
      <c r="W10" s="8" t="s">
        <v>1980</v>
      </c>
      <c r="X10" s="8" t="s">
        <v>240</v>
      </c>
      <c r="Y10" s="8" t="s">
        <v>241</v>
      </c>
    </row>
    <row r="11" customHeight="1" spans="2:25">
      <c r="B11" s="7"/>
      <c r="C11" s="8"/>
      <c r="D11" s="3" t="str">
        <f t="shared" ref="D11:D12" si="2">D10</f>
        <v>K米</v>
      </c>
      <c r="E11" s="8"/>
      <c r="F11" s="9"/>
      <c r="G11" s="8"/>
      <c r="H11" s="8"/>
      <c r="I11" s="8"/>
      <c r="J11" s="8"/>
      <c r="K11" s="3" t="str">
        <f t="shared" ref="K11:K12" si="3">K10</f>
        <v>运营中</v>
      </c>
      <c r="L11" s="8"/>
      <c r="M11" s="8"/>
      <c r="N11" s="8"/>
      <c r="O11" s="8"/>
      <c r="P11" s="10">
        <v>42309</v>
      </c>
      <c r="Q11" s="8" t="s">
        <v>1167</v>
      </c>
      <c r="R11" s="8" t="s">
        <v>1981</v>
      </c>
      <c r="S11" s="8" t="s">
        <v>1982</v>
      </c>
      <c r="T11" s="8"/>
      <c r="U11" s="8"/>
      <c r="V11" s="8"/>
      <c r="W11" s="8"/>
      <c r="X11" s="8"/>
      <c r="Y11" s="8"/>
    </row>
    <row r="12" customHeight="1" spans="2:25">
      <c r="B12" s="7"/>
      <c r="C12" s="8"/>
      <c r="D12" s="3" t="str">
        <f t="shared" si="2"/>
        <v>K米</v>
      </c>
      <c r="E12" s="8"/>
      <c r="F12" s="9"/>
      <c r="G12" s="8"/>
      <c r="H12" s="8"/>
      <c r="I12" s="8"/>
      <c r="J12" s="8"/>
      <c r="K12" s="3" t="str">
        <f t="shared" si="3"/>
        <v>运营中</v>
      </c>
      <c r="L12" s="8"/>
      <c r="M12" s="8"/>
      <c r="N12" s="8"/>
      <c r="O12" s="8"/>
      <c r="P12" s="10">
        <v>42156</v>
      </c>
      <c r="Q12" s="8" t="s">
        <v>1875</v>
      </c>
      <c r="R12" s="8" t="s">
        <v>281</v>
      </c>
      <c r="S12" s="8" t="s">
        <v>1983</v>
      </c>
      <c r="T12" s="8"/>
      <c r="U12" s="8"/>
      <c r="V12" s="8"/>
      <c r="W12" s="8"/>
      <c r="X12" s="8"/>
      <c r="Y12" s="8"/>
    </row>
    <row r="13" customHeight="1" spans="2:25">
      <c r="B13" s="7"/>
      <c r="C13" s="8" t="s">
        <v>245</v>
      </c>
      <c r="D13" s="3" t="s">
        <v>1984</v>
      </c>
      <c r="E13" s="8" t="s">
        <v>1984</v>
      </c>
      <c r="F13" s="9" t="s">
        <v>1985</v>
      </c>
      <c r="G13" s="8" t="s">
        <v>1986</v>
      </c>
      <c r="H13" s="8" t="s">
        <v>249</v>
      </c>
      <c r="I13" s="8" t="s">
        <v>250</v>
      </c>
      <c r="J13" s="8" t="s">
        <v>1987</v>
      </c>
      <c r="K13" s="3" t="s">
        <v>278</v>
      </c>
      <c r="L13" s="8" t="s">
        <v>278</v>
      </c>
      <c r="M13" s="8" t="s">
        <v>37</v>
      </c>
      <c r="N13" s="8" t="s">
        <v>1988</v>
      </c>
      <c r="O13" s="8">
        <v>1</v>
      </c>
      <c r="P13" s="10">
        <v>43846</v>
      </c>
      <c r="Q13" s="8" t="s">
        <v>1989</v>
      </c>
      <c r="R13" s="8" t="s">
        <v>281</v>
      </c>
      <c r="S13" s="8" t="s">
        <v>1990</v>
      </c>
      <c r="T13" s="8" t="s">
        <v>1991</v>
      </c>
      <c r="U13" s="8" t="s">
        <v>284</v>
      </c>
      <c r="V13" s="8" t="s">
        <v>1992</v>
      </c>
      <c r="W13" s="8" t="s">
        <v>1993</v>
      </c>
      <c r="X13" s="8" t="s">
        <v>258</v>
      </c>
      <c r="Y13" s="8" t="s">
        <v>259</v>
      </c>
    </row>
    <row r="14" customHeight="1" spans="2:25">
      <c r="B14" s="7"/>
      <c r="C14" s="8"/>
      <c r="D14" s="3" t="str">
        <f t="shared" ref="D14:D19" si="4">D13</f>
        <v>猫眼娱乐</v>
      </c>
      <c r="E14" s="8"/>
      <c r="F14" s="9"/>
      <c r="G14" s="8"/>
      <c r="H14" s="8"/>
      <c r="I14" s="8"/>
      <c r="J14" s="8"/>
      <c r="K14" s="3" t="str">
        <f t="shared" ref="K14:K19" si="5">K13</f>
        <v>运营中</v>
      </c>
      <c r="L14" s="8"/>
      <c r="M14" s="8"/>
      <c r="N14" s="8"/>
      <c r="O14" s="8">
        <v>1</v>
      </c>
      <c r="P14" s="10">
        <v>43500</v>
      </c>
      <c r="Q14" s="8" t="s">
        <v>1994</v>
      </c>
      <c r="R14" s="8" t="s">
        <v>1995</v>
      </c>
      <c r="S14" s="8" t="s">
        <v>262</v>
      </c>
      <c r="T14" s="8"/>
      <c r="U14" s="8"/>
      <c r="V14" s="8"/>
      <c r="W14" s="8"/>
      <c r="X14" s="8"/>
      <c r="Y14" s="8"/>
    </row>
    <row r="15" customHeight="1" spans="2:25">
      <c r="B15" s="7"/>
      <c r="C15" s="8"/>
      <c r="D15" s="3" t="str">
        <f t="shared" si="4"/>
        <v>猫眼娱乐</v>
      </c>
      <c r="E15" s="8"/>
      <c r="F15" s="9"/>
      <c r="G15" s="8"/>
      <c r="H15" s="8"/>
      <c r="I15" s="8"/>
      <c r="J15" s="8"/>
      <c r="K15" s="3" t="str">
        <f t="shared" si="5"/>
        <v>运营中</v>
      </c>
      <c r="L15" s="8"/>
      <c r="M15" s="8"/>
      <c r="N15" s="8"/>
      <c r="O15" s="8">
        <v>1</v>
      </c>
      <c r="P15" s="10">
        <v>43049</v>
      </c>
      <c r="Q15" s="8" t="s">
        <v>280</v>
      </c>
      <c r="R15" s="8" t="s">
        <v>792</v>
      </c>
      <c r="S15" s="8" t="s">
        <v>1996</v>
      </c>
      <c r="T15" s="8"/>
      <c r="U15" s="8"/>
      <c r="V15" s="8"/>
      <c r="W15" s="8"/>
      <c r="X15" s="8"/>
      <c r="Y15" s="8"/>
    </row>
    <row r="16" customHeight="1" spans="2:25">
      <c r="B16" s="7"/>
      <c r="C16" s="8"/>
      <c r="D16" s="3" t="str">
        <f t="shared" si="4"/>
        <v>猫眼娱乐</v>
      </c>
      <c r="E16" s="8"/>
      <c r="F16" s="9"/>
      <c r="G16" s="8"/>
      <c r="H16" s="8"/>
      <c r="I16" s="8"/>
      <c r="J16" s="8"/>
      <c r="K16" s="3" t="str">
        <f t="shared" si="5"/>
        <v>运营中</v>
      </c>
      <c r="L16" s="8"/>
      <c r="M16" s="8"/>
      <c r="N16" s="8"/>
      <c r="O16" s="8">
        <v>1</v>
      </c>
      <c r="P16" s="10">
        <v>42999</v>
      </c>
      <c r="Q16" s="8" t="s">
        <v>1997</v>
      </c>
      <c r="R16" s="8" t="s">
        <v>281</v>
      </c>
      <c r="S16" s="8" t="s">
        <v>1998</v>
      </c>
      <c r="T16" s="8"/>
      <c r="U16" s="8"/>
      <c r="V16" s="8"/>
      <c r="W16" s="8"/>
      <c r="X16" s="8"/>
      <c r="Y16" s="8"/>
    </row>
    <row r="17" customHeight="1" spans="2:25">
      <c r="B17" s="7"/>
      <c r="C17" s="8"/>
      <c r="D17" s="3" t="str">
        <f t="shared" si="4"/>
        <v>猫眼娱乐</v>
      </c>
      <c r="E17" s="8"/>
      <c r="F17" s="9"/>
      <c r="G17" s="8"/>
      <c r="H17" s="8"/>
      <c r="I17" s="8"/>
      <c r="J17" s="8"/>
      <c r="K17" s="3" t="str">
        <f t="shared" si="5"/>
        <v>运营中</v>
      </c>
      <c r="L17" s="8"/>
      <c r="M17" s="8"/>
      <c r="N17" s="8"/>
      <c r="O17" s="8">
        <v>1</v>
      </c>
      <c r="P17" s="10">
        <v>42983</v>
      </c>
      <c r="Q17" s="8" t="s">
        <v>280</v>
      </c>
      <c r="R17" s="8" t="s">
        <v>792</v>
      </c>
      <c r="S17" s="8" t="s">
        <v>1999</v>
      </c>
      <c r="T17" s="8"/>
      <c r="U17" s="8"/>
      <c r="V17" s="8"/>
      <c r="W17" s="8"/>
      <c r="X17" s="8"/>
      <c r="Y17" s="8"/>
    </row>
    <row r="18" customHeight="1" spans="2:25">
      <c r="B18" s="7"/>
      <c r="C18" s="8"/>
      <c r="D18" s="3" t="str">
        <f t="shared" si="4"/>
        <v>猫眼娱乐</v>
      </c>
      <c r="E18" s="8"/>
      <c r="F18" s="9"/>
      <c r="G18" s="8"/>
      <c r="H18" s="8"/>
      <c r="I18" s="8"/>
      <c r="J18" s="8"/>
      <c r="K18" s="3" t="str">
        <f t="shared" si="5"/>
        <v>运营中</v>
      </c>
      <c r="L18" s="8"/>
      <c r="M18" s="8"/>
      <c r="N18" s="8"/>
      <c r="O18" s="8">
        <v>1</v>
      </c>
      <c r="P18" s="10">
        <v>42518</v>
      </c>
      <c r="Q18" s="8" t="s">
        <v>1948</v>
      </c>
      <c r="R18" s="8" t="s">
        <v>2000</v>
      </c>
      <c r="S18" s="8" t="s">
        <v>1999</v>
      </c>
      <c r="T18" s="8"/>
      <c r="U18" s="8"/>
      <c r="V18" s="8"/>
      <c r="W18" s="8"/>
      <c r="X18" s="8"/>
      <c r="Y18" s="8"/>
    </row>
    <row r="19" customHeight="1" spans="2:25">
      <c r="B19" s="7"/>
      <c r="C19" s="8"/>
      <c r="D19" s="3" t="str">
        <f t="shared" si="4"/>
        <v>猫眼娱乐</v>
      </c>
      <c r="E19" s="8"/>
      <c r="F19" s="9"/>
      <c r="G19" s="8"/>
      <c r="H19" s="8"/>
      <c r="I19" s="8"/>
      <c r="J19" s="8"/>
      <c r="K19" s="3" t="str">
        <f t="shared" si="5"/>
        <v>运营中</v>
      </c>
      <c r="L19" s="8"/>
      <c r="M19" s="8"/>
      <c r="N19" s="8"/>
      <c r="O19" s="8">
        <v>1</v>
      </c>
      <c r="P19" s="10">
        <v>42472</v>
      </c>
      <c r="Q19" s="8" t="s">
        <v>1167</v>
      </c>
      <c r="R19" s="8" t="s">
        <v>430</v>
      </c>
      <c r="S19" s="8" t="s">
        <v>809</v>
      </c>
      <c r="T19" s="8"/>
      <c r="U19" s="8"/>
      <c r="V19" s="8"/>
      <c r="W19" s="8"/>
      <c r="X19" s="8"/>
      <c r="Y19" s="8"/>
    </row>
    <row r="20" customHeight="1" spans="2:25">
      <c r="B20" s="7"/>
      <c r="C20" s="8" t="s">
        <v>270</v>
      </c>
      <c r="D20" s="3" t="s">
        <v>272</v>
      </c>
      <c r="E20" s="8" t="s">
        <v>272</v>
      </c>
      <c r="F20" s="9" t="s">
        <v>273</v>
      </c>
      <c r="G20" s="8" t="s">
        <v>2001</v>
      </c>
      <c r="H20" s="8" t="s">
        <v>275</v>
      </c>
      <c r="I20" s="8" t="s">
        <v>276</v>
      </c>
      <c r="J20" s="8" t="s">
        <v>277</v>
      </c>
      <c r="K20" s="3" t="s">
        <v>278</v>
      </c>
      <c r="L20" s="8" t="s">
        <v>278</v>
      </c>
      <c r="M20" s="8" t="s">
        <v>10</v>
      </c>
      <c r="N20" s="8" t="s">
        <v>279</v>
      </c>
      <c r="O20" s="8"/>
      <c r="P20" s="10">
        <v>43991</v>
      </c>
      <c r="Q20" s="8" t="s">
        <v>280</v>
      </c>
      <c r="R20" s="8" t="s">
        <v>281</v>
      </c>
      <c r="S20" s="8" t="s">
        <v>282</v>
      </c>
      <c r="T20" s="8" t="s">
        <v>283</v>
      </c>
      <c r="U20" s="8" t="s">
        <v>284</v>
      </c>
      <c r="V20" s="8" t="s">
        <v>285</v>
      </c>
      <c r="W20" s="8" t="s">
        <v>2002</v>
      </c>
      <c r="X20" s="8" t="s">
        <v>287</v>
      </c>
      <c r="Y20" s="8" t="s">
        <v>288</v>
      </c>
    </row>
    <row r="21" customHeight="1" spans="2:25">
      <c r="B21" s="7"/>
      <c r="C21" s="8"/>
      <c r="D21" s="3" t="str">
        <f t="shared" ref="D21:D22" si="6">D20</f>
        <v>哗啦啦</v>
      </c>
      <c r="E21" s="8"/>
      <c r="F21" s="9"/>
      <c r="G21" s="8"/>
      <c r="H21" s="8"/>
      <c r="I21" s="8"/>
      <c r="J21" s="8"/>
      <c r="K21" s="3" t="str">
        <f t="shared" ref="K21:K22" si="7">K20</f>
        <v>运营中</v>
      </c>
      <c r="L21" s="8"/>
      <c r="M21" s="8"/>
      <c r="N21" s="8"/>
      <c r="O21" s="8"/>
      <c r="P21" s="10">
        <v>43313</v>
      </c>
      <c r="Q21" s="8" t="s">
        <v>868</v>
      </c>
      <c r="R21" s="8" t="s">
        <v>281</v>
      </c>
      <c r="S21" s="8" t="s">
        <v>2003</v>
      </c>
      <c r="T21" s="8"/>
      <c r="U21" s="8"/>
      <c r="V21" s="8"/>
      <c r="W21" s="8"/>
      <c r="X21" s="8"/>
      <c r="Y21" s="8"/>
    </row>
    <row r="22" customHeight="1" spans="2:25">
      <c r="B22" s="7"/>
      <c r="C22" s="8"/>
      <c r="D22" s="3" t="str">
        <f t="shared" si="6"/>
        <v>哗啦啦</v>
      </c>
      <c r="E22" s="8"/>
      <c r="F22" s="9"/>
      <c r="G22" s="8"/>
      <c r="H22" s="8"/>
      <c r="I22" s="8"/>
      <c r="J22" s="8"/>
      <c r="K22" s="3" t="str">
        <f t="shared" si="7"/>
        <v>运营中</v>
      </c>
      <c r="L22" s="8"/>
      <c r="M22" s="8"/>
      <c r="N22" s="8"/>
      <c r="O22" s="8"/>
      <c r="P22" s="10">
        <v>42684</v>
      </c>
      <c r="Q22" s="8" t="s">
        <v>1167</v>
      </c>
      <c r="R22" s="8" t="s">
        <v>281</v>
      </c>
      <c r="S22" s="8" t="s">
        <v>2004</v>
      </c>
      <c r="T22" s="8"/>
      <c r="U22" s="8"/>
      <c r="V22" s="8"/>
      <c r="W22" s="8"/>
      <c r="X22" s="8"/>
      <c r="Y22" s="8"/>
    </row>
    <row r="23" customHeight="1" spans="2:25">
      <c r="B23" s="7"/>
      <c r="C23" s="8" t="s">
        <v>291</v>
      </c>
      <c r="D23" s="3" t="s">
        <v>2005</v>
      </c>
      <c r="E23" s="8" t="s">
        <v>2005</v>
      </c>
      <c r="F23" s="9" t="s">
        <v>2006</v>
      </c>
      <c r="G23" s="8" t="s">
        <v>2007</v>
      </c>
      <c r="H23" s="8" t="s">
        <v>295</v>
      </c>
      <c r="I23" s="8" t="s">
        <v>296</v>
      </c>
      <c r="J23" s="8" t="s">
        <v>890</v>
      </c>
      <c r="K23" s="3" t="s">
        <v>278</v>
      </c>
      <c r="L23" s="8" t="s">
        <v>278</v>
      </c>
      <c r="M23" s="8" t="s">
        <v>41</v>
      </c>
      <c r="N23" s="8" t="s">
        <v>2008</v>
      </c>
      <c r="O23" s="8">
        <v>1</v>
      </c>
      <c r="P23" s="10">
        <v>42639</v>
      </c>
      <c r="Q23" s="8" t="s">
        <v>1948</v>
      </c>
      <c r="R23" s="8" t="s">
        <v>281</v>
      </c>
      <c r="S23" s="8" t="s">
        <v>809</v>
      </c>
      <c r="T23" s="8" t="s">
        <v>2009</v>
      </c>
      <c r="U23" s="8" t="s">
        <v>284</v>
      </c>
      <c r="V23" s="8" t="s">
        <v>2010</v>
      </c>
      <c r="W23" s="8" t="s">
        <v>2011</v>
      </c>
      <c r="X23" s="8" t="s">
        <v>302</v>
      </c>
      <c r="Y23" s="8" t="s">
        <v>303</v>
      </c>
    </row>
    <row r="24" customHeight="1" spans="2:25">
      <c r="B24" s="7"/>
      <c r="C24" s="8"/>
      <c r="D24" s="3" t="str">
        <f>D23</f>
        <v>钱袋宝</v>
      </c>
      <c r="E24" s="8"/>
      <c r="F24" s="9"/>
      <c r="G24" s="8"/>
      <c r="H24" s="8"/>
      <c r="I24" s="8"/>
      <c r="J24" s="8"/>
      <c r="K24" s="3" t="str">
        <f>K23</f>
        <v>运营中</v>
      </c>
      <c r="L24" s="8"/>
      <c r="M24" s="8"/>
      <c r="N24" s="8"/>
      <c r="O24" s="8">
        <v>1</v>
      </c>
      <c r="P24" s="10">
        <v>41969</v>
      </c>
      <c r="Q24" s="8" t="s">
        <v>1167</v>
      </c>
      <c r="R24" s="8" t="s">
        <v>430</v>
      </c>
      <c r="S24" s="8" t="s">
        <v>2012</v>
      </c>
      <c r="T24" s="8"/>
      <c r="U24" s="8"/>
      <c r="V24" s="8"/>
      <c r="W24" s="8"/>
      <c r="X24" s="8"/>
      <c r="Y24" s="8"/>
    </row>
    <row r="25" customHeight="1" spans="2:25">
      <c r="B25" s="7"/>
      <c r="C25" s="8" t="s">
        <v>305</v>
      </c>
      <c r="D25" s="3" t="s">
        <v>2013</v>
      </c>
      <c r="E25" s="8" t="s">
        <v>2013</v>
      </c>
      <c r="F25" s="9" t="s">
        <v>2014</v>
      </c>
      <c r="G25" s="8" t="s">
        <v>2015</v>
      </c>
      <c r="H25" s="8" t="s">
        <v>309</v>
      </c>
      <c r="I25" s="8" t="s">
        <v>310</v>
      </c>
      <c r="J25" s="8" t="s">
        <v>890</v>
      </c>
      <c r="K25" s="3" t="s">
        <v>278</v>
      </c>
      <c r="L25" s="8" t="s">
        <v>278</v>
      </c>
      <c r="M25" s="8" t="s">
        <v>54</v>
      </c>
      <c r="N25" s="8" t="s">
        <v>2016</v>
      </c>
      <c r="O25" s="8">
        <v>1</v>
      </c>
      <c r="P25" s="10">
        <v>42201</v>
      </c>
      <c r="Q25" s="8" t="s">
        <v>1948</v>
      </c>
      <c r="R25" s="8" t="s">
        <v>556</v>
      </c>
      <c r="S25" s="8" t="s">
        <v>809</v>
      </c>
      <c r="T25" s="8" t="s">
        <v>2017</v>
      </c>
      <c r="U25" s="8" t="s">
        <v>284</v>
      </c>
      <c r="V25" s="8" t="s">
        <v>2018</v>
      </c>
      <c r="W25" s="8"/>
      <c r="X25" s="8"/>
      <c r="Y25" s="8"/>
    </row>
    <row r="26" customHeight="1" spans="2:25">
      <c r="B26" s="7"/>
      <c r="C26" s="8"/>
      <c r="D26" s="3" t="str">
        <f t="shared" ref="D26:D28" si="8">D25</f>
        <v>酷讯旅游</v>
      </c>
      <c r="E26" s="8"/>
      <c r="F26" s="9"/>
      <c r="G26" s="8"/>
      <c r="H26" s="8"/>
      <c r="I26" s="8"/>
      <c r="J26" s="8"/>
      <c r="K26" s="3" t="str">
        <f t="shared" ref="K26:K28" si="9">K25</f>
        <v>运营中</v>
      </c>
      <c r="L26" s="8"/>
      <c r="M26" s="8"/>
      <c r="N26" s="8"/>
      <c r="O26" s="8">
        <v>1</v>
      </c>
      <c r="P26" s="10">
        <v>40119</v>
      </c>
      <c r="Q26" s="8" t="s">
        <v>1948</v>
      </c>
      <c r="R26" s="8" t="s">
        <v>556</v>
      </c>
      <c r="S26" s="8" t="s">
        <v>316</v>
      </c>
      <c r="T26" s="8"/>
      <c r="U26" s="8"/>
      <c r="V26" s="8"/>
      <c r="W26" s="8"/>
      <c r="X26" s="8"/>
      <c r="Y26" s="8"/>
    </row>
    <row r="27" customHeight="1" spans="2:25">
      <c r="B27" s="7"/>
      <c r="C27" s="8"/>
      <c r="D27" s="3" t="str">
        <f t="shared" si="8"/>
        <v>酷讯旅游</v>
      </c>
      <c r="E27" s="8"/>
      <c r="F27" s="9"/>
      <c r="G27" s="8"/>
      <c r="H27" s="8"/>
      <c r="I27" s="8"/>
      <c r="J27" s="8"/>
      <c r="K27" s="3" t="str">
        <f t="shared" si="9"/>
        <v>运营中</v>
      </c>
      <c r="L27" s="8"/>
      <c r="M27" s="8"/>
      <c r="N27" s="8"/>
      <c r="O27" s="8">
        <v>1</v>
      </c>
      <c r="P27" s="10">
        <v>38961</v>
      </c>
      <c r="Q27" s="8" t="s">
        <v>868</v>
      </c>
      <c r="R27" s="8" t="s">
        <v>2019</v>
      </c>
      <c r="S27" s="8" t="s">
        <v>2020</v>
      </c>
      <c r="T27" s="8"/>
      <c r="U27" s="8"/>
      <c r="V27" s="8"/>
      <c r="W27" s="8"/>
      <c r="X27" s="8"/>
      <c r="Y27" s="8"/>
    </row>
    <row r="28" customHeight="1" spans="2:25">
      <c r="B28" s="7"/>
      <c r="C28" s="8"/>
      <c r="D28" s="3" t="str">
        <f t="shared" si="8"/>
        <v>酷讯旅游</v>
      </c>
      <c r="E28" s="8"/>
      <c r="F28" s="9"/>
      <c r="G28" s="8"/>
      <c r="H28" s="8"/>
      <c r="I28" s="8"/>
      <c r="J28" s="8"/>
      <c r="K28" s="3" t="str">
        <f t="shared" si="9"/>
        <v>运营中</v>
      </c>
      <c r="L28" s="8"/>
      <c r="M28" s="8"/>
      <c r="N28" s="8"/>
      <c r="O28" s="8">
        <v>1</v>
      </c>
      <c r="P28" s="10">
        <v>38777</v>
      </c>
      <c r="Q28" s="8" t="s">
        <v>1167</v>
      </c>
      <c r="R28" s="8" t="s">
        <v>2021</v>
      </c>
      <c r="S28" s="8" t="s">
        <v>2022</v>
      </c>
      <c r="T28" s="8"/>
      <c r="U28" s="8"/>
      <c r="V28" s="8"/>
      <c r="W28" s="8"/>
      <c r="X28" s="8"/>
      <c r="Y28" s="8"/>
    </row>
    <row r="29" customHeight="1" spans="2:25">
      <c r="B29" s="7"/>
      <c r="C29" s="8" t="s">
        <v>321</v>
      </c>
      <c r="D29" s="3" t="s">
        <v>2023</v>
      </c>
      <c r="E29" s="8" t="s">
        <v>2023</v>
      </c>
      <c r="F29" s="9" t="s">
        <v>2024</v>
      </c>
      <c r="G29" s="8" t="s">
        <v>2025</v>
      </c>
      <c r="H29" s="8" t="s">
        <v>325</v>
      </c>
      <c r="I29" s="8" t="s">
        <v>326</v>
      </c>
      <c r="J29" s="8" t="s">
        <v>987</v>
      </c>
      <c r="K29" s="3" t="s">
        <v>2026</v>
      </c>
      <c r="L29" s="8" t="s">
        <v>2026</v>
      </c>
      <c r="M29" s="8" t="s">
        <v>54</v>
      </c>
      <c r="N29" s="8" t="s">
        <v>2027</v>
      </c>
      <c r="O29" s="8"/>
      <c r="P29" s="10">
        <v>42381</v>
      </c>
      <c r="Q29" s="8" t="s">
        <v>868</v>
      </c>
      <c r="R29" s="8" t="s">
        <v>281</v>
      </c>
      <c r="S29" s="8" t="s">
        <v>262</v>
      </c>
      <c r="T29" s="8" t="s">
        <v>2028</v>
      </c>
      <c r="U29" s="8" t="s">
        <v>284</v>
      </c>
      <c r="V29" s="8" t="s">
        <v>2029</v>
      </c>
      <c r="W29" s="8" t="s">
        <v>2030</v>
      </c>
      <c r="X29" s="8"/>
      <c r="Y29" s="8" t="s">
        <v>333</v>
      </c>
    </row>
    <row r="30" customHeight="1" spans="2:25">
      <c r="B30" s="7"/>
      <c r="C30" s="8"/>
      <c r="D30" s="3" t="str">
        <f t="shared" ref="D30:D32" si="10">D29</f>
        <v>番茄来了</v>
      </c>
      <c r="E30" s="8"/>
      <c r="F30" s="9"/>
      <c r="G30" s="8"/>
      <c r="H30" s="8"/>
      <c r="I30" s="8"/>
      <c r="J30" s="8"/>
      <c r="K30" s="3" t="str">
        <f t="shared" ref="K30:K32" si="11">K29</f>
        <v>已关闭</v>
      </c>
      <c r="L30" s="8"/>
      <c r="M30" s="8"/>
      <c r="N30" s="8"/>
      <c r="O30" s="8"/>
      <c r="P30" s="10">
        <v>42358</v>
      </c>
      <c r="Q30" s="8" t="s">
        <v>1180</v>
      </c>
      <c r="R30" s="8" t="s">
        <v>1816</v>
      </c>
      <c r="S30" s="8" t="s">
        <v>2031</v>
      </c>
      <c r="T30" s="8"/>
      <c r="U30" s="8"/>
      <c r="V30" s="8"/>
      <c r="W30" s="8"/>
      <c r="X30" s="8"/>
      <c r="Y30" s="8"/>
    </row>
    <row r="31" customHeight="1" spans="2:25">
      <c r="B31" s="7"/>
      <c r="C31" s="8"/>
      <c r="D31" s="3" t="str">
        <f t="shared" si="10"/>
        <v>番茄来了</v>
      </c>
      <c r="E31" s="8"/>
      <c r="F31" s="9"/>
      <c r="G31" s="8"/>
      <c r="H31" s="8"/>
      <c r="I31" s="8"/>
      <c r="J31" s="8"/>
      <c r="K31" s="3" t="str">
        <f t="shared" si="11"/>
        <v>已关闭</v>
      </c>
      <c r="L31" s="8"/>
      <c r="M31" s="8"/>
      <c r="N31" s="8"/>
      <c r="O31" s="8"/>
      <c r="P31" s="10">
        <v>42023</v>
      </c>
      <c r="Q31" s="8" t="s">
        <v>1167</v>
      </c>
      <c r="R31" s="8" t="s">
        <v>1816</v>
      </c>
      <c r="S31" s="8" t="s">
        <v>809</v>
      </c>
      <c r="T31" s="8"/>
      <c r="U31" s="8"/>
      <c r="V31" s="8"/>
      <c r="W31" s="8"/>
      <c r="X31" s="8"/>
      <c r="Y31" s="8"/>
    </row>
    <row r="32" customHeight="1" spans="2:25">
      <c r="B32" s="7"/>
      <c r="C32" s="8"/>
      <c r="D32" s="3" t="str">
        <f t="shared" si="10"/>
        <v>番茄来了</v>
      </c>
      <c r="E32" s="8"/>
      <c r="F32" s="9"/>
      <c r="G32" s="8"/>
      <c r="H32" s="8"/>
      <c r="I32" s="8"/>
      <c r="J32" s="8"/>
      <c r="K32" s="3" t="str">
        <f t="shared" si="11"/>
        <v>已关闭</v>
      </c>
      <c r="L32" s="8"/>
      <c r="M32" s="8"/>
      <c r="N32" s="8"/>
      <c r="O32" s="8"/>
      <c r="P32" s="10">
        <v>41692</v>
      </c>
      <c r="Q32" s="8" t="s">
        <v>1875</v>
      </c>
      <c r="R32" s="8" t="s">
        <v>1952</v>
      </c>
      <c r="S32" s="8" t="s">
        <v>262</v>
      </c>
      <c r="T32" s="8"/>
      <c r="U32" s="8"/>
      <c r="V32" s="8"/>
      <c r="W32" s="8"/>
      <c r="X32" s="8"/>
      <c r="Y32" s="8"/>
    </row>
    <row r="33" customHeight="1" spans="2:25">
      <c r="B33" s="7"/>
      <c r="C33" s="8" t="s">
        <v>336</v>
      </c>
      <c r="D33" s="3" t="s">
        <v>2032</v>
      </c>
      <c r="E33" s="8" t="s">
        <v>2032</v>
      </c>
      <c r="F33" s="9" t="s">
        <v>2033</v>
      </c>
      <c r="G33" s="8" t="s">
        <v>2034</v>
      </c>
      <c r="H33" s="8" t="s">
        <v>340</v>
      </c>
      <c r="I33" s="8" t="s">
        <v>341</v>
      </c>
      <c r="J33" s="8" t="s">
        <v>553</v>
      </c>
      <c r="K33" s="3" t="s">
        <v>278</v>
      </c>
      <c r="L33" s="8" t="s">
        <v>278</v>
      </c>
      <c r="M33" s="8" t="s">
        <v>10</v>
      </c>
      <c r="N33" s="8" t="s">
        <v>2035</v>
      </c>
      <c r="O33" s="8">
        <v>1</v>
      </c>
      <c r="P33" s="10">
        <v>43238</v>
      </c>
      <c r="Q33" s="8" t="s">
        <v>1948</v>
      </c>
      <c r="R33" s="8" t="s">
        <v>281</v>
      </c>
      <c r="S33" s="8" t="s">
        <v>2036</v>
      </c>
      <c r="T33" s="8" t="s">
        <v>2037</v>
      </c>
      <c r="U33" s="8" t="s">
        <v>284</v>
      </c>
      <c r="V33" s="8" t="s">
        <v>2038</v>
      </c>
      <c r="W33" s="8" t="s">
        <v>2039</v>
      </c>
      <c r="X33" s="8" t="s">
        <v>348</v>
      </c>
      <c r="Y33" s="8" t="s">
        <v>349</v>
      </c>
    </row>
    <row r="34" customHeight="1" spans="2:25">
      <c r="B34" s="7"/>
      <c r="C34" s="8"/>
      <c r="D34" s="3" t="str">
        <f t="shared" ref="D34:D35" si="12">D33</f>
        <v>天子星</v>
      </c>
      <c r="E34" s="8"/>
      <c r="F34" s="9"/>
      <c r="G34" s="8"/>
      <c r="H34" s="8"/>
      <c r="I34" s="8"/>
      <c r="J34" s="8"/>
      <c r="K34" s="3" t="str">
        <f t="shared" ref="K34:K35" si="13">K33</f>
        <v>运营中</v>
      </c>
      <c r="L34" s="8"/>
      <c r="M34" s="8"/>
      <c r="N34" s="8"/>
      <c r="O34" s="8">
        <v>1</v>
      </c>
      <c r="P34" s="10">
        <v>42720</v>
      </c>
      <c r="Q34" s="8" t="s">
        <v>868</v>
      </c>
      <c r="R34" s="8" t="s">
        <v>1816</v>
      </c>
      <c r="S34" s="8" t="s">
        <v>809</v>
      </c>
      <c r="T34" s="8"/>
      <c r="U34" s="8"/>
      <c r="V34" s="8"/>
      <c r="W34" s="8"/>
      <c r="X34" s="8"/>
      <c r="Y34" s="8"/>
    </row>
    <row r="35" customHeight="1" spans="2:25">
      <c r="B35" s="7"/>
      <c r="C35" s="8"/>
      <c r="D35" s="3" t="str">
        <f t="shared" si="12"/>
        <v>天子星</v>
      </c>
      <c r="E35" s="8"/>
      <c r="F35" s="9"/>
      <c r="G35" s="8"/>
      <c r="H35" s="8"/>
      <c r="I35" s="8"/>
      <c r="J35" s="8"/>
      <c r="K35" s="3" t="str">
        <f t="shared" si="13"/>
        <v>运营中</v>
      </c>
      <c r="L35" s="8"/>
      <c r="M35" s="8"/>
      <c r="N35" s="8"/>
      <c r="O35" s="8">
        <v>1</v>
      </c>
      <c r="P35" s="10">
        <v>42131</v>
      </c>
      <c r="Q35" s="8" t="s">
        <v>1167</v>
      </c>
      <c r="R35" s="8" t="s">
        <v>281</v>
      </c>
      <c r="S35" s="8" t="s">
        <v>262</v>
      </c>
      <c r="T35" s="8"/>
      <c r="U35" s="8"/>
      <c r="V35" s="8"/>
      <c r="W35" s="8"/>
      <c r="X35" s="8"/>
      <c r="Y35" s="8"/>
    </row>
    <row r="36" customHeight="1" spans="2:25">
      <c r="B36" s="7"/>
      <c r="C36" s="8" t="s">
        <v>350</v>
      </c>
      <c r="D36" s="3" t="s">
        <v>2040</v>
      </c>
      <c r="E36" s="8" t="s">
        <v>2040</v>
      </c>
      <c r="F36" s="9" t="s">
        <v>2041</v>
      </c>
      <c r="G36" s="8" t="s">
        <v>2042</v>
      </c>
      <c r="H36" s="8" t="s">
        <v>354</v>
      </c>
      <c r="I36" s="8" t="s">
        <v>355</v>
      </c>
      <c r="J36" s="8" t="s">
        <v>1987</v>
      </c>
      <c r="K36" s="3" t="s">
        <v>2026</v>
      </c>
      <c r="L36" s="8" t="s">
        <v>2026</v>
      </c>
      <c r="M36" s="8" t="s">
        <v>23</v>
      </c>
      <c r="N36" s="8" t="s">
        <v>1657</v>
      </c>
      <c r="O36" s="8">
        <v>1</v>
      </c>
      <c r="P36" s="10">
        <v>42775</v>
      </c>
      <c r="Q36" s="8" t="s">
        <v>1948</v>
      </c>
      <c r="R36" s="8" t="s">
        <v>281</v>
      </c>
      <c r="S36" s="8" t="s">
        <v>2043</v>
      </c>
      <c r="T36" s="8" t="s">
        <v>2044</v>
      </c>
      <c r="U36" s="8" t="s">
        <v>284</v>
      </c>
      <c r="V36" s="8" t="s">
        <v>2045</v>
      </c>
      <c r="W36" s="8" t="s">
        <v>2046</v>
      </c>
      <c r="X36" s="8" t="s">
        <v>362</v>
      </c>
      <c r="Y36" s="8"/>
    </row>
    <row r="37" customHeight="1" spans="2:25">
      <c r="B37" s="7"/>
      <c r="C37" s="8"/>
      <c r="D37" s="3" t="str">
        <f t="shared" ref="D37:D41" si="14">D36</f>
        <v>爱鲜蜂</v>
      </c>
      <c r="E37" s="8"/>
      <c r="F37" s="9"/>
      <c r="G37" s="8"/>
      <c r="H37" s="8"/>
      <c r="I37" s="8"/>
      <c r="J37" s="8"/>
      <c r="K37" s="3" t="str">
        <f t="shared" ref="K37:K41" si="15">K36</f>
        <v>已关闭</v>
      </c>
      <c r="L37" s="8"/>
      <c r="M37" s="8"/>
      <c r="N37" s="8"/>
      <c r="O37" s="8">
        <v>1</v>
      </c>
      <c r="P37" s="10">
        <v>42678</v>
      </c>
      <c r="Q37" s="8" t="s">
        <v>1579</v>
      </c>
      <c r="R37" s="8" t="s">
        <v>1966</v>
      </c>
      <c r="S37" s="8" t="s">
        <v>809</v>
      </c>
      <c r="T37" s="8"/>
      <c r="U37" s="8"/>
      <c r="V37" s="8"/>
      <c r="W37" s="8"/>
      <c r="X37" s="8"/>
      <c r="Y37" s="8"/>
    </row>
    <row r="38" customHeight="1" spans="2:25">
      <c r="B38" s="7"/>
      <c r="C38" s="8"/>
      <c r="D38" s="3" t="str">
        <f t="shared" si="14"/>
        <v>爱鲜蜂</v>
      </c>
      <c r="E38" s="8"/>
      <c r="F38" s="9"/>
      <c r="G38" s="8"/>
      <c r="H38" s="8"/>
      <c r="I38" s="8"/>
      <c r="J38" s="8"/>
      <c r="K38" s="3" t="str">
        <f t="shared" si="15"/>
        <v>已关闭</v>
      </c>
      <c r="L38" s="8"/>
      <c r="M38" s="8"/>
      <c r="N38" s="8"/>
      <c r="O38" s="8">
        <v>1</v>
      </c>
      <c r="P38" s="10">
        <v>42270</v>
      </c>
      <c r="Q38" s="8" t="s">
        <v>425</v>
      </c>
      <c r="R38" s="8" t="s">
        <v>2047</v>
      </c>
      <c r="S38" s="8" t="s">
        <v>2048</v>
      </c>
      <c r="T38" s="8"/>
      <c r="U38" s="8"/>
      <c r="V38" s="8"/>
      <c r="W38" s="8"/>
      <c r="X38" s="8"/>
      <c r="Y38" s="8"/>
    </row>
    <row r="39" customHeight="1" spans="2:25">
      <c r="B39" s="7"/>
      <c r="C39" s="8"/>
      <c r="D39" s="3" t="str">
        <f t="shared" si="14"/>
        <v>爱鲜蜂</v>
      </c>
      <c r="E39" s="8"/>
      <c r="F39" s="9"/>
      <c r="G39" s="8"/>
      <c r="H39" s="8"/>
      <c r="I39" s="8"/>
      <c r="J39" s="8"/>
      <c r="K39" s="3" t="str">
        <f t="shared" si="15"/>
        <v>已关闭</v>
      </c>
      <c r="L39" s="8"/>
      <c r="M39" s="8"/>
      <c r="N39" s="8"/>
      <c r="O39" s="8">
        <v>1</v>
      </c>
      <c r="P39" s="10">
        <v>42093</v>
      </c>
      <c r="Q39" s="8" t="s">
        <v>868</v>
      </c>
      <c r="R39" s="8" t="s">
        <v>2049</v>
      </c>
      <c r="S39" s="8" t="s">
        <v>2050</v>
      </c>
      <c r="T39" s="8"/>
      <c r="U39" s="8"/>
      <c r="V39" s="8"/>
      <c r="W39" s="8"/>
      <c r="X39" s="8"/>
      <c r="Y39" s="8"/>
    </row>
    <row r="40" customHeight="1" spans="2:25">
      <c r="B40" s="7"/>
      <c r="C40" s="8"/>
      <c r="D40" s="3" t="str">
        <f t="shared" si="14"/>
        <v>爱鲜蜂</v>
      </c>
      <c r="E40" s="8"/>
      <c r="F40" s="9"/>
      <c r="G40" s="8"/>
      <c r="H40" s="8"/>
      <c r="I40" s="8"/>
      <c r="J40" s="8"/>
      <c r="K40" s="3" t="str">
        <f t="shared" si="15"/>
        <v>已关闭</v>
      </c>
      <c r="L40" s="8"/>
      <c r="M40" s="8"/>
      <c r="N40" s="8"/>
      <c r="O40" s="8">
        <v>1</v>
      </c>
      <c r="P40" s="10">
        <v>41927</v>
      </c>
      <c r="Q40" s="8" t="s">
        <v>1167</v>
      </c>
      <c r="R40" s="8" t="s">
        <v>2049</v>
      </c>
      <c r="S40" s="8" t="s">
        <v>2051</v>
      </c>
      <c r="T40" s="8"/>
      <c r="U40" s="8"/>
      <c r="V40" s="8"/>
      <c r="W40" s="8"/>
      <c r="X40" s="8"/>
      <c r="Y40" s="8"/>
    </row>
    <row r="41" customHeight="1" spans="2:25">
      <c r="B41" s="7"/>
      <c r="C41" s="8"/>
      <c r="D41" s="3" t="str">
        <f t="shared" si="14"/>
        <v>爱鲜蜂</v>
      </c>
      <c r="E41" s="8"/>
      <c r="F41" s="9"/>
      <c r="G41" s="8"/>
      <c r="H41" s="8"/>
      <c r="I41" s="8"/>
      <c r="J41" s="8"/>
      <c r="K41" s="3" t="str">
        <f t="shared" si="15"/>
        <v>已关闭</v>
      </c>
      <c r="L41" s="8"/>
      <c r="M41" s="8"/>
      <c r="N41" s="8"/>
      <c r="O41" s="8">
        <v>1</v>
      </c>
      <c r="P41" s="10">
        <v>41802</v>
      </c>
      <c r="Q41" s="8" t="s">
        <v>1875</v>
      </c>
      <c r="R41" s="8" t="s">
        <v>2052</v>
      </c>
      <c r="S41" s="8" t="s">
        <v>2053</v>
      </c>
      <c r="T41" s="8"/>
      <c r="U41" s="8"/>
      <c r="V41" s="8"/>
      <c r="W41" s="8"/>
      <c r="X41" s="8"/>
      <c r="Y41" s="8"/>
    </row>
    <row r="42" customHeight="1" spans="2:25">
      <c r="B42" s="7"/>
      <c r="C42" s="8" t="s">
        <v>371</v>
      </c>
      <c r="D42" s="8" t="s">
        <v>2054</v>
      </c>
      <c r="E42" s="8" t="s">
        <v>2054</v>
      </c>
      <c r="F42" s="9" t="s">
        <v>2055</v>
      </c>
      <c r="G42" s="8" t="s">
        <v>2056</v>
      </c>
      <c r="H42" s="8" t="s">
        <v>375</v>
      </c>
      <c r="I42" s="8" t="s">
        <v>376</v>
      </c>
      <c r="J42" s="8" t="s">
        <v>987</v>
      </c>
      <c r="K42" s="8" t="s">
        <v>278</v>
      </c>
      <c r="L42" s="8" t="s">
        <v>278</v>
      </c>
      <c r="M42" s="8" t="s">
        <v>27</v>
      </c>
      <c r="N42" s="8" t="s">
        <v>2057</v>
      </c>
      <c r="O42" s="8"/>
      <c r="P42" s="10">
        <v>41975</v>
      </c>
      <c r="Q42" s="8" t="s">
        <v>1167</v>
      </c>
      <c r="R42" s="8" t="s">
        <v>1816</v>
      </c>
      <c r="S42" s="8" t="s">
        <v>809</v>
      </c>
      <c r="T42" s="8" t="s">
        <v>2058</v>
      </c>
      <c r="U42" s="8" t="s">
        <v>1819</v>
      </c>
      <c r="V42" s="8" t="s">
        <v>2059</v>
      </c>
      <c r="W42" s="8"/>
      <c r="X42" s="8"/>
      <c r="Y42" s="8"/>
    </row>
    <row r="43" customHeight="1" spans="2:25">
      <c r="B43" s="7"/>
      <c r="C43" s="8" t="s">
        <v>381</v>
      </c>
      <c r="D43" s="3" t="s">
        <v>2060</v>
      </c>
      <c r="E43" s="8" t="s">
        <v>2060</v>
      </c>
      <c r="F43" s="9" t="s">
        <v>2061</v>
      </c>
      <c r="G43" s="8" t="s">
        <v>2062</v>
      </c>
      <c r="H43" s="8" t="s">
        <v>385</v>
      </c>
      <c r="I43" s="8" t="s">
        <v>386</v>
      </c>
      <c r="J43" s="8" t="s">
        <v>553</v>
      </c>
      <c r="K43" s="3" t="s">
        <v>278</v>
      </c>
      <c r="L43" s="8" t="s">
        <v>278</v>
      </c>
      <c r="M43" s="8" t="s">
        <v>37</v>
      </c>
      <c r="N43" s="8" t="s">
        <v>2063</v>
      </c>
      <c r="O43" s="8"/>
      <c r="P43" s="10">
        <v>42537</v>
      </c>
      <c r="Q43" s="8" t="s">
        <v>1167</v>
      </c>
      <c r="R43" s="8" t="s">
        <v>1778</v>
      </c>
      <c r="S43" s="8" t="s">
        <v>2064</v>
      </c>
      <c r="T43" s="8" t="s">
        <v>2065</v>
      </c>
      <c r="U43" s="8" t="s">
        <v>2066</v>
      </c>
      <c r="V43" s="8" t="s">
        <v>2067</v>
      </c>
      <c r="W43" s="8"/>
      <c r="X43" s="8"/>
      <c r="Y43" s="8"/>
    </row>
    <row r="44" customHeight="1" spans="2:25">
      <c r="B44" s="7"/>
      <c r="C44" s="8"/>
      <c r="D44" s="3" t="str">
        <f t="shared" ref="D44:D45" si="16">D43</f>
        <v>餐饮老板内参</v>
      </c>
      <c r="E44" s="8"/>
      <c r="F44" s="9"/>
      <c r="G44" s="8"/>
      <c r="H44" s="8"/>
      <c r="I44" s="8"/>
      <c r="J44" s="8"/>
      <c r="K44" s="3" t="str">
        <f t="shared" ref="K44:K45" si="17">K43</f>
        <v>运营中</v>
      </c>
      <c r="L44" s="8"/>
      <c r="M44" s="8"/>
      <c r="N44" s="8"/>
      <c r="O44" s="8"/>
      <c r="P44" s="10">
        <v>42211</v>
      </c>
      <c r="Q44" s="8" t="s">
        <v>1169</v>
      </c>
      <c r="R44" s="8" t="s">
        <v>1963</v>
      </c>
      <c r="S44" s="8" t="s">
        <v>2068</v>
      </c>
      <c r="T44" s="8"/>
      <c r="U44" s="8"/>
      <c r="V44" s="8"/>
      <c r="W44" s="8"/>
      <c r="X44" s="8"/>
      <c r="Y44" s="8"/>
    </row>
    <row r="45" customHeight="1" spans="2:25">
      <c r="B45" s="7"/>
      <c r="C45" s="8"/>
      <c r="D45" s="3" t="str">
        <f t="shared" si="16"/>
        <v>餐饮老板内参</v>
      </c>
      <c r="E45" s="8"/>
      <c r="F45" s="9"/>
      <c r="G45" s="8"/>
      <c r="H45" s="8"/>
      <c r="I45" s="8"/>
      <c r="J45" s="8"/>
      <c r="K45" s="3" t="str">
        <f t="shared" si="17"/>
        <v>运营中</v>
      </c>
      <c r="L45" s="8"/>
      <c r="M45" s="8"/>
      <c r="N45" s="8"/>
      <c r="O45" s="8"/>
      <c r="P45" s="10">
        <v>41821</v>
      </c>
      <c r="Q45" s="8" t="s">
        <v>1875</v>
      </c>
      <c r="R45" s="8" t="s">
        <v>1952</v>
      </c>
      <c r="S45" s="8" t="s">
        <v>2069</v>
      </c>
      <c r="T45" s="8"/>
      <c r="U45" s="8"/>
      <c r="V45" s="8"/>
      <c r="W45" s="8"/>
      <c r="X45" s="8"/>
      <c r="Y45" s="8"/>
    </row>
    <row r="46" customHeight="1" spans="2:25">
      <c r="B46" s="7"/>
      <c r="C46" s="8" t="s">
        <v>396</v>
      </c>
      <c r="D46" s="3" t="s">
        <v>2070</v>
      </c>
      <c r="E46" s="8" t="s">
        <v>2070</v>
      </c>
      <c r="F46" s="9" t="s">
        <v>2071</v>
      </c>
      <c r="G46" s="8" t="s">
        <v>2072</v>
      </c>
      <c r="H46" s="8" t="s">
        <v>400</v>
      </c>
      <c r="I46" s="8" t="s">
        <v>401</v>
      </c>
      <c r="J46" s="8" t="s">
        <v>2073</v>
      </c>
      <c r="K46" s="3" t="s">
        <v>278</v>
      </c>
      <c r="L46" s="8" t="s">
        <v>278</v>
      </c>
      <c r="M46" s="8" t="s">
        <v>27</v>
      </c>
      <c r="N46" s="8" t="s">
        <v>1677</v>
      </c>
      <c r="O46" s="8">
        <v>1</v>
      </c>
      <c r="P46" s="10">
        <v>43243</v>
      </c>
      <c r="Q46" s="8" t="s">
        <v>1948</v>
      </c>
      <c r="R46" s="8" t="s">
        <v>281</v>
      </c>
      <c r="S46" s="8" t="s">
        <v>809</v>
      </c>
      <c r="T46" s="8" t="s">
        <v>2028</v>
      </c>
      <c r="U46" s="8" t="s">
        <v>284</v>
      </c>
      <c r="V46" s="8" t="s">
        <v>2074</v>
      </c>
      <c r="W46" s="8" t="s">
        <v>2075</v>
      </c>
      <c r="X46" s="8"/>
      <c r="Y46" s="8" t="s">
        <v>406</v>
      </c>
    </row>
    <row r="47" customHeight="1" spans="2:25">
      <c r="B47" s="7"/>
      <c r="C47" s="8"/>
      <c r="D47" s="3" t="str">
        <f t="shared" ref="D47:D49" si="18">D46</f>
        <v>别样红云PMS</v>
      </c>
      <c r="E47" s="8"/>
      <c r="F47" s="9"/>
      <c r="G47" s="8"/>
      <c r="H47" s="8"/>
      <c r="I47" s="8"/>
      <c r="J47" s="8"/>
      <c r="K47" s="3" t="str">
        <f t="shared" ref="K47:K49" si="19">K46</f>
        <v>运营中</v>
      </c>
      <c r="L47" s="8"/>
      <c r="M47" s="8"/>
      <c r="N47" s="8"/>
      <c r="O47" s="8">
        <v>1</v>
      </c>
      <c r="P47" s="10">
        <v>42356</v>
      </c>
      <c r="Q47" s="8" t="s">
        <v>868</v>
      </c>
      <c r="R47" s="8" t="s">
        <v>1816</v>
      </c>
      <c r="S47" s="8" t="s">
        <v>809</v>
      </c>
      <c r="T47" s="8"/>
      <c r="U47" s="8"/>
      <c r="V47" s="8"/>
      <c r="W47" s="8"/>
      <c r="X47" s="8"/>
      <c r="Y47" s="8"/>
    </row>
    <row r="48" customHeight="1" spans="2:25">
      <c r="B48" s="7"/>
      <c r="C48" s="8"/>
      <c r="D48" s="3" t="str">
        <f t="shared" si="18"/>
        <v>别样红云PMS</v>
      </c>
      <c r="E48" s="8"/>
      <c r="F48" s="9"/>
      <c r="G48" s="8"/>
      <c r="H48" s="8"/>
      <c r="I48" s="8"/>
      <c r="J48" s="8"/>
      <c r="K48" s="3" t="str">
        <f t="shared" si="19"/>
        <v>运营中</v>
      </c>
      <c r="L48" s="8"/>
      <c r="M48" s="8"/>
      <c r="N48" s="8"/>
      <c r="O48" s="8">
        <v>1</v>
      </c>
      <c r="P48" s="10">
        <v>42010</v>
      </c>
      <c r="Q48" s="8" t="s">
        <v>1167</v>
      </c>
      <c r="R48" s="8" t="s">
        <v>2076</v>
      </c>
      <c r="S48" s="8" t="s">
        <v>1983</v>
      </c>
      <c r="T48" s="8"/>
      <c r="U48" s="8"/>
      <c r="V48" s="8"/>
      <c r="W48" s="8"/>
      <c r="X48" s="8"/>
      <c r="Y48" s="8"/>
    </row>
    <row r="49" customHeight="1" spans="2:25">
      <c r="B49" s="7"/>
      <c r="C49" s="8"/>
      <c r="D49" s="3" t="str">
        <f t="shared" si="18"/>
        <v>别样红云PMS</v>
      </c>
      <c r="E49" s="8"/>
      <c r="F49" s="9"/>
      <c r="G49" s="8"/>
      <c r="H49" s="8"/>
      <c r="I49" s="8"/>
      <c r="J49" s="8"/>
      <c r="K49" s="3" t="str">
        <f t="shared" si="19"/>
        <v>运营中</v>
      </c>
      <c r="L49" s="8"/>
      <c r="M49" s="8"/>
      <c r="N49" s="8"/>
      <c r="O49" s="8">
        <v>1</v>
      </c>
      <c r="P49" s="10">
        <v>41791</v>
      </c>
      <c r="Q49" s="8" t="s">
        <v>1875</v>
      </c>
      <c r="R49" s="8" t="s">
        <v>1952</v>
      </c>
      <c r="S49" s="8" t="s">
        <v>2077</v>
      </c>
      <c r="T49" s="8"/>
      <c r="U49" s="8"/>
      <c r="V49" s="8"/>
      <c r="W49" s="8"/>
      <c r="X49" s="8"/>
      <c r="Y49" s="8"/>
    </row>
    <row r="50" customHeight="1" spans="2:25">
      <c r="B50" s="7"/>
      <c r="C50" s="8" t="s">
        <v>409</v>
      </c>
      <c r="D50" s="3" t="s">
        <v>2078</v>
      </c>
      <c r="E50" s="8" t="s">
        <v>2078</v>
      </c>
      <c r="F50" s="9" t="s">
        <v>2079</v>
      </c>
      <c r="G50" s="8" t="s">
        <v>2080</v>
      </c>
      <c r="H50" s="8" t="s">
        <v>413</v>
      </c>
      <c r="I50" s="8" t="s">
        <v>414</v>
      </c>
      <c r="J50" s="8" t="s">
        <v>2081</v>
      </c>
      <c r="K50" s="3" t="s">
        <v>278</v>
      </c>
      <c r="L50" s="8" t="s">
        <v>278</v>
      </c>
      <c r="M50" s="8" t="s">
        <v>19</v>
      </c>
      <c r="N50" s="8" t="s">
        <v>891</v>
      </c>
      <c r="O50" s="8"/>
      <c r="P50" s="10">
        <v>44936</v>
      </c>
      <c r="Q50" s="8" t="s">
        <v>1579</v>
      </c>
      <c r="R50" s="8" t="s">
        <v>430</v>
      </c>
      <c r="S50" s="8" t="s">
        <v>2082</v>
      </c>
      <c r="T50" s="8" t="s">
        <v>2083</v>
      </c>
      <c r="U50" s="8" t="s">
        <v>2084</v>
      </c>
      <c r="V50" s="8" t="s">
        <v>2085</v>
      </c>
      <c r="W50" s="8" t="s">
        <v>2086</v>
      </c>
      <c r="X50" s="8" t="s">
        <v>423</v>
      </c>
      <c r="Y50" s="8" t="s">
        <v>424</v>
      </c>
    </row>
    <row r="51" customHeight="1" spans="2:25">
      <c r="B51" s="7"/>
      <c r="C51" s="8"/>
      <c r="D51" s="3" t="str">
        <f t="shared" ref="D51:D58" si="20">D50</f>
        <v>高仙机器人</v>
      </c>
      <c r="E51" s="8"/>
      <c r="F51" s="9"/>
      <c r="G51" s="8"/>
      <c r="H51" s="8"/>
      <c r="I51" s="8"/>
      <c r="J51" s="8"/>
      <c r="K51" s="3" t="str">
        <f t="shared" ref="K51:K58" si="21">K50</f>
        <v>运营中</v>
      </c>
      <c r="L51" s="8"/>
      <c r="M51" s="8"/>
      <c r="N51" s="8"/>
      <c r="O51" s="8"/>
      <c r="P51" s="10">
        <v>44510</v>
      </c>
      <c r="Q51" s="8" t="s">
        <v>425</v>
      </c>
      <c r="R51" s="8" t="s">
        <v>426</v>
      </c>
      <c r="S51" s="8" t="s">
        <v>427</v>
      </c>
      <c r="T51" s="8"/>
      <c r="U51" s="8"/>
      <c r="V51" s="8"/>
      <c r="W51" s="8"/>
      <c r="X51" s="8"/>
      <c r="Y51" s="8"/>
    </row>
    <row r="52" customHeight="1" spans="2:25">
      <c r="B52" s="7"/>
      <c r="C52" s="8"/>
      <c r="D52" s="3" t="str">
        <f t="shared" si="20"/>
        <v>高仙机器人</v>
      </c>
      <c r="E52" s="8"/>
      <c r="F52" s="9"/>
      <c r="G52" s="8"/>
      <c r="H52" s="8"/>
      <c r="I52" s="8"/>
      <c r="J52" s="8"/>
      <c r="K52" s="3" t="str">
        <f t="shared" si="21"/>
        <v>运营中</v>
      </c>
      <c r="L52" s="8"/>
      <c r="M52" s="8"/>
      <c r="N52" s="8"/>
      <c r="O52" s="8"/>
      <c r="P52" s="10">
        <v>44300</v>
      </c>
      <c r="Q52" s="8" t="s">
        <v>865</v>
      </c>
      <c r="R52" s="8" t="s">
        <v>430</v>
      </c>
      <c r="S52" s="8" t="s">
        <v>2087</v>
      </c>
      <c r="T52" s="8"/>
      <c r="U52" s="8"/>
      <c r="V52" s="8"/>
      <c r="W52" s="8"/>
      <c r="X52" s="8"/>
      <c r="Y52" s="8"/>
    </row>
    <row r="53" customHeight="1" spans="2:25">
      <c r="B53" s="7"/>
      <c r="C53" s="8"/>
      <c r="D53" s="3" t="str">
        <f t="shared" si="20"/>
        <v>高仙机器人</v>
      </c>
      <c r="E53" s="8"/>
      <c r="F53" s="9"/>
      <c r="G53" s="8"/>
      <c r="H53" s="8"/>
      <c r="I53" s="8"/>
      <c r="J53" s="8"/>
      <c r="K53" s="3" t="str">
        <f t="shared" si="21"/>
        <v>运营中</v>
      </c>
      <c r="L53" s="8"/>
      <c r="M53" s="8"/>
      <c r="N53" s="8"/>
      <c r="O53" s="8"/>
      <c r="P53" s="10">
        <v>44078</v>
      </c>
      <c r="Q53" s="8" t="s">
        <v>280</v>
      </c>
      <c r="R53" s="8" t="s">
        <v>430</v>
      </c>
      <c r="S53" s="8" t="s">
        <v>431</v>
      </c>
      <c r="T53" s="8"/>
      <c r="U53" s="8"/>
      <c r="V53" s="8"/>
      <c r="W53" s="8"/>
      <c r="X53" s="8"/>
      <c r="Y53" s="8"/>
    </row>
    <row r="54" customHeight="1" spans="2:25">
      <c r="B54" s="7"/>
      <c r="C54" s="8"/>
      <c r="D54" s="3" t="str">
        <f t="shared" si="20"/>
        <v>高仙机器人</v>
      </c>
      <c r="E54" s="8"/>
      <c r="F54" s="9"/>
      <c r="G54" s="8"/>
      <c r="H54" s="8"/>
      <c r="I54" s="8"/>
      <c r="J54" s="8"/>
      <c r="K54" s="3" t="str">
        <f t="shared" si="21"/>
        <v>运营中</v>
      </c>
      <c r="L54" s="8"/>
      <c r="M54" s="8"/>
      <c r="N54" s="8"/>
      <c r="O54" s="8"/>
      <c r="P54" s="10">
        <v>44076</v>
      </c>
      <c r="Q54" s="8" t="s">
        <v>865</v>
      </c>
      <c r="R54" s="8" t="s">
        <v>2088</v>
      </c>
      <c r="S54" s="8" t="s">
        <v>2089</v>
      </c>
      <c r="T54" s="8"/>
      <c r="U54" s="8"/>
      <c r="V54" s="8"/>
      <c r="W54" s="8"/>
      <c r="X54" s="8"/>
      <c r="Y54" s="8"/>
    </row>
    <row r="55" customHeight="1" spans="2:25">
      <c r="B55" s="7"/>
      <c r="C55" s="8"/>
      <c r="D55" s="3" t="str">
        <f t="shared" si="20"/>
        <v>高仙机器人</v>
      </c>
      <c r="E55" s="8"/>
      <c r="F55" s="9"/>
      <c r="G55" s="8"/>
      <c r="H55" s="8"/>
      <c r="I55" s="8"/>
      <c r="J55" s="8"/>
      <c r="K55" s="3" t="str">
        <f t="shared" si="21"/>
        <v>运营中</v>
      </c>
      <c r="L55" s="8"/>
      <c r="M55" s="8"/>
      <c r="N55" s="8"/>
      <c r="O55" s="8"/>
      <c r="P55" s="10">
        <v>43543</v>
      </c>
      <c r="Q55" s="8" t="s">
        <v>868</v>
      </c>
      <c r="R55" s="8" t="s">
        <v>866</v>
      </c>
      <c r="S55" s="8" t="s">
        <v>2090</v>
      </c>
      <c r="T55" s="8"/>
      <c r="U55" s="8"/>
      <c r="V55" s="8"/>
      <c r="W55" s="8"/>
      <c r="X55" s="8"/>
      <c r="Y55" s="8"/>
    </row>
    <row r="56" customHeight="1" spans="2:25">
      <c r="B56" s="7"/>
      <c r="C56" s="8"/>
      <c r="D56" s="3" t="str">
        <f t="shared" si="20"/>
        <v>高仙机器人</v>
      </c>
      <c r="E56" s="8"/>
      <c r="F56" s="9"/>
      <c r="G56" s="8"/>
      <c r="H56" s="8"/>
      <c r="I56" s="8"/>
      <c r="J56" s="8"/>
      <c r="K56" s="3" t="str">
        <f t="shared" si="21"/>
        <v>运营中</v>
      </c>
      <c r="L56" s="8"/>
      <c r="M56" s="8"/>
      <c r="N56" s="8"/>
      <c r="O56" s="8"/>
      <c r="P56" s="10">
        <v>43230</v>
      </c>
      <c r="Q56" s="8" t="s">
        <v>1167</v>
      </c>
      <c r="R56" s="8" t="s">
        <v>556</v>
      </c>
      <c r="S56" s="8" t="s">
        <v>2091</v>
      </c>
      <c r="T56" s="8"/>
      <c r="U56" s="8"/>
      <c r="V56" s="8"/>
      <c r="W56" s="8"/>
      <c r="X56" s="8"/>
      <c r="Y56" s="8"/>
    </row>
    <row r="57" customHeight="1" spans="2:25">
      <c r="B57" s="7"/>
      <c r="C57" s="8"/>
      <c r="D57" s="3" t="str">
        <f t="shared" si="20"/>
        <v>高仙机器人</v>
      </c>
      <c r="E57" s="8"/>
      <c r="F57" s="9"/>
      <c r="G57" s="8"/>
      <c r="H57" s="8"/>
      <c r="I57" s="8"/>
      <c r="J57" s="8"/>
      <c r="K57" s="3" t="str">
        <f t="shared" si="21"/>
        <v>运营中</v>
      </c>
      <c r="L57" s="8"/>
      <c r="M57" s="8"/>
      <c r="N57" s="8"/>
      <c r="O57" s="8"/>
      <c r="P57" s="10">
        <v>42545</v>
      </c>
      <c r="Q57" s="8" t="s">
        <v>1169</v>
      </c>
      <c r="R57" s="8" t="s">
        <v>2049</v>
      </c>
      <c r="S57" s="8" t="s">
        <v>2092</v>
      </c>
      <c r="T57" s="8"/>
      <c r="U57" s="8"/>
      <c r="V57" s="8"/>
      <c r="W57" s="8"/>
      <c r="X57" s="8"/>
      <c r="Y57" s="8"/>
    </row>
    <row r="58" customHeight="1" spans="2:25">
      <c r="B58" s="7"/>
      <c r="C58" s="8"/>
      <c r="D58" s="3" t="str">
        <f t="shared" si="20"/>
        <v>高仙机器人</v>
      </c>
      <c r="E58" s="8"/>
      <c r="F58" s="9"/>
      <c r="G58" s="8"/>
      <c r="H58" s="8"/>
      <c r="I58" s="8"/>
      <c r="J58" s="8"/>
      <c r="K58" s="3" t="str">
        <f t="shared" si="21"/>
        <v>运营中</v>
      </c>
      <c r="L58" s="8"/>
      <c r="M58" s="8"/>
      <c r="N58" s="8"/>
      <c r="O58" s="8"/>
      <c r="P58" s="10">
        <v>41800</v>
      </c>
      <c r="Q58" s="8" t="s">
        <v>1875</v>
      </c>
      <c r="R58" s="8" t="s">
        <v>2093</v>
      </c>
      <c r="S58" s="8" t="s">
        <v>2094</v>
      </c>
      <c r="T58" s="8"/>
      <c r="U58" s="8"/>
      <c r="V58" s="8"/>
      <c r="W58" s="8"/>
      <c r="X58" s="8"/>
      <c r="Y58" s="8"/>
    </row>
    <row r="59" customHeight="1" spans="2:25">
      <c r="B59" s="7"/>
      <c r="C59" s="8" t="s">
        <v>440</v>
      </c>
      <c r="D59" s="3" t="s">
        <v>2095</v>
      </c>
      <c r="E59" s="8" t="s">
        <v>2095</v>
      </c>
      <c r="F59" s="9" t="s">
        <v>2096</v>
      </c>
      <c r="G59" s="8" t="s">
        <v>2097</v>
      </c>
      <c r="H59" s="8" t="s">
        <v>444</v>
      </c>
      <c r="I59" s="8" t="s">
        <v>445</v>
      </c>
      <c r="J59" s="8" t="s">
        <v>807</v>
      </c>
      <c r="K59" s="3" t="s">
        <v>278</v>
      </c>
      <c r="L59" s="8" t="s">
        <v>278</v>
      </c>
      <c r="M59" s="8" t="s">
        <v>10</v>
      </c>
      <c r="N59" s="8" t="s">
        <v>2098</v>
      </c>
      <c r="O59" s="8"/>
      <c r="P59" s="10">
        <v>42543</v>
      </c>
      <c r="Q59" s="8" t="s">
        <v>868</v>
      </c>
      <c r="R59" s="8" t="s">
        <v>1966</v>
      </c>
      <c r="S59" s="8" t="s">
        <v>2099</v>
      </c>
      <c r="T59" s="8" t="s">
        <v>2100</v>
      </c>
      <c r="U59" s="8" t="s">
        <v>2101</v>
      </c>
      <c r="V59" s="8" t="s">
        <v>2102</v>
      </c>
      <c r="W59" s="8"/>
      <c r="X59" s="8"/>
      <c r="Y59" s="8"/>
    </row>
    <row r="60" customHeight="1" spans="2:25">
      <c r="B60" s="7"/>
      <c r="C60" s="8"/>
      <c r="D60" s="3" t="str">
        <f>D59</f>
        <v>美甲帮</v>
      </c>
      <c r="E60" s="8"/>
      <c r="F60" s="9"/>
      <c r="G60" s="8"/>
      <c r="H60" s="8"/>
      <c r="I60" s="8"/>
      <c r="J60" s="8"/>
      <c r="K60" s="3" t="str">
        <f>K59</f>
        <v>运营中</v>
      </c>
      <c r="L60" s="8"/>
      <c r="M60" s="8"/>
      <c r="N60" s="8"/>
      <c r="O60" s="8"/>
      <c r="P60" s="10">
        <v>41863</v>
      </c>
      <c r="Q60" s="8" t="s">
        <v>1167</v>
      </c>
      <c r="R60" s="8" t="s">
        <v>1968</v>
      </c>
      <c r="S60" s="8" t="s">
        <v>1969</v>
      </c>
      <c r="T60" s="8"/>
      <c r="U60" s="8"/>
      <c r="V60" s="8"/>
      <c r="W60" s="8"/>
      <c r="X60" s="8"/>
      <c r="Y60" s="8"/>
    </row>
    <row r="61" customHeight="1" spans="2:25">
      <c r="B61" s="7"/>
      <c r="C61" s="8" t="s">
        <v>452</v>
      </c>
      <c r="D61" s="3" t="s">
        <v>2103</v>
      </c>
      <c r="E61" s="8" t="s">
        <v>2103</v>
      </c>
      <c r="F61" s="9" t="s">
        <v>2104</v>
      </c>
      <c r="G61" s="8" t="s">
        <v>2105</v>
      </c>
      <c r="H61" s="8" t="s">
        <v>456</v>
      </c>
      <c r="I61" s="8" t="s">
        <v>457</v>
      </c>
      <c r="J61" s="8" t="s">
        <v>2073</v>
      </c>
      <c r="K61" s="3" t="s">
        <v>278</v>
      </c>
      <c r="L61" s="8" t="s">
        <v>278</v>
      </c>
      <c r="M61" s="8" t="s">
        <v>10</v>
      </c>
      <c r="N61" s="8" t="s">
        <v>2106</v>
      </c>
      <c r="O61" s="8"/>
      <c r="P61" s="10">
        <v>42480</v>
      </c>
      <c r="Q61" s="8" t="s">
        <v>865</v>
      </c>
      <c r="R61" s="8" t="s">
        <v>1966</v>
      </c>
      <c r="S61" s="8" t="s">
        <v>2107</v>
      </c>
      <c r="T61" s="8" t="s">
        <v>1697</v>
      </c>
      <c r="U61" s="8" t="s">
        <v>2108</v>
      </c>
      <c r="V61" s="8" t="s">
        <v>2109</v>
      </c>
      <c r="W61" s="8"/>
      <c r="X61" s="8"/>
      <c r="Y61" s="8"/>
    </row>
    <row r="62" customHeight="1" spans="2:25">
      <c r="B62" s="7"/>
      <c r="C62" s="8"/>
      <c r="D62" s="3" t="str">
        <f t="shared" ref="D62:D66" si="22">D61</f>
        <v>宅米</v>
      </c>
      <c r="E62" s="8"/>
      <c r="F62" s="9"/>
      <c r="G62" s="8"/>
      <c r="H62" s="8"/>
      <c r="I62" s="8"/>
      <c r="J62" s="8"/>
      <c r="K62" s="3" t="str">
        <f t="shared" ref="K62:K66" si="23">K61</f>
        <v>运营中</v>
      </c>
      <c r="L62" s="8"/>
      <c r="M62" s="8"/>
      <c r="N62" s="8"/>
      <c r="O62" s="8"/>
      <c r="P62" s="10">
        <v>42261</v>
      </c>
      <c r="Q62" s="8" t="s">
        <v>868</v>
      </c>
      <c r="R62" s="8" t="s">
        <v>2110</v>
      </c>
      <c r="S62" s="8" t="s">
        <v>2111</v>
      </c>
      <c r="T62" s="8"/>
      <c r="U62" s="8"/>
      <c r="V62" s="8"/>
      <c r="W62" s="8"/>
      <c r="X62" s="8"/>
      <c r="Y62" s="8"/>
    </row>
    <row r="63" customHeight="1" spans="2:25">
      <c r="B63" s="7"/>
      <c r="C63" s="8"/>
      <c r="D63" s="3" t="str">
        <f t="shared" si="22"/>
        <v>宅米</v>
      </c>
      <c r="E63" s="8"/>
      <c r="F63" s="9"/>
      <c r="G63" s="8"/>
      <c r="H63" s="8"/>
      <c r="I63" s="8"/>
      <c r="J63" s="8"/>
      <c r="K63" s="3" t="str">
        <f t="shared" si="23"/>
        <v>运营中</v>
      </c>
      <c r="L63" s="8"/>
      <c r="M63" s="8"/>
      <c r="N63" s="8"/>
      <c r="O63" s="8"/>
      <c r="P63" s="10">
        <v>42131</v>
      </c>
      <c r="Q63" s="8" t="s">
        <v>1180</v>
      </c>
      <c r="R63" s="8" t="s">
        <v>1966</v>
      </c>
      <c r="S63" s="8" t="s">
        <v>2112</v>
      </c>
      <c r="T63" s="8"/>
      <c r="U63" s="8"/>
      <c r="V63" s="8"/>
      <c r="W63" s="8"/>
      <c r="X63" s="8"/>
      <c r="Y63" s="8"/>
    </row>
    <row r="64" customHeight="1" spans="2:25">
      <c r="B64" s="7"/>
      <c r="C64" s="8"/>
      <c r="D64" s="3" t="str">
        <f t="shared" si="22"/>
        <v>宅米</v>
      </c>
      <c r="E64" s="8"/>
      <c r="F64" s="9"/>
      <c r="G64" s="8"/>
      <c r="H64" s="8"/>
      <c r="I64" s="8"/>
      <c r="J64" s="8"/>
      <c r="K64" s="3" t="str">
        <f t="shared" si="23"/>
        <v>运营中</v>
      </c>
      <c r="L64" s="8"/>
      <c r="M64" s="8"/>
      <c r="N64" s="8"/>
      <c r="O64" s="8"/>
      <c r="P64" s="10">
        <v>42093</v>
      </c>
      <c r="Q64" s="8" t="s">
        <v>1167</v>
      </c>
      <c r="R64" s="8" t="s">
        <v>1816</v>
      </c>
      <c r="S64" s="8" t="s">
        <v>2113</v>
      </c>
      <c r="T64" s="8"/>
      <c r="U64" s="8"/>
      <c r="V64" s="8"/>
      <c r="W64" s="8"/>
      <c r="X64" s="8"/>
      <c r="Y64" s="8"/>
    </row>
    <row r="65" customHeight="1" spans="2:25">
      <c r="B65" s="7"/>
      <c r="C65" s="8"/>
      <c r="D65" s="3" t="str">
        <f t="shared" si="22"/>
        <v>宅米</v>
      </c>
      <c r="E65" s="8"/>
      <c r="F65" s="9"/>
      <c r="G65" s="8"/>
      <c r="H65" s="8"/>
      <c r="I65" s="8"/>
      <c r="J65" s="8"/>
      <c r="K65" s="3" t="str">
        <f t="shared" si="23"/>
        <v>运营中</v>
      </c>
      <c r="L65" s="8"/>
      <c r="M65" s="8"/>
      <c r="N65" s="8"/>
      <c r="O65" s="8"/>
      <c r="P65" s="10">
        <v>42064</v>
      </c>
      <c r="Q65" s="8" t="s">
        <v>1169</v>
      </c>
      <c r="R65" s="8" t="s">
        <v>281</v>
      </c>
      <c r="S65" s="8" t="s">
        <v>2114</v>
      </c>
      <c r="T65" s="8"/>
      <c r="U65" s="8"/>
      <c r="V65" s="8"/>
      <c r="W65" s="8"/>
      <c r="X65" s="8"/>
      <c r="Y65" s="8"/>
    </row>
    <row r="66" customHeight="1" spans="2:25">
      <c r="B66" s="7"/>
      <c r="C66" s="8"/>
      <c r="D66" s="3" t="str">
        <f t="shared" si="22"/>
        <v>宅米</v>
      </c>
      <c r="E66" s="8"/>
      <c r="F66" s="9"/>
      <c r="G66" s="8"/>
      <c r="H66" s="8"/>
      <c r="I66" s="8"/>
      <c r="J66" s="8"/>
      <c r="K66" s="3" t="str">
        <f t="shared" si="23"/>
        <v>运营中</v>
      </c>
      <c r="L66" s="8"/>
      <c r="M66" s="8"/>
      <c r="N66" s="8"/>
      <c r="O66" s="8"/>
      <c r="P66" s="10">
        <v>42063</v>
      </c>
      <c r="Q66" s="8" t="s">
        <v>1875</v>
      </c>
      <c r="R66" s="8" t="s">
        <v>1952</v>
      </c>
      <c r="S66" s="8" t="s">
        <v>2115</v>
      </c>
      <c r="T66" s="8"/>
      <c r="U66" s="8"/>
      <c r="V66" s="8"/>
      <c r="W66" s="8"/>
      <c r="X66" s="8"/>
      <c r="Y66" s="8"/>
    </row>
    <row r="67" customHeight="1" spans="2:25">
      <c r="B67" s="7"/>
      <c r="C67" s="8" t="s">
        <v>469</v>
      </c>
      <c r="D67" s="3" t="s">
        <v>2116</v>
      </c>
      <c r="E67" s="8" t="s">
        <v>2116</v>
      </c>
      <c r="F67" s="9" t="s">
        <v>2117</v>
      </c>
      <c r="G67" s="8" t="s">
        <v>2118</v>
      </c>
      <c r="H67" s="8" t="s">
        <v>473</v>
      </c>
      <c r="I67" s="8" t="s">
        <v>355</v>
      </c>
      <c r="J67" s="8" t="s">
        <v>553</v>
      </c>
      <c r="K67" s="3" t="s">
        <v>278</v>
      </c>
      <c r="L67" s="8" t="s">
        <v>278</v>
      </c>
      <c r="M67" s="8" t="s">
        <v>23</v>
      </c>
      <c r="N67" s="8" t="s">
        <v>1657</v>
      </c>
      <c r="O67" s="8"/>
      <c r="P67" s="10">
        <v>43383</v>
      </c>
      <c r="Q67" s="8" t="s">
        <v>2119</v>
      </c>
      <c r="R67" s="8" t="s">
        <v>2120</v>
      </c>
      <c r="S67" s="8" t="s">
        <v>2121</v>
      </c>
      <c r="T67" s="8" t="s">
        <v>2122</v>
      </c>
      <c r="U67" s="8" t="s">
        <v>2123</v>
      </c>
      <c r="V67" s="8" t="s">
        <v>2124</v>
      </c>
      <c r="W67" s="8" t="s">
        <v>2125</v>
      </c>
      <c r="X67" s="8" t="s">
        <v>481</v>
      </c>
      <c r="Y67" s="8" t="s">
        <v>482</v>
      </c>
    </row>
    <row r="68" customHeight="1" spans="2:25">
      <c r="B68" s="7"/>
      <c r="C68" s="8"/>
      <c r="D68" s="3" t="str">
        <f t="shared" ref="D68:D75" si="24">D67</f>
        <v>美菜网</v>
      </c>
      <c r="E68" s="8"/>
      <c r="F68" s="9"/>
      <c r="G68" s="8"/>
      <c r="H68" s="8"/>
      <c r="I68" s="8"/>
      <c r="J68" s="8"/>
      <c r="K68" s="3" t="str">
        <f t="shared" ref="K68:K75" si="25">K67</f>
        <v>运营中</v>
      </c>
      <c r="L68" s="8"/>
      <c r="M68" s="8"/>
      <c r="N68" s="8"/>
      <c r="O68" s="8"/>
      <c r="P68" s="10">
        <v>43381</v>
      </c>
      <c r="Q68" s="8" t="s">
        <v>280</v>
      </c>
      <c r="R68" s="8" t="s">
        <v>792</v>
      </c>
      <c r="S68" s="8" t="s">
        <v>2126</v>
      </c>
      <c r="T68" s="8"/>
      <c r="U68" s="8"/>
      <c r="V68" s="8"/>
      <c r="W68" s="8"/>
      <c r="X68" s="8"/>
      <c r="Y68" s="8"/>
    </row>
    <row r="69" customHeight="1" spans="2:25">
      <c r="B69" s="7"/>
      <c r="C69" s="8"/>
      <c r="D69" s="3" t="str">
        <f t="shared" si="24"/>
        <v>美菜网</v>
      </c>
      <c r="E69" s="8"/>
      <c r="F69" s="9"/>
      <c r="G69" s="8"/>
      <c r="H69" s="8"/>
      <c r="I69" s="8"/>
      <c r="J69" s="8"/>
      <c r="K69" s="3" t="str">
        <f t="shared" si="25"/>
        <v>运营中</v>
      </c>
      <c r="L69" s="8"/>
      <c r="M69" s="8"/>
      <c r="N69" s="8"/>
      <c r="O69" s="8"/>
      <c r="P69" s="10">
        <v>43112</v>
      </c>
      <c r="Q69" s="8" t="s">
        <v>1571</v>
      </c>
      <c r="R69" s="8" t="s">
        <v>2127</v>
      </c>
      <c r="S69" s="8" t="s">
        <v>2128</v>
      </c>
      <c r="T69" s="8"/>
      <c r="U69" s="8"/>
      <c r="V69" s="8"/>
      <c r="W69" s="8"/>
      <c r="X69" s="8"/>
      <c r="Y69" s="8"/>
    </row>
    <row r="70" customHeight="1" spans="2:25">
      <c r="B70" s="7"/>
      <c r="C70" s="8"/>
      <c r="D70" s="3" t="str">
        <f t="shared" si="24"/>
        <v>美菜网</v>
      </c>
      <c r="E70" s="8"/>
      <c r="F70" s="9"/>
      <c r="G70" s="8"/>
      <c r="H70" s="8"/>
      <c r="I70" s="8"/>
      <c r="J70" s="8"/>
      <c r="K70" s="3" t="str">
        <f t="shared" si="25"/>
        <v>运营中</v>
      </c>
      <c r="L70" s="8"/>
      <c r="M70" s="8"/>
      <c r="N70" s="8"/>
      <c r="O70" s="8"/>
      <c r="P70" s="10">
        <v>42675</v>
      </c>
      <c r="Q70" s="8" t="s">
        <v>280</v>
      </c>
      <c r="R70" s="8" t="s">
        <v>556</v>
      </c>
      <c r="S70" s="8" t="s">
        <v>2129</v>
      </c>
      <c r="T70" s="8"/>
      <c r="U70" s="8"/>
      <c r="V70" s="8"/>
      <c r="W70" s="8"/>
      <c r="X70" s="8"/>
      <c r="Y70" s="8"/>
    </row>
    <row r="71" customHeight="1" spans="2:25">
      <c r="B71" s="7"/>
      <c r="C71" s="8"/>
      <c r="D71" s="3" t="str">
        <f t="shared" si="24"/>
        <v>美菜网</v>
      </c>
      <c r="E71" s="8"/>
      <c r="F71" s="9"/>
      <c r="G71" s="8"/>
      <c r="H71" s="8"/>
      <c r="I71" s="8"/>
      <c r="J71" s="8"/>
      <c r="K71" s="3" t="str">
        <f t="shared" si="25"/>
        <v>运营中</v>
      </c>
      <c r="L71" s="8"/>
      <c r="M71" s="8"/>
      <c r="N71" s="8"/>
      <c r="O71" s="8"/>
      <c r="P71" s="10">
        <v>42525</v>
      </c>
      <c r="Q71" s="8" t="s">
        <v>1579</v>
      </c>
      <c r="R71" s="8" t="s">
        <v>2130</v>
      </c>
      <c r="S71" s="8" t="s">
        <v>2131</v>
      </c>
      <c r="T71" s="8"/>
      <c r="U71" s="8"/>
      <c r="V71" s="8"/>
      <c r="W71" s="8"/>
      <c r="X71" s="8"/>
      <c r="Y71" s="8"/>
    </row>
    <row r="72" customHeight="1" spans="2:25">
      <c r="B72" s="7"/>
      <c r="C72" s="8"/>
      <c r="D72" s="3" t="str">
        <f t="shared" si="24"/>
        <v>美菜网</v>
      </c>
      <c r="E72" s="8"/>
      <c r="F72" s="9"/>
      <c r="G72" s="8"/>
      <c r="H72" s="8"/>
      <c r="I72" s="8"/>
      <c r="J72" s="8"/>
      <c r="K72" s="3" t="str">
        <f t="shared" si="25"/>
        <v>运营中</v>
      </c>
      <c r="L72" s="8"/>
      <c r="M72" s="8"/>
      <c r="N72" s="8"/>
      <c r="O72" s="8"/>
      <c r="P72" s="10">
        <v>42265</v>
      </c>
      <c r="Q72" s="8" t="s">
        <v>425</v>
      </c>
      <c r="R72" s="8" t="s">
        <v>1966</v>
      </c>
      <c r="S72" s="8" t="s">
        <v>2132</v>
      </c>
      <c r="T72" s="8"/>
      <c r="U72" s="8"/>
      <c r="V72" s="8"/>
      <c r="W72" s="8"/>
      <c r="X72" s="8"/>
      <c r="Y72" s="8"/>
    </row>
    <row r="73" customHeight="1" spans="2:25">
      <c r="B73" s="7"/>
      <c r="C73" s="8"/>
      <c r="D73" s="3" t="str">
        <f t="shared" si="24"/>
        <v>美菜网</v>
      </c>
      <c r="E73" s="8"/>
      <c r="F73" s="9"/>
      <c r="G73" s="8"/>
      <c r="H73" s="8"/>
      <c r="I73" s="8"/>
      <c r="J73" s="8"/>
      <c r="K73" s="3" t="str">
        <f t="shared" si="25"/>
        <v>运营中</v>
      </c>
      <c r="L73" s="8"/>
      <c r="M73" s="8"/>
      <c r="N73" s="8"/>
      <c r="O73" s="8"/>
      <c r="P73" s="10">
        <v>42036</v>
      </c>
      <c r="Q73" s="8" t="s">
        <v>868</v>
      </c>
      <c r="R73" s="8" t="s">
        <v>1966</v>
      </c>
      <c r="S73" s="8" t="s">
        <v>2133</v>
      </c>
      <c r="T73" s="8"/>
      <c r="U73" s="8"/>
      <c r="V73" s="8"/>
      <c r="W73" s="8"/>
      <c r="X73" s="8"/>
      <c r="Y73" s="8"/>
    </row>
    <row r="74" customHeight="1" spans="2:25">
      <c r="B74" s="7"/>
      <c r="C74" s="8"/>
      <c r="D74" s="3" t="str">
        <f t="shared" si="24"/>
        <v>美菜网</v>
      </c>
      <c r="E74" s="8"/>
      <c r="F74" s="9"/>
      <c r="G74" s="8"/>
      <c r="H74" s="8"/>
      <c r="I74" s="8"/>
      <c r="J74" s="8"/>
      <c r="K74" s="3" t="str">
        <f t="shared" si="25"/>
        <v>运营中</v>
      </c>
      <c r="L74" s="8"/>
      <c r="M74" s="8"/>
      <c r="N74" s="8"/>
      <c r="O74" s="8"/>
      <c r="P74" s="10">
        <v>41957</v>
      </c>
      <c r="Q74" s="8" t="s">
        <v>1167</v>
      </c>
      <c r="R74" s="8" t="s">
        <v>1968</v>
      </c>
      <c r="S74" s="8" t="s">
        <v>2134</v>
      </c>
      <c r="T74" s="8"/>
      <c r="U74" s="8"/>
      <c r="V74" s="8"/>
      <c r="W74" s="8"/>
      <c r="X74" s="8"/>
      <c r="Y74" s="8"/>
    </row>
    <row r="75" customHeight="1" spans="2:25">
      <c r="B75" s="7"/>
      <c r="C75" s="8"/>
      <c r="D75" s="3" t="str">
        <f t="shared" si="24"/>
        <v>美菜网</v>
      </c>
      <c r="E75" s="8"/>
      <c r="F75" s="9"/>
      <c r="G75" s="8"/>
      <c r="H75" s="8"/>
      <c r="I75" s="8"/>
      <c r="J75" s="8"/>
      <c r="K75" s="3" t="str">
        <f t="shared" si="25"/>
        <v>运营中</v>
      </c>
      <c r="L75" s="8"/>
      <c r="M75" s="8"/>
      <c r="N75" s="8"/>
      <c r="O75" s="8"/>
      <c r="P75" s="10">
        <v>41873</v>
      </c>
      <c r="Q75" s="8" t="s">
        <v>1875</v>
      </c>
      <c r="R75" s="8" t="s">
        <v>2052</v>
      </c>
      <c r="S75" s="8" t="s">
        <v>2135</v>
      </c>
      <c r="T75" s="8"/>
      <c r="U75" s="8"/>
      <c r="V75" s="8"/>
      <c r="W75" s="8"/>
      <c r="X75" s="8"/>
      <c r="Y75" s="8"/>
    </row>
    <row r="76" customHeight="1" spans="2:25">
      <c r="B76" s="7"/>
      <c r="C76" s="8" t="s">
        <v>494</v>
      </c>
      <c r="D76" s="3" t="s">
        <v>2136</v>
      </c>
      <c r="E76" s="8" t="s">
        <v>2136</v>
      </c>
      <c r="F76" s="9" t="s">
        <v>2137</v>
      </c>
      <c r="G76" s="8" t="s">
        <v>2138</v>
      </c>
      <c r="H76" s="8" t="s">
        <v>498</v>
      </c>
      <c r="I76" s="8" t="s">
        <v>499</v>
      </c>
      <c r="J76" s="8" t="s">
        <v>2139</v>
      </c>
      <c r="K76" s="3" t="s">
        <v>278</v>
      </c>
      <c r="L76" s="8" t="s">
        <v>278</v>
      </c>
      <c r="M76" s="8" t="s">
        <v>10</v>
      </c>
      <c r="N76" s="8" t="s">
        <v>2140</v>
      </c>
      <c r="O76" s="8"/>
      <c r="P76" s="10">
        <v>43265</v>
      </c>
      <c r="Q76" s="8" t="s">
        <v>868</v>
      </c>
      <c r="R76" s="8" t="s">
        <v>430</v>
      </c>
      <c r="S76" s="8" t="s">
        <v>2141</v>
      </c>
      <c r="T76" s="8" t="s">
        <v>2142</v>
      </c>
      <c r="U76" s="8" t="s">
        <v>1085</v>
      </c>
      <c r="V76" s="8"/>
      <c r="W76" s="8" t="s">
        <v>2143</v>
      </c>
      <c r="X76" s="8" t="s">
        <v>506</v>
      </c>
      <c r="Y76" s="8"/>
    </row>
    <row r="77" customHeight="1" spans="2:25">
      <c r="B77" s="7"/>
      <c r="C77" s="8"/>
      <c r="D77" s="3" t="str">
        <f t="shared" ref="D77:D78" si="26">D76</f>
        <v>幻熊科技</v>
      </c>
      <c r="E77" s="8"/>
      <c r="F77" s="9"/>
      <c r="G77" s="8"/>
      <c r="H77" s="8"/>
      <c r="I77" s="8"/>
      <c r="J77" s="8"/>
      <c r="K77" s="3" t="str">
        <f t="shared" ref="K77:K78" si="27">K76</f>
        <v>运营中</v>
      </c>
      <c r="L77" s="8"/>
      <c r="M77" s="8"/>
      <c r="N77" s="8"/>
      <c r="O77" s="8"/>
      <c r="P77" s="10">
        <v>42522</v>
      </c>
      <c r="Q77" s="8" t="s">
        <v>1167</v>
      </c>
      <c r="R77" s="8" t="s">
        <v>281</v>
      </c>
      <c r="S77" s="8" t="s">
        <v>2144</v>
      </c>
      <c r="T77" s="8"/>
      <c r="U77" s="8"/>
      <c r="V77" s="8"/>
      <c r="W77" s="8"/>
      <c r="X77" s="8"/>
      <c r="Y77" s="8"/>
    </row>
    <row r="78" customHeight="1" spans="2:25">
      <c r="B78" s="7"/>
      <c r="C78" s="8"/>
      <c r="D78" s="3" t="str">
        <f t="shared" si="26"/>
        <v>幻熊科技</v>
      </c>
      <c r="E78" s="8"/>
      <c r="F78" s="9"/>
      <c r="G78" s="8"/>
      <c r="H78" s="8"/>
      <c r="I78" s="8"/>
      <c r="J78" s="8"/>
      <c r="K78" s="3" t="str">
        <f t="shared" si="27"/>
        <v>运营中</v>
      </c>
      <c r="L78" s="8"/>
      <c r="M78" s="8"/>
      <c r="N78" s="8"/>
      <c r="O78" s="8"/>
      <c r="P78" s="10">
        <v>41780</v>
      </c>
      <c r="Q78" s="8" t="s">
        <v>1875</v>
      </c>
      <c r="R78" s="8" t="s">
        <v>1952</v>
      </c>
      <c r="S78" s="8" t="s">
        <v>2145</v>
      </c>
      <c r="T78" s="8"/>
      <c r="U78" s="8"/>
      <c r="V78" s="8"/>
      <c r="W78" s="8"/>
      <c r="X78" s="8"/>
      <c r="Y78" s="8"/>
    </row>
    <row r="79" customHeight="1" spans="2:25">
      <c r="B79" s="7"/>
      <c r="C79" s="8" t="s">
        <v>509</v>
      </c>
      <c r="D79" s="3" t="s">
        <v>2146</v>
      </c>
      <c r="E79" s="8" t="s">
        <v>2146</v>
      </c>
      <c r="F79" s="9" t="s">
        <v>2147</v>
      </c>
      <c r="G79" s="8" t="s">
        <v>2148</v>
      </c>
      <c r="H79" s="8" t="s">
        <v>513</v>
      </c>
      <c r="I79" s="8" t="s">
        <v>457</v>
      </c>
      <c r="J79" s="8" t="s">
        <v>1676</v>
      </c>
      <c r="K79" s="3" t="s">
        <v>278</v>
      </c>
      <c r="L79" s="8" t="s">
        <v>278</v>
      </c>
      <c r="M79" s="8" t="s">
        <v>33</v>
      </c>
      <c r="N79" s="8" t="s">
        <v>1097</v>
      </c>
      <c r="O79" s="8">
        <v>1</v>
      </c>
      <c r="P79" s="10">
        <v>44967</v>
      </c>
      <c r="Q79" s="8" t="s">
        <v>1994</v>
      </c>
      <c r="R79" s="8" t="s">
        <v>2149</v>
      </c>
      <c r="S79" s="8" t="s">
        <v>262</v>
      </c>
      <c r="T79" s="8" t="s">
        <v>2150</v>
      </c>
      <c r="U79" s="8" t="s">
        <v>2151</v>
      </c>
      <c r="V79" s="8" t="s">
        <v>2152</v>
      </c>
      <c r="W79" s="8" t="s">
        <v>2153</v>
      </c>
      <c r="X79" s="8" t="s">
        <v>522</v>
      </c>
      <c r="Y79" s="8" t="s">
        <v>523</v>
      </c>
    </row>
    <row r="80" customHeight="1" spans="2:25">
      <c r="B80" s="7"/>
      <c r="C80" s="8"/>
      <c r="D80" s="3" t="str">
        <f t="shared" ref="D80:D85" si="28">D79</f>
        <v>禾赛科技</v>
      </c>
      <c r="E80" s="8"/>
      <c r="F80" s="9"/>
      <c r="G80" s="8"/>
      <c r="H80" s="8"/>
      <c r="I80" s="8"/>
      <c r="J80" s="8"/>
      <c r="K80" s="3" t="str">
        <f t="shared" ref="K80:K85" si="29">K79</f>
        <v>运营中</v>
      </c>
      <c r="L80" s="8"/>
      <c r="M80" s="8"/>
      <c r="N80" s="8"/>
      <c r="O80" s="8">
        <v>1</v>
      </c>
      <c r="P80" s="10">
        <v>44516</v>
      </c>
      <c r="Q80" s="8" t="s">
        <v>555</v>
      </c>
      <c r="R80" s="8" t="s">
        <v>2047</v>
      </c>
      <c r="S80" s="8" t="s">
        <v>2154</v>
      </c>
      <c r="T80" s="8"/>
      <c r="U80" s="8"/>
      <c r="V80" s="8"/>
      <c r="W80" s="8"/>
      <c r="X80" s="8"/>
      <c r="Y80" s="8"/>
    </row>
    <row r="81" customHeight="1" spans="2:25">
      <c r="B81" s="7"/>
      <c r="C81" s="8"/>
      <c r="D81" s="3" t="str">
        <f t="shared" si="28"/>
        <v>禾赛科技</v>
      </c>
      <c r="E81" s="8"/>
      <c r="F81" s="9"/>
      <c r="G81" s="8"/>
      <c r="H81" s="8"/>
      <c r="I81" s="8"/>
      <c r="J81" s="8"/>
      <c r="K81" s="3" t="str">
        <f t="shared" si="29"/>
        <v>运营中</v>
      </c>
      <c r="L81" s="8"/>
      <c r="M81" s="8"/>
      <c r="N81" s="8"/>
      <c r="O81" s="8">
        <v>1</v>
      </c>
      <c r="P81" s="10">
        <v>44355</v>
      </c>
      <c r="Q81" s="8" t="s">
        <v>1579</v>
      </c>
      <c r="R81" s="8" t="s">
        <v>2155</v>
      </c>
      <c r="S81" s="8" t="s">
        <v>2156</v>
      </c>
      <c r="T81" s="8"/>
      <c r="U81" s="8"/>
      <c r="V81" s="8"/>
      <c r="W81" s="8"/>
      <c r="X81" s="8"/>
      <c r="Y81" s="8"/>
    </row>
    <row r="82" customHeight="1" spans="2:25">
      <c r="B82" s="7"/>
      <c r="C82" s="8"/>
      <c r="D82" s="3" t="str">
        <f t="shared" si="28"/>
        <v>禾赛科技</v>
      </c>
      <c r="E82" s="8"/>
      <c r="F82" s="9"/>
      <c r="G82" s="8"/>
      <c r="H82" s="8"/>
      <c r="I82" s="8"/>
      <c r="J82" s="8"/>
      <c r="K82" s="3" t="str">
        <f t="shared" si="29"/>
        <v>运营中</v>
      </c>
      <c r="L82" s="8"/>
      <c r="M82" s="8"/>
      <c r="N82" s="8"/>
      <c r="O82" s="8">
        <v>1</v>
      </c>
      <c r="P82" s="10">
        <v>43837</v>
      </c>
      <c r="Q82" s="8" t="s">
        <v>425</v>
      </c>
      <c r="R82" s="8" t="s">
        <v>2157</v>
      </c>
      <c r="S82" s="8" t="s">
        <v>2158</v>
      </c>
      <c r="T82" s="8"/>
      <c r="U82" s="8"/>
      <c r="V82" s="8"/>
      <c r="W82" s="8"/>
      <c r="X82" s="8"/>
      <c r="Y82" s="8"/>
    </row>
    <row r="83" customHeight="1" spans="2:25">
      <c r="B83" s="7"/>
      <c r="C83" s="8"/>
      <c r="D83" s="3" t="str">
        <f t="shared" si="28"/>
        <v>禾赛科技</v>
      </c>
      <c r="E83" s="8"/>
      <c r="F83" s="9"/>
      <c r="G83" s="8"/>
      <c r="H83" s="8"/>
      <c r="I83" s="8"/>
      <c r="J83" s="8"/>
      <c r="K83" s="3" t="str">
        <f t="shared" si="29"/>
        <v>运营中</v>
      </c>
      <c r="L83" s="8"/>
      <c r="M83" s="8"/>
      <c r="N83" s="8"/>
      <c r="O83" s="8">
        <v>1</v>
      </c>
      <c r="P83" s="10">
        <v>43223</v>
      </c>
      <c r="Q83" s="8" t="s">
        <v>868</v>
      </c>
      <c r="R83" s="8" t="s">
        <v>2159</v>
      </c>
      <c r="S83" s="8" t="s">
        <v>2160</v>
      </c>
      <c r="T83" s="8"/>
      <c r="U83" s="8"/>
      <c r="V83" s="8"/>
      <c r="W83" s="8"/>
      <c r="X83" s="8"/>
      <c r="Y83" s="8"/>
    </row>
    <row r="84" customHeight="1" spans="2:25">
      <c r="B84" s="7"/>
      <c r="C84" s="8"/>
      <c r="D84" s="3" t="str">
        <f t="shared" si="28"/>
        <v>禾赛科技</v>
      </c>
      <c r="E84" s="8"/>
      <c r="F84" s="9"/>
      <c r="G84" s="8"/>
      <c r="H84" s="8"/>
      <c r="I84" s="8"/>
      <c r="J84" s="8"/>
      <c r="K84" s="3" t="str">
        <f t="shared" si="29"/>
        <v>运营中</v>
      </c>
      <c r="L84" s="8"/>
      <c r="M84" s="8"/>
      <c r="N84" s="8"/>
      <c r="O84" s="8">
        <v>1</v>
      </c>
      <c r="P84" s="10">
        <v>42865</v>
      </c>
      <c r="Q84" s="8" t="s">
        <v>1167</v>
      </c>
      <c r="R84" s="8" t="s">
        <v>2161</v>
      </c>
      <c r="S84" s="8" t="s">
        <v>2162</v>
      </c>
      <c r="T84" s="8"/>
      <c r="U84" s="8"/>
      <c r="V84" s="8"/>
      <c r="W84" s="8"/>
      <c r="X84" s="8"/>
      <c r="Y84" s="8"/>
    </row>
    <row r="85" customHeight="1" spans="2:25">
      <c r="B85" s="7"/>
      <c r="C85" s="8"/>
      <c r="D85" s="3" t="str">
        <f t="shared" si="28"/>
        <v>禾赛科技</v>
      </c>
      <c r="E85" s="8"/>
      <c r="F85" s="9"/>
      <c r="G85" s="8"/>
      <c r="H85" s="8"/>
      <c r="I85" s="8"/>
      <c r="J85" s="8"/>
      <c r="K85" s="3" t="str">
        <f t="shared" si="29"/>
        <v>运营中</v>
      </c>
      <c r="L85" s="8"/>
      <c r="M85" s="8"/>
      <c r="N85" s="8"/>
      <c r="O85" s="8">
        <v>1</v>
      </c>
      <c r="P85" s="10">
        <v>42017</v>
      </c>
      <c r="Q85" s="8" t="s">
        <v>1875</v>
      </c>
      <c r="R85" s="8" t="s">
        <v>1968</v>
      </c>
      <c r="S85" s="8" t="s">
        <v>2163</v>
      </c>
      <c r="T85" s="8"/>
      <c r="U85" s="8"/>
      <c r="V85" s="8"/>
      <c r="W85" s="8"/>
      <c r="X85" s="8"/>
      <c r="Y85" s="8"/>
    </row>
    <row r="86" customHeight="1" spans="2:25">
      <c r="B86" s="7"/>
      <c r="C86" s="8" t="s">
        <v>535</v>
      </c>
      <c r="D86" s="3" t="s">
        <v>1999</v>
      </c>
      <c r="E86" s="8" t="s">
        <v>1999</v>
      </c>
      <c r="F86" s="9" t="s">
        <v>2164</v>
      </c>
      <c r="G86" s="8" t="s">
        <v>2165</v>
      </c>
      <c r="H86" s="8" t="s">
        <v>538</v>
      </c>
      <c r="I86" s="8" t="s">
        <v>539</v>
      </c>
      <c r="J86" s="8" t="s">
        <v>1987</v>
      </c>
      <c r="K86" s="3" t="s">
        <v>278</v>
      </c>
      <c r="L86" s="8" t="s">
        <v>278</v>
      </c>
      <c r="M86" s="8" t="s">
        <v>37</v>
      </c>
      <c r="N86" s="8" t="s">
        <v>1988</v>
      </c>
      <c r="O86" s="8">
        <v>1</v>
      </c>
      <c r="P86" s="10">
        <v>42067</v>
      </c>
      <c r="Q86" s="8" t="s">
        <v>1989</v>
      </c>
      <c r="R86" s="8" t="s">
        <v>2166</v>
      </c>
      <c r="S86" s="8" t="s">
        <v>2167</v>
      </c>
      <c r="T86" s="8" t="s">
        <v>2168</v>
      </c>
      <c r="U86" s="8" t="s">
        <v>2169</v>
      </c>
      <c r="V86" s="8" t="s">
        <v>2170</v>
      </c>
      <c r="W86" s="8"/>
      <c r="X86" s="8"/>
      <c r="Y86" s="8"/>
    </row>
    <row r="87" customHeight="1" spans="2:25">
      <c r="B87" s="7"/>
      <c r="C87" s="8"/>
      <c r="D87" s="3" t="str">
        <f>D86</f>
        <v>光线传媒</v>
      </c>
      <c r="E87" s="8"/>
      <c r="F87" s="9"/>
      <c r="G87" s="8"/>
      <c r="H87" s="8"/>
      <c r="I87" s="8"/>
      <c r="J87" s="8"/>
      <c r="K87" s="3" t="str">
        <f>K86</f>
        <v>运营中</v>
      </c>
      <c r="L87" s="8"/>
      <c r="M87" s="8"/>
      <c r="N87" s="8"/>
      <c r="O87" s="8">
        <v>1</v>
      </c>
      <c r="P87" s="10">
        <v>40758</v>
      </c>
      <c r="Q87" s="8" t="s">
        <v>1994</v>
      </c>
      <c r="R87" s="8" t="s">
        <v>2171</v>
      </c>
      <c r="S87" s="8" t="s">
        <v>262</v>
      </c>
      <c r="T87" s="8"/>
      <c r="U87" s="8"/>
      <c r="V87" s="8"/>
      <c r="W87" s="8"/>
      <c r="X87" s="8"/>
      <c r="Y87" s="8"/>
    </row>
    <row r="88" customHeight="1" spans="2:25">
      <c r="B88" s="7"/>
      <c r="C88" s="8" t="s">
        <v>546</v>
      </c>
      <c r="D88" s="3" t="s">
        <v>548</v>
      </c>
      <c r="E88" s="8" t="s">
        <v>548</v>
      </c>
      <c r="F88" s="9" t="s">
        <v>549</v>
      </c>
      <c r="G88" s="8" t="s">
        <v>2172</v>
      </c>
      <c r="H88" s="8" t="s">
        <v>551</v>
      </c>
      <c r="I88" s="8" t="s">
        <v>552</v>
      </c>
      <c r="J88" s="8" t="s">
        <v>553</v>
      </c>
      <c r="K88" s="3" t="s">
        <v>278</v>
      </c>
      <c r="L88" s="8" t="s">
        <v>278</v>
      </c>
      <c r="M88" s="8" t="s">
        <v>23</v>
      </c>
      <c r="N88" s="8" t="s">
        <v>554</v>
      </c>
      <c r="O88" s="8"/>
      <c r="P88" s="10">
        <v>43872</v>
      </c>
      <c r="Q88" s="8" t="s">
        <v>555</v>
      </c>
      <c r="R88" s="8" t="s">
        <v>556</v>
      </c>
      <c r="S88" s="8" t="s">
        <v>557</v>
      </c>
      <c r="T88" s="8" t="s">
        <v>558</v>
      </c>
      <c r="U88" s="8" t="s">
        <v>559</v>
      </c>
      <c r="V88" s="8" t="s">
        <v>560</v>
      </c>
      <c r="W88" s="8" t="s">
        <v>2173</v>
      </c>
      <c r="X88" s="8" t="s">
        <v>562</v>
      </c>
      <c r="Y88" s="8" t="s">
        <v>563</v>
      </c>
    </row>
    <row r="89" customHeight="1" spans="2:25">
      <c r="B89" s="7"/>
      <c r="C89" s="8"/>
      <c r="D89" s="3" t="str">
        <f t="shared" ref="D89:D96" si="30">D88</f>
        <v>易酒批</v>
      </c>
      <c r="E89" s="8"/>
      <c r="F89" s="9"/>
      <c r="G89" s="8"/>
      <c r="H89" s="8"/>
      <c r="I89" s="8"/>
      <c r="J89" s="8"/>
      <c r="K89" s="3" t="str">
        <f t="shared" ref="K89:K96" si="31">K88</f>
        <v>运营中</v>
      </c>
      <c r="L89" s="8"/>
      <c r="M89" s="8"/>
      <c r="N89" s="8"/>
      <c r="O89" s="8"/>
      <c r="P89" s="10">
        <v>43698</v>
      </c>
      <c r="Q89" s="8" t="s">
        <v>280</v>
      </c>
      <c r="R89" s="8" t="s">
        <v>953</v>
      </c>
      <c r="S89" s="8" t="s">
        <v>1996</v>
      </c>
      <c r="T89" s="8"/>
      <c r="U89" s="8"/>
      <c r="V89" s="8"/>
      <c r="W89" s="8"/>
      <c r="X89" s="8"/>
      <c r="Y89" s="8"/>
    </row>
    <row r="90" customHeight="1" spans="2:25">
      <c r="B90" s="7"/>
      <c r="C90" s="8"/>
      <c r="D90" s="3" t="str">
        <f t="shared" si="30"/>
        <v>易酒批</v>
      </c>
      <c r="E90" s="8"/>
      <c r="F90" s="9"/>
      <c r="G90" s="8"/>
      <c r="H90" s="8"/>
      <c r="I90" s="8"/>
      <c r="J90" s="8"/>
      <c r="K90" s="3" t="str">
        <f t="shared" si="31"/>
        <v>运营中</v>
      </c>
      <c r="L90" s="8"/>
      <c r="M90" s="8"/>
      <c r="N90" s="8"/>
      <c r="O90" s="8"/>
      <c r="P90" s="10">
        <v>43540</v>
      </c>
      <c r="Q90" s="8" t="s">
        <v>555</v>
      </c>
      <c r="R90" s="8" t="s">
        <v>919</v>
      </c>
      <c r="S90" s="8" t="s">
        <v>2174</v>
      </c>
      <c r="T90" s="8"/>
      <c r="U90" s="8"/>
      <c r="V90" s="8"/>
      <c r="W90" s="8"/>
      <c r="X90" s="8"/>
      <c r="Y90" s="8"/>
    </row>
    <row r="91" customHeight="1" spans="2:25">
      <c r="B91" s="7"/>
      <c r="C91" s="8"/>
      <c r="D91" s="3" t="str">
        <f t="shared" si="30"/>
        <v>易酒批</v>
      </c>
      <c r="E91" s="8"/>
      <c r="F91" s="9"/>
      <c r="G91" s="8"/>
      <c r="H91" s="8"/>
      <c r="I91" s="8"/>
      <c r="J91" s="8"/>
      <c r="K91" s="3" t="str">
        <f t="shared" si="31"/>
        <v>运营中</v>
      </c>
      <c r="L91" s="8"/>
      <c r="M91" s="8"/>
      <c r="N91" s="8"/>
      <c r="O91" s="8"/>
      <c r="P91" s="10">
        <v>43363</v>
      </c>
      <c r="Q91" s="8" t="s">
        <v>1579</v>
      </c>
      <c r="R91" s="8" t="s">
        <v>2130</v>
      </c>
      <c r="S91" s="8" t="s">
        <v>2175</v>
      </c>
      <c r="T91" s="8"/>
      <c r="U91" s="8"/>
      <c r="V91" s="8"/>
      <c r="W91" s="8"/>
      <c r="X91" s="8"/>
      <c r="Y91" s="8"/>
    </row>
    <row r="92" customHeight="1" spans="2:25">
      <c r="B92" s="7"/>
      <c r="C92" s="8"/>
      <c r="D92" s="3" t="str">
        <f t="shared" si="30"/>
        <v>易酒批</v>
      </c>
      <c r="E92" s="8"/>
      <c r="F92" s="9"/>
      <c r="G92" s="8"/>
      <c r="H92" s="8"/>
      <c r="I92" s="8"/>
      <c r="J92" s="8"/>
      <c r="K92" s="3" t="str">
        <f t="shared" si="31"/>
        <v>运营中</v>
      </c>
      <c r="L92" s="8"/>
      <c r="M92" s="8"/>
      <c r="N92" s="8"/>
      <c r="O92" s="8"/>
      <c r="P92" s="10">
        <v>42661</v>
      </c>
      <c r="Q92" s="8" t="s">
        <v>425</v>
      </c>
      <c r="R92" s="8" t="s">
        <v>919</v>
      </c>
      <c r="S92" s="8" t="s">
        <v>2176</v>
      </c>
      <c r="T92" s="8"/>
      <c r="U92" s="8"/>
      <c r="V92" s="8"/>
      <c r="W92" s="8"/>
      <c r="X92" s="8"/>
      <c r="Y92" s="8"/>
    </row>
    <row r="93" customHeight="1" spans="2:25">
      <c r="B93" s="7"/>
      <c r="C93" s="8"/>
      <c r="D93" s="3" t="str">
        <f t="shared" si="30"/>
        <v>易酒批</v>
      </c>
      <c r="E93" s="8"/>
      <c r="F93" s="9"/>
      <c r="G93" s="8"/>
      <c r="H93" s="8"/>
      <c r="I93" s="8"/>
      <c r="J93" s="8"/>
      <c r="K93" s="3" t="str">
        <f t="shared" si="31"/>
        <v>运营中</v>
      </c>
      <c r="L93" s="8"/>
      <c r="M93" s="8"/>
      <c r="N93" s="8"/>
      <c r="O93" s="8"/>
      <c r="P93" s="10">
        <v>42503</v>
      </c>
      <c r="Q93" s="8" t="s">
        <v>865</v>
      </c>
      <c r="R93" s="8" t="s">
        <v>430</v>
      </c>
      <c r="S93" s="8" t="s">
        <v>809</v>
      </c>
      <c r="T93" s="8"/>
      <c r="U93" s="8"/>
      <c r="V93" s="8"/>
      <c r="W93" s="8"/>
      <c r="X93" s="8"/>
      <c r="Y93" s="8"/>
    </row>
    <row r="94" customHeight="1" spans="2:25">
      <c r="B94" s="7"/>
      <c r="C94" s="8"/>
      <c r="D94" s="3" t="str">
        <f t="shared" si="30"/>
        <v>易酒批</v>
      </c>
      <c r="E94" s="8"/>
      <c r="F94" s="9"/>
      <c r="G94" s="8"/>
      <c r="H94" s="8"/>
      <c r="I94" s="8"/>
      <c r="J94" s="8"/>
      <c r="K94" s="3" t="str">
        <f t="shared" si="31"/>
        <v>运营中</v>
      </c>
      <c r="L94" s="8"/>
      <c r="M94" s="8"/>
      <c r="N94" s="8"/>
      <c r="O94" s="8"/>
      <c r="P94" s="10">
        <v>42449</v>
      </c>
      <c r="Q94" s="8" t="s">
        <v>865</v>
      </c>
      <c r="R94" s="8" t="s">
        <v>2177</v>
      </c>
      <c r="S94" s="8" t="s">
        <v>2178</v>
      </c>
      <c r="T94" s="8"/>
      <c r="U94" s="8"/>
      <c r="V94" s="8"/>
      <c r="W94" s="8"/>
      <c r="X94" s="8"/>
      <c r="Y94" s="8"/>
    </row>
    <row r="95" customHeight="1" spans="2:25">
      <c r="B95" s="7"/>
      <c r="C95" s="8"/>
      <c r="D95" s="3" t="str">
        <f t="shared" si="30"/>
        <v>易酒批</v>
      </c>
      <c r="E95" s="8"/>
      <c r="F95" s="9"/>
      <c r="G95" s="8"/>
      <c r="H95" s="8"/>
      <c r="I95" s="8"/>
      <c r="J95" s="8"/>
      <c r="K95" s="3" t="str">
        <f t="shared" si="31"/>
        <v>运营中</v>
      </c>
      <c r="L95" s="8"/>
      <c r="M95" s="8"/>
      <c r="N95" s="8"/>
      <c r="O95" s="8"/>
      <c r="P95" s="10">
        <v>42257</v>
      </c>
      <c r="Q95" s="8" t="s">
        <v>868</v>
      </c>
      <c r="R95" s="8" t="s">
        <v>2177</v>
      </c>
      <c r="S95" s="8" t="s">
        <v>2179</v>
      </c>
      <c r="T95" s="8"/>
      <c r="U95" s="8"/>
      <c r="V95" s="8"/>
      <c r="W95" s="8"/>
      <c r="X95" s="8"/>
      <c r="Y95" s="8"/>
    </row>
    <row r="96" customHeight="1" spans="2:25">
      <c r="B96" s="7"/>
      <c r="C96" s="8"/>
      <c r="D96" s="3" t="str">
        <f t="shared" si="30"/>
        <v>易酒批</v>
      </c>
      <c r="E96" s="8"/>
      <c r="F96" s="9"/>
      <c r="G96" s="8"/>
      <c r="H96" s="8"/>
      <c r="I96" s="8"/>
      <c r="J96" s="8"/>
      <c r="K96" s="3" t="str">
        <f t="shared" si="31"/>
        <v>运营中</v>
      </c>
      <c r="L96" s="8"/>
      <c r="M96" s="8"/>
      <c r="N96" s="8"/>
      <c r="O96" s="8"/>
      <c r="P96" s="10">
        <v>41981</v>
      </c>
      <c r="Q96" s="8" t="s">
        <v>1167</v>
      </c>
      <c r="R96" s="8" t="s">
        <v>1968</v>
      </c>
      <c r="S96" s="8" t="s">
        <v>2180</v>
      </c>
      <c r="T96" s="8"/>
      <c r="U96" s="8"/>
      <c r="V96" s="8"/>
      <c r="W96" s="8"/>
      <c r="X96" s="8"/>
      <c r="Y96" s="8"/>
    </row>
    <row r="97" customHeight="1" spans="2:25">
      <c r="B97" s="7"/>
      <c r="C97" s="8" t="s">
        <v>573</v>
      </c>
      <c r="D97" s="3" t="s">
        <v>20</v>
      </c>
      <c r="E97" s="8" t="s">
        <v>20</v>
      </c>
      <c r="F97" s="9" t="s">
        <v>2181</v>
      </c>
      <c r="G97" s="8"/>
      <c r="H97" s="8" t="s">
        <v>575</v>
      </c>
      <c r="I97" s="8" t="s">
        <v>576</v>
      </c>
      <c r="J97" s="8" t="s">
        <v>2182</v>
      </c>
      <c r="K97" s="3" t="s">
        <v>278</v>
      </c>
      <c r="L97" s="8" t="s">
        <v>278</v>
      </c>
      <c r="M97" s="8" t="s">
        <v>10</v>
      </c>
      <c r="N97" s="8" t="s">
        <v>279</v>
      </c>
      <c r="O97" s="8"/>
      <c r="P97" s="10">
        <v>44590</v>
      </c>
      <c r="Q97" s="8" t="s">
        <v>280</v>
      </c>
      <c r="R97" s="8" t="s">
        <v>2183</v>
      </c>
      <c r="S97" s="8" t="s">
        <v>579</v>
      </c>
      <c r="T97" s="8" t="s">
        <v>2184</v>
      </c>
      <c r="U97" s="8" t="s">
        <v>2185</v>
      </c>
      <c r="V97" s="8" t="s">
        <v>582</v>
      </c>
      <c r="W97" s="8"/>
      <c r="X97" s="8"/>
      <c r="Y97" s="8" t="s">
        <v>583</v>
      </c>
    </row>
    <row r="98" customHeight="1" spans="2:25">
      <c r="B98" s="7"/>
      <c r="C98" s="8"/>
      <c r="D98" s="3" t="str">
        <f t="shared" ref="D98:D109" si="32">D97</f>
        <v>Swiggy</v>
      </c>
      <c r="E98" s="8"/>
      <c r="F98" s="9"/>
      <c r="G98" s="8"/>
      <c r="H98" s="8"/>
      <c r="I98" s="8"/>
      <c r="J98" s="8"/>
      <c r="K98" s="3" t="str">
        <f t="shared" ref="K98:K109" si="33">K97</f>
        <v>运营中</v>
      </c>
      <c r="L98" s="8"/>
      <c r="M98" s="8"/>
      <c r="N98" s="8"/>
      <c r="O98" s="8"/>
      <c r="P98" s="10">
        <v>44398</v>
      </c>
      <c r="Q98" s="8" t="s">
        <v>280</v>
      </c>
      <c r="R98" s="8" t="s">
        <v>2186</v>
      </c>
      <c r="S98" s="8" t="s">
        <v>2187</v>
      </c>
      <c r="T98" s="8"/>
      <c r="U98" s="8"/>
      <c r="V98" s="8"/>
      <c r="W98" s="8"/>
      <c r="X98" s="8"/>
      <c r="Y98" s="8"/>
    </row>
    <row r="99" customHeight="1" spans="2:25">
      <c r="B99" s="7"/>
      <c r="C99" s="8"/>
      <c r="D99" s="3" t="str">
        <f t="shared" si="32"/>
        <v>Swiggy</v>
      </c>
      <c r="E99" s="8"/>
      <c r="F99" s="9"/>
      <c r="G99" s="8"/>
      <c r="H99" s="8"/>
      <c r="I99" s="8"/>
      <c r="J99" s="8"/>
      <c r="K99" s="3" t="str">
        <f t="shared" si="33"/>
        <v>运营中</v>
      </c>
      <c r="L99" s="8"/>
      <c r="M99" s="8"/>
      <c r="N99" s="8"/>
      <c r="O99" s="8"/>
      <c r="P99" s="10">
        <v>44292</v>
      </c>
      <c r="Q99" s="8" t="s">
        <v>280</v>
      </c>
      <c r="R99" s="8" t="s">
        <v>2188</v>
      </c>
      <c r="S99" s="8" t="s">
        <v>2189</v>
      </c>
      <c r="T99" s="8"/>
      <c r="U99" s="8"/>
      <c r="V99" s="8"/>
      <c r="W99" s="8"/>
      <c r="X99" s="8"/>
      <c r="Y99" s="8"/>
    </row>
    <row r="100" customHeight="1" spans="2:25">
      <c r="B100" s="7"/>
      <c r="C100" s="8"/>
      <c r="D100" s="3" t="str">
        <f t="shared" si="32"/>
        <v>Swiggy</v>
      </c>
      <c r="E100" s="8"/>
      <c r="F100" s="9"/>
      <c r="G100" s="8"/>
      <c r="H100" s="8"/>
      <c r="I100" s="8"/>
      <c r="J100" s="8"/>
      <c r="K100" s="3" t="str">
        <f t="shared" si="33"/>
        <v>运营中</v>
      </c>
      <c r="L100" s="8"/>
      <c r="M100" s="8"/>
      <c r="N100" s="8"/>
      <c r="O100" s="8"/>
      <c r="P100" s="10">
        <v>43928</v>
      </c>
      <c r="Q100" s="8" t="s">
        <v>280</v>
      </c>
      <c r="R100" s="8" t="s">
        <v>2190</v>
      </c>
      <c r="S100" s="8" t="s">
        <v>2191</v>
      </c>
      <c r="T100" s="8"/>
      <c r="U100" s="8"/>
      <c r="V100" s="8"/>
      <c r="W100" s="8"/>
      <c r="X100" s="8"/>
      <c r="Y100" s="8"/>
    </row>
    <row r="101" customHeight="1" spans="2:25">
      <c r="B101" s="7"/>
      <c r="C101" s="8"/>
      <c r="D101" s="3" t="str">
        <f t="shared" si="32"/>
        <v>Swiggy</v>
      </c>
      <c r="E101" s="8"/>
      <c r="F101" s="9"/>
      <c r="G101" s="8"/>
      <c r="H101" s="8"/>
      <c r="I101" s="8"/>
      <c r="J101" s="8"/>
      <c r="K101" s="3" t="str">
        <f t="shared" si="33"/>
        <v>运营中</v>
      </c>
      <c r="L101" s="8"/>
      <c r="M101" s="8"/>
      <c r="N101" s="8"/>
      <c r="O101" s="8"/>
      <c r="P101" s="10">
        <v>43881</v>
      </c>
      <c r="Q101" s="8" t="s">
        <v>280</v>
      </c>
      <c r="R101" s="8" t="s">
        <v>590</v>
      </c>
      <c r="S101" s="8" t="s">
        <v>591</v>
      </c>
      <c r="T101" s="8"/>
      <c r="U101" s="8"/>
      <c r="V101" s="8"/>
      <c r="W101" s="8"/>
      <c r="X101" s="8"/>
      <c r="Y101" s="8"/>
    </row>
    <row r="102" customHeight="1" spans="2:25">
      <c r="B102" s="7"/>
      <c r="C102" s="8"/>
      <c r="D102" s="3" t="str">
        <f t="shared" si="32"/>
        <v>Swiggy</v>
      </c>
      <c r="E102" s="8"/>
      <c r="F102" s="9"/>
      <c r="G102" s="8"/>
      <c r="H102" s="8"/>
      <c r="I102" s="8"/>
      <c r="J102" s="8"/>
      <c r="K102" s="3" t="str">
        <f t="shared" si="33"/>
        <v>运营中</v>
      </c>
      <c r="L102" s="8"/>
      <c r="M102" s="8"/>
      <c r="N102" s="8"/>
      <c r="O102" s="8"/>
      <c r="P102" s="10">
        <v>43454</v>
      </c>
      <c r="Q102" s="8" t="s">
        <v>2192</v>
      </c>
      <c r="R102" s="8" t="s">
        <v>2193</v>
      </c>
      <c r="S102" s="8" t="s">
        <v>2194</v>
      </c>
      <c r="T102" s="8"/>
      <c r="U102" s="8"/>
      <c r="V102" s="8"/>
      <c r="W102" s="8"/>
      <c r="X102" s="8"/>
      <c r="Y102" s="8"/>
    </row>
    <row r="103" customHeight="1" spans="2:25">
      <c r="B103" s="7"/>
      <c r="C103" s="8"/>
      <c r="D103" s="3" t="str">
        <f t="shared" si="32"/>
        <v>Swiggy</v>
      </c>
      <c r="E103" s="8"/>
      <c r="F103" s="9"/>
      <c r="G103" s="8"/>
      <c r="H103" s="8"/>
      <c r="I103" s="8"/>
      <c r="J103" s="8"/>
      <c r="K103" s="3" t="str">
        <f t="shared" si="33"/>
        <v>运营中</v>
      </c>
      <c r="L103" s="8"/>
      <c r="M103" s="8"/>
      <c r="N103" s="8"/>
      <c r="O103" s="8"/>
      <c r="P103" s="10">
        <v>43273</v>
      </c>
      <c r="Q103" s="8" t="s">
        <v>2195</v>
      </c>
      <c r="R103" s="8" t="s">
        <v>2196</v>
      </c>
      <c r="S103" s="8" t="s">
        <v>2197</v>
      </c>
      <c r="T103" s="8"/>
      <c r="U103" s="8"/>
      <c r="V103" s="8"/>
      <c r="W103" s="8"/>
      <c r="X103" s="8"/>
      <c r="Y103" s="8"/>
    </row>
    <row r="104" customHeight="1" spans="2:25">
      <c r="B104" s="7"/>
      <c r="C104" s="8"/>
      <c r="D104" s="3" t="str">
        <f t="shared" si="32"/>
        <v>Swiggy</v>
      </c>
      <c r="E104" s="8"/>
      <c r="F104" s="9"/>
      <c r="G104" s="8"/>
      <c r="H104" s="8"/>
      <c r="I104" s="8"/>
      <c r="J104" s="8"/>
      <c r="K104" s="3" t="str">
        <f t="shared" si="33"/>
        <v>运营中</v>
      </c>
      <c r="L104" s="8"/>
      <c r="M104" s="8"/>
      <c r="N104" s="8"/>
      <c r="O104" s="8"/>
      <c r="P104" s="10">
        <v>43139</v>
      </c>
      <c r="Q104" s="8" t="s">
        <v>2119</v>
      </c>
      <c r="R104" s="8" t="s">
        <v>919</v>
      </c>
      <c r="S104" s="8" t="s">
        <v>2198</v>
      </c>
      <c r="T104" s="8"/>
      <c r="U104" s="8"/>
      <c r="V104" s="8"/>
      <c r="W104" s="8"/>
      <c r="X104" s="8"/>
      <c r="Y104" s="8"/>
    </row>
    <row r="105" customHeight="1" spans="2:25">
      <c r="B105" s="7"/>
      <c r="C105" s="8"/>
      <c r="D105" s="3" t="str">
        <f t="shared" si="32"/>
        <v>Swiggy</v>
      </c>
      <c r="E105" s="8"/>
      <c r="F105" s="9"/>
      <c r="G105" s="8"/>
      <c r="H105" s="8"/>
      <c r="I105" s="8"/>
      <c r="J105" s="8"/>
      <c r="K105" s="3" t="str">
        <f t="shared" si="33"/>
        <v>运营中</v>
      </c>
      <c r="L105" s="8"/>
      <c r="M105" s="8"/>
      <c r="N105" s="8"/>
      <c r="O105" s="8"/>
      <c r="P105" s="10">
        <v>42886</v>
      </c>
      <c r="Q105" s="8" t="s">
        <v>1571</v>
      </c>
      <c r="R105" s="8" t="s">
        <v>953</v>
      </c>
      <c r="S105" s="8" t="s">
        <v>599</v>
      </c>
      <c r="T105" s="8"/>
      <c r="U105" s="8"/>
      <c r="V105" s="8"/>
      <c r="W105" s="8"/>
      <c r="X105" s="8"/>
      <c r="Y105" s="8"/>
    </row>
    <row r="106" customHeight="1" spans="2:25">
      <c r="B106" s="7"/>
      <c r="C106" s="8"/>
      <c r="D106" s="3" t="str">
        <f t="shared" si="32"/>
        <v>Swiggy</v>
      </c>
      <c r="E106" s="8"/>
      <c r="F106" s="9"/>
      <c r="G106" s="8"/>
      <c r="H106" s="8"/>
      <c r="I106" s="8"/>
      <c r="J106" s="8"/>
      <c r="K106" s="3" t="str">
        <f t="shared" si="33"/>
        <v>运营中</v>
      </c>
      <c r="L106" s="8"/>
      <c r="M106" s="8"/>
      <c r="N106" s="8"/>
      <c r="O106" s="8"/>
      <c r="P106" s="10">
        <v>42633</v>
      </c>
      <c r="Q106" s="8" t="s">
        <v>1579</v>
      </c>
      <c r="R106" s="8" t="s">
        <v>892</v>
      </c>
      <c r="S106" s="8" t="s">
        <v>601</v>
      </c>
      <c r="T106" s="8"/>
      <c r="U106" s="8"/>
      <c r="V106" s="8"/>
      <c r="W106" s="8"/>
      <c r="X106" s="8"/>
      <c r="Y106" s="8"/>
    </row>
    <row r="107" customHeight="1" spans="2:25">
      <c r="B107" s="7"/>
      <c r="C107" s="8"/>
      <c r="D107" s="3" t="str">
        <f t="shared" si="32"/>
        <v>Swiggy</v>
      </c>
      <c r="E107" s="8"/>
      <c r="F107" s="9"/>
      <c r="G107" s="8"/>
      <c r="H107" s="8"/>
      <c r="I107" s="8"/>
      <c r="J107" s="8"/>
      <c r="K107" s="3" t="str">
        <f t="shared" si="33"/>
        <v>运营中</v>
      </c>
      <c r="L107" s="8"/>
      <c r="M107" s="8"/>
      <c r="N107" s="8"/>
      <c r="O107" s="8"/>
      <c r="P107" s="10">
        <v>42388</v>
      </c>
      <c r="Q107" s="8" t="s">
        <v>425</v>
      </c>
      <c r="R107" s="8" t="s">
        <v>2110</v>
      </c>
      <c r="S107" s="8" t="s">
        <v>2199</v>
      </c>
      <c r="T107" s="8"/>
      <c r="U107" s="8"/>
      <c r="V107" s="8"/>
      <c r="W107" s="8"/>
      <c r="X107" s="8"/>
      <c r="Y107" s="8"/>
    </row>
    <row r="108" customHeight="1" spans="2:25">
      <c r="B108" s="7"/>
      <c r="C108" s="8"/>
      <c r="D108" s="3" t="str">
        <f t="shared" si="32"/>
        <v>Swiggy</v>
      </c>
      <c r="E108" s="8"/>
      <c r="F108" s="9"/>
      <c r="G108" s="8"/>
      <c r="H108" s="8"/>
      <c r="I108" s="8"/>
      <c r="J108" s="8"/>
      <c r="K108" s="3" t="str">
        <f t="shared" si="33"/>
        <v>运营中</v>
      </c>
      <c r="L108" s="8"/>
      <c r="M108" s="8"/>
      <c r="N108" s="8"/>
      <c r="O108" s="8"/>
      <c r="P108" s="10">
        <v>42179</v>
      </c>
      <c r="Q108" s="8" t="s">
        <v>868</v>
      </c>
      <c r="R108" s="8" t="s">
        <v>2200</v>
      </c>
      <c r="S108" s="8" t="s">
        <v>604</v>
      </c>
      <c r="T108" s="8"/>
      <c r="U108" s="8"/>
      <c r="V108" s="8"/>
      <c r="W108" s="8"/>
      <c r="X108" s="8"/>
      <c r="Y108" s="8"/>
    </row>
    <row r="109" customHeight="1" spans="2:25">
      <c r="B109" s="7"/>
      <c r="C109" s="8"/>
      <c r="D109" s="3" t="str">
        <f t="shared" si="32"/>
        <v>Swiggy</v>
      </c>
      <c r="E109" s="8"/>
      <c r="F109" s="9"/>
      <c r="G109" s="8"/>
      <c r="H109" s="8"/>
      <c r="I109" s="8"/>
      <c r="J109" s="8"/>
      <c r="K109" s="3" t="str">
        <f t="shared" si="33"/>
        <v>运营中</v>
      </c>
      <c r="L109" s="8"/>
      <c r="M109" s="8"/>
      <c r="N109" s="8"/>
      <c r="O109" s="8"/>
      <c r="P109" s="10">
        <v>42107</v>
      </c>
      <c r="Q109" s="8" t="s">
        <v>1167</v>
      </c>
      <c r="R109" s="8" t="s">
        <v>2021</v>
      </c>
      <c r="S109" s="8" t="s">
        <v>2199</v>
      </c>
      <c r="T109" s="8"/>
      <c r="U109" s="8"/>
      <c r="V109" s="8"/>
      <c r="W109" s="8"/>
      <c r="X109" s="8"/>
      <c r="Y109" s="8"/>
    </row>
    <row r="110" customHeight="1" spans="2:25">
      <c r="B110" s="7"/>
      <c r="C110" s="8" t="s">
        <v>605</v>
      </c>
      <c r="D110" s="3" t="s">
        <v>2201</v>
      </c>
      <c r="E110" s="8" t="s">
        <v>2201</v>
      </c>
      <c r="F110" s="9" t="s">
        <v>2202</v>
      </c>
      <c r="G110" s="8" t="s">
        <v>2203</v>
      </c>
      <c r="H110" s="8" t="s">
        <v>609</v>
      </c>
      <c r="I110" s="8" t="s">
        <v>610</v>
      </c>
      <c r="J110" s="8" t="s">
        <v>553</v>
      </c>
      <c r="K110" s="3" t="s">
        <v>278</v>
      </c>
      <c r="L110" s="8" t="s">
        <v>278</v>
      </c>
      <c r="M110" s="8" t="s">
        <v>33</v>
      </c>
      <c r="N110" s="8" t="s">
        <v>2204</v>
      </c>
      <c r="O110" s="8">
        <v>1</v>
      </c>
      <c r="P110" s="10">
        <v>44420</v>
      </c>
      <c r="Q110" s="8" t="s">
        <v>1994</v>
      </c>
      <c r="R110" s="8" t="s">
        <v>2205</v>
      </c>
      <c r="S110" s="8" t="s">
        <v>262</v>
      </c>
      <c r="T110" s="8" t="s">
        <v>2206</v>
      </c>
      <c r="U110" s="8" t="s">
        <v>2207</v>
      </c>
      <c r="V110" s="8" t="s">
        <v>2208</v>
      </c>
      <c r="W110" s="8" t="s">
        <v>2209</v>
      </c>
      <c r="X110" s="8"/>
      <c r="Y110" s="8"/>
    </row>
    <row r="111" customHeight="1" spans="2:25">
      <c r="B111" s="7"/>
      <c r="C111" s="8"/>
      <c r="D111" s="3" t="str">
        <f t="shared" ref="D111:D119" si="34">D110</f>
        <v>理想汽车</v>
      </c>
      <c r="E111" s="8"/>
      <c r="F111" s="9"/>
      <c r="G111" s="8"/>
      <c r="H111" s="8"/>
      <c r="I111" s="8"/>
      <c r="J111" s="8"/>
      <c r="K111" s="3" t="str">
        <f t="shared" ref="K111:K119" si="35">K110</f>
        <v>运营中</v>
      </c>
      <c r="L111" s="8"/>
      <c r="M111" s="8"/>
      <c r="N111" s="8"/>
      <c r="O111" s="8">
        <v>1</v>
      </c>
      <c r="P111" s="10">
        <v>44042</v>
      </c>
      <c r="Q111" s="8" t="s">
        <v>1994</v>
      </c>
      <c r="R111" s="8" t="s">
        <v>2210</v>
      </c>
      <c r="S111" s="8" t="s">
        <v>262</v>
      </c>
      <c r="T111" s="8"/>
      <c r="U111" s="8"/>
      <c r="V111" s="8"/>
      <c r="W111" s="8"/>
      <c r="X111" s="8"/>
      <c r="Y111" s="8"/>
    </row>
    <row r="112" customHeight="1" spans="2:25">
      <c r="B112" s="7"/>
      <c r="C112" s="8"/>
      <c r="D112" s="3" t="str">
        <f t="shared" si="34"/>
        <v>理想汽车</v>
      </c>
      <c r="E112" s="8"/>
      <c r="F112" s="9"/>
      <c r="G112" s="8"/>
      <c r="H112" s="8"/>
      <c r="I112" s="8"/>
      <c r="J112" s="8"/>
      <c r="K112" s="3" t="str">
        <f t="shared" si="35"/>
        <v>运营中</v>
      </c>
      <c r="L112" s="8"/>
      <c r="M112" s="8"/>
      <c r="N112" s="8"/>
      <c r="O112" s="8">
        <v>1</v>
      </c>
      <c r="P112" s="10">
        <v>44037</v>
      </c>
      <c r="Q112" s="8" t="s">
        <v>2211</v>
      </c>
      <c r="R112" s="8" t="s">
        <v>2212</v>
      </c>
      <c r="S112" s="8" t="s">
        <v>2213</v>
      </c>
      <c r="T112" s="8"/>
      <c r="U112" s="8"/>
      <c r="V112" s="8"/>
      <c r="W112" s="8"/>
      <c r="X112" s="8"/>
      <c r="Y112" s="8"/>
    </row>
    <row r="113" customHeight="1" spans="2:25">
      <c r="B113" s="7"/>
      <c r="C113" s="8"/>
      <c r="D113" s="3" t="str">
        <f t="shared" si="34"/>
        <v>理想汽车</v>
      </c>
      <c r="E113" s="8"/>
      <c r="F113" s="9"/>
      <c r="G113" s="8"/>
      <c r="H113" s="8"/>
      <c r="I113" s="8"/>
      <c r="J113" s="8"/>
      <c r="K113" s="3" t="str">
        <f t="shared" si="35"/>
        <v>运营中</v>
      </c>
      <c r="L113" s="8"/>
      <c r="M113" s="8"/>
      <c r="N113" s="8"/>
      <c r="O113" s="8">
        <v>1</v>
      </c>
      <c r="P113" s="10">
        <v>44006</v>
      </c>
      <c r="Q113" s="8" t="s">
        <v>1579</v>
      </c>
      <c r="R113" s="8" t="s">
        <v>2214</v>
      </c>
      <c r="S113" s="8" t="s">
        <v>2215</v>
      </c>
      <c r="T113" s="8"/>
      <c r="U113" s="8"/>
      <c r="V113" s="8"/>
      <c r="W113" s="8"/>
      <c r="X113" s="8"/>
      <c r="Y113" s="8"/>
    </row>
    <row r="114" customHeight="1" spans="2:25">
      <c r="B114" s="7"/>
      <c r="C114" s="8"/>
      <c r="D114" s="3" t="str">
        <f t="shared" si="34"/>
        <v>理想汽车</v>
      </c>
      <c r="E114" s="8"/>
      <c r="F114" s="9"/>
      <c r="G114" s="8"/>
      <c r="H114" s="8"/>
      <c r="I114" s="8"/>
      <c r="J114" s="8"/>
      <c r="K114" s="3" t="str">
        <f t="shared" si="35"/>
        <v>运营中</v>
      </c>
      <c r="L114" s="8"/>
      <c r="M114" s="8"/>
      <c r="N114" s="8"/>
      <c r="O114" s="8">
        <v>1</v>
      </c>
      <c r="P114" s="10">
        <v>43693</v>
      </c>
      <c r="Q114" s="8" t="s">
        <v>425</v>
      </c>
      <c r="R114" s="8" t="s">
        <v>2216</v>
      </c>
      <c r="S114" s="8" t="s">
        <v>2217</v>
      </c>
      <c r="T114" s="8"/>
      <c r="U114" s="8"/>
      <c r="V114" s="8"/>
      <c r="W114" s="8"/>
      <c r="X114" s="8"/>
      <c r="Y114" s="8"/>
    </row>
    <row r="115" customHeight="1" spans="2:25">
      <c r="B115" s="7"/>
      <c r="C115" s="8"/>
      <c r="D115" s="3" t="str">
        <f t="shared" si="34"/>
        <v>理想汽车</v>
      </c>
      <c r="E115" s="8"/>
      <c r="F115" s="9"/>
      <c r="G115" s="8"/>
      <c r="H115" s="8"/>
      <c r="I115" s="8"/>
      <c r="J115" s="8"/>
      <c r="K115" s="3" t="str">
        <f t="shared" si="35"/>
        <v>运营中</v>
      </c>
      <c r="L115" s="8"/>
      <c r="M115" s="8"/>
      <c r="N115" s="8"/>
      <c r="O115" s="8">
        <v>1</v>
      </c>
      <c r="P115" s="10">
        <v>43581</v>
      </c>
      <c r="Q115" s="8" t="s">
        <v>865</v>
      </c>
      <c r="R115" s="8" t="s">
        <v>792</v>
      </c>
      <c r="S115" s="8" t="s">
        <v>262</v>
      </c>
      <c r="T115" s="8"/>
      <c r="U115" s="8"/>
      <c r="V115" s="8"/>
      <c r="W115" s="8"/>
      <c r="X115" s="8"/>
      <c r="Y115" s="8"/>
    </row>
    <row r="116" customHeight="1" spans="2:25">
      <c r="B116" s="7"/>
      <c r="C116" s="8"/>
      <c r="D116" s="3" t="str">
        <f t="shared" si="34"/>
        <v>理想汽车</v>
      </c>
      <c r="E116" s="8"/>
      <c r="F116" s="9"/>
      <c r="G116" s="8"/>
      <c r="H116" s="8"/>
      <c r="I116" s="8"/>
      <c r="J116" s="8"/>
      <c r="K116" s="3" t="str">
        <f t="shared" si="35"/>
        <v>运营中</v>
      </c>
      <c r="L116" s="8"/>
      <c r="M116" s="8"/>
      <c r="N116" s="8"/>
      <c r="O116" s="8">
        <v>1</v>
      </c>
      <c r="P116" s="10">
        <v>43181</v>
      </c>
      <c r="Q116" s="8" t="s">
        <v>868</v>
      </c>
      <c r="R116" s="8" t="s">
        <v>2218</v>
      </c>
      <c r="S116" s="8" t="s">
        <v>2219</v>
      </c>
      <c r="T116" s="8"/>
      <c r="U116" s="8"/>
      <c r="V116" s="8"/>
      <c r="W116" s="8"/>
      <c r="X116" s="8"/>
      <c r="Y116" s="8"/>
    </row>
    <row r="117" customHeight="1" spans="2:25">
      <c r="B117" s="7"/>
      <c r="C117" s="8"/>
      <c r="D117" s="3" t="str">
        <f t="shared" si="34"/>
        <v>理想汽车</v>
      </c>
      <c r="E117" s="8"/>
      <c r="F117" s="9"/>
      <c r="G117" s="8"/>
      <c r="H117" s="8"/>
      <c r="I117" s="8"/>
      <c r="J117" s="8"/>
      <c r="K117" s="3" t="str">
        <f t="shared" si="35"/>
        <v>运营中</v>
      </c>
      <c r="L117" s="8"/>
      <c r="M117" s="8"/>
      <c r="N117" s="8"/>
      <c r="O117" s="8">
        <v>1</v>
      </c>
      <c r="P117" s="10">
        <v>42986</v>
      </c>
      <c r="Q117" s="8" t="s">
        <v>1180</v>
      </c>
      <c r="R117" s="8" t="s">
        <v>2220</v>
      </c>
      <c r="S117" s="8" t="s">
        <v>2221</v>
      </c>
      <c r="T117" s="8"/>
      <c r="U117" s="8"/>
      <c r="V117" s="8"/>
      <c r="W117" s="8"/>
      <c r="X117" s="8"/>
      <c r="Y117" s="8"/>
    </row>
    <row r="118" customHeight="1" spans="2:25">
      <c r="B118" s="7"/>
      <c r="C118" s="8"/>
      <c r="D118" s="3" t="str">
        <f t="shared" si="34"/>
        <v>理想汽车</v>
      </c>
      <c r="E118" s="8"/>
      <c r="F118" s="9"/>
      <c r="G118" s="8"/>
      <c r="H118" s="8"/>
      <c r="I118" s="8"/>
      <c r="J118" s="8"/>
      <c r="K118" s="3" t="str">
        <f t="shared" si="35"/>
        <v>运营中</v>
      </c>
      <c r="L118" s="8"/>
      <c r="M118" s="8"/>
      <c r="N118" s="8"/>
      <c r="O118" s="8">
        <v>1</v>
      </c>
      <c r="P118" s="10">
        <v>42493</v>
      </c>
      <c r="Q118" s="8" t="s">
        <v>1167</v>
      </c>
      <c r="R118" s="8" t="s">
        <v>2222</v>
      </c>
      <c r="S118" s="8" t="s">
        <v>2223</v>
      </c>
      <c r="T118" s="8"/>
      <c r="U118" s="8"/>
      <c r="V118" s="8"/>
      <c r="W118" s="8"/>
      <c r="X118" s="8"/>
      <c r="Y118" s="8"/>
    </row>
    <row r="119" customHeight="1" spans="2:25">
      <c r="B119" s="7"/>
      <c r="C119" s="8"/>
      <c r="D119" s="3" t="str">
        <f t="shared" si="34"/>
        <v>理想汽车</v>
      </c>
      <c r="E119" s="8"/>
      <c r="F119" s="9"/>
      <c r="G119" s="8"/>
      <c r="H119" s="8"/>
      <c r="I119" s="8"/>
      <c r="J119" s="8"/>
      <c r="K119" s="3" t="str">
        <f t="shared" si="35"/>
        <v>运营中</v>
      </c>
      <c r="L119" s="8"/>
      <c r="M119" s="8"/>
      <c r="N119" s="8"/>
      <c r="O119" s="8">
        <v>1</v>
      </c>
      <c r="P119" s="10">
        <v>42305</v>
      </c>
      <c r="Q119" s="8" t="s">
        <v>1875</v>
      </c>
      <c r="R119" s="8" t="s">
        <v>1816</v>
      </c>
      <c r="S119" s="8" t="s">
        <v>2224</v>
      </c>
      <c r="T119" s="8"/>
      <c r="U119" s="8"/>
      <c r="V119" s="8"/>
      <c r="W119" s="8"/>
      <c r="X119" s="8"/>
      <c r="Y119" s="8"/>
    </row>
    <row r="120" customHeight="1" spans="2:25">
      <c r="B120" s="7"/>
      <c r="C120" s="8" t="s">
        <v>632</v>
      </c>
      <c r="D120" s="3" t="s">
        <v>2036</v>
      </c>
      <c r="E120" s="8" t="s">
        <v>2036</v>
      </c>
      <c r="F120" s="9" t="s">
        <v>2225</v>
      </c>
      <c r="G120" s="8" t="s">
        <v>2226</v>
      </c>
      <c r="H120" s="8" t="s">
        <v>635</v>
      </c>
      <c r="I120" s="8" t="s">
        <v>636</v>
      </c>
      <c r="J120" s="8" t="s">
        <v>890</v>
      </c>
      <c r="K120" s="3" t="s">
        <v>278</v>
      </c>
      <c r="L120" s="8" t="s">
        <v>278</v>
      </c>
      <c r="M120" s="8" t="s">
        <v>10</v>
      </c>
      <c r="N120" s="8" t="s">
        <v>2035</v>
      </c>
      <c r="O120" s="8"/>
      <c r="P120" s="10">
        <v>45055</v>
      </c>
      <c r="Q120" s="8" t="s">
        <v>280</v>
      </c>
      <c r="R120" s="8" t="s">
        <v>281</v>
      </c>
      <c r="S120" s="8" t="s">
        <v>2227</v>
      </c>
      <c r="T120" s="8" t="s">
        <v>2228</v>
      </c>
      <c r="U120" s="8" t="s">
        <v>2229</v>
      </c>
      <c r="V120" s="8" t="s">
        <v>2230</v>
      </c>
      <c r="W120" s="8"/>
      <c r="X120" s="8"/>
      <c r="Y120" s="8"/>
    </row>
    <row r="121" customHeight="1" spans="2:25">
      <c r="B121" s="7"/>
      <c r="C121" s="8"/>
      <c r="D121" s="3" t="str">
        <f t="shared" ref="D121:D125" si="36">D120</f>
        <v>奥琦玮</v>
      </c>
      <c r="E121" s="8"/>
      <c r="F121" s="9"/>
      <c r="G121" s="8"/>
      <c r="H121" s="8"/>
      <c r="I121" s="8"/>
      <c r="J121" s="8"/>
      <c r="K121" s="3" t="str">
        <f t="shared" ref="K121:K125" si="37">K120</f>
        <v>运营中</v>
      </c>
      <c r="L121" s="8"/>
      <c r="M121" s="8"/>
      <c r="N121" s="8"/>
      <c r="O121" s="8"/>
      <c r="P121" s="10">
        <v>44363</v>
      </c>
      <c r="Q121" s="8" t="s">
        <v>1579</v>
      </c>
      <c r="R121" s="8" t="s">
        <v>430</v>
      </c>
      <c r="S121" s="8" t="s">
        <v>2231</v>
      </c>
      <c r="T121" s="8"/>
      <c r="U121" s="8"/>
      <c r="V121" s="8"/>
      <c r="W121" s="8"/>
      <c r="X121" s="8"/>
      <c r="Y121" s="8"/>
    </row>
    <row r="122" customHeight="1" spans="2:25">
      <c r="B122" s="7"/>
      <c r="C122" s="8"/>
      <c r="D122" s="3" t="str">
        <f t="shared" si="36"/>
        <v>奥琦玮</v>
      </c>
      <c r="E122" s="8"/>
      <c r="F122" s="9"/>
      <c r="G122" s="8"/>
      <c r="H122" s="8"/>
      <c r="I122" s="8"/>
      <c r="J122" s="8"/>
      <c r="K122" s="3" t="str">
        <f t="shared" si="37"/>
        <v>运营中</v>
      </c>
      <c r="L122" s="8"/>
      <c r="M122" s="8"/>
      <c r="N122" s="8"/>
      <c r="O122" s="8"/>
      <c r="P122" s="10">
        <v>44063</v>
      </c>
      <c r="Q122" s="8" t="s">
        <v>280</v>
      </c>
      <c r="R122" s="8" t="s">
        <v>1816</v>
      </c>
      <c r="S122" s="8" t="s">
        <v>2232</v>
      </c>
      <c r="T122" s="8"/>
      <c r="U122" s="8"/>
      <c r="V122" s="8"/>
      <c r="W122" s="8"/>
      <c r="X122" s="8"/>
      <c r="Y122" s="8"/>
    </row>
    <row r="123" customHeight="1" spans="2:25">
      <c r="B123" s="7"/>
      <c r="C123" s="8"/>
      <c r="D123" s="3" t="str">
        <f t="shared" si="36"/>
        <v>奥琦玮</v>
      </c>
      <c r="E123" s="8"/>
      <c r="F123" s="9"/>
      <c r="G123" s="8"/>
      <c r="H123" s="8"/>
      <c r="I123" s="8"/>
      <c r="J123" s="8"/>
      <c r="K123" s="3" t="str">
        <f t="shared" si="37"/>
        <v>运营中</v>
      </c>
      <c r="L123" s="8"/>
      <c r="M123" s="8"/>
      <c r="N123" s="8"/>
      <c r="O123" s="8"/>
      <c r="P123" s="10">
        <v>43187</v>
      </c>
      <c r="Q123" s="8" t="s">
        <v>425</v>
      </c>
      <c r="R123" s="8" t="s">
        <v>2177</v>
      </c>
      <c r="S123" s="8" t="s">
        <v>2233</v>
      </c>
      <c r="T123" s="8"/>
      <c r="U123" s="8"/>
      <c r="V123" s="8"/>
      <c r="W123" s="8"/>
      <c r="X123" s="8"/>
      <c r="Y123" s="8"/>
    </row>
    <row r="124" customHeight="1" spans="2:25">
      <c r="B124" s="7"/>
      <c r="C124" s="8"/>
      <c r="D124" s="3" t="str">
        <f t="shared" si="36"/>
        <v>奥琦玮</v>
      </c>
      <c r="E124" s="8"/>
      <c r="F124" s="9"/>
      <c r="G124" s="8"/>
      <c r="H124" s="8"/>
      <c r="I124" s="8"/>
      <c r="J124" s="8"/>
      <c r="K124" s="3" t="str">
        <f t="shared" si="37"/>
        <v>运营中</v>
      </c>
      <c r="L124" s="8"/>
      <c r="M124" s="8"/>
      <c r="N124" s="8"/>
      <c r="O124" s="8"/>
      <c r="P124" s="10">
        <v>42254</v>
      </c>
      <c r="Q124" s="8" t="s">
        <v>868</v>
      </c>
      <c r="R124" s="8" t="s">
        <v>430</v>
      </c>
      <c r="S124" s="8" t="s">
        <v>2233</v>
      </c>
      <c r="T124" s="8"/>
      <c r="U124" s="8"/>
      <c r="V124" s="8"/>
      <c r="W124" s="8"/>
      <c r="X124" s="8"/>
      <c r="Y124" s="8"/>
    </row>
    <row r="125" customHeight="1" spans="2:25">
      <c r="B125" s="7"/>
      <c r="C125" s="8"/>
      <c r="D125" s="3" t="str">
        <f t="shared" si="36"/>
        <v>奥琦玮</v>
      </c>
      <c r="E125" s="8"/>
      <c r="F125" s="9"/>
      <c r="G125" s="8"/>
      <c r="H125" s="8"/>
      <c r="I125" s="8"/>
      <c r="J125" s="8"/>
      <c r="K125" s="3" t="str">
        <f t="shared" si="37"/>
        <v>运营中</v>
      </c>
      <c r="L125" s="8"/>
      <c r="M125" s="8"/>
      <c r="N125" s="8"/>
      <c r="O125" s="8"/>
      <c r="P125" s="10">
        <v>41988</v>
      </c>
      <c r="Q125" s="8" t="s">
        <v>1167</v>
      </c>
      <c r="R125" s="8" t="s">
        <v>1816</v>
      </c>
      <c r="S125" s="8" t="s">
        <v>2234</v>
      </c>
      <c r="T125" s="8"/>
      <c r="U125" s="8"/>
      <c r="V125" s="8"/>
      <c r="W125" s="8"/>
      <c r="X125" s="8"/>
      <c r="Y125" s="8"/>
    </row>
    <row r="126" customHeight="1" spans="2:25">
      <c r="B126" s="7"/>
      <c r="C126" s="8" t="s">
        <v>645</v>
      </c>
      <c r="D126" s="3" t="s">
        <v>646</v>
      </c>
      <c r="E126" s="8" t="s">
        <v>646</v>
      </c>
      <c r="F126" s="9" t="s">
        <v>2235</v>
      </c>
      <c r="G126" s="8"/>
      <c r="H126" s="8" t="s">
        <v>648</v>
      </c>
      <c r="I126" s="8" t="s">
        <v>649</v>
      </c>
      <c r="J126" s="8" t="s">
        <v>2236</v>
      </c>
      <c r="K126" s="3" t="s">
        <v>278</v>
      </c>
      <c r="L126" s="8" t="s">
        <v>278</v>
      </c>
      <c r="M126" s="8" t="s">
        <v>33</v>
      </c>
      <c r="N126" s="8" t="s">
        <v>2237</v>
      </c>
      <c r="O126" s="8">
        <v>1</v>
      </c>
      <c r="P126" s="10">
        <v>44333</v>
      </c>
      <c r="Q126" s="8" t="s">
        <v>1997</v>
      </c>
      <c r="R126" s="8" t="s">
        <v>281</v>
      </c>
      <c r="S126" s="8" t="s">
        <v>652</v>
      </c>
      <c r="T126" s="8" t="s">
        <v>2238</v>
      </c>
      <c r="U126" s="8" t="s">
        <v>284</v>
      </c>
      <c r="V126" s="8" t="s">
        <v>654</v>
      </c>
      <c r="W126" s="8"/>
      <c r="X126" s="8"/>
      <c r="Y126" s="8"/>
    </row>
    <row r="127" customHeight="1" spans="2:25">
      <c r="B127" s="7"/>
      <c r="C127" s="8"/>
      <c r="D127" s="3" t="str">
        <f t="shared" ref="D127:D141" si="38">D126</f>
        <v>Gojek</v>
      </c>
      <c r="E127" s="8"/>
      <c r="F127" s="9"/>
      <c r="G127" s="8"/>
      <c r="H127" s="8"/>
      <c r="I127" s="8"/>
      <c r="J127" s="8"/>
      <c r="K127" s="3" t="str">
        <f t="shared" ref="K127:K141" si="39">K126</f>
        <v>运营中</v>
      </c>
      <c r="L127" s="8"/>
      <c r="M127" s="8"/>
      <c r="N127" s="8"/>
      <c r="O127" s="8">
        <v>1</v>
      </c>
      <c r="P127" s="10">
        <v>44327</v>
      </c>
      <c r="Q127" s="8" t="s">
        <v>280</v>
      </c>
      <c r="R127" s="8" t="s">
        <v>2155</v>
      </c>
      <c r="S127" s="8" t="s">
        <v>655</v>
      </c>
      <c r="T127" s="8"/>
      <c r="U127" s="8"/>
      <c r="V127" s="8"/>
      <c r="W127" s="8"/>
      <c r="X127" s="8"/>
      <c r="Y127" s="8"/>
    </row>
    <row r="128" customHeight="1" spans="2:25">
      <c r="B128" s="7"/>
      <c r="C128" s="8"/>
      <c r="D128" s="3" t="str">
        <f t="shared" si="38"/>
        <v>Gojek</v>
      </c>
      <c r="E128" s="8"/>
      <c r="F128" s="9"/>
      <c r="G128" s="8"/>
      <c r="H128" s="8"/>
      <c r="I128" s="8"/>
      <c r="J128" s="8"/>
      <c r="K128" s="3" t="str">
        <f t="shared" si="39"/>
        <v>运营中</v>
      </c>
      <c r="L128" s="8"/>
      <c r="M128" s="8"/>
      <c r="N128" s="8"/>
      <c r="O128" s="8">
        <v>1</v>
      </c>
      <c r="P128" s="10">
        <v>44152</v>
      </c>
      <c r="Q128" s="8" t="s">
        <v>280</v>
      </c>
      <c r="R128" s="8" t="s">
        <v>2239</v>
      </c>
      <c r="S128" s="8" t="s">
        <v>655</v>
      </c>
      <c r="T128" s="8"/>
      <c r="U128" s="8"/>
      <c r="V128" s="8"/>
      <c r="W128" s="8"/>
      <c r="X128" s="8"/>
      <c r="Y128" s="8"/>
    </row>
    <row r="129" customHeight="1" spans="2:25">
      <c r="B129" s="7"/>
      <c r="C129" s="8"/>
      <c r="D129" s="3" t="str">
        <f t="shared" si="38"/>
        <v>Gojek</v>
      </c>
      <c r="E129" s="8"/>
      <c r="F129" s="9"/>
      <c r="G129" s="8"/>
      <c r="H129" s="8"/>
      <c r="I129" s="8"/>
      <c r="J129" s="8"/>
      <c r="K129" s="3" t="str">
        <f t="shared" si="39"/>
        <v>运营中</v>
      </c>
      <c r="L129" s="8"/>
      <c r="M129" s="8"/>
      <c r="N129" s="8"/>
      <c r="O129" s="8">
        <v>1</v>
      </c>
      <c r="P129" s="10">
        <v>43985</v>
      </c>
      <c r="Q129" s="8" t="s">
        <v>280</v>
      </c>
      <c r="R129" s="8" t="s">
        <v>556</v>
      </c>
      <c r="S129" s="8" t="s">
        <v>657</v>
      </c>
      <c r="T129" s="8"/>
      <c r="U129" s="8"/>
      <c r="V129" s="8"/>
      <c r="W129" s="8"/>
      <c r="X129" s="8"/>
      <c r="Y129" s="8"/>
    </row>
    <row r="130" customHeight="1" spans="2:25">
      <c r="B130" s="7"/>
      <c r="C130" s="8"/>
      <c r="D130" s="3" t="str">
        <f t="shared" si="38"/>
        <v>Gojek</v>
      </c>
      <c r="E130" s="8"/>
      <c r="F130" s="9"/>
      <c r="G130" s="8"/>
      <c r="H130" s="8"/>
      <c r="I130" s="8"/>
      <c r="J130" s="8"/>
      <c r="K130" s="3" t="str">
        <f t="shared" si="39"/>
        <v>运营中</v>
      </c>
      <c r="L130" s="8"/>
      <c r="M130" s="8"/>
      <c r="N130" s="8"/>
      <c r="O130" s="8">
        <v>1</v>
      </c>
      <c r="P130" s="10">
        <v>43907</v>
      </c>
      <c r="Q130" s="8" t="s">
        <v>280</v>
      </c>
      <c r="R130" s="8" t="s">
        <v>2240</v>
      </c>
      <c r="S130" s="8" t="s">
        <v>2241</v>
      </c>
      <c r="T130" s="8"/>
      <c r="U130" s="8"/>
      <c r="V130" s="8"/>
      <c r="W130" s="8"/>
      <c r="X130" s="8"/>
      <c r="Y130" s="8"/>
    </row>
    <row r="131" customHeight="1" spans="2:25">
      <c r="B131" s="7"/>
      <c r="C131" s="8"/>
      <c r="D131" s="3" t="str">
        <f t="shared" si="38"/>
        <v>Gojek</v>
      </c>
      <c r="E131" s="8"/>
      <c r="F131" s="9"/>
      <c r="G131" s="8"/>
      <c r="H131" s="8"/>
      <c r="I131" s="8"/>
      <c r="J131" s="8"/>
      <c r="K131" s="3" t="str">
        <f t="shared" si="39"/>
        <v>运营中</v>
      </c>
      <c r="L131" s="8"/>
      <c r="M131" s="8"/>
      <c r="N131" s="8"/>
      <c r="O131" s="8">
        <v>1</v>
      </c>
      <c r="P131" s="10">
        <v>43766</v>
      </c>
      <c r="Q131" s="8" t="s">
        <v>280</v>
      </c>
      <c r="R131" s="8" t="s">
        <v>1857</v>
      </c>
      <c r="S131" s="8" t="s">
        <v>661</v>
      </c>
      <c r="T131" s="8"/>
      <c r="U131" s="8"/>
      <c r="V131" s="8"/>
      <c r="W131" s="8"/>
      <c r="X131" s="8"/>
      <c r="Y131" s="8"/>
    </row>
    <row r="132" customHeight="1" spans="2:25">
      <c r="B132" s="7"/>
      <c r="C132" s="8"/>
      <c r="D132" s="3" t="str">
        <f t="shared" si="38"/>
        <v>Gojek</v>
      </c>
      <c r="E132" s="8"/>
      <c r="F132" s="9"/>
      <c r="G132" s="8"/>
      <c r="H132" s="8"/>
      <c r="I132" s="8"/>
      <c r="J132" s="8"/>
      <c r="K132" s="3" t="str">
        <f t="shared" si="39"/>
        <v>运营中</v>
      </c>
      <c r="L132" s="8"/>
      <c r="M132" s="8"/>
      <c r="N132" s="8"/>
      <c r="O132" s="8">
        <v>1</v>
      </c>
      <c r="P132" s="10">
        <v>43663</v>
      </c>
      <c r="Q132" s="8" t="s">
        <v>280</v>
      </c>
      <c r="R132" s="8" t="s">
        <v>556</v>
      </c>
      <c r="S132" s="8" t="s">
        <v>662</v>
      </c>
      <c r="T132" s="8"/>
      <c r="U132" s="8"/>
      <c r="V132" s="8"/>
      <c r="W132" s="8"/>
      <c r="X132" s="8"/>
      <c r="Y132" s="8"/>
    </row>
    <row r="133" customHeight="1" spans="2:25">
      <c r="B133" s="7"/>
      <c r="C133" s="8"/>
      <c r="D133" s="3" t="str">
        <f t="shared" si="38"/>
        <v>Gojek</v>
      </c>
      <c r="E133" s="8"/>
      <c r="F133" s="9"/>
      <c r="G133" s="8"/>
      <c r="H133" s="8"/>
      <c r="I133" s="8"/>
      <c r="J133" s="8"/>
      <c r="K133" s="3" t="str">
        <f t="shared" si="39"/>
        <v>运营中</v>
      </c>
      <c r="L133" s="8"/>
      <c r="M133" s="8"/>
      <c r="N133" s="8"/>
      <c r="O133" s="8">
        <v>1</v>
      </c>
      <c r="P133" s="10">
        <v>43654</v>
      </c>
      <c r="Q133" s="8" t="s">
        <v>280</v>
      </c>
      <c r="R133" s="8" t="s">
        <v>556</v>
      </c>
      <c r="S133" s="8" t="s">
        <v>2242</v>
      </c>
      <c r="T133" s="8"/>
      <c r="U133" s="8"/>
      <c r="V133" s="8"/>
      <c r="W133" s="8"/>
      <c r="X133" s="8"/>
      <c r="Y133" s="8"/>
    </row>
    <row r="134" customHeight="1" spans="2:25">
      <c r="B134" s="7"/>
      <c r="C134" s="8"/>
      <c r="D134" s="3" t="str">
        <f t="shared" si="38"/>
        <v>Gojek</v>
      </c>
      <c r="E134" s="8"/>
      <c r="F134" s="9"/>
      <c r="G134" s="8"/>
      <c r="H134" s="8"/>
      <c r="I134" s="8"/>
      <c r="J134" s="8"/>
      <c r="K134" s="3" t="str">
        <f t="shared" si="39"/>
        <v>运营中</v>
      </c>
      <c r="L134" s="8"/>
      <c r="M134" s="8"/>
      <c r="N134" s="8"/>
      <c r="O134" s="8">
        <v>1</v>
      </c>
      <c r="P134" s="10">
        <v>43529</v>
      </c>
      <c r="Q134" s="8" t="s">
        <v>280</v>
      </c>
      <c r="R134" s="8" t="s">
        <v>919</v>
      </c>
      <c r="S134" s="8" t="s">
        <v>664</v>
      </c>
      <c r="T134" s="8"/>
      <c r="U134" s="8"/>
      <c r="V134" s="8"/>
      <c r="W134" s="8"/>
      <c r="X134" s="8"/>
      <c r="Y134" s="8"/>
    </row>
    <row r="135" customHeight="1" spans="2:25">
      <c r="B135" s="7"/>
      <c r="C135" s="8"/>
      <c r="D135" s="3" t="str">
        <f t="shared" si="38"/>
        <v>Gojek</v>
      </c>
      <c r="E135" s="8"/>
      <c r="F135" s="9"/>
      <c r="G135" s="8"/>
      <c r="H135" s="8"/>
      <c r="I135" s="8"/>
      <c r="J135" s="8"/>
      <c r="K135" s="3" t="str">
        <f t="shared" si="39"/>
        <v>运营中</v>
      </c>
      <c r="L135" s="8"/>
      <c r="M135" s="8"/>
      <c r="N135" s="8"/>
      <c r="O135" s="8">
        <v>1</v>
      </c>
      <c r="P135" s="10">
        <v>43497</v>
      </c>
      <c r="Q135" s="8" t="s">
        <v>2119</v>
      </c>
      <c r="R135" s="8" t="s">
        <v>2193</v>
      </c>
      <c r="S135" s="8" t="s">
        <v>2243</v>
      </c>
      <c r="T135" s="8"/>
      <c r="U135" s="8"/>
      <c r="V135" s="8"/>
      <c r="W135" s="8"/>
      <c r="X135" s="8"/>
      <c r="Y135" s="8"/>
    </row>
    <row r="136" customHeight="1" spans="2:25">
      <c r="B136" s="7"/>
      <c r="C136" s="8"/>
      <c r="D136" s="3" t="str">
        <f t="shared" si="38"/>
        <v>Gojek</v>
      </c>
      <c r="E136" s="8"/>
      <c r="F136" s="9"/>
      <c r="G136" s="8"/>
      <c r="H136" s="8"/>
      <c r="I136" s="8"/>
      <c r="J136" s="8"/>
      <c r="K136" s="3" t="str">
        <f t="shared" si="39"/>
        <v>运营中</v>
      </c>
      <c r="L136" s="8"/>
      <c r="M136" s="8"/>
      <c r="N136" s="8"/>
      <c r="O136" s="8">
        <v>1</v>
      </c>
      <c r="P136" s="10">
        <v>43158</v>
      </c>
      <c r="Q136" s="8" t="s">
        <v>1571</v>
      </c>
      <c r="R136" s="8" t="s">
        <v>2244</v>
      </c>
      <c r="S136" s="8" t="s">
        <v>2245</v>
      </c>
      <c r="T136" s="8"/>
      <c r="U136" s="8"/>
      <c r="V136" s="8"/>
      <c r="W136" s="8"/>
      <c r="X136" s="8"/>
      <c r="Y136" s="8"/>
    </row>
    <row r="137" customHeight="1" spans="2:25">
      <c r="B137" s="7"/>
      <c r="C137" s="8"/>
      <c r="D137" s="3" t="str">
        <f t="shared" si="38"/>
        <v>Gojek</v>
      </c>
      <c r="E137" s="8"/>
      <c r="F137" s="9"/>
      <c r="G137" s="8"/>
      <c r="H137" s="8"/>
      <c r="I137" s="8"/>
      <c r="J137" s="8"/>
      <c r="K137" s="3" t="str">
        <f t="shared" si="39"/>
        <v>运营中</v>
      </c>
      <c r="L137" s="8"/>
      <c r="M137" s="8"/>
      <c r="N137" s="8"/>
      <c r="O137" s="8">
        <v>1</v>
      </c>
      <c r="P137" s="10">
        <v>42972</v>
      </c>
      <c r="Q137" s="8" t="s">
        <v>280</v>
      </c>
      <c r="R137" s="8" t="s">
        <v>1644</v>
      </c>
      <c r="S137" s="8" t="s">
        <v>2246</v>
      </c>
      <c r="T137" s="8"/>
      <c r="U137" s="8"/>
      <c r="V137" s="8"/>
      <c r="W137" s="8"/>
      <c r="X137" s="8"/>
      <c r="Y137" s="8"/>
    </row>
    <row r="138" customHeight="1" spans="2:25">
      <c r="B138" s="7"/>
      <c r="C138" s="8"/>
      <c r="D138" s="3" t="str">
        <f t="shared" si="38"/>
        <v>Gojek</v>
      </c>
      <c r="E138" s="8"/>
      <c r="F138" s="9"/>
      <c r="G138" s="8"/>
      <c r="H138" s="8"/>
      <c r="I138" s="8"/>
      <c r="J138" s="8"/>
      <c r="K138" s="3" t="str">
        <f t="shared" si="39"/>
        <v>运营中</v>
      </c>
      <c r="L138" s="8"/>
      <c r="M138" s="8"/>
      <c r="N138" s="8"/>
      <c r="O138" s="8">
        <v>1</v>
      </c>
      <c r="P138" s="10">
        <v>42587</v>
      </c>
      <c r="Q138" s="8" t="s">
        <v>1579</v>
      </c>
      <c r="R138" s="8" t="s">
        <v>2214</v>
      </c>
      <c r="S138" s="8" t="s">
        <v>2247</v>
      </c>
      <c r="T138" s="8"/>
      <c r="U138" s="8"/>
      <c r="V138" s="8"/>
      <c r="W138" s="8"/>
      <c r="X138" s="8"/>
      <c r="Y138" s="8"/>
    </row>
    <row r="139" customHeight="1" spans="2:25">
      <c r="B139" s="7"/>
      <c r="C139" s="8"/>
      <c r="D139" s="3" t="str">
        <f t="shared" si="38"/>
        <v>Gojek</v>
      </c>
      <c r="E139" s="8"/>
      <c r="F139" s="9"/>
      <c r="G139" s="8"/>
      <c r="H139" s="8"/>
      <c r="I139" s="8"/>
      <c r="J139" s="8"/>
      <c r="K139" s="3" t="str">
        <f t="shared" si="39"/>
        <v>运营中</v>
      </c>
      <c r="L139" s="8"/>
      <c r="M139" s="8"/>
      <c r="N139" s="8"/>
      <c r="O139" s="8">
        <v>1</v>
      </c>
      <c r="P139" s="10">
        <v>42461</v>
      </c>
      <c r="Q139" s="8" t="s">
        <v>425</v>
      </c>
      <c r="R139" s="8" t="s">
        <v>556</v>
      </c>
      <c r="S139" s="8" t="s">
        <v>671</v>
      </c>
      <c r="T139" s="8"/>
      <c r="U139" s="8"/>
      <c r="V139" s="8"/>
      <c r="W139" s="8"/>
      <c r="X139" s="8"/>
      <c r="Y139" s="8"/>
    </row>
    <row r="140" customHeight="1" spans="2:25">
      <c r="B140" s="7"/>
      <c r="C140" s="8"/>
      <c r="D140" s="3" t="str">
        <f t="shared" si="38"/>
        <v>Gojek</v>
      </c>
      <c r="E140" s="8"/>
      <c r="F140" s="9"/>
      <c r="G140" s="8"/>
      <c r="H140" s="8"/>
      <c r="I140" s="8"/>
      <c r="J140" s="8"/>
      <c r="K140" s="3" t="str">
        <f t="shared" si="39"/>
        <v>运营中</v>
      </c>
      <c r="L140" s="8"/>
      <c r="M140" s="8"/>
      <c r="N140" s="8"/>
      <c r="O140" s="8">
        <v>1</v>
      </c>
      <c r="P140" s="10">
        <v>42293</v>
      </c>
      <c r="Q140" s="8" t="s">
        <v>868</v>
      </c>
      <c r="R140" s="8" t="s">
        <v>556</v>
      </c>
      <c r="S140" s="8" t="s">
        <v>2248</v>
      </c>
      <c r="T140" s="8"/>
      <c r="U140" s="8"/>
      <c r="V140" s="8"/>
      <c r="W140" s="8"/>
      <c r="X140" s="8"/>
      <c r="Y140" s="8"/>
    </row>
    <row r="141" customHeight="1" spans="2:25">
      <c r="B141" s="7"/>
      <c r="C141" s="8"/>
      <c r="D141" s="3" t="str">
        <f t="shared" si="38"/>
        <v>Gojek</v>
      </c>
      <c r="E141" s="8"/>
      <c r="F141" s="9"/>
      <c r="G141" s="8"/>
      <c r="H141" s="8"/>
      <c r="I141" s="8"/>
      <c r="J141" s="8"/>
      <c r="K141" s="3" t="str">
        <f t="shared" si="39"/>
        <v>运营中</v>
      </c>
      <c r="L141" s="8"/>
      <c r="M141" s="8"/>
      <c r="N141" s="8"/>
      <c r="O141" s="8">
        <v>1</v>
      </c>
      <c r="P141" s="10">
        <v>42004</v>
      </c>
      <c r="Q141" s="8" t="s">
        <v>1167</v>
      </c>
      <c r="R141" s="8" t="s">
        <v>556</v>
      </c>
      <c r="S141" s="8" t="s">
        <v>673</v>
      </c>
      <c r="T141" s="8"/>
      <c r="U141" s="8"/>
      <c r="V141" s="8"/>
      <c r="W141" s="8"/>
      <c r="X141" s="8"/>
      <c r="Y141" s="8"/>
    </row>
    <row r="142" customHeight="1" spans="2:25">
      <c r="B142" s="7"/>
      <c r="C142" s="8" t="s">
        <v>674</v>
      </c>
      <c r="D142" s="3" t="s">
        <v>2249</v>
      </c>
      <c r="E142" s="8" t="s">
        <v>2249</v>
      </c>
      <c r="F142" s="9" t="s">
        <v>2250</v>
      </c>
      <c r="G142" s="8" t="s">
        <v>2251</v>
      </c>
      <c r="H142" s="8" t="s">
        <v>678</v>
      </c>
      <c r="I142" s="8" t="s">
        <v>679</v>
      </c>
      <c r="J142" s="8" t="s">
        <v>2081</v>
      </c>
      <c r="K142" s="3" t="s">
        <v>278</v>
      </c>
      <c r="L142" s="8" t="s">
        <v>278</v>
      </c>
      <c r="M142" s="8" t="s">
        <v>44</v>
      </c>
      <c r="N142" s="8" t="s">
        <v>2252</v>
      </c>
      <c r="O142" s="8"/>
      <c r="P142" s="10">
        <v>44559</v>
      </c>
      <c r="Q142" s="8" t="s">
        <v>555</v>
      </c>
      <c r="R142" s="8" t="s">
        <v>556</v>
      </c>
      <c r="S142" s="8" t="s">
        <v>2253</v>
      </c>
      <c r="T142" s="8" t="s">
        <v>2254</v>
      </c>
      <c r="U142" s="8" t="s">
        <v>2255</v>
      </c>
      <c r="V142" s="8" t="s">
        <v>2256</v>
      </c>
      <c r="W142" s="8" t="s">
        <v>2257</v>
      </c>
      <c r="X142" s="8" t="s">
        <v>687</v>
      </c>
      <c r="Y142" s="8" t="s">
        <v>688</v>
      </c>
    </row>
    <row r="143" customHeight="1" spans="2:25">
      <c r="B143" s="7"/>
      <c r="C143" s="8"/>
      <c r="D143" s="3" t="str">
        <f t="shared" ref="D143:D150" si="40">D142</f>
        <v>领健</v>
      </c>
      <c r="E143" s="8"/>
      <c r="F143" s="9"/>
      <c r="G143" s="8"/>
      <c r="H143" s="8"/>
      <c r="I143" s="8"/>
      <c r="J143" s="8"/>
      <c r="K143" s="3" t="str">
        <f t="shared" ref="K143:K150" si="41">K142</f>
        <v>运营中</v>
      </c>
      <c r="L143" s="8"/>
      <c r="M143" s="8"/>
      <c r="N143" s="8"/>
      <c r="O143" s="8"/>
      <c r="P143" s="10">
        <v>44370</v>
      </c>
      <c r="Q143" s="8" t="s">
        <v>1579</v>
      </c>
      <c r="R143" s="8" t="s">
        <v>919</v>
      </c>
      <c r="S143" s="8" t="s">
        <v>2258</v>
      </c>
      <c r="T143" s="8"/>
      <c r="U143" s="8"/>
      <c r="V143" s="8"/>
      <c r="W143" s="8"/>
      <c r="X143" s="8"/>
      <c r="Y143" s="8"/>
    </row>
    <row r="144" customHeight="1" spans="2:25">
      <c r="B144" s="7"/>
      <c r="C144" s="8"/>
      <c r="D144" s="3" t="str">
        <f t="shared" si="40"/>
        <v>领健</v>
      </c>
      <c r="E144" s="8"/>
      <c r="F144" s="9"/>
      <c r="G144" s="8"/>
      <c r="H144" s="8"/>
      <c r="I144" s="8"/>
      <c r="J144" s="8"/>
      <c r="K144" s="3" t="str">
        <f t="shared" si="41"/>
        <v>运营中</v>
      </c>
      <c r="L144" s="8"/>
      <c r="M144" s="8"/>
      <c r="N144" s="8"/>
      <c r="O144" s="8"/>
      <c r="P144" s="10">
        <v>44168</v>
      </c>
      <c r="Q144" s="8" t="s">
        <v>791</v>
      </c>
      <c r="R144" s="8" t="s">
        <v>2177</v>
      </c>
      <c r="S144" s="8" t="s">
        <v>2259</v>
      </c>
      <c r="T144" s="8"/>
      <c r="U144" s="8"/>
      <c r="V144" s="8"/>
      <c r="W144" s="8"/>
      <c r="X144" s="8"/>
      <c r="Y144" s="8"/>
    </row>
    <row r="145" customHeight="1" spans="2:25">
      <c r="B145" s="7"/>
      <c r="C145" s="8"/>
      <c r="D145" s="3" t="str">
        <f t="shared" si="40"/>
        <v>领健</v>
      </c>
      <c r="E145" s="8"/>
      <c r="F145" s="9"/>
      <c r="G145" s="8"/>
      <c r="H145" s="8"/>
      <c r="I145" s="8"/>
      <c r="J145" s="8"/>
      <c r="K145" s="3" t="str">
        <f t="shared" si="41"/>
        <v>运营中</v>
      </c>
      <c r="L145" s="8"/>
      <c r="M145" s="8"/>
      <c r="N145" s="8"/>
      <c r="O145" s="8"/>
      <c r="P145" s="10">
        <v>43584</v>
      </c>
      <c r="Q145" s="8" t="s">
        <v>425</v>
      </c>
      <c r="R145" s="8" t="s">
        <v>866</v>
      </c>
      <c r="S145" s="8" t="s">
        <v>2260</v>
      </c>
      <c r="T145" s="8"/>
      <c r="U145" s="8"/>
      <c r="V145" s="8"/>
      <c r="W145" s="8"/>
      <c r="X145" s="8"/>
      <c r="Y145" s="8"/>
    </row>
    <row r="146" customHeight="1" spans="2:25">
      <c r="B146" s="7"/>
      <c r="C146" s="8"/>
      <c r="D146" s="3" t="str">
        <f t="shared" si="40"/>
        <v>领健</v>
      </c>
      <c r="E146" s="8"/>
      <c r="F146" s="9"/>
      <c r="G146" s="8"/>
      <c r="H146" s="8"/>
      <c r="I146" s="8"/>
      <c r="J146" s="8"/>
      <c r="K146" s="3" t="str">
        <f t="shared" si="41"/>
        <v>运营中</v>
      </c>
      <c r="L146" s="8"/>
      <c r="M146" s="8"/>
      <c r="N146" s="8"/>
      <c r="O146" s="8"/>
      <c r="P146" s="10">
        <v>43371</v>
      </c>
      <c r="Q146" s="8" t="s">
        <v>865</v>
      </c>
      <c r="R146" s="8" t="s">
        <v>1816</v>
      </c>
      <c r="S146" s="8" t="s">
        <v>809</v>
      </c>
      <c r="T146" s="8"/>
      <c r="U146" s="8"/>
      <c r="V146" s="8"/>
      <c r="W146" s="8"/>
      <c r="X146" s="8"/>
      <c r="Y146" s="8"/>
    </row>
    <row r="147" customHeight="1" spans="2:25">
      <c r="B147" s="7"/>
      <c r="C147" s="8"/>
      <c r="D147" s="3" t="str">
        <f t="shared" si="40"/>
        <v>领健</v>
      </c>
      <c r="E147" s="8"/>
      <c r="F147" s="9"/>
      <c r="G147" s="8"/>
      <c r="H147" s="8"/>
      <c r="I147" s="8"/>
      <c r="J147" s="8"/>
      <c r="K147" s="3" t="str">
        <f t="shared" si="41"/>
        <v>运营中</v>
      </c>
      <c r="L147" s="8"/>
      <c r="M147" s="8"/>
      <c r="N147" s="8"/>
      <c r="O147" s="8"/>
      <c r="P147" s="10">
        <v>43077</v>
      </c>
      <c r="Q147" s="8" t="s">
        <v>868</v>
      </c>
      <c r="R147" s="8" t="s">
        <v>866</v>
      </c>
      <c r="S147" s="8" t="s">
        <v>2261</v>
      </c>
      <c r="T147" s="8"/>
      <c r="U147" s="8"/>
      <c r="V147" s="8"/>
      <c r="W147" s="8"/>
      <c r="X147" s="8"/>
      <c r="Y147" s="8"/>
    </row>
    <row r="148" customHeight="1" spans="2:25">
      <c r="B148" s="7"/>
      <c r="C148" s="8"/>
      <c r="D148" s="3" t="str">
        <f t="shared" si="40"/>
        <v>领健</v>
      </c>
      <c r="E148" s="8"/>
      <c r="F148" s="9"/>
      <c r="G148" s="8"/>
      <c r="H148" s="8"/>
      <c r="I148" s="8"/>
      <c r="J148" s="8"/>
      <c r="K148" s="3" t="str">
        <f t="shared" si="41"/>
        <v>运营中</v>
      </c>
      <c r="L148" s="8"/>
      <c r="M148" s="8"/>
      <c r="N148" s="8"/>
      <c r="O148" s="8"/>
      <c r="P148" s="10">
        <v>42639</v>
      </c>
      <c r="Q148" s="8" t="s">
        <v>1180</v>
      </c>
      <c r="R148" s="8" t="s">
        <v>1816</v>
      </c>
      <c r="S148" s="8" t="s">
        <v>2262</v>
      </c>
      <c r="T148" s="8"/>
      <c r="U148" s="8"/>
      <c r="V148" s="8"/>
      <c r="W148" s="8"/>
      <c r="X148" s="8"/>
      <c r="Y148" s="8"/>
    </row>
    <row r="149" customHeight="1" spans="2:25">
      <c r="B149" s="7"/>
      <c r="C149" s="8"/>
      <c r="D149" s="3" t="str">
        <f t="shared" si="40"/>
        <v>领健</v>
      </c>
      <c r="E149" s="8"/>
      <c r="F149" s="9"/>
      <c r="G149" s="8"/>
      <c r="H149" s="8"/>
      <c r="I149" s="8"/>
      <c r="J149" s="8"/>
      <c r="K149" s="3" t="str">
        <f t="shared" si="41"/>
        <v>运营中</v>
      </c>
      <c r="L149" s="8"/>
      <c r="M149" s="8"/>
      <c r="N149" s="8"/>
      <c r="O149" s="8"/>
      <c r="P149" s="10">
        <v>42399</v>
      </c>
      <c r="Q149" s="8" t="s">
        <v>1167</v>
      </c>
      <c r="R149" s="8" t="s">
        <v>1816</v>
      </c>
      <c r="S149" s="8" t="s">
        <v>2263</v>
      </c>
      <c r="T149" s="8"/>
      <c r="U149" s="8"/>
      <c r="V149" s="8"/>
      <c r="W149" s="8"/>
      <c r="X149" s="8"/>
      <c r="Y149" s="8"/>
    </row>
    <row r="150" customHeight="1" spans="2:25">
      <c r="B150" s="7"/>
      <c r="C150" s="8"/>
      <c r="D150" s="3" t="str">
        <f t="shared" si="40"/>
        <v>领健</v>
      </c>
      <c r="E150" s="8"/>
      <c r="F150" s="9"/>
      <c r="G150" s="8"/>
      <c r="H150" s="8"/>
      <c r="I150" s="8"/>
      <c r="J150" s="8"/>
      <c r="K150" s="3" t="str">
        <f t="shared" si="41"/>
        <v>运营中</v>
      </c>
      <c r="L150" s="8"/>
      <c r="M150" s="8"/>
      <c r="N150" s="8"/>
      <c r="O150" s="8"/>
      <c r="P150" s="10">
        <v>42298</v>
      </c>
      <c r="Q150" s="8" t="s">
        <v>1875</v>
      </c>
      <c r="R150" s="8" t="s">
        <v>1952</v>
      </c>
      <c r="S150" s="8" t="s">
        <v>1969</v>
      </c>
      <c r="T150" s="8"/>
      <c r="U150" s="8"/>
      <c r="V150" s="8"/>
      <c r="W150" s="8"/>
      <c r="X150" s="8"/>
      <c r="Y150" s="8"/>
    </row>
    <row r="151" ht="44" customHeight="1" spans="2:25">
      <c r="B151" s="7"/>
      <c r="C151" s="8" t="s">
        <v>696</v>
      </c>
      <c r="D151" s="8" t="s">
        <v>2264</v>
      </c>
      <c r="E151" s="8" t="s">
        <v>2264</v>
      </c>
      <c r="F151" s="9" t="s">
        <v>2265</v>
      </c>
      <c r="G151" s="8" t="s">
        <v>2266</v>
      </c>
      <c r="H151" s="8"/>
      <c r="I151" s="8" t="s">
        <v>700</v>
      </c>
      <c r="J151" s="8" t="s">
        <v>2267</v>
      </c>
      <c r="K151" s="8" t="s">
        <v>278</v>
      </c>
      <c r="L151" s="8" t="s">
        <v>278</v>
      </c>
      <c r="M151" s="8" t="s">
        <v>64</v>
      </c>
      <c r="N151" s="8" t="s">
        <v>2268</v>
      </c>
      <c r="O151" s="8"/>
      <c r="P151" s="10">
        <v>42083</v>
      </c>
      <c r="Q151" s="8" t="s">
        <v>1167</v>
      </c>
      <c r="R151" s="8" t="s">
        <v>1816</v>
      </c>
      <c r="S151" s="8" t="s">
        <v>809</v>
      </c>
      <c r="T151" s="8" t="s">
        <v>2058</v>
      </c>
      <c r="U151" s="8" t="s">
        <v>1819</v>
      </c>
      <c r="V151" s="8" t="s">
        <v>2269</v>
      </c>
      <c r="W151" s="8"/>
      <c r="X151" s="8"/>
      <c r="Y151" s="8"/>
    </row>
    <row r="152" customHeight="1" spans="2:25">
      <c r="B152" s="7"/>
      <c r="C152" s="8" t="s">
        <v>705</v>
      </c>
      <c r="D152" s="3" t="s">
        <v>2270</v>
      </c>
      <c r="E152" s="8" t="s">
        <v>2270</v>
      </c>
      <c r="F152" s="9" t="s">
        <v>2271</v>
      </c>
      <c r="G152" s="8" t="s">
        <v>2272</v>
      </c>
      <c r="H152" s="8" t="s">
        <v>709</v>
      </c>
      <c r="I152" s="8" t="s">
        <v>710</v>
      </c>
      <c r="J152" s="8" t="s">
        <v>890</v>
      </c>
      <c r="K152" s="3" t="s">
        <v>278</v>
      </c>
      <c r="L152" s="8" t="s">
        <v>278</v>
      </c>
      <c r="M152" s="8" t="s">
        <v>10</v>
      </c>
      <c r="N152" s="8" t="s">
        <v>279</v>
      </c>
      <c r="O152" s="8">
        <v>1</v>
      </c>
      <c r="P152" s="10">
        <v>43236</v>
      </c>
      <c r="Q152" s="8" t="s">
        <v>1948</v>
      </c>
      <c r="R152" s="8" t="s">
        <v>281</v>
      </c>
      <c r="S152" s="8" t="s">
        <v>809</v>
      </c>
      <c r="T152" s="8" t="s">
        <v>2273</v>
      </c>
      <c r="U152" s="8" t="s">
        <v>284</v>
      </c>
      <c r="V152" s="8" t="s">
        <v>2274</v>
      </c>
      <c r="W152" s="8" t="s">
        <v>2275</v>
      </c>
      <c r="X152" s="8" t="s">
        <v>714</v>
      </c>
      <c r="Y152" s="8" t="s">
        <v>715</v>
      </c>
    </row>
    <row r="153" customHeight="1" spans="2:25">
      <c r="B153" s="7"/>
      <c r="C153" s="8"/>
      <c r="D153" s="3" t="str">
        <f t="shared" ref="D153:D155" si="42">D152</f>
        <v>屏芯科技</v>
      </c>
      <c r="E153" s="8"/>
      <c r="F153" s="9"/>
      <c r="G153" s="8"/>
      <c r="H153" s="8"/>
      <c r="I153" s="8"/>
      <c r="J153" s="8"/>
      <c r="K153" s="3" t="str">
        <f t="shared" ref="K153:K155" si="43">K152</f>
        <v>运营中</v>
      </c>
      <c r="L153" s="8"/>
      <c r="M153" s="8"/>
      <c r="N153" s="8"/>
      <c r="O153" s="8">
        <v>1</v>
      </c>
      <c r="P153" s="10">
        <v>42480</v>
      </c>
      <c r="Q153" s="8" t="s">
        <v>1948</v>
      </c>
      <c r="R153" s="8" t="s">
        <v>281</v>
      </c>
      <c r="S153" s="8" t="s">
        <v>809</v>
      </c>
      <c r="T153" s="8"/>
      <c r="U153" s="8"/>
      <c r="V153" s="8"/>
      <c r="W153" s="8"/>
      <c r="X153" s="8"/>
      <c r="Y153" s="8"/>
    </row>
    <row r="154" customHeight="1" spans="2:25">
      <c r="B154" s="7"/>
      <c r="C154" s="8"/>
      <c r="D154" s="3" t="str">
        <f t="shared" si="42"/>
        <v>屏芯科技</v>
      </c>
      <c r="E154" s="8"/>
      <c r="F154" s="9"/>
      <c r="G154" s="8"/>
      <c r="H154" s="8"/>
      <c r="I154" s="8"/>
      <c r="J154" s="8"/>
      <c r="K154" s="3" t="str">
        <f t="shared" si="43"/>
        <v>运营中</v>
      </c>
      <c r="L154" s="8"/>
      <c r="M154" s="8"/>
      <c r="N154" s="8"/>
      <c r="O154" s="8">
        <v>1</v>
      </c>
      <c r="P154" s="10">
        <v>42214</v>
      </c>
      <c r="Q154" s="8" t="s">
        <v>280</v>
      </c>
      <c r="R154" s="8" t="s">
        <v>1816</v>
      </c>
      <c r="S154" s="8" t="s">
        <v>1518</v>
      </c>
      <c r="T154" s="8"/>
      <c r="U154" s="8"/>
      <c r="V154" s="8"/>
      <c r="W154" s="8"/>
      <c r="X154" s="8"/>
      <c r="Y154" s="8"/>
    </row>
    <row r="155" customHeight="1" spans="2:25">
      <c r="B155" s="7"/>
      <c r="C155" s="8"/>
      <c r="D155" s="3" t="str">
        <f t="shared" si="42"/>
        <v>屏芯科技</v>
      </c>
      <c r="E155" s="8"/>
      <c r="F155" s="9"/>
      <c r="G155" s="8"/>
      <c r="H155" s="8"/>
      <c r="I155" s="8"/>
      <c r="J155" s="8"/>
      <c r="K155" s="3" t="str">
        <f t="shared" si="43"/>
        <v>运营中</v>
      </c>
      <c r="L155" s="8"/>
      <c r="M155" s="8"/>
      <c r="N155" s="8"/>
      <c r="O155" s="8">
        <v>1</v>
      </c>
      <c r="P155" s="10">
        <v>41754</v>
      </c>
      <c r="Q155" s="8" t="s">
        <v>1167</v>
      </c>
      <c r="R155" s="8" t="s">
        <v>1816</v>
      </c>
      <c r="S155" s="8" t="s">
        <v>2276</v>
      </c>
      <c r="T155" s="8"/>
      <c r="U155" s="8"/>
      <c r="V155" s="8"/>
      <c r="W155" s="8"/>
      <c r="X155" s="8"/>
      <c r="Y155" s="8"/>
    </row>
    <row r="156" customHeight="1" spans="2:25">
      <c r="B156" s="7"/>
      <c r="C156" s="8" t="s">
        <v>718</v>
      </c>
      <c r="D156" s="3" t="s">
        <v>2277</v>
      </c>
      <c r="E156" s="8" t="s">
        <v>2277</v>
      </c>
      <c r="F156" s="9" t="s">
        <v>2278</v>
      </c>
      <c r="G156" s="8" t="s">
        <v>2279</v>
      </c>
      <c r="H156" s="8" t="s">
        <v>722</v>
      </c>
      <c r="I156" s="8" t="s">
        <v>723</v>
      </c>
      <c r="J156" s="8" t="s">
        <v>553</v>
      </c>
      <c r="K156" s="3" t="s">
        <v>278</v>
      </c>
      <c r="L156" s="8" t="s">
        <v>278</v>
      </c>
      <c r="M156" s="8" t="s">
        <v>41</v>
      </c>
      <c r="N156" s="8" t="s">
        <v>2280</v>
      </c>
      <c r="O156" s="8">
        <v>1</v>
      </c>
      <c r="P156" s="10">
        <v>44324</v>
      </c>
      <c r="Q156" s="8" t="s">
        <v>1994</v>
      </c>
      <c r="R156" s="8" t="s">
        <v>2281</v>
      </c>
      <c r="S156" s="8" t="s">
        <v>262</v>
      </c>
      <c r="T156" s="8" t="s">
        <v>2282</v>
      </c>
      <c r="U156" s="8" t="s">
        <v>2283</v>
      </c>
      <c r="V156" s="8" t="s">
        <v>2284</v>
      </c>
      <c r="W156" s="8" t="s">
        <v>2285</v>
      </c>
      <c r="X156" s="8" t="s">
        <v>730</v>
      </c>
      <c r="Y156" s="8" t="s">
        <v>731</v>
      </c>
    </row>
    <row r="157" customHeight="1" spans="2:25">
      <c r="B157" s="7"/>
      <c r="C157" s="8"/>
      <c r="D157" s="3" t="str">
        <f t="shared" ref="D157:D163" si="44">D156</f>
        <v>水滴公司</v>
      </c>
      <c r="E157" s="8"/>
      <c r="F157" s="9"/>
      <c r="G157" s="8"/>
      <c r="H157" s="8"/>
      <c r="I157" s="8"/>
      <c r="J157" s="8"/>
      <c r="K157" s="3" t="str">
        <f t="shared" ref="K157:K163" si="45">K156</f>
        <v>运营中</v>
      </c>
      <c r="L157" s="8"/>
      <c r="M157" s="8"/>
      <c r="N157" s="8"/>
      <c r="O157" s="8">
        <v>1</v>
      </c>
      <c r="P157" s="10">
        <v>44317</v>
      </c>
      <c r="Q157" s="8" t="s">
        <v>2211</v>
      </c>
      <c r="R157" s="8" t="s">
        <v>2196</v>
      </c>
      <c r="S157" s="8" t="s">
        <v>2286</v>
      </c>
      <c r="T157" s="8"/>
      <c r="U157" s="8"/>
      <c r="V157" s="8"/>
      <c r="W157" s="8"/>
      <c r="X157" s="8"/>
      <c r="Y157" s="8"/>
    </row>
    <row r="158" customHeight="1" spans="2:25">
      <c r="B158" s="7"/>
      <c r="C158" s="8"/>
      <c r="D158" s="3" t="str">
        <f t="shared" si="44"/>
        <v>水滴公司</v>
      </c>
      <c r="E158" s="8"/>
      <c r="F158" s="9"/>
      <c r="G158" s="8"/>
      <c r="H158" s="8"/>
      <c r="I158" s="8"/>
      <c r="J158" s="8"/>
      <c r="K158" s="3" t="str">
        <f t="shared" si="45"/>
        <v>运营中</v>
      </c>
      <c r="L158" s="8"/>
      <c r="M158" s="8"/>
      <c r="N158" s="8"/>
      <c r="O158" s="8">
        <v>1</v>
      </c>
      <c r="P158" s="10">
        <v>44159</v>
      </c>
      <c r="Q158" s="8" t="s">
        <v>280</v>
      </c>
      <c r="R158" s="8" t="s">
        <v>2239</v>
      </c>
      <c r="S158" s="8" t="s">
        <v>1996</v>
      </c>
      <c r="T158" s="8"/>
      <c r="U158" s="8"/>
      <c r="V158" s="8"/>
      <c r="W158" s="8"/>
      <c r="X158" s="8"/>
      <c r="Y158" s="8"/>
    </row>
    <row r="159" customHeight="1" spans="2:25">
      <c r="B159" s="7"/>
      <c r="C159" s="8"/>
      <c r="D159" s="3" t="str">
        <f t="shared" si="44"/>
        <v>水滴公司</v>
      </c>
      <c r="E159" s="8"/>
      <c r="F159" s="9"/>
      <c r="G159" s="8"/>
      <c r="H159" s="8"/>
      <c r="I159" s="8"/>
      <c r="J159" s="8"/>
      <c r="K159" s="3" t="str">
        <f t="shared" si="45"/>
        <v>运营中</v>
      </c>
      <c r="L159" s="8"/>
      <c r="M159" s="8"/>
      <c r="N159" s="8"/>
      <c r="O159" s="8">
        <v>1</v>
      </c>
      <c r="P159" s="10">
        <v>44063</v>
      </c>
      <c r="Q159" s="8" t="s">
        <v>1579</v>
      </c>
      <c r="R159" s="8" t="s">
        <v>2287</v>
      </c>
      <c r="S159" s="8" t="s">
        <v>2288</v>
      </c>
      <c r="T159" s="8"/>
      <c r="U159" s="8"/>
      <c r="V159" s="8"/>
      <c r="W159" s="8"/>
      <c r="X159" s="8"/>
      <c r="Y159" s="8"/>
    </row>
    <row r="160" customHeight="1" spans="2:25">
      <c r="B160" s="7"/>
      <c r="C160" s="8"/>
      <c r="D160" s="3" t="str">
        <f t="shared" si="44"/>
        <v>水滴公司</v>
      </c>
      <c r="E160" s="8"/>
      <c r="F160" s="9"/>
      <c r="G160" s="8"/>
      <c r="H160" s="8"/>
      <c r="I160" s="8"/>
      <c r="J160" s="8"/>
      <c r="K160" s="3" t="str">
        <f t="shared" si="45"/>
        <v>运营中</v>
      </c>
      <c r="L160" s="8"/>
      <c r="M160" s="8"/>
      <c r="N160" s="8"/>
      <c r="O160" s="8">
        <v>1</v>
      </c>
      <c r="P160" s="10">
        <v>43628</v>
      </c>
      <c r="Q160" s="8" t="s">
        <v>425</v>
      </c>
      <c r="R160" s="8" t="s">
        <v>792</v>
      </c>
      <c r="S160" s="8" t="s">
        <v>2289</v>
      </c>
      <c r="T160" s="8"/>
      <c r="U160" s="8"/>
      <c r="V160" s="8"/>
      <c r="W160" s="8"/>
      <c r="X160" s="8"/>
      <c r="Y160" s="8"/>
    </row>
    <row r="161" customHeight="1" spans="2:25">
      <c r="B161" s="7"/>
      <c r="C161" s="8"/>
      <c r="D161" s="3" t="str">
        <f t="shared" si="44"/>
        <v>水滴公司</v>
      </c>
      <c r="E161" s="8"/>
      <c r="F161" s="9"/>
      <c r="G161" s="8"/>
      <c r="H161" s="8"/>
      <c r="I161" s="8"/>
      <c r="J161" s="8"/>
      <c r="K161" s="3" t="str">
        <f t="shared" si="45"/>
        <v>运营中</v>
      </c>
      <c r="L161" s="8"/>
      <c r="M161" s="8"/>
      <c r="N161" s="8"/>
      <c r="O161" s="8">
        <v>1</v>
      </c>
      <c r="P161" s="10">
        <v>43551</v>
      </c>
      <c r="Q161" s="8" t="s">
        <v>868</v>
      </c>
      <c r="R161" s="8" t="s">
        <v>863</v>
      </c>
      <c r="S161" s="8" t="s">
        <v>2290</v>
      </c>
      <c r="T161" s="8"/>
      <c r="U161" s="8"/>
      <c r="V161" s="8"/>
      <c r="W161" s="8"/>
      <c r="X161" s="8"/>
      <c r="Y161" s="8"/>
    </row>
    <row r="162" customHeight="1" spans="2:25">
      <c r="B162" s="7"/>
      <c r="C162" s="8"/>
      <c r="D162" s="3" t="str">
        <f t="shared" si="44"/>
        <v>水滴公司</v>
      </c>
      <c r="E162" s="8"/>
      <c r="F162" s="9"/>
      <c r="G162" s="8"/>
      <c r="H162" s="8"/>
      <c r="I162" s="8"/>
      <c r="J162" s="8"/>
      <c r="K162" s="3" t="str">
        <f t="shared" si="45"/>
        <v>运营中</v>
      </c>
      <c r="L162" s="8"/>
      <c r="M162" s="8"/>
      <c r="N162" s="8"/>
      <c r="O162" s="8">
        <v>1</v>
      </c>
      <c r="P162" s="10">
        <v>42977</v>
      </c>
      <c r="Q162" s="8" t="s">
        <v>1167</v>
      </c>
      <c r="R162" s="8" t="s">
        <v>2291</v>
      </c>
      <c r="S162" s="8" t="s">
        <v>2292</v>
      </c>
      <c r="T162" s="8"/>
      <c r="U162" s="8"/>
      <c r="V162" s="8"/>
      <c r="W162" s="8"/>
      <c r="X162" s="8"/>
      <c r="Y162" s="8"/>
    </row>
    <row r="163" customHeight="1" spans="2:25">
      <c r="B163" s="7"/>
      <c r="C163" s="8"/>
      <c r="D163" s="3" t="str">
        <f t="shared" si="44"/>
        <v>水滴公司</v>
      </c>
      <c r="E163" s="8"/>
      <c r="F163" s="9"/>
      <c r="G163" s="8"/>
      <c r="H163" s="8"/>
      <c r="I163" s="8"/>
      <c r="J163" s="8"/>
      <c r="K163" s="3" t="str">
        <f t="shared" si="45"/>
        <v>运营中</v>
      </c>
      <c r="L163" s="8"/>
      <c r="M163" s="8"/>
      <c r="N163" s="8"/>
      <c r="O163" s="8">
        <v>1</v>
      </c>
      <c r="P163" s="10">
        <v>42584</v>
      </c>
      <c r="Q163" s="8" t="s">
        <v>1875</v>
      </c>
      <c r="R163" s="8" t="s">
        <v>1778</v>
      </c>
      <c r="S163" s="8" t="s">
        <v>2293</v>
      </c>
      <c r="T163" s="8"/>
      <c r="U163" s="8"/>
      <c r="V163" s="8"/>
      <c r="W163" s="8"/>
      <c r="X163" s="8"/>
      <c r="Y163" s="8"/>
    </row>
    <row r="164" customHeight="1" spans="2:25">
      <c r="B164" s="7"/>
      <c r="C164" s="8" t="s">
        <v>741</v>
      </c>
      <c r="D164" s="3" t="s">
        <v>2294</v>
      </c>
      <c r="E164" s="8" t="s">
        <v>2294</v>
      </c>
      <c r="F164" s="9" t="s">
        <v>2295</v>
      </c>
      <c r="G164" s="8" t="s">
        <v>2296</v>
      </c>
      <c r="H164" s="8" t="s">
        <v>745</v>
      </c>
      <c r="I164" s="8" t="s">
        <v>746</v>
      </c>
      <c r="J164" s="8" t="s">
        <v>553</v>
      </c>
      <c r="K164" s="3" t="s">
        <v>2026</v>
      </c>
      <c r="L164" s="8" t="s">
        <v>2026</v>
      </c>
      <c r="M164" s="8" t="s">
        <v>54</v>
      </c>
      <c r="N164" s="8" t="s">
        <v>2027</v>
      </c>
      <c r="O164" s="8"/>
      <c r="P164" s="10">
        <v>42524</v>
      </c>
      <c r="Q164" s="8" t="s">
        <v>1167</v>
      </c>
      <c r="R164" s="8" t="s">
        <v>1816</v>
      </c>
      <c r="S164" s="8" t="s">
        <v>809</v>
      </c>
      <c r="T164" s="8" t="s">
        <v>1818</v>
      </c>
      <c r="U164" s="8" t="s">
        <v>1819</v>
      </c>
      <c r="V164" s="8" t="s">
        <v>2297</v>
      </c>
      <c r="W164" s="8"/>
      <c r="X164" s="8" t="s">
        <v>749</v>
      </c>
      <c r="Y164" s="8" t="s">
        <v>750</v>
      </c>
    </row>
    <row r="165" customHeight="1" spans="2:25">
      <c r="B165" s="7"/>
      <c r="C165" s="8"/>
      <c r="D165" s="3" t="str">
        <f>D164</f>
        <v>必去科技</v>
      </c>
      <c r="E165" s="8"/>
      <c r="F165" s="9"/>
      <c r="G165" s="8"/>
      <c r="H165" s="8"/>
      <c r="I165" s="8"/>
      <c r="J165" s="8"/>
      <c r="K165" s="3" t="str">
        <f>K164</f>
        <v>已关闭</v>
      </c>
      <c r="L165" s="8"/>
      <c r="M165" s="8"/>
      <c r="N165" s="8"/>
      <c r="O165" s="8"/>
      <c r="P165" s="10">
        <v>41946</v>
      </c>
      <c r="Q165" s="8" t="s">
        <v>1875</v>
      </c>
      <c r="R165" s="8" t="s">
        <v>1952</v>
      </c>
      <c r="S165" s="8" t="s">
        <v>262</v>
      </c>
      <c r="T165" s="8"/>
      <c r="U165" s="8"/>
      <c r="V165" s="8"/>
      <c r="W165" s="8"/>
      <c r="X165" s="8"/>
      <c r="Y165" s="8"/>
    </row>
    <row r="166" customHeight="1" spans="2:25">
      <c r="B166" s="7"/>
      <c r="C166" s="8" t="s">
        <v>751</v>
      </c>
      <c r="D166" s="3" t="s">
        <v>2298</v>
      </c>
      <c r="E166" s="8" t="s">
        <v>2298</v>
      </c>
      <c r="F166" s="9" t="s">
        <v>2299</v>
      </c>
      <c r="G166" s="8" t="s">
        <v>2300</v>
      </c>
      <c r="H166" s="8" t="s">
        <v>755</v>
      </c>
      <c r="I166" s="8" t="s">
        <v>756</v>
      </c>
      <c r="J166" s="8" t="s">
        <v>890</v>
      </c>
      <c r="K166" s="3" t="s">
        <v>278</v>
      </c>
      <c r="L166" s="8" t="s">
        <v>278</v>
      </c>
      <c r="M166" s="8" t="s">
        <v>33</v>
      </c>
      <c r="N166" s="8" t="s">
        <v>2237</v>
      </c>
      <c r="O166" s="8">
        <v>1</v>
      </c>
      <c r="P166" s="10">
        <v>43194</v>
      </c>
      <c r="Q166" s="8" t="s">
        <v>1948</v>
      </c>
      <c r="R166" s="8" t="s">
        <v>2301</v>
      </c>
      <c r="S166" s="8" t="s">
        <v>809</v>
      </c>
      <c r="T166" s="8" t="s">
        <v>2302</v>
      </c>
      <c r="U166" s="8" t="s">
        <v>2303</v>
      </c>
      <c r="V166" s="8" t="s">
        <v>2304</v>
      </c>
      <c r="W166" s="8" t="s">
        <v>2305</v>
      </c>
      <c r="X166" s="8" t="s">
        <v>762</v>
      </c>
      <c r="Y166" s="8" t="s">
        <v>763</v>
      </c>
    </row>
    <row r="167" customHeight="1" spans="2:25">
      <c r="B167" s="7"/>
      <c r="C167" s="8"/>
      <c r="D167" s="3" t="str">
        <f t="shared" ref="D167:D178" si="46">D166</f>
        <v>摩拜单车</v>
      </c>
      <c r="E167" s="8"/>
      <c r="F167" s="9"/>
      <c r="G167" s="8"/>
      <c r="H167" s="8"/>
      <c r="I167" s="8"/>
      <c r="J167" s="8"/>
      <c r="K167" s="3" t="str">
        <f t="shared" ref="K167:K178" si="47">K166</f>
        <v>运营中</v>
      </c>
      <c r="L167" s="8"/>
      <c r="M167" s="8"/>
      <c r="N167" s="8"/>
      <c r="O167" s="8">
        <v>1</v>
      </c>
      <c r="P167" s="10">
        <v>43125</v>
      </c>
      <c r="Q167" s="8" t="s">
        <v>280</v>
      </c>
      <c r="R167" s="8" t="s">
        <v>2193</v>
      </c>
      <c r="S167" s="8" t="s">
        <v>262</v>
      </c>
      <c r="T167" s="8"/>
      <c r="U167" s="8"/>
      <c r="V167" s="8"/>
      <c r="W167" s="8"/>
      <c r="X167" s="8"/>
      <c r="Y167" s="8"/>
    </row>
    <row r="168" customHeight="1" spans="2:25">
      <c r="B168" s="7"/>
      <c r="C168" s="8"/>
      <c r="D168" s="3" t="str">
        <f t="shared" si="46"/>
        <v>摩拜单车</v>
      </c>
      <c r="E168" s="8"/>
      <c r="F168" s="9"/>
      <c r="G168" s="8"/>
      <c r="H168" s="8"/>
      <c r="I168" s="8"/>
      <c r="J168" s="8"/>
      <c r="K168" s="3" t="str">
        <f t="shared" si="47"/>
        <v>运营中</v>
      </c>
      <c r="L168" s="8"/>
      <c r="M168" s="8"/>
      <c r="N168" s="8"/>
      <c r="O168" s="8">
        <v>1</v>
      </c>
      <c r="P168" s="10">
        <v>43054</v>
      </c>
      <c r="Q168" s="8" t="s">
        <v>280</v>
      </c>
      <c r="R168" s="8" t="s">
        <v>556</v>
      </c>
      <c r="S168" s="8" t="s">
        <v>2306</v>
      </c>
      <c r="T168" s="8"/>
      <c r="U168" s="8"/>
      <c r="V168" s="8"/>
      <c r="W168" s="8"/>
      <c r="X168" s="8"/>
      <c r="Y168" s="8"/>
    </row>
    <row r="169" customHeight="1" spans="2:25">
      <c r="B169" s="7"/>
      <c r="C169" s="8"/>
      <c r="D169" s="3" t="str">
        <f t="shared" si="46"/>
        <v>摩拜单车</v>
      </c>
      <c r="E169" s="8"/>
      <c r="F169" s="9"/>
      <c r="G169" s="8"/>
      <c r="H169" s="8"/>
      <c r="I169" s="8"/>
      <c r="J169" s="8"/>
      <c r="K169" s="3" t="str">
        <f t="shared" si="47"/>
        <v>运营中</v>
      </c>
      <c r="L169" s="8"/>
      <c r="M169" s="8"/>
      <c r="N169" s="8"/>
      <c r="O169" s="8">
        <v>1</v>
      </c>
      <c r="P169" s="10">
        <v>42902</v>
      </c>
      <c r="Q169" s="8" t="s">
        <v>1571</v>
      </c>
      <c r="R169" s="8" t="s">
        <v>2120</v>
      </c>
      <c r="S169" s="8" t="s">
        <v>2307</v>
      </c>
      <c r="T169" s="8"/>
      <c r="U169" s="8"/>
      <c r="V169" s="8"/>
      <c r="W169" s="8"/>
      <c r="X169" s="8"/>
      <c r="Y169" s="8"/>
    </row>
    <row r="170" customHeight="1" spans="2:25">
      <c r="B170" s="7"/>
      <c r="C170" s="8"/>
      <c r="D170" s="3" t="str">
        <f t="shared" si="46"/>
        <v>摩拜单车</v>
      </c>
      <c r="E170" s="8"/>
      <c r="F170" s="9"/>
      <c r="G170" s="8"/>
      <c r="H170" s="8"/>
      <c r="I170" s="8"/>
      <c r="J170" s="8"/>
      <c r="K170" s="3" t="str">
        <f t="shared" si="47"/>
        <v>运营中</v>
      </c>
      <c r="L170" s="8"/>
      <c r="M170" s="8"/>
      <c r="N170" s="8"/>
      <c r="O170" s="8">
        <v>1</v>
      </c>
      <c r="P170" s="10">
        <v>42786</v>
      </c>
      <c r="Q170" s="8" t="s">
        <v>555</v>
      </c>
      <c r="R170" s="8" t="s">
        <v>1644</v>
      </c>
      <c r="S170" s="8" t="s">
        <v>2308</v>
      </c>
      <c r="T170" s="8"/>
      <c r="U170" s="8"/>
      <c r="V170" s="8"/>
      <c r="W170" s="8"/>
      <c r="X170" s="8"/>
      <c r="Y170" s="8"/>
    </row>
    <row r="171" customHeight="1" spans="2:25">
      <c r="B171" s="7"/>
      <c r="C171" s="8"/>
      <c r="D171" s="3" t="str">
        <f t="shared" si="46"/>
        <v>摩拜单车</v>
      </c>
      <c r="E171" s="8"/>
      <c r="F171" s="9"/>
      <c r="G171" s="8"/>
      <c r="H171" s="8"/>
      <c r="I171" s="8"/>
      <c r="J171" s="8"/>
      <c r="K171" s="3" t="str">
        <f t="shared" si="47"/>
        <v>运营中</v>
      </c>
      <c r="L171" s="8"/>
      <c r="M171" s="8"/>
      <c r="N171" s="8"/>
      <c r="O171" s="8">
        <v>1</v>
      </c>
      <c r="P171" s="10">
        <v>42758</v>
      </c>
      <c r="Q171" s="8" t="s">
        <v>280</v>
      </c>
      <c r="R171" s="8" t="s">
        <v>1644</v>
      </c>
      <c r="S171" s="8" t="s">
        <v>2309</v>
      </c>
      <c r="T171" s="8"/>
      <c r="U171" s="8"/>
      <c r="V171" s="8"/>
      <c r="W171" s="8"/>
      <c r="X171" s="8"/>
      <c r="Y171" s="8"/>
    </row>
    <row r="172" customHeight="1" spans="2:25">
      <c r="B172" s="7"/>
      <c r="C172" s="8"/>
      <c r="D172" s="3" t="str">
        <f t="shared" si="46"/>
        <v>摩拜单车</v>
      </c>
      <c r="E172" s="8"/>
      <c r="F172" s="9"/>
      <c r="G172" s="8"/>
      <c r="H172" s="8"/>
      <c r="I172" s="8"/>
      <c r="J172" s="8"/>
      <c r="K172" s="3" t="str">
        <f t="shared" si="47"/>
        <v>运营中</v>
      </c>
      <c r="L172" s="8"/>
      <c r="M172" s="8"/>
      <c r="N172" s="8"/>
      <c r="O172" s="8">
        <v>1</v>
      </c>
      <c r="P172" s="10">
        <v>42739</v>
      </c>
      <c r="Q172" s="8" t="s">
        <v>1579</v>
      </c>
      <c r="R172" s="8" t="s">
        <v>2310</v>
      </c>
      <c r="S172" s="8" t="s">
        <v>2311</v>
      </c>
      <c r="T172" s="8"/>
      <c r="U172" s="8"/>
      <c r="V172" s="8"/>
      <c r="W172" s="8"/>
      <c r="X172" s="8"/>
      <c r="Y172" s="8"/>
    </row>
    <row r="173" customHeight="1" spans="2:25">
      <c r="B173" s="7"/>
      <c r="C173" s="8"/>
      <c r="D173" s="3" t="str">
        <f t="shared" si="46"/>
        <v>摩拜单车</v>
      </c>
      <c r="E173" s="8"/>
      <c r="F173" s="9"/>
      <c r="G173" s="8"/>
      <c r="H173" s="8"/>
      <c r="I173" s="8"/>
      <c r="J173" s="8"/>
      <c r="K173" s="3" t="str">
        <f t="shared" si="47"/>
        <v>运营中</v>
      </c>
      <c r="L173" s="8"/>
      <c r="M173" s="8"/>
      <c r="N173" s="8"/>
      <c r="O173" s="8">
        <v>1</v>
      </c>
      <c r="P173" s="10">
        <v>42656</v>
      </c>
      <c r="Q173" s="8" t="s">
        <v>791</v>
      </c>
      <c r="R173" s="8" t="s">
        <v>2312</v>
      </c>
      <c r="S173" s="8" t="s">
        <v>2313</v>
      </c>
      <c r="T173" s="8"/>
      <c r="U173" s="8"/>
      <c r="V173" s="8"/>
      <c r="W173" s="8"/>
      <c r="X173" s="8"/>
      <c r="Y173" s="8"/>
    </row>
    <row r="174" customHeight="1" spans="2:25">
      <c r="B174" s="7"/>
      <c r="C174" s="8"/>
      <c r="D174" s="3" t="str">
        <f t="shared" si="46"/>
        <v>摩拜单车</v>
      </c>
      <c r="E174" s="8"/>
      <c r="F174" s="9"/>
      <c r="G174" s="8"/>
      <c r="H174" s="8"/>
      <c r="I174" s="8"/>
      <c r="J174" s="8"/>
      <c r="K174" s="3" t="str">
        <f t="shared" si="47"/>
        <v>运营中</v>
      </c>
      <c r="L174" s="8"/>
      <c r="M174" s="8"/>
      <c r="N174" s="8"/>
      <c r="O174" s="8">
        <v>1</v>
      </c>
      <c r="P174" s="10">
        <v>42643</v>
      </c>
      <c r="Q174" s="8" t="s">
        <v>425</v>
      </c>
      <c r="R174" s="8" t="s">
        <v>919</v>
      </c>
      <c r="S174" s="8" t="s">
        <v>2314</v>
      </c>
      <c r="T174" s="8"/>
      <c r="U174" s="8"/>
      <c r="V174" s="8"/>
      <c r="W174" s="8"/>
      <c r="X174" s="8"/>
      <c r="Y174" s="8"/>
    </row>
    <row r="175" customHeight="1" spans="2:25">
      <c r="B175" s="7"/>
      <c r="C175" s="8"/>
      <c r="D175" s="3" t="str">
        <f t="shared" si="46"/>
        <v>摩拜单车</v>
      </c>
      <c r="E175" s="8"/>
      <c r="F175" s="9"/>
      <c r="G175" s="8"/>
      <c r="H175" s="8"/>
      <c r="I175" s="8"/>
      <c r="J175" s="8"/>
      <c r="K175" s="3" t="str">
        <f t="shared" si="47"/>
        <v>运营中</v>
      </c>
      <c r="L175" s="8"/>
      <c r="M175" s="8"/>
      <c r="N175" s="8"/>
      <c r="O175" s="8">
        <v>1</v>
      </c>
      <c r="P175" s="10">
        <v>42612</v>
      </c>
      <c r="Q175" s="8" t="s">
        <v>865</v>
      </c>
      <c r="R175" s="8" t="s">
        <v>1966</v>
      </c>
      <c r="S175" s="8" t="s">
        <v>2315</v>
      </c>
      <c r="T175" s="8"/>
      <c r="U175" s="8"/>
      <c r="V175" s="8"/>
      <c r="W175" s="8"/>
      <c r="X175" s="8"/>
      <c r="Y175" s="8"/>
    </row>
    <row r="176" customHeight="1" spans="2:25">
      <c r="B176" s="7"/>
      <c r="C176" s="8"/>
      <c r="D176" s="3" t="str">
        <f t="shared" si="46"/>
        <v>摩拜单车</v>
      </c>
      <c r="E176" s="8"/>
      <c r="F176" s="9"/>
      <c r="G176" s="8"/>
      <c r="H176" s="8"/>
      <c r="I176" s="8"/>
      <c r="J176" s="8"/>
      <c r="K176" s="3" t="str">
        <f t="shared" si="47"/>
        <v>运营中</v>
      </c>
      <c r="L176" s="8"/>
      <c r="M176" s="8"/>
      <c r="N176" s="8"/>
      <c r="O176" s="8">
        <v>1</v>
      </c>
      <c r="P176" s="10">
        <v>42601</v>
      </c>
      <c r="Q176" s="8" t="s">
        <v>868</v>
      </c>
      <c r="R176" s="8" t="s">
        <v>1966</v>
      </c>
      <c r="S176" s="8" t="s">
        <v>2316</v>
      </c>
      <c r="T176" s="8"/>
      <c r="U176" s="8"/>
      <c r="V176" s="8"/>
      <c r="W176" s="8"/>
      <c r="X176" s="8"/>
      <c r="Y176" s="8"/>
    </row>
    <row r="177" customHeight="1" spans="2:25">
      <c r="B177" s="7"/>
      <c r="C177" s="8"/>
      <c r="D177" s="3" t="str">
        <f t="shared" si="46"/>
        <v>摩拜单车</v>
      </c>
      <c r="E177" s="8"/>
      <c r="F177" s="9"/>
      <c r="G177" s="8"/>
      <c r="H177" s="8"/>
      <c r="I177" s="8"/>
      <c r="J177" s="8"/>
      <c r="K177" s="3" t="str">
        <f t="shared" si="47"/>
        <v>运营中</v>
      </c>
      <c r="L177" s="8"/>
      <c r="M177" s="8"/>
      <c r="N177" s="8"/>
      <c r="O177" s="8">
        <v>1</v>
      </c>
      <c r="P177" s="10">
        <v>42307</v>
      </c>
      <c r="Q177" s="8" t="s">
        <v>1167</v>
      </c>
      <c r="R177" s="8" t="s">
        <v>2317</v>
      </c>
      <c r="S177" s="8" t="s">
        <v>2318</v>
      </c>
      <c r="T177" s="8"/>
      <c r="U177" s="8"/>
      <c r="V177" s="8"/>
      <c r="W177" s="8"/>
      <c r="X177" s="8"/>
      <c r="Y177" s="8"/>
    </row>
    <row r="178" customHeight="1" spans="2:25">
      <c r="B178" s="7"/>
      <c r="C178" s="8"/>
      <c r="D178" s="3" t="str">
        <f t="shared" si="46"/>
        <v>摩拜单车</v>
      </c>
      <c r="E178" s="8"/>
      <c r="F178" s="9"/>
      <c r="G178" s="8"/>
      <c r="H178" s="8"/>
      <c r="I178" s="8"/>
      <c r="J178" s="8"/>
      <c r="K178" s="3" t="str">
        <f t="shared" si="47"/>
        <v>运营中</v>
      </c>
      <c r="L178" s="8"/>
      <c r="M178" s="8"/>
      <c r="N178" s="8"/>
      <c r="O178" s="8">
        <v>1</v>
      </c>
      <c r="P178" s="10">
        <v>42064</v>
      </c>
      <c r="Q178" s="8" t="s">
        <v>1875</v>
      </c>
      <c r="R178" s="8" t="s">
        <v>2319</v>
      </c>
      <c r="S178" s="8" t="s">
        <v>2320</v>
      </c>
      <c r="T178" s="8"/>
      <c r="U178" s="8"/>
      <c r="V178" s="8"/>
      <c r="W178" s="8"/>
      <c r="X178" s="8"/>
      <c r="Y178" s="8"/>
    </row>
    <row r="179" customHeight="1" spans="2:25">
      <c r="B179" s="7"/>
      <c r="C179" s="8" t="s">
        <v>779</v>
      </c>
      <c r="D179" s="3" t="s">
        <v>2321</v>
      </c>
      <c r="E179" s="8" t="s">
        <v>2321</v>
      </c>
      <c r="F179" s="9" t="s">
        <v>2322</v>
      </c>
      <c r="G179" s="8" t="s">
        <v>2323</v>
      </c>
      <c r="H179" s="8" t="s">
        <v>783</v>
      </c>
      <c r="I179" s="8" t="s">
        <v>784</v>
      </c>
      <c r="J179" s="8" t="s">
        <v>890</v>
      </c>
      <c r="K179" s="3" t="s">
        <v>278</v>
      </c>
      <c r="L179" s="8" t="s">
        <v>278</v>
      </c>
      <c r="M179" s="8" t="s">
        <v>19</v>
      </c>
      <c r="N179" s="8" t="s">
        <v>891</v>
      </c>
      <c r="O179" s="8"/>
      <c r="P179" s="10">
        <v>44732</v>
      </c>
      <c r="Q179" s="8" t="s">
        <v>791</v>
      </c>
      <c r="R179" s="8" t="s">
        <v>281</v>
      </c>
      <c r="S179" s="8" t="s">
        <v>2324</v>
      </c>
      <c r="T179" s="8" t="s">
        <v>2325</v>
      </c>
      <c r="U179" s="8" t="s">
        <v>2326</v>
      </c>
      <c r="V179" s="8" t="s">
        <v>2327</v>
      </c>
      <c r="W179" s="8" t="s">
        <v>2328</v>
      </c>
      <c r="X179" s="8"/>
      <c r="Y179" s="8" t="s">
        <v>790</v>
      </c>
    </row>
    <row r="180" customHeight="1" spans="2:25">
      <c r="B180" s="7"/>
      <c r="C180" s="8"/>
      <c r="D180" s="3" t="str">
        <f t="shared" ref="D180:D188" si="48">D179</f>
        <v>梅卡曼德机器人</v>
      </c>
      <c r="E180" s="8"/>
      <c r="F180" s="9"/>
      <c r="G180" s="8"/>
      <c r="H180" s="8"/>
      <c r="I180" s="8"/>
      <c r="J180" s="8"/>
      <c r="K180" s="3" t="str">
        <f t="shared" ref="K180:K188" si="49">K179</f>
        <v>运营中</v>
      </c>
      <c r="L180" s="8"/>
      <c r="M180" s="8"/>
      <c r="N180" s="8"/>
      <c r="O180" s="8"/>
      <c r="P180" s="10">
        <v>44466</v>
      </c>
      <c r="Q180" s="8" t="s">
        <v>791</v>
      </c>
      <c r="R180" s="8" t="s">
        <v>792</v>
      </c>
      <c r="S180" s="8" t="s">
        <v>793</v>
      </c>
      <c r="T180" s="8"/>
      <c r="U180" s="8"/>
      <c r="V180" s="8"/>
      <c r="W180" s="8"/>
      <c r="X180" s="8"/>
      <c r="Y180" s="8"/>
    </row>
    <row r="181" customHeight="1" spans="2:25">
      <c r="B181" s="7"/>
      <c r="C181" s="8"/>
      <c r="D181" s="3" t="str">
        <f t="shared" si="48"/>
        <v>梅卡曼德机器人</v>
      </c>
      <c r="E181" s="8"/>
      <c r="F181" s="9"/>
      <c r="G181" s="8"/>
      <c r="H181" s="8"/>
      <c r="I181" s="8"/>
      <c r="J181" s="8"/>
      <c r="K181" s="3" t="str">
        <f t="shared" si="49"/>
        <v>运营中</v>
      </c>
      <c r="L181" s="8"/>
      <c r="M181" s="8"/>
      <c r="N181" s="8"/>
      <c r="O181" s="8"/>
      <c r="P181" s="10">
        <v>44299</v>
      </c>
      <c r="Q181" s="8" t="s">
        <v>425</v>
      </c>
      <c r="R181" s="8" t="s">
        <v>430</v>
      </c>
      <c r="S181" s="8" t="s">
        <v>794</v>
      </c>
      <c r="T181" s="8"/>
      <c r="U181" s="8"/>
      <c r="V181" s="8"/>
      <c r="W181" s="8"/>
      <c r="X181" s="8"/>
      <c r="Y181" s="8"/>
    </row>
    <row r="182" customHeight="1" spans="2:25">
      <c r="B182" s="7"/>
      <c r="C182" s="8"/>
      <c r="D182" s="3" t="str">
        <f t="shared" si="48"/>
        <v>梅卡曼德机器人</v>
      </c>
      <c r="E182" s="8"/>
      <c r="F182" s="9"/>
      <c r="G182" s="8"/>
      <c r="H182" s="8"/>
      <c r="I182" s="8"/>
      <c r="J182" s="8"/>
      <c r="K182" s="3" t="str">
        <f t="shared" si="49"/>
        <v>运营中</v>
      </c>
      <c r="L182" s="8"/>
      <c r="M182" s="8"/>
      <c r="N182" s="8"/>
      <c r="O182" s="8"/>
      <c r="P182" s="10">
        <v>44151</v>
      </c>
      <c r="Q182" s="8" t="s">
        <v>865</v>
      </c>
      <c r="R182" s="8" t="s">
        <v>281</v>
      </c>
      <c r="S182" s="8" t="s">
        <v>2329</v>
      </c>
      <c r="T182" s="8"/>
      <c r="U182" s="8"/>
      <c r="V182" s="8"/>
      <c r="W182" s="8"/>
      <c r="X182" s="8"/>
      <c r="Y182" s="8"/>
    </row>
    <row r="183" customHeight="1" spans="2:25">
      <c r="B183" s="7"/>
      <c r="C183" s="8"/>
      <c r="D183" s="3" t="str">
        <f t="shared" si="48"/>
        <v>梅卡曼德机器人</v>
      </c>
      <c r="E183" s="8"/>
      <c r="F183" s="9"/>
      <c r="G183" s="8"/>
      <c r="H183" s="8"/>
      <c r="I183" s="8"/>
      <c r="J183" s="8"/>
      <c r="K183" s="3" t="str">
        <f t="shared" si="49"/>
        <v>运营中</v>
      </c>
      <c r="L183" s="8"/>
      <c r="M183" s="8"/>
      <c r="N183" s="8"/>
      <c r="O183" s="8"/>
      <c r="P183" s="10">
        <v>43892</v>
      </c>
      <c r="Q183" s="8" t="s">
        <v>868</v>
      </c>
      <c r="R183" s="8" t="s">
        <v>866</v>
      </c>
      <c r="S183" s="8" t="s">
        <v>2234</v>
      </c>
      <c r="T183" s="8"/>
      <c r="U183" s="8"/>
      <c r="V183" s="8"/>
      <c r="W183" s="8"/>
      <c r="X183" s="8"/>
      <c r="Y183" s="8"/>
    </row>
    <row r="184" customHeight="1" spans="2:25">
      <c r="B184" s="7"/>
      <c r="C184" s="8"/>
      <c r="D184" s="3" t="str">
        <f t="shared" si="48"/>
        <v>梅卡曼德机器人</v>
      </c>
      <c r="E184" s="8"/>
      <c r="F184" s="9"/>
      <c r="G184" s="8"/>
      <c r="H184" s="8"/>
      <c r="I184" s="8"/>
      <c r="J184" s="8"/>
      <c r="K184" s="3" t="str">
        <f t="shared" si="49"/>
        <v>运营中</v>
      </c>
      <c r="L184" s="8"/>
      <c r="M184" s="8"/>
      <c r="N184" s="8"/>
      <c r="O184" s="8"/>
      <c r="P184" s="10">
        <v>43696</v>
      </c>
      <c r="Q184" s="8" t="s">
        <v>280</v>
      </c>
      <c r="R184" s="8" t="s">
        <v>281</v>
      </c>
      <c r="S184" s="8" t="s">
        <v>2330</v>
      </c>
      <c r="T184" s="8"/>
      <c r="U184" s="8"/>
      <c r="V184" s="8"/>
      <c r="W184" s="8"/>
      <c r="X184" s="8"/>
      <c r="Y184" s="8"/>
    </row>
    <row r="185" customHeight="1" spans="2:25">
      <c r="B185" s="7"/>
      <c r="C185" s="8"/>
      <c r="D185" s="3" t="str">
        <f t="shared" si="48"/>
        <v>梅卡曼德机器人</v>
      </c>
      <c r="E185" s="8"/>
      <c r="F185" s="9"/>
      <c r="G185" s="8"/>
      <c r="H185" s="8"/>
      <c r="I185" s="8"/>
      <c r="J185" s="8"/>
      <c r="K185" s="3" t="str">
        <f t="shared" si="49"/>
        <v>运营中</v>
      </c>
      <c r="L185" s="8"/>
      <c r="M185" s="8"/>
      <c r="N185" s="8"/>
      <c r="O185" s="8"/>
      <c r="P185" s="10">
        <v>43581</v>
      </c>
      <c r="Q185" s="8" t="s">
        <v>1180</v>
      </c>
      <c r="R185" s="8" t="s">
        <v>1816</v>
      </c>
      <c r="S185" s="8" t="s">
        <v>2331</v>
      </c>
      <c r="T185" s="8"/>
      <c r="U185" s="8"/>
      <c r="V185" s="8"/>
      <c r="W185" s="8"/>
      <c r="X185" s="8"/>
      <c r="Y185" s="8"/>
    </row>
    <row r="186" customHeight="1" spans="2:25">
      <c r="B186" s="7"/>
      <c r="C186" s="8"/>
      <c r="D186" s="3" t="str">
        <f t="shared" si="48"/>
        <v>梅卡曼德机器人</v>
      </c>
      <c r="E186" s="8"/>
      <c r="F186" s="9"/>
      <c r="G186" s="8"/>
      <c r="H186" s="8"/>
      <c r="I186" s="8"/>
      <c r="J186" s="8"/>
      <c r="K186" s="3" t="str">
        <f t="shared" si="49"/>
        <v>运营中</v>
      </c>
      <c r="L186" s="8"/>
      <c r="M186" s="8"/>
      <c r="N186" s="8"/>
      <c r="O186" s="8"/>
      <c r="P186" s="10">
        <v>43081</v>
      </c>
      <c r="Q186" s="8" t="s">
        <v>1167</v>
      </c>
      <c r="R186" s="8" t="s">
        <v>281</v>
      </c>
      <c r="S186" s="8" t="s">
        <v>2332</v>
      </c>
      <c r="T186" s="8"/>
      <c r="U186" s="8"/>
      <c r="V186" s="8"/>
      <c r="W186" s="8"/>
      <c r="X186" s="8"/>
      <c r="Y186" s="8"/>
    </row>
    <row r="187" customHeight="1" spans="2:25">
      <c r="B187" s="7"/>
      <c r="C187" s="8"/>
      <c r="D187" s="3" t="str">
        <f t="shared" si="48"/>
        <v>梅卡曼德机器人</v>
      </c>
      <c r="E187" s="8"/>
      <c r="F187" s="9"/>
      <c r="G187" s="8"/>
      <c r="H187" s="8"/>
      <c r="I187" s="8"/>
      <c r="J187" s="8"/>
      <c r="K187" s="3" t="str">
        <f t="shared" si="49"/>
        <v>运营中</v>
      </c>
      <c r="L187" s="8"/>
      <c r="M187" s="8"/>
      <c r="N187" s="8"/>
      <c r="O187" s="8"/>
      <c r="P187" s="10">
        <v>42877</v>
      </c>
      <c r="Q187" s="8" t="s">
        <v>1169</v>
      </c>
      <c r="R187" s="8" t="s">
        <v>1816</v>
      </c>
      <c r="S187" s="8" t="s">
        <v>2333</v>
      </c>
      <c r="T187" s="8"/>
      <c r="U187" s="8"/>
      <c r="V187" s="8"/>
      <c r="W187" s="8"/>
      <c r="X187" s="8"/>
      <c r="Y187" s="8"/>
    </row>
    <row r="188" customHeight="1" spans="2:25">
      <c r="B188" s="7"/>
      <c r="C188" s="8"/>
      <c r="D188" s="3" t="str">
        <f t="shared" si="48"/>
        <v>梅卡曼德机器人</v>
      </c>
      <c r="E188" s="8"/>
      <c r="F188" s="9"/>
      <c r="G188" s="8"/>
      <c r="H188" s="8"/>
      <c r="I188" s="8"/>
      <c r="J188" s="8"/>
      <c r="K188" s="3" t="str">
        <f t="shared" si="49"/>
        <v>运营中</v>
      </c>
      <c r="L188" s="8"/>
      <c r="M188" s="8"/>
      <c r="N188" s="8"/>
      <c r="O188" s="8"/>
      <c r="P188" s="10">
        <v>42711</v>
      </c>
      <c r="Q188" s="8" t="s">
        <v>1875</v>
      </c>
      <c r="R188" s="8" t="s">
        <v>1952</v>
      </c>
      <c r="S188" s="8" t="s">
        <v>2334</v>
      </c>
      <c r="T188" s="8"/>
      <c r="U188" s="8"/>
      <c r="V188" s="8"/>
      <c r="W188" s="8"/>
      <c r="X188" s="8"/>
      <c r="Y188" s="8"/>
    </row>
    <row r="189" ht="89.5" customHeight="1" spans="2:25">
      <c r="B189" s="7"/>
      <c r="C189" s="8" t="s">
        <v>801</v>
      </c>
      <c r="D189" s="8" t="s">
        <v>803</v>
      </c>
      <c r="E189" s="8" t="s">
        <v>803</v>
      </c>
      <c r="F189" s="9" t="s">
        <v>804</v>
      </c>
      <c r="G189" s="8" t="s">
        <v>2335</v>
      </c>
      <c r="H189" s="8" t="s">
        <v>806</v>
      </c>
      <c r="I189" s="8" t="s">
        <v>756</v>
      </c>
      <c r="J189" s="8" t="s">
        <v>807</v>
      </c>
      <c r="K189" s="8" t="s">
        <v>278</v>
      </c>
      <c r="L189" s="8" t="s">
        <v>278</v>
      </c>
      <c r="M189" s="8" t="s">
        <v>23</v>
      </c>
      <c r="N189" s="8" t="s">
        <v>808</v>
      </c>
      <c r="O189" s="8"/>
      <c r="P189" s="10">
        <v>44567</v>
      </c>
      <c r="Q189" s="8" t="s">
        <v>280</v>
      </c>
      <c r="R189" s="8" t="s">
        <v>281</v>
      </c>
      <c r="S189" s="8" t="s">
        <v>809</v>
      </c>
      <c r="T189" s="8" t="s">
        <v>810</v>
      </c>
      <c r="U189" s="8" t="s">
        <v>284</v>
      </c>
      <c r="V189" s="8" t="s">
        <v>811</v>
      </c>
      <c r="W189" s="8" t="s">
        <v>2336</v>
      </c>
      <c r="X189" s="8" t="s">
        <v>813</v>
      </c>
      <c r="Y189" s="8" t="s">
        <v>814</v>
      </c>
    </row>
    <row r="190" customHeight="1" spans="2:25">
      <c r="B190" s="7"/>
      <c r="C190" s="8" t="s">
        <v>815</v>
      </c>
      <c r="D190" s="3" t="s">
        <v>2337</v>
      </c>
      <c r="E190" s="8" t="s">
        <v>2337</v>
      </c>
      <c r="F190" s="9" t="s">
        <v>2338</v>
      </c>
      <c r="G190" s="8" t="s">
        <v>2339</v>
      </c>
      <c r="H190" s="8" t="s">
        <v>819</v>
      </c>
      <c r="I190" s="8" t="s">
        <v>820</v>
      </c>
      <c r="J190" s="8" t="s">
        <v>2340</v>
      </c>
      <c r="K190" s="3" t="s">
        <v>278</v>
      </c>
      <c r="L190" s="8" t="s">
        <v>278</v>
      </c>
      <c r="M190" s="8" t="s">
        <v>10</v>
      </c>
      <c r="N190" s="8" t="s">
        <v>2035</v>
      </c>
      <c r="O190" s="8">
        <v>1</v>
      </c>
      <c r="P190" s="10">
        <v>44554</v>
      </c>
      <c r="Q190" s="8" t="s">
        <v>1948</v>
      </c>
      <c r="R190" s="8" t="s">
        <v>281</v>
      </c>
      <c r="S190" s="8" t="s">
        <v>809</v>
      </c>
      <c r="T190" s="8" t="s">
        <v>2341</v>
      </c>
      <c r="U190" s="8" t="s">
        <v>284</v>
      </c>
      <c r="V190" s="8" t="s">
        <v>2342</v>
      </c>
      <c r="W190" s="8"/>
      <c r="X190" s="8" t="s">
        <v>824</v>
      </c>
      <c r="Y190" s="8" t="s">
        <v>825</v>
      </c>
    </row>
    <row r="191" customHeight="1" spans="2:25">
      <c r="B191" s="7"/>
      <c r="C191" s="8"/>
      <c r="D191" s="3" t="str">
        <f t="shared" ref="D191:D193" si="50">D190</f>
        <v>钱到到菜么么</v>
      </c>
      <c r="E191" s="8"/>
      <c r="F191" s="9"/>
      <c r="G191" s="8"/>
      <c r="H191" s="8"/>
      <c r="I191" s="8"/>
      <c r="J191" s="8"/>
      <c r="K191" s="3" t="str">
        <f t="shared" ref="K191:K193" si="51">K190</f>
        <v>运营中</v>
      </c>
      <c r="L191" s="8"/>
      <c r="M191" s="8"/>
      <c r="N191" s="8"/>
      <c r="O191" s="8">
        <v>1</v>
      </c>
      <c r="P191" s="10">
        <v>43187</v>
      </c>
      <c r="Q191" s="8" t="s">
        <v>1167</v>
      </c>
      <c r="R191" s="8" t="s">
        <v>2343</v>
      </c>
      <c r="S191" s="8" t="s">
        <v>2344</v>
      </c>
      <c r="T191" s="8"/>
      <c r="U191" s="8"/>
      <c r="V191" s="8"/>
      <c r="W191" s="8"/>
      <c r="X191" s="8"/>
      <c r="Y191" s="8"/>
    </row>
    <row r="192" customHeight="1" spans="2:25">
      <c r="B192" s="7"/>
      <c r="C192" s="8"/>
      <c r="D192" s="3" t="str">
        <f t="shared" si="50"/>
        <v>钱到到菜么么</v>
      </c>
      <c r="E192" s="8"/>
      <c r="F192" s="9"/>
      <c r="G192" s="8"/>
      <c r="H192" s="8"/>
      <c r="I192" s="8"/>
      <c r="J192" s="8"/>
      <c r="K192" s="3" t="str">
        <f t="shared" si="51"/>
        <v>运营中</v>
      </c>
      <c r="L192" s="8"/>
      <c r="M192" s="8"/>
      <c r="N192" s="8"/>
      <c r="O192" s="8">
        <v>1</v>
      </c>
      <c r="P192" s="10">
        <v>42870</v>
      </c>
      <c r="Q192" s="8" t="s">
        <v>1169</v>
      </c>
      <c r="R192" s="8" t="s">
        <v>1816</v>
      </c>
      <c r="S192" s="8" t="s">
        <v>2345</v>
      </c>
      <c r="T192" s="8"/>
      <c r="U192" s="8"/>
      <c r="V192" s="8"/>
      <c r="W192" s="8"/>
      <c r="X192" s="8"/>
      <c r="Y192" s="8"/>
    </row>
    <row r="193" customHeight="1" spans="2:25">
      <c r="B193" s="7"/>
      <c r="C193" s="8"/>
      <c r="D193" s="3" t="str">
        <f t="shared" si="50"/>
        <v>钱到到菜么么</v>
      </c>
      <c r="E193" s="8"/>
      <c r="F193" s="9"/>
      <c r="G193" s="8"/>
      <c r="H193" s="8"/>
      <c r="I193" s="8"/>
      <c r="J193" s="8"/>
      <c r="K193" s="3" t="str">
        <f t="shared" si="51"/>
        <v>运营中</v>
      </c>
      <c r="L193" s="8"/>
      <c r="M193" s="8"/>
      <c r="N193" s="8"/>
      <c r="O193" s="8">
        <v>1</v>
      </c>
      <c r="P193" s="10">
        <v>42786</v>
      </c>
      <c r="Q193" s="8" t="s">
        <v>1875</v>
      </c>
      <c r="R193" s="8" t="s">
        <v>1952</v>
      </c>
      <c r="S193" s="8" t="s">
        <v>2346</v>
      </c>
      <c r="T193" s="8"/>
      <c r="U193" s="8"/>
      <c r="V193" s="8"/>
      <c r="W193" s="8"/>
      <c r="X193" s="8"/>
      <c r="Y193" s="8"/>
    </row>
    <row r="194" customHeight="1" spans="2:25">
      <c r="B194" s="7"/>
      <c r="C194" s="8" t="s">
        <v>830</v>
      </c>
      <c r="D194" s="3" t="s">
        <v>2347</v>
      </c>
      <c r="E194" s="8" t="s">
        <v>2347</v>
      </c>
      <c r="F194" s="9" t="s">
        <v>2348</v>
      </c>
      <c r="G194" s="8" t="s">
        <v>2349</v>
      </c>
      <c r="H194" s="8" t="s">
        <v>834</v>
      </c>
      <c r="I194" s="8" t="s">
        <v>835</v>
      </c>
      <c r="J194" s="8" t="s">
        <v>1145</v>
      </c>
      <c r="K194" s="3" t="s">
        <v>278</v>
      </c>
      <c r="L194" s="8" t="s">
        <v>278</v>
      </c>
      <c r="M194" s="8" t="s">
        <v>57</v>
      </c>
      <c r="N194" s="8" t="s">
        <v>2350</v>
      </c>
      <c r="O194" s="8"/>
      <c r="P194" s="10">
        <v>43906</v>
      </c>
      <c r="Q194" s="8" t="s">
        <v>868</v>
      </c>
      <c r="R194" s="8" t="s">
        <v>281</v>
      </c>
      <c r="S194" s="8" t="s">
        <v>2351</v>
      </c>
      <c r="T194" s="8" t="s">
        <v>2352</v>
      </c>
      <c r="U194" s="8" t="s">
        <v>284</v>
      </c>
      <c r="V194" s="8" t="s">
        <v>2353</v>
      </c>
      <c r="W194" s="8" t="s">
        <v>2354</v>
      </c>
      <c r="X194" s="8" t="s">
        <v>843</v>
      </c>
      <c r="Y194" s="8" t="s">
        <v>844</v>
      </c>
    </row>
    <row r="195" ht="61.5" customHeight="1" spans="2:25">
      <c r="B195" s="7"/>
      <c r="C195" s="8"/>
      <c r="D195" s="3" t="str">
        <f>D194</f>
        <v>网易味央</v>
      </c>
      <c r="E195" s="8"/>
      <c r="F195" s="9"/>
      <c r="G195" s="8"/>
      <c r="H195" s="8"/>
      <c r="I195" s="8"/>
      <c r="J195" s="8"/>
      <c r="K195" s="3" t="str">
        <f>K194</f>
        <v>运营中</v>
      </c>
      <c r="L195" s="8"/>
      <c r="M195" s="8"/>
      <c r="N195" s="8"/>
      <c r="O195" s="8"/>
      <c r="P195" s="10">
        <v>42853</v>
      </c>
      <c r="Q195" s="8" t="s">
        <v>1167</v>
      </c>
      <c r="R195" s="8" t="s">
        <v>2291</v>
      </c>
      <c r="S195" s="8" t="s">
        <v>2355</v>
      </c>
      <c r="T195" s="8"/>
      <c r="U195" s="8"/>
      <c r="V195" s="8"/>
      <c r="W195" s="8"/>
      <c r="X195" s="8"/>
      <c r="Y195" s="8"/>
    </row>
    <row r="196" customHeight="1" spans="2:25">
      <c r="B196" s="7"/>
      <c r="C196" s="8" t="s">
        <v>846</v>
      </c>
      <c r="D196" s="3" t="s">
        <v>2356</v>
      </c>
      <c r="E196" s="8" t="s">
        <v>2356</v>
      </c>
      <c r="F196" s="9" t="s">
        <v>2357</v>
      </c>
      <c r="G196" s="8" t="s">
        <v>2358</v>
      </c>
      <c r="H196" s="8" t="s">
        <v>850</v>
      </c>
      <c r="I196" s="8" t="s">
        <v>851</v>
      </c>
      <c r="J196" s="8" t="s">
        <v>952</v>
      </c>
      <c r="K196" s="3" t="s">
        <v>278</v>
      </c>
      <c r="L196" s="8" t="s">
        <v>278</v>
      </c>
      <c r="M196" s="8" t="s">
        <v>19</v>
      </c>
      <c r="N196" s="8" t="s">
        <v>891</v>
      </c>
      <c r="O196" s="8"/>
      <c r="P196" s="10">
        <v>45051</v>
      </c>
      <c r="Q196" s="8" t="s">
        <v>791</v>
      </c>
      <c r="R196" s="8" t="s">
        <v>430</v>
      </c>
      <c r="S196" s="8" t="s">
        <v>2359</v>
      </c>
      <c r="T196" s="8" t="s">
        <v>2360</v>
      </c>
      <c r="U196" s="8" t="s">
        <v>2361</v>
      </c>
      <c r="V196" s="8" t="s">
        <v>2362</v>
      </c>
      <c r="W196" s="8" t="s">
        <v>2363</v>
      </c>
      <c r="X196" s="8" t="s">
        <v>858</v>
      </c>
      <c r="Y196" s="8" t="s">
        <v>859</v>
      </c>
    </row>
    <row r="197" customHeight="1" spans="2:25">
      <c r="B197" s="7"/>
      <c r="C197" s="8"/>
      <c r="D197" s="3" t="str">
        <f t="shared" ref="D197:D206" si="52">D196</f>
        <v>普渡科技</v>
      </c>
      <c r="E197" s="8"/>
      <c r="F197" s="9"/>
      <c r="G197" s="8"/>
      <c r="H197" s="8"/>
      <c r="I197" s="8"/>
      <c r="J197" s="8"/>
      <c r="K197" s="3" t="str">
        <f t="shared" ref="K197:K206" si="53">K196</f>
        <v>运营中</v>
      </c>
      <c r="L197" s="8"/>
      <c r="M197" s="8"/>
      <c r="N197" s="8"/>
      <c r="O197" s="8"/>
      <c r="P197" s="10">
        <v>44972</v>
      </c>
      <c r="Q197" s="8" t="s">
        <v>791</v>
      </c>
      <c r="R197" s="8" t="s">
        <v>866</v>
      </c>
      <c r="S197" s="8" t="s">
        <v>2364</v>
      </c>
      <c r="T197" s="8"/>
      <c r="U197" s="8"/>
      <c r="V197" s="8"/>
      <c r="W197" s="8"/>
      <c r="X197" s="8"/>
      <c r="Y197" s="8"/>
    </row>
    <row r="198" customHeight="1" spans="2:25">
      <c r="B198" s="7"/>
      <c r="C198" s="8"/>
      <c r="D198" s="3" t="str">
        <f t="shared" si="52"/>
        <v>普渡科技</v>
      </c>
      <c r="E198" s="8"/>
      <c r="F198" s="9"/>
      <c r="G198" s="8"/>
      <c r="H198" s="8"/>
      <c r="I198" s="8"/>
      <c r="J198" s="8"/>
      <c r="K198" s="3" t="str">
        <f t="shared" si="53"/>
        <v>运营中</v>
      </c>
      <c r="L198" s="8"/>
      <c r="M198" s="8"/>
      <c r="N198" s="8"/>
      <c r="O198" s="8"/>
      <c r="P198" s="10">
        <v>44453</v>
      </c>
      <c r="Q198" s="8" t="s">
        <v>791</v>
      </c>
      <c r="R198" s="8" t="s">
        <v>430</v>
      </c>
      <c r="S198" s="8" t="s">
        <v>861</v>
      </c>
      <c r="T198" s="8"/>
      <c r="U198" s="8"/>
      <c r="V198" s="8"/>
      <c r="W198" s="8"/>
      <c r="X198" s="8"/>
      <c r="Y198" s="8"/>
    </row>
    <row r="199" customHeight="1" spans="2:25">
      <c r="B199" s="7"/>
      <c r="C199" s="8"/>
      <c r="D199" s="3" t="str">
        <f t="shared" si="52"/>
        <v>普渡科技</v>
      </c>
      <c r="E199" s="8"/>
      <c r="F199" s="9"/>
      <c r="G199" s="8"/>
      <c r="H199" s="8"/>
      <c r="I199" s="8"/>
      <c r="J199" s="8"/>
      <c r="K199" s="3" t="str">
        <f t="shared" si="53"/>
        <v>运营中</v>
      </c>
      <c r="L199" s="8"/>
      <c r="M199" s="8"/>
      <c r="N199" s="8"/>
      <c r="O199" s="8"/>
      <c r="P199" s="10">
        <v>44438</v>
      </c>
      <c r="Q199" s="8" t="s">
        <v>791</v>
      </c>
      <c r="R199" s="8" t="s">
        <v>430</v>
      </c>
      <c r="S199" s="8" t="s">
        <v>2365</v>
      </c>
      <c r="T199" s="8"/>
      <c r="U199" s="8"/>
      <c r="V199" s="8"/>
      <c r="W199" s="8"/>
      <c r="X199" s="8"/>
      <c r="Y199" s="8"/>
    </row>
    <row r="200" customHeight="1" spans="2:25">
      <c r="B200" s="7"/>
      <c r="C200" s="8"/>
      <c r="D200" s="3" t="str">
        <f t="shared" si="52"/>
        <v>普渡科技</v>
      </c>
      <c r="E200" s="8"/>
      <c r="F200" s="9"/>
      <c r="G200" s="8"/>
      <c r="H200" s="8"/>
      <c r="I200" s="8"/>
      <c r="J200" s="8"/>
      <c r="K200" s="3" t="str">
        <f t="shared" si="53"/>
        <v>运营中</v>
      </c>
      <c r="L200" s="8"/>
      <c r="M200" s="8"/>
      <c r="N200" s="8"/>
      <c r="O200" s="8"/>
      <c r="P200" s="10">
        <v>44333</v>
      </c>
      <c r="Q200" s="8" t="s">
        <v>425</v>
      </c>
      <c r="R200" s="8" t="s">
        <v>863</v>
      </c>
      <c r="S200" s="8" t="s">
        <v>864</v>
      </c>
      <c r="T200" s="8"/>
      <c r="U200" s="8"/>
      <c r="V200" s="8"/>
      <c r="W200" s="8"/>
      <c r="X200" s="8"/>
      <c r="Y200" s="8"/>
    </row>
    <row r="201" customHeight="1" spans="2:25">
      <c r="B201" s="7"/>
      <c r="C201" s="8"/>
      <c r="D201" s="3" t="str">
        <f t="shared" si="52"/>
        <v>普渡科技</v>
      </c>
      <c r="E201" s="8"/>
      <c r="F201" s="9"/>
      <c r="G201" s="8"/>
      <c r="H201" s="8"/>
      <c r="I201" s="8"/>
      <c r="J201" s="8"/>
      <c r="K201" s="3" t="str">
        <f t="shared" si="53"/>
        <v>运营中</v>
      </c>
      <c r="L201" s="8"/>
      <c r="M201" s="8"/>
      <c r="N201" s="8"/>
      <c r="O201" s="8"/>
      <c r="P201" s="10">
        <v>44062</v>
      </c>
      <c r="Q201" s="8" t="s">
        <v>865</v>
      </c>
      <c r="R201" s="8" t="s">
        <v>866</v>
      </c>
      <c r="S201" s="8" t="s">
        <v>867</v>
      </c>
      <c r="T201" s="8"/>
      <c r="U201" s="8"/>
      <c r="V201" s="8"/>
      <c r="W201" s="8"/>
      <c r="X201" s="8"/>
      <c r="Y201" s="8"/>
    </row>
    <row r="202" customHeight="1" spans="2:25">
      <c r="B202" s="7"/>
      <c r="C202" s="8"/>
      <c r="D202" s="3" t="str">
        <f t="shared" si="52"/>
        <v>普渡科技</v>
      </c>
      <c r="E202" s="8"/>
      <c r="F202" s="9"/>
      <c r="G202" s="8"/>
      <c r="H202" s="8"/>
      <c r="I202" s="8"/>
      <c r="J202" s="8"/>
      <c r="K202" s="3" t="str">
        <f t="shared" si="53"/>
        <v>运营中</v>
      </c>
      <c r="L202" s="8"/>
      <c r="M202" s="8"/>
      <c r="N202" s="8"/>
      <c r="O202" s="8"/>
      <c r="P202" s="10">
        <v>44013</v>
      </c>
      <c r="Q202" s="8" t="s">
        <v>868</v>
      </c>
      <c r="R202" s="8" t="s">
        <v>430</v>
      </c>
      <c r="S202" s="8" t="s">
        <v>809</v>
      </c>
      <c r="T202" s="8"/>
      <c r="U202" s="8"/>
      <c r="V202" s="8"/>
      <c r="W202" s="8"/>
      <c r="X202" s="8"/>
      <c r="Y202" s="8"/>
    </row>
    <row r="203" customHeight="1" spans="2:25">
      <c r="B203" s="7"/>
      <c r="C203" s="8"/>
      <c r="D203" s="3" t="str">
        <f t="shared" si="52"/>
        <v>普渡科技</v>
      </c>
      <c r="E203" s="8"/>
      <c r="F203" s="9"/>
      <c r="G203" s="8"/>
      <c r="H203" s="8"/>
      <c r="I203" s="8"/>
      <c r="J203" s="8"/>
      <c r="K203" s="3" t="str">
        <f t="shared" si="53"/>
        <v>运营中</v>
      </c>
      <c r="L203" s="8"/>
      <c r="M203" s="8"/>
      <c r="N203" s="8"/>
      <c r="O203" s="8"/>
      <c r="P203" s="10">
        <v>43373</v>
      </c>
      <c r="Q203" s="8" t="s">
        <v>1180</v>
      </c>
      <c r="R203" s="8" t="s">
        <v>281</v>
      </c>
      <c r="S203" s="8" t="s">
        <v>2366</v>
      </c>
      <c r="T203" s="8"/>
      <c r="U203" s="8"/>
      <c r="V203" s="8"/>
      <c r="W203" s="8"/>
      <c r="X203" s="8"/>
      <c r="Y203" s="8"/>
    </row>
    <row r="204" customHeight="1" spans="2:25">
      <c r="B204" s="7"/>
      <c r="C204" s="8"/>
      <c r="D204" s="3" t="str">
        <f t="shared" si="52"/>
        <v>普渡科技</v>
      </c>
      <c r="E204" s="8"/>
      <c r="F204" s="9"/>
      <c r="G204" s="8"/>
      <c r="H204" s="8"/>
      <c r="I204" s="8"/>
      <c r="J204" s="8"/>
      <c r="K204" s="3" t="str">
        <f t="shared" si="53"/>
        <v>运营中</v>
      </c>
      <c r="L204" s="8"/>
      <c r="M204" s="8"/>
      <c r="N204" s="8"/>
      <c r="O204" s="8"/>
      <c r="P204" s="10">
        <v>43259</v>
      </c>
      <c r="Q204" s="8" t="s">
        <v>1167</v>
      </c>
      <c r="R204" s="8" t="s">
        <v>1778</v>
      </c>
      <c r="S204" s="8" t="s">
        <v>2367</v>
      </c>
      <c r="T204" s="8"/>
      <c r="U204" s="8"/>
      <c r="V204" s="8"/>
      <c r="W204" s="8"/>
      <c r="X204" s="8"/>
      <c r="Y204" s="8"/>
    </row>
    <row r="205" customHeight="1" spans="2:25">
      <c r="B205" s="7"/>
      <c r="C205" s="8"/>
      <c r="D205" s="3" t="str">
        <f t="shared" si="52"/>
        <v>普渡科技</v>
      </c>
      <c r="E205" s="8"/>
      <c r="F205" s="9"/>
      <c r="G205" s="8"/>
      <c r="H205" s="8"/>
      <c r="I205" s="8"/>
      <c r="J205" s="8"/>
      <c r="K205" s="3" t="str">
        <f t="shared" si="53"/>
        <v>运营中</v>
      </c>
      <c r="L205" s="8"/>
      <c r="M205" s="8"/>
      <c r="N205" s="8"/>
      <c r="O205" s="8"/>
      <c r="P205" s="10">
        <v>42888</v>
      </c>
      <c r="Q205" s="8" t="s">
        <v>1169</v>
      </c>
      <c r="R205" s="8" t="s">
        <v>281</v>
      </c>
      <c r="S205" s="8" t="s">
        <v>262</v>
      </c>
      <c r="T205" s="8"/>
      <c r="U205" s="8"/>
      <c r="V205" s="8"/>
      <c r="W205" s="8"/>
      <c r="X205" s="8"/>
      <c r="Y205" s="8"/>
    </row>
    <row r="206" customHeight="1" spans="2:25">
      <c r="B206" s="7"/>
      <c r="C206" s="8"/>
      <c r="D206" s="3" t="str">
        <f t="shared" si="52"/>
        <v>普渡科技</v>
      </c>
      <c r="E206" s="8"/>
      <c r="F206" s="9"/>
      <c r="G206" s="8"/>
      <c r="H206" s="8"/>
      <c r="I206" s="8"/>
      <c r="J206" s="8"/>
      <c r="K206" s="3" t="str">
        <f t="shared" si="53"/>
        <v>运营中</v>
      </c>
      <c r="L206" s="8"/>
      <c r="M206" s="8"/>
      <c r="N206" s="8"/>
      <c r="O206" s="8"/>
      <c r="P206" s="10">
        <v>42534</v>
      </c>
      <c r="Q206" s="8" t="s">
        <v>1875</v>
      </c>
      <c r="R206" s="8" t="s">
        <v>1952</v>
      </c>
      <c r="S206" s="8" t="s">
        <v>2368</v>
      </c>
      <c r="T206" s="8"/>
      <c r="U206" s="8"/>
      <c r="V206" s="8"/>
      <c r="W206" s="8"/>
      <c r="X206" s="8"/>
      <c r="Y206" s="8"/>
    </row>
    <row r="207" ht="42.5" customHeight="1" spans="2:25">
      <c r="B207" s="7"/>
      <c r="C207" s="8" t="s">
        <v>872</v>
      </c>
      <c r="D207" s="8" t="s">
        <v>874</v>
      </c>
      <c r="E207" s="8" t="s">
        <v>874</v>
      </c>
      <c r="F207" s="9" t="s">
        <v>875</v>
      </c>
      <c r="G207" s="8" t="s">
        <v>2369</v>
      </c>
      <c r="H207" s="8" t="s">
        <v>877</v>
      </c>
      <c r="I207" s="8" t="s">
        <v>401</v>
      </c>
      <c r="J207" s="8" t="s">
        <v>807</v>
      </c>
      <c r="K207" s="8" t="s">
        <v>278</v>
      </c>
      <c r="L207" s="8" t="s">
        <v>278</v>
      </c>
      <c r="M207" s="8" t="s">
        <v>62</v>
      </c>
      <c r="N207" s="8" t="s">
        <v>878</v>
      </c>
      <c r="O207" s="8"/>
      <c r="P207" s="10">
        <v>44201</v>
      </c>
      <c r="Q207" s="8" t="s">
        <v>280</v>
      </c>
      <c r="R207" s="8" t="s">
        <v>281</v>
      </c>
      <c r="S207" s="8" t="s">
        <v>809</v>
      </c>
      <c r="T207" s="8" t="s">
        <v>810</v>
      </c>
      <c r="U207" s="8" t="s">
        <v>284</v>
      </c>
      <c r="V207" s="8" t="s">
        <v>879</v>
      </c>
      <c r="W207" s="8" t="s">
        <v>2370</v>
      </c>
      <c r="X207" s="8" t="s">
        <v>881</v>
      </c>
      <c r="Y207" s="8" t="s">
        <v>882</v>
      </c>
    </row>
    <row r="208" customHeight="1" spans="2:25">
      <c r="B208" s="7"/>
      <c r="C208" s="8" t="s">
        <v>883</v>
      </c>
      <c r="D208" s="3" t="s">
        <v>885</v>
      </c>
      <c r="E208" s="8" t="s">
        <v>885</v>
      </c>
      <c r="F208" s="9" t="s">
        <v>886</v>
      </c>
      <c r="G208" s="8" t="s">
        <v>2371</v>
      </c>
      <c r="H208" s="8" t="s">
        <v>888</v>
      </c>
      <c r="I208" s="8" t="s">
        <v>889</v>
      </c>
      <c r="J208" s="8" t="s">
        <v>890</v>
      </c>
      <c r="K208" s="3" t="s">
        <v>278</v>
      </c>
      <c r="L208" s="8" t="s">
        <v>278</v>
      </c>
      <c r="M208" s="8" t="s">
        <v>19</v>
      </c>
      <c r="N208" s="8" t="s">
        <v>891</v>
      </c>
      <c r="O208" s="8"/>
      <c r="P208" s="10">
        <v>44705</v>
      </c>
      <c r="Q208" s="8" t="s">
        <v>868</v>
      </c>
      <c r="R208" s="8" t="s">
        <v>892</v>
      </c>
      <c r="S208" s="8" t="s">
        <v>893</v>
      </c>
      <c r="T208" s="8" t="s">
        <v>894</v>
      </c>
      <c r="U208" s="8" t="s">
        <v>895</v>
      </c>
      <c r="V208" s="8" t="s">
        <v>896</v>
      </c>
      <c r="W208" s="8" t="s">
        <v>2372</v>
      </c>
      <c r="X208" s="8" t="s">
        <v>898</v>
      </c>
      <c r="Y208" s="8" t="s">
        <v>899</v>
      </c>
    </row>
    <row r="209" customHeight="1" spans="2:25">
      <c r="B209" s="7"/>
      <c r="C209" s="8"/>
      <c r="D209" s="3" t="str">
        <f t="shared" ref="D209:D214" si="54">D208</f>
        <v>史河科技</v>
      </c>
      <c r="E209" s="8"/>
      <c r="F209" s="9"/>
      <c r="G209" s="8"/>
      <c r="H209" s="8"/>
      <c r="I209" s="8"/>
      <c r="J209" s="8"/>
      <c r="K209" s="3" t="str">
        <f t="shared" ref="K209:K214" si="55">K208</f>
        <v>运营中</v>
      </c>
      <c r="L209" s="8"/>
      <c r="M209" s="8"/>
      <c r="N209" s="8"/>
      <c r="O209" s="8"/>
      <c r="P209" s="10">
        <v>44200</v>
      </c>
      <c r="Q209" s="8" t="s">
        <v>1167</v>
      </c>
      <c r="R209" s="8" t="s">
        <v>866</v>
      </c>
      <c r="S209" s="8" t="s">
        <v>2373</v>
      </c>
      <c r="T209" s="8"/>
      <c r="U209" s="8"/>
      <c r="V209" s="8"/>
      <c r="W209" s="8"/>
      <c r="X209" s="8"/>
      <c r="Y209" s="8"/>
    </row>
    <row r="210" customHeight="1" spans="2:25">
      <c r="B210" s="7"/>
      <c r="C210" s="8"/>
      <c r="D210" s="3" t="str">
        <f t="shared" si="54"/>
        <v>史河科技</v>
      </c>
      <c r="E210" s="8"/>
      <c r="F210" s="9"/>
      <c r="G210" s="8"/>
      <c r="H210" s="8"/>
      <c r="I210" s="8"/>
      <c r="J210" s="8"/>
      <c r="K210" s="3" t="str">
        <f t="shared" si="55"/>
        <v>运营中</v>
      </c>
      <c r="L210" s="8"/>
      <c r="M210" s="8"/>
      <c r="N210" s="8"/>
      <c r="O210" s="8"/>
      <c r="P210" s="10">
        <v>43896</v>
      </c>
      <c r="Q210" s="8" t="s">
        <v>280</v>
      </c>
      <c r="R210" s="8" t="s">
        <v>281</v>
      </c>
      <c r="S210" s="8" t="s">
        <v>2374</v>
      </c>
      <c r="T210" s="8"/>
      <c r="U210" s="8"/>
      <c r="V210" s="8"/>
      <c r="W210" s="8"/>
      <c r="X210" s="8"/>
      <c r="Y210" s="8"/>
    </row>
    <row r="211" customHeight="1" spans="2:25">
      <c r="B211" s="7"/>
      <c r="C211" s="8"/>
      <c r="D211" s="3" t="str">
        <f t="shared" si="54"/>
        <v>史河科技</v>
      </c>
      <c r="E211" s="8"/>
      <c r="F211" s="9"/>
      <c r="G211" s="8"/>
      <c r="H211" s="8"/>
      <c r="I211" s="8"/>
      <c r="J211" s="8"/>
      <c r="K211" s="3" t="str">
        <f t="shared" si="55"/>
        <v>运营中</v>
      </c>
      <c r="L211" s="8"/>
      <c r="M211" s="8"/>
      <c r="N211" s="8"/>
      <c r="O211" s="8"/>
      <c r="P211" s="10">
        <v>43739</v>
      </c>
      <c r="Q211" s="8" t="s">
        <v>1169</v>
      </c>
      <c r="R211" s="8" t="s">
        <v>2343</v>
      </c>
      <c r="S211" s="8" t="s">
        <v>2375</v>
      </c>
      <c r="T211" s="8"/>
      <c r="U211" s="8"/>
      <c r="V211" s="8"/>
      <c r="W211" s="8"/>
      <c r="X211" s="8"/>
      <c r="Y211" s="8"/>
    </row>
    <row r="212" customHeight="1" spans="2:25">
      <c r="B212" s="7"/>
      <c r="C212" s="8"/>
      <c r="D212" s="3" t="str">
        <f t="shared" si="54"/>
        <v>史河科技</v>
      </c>
      <c r="E212" s="8"/>
      <c r="F212" s="9"/>
      <c r="G212" s="8"/>
      <c r="H212" s="8"/>
      <c r="I212" s="8"/>
      <c r="J212" s="8"/>
      <c r="K212" s="3" t="str">
        <f t="shared" si="55"/>
        <v>运营中</v>
      </c>
      <c r="L212" s="8"/>
      <c r="M212" s="8"/>
      <c r="N212" s="8"/>
      <c r="O212" s="8"/>
      <c r="P212" s="10">
        <v>43440</v>
      </c>
      <c r="Q212" s="8" t="s">
        <v>1169</v>
      </c>
      <c r="R212" s="8" t="s">
        <v>1963</v>
      </c>
      <c r="S212" s="8" t="s">
        <v>2376</v>
      </c>
      <c r="T212" s="8"/>
      <c r="U212" s="8"/>
      <c r="V212" s="8"/>
      <c r="W212" s="8"/>
      <c r="X212" s="8"/>
      <c r="Y212" s="8"/>
    </row>
    <row r="213" customHeight="1" spans="2:25">
      <c r="B213" s="7"/>
      <c r="C213" s="8"/>
      <c r="D213" s="3" t="str">
        <f t="shared" si="54"/>
        <v>史河科技</v>
      </c>
      <c r="E213" s="8"/>
      <c r="F213" s="9"/>
      <c r="G213" s="8"/>
      <c r="H213" s="8"/>
      <c r="I213" s="8"/>
      <c r="J213" s="8"/>
      <c r="K213" s="3" t="str">
        <f t="shared" si="55"/>
        <v>运营中</v>
      </c>
      <c r="L213" s="8"/>
      <c r="M213" s="8"/>
      <c r="N213" s="8"/>
      <c r="O213" s="8"/>
      <c r="P213" s="10">
        <v>43209</v>
      </c>
      <c r="Q213" s="8" t="s">
        <v>1875</v>
      </c>
      <c r="R213" s="8" t="s">
        <v>1816</v>
      </c>
      <c r="S213" s="8" t="s">
        <v>2377</v>
      </c>
      <c r="T213" s="8"/>
      <c r="U213" s="8"/>
      <c r="V213" s="8"/>
      <c r="W213" s="8"/>
      <c r="X213" s="8"/>
      <c r="Y213" s="8"/>
    </row>
    <row r="214" customHeight="1" spans="2:25">
      <c r="B214" s="7"/>
      <c r="C214" s="8"/>
      <c r="D214" s="3" t="str">
        <f t="shared" si="54"/>
        <v>史河科技</v>
      </c>
      <c r="E214" s="8"/>
      <c r="F214" s="9"/>
      <c r="G214" s="8"/>
      <c r="H214" s="8"/>
      <c r="I214" s="8"/>
      <c r="J214" s="8"/>
      <c r="K214" s="3" t="str">
        <f t="shared" si="55"/>
        <v>运营中</v>
      </c>
      <c r="L214" s="8"/>
      <c r="M214" s="8"/>
      <c r="N214" s="8"/>
      <c r="O214" s="8"/>
      <c r="P214" s="10">
        <v>42403</v>
      </c>
      <c r="Q214" s="8" t="s">
        <v>2378</v>
      </c>
      <c r="R214" s="8" t="s">
        <v>281</v>
      </c>
      <c r="S214" s="8" t="s">
        <v>2379</v>
      </c>
      <c r="T214" s="8"/>
      <c r="U214" s="8"/>
      <c r="V214" s="8"/>
      <c r="W214" s="8"/>
      <c r="X214" s="8"/>
      <c r="Y214" s="8"/>
    </row>
    <row r="215" customHeight="1" spans="2:25">
      <c r="B215" s="7"/>
      <c r="C215" s="8" t="s">
        <v>907</v>
      </c>
      <c r="D215" s="3" t="s">
        <v>2380</v>
      </c>
      <c r="E215" s="8" t="s">
        <v>2380</v>
      </c>
      <c r="F215" s="9" t="s">
        <v>2381</v>
      </c>
      <c r="G215" s="8" t="s">
        <v>2382</v>
      </c>
      <c r="H215" s="8" t="s">
        <v>911</v>
      </c>
      <c r="I215" s="8" t="s">
        <v>912</v>
      </c>
      <c r="J215" s="8" t="s">
        <v>2073</v>
      </c>
      <c r="K215" s="3" t="s">
        <v>278</v>
      </c>
      <c r="L215" s="8" t="s">
        <v>278</v>
      </c>
      <c r="M215" s="8" t="s">
        <v>19</v>
      </c>
      <c r="N215" s="8" t="s">
        <v>891</v>
      </c>
      <c r="O215" s="8"/>
      <c r="P215" s="10">
        <v>44741</v>
      </c>
      <c r="Q215" s="8" t="s">
        <v>865</v>
      </c>
      <c r="R215" s="8" t="s">
        <v>556</v>
      </c>
      <c r="S215" s="8" t="s">
        <v>262</v>
      </c>
      <c r="T215" s="8" t="s">
        <v>2383</v>
      </c>
      <c r="U215" s="8" t="s">
        <v>2384</v>
      </c>
      <c r="V215" s="8" t="s">
        <v>2385</v>
      </c>
      <c r="W215" s="8" t="s">
        <v>2386</v>
      </c>
      <c r="X215" s="8" t="s">
        <v>917</v>
      </c>
      <c r="Y215" s="8" t="s">
        <v>918</v>
      </c>
    </row>
    <row r="216" customHeight="1" spans="2:25">
      <c r="B216" s="7"/>
      <c r="C216" s="8"/>
      <c r="D216" s="3" t="str">
        <f t="shared" ref="D216:D218" si="56">D215</f>
        <v>Flexiv非夕</v>
      </c>
      <c r="E216" s="8"/>
      <c r="F216" s="9"/>
      <c r="G216" s="8"/>
      <c r="H216" s="8"/>
      <c r="I216" s="8"/>
      <c r="J216" s="8"/>
      <c r="K216" s="3" t="str">
        <f t="shared" ref="K216:K218" si="57">K215</f>
        <v>运营中</v>
      </c>
      <c r="L216" s="8"/>
      <c r="M216" s="8"/>
      <c r="N216" s="8"/>
      <c r="O216" s="8"/>
      <c r="P216" s="10">
        <v>44196</v>
      </c>
      <c r="Q216" s="8" t="s">
        <v>868</v>
      </c>
      <c r="R216" s="8" t="s">
        <v>919</v>
      </c>
      <c r="S216" s="8" t="s">
        <v>920</v>
      </c>
      <c r="T216" s="8"/>
      <c r="U216" s="8"/>
      <c r="V216" s="8"/>
      <c r="W216" s="8"/>
      <c r="X216" s="8"/>
      <c r="Y216" s="8"/>
    </row>
    <row r="217" customHeight="1" spans="2:25">
      <c r="B217" s="7"/>
      <c r="C217" s="8"/>
      <c r="D217" s="3" t="str">
        <f t="shared" si="56"/>
        <v>Flexiv非夕</v>
      </c>
      <c r="E217" s="8"/>
      <c r="F217" s="9"/>
      <c r="G217" s="8"/>
      <c r="H217" s="8"/>
      <c r="I217" s="8"/>
      <c r="J217" s="8"/>
      <c r="K217" s="3" t="str">
        <f t="shared" si="57"/>
        <v>运营中</v>
      </c>
      <c r="L217" s="8"/>
      <c r="M217" s="8"/>
      <c r="N217" s="8"/>
      <c r="O217" s="8"/>
      <c r="P217" s="10">
        <v>42777</v>
      </c>
      <c r="Q217" s="8" t="s">
        <v>1167</v>
      </c>
      <c r="R217" s="8" t="s">
        <v>2019</v>
      </c>
      <c r="S217" s="8" t="s">
        <v>2387</v>
      </c>
      <c r="T217" s="8"/>
      <c r="U217" s="8"/>
      <c r="V217" s="8"/>
      <c r="W217" s="8"/>
      <c r="X217" s="8"/>
      <c r="Y217" s="8"/>
    </row>
    <row r="218" customHeight="1" spans="2:25">
      <c r="B218" s="7"/>
      <c r="C218" s="8"/>
      <c r="D218" s="3" t="str">
        <f t="shared" si="56"/>
        <v>Flexiv非夕</v>
      </c>
      <c r="E218" s="8"/>
      <c r="F218" s="9"/>
      <c r="G218" s="8"/>
      <c r="H218" s="8"/>
      <c r="I218" s="8"/>
      <c r="J218" s="8"/>
      <c r="K218" s="3" t="str">
        <f t="shared" si="57"/>
        <v>运营中</v>
      </c>
      <c r="L218" s="8"/>
      <c r="M218" s="8"/>
      <c r="N218" s="8"/>
      <c r="O218" s="8"/>
      <c r="P218" s="10">
        <v>42705</v>
      </c>
      <c r="Q218" s="8" t="s">
        <v>1875</v>
      </c>
      <c r="R218" s="8" t="s">
        <v>2388</v>
      </c>
      <c r="S218" s="8" t="s">
        <v>2135</v>
      </c>
      <c r="T218" s="8"/>
      <c r="U218" s="8"/>
      <c r="V218" s="8"/>
      <c r="W218" s="8"/>
      <c r="X218" s="8"/>
      <c r="Y218" s="8"/>
    </row>
    <row r="219" ht="68" customHeight="1" spans="2:25">
      <c r="B219" s="7"/>
      <c r="C219" s="8" t="s">
        <v>923</v>
      </c>
      <c r="D219" s="8" t="s">
        <v>2389</v>
      </c>
      <c r="E219" s="8" t="s">
        <v>2389</v>
      </c>
      <c r="F219" s="9" t="s">
        <v>2390</v>
      </c>
      <c r="G219" s="8" t="s">
        <v>2391</v>
      </c>
      <c r="H219" s="8" t="s">
        <v>927</v>
      </c>
      <c r="I219" s="8" t="s">
        <v>928</v>
      </c>
      <c r="J219" s="8" t="s">
        <v>2267</v>
      </c>
      <c r="K219" s="8" t="s">
        <v>278</v>
      </c>
      <c r="L219" s="8" t="s">
        <v>278</v>
      </c>
      <c r="M219" s="8" t="s">
        <v>23</v>
      </c>
      <c r="N219" s="8" t="s">
        <v>554</v>
      </c>
      <c r="O219" s="8"/>
      <c r="P219" s="10">
        <v>42907</v>
      </c>
      <c r="Q219" s="8" t="s">
        <v>1167</v>
      </c>
      <c r="R219" s="8" t="s">
        <v>430</v>
      </c>
      <c r="S219" s="8" t="s">
        <v>809</v>
      </c>
      <c r="T219" s="8" t="s">
        <v>2009</v>
      </c>
      <c r="U219" s="8" t="s">
        <v>1085</v>
      </c>
      <c r="V219" s="8" t="s">
        <v>2392</v>
      </c>
      <c r="W219" s="8" t="s">
        <v>2393</v>
      </c>
      <c r="X219" s="8"/>
      <c r="Y219" s="8" t="s">
        <v>932</v>
      </c>
    </row>
    <row r="220" ht="68" customHeight="1" spans="2:25">
      <c r="B220" s="7"/>
      <c r="C220" s="8" t="s">
        <v>933</v>
      </c>
      <c r="D220" s="8" t="s">
        <v>2394</v>
      </c>
      <c r="E220" s="8" t="s">
        <v>2394</v>
      </c>
      <c r="F220" s="9" t="s">
        <v>2395</v>
      </c>
      <c r="G220" s="8" t="s">
        <v>2396</v>
      </c>
      <c r="H220" s="8"/>
      <c r="I220" s="8" t="s">
        <v>937</v>
      </c>
      <c r="J220" s="8" t="s">
        <v>2397</v>
      </c>
      <c r="K220" s="8" t="s">
        <v>278</v>
      </c>
      <c r="L220" s="8" t="s">
        <v>278</v>
      </c>
      <c r="M220" s="8" t="s">
        <v>27</v>
      </c>
      <c r="N220" s="8" t="s">
        <v>2057</v>
      </c>
      <c r="O220" s="8"/>
      <c r="P220" s="10">
        <v>42871</v>
      </c>
      <c r="Q220" s="8" t="s">
        <v>1875</v>
      </c>
      <c r="R220" s="8" t="s">
        <v>2398</v>
      </c>
      <c r="S220" s="8" t="s">
        <v>2399</v>
      </c>
      <c r="T220" s="8" t="s">
        <v>2400</v>
      </c>
      <c r="U220" s="8" t="s">
        <v>2401</v>
      </c>
      <c r="V220" s="8" t="s">
        <v>2402</v>
      </c>
      <c r="W220" s="8" t="s">
        <v>2403</v>
      </c>
      <c r="X220" s="8"/>
      <c r="Y220" s="8"/>
    </row>
    <row r="221" customHeight="1" spans="2:25">
      <c r="B221" s="7"/>
      <c r="C221" s="8" t="s">
        <v>945</v>
      </c>
      <c r="D221" s="3" t="s">
        <v>947</v>
      </c>
      <c r="E221" s="8" t="s">
        <v>947</v>
      </c>
      <c r="F221" s="9" t="s">
        <v>948</v>
      </c>
      <c r="G221" s="8" t="s">
        <v>2404</v>
      </c>
      <c r="H221" s="8" t="s">
        <v>950</v>
      </c>
      <c r="I221" s="8" t="s">
        <v>951</v>
      </c>
      <c r="J221" s="8" t="s">
        <v>952</v>
      </c>
      <c r="K221" s="3" t="s">
        <v>278</v>
      </c>
      <c r="L221" s="8" t="s">
        <v>278</v>
      </c>
      <c r="M221" s="8" t="s">
        <v>19</v>
      </c>
      <c r="N221" s="8" t="s">
        <v>891</v>
      </c>
      <c r="O221" s="8"/>
      <c r="P221" s="10">
        <v>44681</v>
      </c>
      <c r="Q221" s="8" t="s">
        <v>791</v>
      </c>
      <c r="R221" s="8" t="s">
        <v>953</v>
      </c>
      <c r="S221" s="8" t="s">
        <v>954</v>
      </c>
      <c r="T221" s="8" t="s">
        <v>955</v>
      </c>
      <c r="U221" s="8" t="s">
        <v>956</v>
      </c>
      <c r="V221" s="8" t="s">
        <v>957</v>
      </c>
      <c r="W221" s="8" t="s">
        <v>2405</v>
      </c>
      <c r="X221" s="8" t="s">
        <v>959</v>
      </c>
      <c r="Y221" s="8" t="s">
        <v>960</v>
      </c>
    </row>
    <row r="222" customHeight="1" spans="2:25">
      <c r="B222" s="7"/>
      <c r="C222" s="8"/>
      <c r="D222" s="3" t="str">
        <f t="shared" ref="D222:D226" si="58">D221</f>
        <v>未来机器人</v>
      </c>
      <c r="E222" s="8"/>
      <c r="F222" s="9"/>
      <c r="G222" s="8"/>
      <c r="H222" s="8"/>
      <c r="I222" s="8"/>
      <c r="J222" s="8"/>
      <c r="K222" s="3" t="str">
        <f t="shared" ref="K222:K226" si="59">K221</f>
        <v>运营中</v>
      </c>
      <c r="L222" s="8"/>
      <c r="M222" s="8"/>
      <c r="N222" s="8"/>
      <c r="O222" s="8"/>
      <c r="P222" s="10">
        <v>44469</v>
      </c>
      <c r="Q222" s="8" t="s">
        <v>425</v>
      </c>
      <c r="R222" s="8" t="s">
        <v>430</v>
      </c>
      <c r="S222" s="8" t="s">
        <v>2406</v>
      </c>
      <c r="T222" s="8"/>
      <c r="U222" s="8"/>
      <c r="V222" s="8"/>
      <c r="W222" s="8"/>
      <c r="X222" s="8"/>
      <c r="Y222" s="8"/>
    </row>
    <row r="223" customHeight="1" spans="2:25">
      <c r="B223" s="7"/>
      <c r="C223" s="8"/>
      <c r="D223" s="3" t="str">
        <f t="shared" si="58"/>
        <v>未来机器人</v>
      </c>
      <c r="E223" s="8"/>
      <c r="F223" s="9"/>
      <c r="G223" s="8"/>
      <c r="H223" s="8"/>
      <c r="I223" s="8"/>
      <c r="J223" s="8"/>
      <c r="K223" s="3" t="str">
        <f t="shared" si="59"/>
        <v>运营中</v>
      </c>
      <c r="L223" s="8"/>
      <c r="M223" s="8"/>
      <c r="N223" s="8"/>
      <c r="O223" s="8"/>
      <c r="P223" s="10">
        <v>44308</v>
      </c>
      <c r="Q223" s="8" t="s">
        <v>865</v>
      </c>
      <c r="R223" s="8" t="s">
        <v>281</v>
      </c>
      <c r="S223" s="8" t="s">
        <v>2407</v>
      </c>
      <c r="T223" s="8"/>
      <c r="U223" s="8"/>
      <c r="V223" s="8"/>
      <c r="W223" s="8"/>
      <c r="X223" s="8"/>
      <c r="Y223" s="8"/>
    </row>
    <row r="224" customHeight="1" spans="2:25">
      <c r="B224" s="7"/>
      <c r="C224" s="8"/>
      <c r="D224" s="3" t="str">
        <f t="shared" si="58"/>
        <v>未来机器人</v>
      </c>
      <c r="E224" s="8"/>
      <c r="F224" s="9"/>
      <c r="G224" s="8"/>
      <c r="H224" s="8"/>
      <c r="I224" s="8"/>
      <c r="J224" s="8"/>
      <c r="K224" s="3" t="str">
        <f t="shared" si="59"/>
        <v>运营中</v>
      </c>
      <c r="L224" s="8"/>
      <c r="M224" s="8"/>
      <c r="N224" s="8"/>
      <c r="O224" s="8"/>
      <c r="P224" s="10">
        <v>43997</v>
      </c>
      <c r="Q224" s="8" t="s">
        <v>868</v>
      </c>
      <c r="R224" s="8" t="s">
        <v>866</v>
      </c>
      <c r="S224" s="8" t="s">
        <v>2408</v>
      </c>
      <c r="T224" s="8"/>
      <c r="U224" s="8"/>
      <c r="V224" s="8"/>
      <c r="W224" s="8"/>
      <c r="X224" s="8"/>
      <c r="Y224" s="8"/>
    </row>
    <row r="225" customHeight="1" spans="2:25">
      <c r="B225" s="7"/>
      <c r="C225" s="8"/>
      <c r="D225" s="3" t="str">
        <f t="shared" si="58"/>
        <v>未来机器人</v>
      </c>
      <c r="E225" s="8"/>
      <c r="F225" s="9"/>
      <c r="G225" s="8"/>
      <c r="H225" s="8"/>
      <c r="I225" s="8"/>
      <c r="J225" s="8"/>
      <c r="K225" s="3" t="str">
        <f t="shared" si="59"/>
        <v>运营中</v>
      </c>
      <c r="L225" s="8"/>
      <c r="M225" s="8"/>
      <c r="N225" s="8"/>
      <c r="O225" s="8"/>
      <c r="P225" s="10">
        <v>43245</v>
      </c>
      <c r="Q225" s="8" t="s">
        <v>1167</v>
      </c>
      <c r="R225" s="8" t="s">
        <v>281</v>
      </c>
      <c r="S225" s="8" t="s">
        <v>2409</v>
      </c>
      <c r="T225" s="8"/>
      <c r="U225" s="8"/>
      <c r="V225" s="8"/>
      <c r="W225" s="8"/>
      <c r="X225" s="8"/>
      <c r="Y225" s="8"/>
    </row>
    <row r="226" customHeight="1" spans="2:25">
      <c r="B226" s="7"/>
      <c r="C226" s="8"/>
      <c r="D226" s="3" t="str">
        <f t="shared" si="58"/>
        <v>未来机器人</v>
      </c>
      <c r="E226" s="8"/>
      <c r="F226" s="9"/>
      <c r="G226" s="8"/>
      <c r="H226" s="8"/>
      <c r="I226" s="8"/>
      <c r="J226" s="8"/>
      <c r="K226" s="3" t="str">
        <f t="shared" si="59"/>
        <v>运营中</v>
      </c>
      <c r="L226" s="8"/>
      <c r="M226" s="8"/>
      <c r="N226" s="8"/>
      <c r="O226" s="8"/>
      <c r="P226" s="10">
        <v>42494</v>
      </c>
      <c r="Q226" s="8" t="s">
        <v>1875</v>
      </c>
      <c r="R226" s="8" t="s">
        <v>281</v>
      </c>
      <c r="S226" s="8" t="s">
        <v>2410</v>
      </c>
      <c r="T226" s="8"/>
      <c r="U226" s="8"/>
      <c r="V226" s="8"/>
      <c r="W226" s="8"/>
      <c r="X226" s="8"/>
      <c r="Y226" s="8"/>
    </row>
    <row r="227" customHeight="1" spans="2:25">
      <c r="B227" s="7"/>
      <c r="C227" s="8" t="s">
        <v>966</v>
      </c>
      <c r="D227" s="3" t="s">
        <v>2411</v>
      </c>
      <c r="E227" s="8" t="s">
        <v>2411</v>
      </c>
      <c r="F227" s="9" t="s">
        <v>2412</v>
      </c>
      <c r="G227" s="8" t="s">
        <v>2413</v>
      </c>
      <c r="H227" s="8" t="s">
        <v>970</v>
      </c>
      <c r="I227" s="8" t="s">
        <v>971</v>
      </c>
      <c r="J227" s="8" t="s">
        <v>1096</v>
      </c>
      <c r="K227" s="3" t="s">
        <v>278</v>
      </c>
      <c r="L227" s="8" t="s">
        <v>278</v>
      </c>
      <c r="M227" s="8" t="s">
        <v>10</v>
      </c>
      <c r="N227" s="8" t="s">
        <v>279</v>
      </c>
      <c r="O227" s="8"/>
      <c r="P227" s="10">
        <v>43028</v>
      </c>
      <c r="Q227" s="8" t="s">
        <v>1167</v>
      </c>
      <c r="R227" s="8" t="s">
        <v>430</v>
      </c>
      <c r="S227" s="8" t="s">
        <v>2414</v>
      </c>
      <c r="T227" s="8" t="s">
        <v>2415</v>
      </c>
      <c r="U227" s="8" t="s">
        <v>1085</v>
      </c>
      <c r="V227" s="8" t="s">
        <v>2416</v>
      </c>
      <c r="W227" s="8" t="s">
        <v>2417</v>
      </c>
      <c r="X227" s="8" t="s">
        <v>977</v>
      </c>
      <c r="Y227" s="8" t="s">
        <v>978</v>
      </c>
    </row>
    <row r="228" ht="32.5" customHeight="1" spans="2:25">
      <c r="B228" s="7"/>
      <c r="C228" s="8"/>
      <c r="D228" s="3" t="str">
        <f>D227</f>
        <v>大家来</v>
      </c>
      <c r="E228" s="8"/>
      <c r="F228" s="9"/>
      <c r="G228" s="8"/>
      <c r="H228" s="8"/>
      <c r="I228" s="8"/>
      <c r="J228" s="8"/>
      <c r="K228" s="3" t="str">
        <f>K227</f>
        <v>运营中</v>
      </c>
      <c r="L228" s="8"/>
      <c r="M228" s="8"/>
      <c r="N228" s="8"/>
      <c r="O228" s="8"/>
      <c r="P228" s="10">
        <v>42175</v>
      </c>
      <c r="Q228" s="8" t="s">
        <v>1875</v>
      </c>
      <c r="R228" s="8" t="s">
        <v>1963</v>
      </c>
      <c r="S228" s="8" t="s">
        <v>2418</v>
      </c>
      <c r="T228" s="8"/>
      <c r="U228" s="8"/>
      <c r="V228" s="8"/>
      <c r="W228" s="8"/>
      <c r="X228" s="8"/>
      <c r="Y228" s="8"/>
    </row>
    <row r="229" customHeight="1" spans="2:25">
      <c r="B229" s="7"/>
      <c r="C229" s="8" t="s">
        <v>980</v>
      </c>
      <c r="D229" s="3" t="s">
        <v>982</v>
      </c>
      <c r="E229" s="8" t="s">
        <v>982</v>
      </c>
      <c r="F229" s="9" t="s">
        <v>983</v>
      </c>
      <c r="G229" s="8" t="s">
        <v>2419</v>
      </c>
      <c r="H229" s="8" t="s">
        <v>985</v>
      </c>
      <c r="I229" s="8" t="s">
        <v>986</v>
      </c>
      <c r="J229" s="8" t="s">
        <v>987</v>
      </c>
      <c r="K229" s="3" t="s">
        <v>278</v>
      </c>
      <c r="L229" s="8" t="s">
        <v>278</v>
      </c>
      <c r="M229" s="8" t="s">
        <v>44</v>
      </c>
      <c r="N229" s="8" t="s">
        <v>988</v>
      </c>
      <c r="O229" s="8"/>
      <c r="P229" s="10">
        <v>44917</v>
      </c>
      <c r="Q229" s="8" t="s">
        <v>425</v>
      </c>
      <c r="R229" s="8" t="s">
        <v>989</v>
      </c>
      <c r="S229" s="8" t="s">
        <v>990</v>
      </c>
      <c r="T229" s="8" t="s">
        <v>991</v>
      </c>
      <c r="U229" s="8" t="s">
        <v>992</v>
      </c>
      <c r="V229" s="8" t="s">
        <v>993</v>
      </c>
      <c r="W229" s="8" t="s">
        <v>2420</v>
      </c>
      <c r="X229" s="8" t="s">
        <v>995</v>
      </c>
      <c r="Y229" s="8" t="s">
        <v>996</v>
      </c>
    </row>
    <row r="230" customHeight="1" spans="2:25">
      <c r="B230" s="7"/>
      <c r="C230" s="8"/>
      <c r="D230" s="3" t="str">
        <f t="shared" ref="D230:D234" si="60">D229</f>
        <v>齐碳科技</v>
      </c>
      <c r="E230" s="8"/>
      <c r="F230" s="9"/>
      <c r="G230" s="8"/>
      <c r="H230" s="8"/>
      <c r="I230" s="8"/>
      <c r="J230" s="8"/>
      <c r="K230" s="3" t="str">
        <f t="shared" ref="K230:K234" si="61">K229</f>
        <v>运营中</v>
      </c>
      <c r="L230" s="8"/>
      <c r="M230" s="8"/>
      <c r="N230" s="8"/>
      <c r="O230" s="8"/>
      <c r="P230" s="10">
        <v>44355</v>
      </c>
      <c r="Q230" s="8" t="s">
        <v>868</v>
      </c>
      <c r="R230" s="8" t="s">
        <v>1581</v>
      </c>
      <c r="S230" s="8" t="s">
        <v>2421</v>
      </c>
      <c r="T230" s="8"/>
      <c r="U230" s="8"/>
      <c r="V230" s="8"/>
      <c r="W230" s="8"/>
      <c r="X230" s="8"/>
      <c r="Y230" s="8"/>
    </row>
    <row r="231" customHeight="1" spans="2:25">
      <c r="B231" s="7"/>
      <c r="C231" s="8"/>
      <c r="D231" s="3" t="str">
        <f t="shared" si="60"/>
        <v>齐碳科技</v>
      </c>
      <c r="E231" s="8"/>
      <c r="F231" s="9"/>
      <c r="G231" s="8"/>
      <c r="H231" s="8"/>
      <c r="I231" s="8"/>
      <c r="J231" s="8"/>
      <c r="K231" s="3" t="str">
        <f t="shared" si="61"/>
        <v>运营中</v>
      </c>
      <c r="L231" s="8"/>
      <c r="M231" s="8"/>
      <c r="N231" s="8"/>
      <c r="O231" s="8"/>
      <c r="P231" s="10">
        <v>43964</v>
      </c>
      <c r="Q231" s="8" t="s">
        <v>1167</v>
      </c>
      <c r="R231" s="8" t="s">
        <v>866</v>
      </c>
      <c r="S231" s="8" t="s">
        <v>2422</v>
      </c>
      <c r="T231" s="8"/>
      <c r="U231" s="8"/>
      <c r="V231" s="8"/>
      <c r="W231" s="8"/>
      <c r="X231" s="8"/>
      <c r="Y231" s="8"/>
    </row>
    <row r="232" customHeight="1" spans="2:25">
      <c r="B232" s="7"/>
      <c r="C232" s="8"/>
      <c r="D232" s="3" t="str">
        <f t="shared" si="60"/>
        <v>齐碳科技</v>
      </c>
      <c r="E232" s="8"/>
      <c r="F232" s="9"/>
      <c r="G232" s="8"/>
      <c r="H232" s="8"/>
      <c r="I232" s="8"/>
      <c r="J232" s="8"/>
      <c r="K232" s="3" t="str">
        <f t="shared" si="61"/>
        <v>运营中</v>
      </c>
      <c r="L232" s="8"/>
      <c r="M232" s="8"/>
      <c r="N232" s="8"/>
      <c r="O232" s="8"/>
      <c r="P232" s="10">
        <v>43685</v>
      </c>
      <c r="Q232" s="8" t="s">
        <v>1169</v>
      </c>
      <c r="R232" s="8" t="s">
        <v>2423</v>
      </c>
      <c r="S232" s="8" t="s">
        <v>2424</v>
      </c>
      <c r="T232" s="8"/>
      <c r="U232" s="8"/>
      <c r="V232" s="8"/>
      <c r="W232" s="8"/>
      <c r="X232" s="8"/>
      <c r="Y232" s="8"/>
    </row>
    <row r="233" customHeight="1" spans="2:25">
      <c r="B233" s="7"/>
      <c r="C233" s="8"/>
      <c r="D233" s="3" t="str">
        <f t="shared" si="60"/>
        <v>齐碳科技</v>
      </c>
      <c r="E233" s="8"/>
      <c r="F233" s="9"/>
      <c r="G233" s="8"/>
      <c r="H233" s="8"/>
      <c r="I233" s="8"/>
      <c r="J233" s="8"/>
      <c r="K233" s="3" t="str">
        <f t="shared" si="61"/>
        <v>运营中</v>
      </c>
      <c r="L233" s="8"/>
      <c r="M233" s="8"/>
      <c r="N233" s="8"/>
      <c r="O233" s="8"/>
      <c r="P233" s="10">
        <v>43210</v>
      </c>
      <c r="Q233" s="8" t="s">
        <v>280</v>
      </c>
      <c r="R233" s="8" t="s">
        <v>1816</v>
      </c>
      <c r="S233" s="8" t="s">
        <v>2425</v>
      </c>
      <c r="T233" s="8"/>
      <c r="U233" s="8"/>
      <c r="V233" s="8"/>
      <c r="W233" s="8"/>
      <c r="X233" s="8"/>
      <c r="Y233" s="8"/>
    </row>
    <row r="234" customHeight="1" spans="2:25">
      <c r="B234" s="7"/>
      <c r="C234" s="8"/>
      <c r="D234" s="3" t="str">
        <f t="shared" si="60"/>
        <v>齐碳科技</v>
      </c>
      <c r="E234" s="8"/>
      <c r="F234" s="9"/>
      <c r="G234" s="8"/>
      <c r="H234" s="8"/>
      <c r="I234" s="8"/>
      <c r="J234" s="8"/>
      <c r="K234" s="3" t="str">
        <f t="shared" si="61"/>
        <v>运营中</v>
      </c>
      <c r="L234" s="8"/>
      <c r="M234" s="8"/>
      <c r="N234" s="8"/>
      <c r="O234" s="8"/>
      <c r="P234" s="10">
        <v>42853</v>
      </c>
      <c r="Q234" s="8" t="s">
        <v>1875</v>
      </c>
      <c r="R234" s="8" t="s">
        <v>1816</v>
      </c>
      <c r="S234" s="8" t="s">
        <v>2426</v>
      </c>
      <c r="T234" s="8"/>
      <c r="U234" s="8"/>
      <c r="V234" s="8"/>
      <c r="W234" s="8"/>
      <c r="X234" s="8"/>
      <c r="Y234" s="8"/>
    </row>
    <row r="235" customHeight="1" spans="2:25">
      <c r="B235" s="7"/>
      <c r="C235" s="8" t="s">
        <v>1004</v>
      </c>
      <c r="D235" s="3" t="s">
        <v>2427</v>
      </c>
      <c r="E235" s="8" t="s">
        <v>2427</v>
      </c>
      <c r="F235" s="9" t="s">
        <v>2428</v>
      </c>
      <c r="G235" s="8" t="s">
        <v>2429</v>
      </c>
      <c r="H235" s="8" t="s">
        <v>1008</v>
      </c>
      <c r="I235" s="8" t="s">
        <v>820</v>
      </c>
      <c r="J235" s="8" t="s">
        <v>553</v>
      </c>
      <c r="K235" s="3" t="s">
        <v>278</v>
      </c>
      <c r="L235" s="8" t="s">
        <v>278</v>
      </c>
      <c r="M235" s="8" t="s">
        <v>19</v>
      </c>
      <c r="N235" s="8" t="s">
        <v>2430</v>
      </c>
      <c r="O235" s="8"/>
      <c r="P235" s="10">
        <v>43628</v>
      </c>
      <c r="Q235" s="8" t="s">
        <v>868</v>
      </c>
      <c r="R235" s="8" t="s">
        <v>281</v>
      </c>
      <c r="S235" s="8" t="s">
        <v>2431</v>
      </c>
      <c r="T235" s="8" t="s">
        <v>2037</v>
      </c>
      <c r="U235" s="8" t="s">
        <v>284</v>
      </c>
      <c r="V235" s="8" t="s">
        <v>2432</v>
      </c>
      <c r="W235" s="8" t="s">
        <v>2433</v>
      </c>
      <c r="X235" s="8" t="s">
        <v>1013</v>
      </c>
      <c r="Y235" s="8" t="s">
        <v>1014</v>
      </c>
    </row>
    <row r="236" customHeight="1" spans="2:25">
      <c r="B236" s="7"/>
      <c r="C236" s="8"/>
      <c r="D236" s="3" t="str">
        <f>D235</f>
        <v>青萍</v>
      </c>
      <c r="E236" s="8"/>
      <c r="F236" s="9"/>
      <c r="G236" s="8"/>
      <c r="H236" s="8"/>
      <c r="I236" s="8"/>
      <c r="J236" s="8"/>
      <c r="K236" s="3" t="str">
        <f>K235</f>
        <v>运营中</v>
      </c>
      <c r="L236" s="8"/>
      <c r="M236" s="8"/>
      <c r="N236" s="8"/>
      <c r="O236" s="8"/>
      <c r="P236" s="10">
        <v>42584</v>
      </c>
      <c r="Q236" s="8" t="s">
        <v>1167</v>
      </c>
      <c r="R236" s="8" t="s">
        <v>281</v>
      </c>
      <c r="S236" s="8" t="s">
        <v>2434</v>
      </c>
      <c r="T236" s="8"/>
      <c r="U236" s="8"/>
      <c r="V236" s="8"/>
      <c r="W236" s="8"/>
      <c r="X236" s="8"/>
      <c r="Y236" s="8"/>
    </row>
    <row r="237" customHeight="1" spans="2:25">
      <c r="B237" s="7"/>
      <c r="C237" s="8" t="s">
        <v>1016</v>
      </c>
      <c r="D237" s="3" t="s">
        <v>2435</v>
      </c>
      <c r="E237" s="8" t="s">
        <v>2435</v>
      </c>
      <c r="F237" s="9" t="s">
        <v>2436</v>
      </c>
      <c r="G237" s="8" t="s">
        <v>2437</v>
      </c>
      <c r="H237" s="8" t="s">
        <v>1020</v>
      </c>
      <c r="I237" s="8" t="s">
        <v>649</v>
      </c>
      <c r="J237" s="8" t="s">
        <v>2438</v>
      </c>
      <c r="K237" s="3" t="s">
        <v>278</v>
      </c>
      <c r="L237" s="8" t="s">
        <v>278</v>
      </c>
      <c r="M237" s="8" t="s">
        <v>10</v>
      </c>
      <c r="N237" s="8" t="s">
        <v>2439</v>
      </c>
      <c r="O237" s="8"/>
      <c r="P237" s="10">
        <v>43080</v>
      </c>
      <c r="Q237" s="8" t="s">
        <v>425</v>
      </c>
      <c r="R237" s="8" t="s">
        <v>1816</v>
      </c>
      <c r="S237" s="8" t="s">
        <v>2440</v>
      </c>
      <c r="T237" s="8" t="s">
        <v>2441</v>
      </c>
      <c r="U237" s="8" t="s">
        <v>1819</v>
      </c>
      <c r="V237" s="8" t="s">
        <v>2442</v>
      </c>
      <c r="W237" s="8" t="s">
        <v>2443</v>
      </c>
      <c r="X237" s="8" t="s">
        <v>1027</v>
      </c>
      <c r="Y237" s="8" t="s">
        <v>1028</v>
      </c>
    </row>
    <row r="238" customHeight="1" spans="2:25">
      <c r="B238" s="7"/>
      <c r="C238" s="8"/>
      <c r="D238" s="3" t="str">
        <f t="shared" ref="D238:D239" si="62">D237</f>
        <v>超洁智联</v>
      </c>
      <c r="E238" s="8"/>
      <c r="F238" s="9"/>
      <c r="G238" s="8"/>
      <c r="H238" s="8"/>
      <c r="I238" s="8"/>
      <c r="J238" s="8"/>
      <c r="K238" s="3" t="str">
        <f t="shared" ref="K238:K239" si="63">K237</f>
        <v>运营中</v>
      </c>
      <c r="L238" s="8"/>
      <c r="M238" s="8"/>
      <c r="N238" s="8"/>
      <c r="O238" s="8"/>
      <c r="P238" s="10">
        <v>42458</v>
      </c>
      <c r="Q238" s="8" t="s">
        <v>868</v>
      </c>
      <c r="R238" s="8" t="s">
        <v>1816</v>
      </c>
      <c r="S238" s="8" t="s">
        <v>2444</v>
      </c>
      <c r="T238" s="8"/>
      <c r="U238" s="8"/>
      <c r="V238" s="8"/>
      <c r="W238" s="8"/>
      <c r="X238" s="8"/>
      <c r="Y238" s="8"/>
    </row>
    <row r="239" customHeight="1" spans="2:25">
      <c r="B239" s="7"/>
      <c r="C239" s="8"/>
      <c r="D239" s="3" t="str">
        <f t="shared" si="62"/>
        <v>超洁智联</v>
      </c>
      <c r="E239" s="8"/>
      <c r="F239" s="9"/>
      <c r="G239" s="8"/>
      <c r="H239" s="8"/>
      <c r="I239" s="8"/>
      <c r="J239" s="8"/>
      <c r="K239" s="3" t="str">
        <f t="shared" si="63"/>
        <v>运营中</v>
      </c>
      <c r="L239" s="8"/>
      <c r="M239" s="8"/>
      <c r="N239" s="8"/>
      <c r="O239" s="8"/>
      <c r="P239" s="10">
        <v>42050</v>
      </c>
      <c r="Q239" s="8" t="s">
        <v>1167</v>
      </c>
      <c r="R239" s="8" t="s">
        <v>1816</v>
      </c>
      <c r="S239" s="8" t="s">
        <v>2445</v>
      </c>
      <c r="T239" s="8"/>
      <c r="U239" s="8"/>
      <c r="V239" s="8"/>
      <c r="W239" s="8"/>
      <c r="X239" s="8"/>
      <c r="Y239" s="8"/>
    </row>
    <row r="240" customHeight="1" spans="2:25">
      <c r="B240" s="7"/>
      <c r="C240" s="8" t="s">
        <v>1031</v>
      </c>
      <c r="D240" s="3" t="s">
        <v>2446</v>
      </c>
      <c r="E240" s="8" t="s">
        <v>2446</v>
      </c>
      <c r="F240" s="9" t="s">
        <v>2447</v>
      </c>
      <c r="G240" s="8" t="s">
        <v>2448</v>
      </c>
      <c r="H240" s="8" t="s">
        <v>1035</v>
      </c>
      <c r="I240" s="8" t="s">
        <v>1036</v>
      </c>
      <c r="J240" s="8" t="s">
        <v>2449</v>
      </c>
      <c r="K240" s="3" t="s">
        <v>278</v>
      </c>
      <c r="L240" s="8" t="s">
        <v>278</v>
      </c>
      <c r="M240" s="8" t="s">
        <v>10</v>
      </c>
      <c r="N240" s="8" t="s">
        <v>279</v>
      </c>
      <c r="O240" s="8"/>
      <c r="P240" s="10">
        <v>43640</v>
      </c>
      <c r="Q240" s="8" t="s">
        <v>868</v>
      </c>
      <c r="R240" s="8" t="s">
        <v>866</v>
      </c>
      <c r="S240" s="8" t="s">
        <v>2450</v>
      </c>
      <c r="T240" s="8" t="s">
        <v>2451</v>
      </c>
      <c r="U240" s="8" t="s">
        <v>1802</v>
      </c>
      <c r="V240" s="8" t="s">
        <v>2416</v>
      </c>
      <c r="W240" s="8" t="s">
        <v>2452</v>
      </c>
      <c r="X240" s="8" t="s">
        <v>1042</v>
      </c>
      <c r="Y240" s="8" t="s">
        <v>1043</v>
      </c>
    </row>
    <row r="241" customHeight="1" spans="2:25">
      <c r="B241" s="7"/>
      <c r="C241" s="8"/>
      <c r="D241" s="3" t="str">
        <f>D240</f>
        <v>掌单</v>
      </c>
      <c r="E241" s="8"/>
      <c r="F241" s="9"/>
      <c r="G241" s="8"/>
      <c r="H241" s="8"/>
      <c r="I241" s="8"/>
      <c r="J241" s="8"/>
      <c r="K241" s="3" t="str">
        <f>K240</f>
        <v>运营中</v>
      </c>
      <c r="L241" s="8"/>
      <c r="M241" s="8"/>
      <c r="N241" s="8"/>
      <c r="O241" s="8"/>
      <c r="P241" s="10">
        <v>43308</v>
      </c>
      <c r="Q241" s="8" t="s">
        <v>1167</v>
      </c>
      <c r="R241" s="8" t="s">
        <v>556</v>
      </c>
      <c r="S241" s="8" t="s">
        <v>2453</v>
      </c>
      <c r="T241" s="8"/>
      <c r="U241" s="8"/>
      <c r="V241" s="8"/>
      <c r="W241" s="8"/>
      <c r="X241" s="8"/>
      <c r="Y241" s="8"/>
    </row>
    <row r="242" customHeight="1" spans="2:25">
      <c r="B242" s="7"/>
      <c r="C242" s="8" t="s">
        <v>1045</v>
      </c>
      <c r="D242" s="3" t="s">
        <v>2454</v>
      </c>
      <c r="E242" s="8" t="s">
        <v>2454</v>
      </c>
      <c r="F242" s="9" t="s">
        <v>2455</v>
      </c>
      <c r="G242" s="8" t="s">
        <v>2456</v>
      </c>
      <c r="H242" s="8" t="s">
        <v>1049</v>
      </c>
      <c r="I242" s="8" t="s">
        <v>1050</v>
      </c>
      <c r="J242" s="8" t="s">
        <v>952</v>
      </c>
      <c r="K242" s="3" t="s">
        <v>278</v>
      </c>
      <c r="L242" s="8" t="s">
        <v>278</v>
      </c>
      <c r="M242" s="8" t="s">
        <v>57</v>
      </c>
      <c r="N242" s="8" t="s">
        <v>2457</v>
      </c>
      <c r="O242" s="8"/>
      <c r="P242" s="10">
        <v>44249</v>
      </c>
      <c r="Q242" s="8" t="s">
        <v>865</v>
      </c>
      <c r="R242" s="8" t="s">
        <v>1181</v>
      </c>
      <c r="S242" s="8" t="s">
        <v>2458</v>
      </c>
      <c r="T242" s="8" t="s">
        <v>2459</v>
      </c>
      <c r="U242" s="8" t="s">
        <v>2460</v>
      </c>
      <c r="V242" s="8" t="s">
        <v>2461</v>
      </c>
      <c r="W242" s="8" t="s">
        <v>2462</v>
      </c>
      <c r="X242" s="8" t="s">
        <v>1058</v>
      </c>
      <c r="Y242" s="8" t="s">
        <v>1059</v>
      </c>
    </row>
    <row r="243" customHeight="1" spans="2:25">
      <c r="B243" s="7"/>
      <c r="C243" s="8"/>
      <c r="D243" s="3" t="str">
        <f t="shared" ref="D243:D244" si="64">D242</f>
        <v>望家欢</v>
      </c>
      <c r="E243" s="8"/>
      <c r="F243" s="9"/>
      <c r="G243" s="8"/>
      <c r="H243" s="8"/>
      <c r="I243" s="8"/>
      <c r="J243" s="8"/>
      <c r="K243" s="3" t="str">
        <f t="shared" ref="K243:K244" si="65">K242</f>
        <v>运营中</v>
      </c>
      <c r="L243" s="8"/>
      <c r="M243" s="8"/>
      <c r="N243" s="8"/>
      <c r="O243" s="8"/>
      <c r="P243" s="10">
        <v>43899</v>
      </c>
      <c r="Q243" s="8" t="s">
        <v>868</v>
      </c>
      <c r="R243" s="8" t="s">
        <v>1060</v>
      </c>
      <c r="S243" s="8" t="s">
        <v>1061</v>
      </c>
      <c r="T243" s="8"/>
      <c r="U243" s="8"/>
      <c r="V243" s="8"/>
      <c r="W243" s="8"/>
      <c r="X243" s="8"/>
      <c r="Y243" s="8"/>
    </row>
    <row r="244" customHeight="1" spans="2:25">
      <c r="B244" s="7"/>
      <c r="C244" s="8"/>
      <c r="D244" s="3" t="str">
        <f t="shared" si="64"/>
        <v>望家欢</v>
      </c>
      <c r="E244" s="8"/>
      <c r="F244" s="9"/>
      <c r="G244" s="8"/>
      <c r="H244" s="8"/>
      <c r="I244" s="8"/>
      <c r="J244" s="8"/>
      <c r="K244" s="3" t="str">
        <f t="shared" si="65"/>
        <v>运营中</v>
      </c>
      <c r="L244" s="8"/>
      <c r="M244" s="8"/>
      <c r="N244" s="8"/>
      <c r="O244" s="8"/>
      <c r="P244" s="10">
        <v>43314</v>
      </c>
      <c r="Q244" s="8" t="s">
        <v>1167</v>
      </c>
      <c r="R244" s="8" t="s">
        <v>1581</v>
      </c>
      <c r="S244" s="8" t="s">
        <v>2463</v>
      </c>
      <c r="T244" s="8"/>
      <c r="U244" s="8"/>
      <c r="V244" s="8"/>
      <c r="W244" s="8"/>
      <c r="X244" s="8"/>
      <c r="Y244" s="8"/>
    </row>
    <row r="245" ht="43.5" customHeight="1" spans="2:25">
      <c r="B245" s="7"/>
      <c r="C245" s="8" t="s">
        <v>1063</v>
      </c>
      <c r="D245" s="3" t="s">
        <v>2464</v>
      </c>
      <c r="E245" s="8" t="s">
        <v>2464</v>
      </c>
      <c r="F245" s="9" t="s">
        <v>2465</v>
      </c>
      <c r="G245" s="8" t="s">
        <v>2466</v>
      </c>
      <c r="H245" s="8" t="s">
        <v>1067</v>
      </c>
      <c r="I245" s="8" t="s">
        <v>1068</v>
      </c>
      <c r="J245" s="8" t="s">
        <v>2449</v>
      </c>
      <c r="K245" s="3" t="s">
        <v>278</v>
      </c>
      <c r="L245" s="8" t="s">
        <v>278</v>
      </c>
      <c r="M245" s="8" t="s">
        <v>33</v>
      </c>
      <c r="N245" s="8" t="s">
        <v>2237</v>
      </c>
      <c r="O245" s="8"/>
      <c r="P245" s="10">
        <v>43463</v>
      </c>
      <c r="Q245" s="8" t="s">
        <v>280</v>
      </c>
      <c r="R245" s="8" t="s">
        <v>1816</v>
      </c>
      <c r="S245" s="8" t="s">
        <v>2467</v>
      </c>
      <c r="T245" s="8" t="s">
        <v>1818</v>
      </c>
      <c r="U245" s="8" t="s">
        <v>2468</v>
      </c>
      <c r="V245" s="8" t="s">
        <v>2469</v>
      </c>
      <c r="W245" s="8" t="s">
        <v>2470</v>
      </c>
      <c r="X245" s="8" t="s">
        <v>1073</v>
      </c>
      <c r="Y245" s="8" t="s">
        <v>1074</v>
      </c>
    </row>
    <row r="246" ht="43.5" customHeight="1" spans="2:25">
      <c r="B246" s="7"/>
      <c r="C246" s="8"/>
      <c r="D246" s="3" t="str">
        <f>D245</f>
        <v>WKUP单车</v>
      </c>
      <c r="E246" s="8"/>
      <c r="F246" s="9"/>
      <c r="G246" s="8"/>
      <c r="H246" s="8"/>
      <c r="I246" s="8"/>
      <c r="J246" s="8"/>
      <c r="K246" s="3" t="str">
        <f>K245</f>
        <v>运营中</v>
      </c>
      <c r="L246" s="8"/>
      <c r="M246" s="8"/>
      <c r="N246" s="8"/>
      <c r="O246" s="8"/>
      <c r="P246" s="10">
        <v>42159</v>
      </c>
      <c r="Q246" s="8" t="s">
        <v>1875</v>
      </c>
      <c r="R246" s="8" t="s">
        <v>1952</v>
      </c>
      <c r="S246" s="8" t="s">
        <v>2471</v>
      </c>
      <c r="T246" s="8"/>
      <c r="U246" s="8"/>
      <c r="V246" s="8"/>
      <c r="W246" s="8"/>
      <c r="X246" s="8"/>
      <c r="Y246" s="8"/>
    </row>
    <row r="247" ht="43.5" customHeight="1" spans="2:25">
      <c r="B247" s="7"/>
      <c r="C247" s="8" t="s">
        <v>1076</v>
      </c>
      <c r="D247" s="3" t="s">
        <v>1078</v>
      </c>
      <c r="E247" s="8" t="s">
        <v>1078</v>
      </c>
      <c r="F247" s="9" t="s">
        <v>1079</v>
      </c>
      <c r="G247" s="8" t="s">
        <v>2472</v>
      </c>
      <c r="H247" s="8" t="s">
        <v>1081</v>
      </c>
      <c r="I247" s="8" t="s">
        <v>1082</v>
      </c>
      <c r="J247" s="8" t="s">
        <v>807</v>
      </c>
      <c r="K247" s="3" t="s">
        <v>278</v>
      </c>
      <c r="L247" s="8" t="s">
        <v>278</v>
      </c>
      <c r="M247" s="8" t="s">
        <v>57</v>
      </c>
      <c r="N247" s="8" t="s">
        <v>1083</v>
      </c>
      <c r="O247" s="8"/>
      <c r="P247" s="10">
        <v>43832</v>
      </c>
      <c r="Q247" s="8" t="s">
        <v>280</v>
      </c>
      <c r="R247" s="8" t="s">
        <v>430</v>
      </c>
      <c r="S247" s="8" t="s">
        <v>809</v>
      </c>
      <c r="T247" s="8" t="s">
        <v>1084</v>
      </c>
      <c r="U247" s="8" t="s">
        <v>1085</v>
      </c>
      <c r="V247" s="8"/>
      <c r="W247" s="8" t="s">
        <v>2473</v>
      </c>
      <c r="X247" s="8" t="s">
        <v>1087</v>
      </c>
      <c r="Y247" s="8"/>
    </row>
    <row r="248" ht="43.5" customHeight="1" spans="2:25">
      <c r="B248" s="7"/>
      <c r="C248" s="8"/>
      <c r="D248" s="3" t="str">
        <f>D247</f>
        <v>壹号食品</v>
      </c>
      <c r="E248" s="8"/>
      <c r="F248" s="9"/>
      <c r="G248" s="8"/>
      <c r="H248" s="8"/>
      <c r="I248" s="8"/>
      <c r="J248" s="8"/>
      <c r="K248" s="3" t="str">
        <f>K247</f>
        <v>运营中</v>
      </c>
      <c r="L248" s="8"/>
      <c r="M248" s="8"/>
      <c r="N248" s="8"/>
      <c r="O248" s="8"/>
      <c r="P248" s="10">
        <v>43628</v>
      </c>
      <c r="Q248" s="8" t="s">
        <v>280</v>
      </c>
      <c r="R248" s="8" t="s">
        <v>863</v>
      </c>
      <c r="S248" s="8" t="s">
        <v>2474</v>
      </c>
      <c r="T248" s="8"/>
      <c r="U248" s="8"/>
      <c r="V248" s="8"/>
      <c r="W248" s="8"/>
      <c r="X248" s="8"/>
      <c r="Y248" s="8"/>
    </row>
    <row r="249" customHeight="1" spans="2:25">
      <c r="B249" s="7"/>
      <c r="C249" s="8" t="s">
        <v>1089</v>
      </c>
      <c r="D249" s="3" t="s">
        <v>1091</v>
      </c>
      <c r="E249" s="8" t="s">
        <v>1091</v>
      </c>
      <c r="F249" s="9" t="s">
        <v>1092</v>
      </c>
      <c r="G249" s="8" t="s">
        <v>2475</v>
      </c>
      <c r="H249" s="8" t="s">
        <v>1094</v>
      </c>
      <c r="I249" s="8" t="s">
        <v>1095</v>
      </c>
      <c r="J249" s="8" t="s">
        <v>1096</v>
      </c>
      <c r="K249" s="3" t="s">
        <v>278</v>
      </c>
      <c r="L249" s="8" t="s">
        <v>278</v>
      </c>
      <c r="M249" s="8" t="s">
        <v>33</v>
      </c>
      <c r="N249" s="8" t="s">
        <v>1097</v>
      </c>
      <c r="O249" s="8"/>
      <c r="P249" s="10">
        <v>44620</v>
      </c>
      <c r="Q249" s="8" t="s">
        <v>865</v>
      </c>
      <c r="R249" s="8" t="s">
        <v>1098</v>
      </c>
      <c r="S249" s="8" t="s">
        <v>1099</v>
      </c>
      <c r="T249" s="8" t="s">
        <v>1100</v>
      </c>
      <c r="U249" s="8" t="s">
        <v>1101</v>
      </c>
      <c r="V249" s="8" t="s">
        <v>1102</v>
      </c>
      <c r="W249" s="8" t="s">
        <v>2476</v>
      </c>
      <c r="X249" s="8" t="s">
        <v>1104</v>
      </c>
      <c r="Y249" s="8" t="s">
        <v>1105</v>
      </c>
    </row>
    <row r="250" customHeight="1" spans="2:25">
      <c r="B250" s="7"/>
      <c r="C250" s="8"/>
      <c r="D250" s="3" t="str">
        <f t="shared" ref="D250:D253" si="66">D249</f>
        <v>嬴彻科技</v>
      </c>
      <c r="E250" s="8"/>
      <c r="F250" s="9"/>
      <c r="G250" s="8"/>
      <c r="H250" s="8"/>
      <c r="I250" s="8"/>
      <c r="J250" s="8"/>
      <c r="K250" s="3" t="str">
        <f t="shared" ref="K250:K253" si="67">K249</f>
        <v>运营中</v>
      </c>
      <c r="L250" s="8"/>
      <c r="M250" s="8"/>
      <c r="N250" s="8"/>
      <c r="O250" s="8"/>
      <c r="P250" s="10">
        <v>44411</v>
      </c>
      <c r="Q250" s="8" t="s">
        <v>868</v>
      </c>
      <c r="R250" s="8" t="s">
        <v>1106</v>
      </c>
      <c r="S250" s="8" t="s">
        <v>1107</v>
      </c>
      <c r="T250" s="8"/>
      <c r="U250" s="8"/>
      <c r="V250" s="8"/>
      <c r="W250" s="8"/>
      <c r="X250" s="8"/>
      <c r="Y250" s="8"/>
    </row>
    <row r="251" customHeight="1" spans="2:25">
      <c r="B251" s="7"/>
      <c r="C251" s="8"/>
      <c r="D251" s="3" t="str">
        <f t="shared" si="66"/>
        <v>嬴彻科技</v>
      </c>
      <c r="E251" s="8"/>
      <c r="F251" s="9"/>
      <c r="G251" s="8"/>
      <c r="H251" s="8"/>
      <c r="I251" s="8"/>
      <c r="J251" s="8"/>
      <c r="K251" s="3" t="str">
        <f t="shared" si="67"/>
        <v>运营中</v>
      </c>
      <c r="L251" s="8"/>
      <c r="M251" s="8"/>
      <c r="N251" s="8"/>
      <c r="O251" s="8"/>
      <c r="P251" s="10">
        <v>44144</v>
      </c>
      <c r="Q251" s="8" t="s">
        <v>280</v>
      </c>
      <c r="R251" s="8" t="s">
        <v>2477</v>
      </c>
      <c r="S251" s="8" t="s">
        <v>2478</v>
      </c>
      <c r="T251" s="8"/>
      <c r="U251" s="8"/>
      <c r="V251" s="8"/>
      <c r="W251" s="8"/>
      <c r="X251" s="8"/>
      <c r="Y251" s="8"/>
    </row>
    <row r="252" customHeight="1" spans="2:25">
      <c r="B252" s="7"/>
      <c r="C252" s="8"/>
      <c r="D252" s="3" t="str">
        <f t="shared" si="66"/>
        <v>嬴彻科技</v>
      </c>
      <c r="E252" s="8"/>
      <c r="F252" s="9"/>
      <c r="G252" s="8"/>
      <c r="H252" s="8"/>
      <c r="I252" s="8"/>
      <c r="J252" s="8"/>
      <c r="K252" s="3" t="str">
        <f t="shared" si="67"/>
        <v>运营中</v>
      </c>
      <c r="L252" s="8"/>
      <c r="M252" s="8"/>
      <c r="N252" s="8"/>
      <c r="O252" s="8"/>
      <c r="P252" s="10">
        <v>43950</v>
      </c>
      <c r="Q252" s="8" t="s">
        <v>280</v>
      </c>
      <c r="R252" s="8" t="s">
        <v>919</v>
      </c>
      <c r="S252" s="8" t="s">
        <v>262</v>
      </c>
      <c r="T252" s="8"/>
      <c r="U252" s="8"/>
      <c r="V252" s="8"/>
      <c r="W252" s="8"/>
      <c r="X252" s="8"/>
      <c r="Y252" s="8"/>
    </row>
    <row r="253" customHeight="1" spans="2:25">
      <c r="B253" s="7"/>
      <c r="C253" s="8"/>
      <c r="D253" s="3" t="str">
        <f t="shared" si="66"/>
        <v>嬴彻科技</v>
      </c>
      <c r="E253" s="8"/>
      <c r="F253" s="9"/>
      <c r="G253" s="8"/>
      <c r="H253" s="8"/>
      <c r="I253" s="8"/>
      <c r="J253" s="8"/>
      <c r="K253" s="3" t="str">
        <f t="shared" si="67"/>
        <v>运营中</v>
      </c>
      <c r="L253" s="8"/>
      <c r="M253" s="8"/>
      <c r="N253" s="8"/>
      <c r="O253" s="8"/>
      <c r="P253" s="10">
        <v>43135</v>
      </c>
      <c r="Q253" s="8" t="s">
        <v>280</v>
      </c>
      <c r="R253" s="8" t="s">
        <v>1966</v>
      </c>
      <c r="S253" s="8" t="s">
        <v>2479</v>
      </c>
      <c r="T253" s="8"/>
      <c r="U253" s="8"/>
      <c r="V253" s="8"/>
      <c r="W253" s="8"/>
      <c r="X253" s="8"/>
      <c r="Y253" s="8"/>
    </row>
    <row r="254" customHeight="1" spans="2:25">
      <c r="B254" s="7"/>
      <c r="C254" s="8" t="s">
        <v>1111</v>
      </c>
      <c r="D254" s="3" t="s">
        <v>1112</v>
      </c>
      <c r="E254" s="8" t="s">
        <v>1112</v>
      </c>
      <c r="F254" s="9" t="s">
        <v>2480</v>
      </c>
      <c r="G254" s="8"/>
      <c r="H254" s="8" t="s">
        <v>1114</v>
      </c>
      <c r="I254" s="8" t="s">
        <v>1115</v>
      </c>
      <c r="J254" s="8" t="s">
        <v>2481</v>
      </c>
      <c r="K254" s="3" t="s">
        <v>278</v>
      </c>
      <c r="L254" s="8" t="s">
        <v>278</v>
      </c>
      <c r="M254" s="8" t="s">
        <v>41</v>
      </c>
      <c r="N254" s="8" t="s">
        <v>2008</v>
      </c>
      <c r="O254" s="8"/>
      <c r="P254" s="10">
        <v>44432</v>
      </c>
      <c r="Q254" s="8" t="s">
        <v>425</v>
      </c>
      <c r="R254" s="8" t="s">
        <v>2482</v>
      </c>
      <c r="S254" s="8" t="s">
        <v>2483</v>
      </c>
      <c r="T254" s="8" t="s">
        <v>2484</v>
      </c>
      <c r="U254" s="8" t="s">
        <v>2485</v>
      </c>
      <c r="V254" s="8" t="s">
        <v>2486</v>
      </c>
      <c r="W254" s="8"/>
      <c r="X254" s="8"/>
      <c r="Y254" s="8"/>
    </row>
    <row r="255" customHeight="1" spans="2:25">
      <c r="B255" s="7"/>
      <c r="C255" s="8"/>
      <c r="D255" s="3" t="str">
        <f t="shared" ref="D255:D256" si="68">D254</f>
        <v>OPay</v>
      </c>
      <c r="E255" s="8"/>
      <c r="F255" s="9"/>
      <c r="G255" s="8"/>
      <c r="H255" s="8"/>
      <c r="I255" s="8"/>
      <c r="J255" s="8"/>
      <c r="K255" s="3" t="str">
        <f t="shared" ref="K255:K256" si="69">K254</f>
        <v>运营中</v>
      </c>
      <c r="L255" s="8"/>
      <c r="M255" s="8"/>
      <c r="N255" s="8"/>
      <c r="O255" s="8"/>
      <c r="P255" s="10">
        <v>43788</v>
      </c>
      <c r="Q255" s="8" t="s">
        <v>868</v>
      </c>
      <c r="R255" s="8" t="s">
        <v>2477</v>
      </c>
      <c r="S255" s="8" t="s">
        <v>2487</v>
      </c>
      <c r="T255" s="8"/>
      <c r="U255" s="8"/>
      <c r="V255" s="8"/>
      <c r="W255" s="8"/>
      <c r="X255" s="8"/>
      <c r="Y255" s="8"/>
    </row>
    <row r="256" customHeight="1" spans="2:25">
      <c r="B256" s="7"/>
      <c r="C256" s="8"/>
      <c r="D256" s="3" t="str">
        <f t="shared" si="68"/>
        <v>OPay</v>
      </c>
      <c r="E256" s="8"/>
      <c r="F256" s="9"/>
      <c r="G256" s="8"/>
      <c r="H256" s="8"/>
      <c r="I256" s="8"/>
      <c r="J256" s="8"/>
      <c r="K256" s="3" t="str">
        <f t="shared" si="69"/>
        <v>运营中</v>
      </c>
      <c r="L256" s="8"/>
      <c r="M256" s="8"/>
      <c r="N256" s="8"/>
      <c r="O256" s="8"/>
      <c r="P256" s="10">
        <v>43657</v>
      </c>
      <c r="Q256" s="8" t="s">
        <v>1167</v>
      </c>
      <c r="R256" s="8" t="s">
        <v>1857</v>
      </c>
      <c r="S256" s="8" t="s">
        <v>2488</v>
      </c>
      <c r="T256" s="8"/>
      <c r="U256" s="8"/>
      <c r="V256" s="8"/>
      <c r="W256" s="8"/>
      <c r="X256" s="8"/>
      <c r="Y256" s="8"/>
    </row>
    <row r="257" customHeight="1" spans="2:25">
      <c r="B257" s="7"/>
      <c r="C257" s="8" t="s">
        <v>1124</v>
      </c>
      <c r="D257" s="3" t="s">
        <v>2489</v>
      </c>
      <c r="E257" s="8" t="s">
        <v>2489</v>
      </c>
      <c r="F257" s="9" t="s">
        <v>2490</v>
      </c>
      <c r="G257" s="8" t="s">
        <v>2491</v>
      </c>
      <c r="H257" s="8"/>
      <c r="I257" s="8" t="s">
        <v>1128</v>
      </c>
      <c r="J257" s="8" t="s">
        <v>890</v>
      </c>
      <c r="K257" s="3" t="s">
        <v>278</v>
      </c>
      <c r="L257" s="8" t="s">
        <v>278</v>
      </c>
      <c r="M257" s="8" t="s">
        <v>27</v>
      </c>
      <c r="N257" s="8" t="s">
        <v>1213</v>
      </c>
      <c r="O257" s="8">
        <v>1</v>
      </c>
      <c r="P257" s="10">
        <v>45106</v>
      </c>
      <c r="Q257" s="8" t="s">
        <v>1948</v>
      </c>
      <c r="R257" s="8" t="s">
        <v>2492</v>
      </c>
      <c r="S257" s="8" t="s">
        <v>809</v>
      </c>
      <c r="T257" s="8" t="s">
        <v>2493</v>
      </c>
      <c r="U257" s="8" t="s">
        <v>2494</v>
      </c>
      <c r="V257" s="8" t="s">
        <v>2495</v>
      </c>
      <c r="W257" s="8" t="s">
        <v>2496</v>
      </c>
      <c r="X257" s="8">
        <v>13661305870</v>
      </c>
      <c r="Y257" s="8" t="s">
        <v>1135</v>
      </c>
    </row>
    <row r="258" customHeight="1" spans="2:25">
      <c r="B258" s="7"/>
      <c r="C258" s="8"/>
      <c r="D258" s="3" t="str">
        <f t="shared" ref="D258:D260" si="70">D257</f>
        <v>光年之外</v>
      </c>
      <c r="E258" s="8"/>
      <c r="F258" s="9"/>
      <c r="G258" s="8"/>
      <c r="H258" s="8"/>
      <c r="I258" s="8"/>
      <c r="J258" s="8"/>
      <c r="K258" s="3" t="str">
        <f t="shared" ref="K258:K260" si="71">K257</f>
        <v>运营中</v>
      </c>
      <c r="L258" s="8"/>
      <c r="M258" s="8"/>
      <c r="N258" s="8"/>
      <c r="O258" s="8">
        <v>1</v>
      </c>
      <c r="P258" s="10">
        <v>45082</v>
      </c>
      <c r="Q258" s="8" t="s">
        <v>280</v>
      </c>
      <c r="R258" s="8" t="s">
        <v>2287</v>
      </c>
      <c r="S258" s="8" t="s">
        <v>2497</v>
      </c>
      <c r="T258" s="8"/>
      <c r="U258" s="8"/>
      <c r="V258" s="8"/>
      <c r="W258" s="8"/>
      <c r="X258" s="8"/>
      <c r="Y258" s="8"/>
    </row>
    <row r="259" customHeight="1" spans="2:25">
      <c r="B259" s="7"/>
      <c r="C259" s="8"/>
      <c r="D259" s="3" t="str">
        <f t="shared" si="70"/>
        <v>光年之外</v>
      </c>
      <c r="E259" s="8"/>
      <c r="F259" s="9"/>
      <c r="G259" s="8"/>
      <c r="H259" s="8"/>
      <c r="I259" s="8"/>
      <c r="J259" s="8"/>
      <c r="K259" s="3" t="str">
        <f t="shared" si="71"/>
        <v>运营中</v>
      </c>
      <c r="L259" s="8"/>
      <c r="M259" s="8"/>
      <c r="N259" s="8"/>
      <c r="O259" s="8">
        <v>1</v>
      </c>
      <c r="P259" s="10">
        <v>44993</v>
      </c>
      <c r="Q259" s="8" t="s">
        <v>1167</v>
      </c>
      <c r="R259" s="8" t="s">
        <v>556</v>
      </c>
      <c r="S259" s="8" t="s">
        <v>2498</v>
      </c>
      <c r="T259" s="8"/>
      <c r="U259" s="8"/>
      <c r="V259" s="8"/>
      <c r="W259" s="8"/>
      <c r="X259" s="8"/>
      <c r="Y259" s="8"/>
    </row>
    <row r="260" customHeight="1" spans="2:25">
      <c r="B260" s="7"/>
      <c r="C260" s="8"/>
      <c r="D260" s="3" t="str">
        <f t="shared" si="70"/>
        <v>光年之外</v>
      </c>
      <c r="E260" s="8"/>
      <c r="F260" s="9"/>
      <c r="G260" s="8"/>
      <c r="H260" s="8"/>
      <c r="I260" s="8"/>
      <c r="J260" s="8"/>
      <c r="K260" s="3" t="str">
        <f t="shared" si="71"/>
        <v>运营中</v>
      </c>
      <c r="L260" s="8"/>
      <c r="M260" s="8"/>
      <c r="N260" s="8"/>
      <c r="O260" s="8">
        <v>1</v>
      </c>
      <c r="P260" s="10">
        <v>44970</v>
      </c>
      <c r="Q260" s="8" t="s">
        <v>1875</v>
      </c>
      <c r="R260" s="8" t="s">
        <v>1857</v>
      </c>
      <c r="S260" s="8" t="s">
        <v>2499</v>
      </c>
      <c r="T260" s="8"/>
      <c r="U260" s="8"/>
      <c r="V260" s="8"/>
      <c r="W260" s="8"/>
      <c r="X260" s="8"/>
      <c r="Y260" s="8"/>
    </row>
    <row r="261" customHeight="1" spans="2:25">
      <c r="B261" s="7"/>
      <c r="C261" s="8" t="s">
        <v>1139</v>
      </c>
      <c r="D261" s="3" t="s">
        <v>1141</v>
      </c>
      <c r="E261" s="8" t="s">
        <v>1141</v>
      </c>
      <c r="F261" s="9" t="s">
        <v>1142</v>
      </c>
      <c r="G261" s="8" t="s">
        <v>2500</v>
      </c>
      <c r="H261" s="8"/>
      <c r="I261" s="8" t="s">
        <v>1144</v>
      </c>
      <c r="J261" s="8" t="s">
        <v>1145</v>
      </c>
      <c r="K261" s="3" t="s">
        <v>278</v>
      </c>
      <c r="L261" s="8" t="s">
        <v>278</v>
      </c>
      <c r="M261" s="8" t="s">
        <v>44</v>
      </c>
      <c r="N261" s="8" t="s">
        <v>988</v>
      </c>
      <c r="O261" s="8"/>
      <c r="P261" s="10">
        <v>44406</v>
      </c>
      <c r="Q261" s="8" t="s">
        <v>868</v>
      </c>
      <c r="R261" s="8" t="s">
        <v>919</v>
      </c>
      <c r="S261" s="8" t="s">
        <v>1146</v>
      </c>
      <c r="T261" s="8" t="s">
        <v>1147</v>
      </c>
      <c r="U261" s="8" t="s">
        <v>1148</v>
      </c>
      <c r="V261" s="8" t="s">
        <v>1149</v>
      </c>
      <c r="W261" s="8" t="s">
        <v>2501</v>
      </c>
      <c r="X261" s="8"/>
      <c r="Y261" s="8"/>
    </row>
    <row r="262" customHeight="1" spans="2:25">
      <c r="B262" s="7"/>
      <c r="C262" s="8"/>
      <c r="D262" s="3" t="str">
        <f t="shared" ref="D262:D264" si="72">D261</f>
        <v>恩和生物</v>
      </c>
      <c r="E262" s="8"/>
      <c r="F262" s="9"/>
      <c r="G262" s="8"/>
      <c r="H262" s="8"/>
      <c r="I262" s="8"/>
      <c r="J262" s="8"/>
      <c r="K262" s="3" t="str">
        <f t="shared" ref="K262:K264" si="73">K261</f>
        <v>运营中</v>
      </c>
      <c r="L262" s="8"/>
      <c r="M262" s="8"/>
      <c r="N262" s="8"/>
      <c r="O262" s="8"/>
      <c r="P262" s="10">
        <v>44272</v>
      </c>
      <c r="Q262" s="8" t="s">
        <v>1167</v>
      </c>
      <c r="R262" s="8" t="s">
        <v>1966</v>
      </c>
      <c r="S262" s="8" t="s">
        <v>2502</v>
      </c>
      <c r="T262" s="8"/>
      <c r="U262" s="8"/>
      <c r="V262" s="8"/>
      <c r="W262" s="8"/>
      <c r="X262" s="8"/>
      <c r="Y262" s="8"/>
    </row>
    <row r="263" customHeight="1" spans="2:25">
      <c r="B263" s="7"/>
      <c r="C263" s="8"/>
      <c r="D263" s="3" t="str">
        <f t="shared" si="72"/>
        <v>恩和生物</v>
      </c>
      <c r="E263" s="8"/>
      <c r="F263" s="9"/>
      <c r="G263" s="8"/>
      <c r="H263" s="8"/>
      <c r="I263" s="8"/>
      <c r="J263" s="8"/>
      <c r="K263" s="3" t="str">
        <f t="shared" si="73"/>
        <v>运营中</v>
      </c>
      <c r="L263" s="8"/>
      <c r="M263" s="8"/>
      <c r="N263" s="8"/>
      <c r="O263" s="8"/>
      <c r="P263" s="10">
        <v>44099</v>
      </c>
      <c r="Q263" s="8" t="s">
        <v>1169</v>
      </c>
      <c r="R263" s="8" t="s">
        <v>892</v>
      </c>
      <c r="S263" s="8" t="s">
        <v>2503</v>
      </c>
      <c r="T263" s="8"/>
      <c r="U263" s="8"/>
      <c r="V263" s="8"/>
      <c r="W263" s="8"/>
      <c r="X263" s="8"/>
      <c r="Y263" s="8"/>
    </row>
    <row r="264" ht="41" customHeight="1" spans="2:25">
      <c r="B264" s="7"/>
      <c r="C264" s="8"/>
      <c r="D264" s="3" t="str">
        <f t="shared" si="72"/>
        <v>恩和生物</v>
      </c>
      <c r="E264" s="8"/>
      <c r="F264" s="9"/>
      <c r="G264" s="8"/>
      <c r="H264" s="8"/>
      <c r="I264" s="8"/>
      <c r="J264" s="8"/>
      <c r="K264" s="3" t="str">
        <f t="shared" si="73"/>
        <v>运营中</v>
      </c>
      <c r="L264" s="8"/>
      <c r="M264" s="8"/>
      <c r="N264" s="8"/>
      <c r="O264" s="8"/>
      <c r="P264" s="10">
        <v>43718</v>
      </c>
      <c r="Q264" s="8" t="s">
        <v>2378</v>
      </c>
      <c r="R264" s="8" t="s">
        <v>1968</v>
      </c>
      <c r="S264" s="8" t="s">
        <v>2504</v>
      </c>
      <c r="T264" s="8"/>
      <c r="U264" s="8"/>
      <c r="V264" s="8"/>
      <c r="W264" s="8"/>
      <c r="X264" s="8"/>
      <c r="Y264" s="8"/>
    </row>
    <row r="265" customHeight="1" spans="2:25">
      <c r="B265" s="7"/>
      <c r="C265" s="8" t="s">
        <v>1154</v>
      </c>
      <c r="D265" s="3" t="s">
        <v>2505</v>
      </c>
      <c r="E265" s="8" t="s">
        <v>2505</v>
      </c>
      <c r="F265" s="9" t="s">
        <v>2506</v>
      </c>
      <c r="G265" s="8" t="s">
        <v>2507</v>
      </c>
      <c r="H265" s="8" t="s">
        <v>1158</v>
      </c>
      <c r="I265" s="8" t="s">
        <v>1159</v>
      </c>
      <c r="J265" s="8" t="s">
        <v>2508</v>
      </c>
      <c r="K265" s="3" t="s">
        <v>278</v>
      </c>
      <c r="L265" s="8" t="s">
        <v>278</v>
      </c>
      <c r="M265" s="8" t="s">
        <v>33</v>
      </c>
      <c r="N265" s="8" t="s">
        <v>1097</v>
      </c>
      <c r="O265" s="8"/>
      <c r="P265" s="10">
        <v>44662</v>
      </c>
      <c r="Q265" s="8" t="s">
        <v>1180</v>
      </c>
      <c r="R265" s="8" t="s">
        <v>430</v>
      </c>
      <c r="S265" s="8" t="s">
        <v>2509</v>
      </c>
      <c r="T265" s="8" t="s">
        <v>2510</v>
      </c>
      <c r="U265" s="8" t="s">
        <v>2326</v>
      </c>
      <c r="V265" s="8" t="s">
        <v>2511</v>
      </c>
      <c r="W265" s="8" t="s">
        <v>2512</v>
      </c>
      <c r="X265" s="8" t="s">
        <v>1165</v>
      </c>
      <c r="Y265" s="8" t="s">
        <v>1166</v>
      </c>
    </row>
    <row r="266" customHeight="1" spans="2:25">
      <c r="B266" s="7"/>
      <c r="C266" s="8"/>
      <c r="D266" s="3" t="str">
        <f t="shared" ref="D266:D267" si="74">D265</f>
        <v>毫末智行</v>
      </c>
      <c r="E266" s="8"/>
      <c r="F266" s="9"/>
      <c r="G266" s="8"/>
      <c r="H266" s="8"/>
      <c r="I266" s="8"/>
      <c r="J266" s="8"/>
      <c r="K266" s="3" t="str">
        <f t="shared" ref="K266:K267" si="75">K265</f>
        <v>运营中</v>
      </c>
      <c r="L266" s="8"/>
      <c r="M266" s="8"/>
      <c r="N266" s="8"/>
      <c r="O266" s="8"/>
      <c r="P266" s="10">
        <v>44552</v>
      </c>
      <c r="Q266" s="8" t="s">
        <v>1167</v>
      </c>
      <c r="R266" s="8" t="s">
        <v>792</v>
      </c>
      <c r="S266" s="8" t="s">
        <v>1168</v>
      </c>
      <c r="T266" s="8"/>
      <c r="U266" s="8"/>
      <c r="V266" s="8"/>
      <c r="W266" s="8"/>
      <c r="X266" s="8"/>
      <c r="Y266" s="8"/>
    </row>
    <row r="267" ht="57" customHeight="1" spans="2:25">
      <c r="B267" s="7"/>
      <c r="C267" s="8"/>
      <c r="D267" s="3" t="str">
        <f t="shared" si="74"/>
        <v>毫末智行</v>
      </c>
      <c r="E267" s="8"/>
      <c r="F267" s="9"/>
      <c r="G267" s="8"/>
      <c r="H267" s="8"/>
      <c r="I267" s="8"/>
      <c r="J267" s="8"/>
      <c r="K267" s="3" t="str">
        <f t="shared" si="75"/>
        <v>运营中</v>
      </c>
      <c r="L267" s="8"/>
      <c r="M267" s="8"/>
      <c r="N267" s="8"/>
      <c r="O267" s="8"/>
      <c r="P267" s="10">
        <v>44249</v>
      </c>
      <c r="Q267" s="8" t="s">
        <v>1169</v>
      </c>
      <c r="R267" s="8" t="s">
        <v>1170</v>
      </c>
      <c r="S267" s="8" t="s">
        <v>1171</v>
      </c>
      <c r="T267" s="8"/>
      <c r="U267" s="8"/>
      <c r="V267" s="8"/>
      <c r="W267" s="8"/>
      <c r="X267" s="8"/>
      <c r="Y267" s="8"/>
    </row>
    <row r="268" customHeight="1" spans="2:25">
      <c r="B268" s="7"/>
      <c r="C268" s="8" t="s">
        <v>1172</v>
      </c>
      <c r="D268" s="3" t="s">
        <v>1174</v>
      </c>
      <c r="E268" s="8" t="s">
        <v>1174</v>
      </c>
      <c r="F268" s="9" t="s">
        <v>1175</v>
      </c>
      <c r="G268" s="8" t="s">
        <v>2513</v>
      </c>
      <c r="H268" s="8" t="s">
        <v>1177</v>
      </c>
      <c r="I268" s="8" t="s">
        <v>1178</v>
      </c>
      <c r="J268" s="8" t="s">
        <v>890</v>
      </c>
      <c r="K268" s="3" t="s">
        <v>278</v>
      </c>
      <c r="L268" s="8" t="s">
        <v>278</v>
      </c>
      <c r="M268" s="8" t="s">
        <v>19</v>
      </c>
      <c r="N268" s="8" t="s">
        <v>1179</v>
      </c>
      <c r="O268" s="8"/>
      <c r="P268" s="10">
        <v>44578</v>
      </c>
      <c r="Q268" s="8" t="s">
        <v>1180</v>
      </c>
      <c r="R268" s="8" t="s">
        <v>1181</v>
      </c>
      <c r="S268" s="8" t="s">
        <v>1182</v>
      </c>
      <c r="T268" s="8" t="s">
        <v>1183</v>
      </c>
      <c r="U268" s="8" t="s">
        <v>1184</v>
      </c>
      <c r="V268" s="8" t="s">
        <v>1185</v>
      </c>
      <c r="W268" s="8" t="s">
        <v>2514</v>
      </c>
      <c r="X268" s="8" t="s">
        <v>1187</v>
      </c>
      <c r="Y268" s="8" t="s">
        <v>1188</v>
      </c>
    </row>
    <row r="269" customHeight="1" spans="2:25">
      <c r="B269" s="7"/>
      <c r="C269" s="8"/>
      <c r="D269" s="3" t="str">
        <f t="shared" ref="D269:D271" si="76">D268</f>
        <v>爱芯元智</v>
      </c>
      <c r="E269" s="8"/>
      <c r="F269" s="9"/>
      <c r="G269" s="8"/>
      <c r="H269" s="8"/>
      <c r="I269" s="8"/>
      <c r="J269" s="8"/>
      <c r="K269" s="3" t="str">
        <f t="shared" ref="K269:K271" si="77">K268</f>
        <v>运营中</v>
      </c>
      <c r="L269" s="8"/>
      <c r="M269" s="8"/>
      <c r="N269" s="8"/>
      <c r="O269" s="8"/>
      <c r="P269" s="10">
        <v>44414</v>
      </c>
      <c r="Q269" s="8" t="s">
        <v>1180</v>
      </c>
      <c r="R269" s="8" t="s">
        <v>430</v>
      </c>
      <c r="S269" s="8" t="s">
        <v>1189</v>
      </c>
      <c r="T269" s="8"/>
      <c r="U269" s="8"/>
      <c r="V269" s="8"/>
      <c r="W269" s="8"/>
      <c r="X269" s="8"/>
      <c r="Y269" s="8"/>
    </row>
    <row r="270" ht="54.5" customHeight="1" spans="2:25">
      <c r="B270" s="7"/>
      <c r="C270" s="8"/>
      <c r="D270" s="3" t="str">
        <f t="shared" si="76"/>
        <v>爱芯元智</v>
      </c>
      <c r="E270" s="8"/>
      <c r="F270" s="9"/>
      <c r="G270" s="8"/>
      <c r="H270" s="8"/>
      <c r="I270" s="8"/>
      <c r="J270" s="8"/>
      <c r="K270" s="3" t="str">
        <f t="shared" si="77"/>
        <v>运营中</v>
      </c>
      <c r="L270" s="8"/>
      <c r="M270" s="8"/>
      <c r="N270" s="8"/>
      <c r="O270" s="8"/>
      <c r="P270" s="10">
        <v>44293</v>
      </c>
      <c r="Q270" s="8" t="s">
        <v>1167</v>
      </c>
      <c r="R270" s="8" t="s">
        <v>430</v>
      </c>
      <c r="S270" s="8" t="s">
        <v>2515</v>
      </c>
      <c r="T270" s="8"/>
      <c r="U270" s="8"/>
      <c r="V270" s="8"/>
      <c r="W270" s="8"/>
      <c r="X270" s="8"/>
      <c r="Y270" s="8"/>
    </row>
    <row r="271" customHeight="1" spans="2:25">
      <c r="B271" s="7"/>
      <c r="C271" s="8"/>
      <c r="D271" s="3" t="str">
        <f t="shared" si="76"/>
        <v>爱芯元智</v>
      </c>
      <c r="E271" s="8"/>
      <c r="F271" s="9"/>
      <c r="G271" s="8"/>
      <c r="H271" s="8"/>
      <c r="I271" s="8"/>
      <c r="J271" s="8"/>
      <c r="K271" s="3" t="str">
        <f t="shared" si="77"/>
        <v>运营中</v>
      </c>
      <c r="L271" s="8"/>
      <c r="M271" s="8"/>
      <c r="N271" s="8"/>
      <c r="O271" s="8"/>
      <c r="P271" s="10">
        <v>44287</v>
      </c>
      <c r="Q271" s="8" t="s">
        <v>1169</v>
      </c>
      <c r="R271" s="8" t="s">
        <v>281</v>
      </c>
      <c r="S271" s="8" t="s">
        <v>2516</v>
      </c>
      <c r="T271" s="8"/>
      <c r="U271" s="8"/>
      <c r="V271" s="8"/>
      <c r="W271" s="8"/>
      <c r="X271" s="8"/>
      <c r="Y271" s="8"/>
    </row>
    <row r="272" customHeight="1" spans="2:25">
      <c r="B272" s="7"/>
      <c r="C272" s="8" t="s">
        <v>1192</v>
      </c>
      <c r="D272" s="3" t="s">
        <v>2517</v>
      </c>
      <c r="E272" s="8" t="s">
        <v>2517</v>
      </c>
      <c r="F272" s="9" t="s">
        <v>2518</v>
      </c>
      <c r="G272" s="8" t="s">
        <v>2519</v>
      </c>
      <c r="H272" s="8" t="s">
        <v>1196</v>
      </c>
      <c r="I272" s="8" t="s">
        <v>1197</v>
      </c>
      <c r="J272" s="8" t="s">
        <v>2520</v>
      </c>
      <c r="K272" s="3" t="s">
        <v>278</v>
      </c>
      <c r="L272" s="8" t="s">
        <v>278</v>
      </c>
      <c r="M272" s="8" t="s">
        <v>19</v>
      </c>
      <c r="N272" s="8" t="s">
        <v>1179</v>
      </c>
      <c r="O272" s="8"/>
      <c r="P272" s="10">
        <v>44607</v>
      </c>
      <c r="Q272" s="8" t="s">
        <v>280</v>
      </c>
      <c r="R272" s="8" t="s">
        <v>281</v>
      </c>
      <c r="S272" s="8" t="s">
        <v>2521</v>
      </c>
      <c r="T272" s="8" t="s">
        <v>2522</v>
      </c>
      <c r="U272" s="8" t="s">
        <v>1184</v>
      </c>
      <c r="V272" s="8"/>
      <c r="W272" s="8" t="s">
        <v>2523</v>
      </c>
      <c r="X272" s="8"/>
      <c r="Y272" s="8"/>
    </row>
    <row r="273" customHeight="1" spans="2:25">
      <c r="B273" s="7"/>
      <c r="C273" s="8"/>
      <c r="D273" s="3" t="str">
        <f t="shared" ref="D273:D275" si="78">D272</f>
        <v>星云智联</v>
      </c>
      <c r="E273" s="8"/>
      <c r="F273" s="9"/>
      <c r="G273" s="8"/>
      <c r="H273" s="8"/>
      <c r="I273" s="8"/>
      <c r="J273" s="8"/>
      <c r="K273" s="3" t="str">
        <f t="shared" ref="K273:K275" si="79">K272</f>
        <v>运营中</v>
      </c>
      <c r="L273" s="8"/>
      <c r="M273" s="8"/>
      <c r="N273" s="8"/>
      <c r="O273" s="8"/>
      <c r="P273" s="10">
        <v>44438</v>
      </c>
      <c r="Q273" s="8" t="s">
        <v>1167</v>
      </c>
      <c r="R273" s="8" t="s">
        <v>430</v>
      </c>
      <c r="S273" s="8" t="s">
        <v>809</v>
      </c>
      <c r="T273" s="8"/>
      <c r="U273" s="8"/>
      <c r="V273" s="8"/>
      <c r="W273" s="8"/>
      <c r="X273" s="8"/>
      <c r="Y273" s="8"/>
    </row>
    <row r="274" customHeight="1" spans="2:25">
      <c r="B274" s="7"/>
      <c r="C274" s="8"/>
      <c r="D274" s="3" t="str">
        <f t="shared" si="78"/>
        <v>星云智联</v>
      </c>
      <c r="E274" s="8"/>
      <c r="F274" s="9"/>
      <c r="G274" s="8"/>
      <c r="H274" s="8"/>
      <c r="I274" s="8"/>
      <c r="J274" s="8"/>
      <c r="K274" s="3" t="str">
        <f t="shared" si="79"/>
        <v>运营中</v>
      </c>
      <c r="L274" s="8"/>
      <c r="M274" s="8"/>
      <c r="N274" s="8"/>
      <c r="O274" s="8"/>
      <c r="P274" s="10">
        <v>44400</v>
      </c>
      <c r="Q274" s="8" t="s">
        <v>1169</v>
      </c>
      <c r="R274" s="8" t="s">
        <v>430</v>
      </c>
      <c r="S274" s="8" t="s">
        <v>2524</v>
      </c>
      <c r="T274" s="8"/>
      <c r="U274" s="8"/>
      <c r="V274" s="8"/>
      <c r="W274" s="8"/>
      <c r="X274" s="8"/>
      <c r="Y274" s="8"/>
    </row>
    <row r="275" customHeight="1" spans="2:25">
      <c r="B275" s="7"/>
      <c r="C275" s="8"/>
      <c r="D275" s="3" t="str">
        <f t="shared" si="78"/>
        <v>星云智联</v>
      </c>
      <c r="E275" s="8"/>
      <c r="F275" s="9"/>
      <c r="G275" s="8"/>
      <c r="H275" s="8"/>
      <c r="I275" s="8"/>
      <c r="J275" s="8"/>
      <c r="K275" s="3" t="str">
        <f t="shared" si="79"/>
        <v>运营中</v>
      </c>
      <c r="L275" s="8"/>
      <c r="M275" s="8"/>
      <c r="N275" s="8"/>
      <c r="O275" s="8"/>
      <c r="P275" s="10">
        <v>44302</v>
      </c>
      <c r="Q275" s="8" t="s">
        <v>1875</v>
      </c>
      <c r="R275" s="8" t="s">
        <v>430</v>
      </c>
      <c r="S275" s="8" t="s">
        <v>2525</v>
      </c>
      <c r="T275" s="8"/>
      <c r="U275" s="8"/>
      <c r="V275" s="8"/>
      <c r="W275" s="8"/>
      <c r="X275" s="8"/>
      <c r="Y275" s="8"/>
    </row>
    <row r="276" customHeight="1" spans="2:25">
      <c r="B276" s="7"/>
      <c r="C276" s="8" t="s">
        <v>1206</v>
      </c>
      <c r="D276" s="3" t="s">
        <v>1208</v>
      </c>
      <c r="E276" s="8" t="s">
        <v>1208</v>
      </c>
      <c r="F276" s="9" t="s">
        <v>1209</v>
      </c>
      <c r="G276" s="8" t="s">
        <v>2526</v>
      </c>
      <c r="H276" s="8" t="s">
        <v>1211</v>
      </c>
      <c r="I276" s="8" t="s">
        <v>1212</v>
      </c>
      <c r="J276" s="8" t="s">
        <v>890</v>
      </c>
      <c r="K276" s="3" t="s">
        <v>278</v>
      </c>
      <c r="L276" s="8" t="s">
        <v>278</v>
      </c>
      <c r="M276" s="8" t="s">
        <v>27</v>
      </c>
      <c r="N276" s="8" t="s">
        <v>1213</v>
      </c>
      <c r="O276" s="8"/>
      <c r="P276" s="10">
        <v>45126</v>
      </c>
      <c r="Q276" s="8" t="s">
        <v>865</v>
      </c>
      <c r="R276" s="8" t="s">
        <v>430</v>
      </c>
      <c r="S276" s="8" t="s">
        <v>809</v>
      </c>
      <c r="T276" s="8" t="s">
        <v>1214</v>
      </c>
      <c r="U276" s="8" t="s">
        <v>1215</v>
      </c>
      <c r="V276" s="8" t="s">
        <v>1216</v>
      </c>
      <c r="W276" s="8" t="s">
        <v>2527</v>
      </c>
      <c r="X276" s="8" t="s">
        <v>1218</v>
      </c>
      <c r="Y276" s="8" t="s">
        <v>1219</v>
      </c>
    </row>
    <row r="277" customHeight="1" spans="2:25">
      <c r="B277" s="7"/>
      <c r="C277" s="8"/>
      <c r="D277" s="3" t="str">
        <f t="shared" ref="D277:D279" si="80">D276</f>
        <v>智谱AI</v>
      </c>
      <c r="E277" s="8"/>
      <c r="F277" s="9"/>
      <c r="G277" s="8"/>
      <c r="H277" s="8"/>
      <c r="I277" s="8"/>
      <c r="J277" s="8"/>
      <c r="K277" s="3" t="str">
        <f t="shared" ref="K277:K279" si="81">K276</f>
        <v>运营中</v>
      </c>
      <c r="L277" s="8"/>
      <c r="M277" s="8"/>
      <c r="N277" s="8"/>
      <c r="O277" s="8"/>
      <c r="P277" s="10">
        <v>44830</v>
      </c>
      <c r="Q277" s="8" t="s">
        <v>868</v>
      </c>
      <c r="R277" s="8" t="s">
        <v>430</v>
      </c>
      <c r="S277" s="8" t="s">
        <v>2528</v>
      </c>
      <c r="T277" s="8"/>
      <c r="U277" s="8"/>
      <c r="V277" s="8"/>
      <c r="W277" s="8"/>
      <c r="X277" s="8"/>
      <c r="Y277" s="8"/>
    </row>
    <row r="278" customHeight="1" spans="2:25">
      <c r="B278" s="7"/>
      <c r="C278" s="8"/>
      <c r="D278" s="3" t="str">
        <f t="shared" si="80"/>
        <v>智谱AI</v>
      </c>
      <c r="E278" s="8"/>
      <c r="F278" s="9"/>
      <c r="G278" s="8"/>
      <c r="H278" s="8"/>
      <c r="I278" s="8"/>
      <c r="J278" s="8"/>
      <c r="K278" s="3" t="str">
        <f t="shared" si="81"/>
        <v>运营中</v>
      </c>
      <c r="L278" s="8"/>
      <c r="M278" s="8"/>
      <c r="N278" s="8"/>
      <c r="O278" s="8"/>
      <c r="P278" s="10">
        <v>44453</v>
      </c>
      <c r="Q278" s="8" t="s">
        <v>1167</v>
      </c>
      <c r="R278" s="8" t="s">
        <v>430</v>
      </c>
      <c r="S278" s="8" t="s">
        <v>2529</v>
      </c>
      <c r="T278" s="8"/>
      <c r="U278" s="8"/>
      <c r="V278" s="8"/>
      <c r="W278" s="8"/>
      <c r="X278" s="8"/>
      <c r="Y278" s="8"/>
    </row>
    <row r="279" customHeight="1" spans="2:25">
      <c r="B279" s="7"/>
      <c r="C279" s="8"/>
      <c r="D279" s="3" t="str">
        <f t="shared" si="80"/>
        <v>智谱AI</v>
      </c>
      <c r="E279" s="8"/>
      <c r="F279" s="9"/>
      <c r="G279" s="8"/>
      <c r="H279" s="8"/>
      <c r="I279" s="8"/>
      <c r="J279" s="8"/>
      <c r="K279" s="3" t="str">
        <f t="shared" si="81"/>
        <v>运营中</v>
      </c>
      <c r="L279" s="8"/>
      <c r="M279" s="8"/>
      <c r="N279" s="8"/>
      <c r="O279" s="8"/>
      <c r="P279" s="10">
        <v>43690</v>
      </c>
      <c r="Q279" s="8" t="s">
        <v>280</v>
      </c>
      <c r="R279" s="8" t="s">
        <v>1816</v>
      </c>
      <c r="S279" s="8" t="s">
        <v>2530</v>
      </c>
      <c r="T279" s="8"/>
      <c r="U279" s="8"/>
      <c r="V279" s="8"/>
      <c r="W279" s="8"/>
      <c r="X279" s="8"/>
      <c r="Y279" s="8"/>
    </row>
    <row r="280" customHeight="1" spans="2:25">
      <c r="B280" s="7"/>
      <c r="C280" s="8" t="s">
        <v>1223</v>
      </c>
      <c r="D280" s="3" t="s">
        <v>2531</v>
      </c>
      <c r="E280" s="8" t="s">
        <v>2531</v>
      </c>
      <c r="F280" s="9" t="s">
        <v>2532</v>
      </c>
      <c r="G280" s="8" t="s">
        <v>2533</v>
      </c>
      <c r="H280" s="8" t="s">
        <v>1227</v>
      </c>
      <c r="I280" s="8" t="s">
        <v>1228</v>
      </c>
      <c r="J280" s="8" t="s">
        <v>2534</v>
      </c>
      <c r="K280" s="3" t="s">
        <v>278</v>
      </c>
      <c r="L280" s="8" t="s">
        <v>278</v>
      </c>
      <c r="M280" s="8" t="s">
        <v>19</v>
      </c>
      <c r="N280" s="8" t="s">
        <v>1179</v>
      </c>
      <c r="O280" s="8"/>
      <c r="P280" s="10">
        <v>45026</v>
      </c>
      <c r="Q280" s="8" t="s">
        <v>280</v>
      </c>
      <c r="R280" s="8" t="s">
        <v>281</v>
      </c>
      <c r="S280" s="8" t="s">
        <v>2535</v>
      </c>
      <c r="T280" s="8" t="s">
        <v>2522</v>
      </c>
      <c r="U280" s="8" t="s">
        <v>1717</v>
      </c>
      <c r="V280" s="8"/>
      <c r="W280" s="8" t="s">
        <v>2536</v>
      </c>
      <c r="X280" s="8"/>
      <c r="Y280" s="8"/>
    </row>
    <row r="281" customHeight="1" spans="2:25">
      <c r="B281" s="7"/>
      <c r="C281" s="8"/>
      <c r="D281" s="3" t="str">
        <f t="shared" ref="D281:D283" si="82">D280</f>
        <v>荣芯半导体</v>
      </c>
      <c r="E281" s="8"/>
      <c r="F281" s="9"/>
      <c r="G281" s="8"/>
      <c r="H281" s="8"/>
      <c r="I281" s="8"/>
      <c r="J281" s="8"/>
      <c r="K281" s="3" t="str">
        <f t="shared" ref="K281:K283" si="83">K280</f>
        <v>运营中</v>
      </c>
      <c r="L281" s="8"/>
      <c r="M281" s="8"/>
      <c r="N281" s="8"/>
      <c r="O281" s="8"/>
      <c r="P281" s="10">
        <v>44665</v>
      </c>
      <c r="Q281" s="8" t="s">
        <v>280</v>
      </c>
      <c r="R281" s="8" t="s">
        <v>989</v>
      </c>
      <c r="S281" s="8" t="s">
        <v>2537</v>
      </c>
      <c r="T281" s="8"/>
      <c r="U281" s="8"/>
      <c r="V281" s="8"/>
      <c r="W281" s="8"/>
      <c r="X281" s="8"/>
      <c r="Y281" s="8"/>
    </row>
    <row r="282" customHeight="1" spans="2:25">
      <c r="B282" s="7"/>
      <c r="C282" s="8"/>
      <c r="D282" s="3" t="str">
        <f t="shared" si="82"/>
        <v>荣芯半导体</v>
      </c>
      <c r="E282" s="8"/>
      <c r="F282" s="9"/>
      <c r="G282" s="8"/>
      <c r="H282" s="8"/>
      <c r="I282" s="8"/>
      <c r="J282" s="8"/>
      <c r="K282" s="3" t="str">
        <f t="shared" si="83"/>
        <v>运营中</v>
      </c>
      <c r="L282" s="8"/>
      <c r="M282" s="8"/>
      <c r="N282" s="8"/>
      <c r="O282" s="8"/>
      <c r="P282" s="10">
        <v>44578</v>
      </c>
      <c r="Q282" s="8" t="s">
        <v>280</v>
      </c>
      <c r="R282" s="8" t="s">
        <v>281</v>
      </c>
      <c r="S282" s="8" t="s">
        <v>2538</v>
      </c>
      <c r="T282" s="8"/>
      <c r="U282" s="8"/>
      <c r="V282" s="8"/>
      <c r="W282" s="8"/>
      <c r="X282" s="8"/>
      <c r="Y282" s="8"/>
    </row>
    <row r="283" customHeight="1" spans="2:25">
      <c r="B283" s="7"/>
      <c r="C283" s="8"/>
      <c r="D283" s="3" t="str">
        <f t="shared" si="82"/>
        <v>荣芯半导体</v>
      </c>
      <c r="E283" s="8"/>
      <c r="F283" s="9"/>
      <c r="G283" s="8"/>
      <c r="H283" s="8"/>
      <c r="I283" s="8"/>
      <c r="J283" s="8"/>
      <c r="K283" s="3" t="str">
        <f t="shared" si="83"/>
        <v>运营中</v>
      </c>
      <c r="L283" s="8"/>
      <c r="M283" s="8"/>
      <c r="N283" s="8"/>
      <c r="O283" s="8"/>
      <c r="P283" s="10">
        <v>44412</v>
      </c>
      <c r="Q283" s="8" t="s">
        <v>280</v>
      </c>
      <c r="R283" s="8" t="s">
        <v>281</v>
      </c>
      <c r="S283" s="8" t="s">
        <v>1236</v>
      </c>
      <c r="T283" s="8"/>
      <c r="U283" s="8"/>
      <c r="V283" s="8"/>
      <c r="W283" s="8"/>
      <c r="X283" s="8"/>
      <c r="Y283" s="8"/>
    </row>
    <row r="284" customHeight="1" spans="2:25">
      <c r="B284" s="7"/>
      <c r="C284" s="8" t="s">
        <v>1237</v>
      </c>
      <c r="D284" s="3" t="s">
        <v>2539</v>
      </c>
      <c r="E284" s="8" t="s">
        <v>2539</v>
      </c>
      <c r="F284" s="9" t="s">
        <v>2540</v>
      </c>
      <c r="G284" s="8" t="s">
        <v>2541</v>
      </c>
      <c r="H284" s="8" t="s">
        <v>1241</v>
      </c>
      <c r="I284" s="8" t="s">
        <v>457</v>
      </c>
      <c r="J284" s="8" t="s">
        <v>952</v>
      </c>
      <c r="K284" s="3" t="s">
        <v>278</v>
      </c>
      <c r="L284" s="8" t="s">
        <v>278</v>
      </c>
      <c r="M284" s="8" t="s">
        <v>19</v>
      </c>
      <c r="N284" s="8" t="s">
        <v>2542</v>
      </c>
      <c r="O284" s="8"/>
      <c r="P284" s="10">
        <v>45098</v>
      </c>
      <c r="Q284" s="8" t="s">
        <v>868</v>
      </c>
      <c r="R284" s="8" t="s">
        <v>2543</v>
      </c>
      <c r="S284" s="8" t="s">
        <v>2544</v>
      </c>
      <c r="T284" s="8" t="s">
        <v>2545</v>
      </c>
      <c r="U284" s="8" t="s">
        <v>2546</v>
      </c>
      <c r="V284" s="8" t="s">
        <v>2547</v>
      </c>
      <c r="W284" s="8" t="s">
        <v>2548</v>
      </c>
      <c r="X284" s="8" t="s">
        <v>1249</v>
      </c>
      <c r="Y284" s="8" t="s">
        <v>1250</v>
      </c>
    </row>
    <row r="285" customHeight="1" spans="2:25">
      <c r="B285" s="7"/>
      <c r="C285" s="8"/>
      <c r="D285" s="3" t="str">
        <f t="shared" ref="D285:D288" si="84">D284</f>
        <v>欣旺达动力EVB</v>
      </c>
      <c r="E285" s="8"/>
      <c r="F285" s="9"/>
      <c r="G285" s="8"/>
      <c r="H285" s="8"/>
      <c r="I285" s="8"/>
      <c r="J285" s="8"/>
      <c r="K285" s="3" t="str">
        <f t="shared" ref="K285:K288" si="85">K284</f>
        <v>运营中</v>
      </c>
      <c r="L285" s="8"/>
      <c r="M285" s="8"/>
      <c r="N285" s="8"/>
      <c r="O285" s="8"/>
      <c r="P285" s="10">
        <v>45090</v>
      </c>
      <c r="Q285" s="8" t="s">
        <v>280</v>
      </c>
      <c r="R285" s="8" t="s">
        <v>1251</v>
      </c>
      <c r="S285" s="8" t="s">
        <v>1252</v>
      </c>
      <c r="T285" s="8"/>
      <c r="U285" s="8"/>
      <c r="V285" s="8"/>
      <c r="W285" s="8"/>
      <c r="X285" s="8"/>
      <c r="Y285" s="8"/>
    </row>
    <row r="286" customHeight="1" spans="2:25">
      <c r="B286" s="7"/>
      <c r="C286" s="8"/>
      <c r="D286" s="3" t="str">
        <f t="shared" si="84"/>
        <v>欣旺达动力EVB</v>
      </c>
      <c r="E286" s="8"/>
      <c r="F286" s="9"/>
      <c r="G286" s="8"/>
      <c r="H286" s="8"/>
      <c r="I286" s="8"/>
      <c r="J286" s="8"/>
      <c r="K286" s="3" t="str">
        <f t="shared" si="85"/>
        <v>运营中</v>
      </c>
      <c r="L286" s="8"/>
      <c r="M286" s="8"/>
      <c r="N286" s="8"/>
      <c r="O286" s="8"/>
      <c r="P286" s="10">
        <v>44798</v>
      </c>
      <c r="Q286" s="8" t="s">
        <v>1167</v>
      </c>
      <c r="R286" s="8" t="s">
        <v>1253</v>
      </c>
      <c r="S286" s="8" t="s">
        <v>1254</v>
      </c>
      <c r="T286" s="8"/>
      <c r="U286" s="8"/>
      <c r="V286" s="8"/>
      <c r="W286" s="8"/>
      <c r="X286" s="8"/>
      <c r="Y286" s="8"/>
    </row>
    <row r="287" customHeight="1" spans="2:25">
      <c r="B287" s="7"/>
      <c r="C287" s="8"/>
      <c r="D287" s="3" t="str">
        <f t="shared" si="84"/>
        <v>欣旺达动力EVB</v>
      </c>
      <c r="E287" s="8"/>
      <c r="F287" s="9"/>
      <c r="G287" s="8"/>
      <c r="H287" s="8"/>
      <c r="I287" s="8"/>
      <c r="J287" s="8"/>
      <c r="K287" s="3" t="str">
        <f t="shared" si="85"/>
        <v>运营中</v>
      </c>
      <c r="L287" s="8"/>
      <c r="M287" s="8"/>
      <c r="N287" s="8"/>
      <c r="O287" s="8"/>
      <c r="P287" s="10">
        <v>44721</v>
      </c>
      <c r="Q287" s="8" t="s">
        <v>280</v>
      </c>
      <c r="R287" s="8" t="s">
        <v>430</v>
      </c>
      <c r="S287" s="8" t="s">
        <v>2549</v>
      </c>
      <c r="T287" s="8"/>
      <c r="U287" s="8"/>
      <c r="V287" s="8"/>
      <c r="W287" s="8"/>
      <c r="X287" s="8"/>
      <c r="Y287" s="8"/>
    </row>
    <row r="288" customHeight="1" spans="2:25">
      <c r="B288" s="7"/>
      <c r="C288" s="8"/>
      <c r="D288" s="3" t="str">
        <f t="shared" si="84"/>
        <v>欣旺达动力EVB</v>
      </c>
      <c r="E288" s="8"/>
      <c r="F288" s="9"/>
      <c r="G288" s="8"/>
      <c r="H288" s="8"/>
      <c r="I288" s="8"/>
      <c r="J288" s="8"/>
      <c r="K288" s="3" t="str">
        <f t="shared" si="85"/>
        <v>运营中</v>
      </c>
      <c r="L288" s="8"/>
      <c r="M288" s="8"/>
      <c r="N288" s="8"/>
      <c r="O288" s="8"/>
      <c r="P288" s="10">
        <v>44620</v>
      </c>
      <c r="Q288" s="8" t="s">
        <v>280</v>
      </c>
      <c r="R288" s="8" t="s">
        <v>2550</v>
      </c>
      <c r="S288" s="8" t="s">
        <v>2551</v>
      </c>
      <c r="T288" s="8"/>
      <c r="U288" s="8"/>
      <c r="V288" s="8"/>
      <c r="W288" s="8"/>
      <c r="X288" s="8"/>
      <c r="Y288" s="8"/>
    </row>
    <row r="289" customHeight="1" spans="2:25">
      <c r="B289" s="7"/>
      <c r="C289" s="8" t="s">
        <v>1258</v>
      </c>
      <c r="D289" s="3" t="s">
        <v>2552</v>
      </c>
      <c r="E289" s="8" t="s">
        <v>2552</v>
      </c>
      <c r="F289" s="9" t="s">
        <v>2553</v>
      </c>
      <c r="G289" s="8" t="s">
        <v>2554</v>
      </c>
      <c r="H289" s="8" t="s">
        <v>1262</v>
      </c>
      <c r="I289" s="8" t="s">
        <v>1263</v>
      </c>
      <c r="J289" s="8" t="s">
        <v>2555</v>
      </c>
      <c r="K289" s="3" t="s">
        <v>278</v>
      </c>
      <c r="L289" s="8" t="s">
        <v>278</v>
      </c>
      <c r="M289" s="8" t="s">
        <v>19</v>
      </c>
      <c r="N289" s="8" t="s">
        <v>2542</v>
      </c>
      <c r="O289" s="8"/>
      <c r="P289" s="10">
        <v>45092</v>
      </c>
      <c r="Q289" s="8" t="s">
        <v>1167</v>
      </c>
      <c r="R289" s="8" t="s">
        <v>866</v>
      </c>
      <c r="S289" s="8" t="s">
        <v>2556</v>
      </c>
      <c r="T289" s="8" t="s">
        <v>2557</v>
      </c>
      <c r="U289" s="8" t="s">
        <v>1802</v>
      </c>
      <c r="V289" s="8" t="s">
        <v>2558</v>
      </c>
      <c r="W289" s="8" t="s">
        <v>2559</v>
      </c>
      <c r="X289" s="8" t="s">
        <v>1269</v>
      </c>
      <c r="Y289" s="8" t="s">
        <v>1270</v>
      </c>
    </row>
    <row r="290" customHeight="1" spans="2:25">
      <c r="B290" s="7"/>
      <c r="C290" s="8"/>
      <c r="D290" s="3" t="str">
        <f t="shared" ref="D290:D291" si="86">D289</f>
        <v>超钠新能源</v>
      </c>
      <c r="E290" s="8"/>
      <c r="F290" s="9"/>
      <c r="G290" s="8"/>
      <c r="H290" s="8"/>
      <c r="I290" s="8"/>
      <c r="J290" s="8"/>
      <c r="K290" s="3" t="str">
        <f t="shared" ref="K290:K291" si="87">K289</f>
        <v>运营中</v>
      </c>
      <c r="L290" s="8"/>
      <c r="M290" s="8"/>
      <c r="N290" s="8"/>
      <c r="O290" s="8"/>
      <c r="P290" s="10">
        <v>44900</v>
      </c>
      <c r="Q290" s="8" t="s">
        <v>1169</v>
      </c>
      <c r="R290" s="8" t="s">
        <v>281</v>
      </c>
      <c r="S290" s="8" t="s">
        <v>809</v>
      </c>
      <c r="T290" s="8"/>
      <c r="U290" s="8"/>
      <c r="V290" s="8"/>
      <c r="W290" s="8"/>
      <c r="X290" s="8"/>
      <c r="Y290" s="8"/>
    </row>
    <row r="291" customHeight="1" spans="2:25">
      <c r="B291" s="7"/>
      <c r="C291" s="8"/>
      <c r="D291" s="3" t="str">
        <f t="shared" si="86"/>
        <v>超钠新能源</v>
      </c>
      <c r="E291" s="8"/>
      <c r="F291" s="9"/>
      <c r="G291" s="8"/>
      <c r="H291" s="8"/>
      <c r="I291" s="8"/>
      <c r="J291" s="8"/>
      <c r="K291" s="3" t="str">
        <f t="shared" si="87"/>
        <v>运营中</v>
      </c>
      <c r="L291" s="8"/>
      <c r="M291" s="8"/>
      <c r="N291" s="8"/>
      <c r="O291" s="8"/>
      <c r="P291" s="10">
        <v>44419</v>
      </c>
      <c r="Q291" s="8" t="s">
        <v>1875</v>
      </c>
      <c r="R291" s="8" t="s">
        <v>281</v>
      </c>
      <c r="S291" s="8" t="s">
        <v>2560</v>
      </c>
      <c r="T291" s="8"/>
      <c r="U291" s="8"/>
      <c r="V291" s="8"/>
      <c r="W291" s="8"/>
      <c r="X291" s="8"/>
      <c r="Y291" s="8"/>
    </row>
    <row r="292" customHeight="1" spans="2:25">
      <c r="B292" s="7" t="s">
        <v>1518</v>
      </c>
      <c r="C292" s="8" t="s">
        <v>1272</v>
      </c>
      <c r="D292" s="3" t="s">
        <v>2561</v>
      </c>
      <c r="E292" s="8" t="s">
        <v>2561</v>
      </c>
      <c r="F292" s="9" t="s">
        <v>2562</v>
      </c>
      <c r="G292" s="8" t="s">
        <v>2563</v>
      </c>
      <c r="H292" s="8" t="s">
        <v>1276</v>
      </c>
      <c r="I292" s="8" t="s">
        <v>1277</v>
      </c>
      <c r="J292" s="8" t="s">
        <v>553</v>
      </c>
      <c r="K292" s="3" t="s">
        <v>278</v>
      </c>
      <c r="L292" s="8" t="s">
        <v>278</v>
      </c>
      <c r="M292" s="8" t="s">
        <v>10</v>
      </c>
      <c r="N292" s="8" t="s">
        <v>279</v>
      </c>
      <c r="O292" s="8"/>
      <c r="P292" s="10">
        <v>44546</v>
      </c>
      <c r="Q292" s="8" t="s">
        <v>2564</v>
      </c>
      <c r="R292" s="8" t="s">
        <v>556</v>
      </c>
      <c r="S292" s="8" t="s">
        <v>2565</v>
      </c>
      <c r="T292" s="8" t="s">
        <v>2566</v>
      </c>
      <c r="U292" s="8" t="s">
        <v>2567</v>
      </c>
      <c r="V292" s="8" t="s">
        <v>2568</v>
      </c>
      <c r="W292" s="8"/>
      <c r="X292" s="8"/>
      <c r="Y292" s="8"/>
    </row>
    <row r="293" customHeight="1" spans="2:25">
      <c r="B293" s="7"/>
      <c r="C293" s="8"/>
      <c r="D293" s="3" t="str">
        <f t="shared" ref="D293:D301" si="88">D292</f>
        <v>美餐网</v>
      </c>
      <c r="E293" s="8"/>
      <c r="F293" s="9"/>
      <c r="G293" s="8"/>
      <c r="H293" s="8"/>
      <c r="I293" s="8"/>
      <c r="J293" s="8"/>
      <c r="K293" s="3" t="str">
        <f t="shared" ref="K293:K301" si="89">K292</f>
        <v>运营中</v>
      </c>
      <c r="L293" s="8"/>
      <c r="M293" s="8"/>
      <c r="N293" s="8"/>
      <c r="O293" s="8"/>
      <c r="P293" s="10">
        <v>44510</v>
      </c>
      <c r="Q293" s="8" t="s">
        <v>1571</v>
      </c>
      <c r="R293" s="8" t="s">
        <v>919</v>
      </c>
      <c r="S293" s="8" t="s">
        <v>2569</v>
      </c>
      <c r="T293" s="8"/>
      <c r="U293" s="8"/>
      <c r="V293" s="8"/>
      <c r="W293" s="8"/>
      <c r="X293" s="8"/>
      <c r="Y293" s="8"/>
    </row>
    <row r="294" customHeight="1" spans="2:25">
      <c r="B294" s="7"/>
      <c r="C294" s="8"/>
      <c r="D294" s="3" t="str">
        <f t="shared" si="88"/>
        <v>美餐网</v>
      </c>
      <c r="E294" s="8"/>
      <c r="F294" s="9"/>
      <c r="G294" s="8"/>
      <c r="H294" s="8"/>
      <c r="I294" s="8"/>
      <c r="J294" s="8"/>
      <c r="K294" s="3" t="str">
        <f t="shared" si="89"/>
        <v>运营中</v>
      </c>
      <c r="L294" s="8"/>
      <c r="M294" s="8"/>
      <c r="N294" s="8"/>
      <c r="O294" s="8"/>
      <c r="P294" s="10">
        <v>43697</v>
      </c>
      <c r="Q294" s="8" t="s">
        <v>280</v>
      </c>
      <c r="R294" s="8" t="s">
        <v>430</v>
      </c>
      <c r="S294" s="8" t="s">
        <v>2570</v>
      </c>
      <c r="T294" s="8"/>
      <c r="U294" s="8"/>
      <c r="V294" s="8"/>
      <c r="W294" s="8"/>
      <c r="X294" s="8"/>
      <c r="Y294" s="8"/>
    </row>
    <row r="295" customHeight="1" spans="2:25">
      <c r="B295" s="7"/>
      <c r="C295" s="8"/>
      <c r="D295" s="3" t="str">
        <f t="shared" si="88"/>
        <v>美餐网</v>
      </c>
      <c r="E295" s="8"/>
      <c r="F295" s="9"/>
      <c r="G295" s="8"/>
      <c r="H295" s="8"/>
      <c r="I295" s="8"/>
      <c r="J295" s="8"/>
      <c r="K295" s="3" t="str">
        <f t="shared" si="89"/>
        <v>运营中</v>
      </c>
      <c r="L295" s="8"/>
      <c r="M295" s="8"/>
      <c r="N295" s="8"/>
      <c r="O295" s="8"/>
      <c r="P295" s="10">
        <v>43251</v>
      </c>
      <c r="Q295" s="8" t="s">
        <v>555</v>
      </c>
      <c r="R295" s="8" t="s">
        <v>430</v>
      </c>
      <c r="S295" s="8" t="s">
        <v>2571</v>
      </c>
      <c r="T295" s="8"/>
      <c r="U295" s="8"/>
      <c r="V295" s="8"/>
      <c r="W295" s="8"/>
      <c r="X295" s="8"/>
      <c r="Y295" s="8"/>
    </row>
    <row r="296" customHeight="1" spans="2:25">
      <c r="B296" s="7"/>
      <c r="C296" s="8"/>
      <c r="D296" s="3" t="str">
        <f t="shared" si="88"/>
        <v>美餐网</v>
      </c>
      <c r="E296" s="8"/>
      <c r="F296" s="9"/>
      <c r="G296" s="8"/>
      <c r="H296" s="8"/>
      <c r="I296" s="8"/>
      <c r="J296" s="8"/>
      <c r="K296" s="3" t="str">
        <f t="shared" si="89"/>
        <v>运营中</v>
      </c>
      <c r="L296" s="8"/>
      <c r="M296" s="8"/>
      <c r="N296" s="8"/>
      <c r="O296" s="8"/>
      <c r="P296" s="10">
        <v>42949</v>
      </c>
      <c r="Q296" s="8" t="s">
        <v>1579</v>
      </c>
      <c r="R296" s="8" t="s">
        <v>556</v>
      </c>
      <c r="S296" s="8" t="s">
        <v>2572</v>
      </c>
      <c r="T296" s="8"/>
      <c r="U296" s="8"/>
      <c r="V296" s="8"/>
      <c r="W296" s="8"/>
      <c r="X296" s="8"/>
      <c r="Y296" s="8"/>
    </row>
    <row r="297" customHeight="1" spans="2:25">
      <c r="B297" s="7"/>
      <c r="C297" s="8"/>
      <c r="D297" s="3" t="str">
        <f t="shared" si="88"/>
        <v>美餐网</v>
      </c>
      <c r="E297" s="8"/>
      <c r="F297" s="9"/>
      <c r="G297" s="8"/>
      <c r="H297" s="8"/>
      <c r="I297" s="8"/>
      <c r="J297" s="8"/>
      <c r="K297" s="3" t="str">
        <f t="shared" si="89"/>
        <v>运营中</v>
      </c>
      <c r="L297" s="8"/>
      <c r="M297" s="8"/>
      <c r="N297" s="8"/>
      <c r="O297" s="8"/>
      <c r="P297" s="10">
        <v>42101</v>
      </c>
      <c r="Q297" s="8" t="s">
        <v>425</v>
      </c>
      <c r="R297" s="8" t="s">
        <v>2573</v>
      </c>
      <c r="S297" s="8" t="s">
        <v>2574</v>
      </c>
      <c r="T297" s="8"/>
      <c r="U297" s="8"/>
      <c r="V297" s="8"/>
      <c r="W297" s="8"/>
      <c r="X297" s="8"/>
      <c r="Y297" s="8"/>
    </row>
    <row r="298" customHeight="1" spans="2:25">
      <c r="B298" s="7"/>
      <c r="C298" s="8"/>
      <c r="D298" s="3" t="str">
        <f t="shared" si="88"/>
        <v>美餐网</v>
      </c>
      <c r="E298" s="8"/>
      <c r="F298" s="9"/>
      <c r="G298" s="8"/>
      <c r="H298" s="8"/>
      <c r="I298" s="8"/>
      <c r="J298" s="8"/>
      <c r="K298" s="3" t="str">
        <f t="shared" si="89"/>
        <v>运营中</v>
      </c>
      <c r="L298" s="8"/>
      <c r="M298" s="8"/>
      <c r="N298" s="8"/>
      <c r="O298" s="8"/>
      <c r="P298" s="10">
        <v>41752</v>
      </c>
      <c r="Q298" s="8" t="s">
        <v>865</v>
      </c>
      <c r="R298" s="8" t="s">
        <v>1968</v>
      </c>
      <c r="S298" s="8" t="s">
        <v>2575</v>
      </c>
      <c r="T298" s="8"/>
      <c r="U298" s="8"/>
      <c r="V298" s="8"/>
      <c r="W298" s="8"/>
      <c r="X298" s="8"/>
      <c r="Y298" s="8"/>
    </row>
    <row r="299" customHeight="1" spans="2:25">
      <c r="B299" s="7"/>
      <c r="C299" s="8"/>
      <c r="D299" s="3" t="str">
        <f t="shared" si="88"/>
        <v>美餐网</v>
      </c>
      <c r="E299" s="8"/>
      <c r="F299" s="9"/>
      <c r="G299" s="8"/>
      <c r="H299" s="8"/>
      <c r="I299" s="8"/>
      <c r="J299" s="8"/>
      <c r="K299" s="3" t="str">
        <f t="shared" si="89"/>
        <v>运营中</v>
      </c>
      <c r="L299" s="8"/>
      <c r="M299" s="8"/>
      <c r="N299" s="8"/>
      <c r="O299" s="8"/>
      <c r="P299" s="10">
        <v>41699</v>
      </c>
      <c r="Q299" s="8" t="s">
        <v>868</v>
      </c>
      <c r="R299" s="8" t="s">
        <v>2019</v>
      </c>
      <c r="S299" s="8" t="s">
        <v>2576</v>
      </c>
      <c r="T299" s="8"/>
      <c r="U299" s="8"/>
      <c r="V299" s="8"/>
      <c r="W299" s="8"/>
      <c r="X299" s="8"/>
      <c r="Y299" s="8"/>
    </row>
    <row r="300" customHeight="1" spans="2:25">
      <c r="B300" s="7"/>
      <c r="C300" s="8"/>
      <c r="D300" s="3" t="str">
        <f t="shared" si="88"/>
        <v>美餐网</v>
      </c>
      <c r="E300" s="8"/>
      <c r="F300" s="9"/>
      <c r="G300" s="8"/>
      <c r="H300" s="8"/>
      <c r="I300" s="8"/>
      <c r="J300" s="8"/>
      <c r="K300" s="3" t="str">
        <f t="shared" si="89"/>
        <v>运营中</v>
      </c>
      <c r="L300" s="8"/>
      <c r="M300" s="8"/>
      <c r="N300" s="8"/>
      <c r="O300" s="8"/>
      <c r="P300" s="10">
        <v>41183</v>
      </c>
      <c r="Q300" s="8" t="s">
        <v>1167</v>
      </c>
      <c r="R300" s="8" t="s">
        <v>1968</v>
      </c>
      <c r="S300" s="8" t="s">
        <v>2577</v>
      </c>
      <c r="T300" s="8"/>
      <c r="U300" s="8"/>
      <c r="V300" s="8"/>
      <c r="W300" s="8"/>
      <c r="X300" s="8"/>
      <c r="Y300" s="8"/>
    </row>
    <row r="301" customHeight="1" spans="2:25">
      <c r="B301" s="7"/>
      <c r="C301" s="8"/>
      <c r="D301" s="3" t="str">
        <f t="shared" si="88"/>
        <v>美餐网</v>
      </c>
      <c r="E301" s="8"/>
      <c r="F301" s="9"/>
      <c r="G301" s="8"/>
      <c r="H301" s="8"/>
      <c r="I301" s="8"/>
      <c r="J301" s="8"/>
      <c r="K301" s="3" t="str">
        <f t="shared" si="89"/>
        <v>运营中</v>
      </c>
      <c r="L301" s="8"/>
      <c r="M301" s="8"/>
      <c r="N301" s="8"/>
      <c r="O301" s="8"/>
      <c r="P301" s="10">
        <v>40940</v>
      </c>
      <c r="Q301" s="8" t="s">
        <v>1875</v>
      </c>
      <c r="R301" s="8" t="s">
        <v>1952</v>
      </c>
      <c r="S301" s="8" t="s">
        <v>2578</v>
      </c>
      <c r="T301" s="8"/>
      <c r="U301" s="8"/>
      <c r="V301" s="8"/>
      <c r="W301" s="8"/>
      <c r="X301" s="8"/>
      <c r="Y301" s="8"/>
    </row>
    <row r="302" customHeight="1" spans="2:25">
      <c r="B302" s="7"/>
      <c r="C302" s="8" t="s">
        <v>1293</v>
      </c>
      <c r="D302" s="3" t="s">
        <v>2579</v>
      </c>
      <c r="E302" s="8" t="s">
        <v>2579</v>
      </c>
      <c r="F302" s="9" t="s">
        <v>2580</v>
      </c>
      <c r="G302" s="8" t="s">
        <v>2581</v>
      </c>
      <c r="H302" s="8" t="s">
        <v>1297</v>
      </c>
      <c r="I302" s="8" t="s">
        <v>1298</v>
      </c>
      <c r="J302" s="8" t="s">
        <v>2081</v>
      </c>
      <c r="K302" s="3" t="s">
        <v>278</v>
      </c>
      <c r="L302" s="8" t="s">
        <v>278</v>
      </c>
      <c r="M302" s="8" t="s">
        <v>10</v>
      </c>
      <c r="N302" s="8" t="s">
        <v>2035</v>
      </c>
      <c r="O302" s="8">
        <v>1</v>
      </c>
      <c r="P302" s="10">
        <v>44214</v>
      </c>
      <c r="Q302" s="8" t="s">
        <v>1948</v>
      </c>
      <c r="R302" s="8" t="s">
        <v>281</v>
      </c>
      <c r="S302" s="8" t="s">
        <v>2582</v>
      </c>
      <c r="T302" s="8" t="s">
        <v>2583</v>
      </c>
      <c r="U302" s="8" t="s">
        <v>284</v>
      </c>
      <c r="V302" s="8" t="s">
        <v>2584</v>
      </c>
      <c r="W302" s="8"/>
      <c r="X302" s="8"/>
      <c r="Y302" s="8"/>
    </row>
    <row r="303" customHeight="1" spans="2:25">
      <c r="B303" s="7"/>
      <c r="C303" s="8"/>
      <c r="D303" s="3" t="str">
        <f t="shared" ref="D303:D308" si="90">D302</f>
        <v>美味不用等</v>
      </c>
      <c r="E303" s="8"/>
      <c r="F303" s="9"/>
      <c r="G303" s="8"/>
      <c r="H303" s="8"/>
      <c r="I303" s="8"/>
      <c r="J303" s="8"/>
      <c r="K303" s="3" t="str">
        <f t="shared" ref="K303:K308" si="91">K302</f>
        <v>运营中</v>
      </c>
      <c r="L303" s="8"/>
      <c r="M303" s="8"/>
      <c r="N303" s="8"/>
      <c r="O303" s="8">
        <v>1</v>
      </c>
      <c r="P303" s="10">
        <v>43231</v>
      </c>
      <c r="Q303" s="8" t="s">
        <v>1579</v>
      </c>
      <c r="R303" s="8" t="s">
        <v>1581</v>
      </c>
      <c r="S303" s="8" t="s">
        <v>2585</v>
      </c>
      <c r="T303" s="8"/>
      <c r="U303" s="8"/>
      <c r="V303" s="8"/>
      <c r="W303" s="8"/>
      <c r="X303" s="8"/>
      <c r="Y303" s="8"/>
    </row>
    <row r="304" customHeight="1" spans="2:25">
      <c r="B304" s="7"/>
      <c r="C304" s="8"/>
      <c r="D304" s="3" t="str">
        <f t="shared" si="90"/>
        <v>美味不用等</v>
      </c>
      <c r="E304" s="8"/>
      <c r="F304" s="9"/>
      <c r="G304" s="8"/>
      <c r="H304" s="8"/>
      <c r="I304" s="8"/>
      <c r="J304" s="8"/>
      <c r="K304" s="3" t="str">
        <f t="shared" si="91"/>
        <v>运营中</v>
      </c>
      <c r="L304" s="8"/>
      <c r="M304" s="8"/>
      <c r="N304" s="8"/>
      <c r="O304" s="8">
        <v>1</v>
      </c>
      <c r="P304" s="10">
        <v>42734</v>
      </c>
      <c r="Q304" s="8" t="s">
        <v>791</v>
      </c>
      <c r="R304" s="8" t="s">
        <v>430</v>
      </c>
      <c r="S304" s="8" t="s">
        <v>2586</v>
      </c>
      <c r="T304" s="8"/>
      <c r="U304" s="8"/>
      <c r="V304" s="8"/>
      <c r="W304" s="8"/>
      <c r="X304" s="8"/>
      <c r="Y304" s="8"/>
    </row>
    <row r="305" customHeight="1" spans="2:25">
      <c r="B305" s="7"/>
      <c r="C305" s="8"/>
      <c r="D305" s="3" t="str">
        <f t="shared" si="90"/>
        <v>美味不用等</v>
      </c>
      <c r="E305" s="8"/>
      <c r="F305" s="9"/>
      <c r="G305" s="8"/>
      <c r="H305" s="8"/>
      <c r="I305" s="8"/>
      <c r="J305" s="8"/>
      <c r="K305" s="3" t="str">
        <f t="shared" si="91"/>
        <v>运营中</v>
      </c>
      <c r="L305" s="8"/>
      <c r="M305" s="8"/>
      <c r="N305" s="8"/>
      <c r="O305" s="8">
        <v>1</v>
      </c>
      <c r="P305" s="10">
        <v>42305</v>
      </c>
      <c r="Q305" s="8" t="s">
        <v>425</v>
      </c>
      <c r="R305" s="8" t="s">
        <v>863</v>
      </c>
      <c r="S305" s="8" t="s">
        <v>2587</v>
      </c>
      <c r="T305" s="8"/>
      <c r="U305" s="8"/>
      <c r="V305" s="8"/>
      <c r="W305" s="8"/>
      <c r="X305" s="8"/>
      <c r="Y305" s="8"/>
    </row>
    <row r="306" customHeight="1" spans="2:25">
      <c r="B306" s="7"/>
      <c r="C306" s="8"/>
      <c r="D306" s="3" t="str">
        <f t="shared" si="90"/>
        <v>美味不用等</v>
      </c>
      <c r="E306" s="8"/>
      <c r="F306" s="9"/>
      <c r="G306" s="8"/>
      <c r="H306" s="8"/>
      <c r="I306" s="8"/>
      <c r="J306" s="8"/>
      <c r="K306" s="3" t="str">
        <f t="shared" si="91"/>
        <v>运营中</v>
      </c>
      <c r="L306" s="8"/>
      <c r="M306" s="8"/>
      <c r="N306" s="8"/>
      <c r="O306" s="8">
        <v>1</v>
      </c>
      <c r="P306" s="10">
        <v>42019</v>
      </c>
      <c r="Q306" s="8" t="s">
        <v>868</v>
      </c>
      <c r="R306" s="8" t="s">
        <v>2049</v>
      </c>
      <c r="S306" s="8" t="s">
        <v>2588</v>
      </c>
      <c r="T306" s="8"/>
      <c r="U306" s="8"/>
      <c r="V306" s="8"/>
      <c r="W306" s="8"/>
      <c r="X306" s="8"/>
      <c r="Y306" s="8"/>
    </row>
    <row r="307" customHeight="1" spans="2:25">
      <c r="B307" s="7"/>
      <c r="C307" s="8"/>
      <c r="D307" s="3" t="str">
        <f t="shared" si="90"/>
        <v>美味不用等</v>
      </c>
      <c r="E307" s="8"/>
      <c r="F307" s="9"/>
      <c r="G307" s="8"/>
      <c r="H307" s="8"/>
      <c r="I307" s="8"/>
      <c r="J307" s="8"/>
      <c r="K307" s="3" t="str">
        <f t="shared" si="91"/>
        <v>运营中</v>
      </c>
      <c r="L307" s="8"/>
      <c r="M307" s="8"/>
      <c r="N307" s="8"/>
      <c r="O307" s="8">
        <v>1</v>
      </c>
      <c r="P307" s="10">
        <v>41863</v>
      </c>
      <c r="Q307" s="8" t="s">
        <v>1167</v>
      </c>
      <c r="R307" s="8" t="s">
        <v>1968</v>
      </c>
      <c r="S307" s="8" t="s">
        <v>2589</v>
      </c>
      <c r="T307" s="8"/>
      <c r="U307" s="8"/>
      <c r="V307" s="8"/>
      <c r="W307" s="8"/>
      <c r="X307" s="8"/>
      <c r="Y307" s="8"/>
    </row>
    <row r="308" customHeight="1" spans="2:25">
      <c r="B308" s="7"/>
      <c r="C308" s="8"/>
      <c r="D308" s="3" t="str">
        <f t="shared" si="90"/>
        <v>美味不用等</v>
      </c>
      <c r="E308" s="8"/>
      <c r="F308" s="9"/>
      <c r="G308" s="8"/>
      <c r="H308" s="8"/>
      <c r="I308" s="8"/>
      <c r="J308" s="8"/>
      <c r="K308" s="3" t="str">
        <f t="shared" si="91"/>
        <v>运营中</v>
      </c>
      <c r="L308" s="8"/>
      <c r="M308" s="8"/>
      <c r="N308" s="8"/>
      <c r="O308" s="8">
        <v>1</v>
      </c>
      <c r="P308" s="10">
        <v>41550</v>
      </c>
      <c r="Q308" s="8" t="s">
        <v>1875</v>
      </c>
      <c r="R308" s="8" t="s">
        <v>1952</v>
      </c>
      <c r="S308" s="8" t="s">
        <v>2590</v>
      </c>
      <c r="T308" s="8"/>
      <c r="U308" s="8"/>
      <c r="V308" s="8"/>
      <c r="W308" s="8"/>
      <c r="X308" s="8"/>
      <c r="Y308" s="8"/>
    </row>
    <row r="309" customHeight="1" spans="2:25">
      <c r="B309" s="7"/>
      <c r="C309" s="8" t="s">
        <v>1308</v>
      </c>
      <c r="D309" s="3" t="s">
        <v>2591</v>
      </c>
      <c r="E309" s="8" t="s">
        <v>2591</v>
      </c>
      <c r="F309" s="9" t="s">
        <v>2592</v>
      </c>
      <c r="G309" s="8" t="s">
        <v>2593</v>
      </c>
      <c r="H309" s="8" t="s">
        <v>1312</v>
      </c>
      <c r="I309" s="8" t="s">
        <v>1313</v>
      </c>
      <c r="J309" s="8" t="s">
        <v>2594</v>
      </c>
      <c r="K309" s="3" t="s">
        <v>278</v>
      </c>
      <c r="L309" s="8" t="s">
        <v>278</v>
      </c>
      <c r="M309" s="8" t="s">
        <v>10</v>
      </c>
      <c r="N309" s="8" t="s">
        <v>279</v>
      </c>
      <c r="O309" s="8">
        <v>1</v>
      </c>
      <c r="P309" s="10">
        <v>43385</v>
      </c>
      <c r="Q309" s="8" t="s">
        <v>1997</v>
      </c>
      <c r="R309" s="8" t="s">
        <v>281</v>
      </c>
      <c r="S309" s="8" t="s">
        <v>2141</v>
      </c>
      <c r="T309" s="8" t="s">
        <v>2595</v>
      </c>
      <c r="U309" s="8" t="s">
        <v>284</v>
      </c>
      <c r="V309" s="8" t="s">
        <v>2596</v>
      </c>
      <c r="W309" s="8" t="s">
        <v>2597</v>
      </c>
      <c r="X309" s="8" t="s">
        <v>1318</v>
      </c>
      <c r="Y309" s="8" t="s">
        <v>1319</v>
      </c>
    </row>
    <row r="310" customHeight="1" spans="2:25">
      <c r="B310" s="7"/>
      <c r="C310" s="8"/>
      <c r="D310" s="3" t="str">
        <f t="shared" ref="D310:D319" si="92">D309</f>
        <v>饿了么</v>
      </c>
      <c r="E310" s="8"/>
      <c r="F310" s="9"/>
      <c r="G310" s="8"/>
      <c r="H310" s="8"/>
      <c r="I310" s="8"/>
      <c r="J310" s="8"/>
      <c r="K310" s="3" t="str">
        <f t="shared" ref="K310:K319" si="93">K309</f>
        <v>运营中</v>
      </c>
      <c r="L310" s="8"/>
      <c r="M310" s="8"/>
      <c r="N310" s="8"/>
      <c r="O310" s="8">
        <v>1</v>
      </c>
      <c r="P310" s="10">
        <v>43192</v>
      </c>
      <c r="Q310" s="8" t="s">
        <v>1948</v>
      </c>
      <c r="R310" s="8" t="s">
        <v>2598</v>
      </c>
      <c r="S310" s="8" t="s">
        <v>2599</v>
      </c>
      <c r="T310" s="8"/>
      <c r="U310" s="8"/>
      <c r="V310" s="8"/>
      <c r="W310" s="8"/>
      <c r="X310" s="8"/>
      <c r="Y310" s="8"/>
    </row>
    <row r="311" customHeight="1" spans="2:25">
      <c r="B311" s="7"/>
      <c r="C311" s="8"/>
      <c r="D311" s="3" t="str">
        <f t="shared" si="92"/>
        <v>饿了么</v>
      </c>
      <c r="E311" s="8"/>
      <c r="F311" s="9"/>
      <c r="G311" s="8"/>
      <c r="H311" s="8"/>
      <c r="I311" s="8"/>
      <c r="J311" s="8"/>
      <c r="K311" s="3" t="str">
        <f t="shared" si="93"/>
        <v>运营中</v>
      </c>
      <c r="L311" s="8"/>
      <c r="M311" s="8"/>
      <c r="N311" s="8"/>
      <c r="O311" s="8">
        <v>1</v>
      </c>
      <c r="P311" s="10">
        <v>42888</v>
      </c>
      <c r="Q311" s="8" t="s">
        <v>280</v>
      </c>
      <c r="R311" s="8" t="s">
        <v>2193</v>
      </c>
      <c r="S311" s="8" t="s">
        <v>2582</v>
      </c>
      <c r="T311" s="8"/>
      <c r="U311" s="8"/>
      <c r="V311" s="8"/>
      <c r="W311" s="8"/>
      <c r="X311" s="8"/>
      <c r="Y311" s="8"/>
    </row>
    <row r="312" customHeight="1" spans="2:25">
      <c r="B312" s="7"/>
      <c r="C312" s="8"/>
      <c r="D312" s="3" t="str">
        <f t="shared" si="92"/>
        <v>饿了么</v>
      </c>
      <c r="E312" s="8"/>
      <c r="F312" s="9"/>
      <c r="G312" s="8"/>
      <c r="H312" s="8"/>
      <c r="I312" s="8"/>
      <c r="J312" s="8"/>
      <c r="K312" s="3" t="str">
        <f t="shared" si="93"/>
        <v>运营中</v>
      </c>
      <c r="L312" s="8"/>
      <c r="M312" s="8"/>
      <c r="N312" s="8"/>
      <c r="O312" s="8">
        <v>1</v>
      </c>
      <c r="P312" s="10">
        <v>42473</v>
      </c>
      <c r="Q312" s="8" t="s">
        <v>2119</v>
      </c>
      <c r="R312" s="8" t="s">
        <v>2186</v>
      </c>
      <c r="S312" s="8" t="s">
        <v>2599</v>
      </c>
      <c r="T312" s="8"/>
      <c r="U312" s="8"/>
      <c r="V312" s="8"/>
      <c r="W312" s="8"/>
      <c r="X312" s="8"/>
      <c r="Y312" s="8"/>
    </row>
    <row r="313" customHeight="1" spans="2:25">
      <c r="B313" s="7"/>
      <c r="C313" s="8"/>
      <c r="D313" s="3" t="str">
        <f t="shared" si="92"/>
        <v>饿了么</v>
      </c>
      <c r="E313" s="8"/>
      <c r="F313" s="9"/>
      <c r="G313" s="8"/>
      <c r="H313" s="8"/>
      <c r="I313" s="8"/>
      <c r="J313" s="8"/>
      <c r="K313" s="3" t="str">
        <f t="shared" si="93"/>
        <v>运营中</v>
      </c>
      <c r="L313" s="8"/>
      <c r="M313" s="8"/>
      <c r="N313" s="8"/>
      <c r="O313" s="8">
        <v>1</v>
      </c>
      <c r="P313" s="10">
        <v>42321</v>
      </c>
      <c r="Q313" s="8" t="s">
        <v>280</v>
      </c>
      <c r="R313" s="8" t="s">
        <v>556</v>
      </c>
      <c r="S313" s="8" t="s">
        <v>2600</v>
      </c>
      <c r="T313" s="8"/>
      <c r="U313" s="8"/>
      <c r="V313" s="8"/>
      <c r="W313" s="8"/>
      <c r="X313" s="8"/>
      <c r="Y313" s="8"/>
    </row>
    <row r="314" customHeight="1" spans="2:25">
      <c r="B314" s="7"/>
      <c r="C314" s="8"/>
      <c r="D314" s="3" t="str">
        <f t="shared" si="92"/>
        <v>饿了么</v>
      </c>
      <c r="E314" s="8"/>
      <c r="F314" s="9"/>
      <c r="G314" s="8"/>
      <c r="H314" s="8"/>
      <c r="I314" s="8"/>
      <c r="J314" s="8"/>
      <c r="K314" s="3" t="str">
        <f t="shared" si="93"/>
        <v>运营中</v>
      </c>
      <c r="L314" s="8"/>
      <c r="M314" s="8"/>
      <c r="N314" s="8"/>
      <c r="O314" s="8">
        <v>1</v>
      </c>
      <c r="P314" s="10">
        <v>42243</v>
      </c>
      <c r="Q314" s="8" t="s">
        <v>2119</v>
      </c>
      <c r="R314" s="8" t="s">
        <v>2601</v>
      </c>
      <c r="S314" s="8" t="s">
        <v>2602</v>
      </c>
      <c r="T314" s="8"/>
      <c r="U314" s="8"/>
      <c r="V314" s="8"/>
      <c r="W314" s="8"/>
      <c r="X314" s="8"/>
      <c r="Y314" s="8"/>
    </row>
    <row r="315" customHeight="1" spans="2:25">
      <c r="B315" s="7"/>
      <c r="C315" s="8"/>
      <c r="D315" s="3" t="str">
        <f t="shared" si="92"/>
        <v>饿了么</v>
      </c>
      <c r="E315" s="8"/>
      <c r="F315" s="9"/>
      <c r="G315" s="8"/>
      <c r="H315" s="8"/>
      <c r="I315" s="8"/>
      <c r="J315" s="8"/>
      <c r="K315" s="3" t="str">
        <f t="shared" si="93"/>
        <v>运营中</v>
      </c>
      <c r="L315" s="8"/>
      <c r="M315" s="8"/>
      <c r="N315" s="8"/>
      <c r="O315" s="8">
        <v>1</v>
      </c>
      <c r="P315" s="10">
        <v>42027</v>
      </c>
      <c r="Q315" s="8" t="s">
        <v>1571</v>
      </c>
      <c r="R315" s="8" t="s">
        <v>2603</v>
      </c>
      <c r="S315" s="8" t="s">
        <v>2604</v>
      </c>
      <c r="T315" s="8"/>
      <c r="U315" s="8"/>
      <c r="V315" s="8"/>
      <c r="W315" s="8"/>
      <c r="X315" s="8"/>
      <c r="Y315" s="8"/>
    </row>
    <row r="316" customHeight="1" spans="2:25">
      <c r="B316" s="7"/>
      <c r="C316" s="8"/>
      <c r="D316" s="3" t="str">
        <f t="shared" si="92"/>
        <v>饿了么</v>
      </c>
      <c r="E316" s="8"/>
      <c r="F316" s="9"/>
      <c r="G316" s="8"/>
      <c r="H316" s="8"/>
      <c r="I316" s="8"/>
      <c r="J316" s="8"/>
      <c r="K316" s="3" t="str">
        <f t="shared" si="93"/>
        <v>运营中</v>
      </c>
      <c r="L316" s="8"/>
      <c r="M316" s="8"/>
      <c r="N316" s="8"/>
      <c r="O316" s="8">
        <v>1</v>
      </c>
      <c r="P316" s="10">
        <v>41760</v>
      </c>
      <c r="Q316" s="8" t="s">
        <v>1579</v>
      </c>
      <c r="R316" s="8" t="s">
        <v>953</v>
      </c>
      <c r="S316" s="8" t="s">
        <v>1518</v>
      </c>
      <c r="T316" s="8"/>
      <c r="U316" s="8"/>
      <c r="V316" s="8"/>
      <c r="W316" s="8"/>
      <c r="X316" s="8"/>
      <c r="Y316" s="8"/>
    </row>
    <row r="317" customHeight="1" spans="2:25">
      <c r="B317" s="7"/>
      <c r="C317" s="8"/>
      <c r="D317" s="3" t="str">
        <f t="shared" si="92"/>
        <v>饿了么</v>
      </c>
      <c r="E317" s="8"/>
      <c r="F317" s="9"/>
      <c r="G317" s="8"/>
      <c r="H317" s="8"/>
      <c r="I317" s="8"/>
      <c r="J317" s="8"/>
      <c r="K317" s="3" t="str">
        <f t="shared" si="93"/>
        <v>运营中</v>
      </c>
      <c r="L317" s="8"/>
      <c r="M317" s="8"/>
      <c r="N317" s="8"/>
      <c r="O317" s="8">
        <v>1</v>
      </c>
      <c r="P317" s="10">
        <v>41579</v>
      </c>
      <c r="Q317" s="8" t="s">
        <v>425</v>
      </c>
      <c r="R317" s="8" t="s">
        <v>2605</v>
      </c>
      <c r="S317" s="8" t="s">
        <v>2606</v>
      </c>
      <c r="T317" s="8"/>
      <c r="U317" s="8"/>
      <c r="V317" s="8"/>
      <c r="W317" s="8"/>
      <c r="X317" s="8"/>
      <c r="Y317" s="8"/>
    </row>
    <row r="318" customHeight="1" spans="2:25">
      <c r="B318" s="7"/>
      <c r="C318" s="8"/>
      <c r="D318" s="3" t="str">
        <f t="shared" si="92"/>
        <v>饿了么</v>
      </c>
      <c r="E318" s="8"/>
      <c r="F318" s="9"/>
      <c r="G318" s="8"/>
      <c r="H318" s="8"/>
      <c r="I318" s="8"/>
      <c r="J318" s="8"/>
      <c r="K318" s="3" t="str">
        <f t="shared" si="93"/>
        <v>运营中</v>
      </c>
      <c r="L318" s="8"/>
      <c r="M318" s="8"/>
      <c r="N318" s="8"/>
      <c r="O318" s="8">
        <v>1</v>
      </c>
      <c r="P318" s="10">
        <v>41275</v>
      </c>
      <c r="Q318" s="8" t="s">
        <v>868</v>
      </c>
      <c r="R318" s="8" t="s">
        <v>1968</v>
      </c>
      <c r="S318" s="8" t="s">
        <v>2607</v>
      </c>
      <c r="T318" s="8"/>
      <c r="U318" s="8"/>
      <c r="V318" s="8"/>
      <c r="W318" s="8"/>
      <c r="X318" s="8"/>
      <c r="Y318" s="8"/>
    </row>
    <row r="319" customHeight="1" spans="2:25">
      <c r="B319" s="7"/>
      <c r="C319" s="8"/>
      <c r="D319" s="3" t="str">
        <f t="shared" si="92"/>
        <v>饿了么</v>
      </c>
      <c r="E319" s="8"/>
      <c r="F319" s="9"/>
      <c r="G319" s="8"/>
      <c r="H319" s="8"/>
      <c r="I319" s="8"/>
      <c r="J319" s="8"/>
      <c r="K319" s="3" t="str">
        <f t="shared" si="93"/>
        <v>运营中</v>
      </c>
      <c r="L319" s="8"/>
      <c r="M319" s="8"/>
      <c r="N319" s="8"/>
      <c r="O319" s="8">
        <v>1</v>
      </c>
      <c r="P319" s="10">
        <v>40603</v>
      </c>
      <c r="Q319" s="8" t="s">
        <v>1167</v>
      </c>
      <c r="R319" s="8" t="s">
        <v>1968</v>
      </c>
      <c r="S319" s="8" t="s">
        <v>2608</v>
      </c>
      <c r="T319" s="8"/>
      <c r="U319" s="8"/>
      <c r="V319" s="8"/>
      <c r="W319" s="8"/>
      <c r="X319" s="8"/>
      <c r="Y319" s="8"/>
    </row>
    <row r="320" customHeight="1" spans="2:25">
      <c r="B320" s="7"/>
      <c r="C320" s="8" t="s">
        <v>1331</v>
      </c>
      <c r="D320" s="3" t="s">
        <v>2609</v>
      </c>
      <c r="E320" s="8" t="s">
        <v>2609</v>
      </c>
      <c r="F320" s="9" t="s">
        <v>2610</v>
      </c>
      <c r="G320" s="8" t="s">
        <v>2611</v>
      </c>
      <c r="H320" s="8" t="s">
        <v>1335</v>
      </c>
      <c r="I320" s="8" t="s">
        <v>1336</v>
      </c>
      <c r="J320" s="8" t="s">
        <v>2612</v>
      </c>
      <c r="K320" s="3" t="s">
        <v>278</v>
      </c>
      <c r="L320" s="8" t="s">
        <v>278</v>
      </c>
      <c r="M320" s="8" t="s">
        <v>10</v>
      </c>
      <c r="N320" s="8" t="s">
        <v>279</v>
      </c>
      <c r="O320" s="8"/>
      <c r="P320" s="10">
        <v>42367</v>
      </c>
      <c r="Q320" s="8" t="s">
        <v>2613</v>
      </c>
      <c r="R320" s="8" t="s">
        <v>281</v>
      </c>
      <c r="S320" s="8" t="s">
        <v>262</v>
      </c>
      <c r="T320" s="8" t="s">
        <v>1886</v>
      </c>
      <c r="U320" s="8" t="s">
        <v>284</v>
      </c>
      <c r="V320" s="8" t="s">
        <v>2614</v>
      </c>
      <c r="W320" s="8"/>
      <c r="X320" s="8"/>
      <c r="Y320" s="8" t="s">
        <v>1341</v>
      </c>
    </row>
    <row r="321" customHeight="1" spans="2:25">
      <c r="B321" s="7"/>
      <c r="C321" s="8"/>
      <c r="D321" s="3" t="str">
        <f t="shared" ref="D321:D322" si="94">D320</f>
        <v>天财商龙</v>
      </c>
      <c r="E321" s="8"/>
      <c r="F321" s="9"/>
      <c r="G321" s="8"/>
      <c r="H321" s="8"/>
      <c r="I321" s="8"/>
      <c r="J321" s="8"/>
      <c r="K321" s="3" t="str">
        <f t="shared" ref="K321:K322" si="95">K320</f>
        <v>运营中</v>
      </c>
      <c r="L321" s="8"/>
      <c r="M321" s="8"/>
      <c r="N321" s="8"/>
      <c r="O321" s="8"/>
      <c r="P321" s="10">
        <v>41883</v>
      </c>
      <c r="Q321" s="8" t="s">
        <v>868</v>
      </c>
      <c r="R321" s="8" t="s">
        <v>1816</v>
      </c>
      <c r="S321" s="8" t="s">
        <v>1518</v>
      </c>
      <c r="T321" s="8"/>
      <c r="U321" s="8"/>
      <c r="V321" s="8"/>
      <c r="W321" s="8"/>
      <c r="X321" s="8"/>
      <c r="Y321" s="8"/>
    </row>
    <row r="322" customHeight="1" spans="2:25">
      <c r="B322" s="7"/>
      <c r="C322" s="8"/>
      <c r="D322" s="3" t="str">
        <f t="shared" si="94"/>
        <v>天财商龙</v>
      </c>
      <c r="E322" s="8"/>
      <c r="F322" s="9"/>
      <c r="G322" s="8"/>
      <c r="H322" s="8"/>
      <c r="I322" s="8"/>
      <c r="J322" s="8"/>
      <c r="K322" s="3" t="str">
        <f t="shared" si="95"/>
        <v>运营中</v>
      </c>
      <c r="L322" s="8"/>
      <c r="M322" s="8"/>
      <c r="N322" s="8"/>
      <c r="O322" s="8"/>
      <c r="P322" s="10">
        <v>41426</v>
      </c>
      <c r="Q322" s="8" t="s">
        <v>1167</v>
      </c>
      <c r="R322" s="8" t="s">
        <v>1816</v>
      </c>
      <c r="S322" s="8" t="s">
        <v>2615</v>
      </c>
      <c r="T322" s="8"/>
      <c r="U322" s="8"/>
      <c r="V322" s="8"/>
      <c r="W322" s="8"/>
      <c r="X322" s="8"/>
      <c r="Y322" s="8"/>
    </row>
    <row r="323" customHeight="1" spans="2:25">
      <c r="B323" s="7"/>
      <c r="C323" s="8" t="s">
        <v>1343</v>
      </c>
      <c r="D323" s="3" t="s">
        <v>2616</v>
      </c>
      <c r="E323" s="8" t="s">
        <v>2616</v>
      </c>
      <c r="F323" s="9" t="s">
        <v>2617</v>
      </c>
      <c r="G323" s="8" t="s">
        <v>2618</v>
      </c>
      <c r="H323" s="8" t="s">
        <v>1347</v>
      </c>
      <c r="I323" s="8" t="s">
        <v>1348</v>
      </c>
      <c r="J323" s="8" t="s">
        <v>553</v>
      </c>
      <c r="K323" s="3" t="s">
        <v>278</v>
      </c>
      <c r="L323" s="8" t="s">
        <v>278</v>
      </c>
      <c r="M323" s="8" t="s">
        <v>19</v>
      </c>
      <c r="N323" s="8" t="s">
        <v>1828</v>
      </c>
      <c r="O323" s="8"/>
      <c r="P323" s="10">
        <v>42882</v>
      </c>
      <c r="Q323" s="8" t="s">
        <v>1579</v>
      </c>
      <c r="R323" s="8" t="s">
        <v>430</v>
      </c>
      <c r="S323" s="8" t="s">
        <v>2619</v>
      </c>
      <c r="T323" s="8" t="s">
        <v>2620</v>
      </c>
      <c r="U323" s="8" t="s">
        <v>1085</v>
      </c>
      <c r="V323" s="8" t="s">
        <v>2621</v>
      </c>
      <c r="W323" s="8" t="s">
        <v>2622</v>
      </c>
      <c r="X323" s="8" t="s">
        <v>1354</v>
      </c>
      <c r="Y323" s="8" t="s">
        <v>1355</v>
      </c>
    </row>
    <row r="324" customHeight="1" spans="2:25">
      <c r="B324" s="7"/>
      <c r="C324" s="8"/>
      <c r="D324" s="3" t="str">
        <f t="shared" ref="D324:D326" si="96">D323</f>
        <v>WiWide迈外迪</v>
      </c>
      <c r="E324" s="8"/>
      <c r="F324" s="9"/>
      <c r="G324" s="8"/>
      <c r="H324" s="8"/>
      <c r="I324" s="8"/>
      <c r="J324" s="8"/>
      <c r="K324" s="3" t="str">
        <f t="shared" ref="K324:K326" si="97">K323</f>
        <v>运营中</v>
      </c>
      <c r="L324" s="8"/>
      <c r="M324" s="8"/>
      <c r="N324" s="8"/>
      <c r="O324" s="8"/>
      <c r="P324" s="10">
        <v>41981</v>
      </c>
      <c r="Q324" s="8" t="s">
        <v>425</v>
      </c>
      <c r="R324" s="8" t="s">
        <v>1170</v>
      </c>
      <c r="S324" s="8" t="s">
        <v>2623</v>
      </c>
      <c r="T324" s="8"/>
      <c r="U324" s="8"/>
      <c r="V324" s="8"/>
      <c r="W324" s="8"/>
      <c r="X324" s="8"/>
      <c r="Y324" s="8"/>
    </row>
    <row r="325" customHeight="1" spans="2:25">
      <c r="B325" s="7"/>
      <c r="C325" s="8"/>
      <c r="D325" s="3" t="str">
        <f t="shared" si="96"/>
        <v>WiWide迈外迪</v>
      </c>
      <c r="E325" s="8"/>
      <c r="F325" s="9"/>
      <c r="G325" s="8"/>
      <c r="H325" s="8"/>
      <c r="I325" s="8"/>
      <c r="J325" s="8"/>
      <c r="K325" s="3" t="str">
        <f t="shared" si="97"/>
        <v>运营中</v>
      </c>
      <c r="L325" s="8"/>
      <c r="M325" s="8"/>
      <c r="N325" s="8"/>
      <c r="O325" s="8"/>
      <c r="P325" s="10">
        <v>41518</v>
      </c>
      <c r="Q325" s="8" t="s">
        <v>868</v>
      </c>
      <c r="R325" s="8" t="s">
        <v>1816</v>
      </c>
      <c r="S325" s="8" t="s">
        <v>2154</v>
      </c>
      <c r="T325" s="8"/>
      <c r="U325" s="8"/>
      <c r="V325" s="8"/>
      <c r="W325" s="8"/>
      <c r="X325" s="8"/>
      <c r="Y325" s="8"/>
    </row>
    <row r="326" customHeight="1" spans="2:25">
      <c r="B326" s="7"/>
      <c r="C326" s="8"/>
      <c r="D326" s="3" t="str">
        <f t="shared" si="96"/>
        <v>WiWide迈外迪</v>
      </c>
      <c r="E326" s="8"/>
      <c r="F326" s="9"/>
      <c r="G326" s="8"/>
      <c r="H326" s="8"/>
      <c r="I326" s="8"/>
      <c r="J326" s="8"/>
      <c r="K326" s="3" t="str">
        <f t="shared" si="97"/>
        <v>运营中</v>
      </c>
      <c r="L326" s="8"/>
      <c r="M326" s="8"/>
      <c r="N326" s="8"/>
      <c r="O326" s="8"/>
      <c r="P326" s="10">
        <v>41165</v>
      </c>
      <c r="Q326" s="8" t="s">
        <v>1167</v>
      </c>
      <c r="R326" s="8" t="s">
        <v>2052</v>
      </c>
      <c r="S326" s="8" t="s">
        <v>2624</v>
      </c>
      <c r="T326" s="8"/>
      <c r="U326" s="8"/>
      <c r="V326" s="8"/>
      <c r="W326" s="8"/>
      <c r="X326" s="8"/>
      <c r="Y326" s="8"/>
    </row>
    <row r="327" customHeight="1" spans="2:25">
      <c r="B327" s="7"/>
      <c r="C327" s="8" t="s">
        <v>270</v>
      </c>
      <c r="D327" s="3" t="s">
        <v>272</v>
      </c>
      <c r="E327" s="8" t="s">
        <v>272</v>
      </c>
      <c r="F327" s="9" t="s">
        <v>273</v>
      </c>
      <c r="G327" s="8" t="s">
        <v>2001</v>
      </c>
      <c r="H327" s="8" t="s">
        <v>275</v>
      </c>
      <c r="I327" s="8" t="s">
        <v>276</v>
      </c>
      <c r="J327" s="8" t="s">
        <v>277</v>
      </c>
      <c r="K327" s="3" t="s">
        <v>278</v>
      </c>
      <c r="L327" s="8" t="s">
        <v>278</v>
      </c>
      <c r="M327" s="8" t="s">
        <v>10</v>
      </c>
      <c r="N327" s="8" t="s">
        <v>279</v>
      </c>
      <c r="O327" s="8"/>
      <c r="P327" s="10">
        <v>43991</v>
      </c>
      <c r="Q327" s="8" t="s">
        <v>280</v>
      </c>
      <c r="R327" s="8" t="s">
        <v>281</v>
      </c>
      <c r="S327" s="8" t="s">
        <v>282</v>
      </c>
      <c r="T327" s="8" t="s">
        <v>283</v>
      </c>
      <c r="U327" s="8" t="s">
        <v>284</v>
      </c>
      <c r="V327" s="8" t="s">
        <v>285</v>
      </c>
      <c r="W327" s="8" t="s">
        <v>2002</v>
      </c>
      <c r="X327" s="8" t="s">
        <v>287</v>
      </c>
      <c r="Y327" s="8" t="s">
        <v>288</v>
      </c>
    </row>
    <row r="328" customHeight="1" spans="2:25">
      <c r="B328" s="7"/>
      <c r="C328" s="8"/>
      <c r="D328" s="3" t="str">
        <f t="shared" ref="D328:D329" si="98">D327</f>
        <v>哗啦啦</v>
      </c>
      <c r="E328" s="8"/>
      <c r="F328" s="9"/>
      <c r="G328" s="8"/>
      <c r="H328" s="8"/>
      <c r="I328" s="8"/>
      <c r="J328" s="8"/>
      <c r="K328" s="3" t="str">
        <f t="shared" ref="K328:K329" si="99">K327</f>
        <v>运营中</v>
      </c>
      <c r="L328" s="8"/>
      <c r="M328" s="8"/>
      <c r="N328" s="8"/>
      <c r="O328" s="8"/>
      <c r="P328" s="10">
        <v>43313</v>
      </c>
      <c r="Q328" s="8" t="s">
        <v>868</v>
      </c>
      <c r="R328" s="8" t="s">
        <v>281</v>
      </c>
      <c r="S328" s="8" t="s">
        <v>2003</v>
      </c>
      <c r="T328" s="8"/>
      <c r="U328" s="8"/>
      <c r="V328" s="8"/>
      <c r="W328" s="8"/>
      <c r="X328" s="8"/>
      <c r="Y328" s="8"/>
    </row>
    <row r="329" customHeight="1" spans="2:25">
      <c r="B329" s="7"/>
      <c r="C329" s="8"/>
      <c r="D329" s="3" t="str">
        <f t="shared" si="98"/>
        <v>哗啦啦</v>
      </c>
      <c r="E329" s="8"/>
      <c r="F329" s="9"/>
      <c r="G329" s="8"/>
      <c r="H329" s="8"/>
      <c r="I329" s="8"/>
      <c r="J329" s="8"/>
      <c r="K329" s="3" t="str">
        <f t="shared" si="99"/>
        <v>运营中</v>
      </c>
      <c r="L329" s="8"/>
      <c r="M329" s="8"/>
      <c r="N329" s="8"/>
      <c r="O329" s="8"/>
      <c r="P329" s="10">
        <v>42684</v>
      </c>
      <c r="Q329" s="8" t="s">
        <v>1167</v>
      </c>
      <c r="R329" s="8" t="s">
        <v>281</v>
      </c>
      <c r="S329" s="8" t="s">
        <v>2004</v>
      </c>
      <c r="T329" s="8"/>
      <c r="U329" s="8"/>
      <c r="V329" s="8"/>
      <c r="W329" s="8"/>
      <c r="X329" s="8"/>
      <c r="Y329" s="8"/>
    </row>
    <row r="330" customHeight="1" spans="2:25">
      <c r="B330" s="7"/>
      <c r="C330" s="8" t="s">
        <v>1359</v>
      </c>
      <c r="D330" s="8" t="s">
        <v>2625</v>
      </c>
      <c r="E330" s="8" t="s">
        <v>2625</v>
      </c>
      <c r="F330" s="9" t="s">
        <v>2626</v>
      </c>
      <c r="G330" s="8" t="s">
        <v>2627</v>
      </c>
      <c r="H330" s="8" t="s">
        <v>1363</v>
      </c>
      <c r="I330" s="8" t="s">
        <v>1364</v>
      </c>
      <c r="J330" s="8" t="s">
        <v>2449</v>
      </c>
      <c r="K330" s="8" t="s">
        <v>278</v>
      </c>
      <c r="L330" s="8" t="s">
        <v>278</v>
      </c>
      <c r="M330" s="8" t="s">
        <v>27</v>
      </c>
      <c r="N330" s="8" t="s">
        <v>1677</v>
      </c>
      <c r="O330" s="8"/>
      <c r="P330" s="10">
        <v>40179</v>
      </c>
      <c r="Q330" s="8" t="s">
        <v>1167</v>
      </c>
      <c r="R330" s="8" t="s">
        <v>281</v>
      </c>
      <c r="S330" s="8" t="s">
        <v>1518</v>
      </c>
      <c r="T330" s="8" t="s">
        <v>2628</v>
      </c>
      <c r="U330" s="8" t="s">
        <v>284</v>
      </c>
      <c r="V330" s="8"/>
      <c r="W330" s="8"/>
      <c r="X330" s="8"/>
      <c r="Y330" s="8"/>
    </row>
    <row r="331" customHeight="1" spans="2:25">
      <c r="B331" s="7"/>
      <c r="C331" s="8" t="s">
        <v>1366</v>
      </c>
      <c r="D331" s="3" t="s">
        <v>2629</v>
      </c>
      <c r="E331" s="8" t="s">
        <v>2629</v>
      </c>
      <c r="F331" s="9" t="s">
        <v>2630</v>
      </c>
      <c r="G331" s="8" t="s">
        <v>2631</v>
      </c>
      <c r="H331" s="8" t="s">
        <v>1370</v>
      </c>
      <c r="I331" s="8" t="s">
        <v>1371</v>
      </c>
      <c r="J331" s="8" t="s">
        <v>890</v>
      </c>
      <c r="K331" s="3" t="s">
        <v>278</v>
      </c>
      <c r="L331" s="8" t="s">
        <v>278</v>
      </c>
      <c r="M331" s="8" t="s">
        <v>37</v>
      </c>
      <c r="N331" s="8" t="s">
        <v>1988</v>
      </c>
      <c r="O331" s="8">
        <v>1</v>
      </c>
      <c r="P331" s="10">
        <v>42888</v>
      </c>
      <c r="Q331" s="8" t="s">
        <v>1948</v>
      </c>
      <c r="R331" s="8" t="s">
        <v>2632</v>
      </c>
      <c r="S331" s="8" t="s">
        <v>1984</v>
      </c>
      <c r="T331" s="8" t="s">
        <v>2633</v>
      </c>
      <c r="U331" s="8" t="s">
        <v>2634</v>
      </c>
      <c r="V331" s="8" t="s">
        <v>2635</v>
      </c>
      <c r="W331" s="8" t="s">
        <v>2636</v>
      </c>
      <c r="X331" s="8" t="s">
        <v>1377</v>
      </c>
      <c r="Y331" s="8" t="s">
        <v>1378</v>
      </c>
    </row>
    <row r="332" customHeight="1" spans="2:25">
      <c r="B332" s="7"/>
      <c r="C332" s="8"/>
      <c r="D332" s="3" t="str">
        <f t="shared" ref="D332:D334" si="100">D331</f>
        <v>捷通无限</v>
      </c>
      <c r="E332" s="8"/>
      <c r="F332" s="9"/>
      <c r="G332" s="8"/>
      <c r="H332" s="8"/>
      <c r="I332" s="8"/>
      <c r="J332" s="8"/>
      <c r="K332" s="3" t="str">
        <f t="shared" ref="K332:K334" si="101">K331</f>
        <v>运营中</v>
      </c>
      <c r="L332" s="8"/>
      <c r="M332" s="8"/>
      <c r="N332" s="8"/>
      <c r="O332" s="8">
        <v>1</v>
      </c>
      <c r="P332" s="10">
        <v>42197</v>
      </c>
      <c r="Q332" s="8" t="s">
        <v>1948</v>
      </c>
      <c r="R332" s="8" t="s">
        <v>2632</v>
      </c>
      <c r="S332" s="8" t="s">
        <v>1999</v>
      </c>
      <c r="T332" s="8"/>
      <c r="U332" s="8"/>
      <c r="V332" s="8"/>
      <c r="W332" s="8"/>
      <c r="X332" s="8"/>
      <c r="Y332" s="8"/>
    </row>
    <row r="333" customHeight="1" spans="2:25">
      <c r="B333" s="7"/>
      <c r="C333" s="8"/>
      <c r="D333" s="3" t="str">
        <f t="shared" si="100"/>
        <v>捷通无限</v>
      </c>
      <c r="E333" s="8"/>
      <c r="F333" s="9"/>
      <c r="G333" s="8"/>
      <c r="H333" s="8"/>
      <c r="I333" s="8"/>
      <c r="J333" s="8"/>
      <c r="K333" s="3" t="str">
        <f t="shared" si="101"/>
        <v>运营中</v>
      </c>
      <c r="L333" s="8"/>
      <c r="M333" s="8"/>
      <c r="N333" s="8"/>
      <c r="O333" s="8">
        <v>1</v>
      </c>
      <c r="P333" s="10">
        <v>40909</v>
      </c>
      <c r="Q333" s="8" t="s">
        <v>868</v>
      </c>
      <c r="R333" s="8" t="s">
        <v>1816</v>
      </c>
      <c r="S333" s="8" t="s">
        <v>2637</v>
      </c>
      <c r="T333" s="8"/>
      <c r="U333" s="8"/>
      <c r="V333" s="8"/>
      <c r="W333" s="8"/>
      <c r="X333" s="8"/>
      <c r="Y333" s="8"/>
    </row>
    <row r="334" customHeight="1" spans="2:25">
      <c r="B334" s="7"/>
      <c r="C334" s="8"/>
      <c r="D334" s="3" t="str">
        <f t="shared" si="100"/>
        <v>捷通无限</v>
      </c>
      <c r="E334" s="8"/>
      <c r="F334" s="9"/>
      <c r="G334" s="8"/>
      <c r="H334" s="8"/>
      <c r="I334" s="8"/>
      <c r="J334" s="8"/>
      <c r="K334" s="3" t="str">
        <f t="shared" si="101"/>
        <v>运营中</v>
      </c>
      <c r="L334" s="8"/>
      <c r="M334" s="8"/>
      <c r="N334" s="8"/>
      <c r="O334" s="8">
        <v>1</v>
      </c>
      <c r="P334" s="10">
        <v>40179</v>
      </c>
      <c r="Q334" s="8" t="s">
        <v>1167</v>
      </c>
      <c r="R334" s="8" t="s">
        <v>1876</v>
      </c>
      <c r="S334" s="8" t="s">
        <v>2590</v>
      </c>
      <c r="T334" s="8"/>
      <c r="U334" s="8"/>
      <c r="V334" s="8"/>
      <c r="W334" s="8"/>
      <c r="X334" s="8"/>
      <c r="Y334" s="8"/>
    </row>
    <row r="335" customHeight="1" spans="2:25">
      <c r="B335" s="7"/>
      <c r="C335" s="8" t="s">
        <v>1381</v>
      </c>
      <c r="D335" s="3" t="s">
        <v>2638</v>
      </c>
      <c r="E335" s="8" t="s">
        <v>2638</v>
      </c>
      <c r="F335" s="9" t="s">
        <v>2639</v>
      </c>
      <c r="G335" s="8" t="s">
        <v>2640</v>
      </c>
      <c r="H335" s="8" t="s">
        <v>1385</v>
      </c>
      <c r="I335" s="8" t="s">
        <v>1386</v>
      </c>
      <c r="J335" s="8" t="s">
        <v>2641</v>
      </c>
      <c r="K335" s="3" t="s">
        <v>278</v>
      </c>
      <c r="L335" s="8" t="s">
        <v>278</v>
      </c>
      <c r="M335" s="8" t="s">
        <v>10</v>
      </c>
      <c r="N335" s="8" t="s">
        <v>2106</v>
      </c>
      <c r="O335" s="8"/>
      <c r="P335" s="10">
        <v>41275</v>
      </c>
      <c r="Q335" s="8" t="s">
        <v>868</v>
      </c>
      <c r="R335" s="8" t="s">
        <v>1968</v>
      </c>
      <c r="S335" s="8" t="s">
        <v>1518</v>
      </c>
      <c r="T335" s="8" t="s">
        <v>2642</v>
      </c>
      <c r="U335" s="8" t="s">
        <v>2643</v>
      </c>
      <c r="V335" s="8" t="s">
        <v>2644</v>
      </c>
      <c r="W335" s="8"/>
      <c r="X335" s="8"/>
      <c r="Y335" s="8"/>
    </row>
    <row r="336" customHeight="1" spans="2:25">
      <c r="B336" s="7"/>
      <c r="C336" s="8"/>
      <c r="D336" s="3" t="str">
        <f>D335</f>
        <v>爱评网iPeen</v>
      </c>
      <c r="E336" s="8"/>
      <c r="F336" s="9"/>
      <c r="G336" s="8"/>
      <c r="H336" s="8"/>
      <c r="I336" s="8"/>
      <c r="J336" s="8"/>
      <c r="K336" s="3" t="str">
        <f>K335</f>
        <v>运营中</v>
      </c>
      <c r="L336" s="8"/>
      <c r="M336" s="8"/>
      <c r="N336" s="8"/>
      <c r="O336" s="8"/>
      <c r="P336" s="10">
        <v>40664</v>
      </c>
      <c r="Q336" s="8" t="s">
        <v>1167</v>
      </c>
      <c r="R336" s="8" t="s">
        <v>2388</v>
      </c>
      <c r="S336" s="8" t="s">
        <v>2645</v>
      </c>
      <c r="T336" s="8"/>
      <c r="U336" s="8"/>
      <c r="V336" s="8"/>
      <c r="W336" s="8"/>
      <c r="X336" s="8"/>
      <c r="Y336" s="8"/>
    </row>
    <row r="337" customHeight="1" spans="2:25">
      <c r="B337" s="7"/>
      <c r="C337" s="8" t="s">
        <v>1392</v>
      </c>
      <c r="D337" s="3" t="s">
        <v>2646</v>
      </c>
      <c r="E337" s="8" t="s">
        <v>2646</v>
      </c>
      <c r="F337" s="9" t="s">
        <v>2647</v>
      </c>
      <c r="G337" s="8" t="s">
        <v>2648</v>
      </c>
      <c r="H337" s="8" t="s">
        <v>1396</v>
      </c>
      <c r="I337" s="8" t="s">
        <v>700</v>
      </c>
      <c r="J337" s="8" t="s">
        <v>2139</v>
      </c>
      <c r="K337" s="3" t="s">
        <v>2026</v>
      </c>
      <c r="L337" s="8" t="s">
        <v>2026</v>
      </c>
      <c r="M337" s="8" t="s">
        <v>10</v>
      </c>
      <c r="N337" s="8" t="s">
        <v>279</v>
      </c>
      <c r="O337" s="8"/>
      <c r="P337" s="10">
        <v>41760</v>
      </c>
      <c r="Q337" s="8" t="s">
        <v>1167</v>
      </c>
      <c r="R337" s="8" t="s">
        <v>1778</v>
      </c>
      <c r="S337" s="8" t="s">
        <v>1518</v>
      </c>
      <c r="T337" s="8" t="s">
        <v>2649</v>
      </c>
      <c r="U337" s="8" t="s">
        <v>2066</v>
      </c>
      <c r="V337" s="8" t="s">
        <v>2650</v>
      </c>
      <c r="W337" s="8"/>
      <c r="X337" s="8"/>
      <c r="Y337" s="8"/>
    </row>
    <row r="338" customHeight="1" spans="2:25">
      <c r="B338" s="7"/>
      <c r="C338" s="8"/>
      <c r="D338" s="3" t="str">
        <f>D337</f>
        <v>大嘴巴</v>
      </c>
      <c r="E338" s="8"/>
      <c r="F338" s="9"/>
      <c r="G338" s="8"/>
      <c r="H338" s="8"/>
      <c r="I338" s="8"/>
      <c r="J338" s="8"/>
      <c r="K338" s="3" t="str">
        <f>K337</f>
        <v>已关闭</v>
      </c>
      <c r="L338" s="8"/>
      <c r="M338" s="8"/>
      <c r="N338" s="8"/>
      <c r="O338" s="8"/>
      <c r="P338" s="10">
        <v>41487</v>
      </c>
      <c r="Q338" s="8" t="s">
        <v>1875</v>
      </c>
      <c r="R338" s="8" t="s">
        <v>281</v>
      </c>
      <c r="S338" s="8" t="s">
        <v>1518</v>
      </c>
      <c r="T338" s="8"/>
      <c r="U338" s="8"/>
      <c r="V338" s="8"/>
      <c r="W338" s="8"/>
      <c r="X338" s="8"/>
      <c r="Y338" s="8"/>
    </row>
    <row r="339" customHeight="1" spans="2:25">
      <c r="B339" s="7"/>
      <c r="C339" s="8" t="s">
        <v>1399</v>
      </c>
      <c r="D339" s="3" t="s">
        <v>2651</v>
      </c>
      <c r="E339" s="8" t="s">
        <v>2651</v>
      </c>
      <c r="F339" s="9" t="s">
        <v>2652</v>
      </c>
      <c r="G339" s="8" t="s">
        <v>2653</v>
      </c>
      <c r="H339" s="8" t="s">
        <v>1403</v>
      </c>
      <c r="I339" s="8" t="s">
        <v>1404</v>
      </c>
      <c r="J339" s="8" t="s">
        <v>1096</v>
      </c>
      <c r="K339" s="3" t="s">
        <v>278</v>
      </c>
      <c r="L339" s="8" t="s">
        <v>278</v>
      </c>
      <c r="M339" s="8" t="s">
        <v>10</v>
      </c>
      <c r="N339" s="8" t="s">
        <v>279</v>
      </c>
      <c r="O339" s="8"/>
      <c r="P339" s="10">
        <v>42156</v>
      </c>
      <c r="Q339" s="8" t="s">
        <v>868</v>
      </c>
      <c r="R339" s="8" t="s">
        <v>1816</v>
      </c>
      <c r="S339" s="8" t="s">
        <v>2654</v>
      </c>
      <c r="T339" s="8" t="s">
        <v>2655</v>
      </c>
      <c r="U339" s="8" t="s">
        <v>1819</v>
      </c>
      <c r="V339" s="8" t="s">
        <v>2656</v>
      </c>
      <c r="W339" s="8"/>
      <c r="X339" s="8"/>
      <c r="Y339" s="8"/>
    </row>
    <row r="340" customHeight="1" spans="2:25">
      <c r="B340" s="7"/>
      <c r="C340" s="8"/>
      <c r="D340" s="3" t="str">
        <f t="shared" ref="D340:D341" si="102">D339</f>
        <v>我有外卖</v>
      </c>
      <c r="E340" s="8"/>
      <c r="F340" s="9"/>
      <c r="G340" s="8"/>
      <c r="H340" s="8"/>
      <c r="I340" s="8"/>
      <c r="J340" s="8"/>
      <c r="K340" s="3" t="str">
        <f t="shared" ref="K340:K341" si="103">K339</f>
        <v>运营中</v>
      </c>
      <c r="L340" s="8"/>
      <c r="M340" s="8"/>
      <c r="N340" s="8"/>
      <c r="O340" s="8"/>
      <c r="P340" s="10">
        <v>41883</v>
      </c>
      <c r="Q340" s="8" t="s">
        <v>1167</v>
      </c>
      <c r="R340" s="8" t="s">
        <v>2657</v>
      </c>
      <c r="S340" s="8" t="s">
        <v>2658</v>
      </c>
      <c r="T340" s="8"/>
      <c r="U340" s="8"/>
      <c r="V340" s="8"/>
      <c r="W340" s="8"/>
      <c r="X340" s="8"/>
      <c r="Y340" s="8"/>
    </row>
    <row r="341" customHeight="1" spans="2:25">
      <c r="B341" s="7"/>
      <c r="C341" s="8"/>
      <c r="D341" s="3" t="str">
        <f t="shared" si="102"/>
        <v>我有外卖</v>
      </c>
      <c r="E341" s="8"/>
      <c r="F341" s="9"/>
      <c r="G341" s="8"/>
      <c r="H341" s="8"/>
      <c r="I341" s="8"/>
      <c r="J341" s="8"/>
      <c r="K341" s="3" t="str">
        <f t="shared" si="103"/>
        <v>运营中</v>
      </c>
      <c r="L341" s="8"/>
      <c r="M341" s="8"/>
      <c r="N341" s="8"/>
      <c r="O341" s="8"/>
      <c r="P341" s="10">
        <v>41710</v>
      </c>
      <c r="Q341" s="8" t="s">
        <v>1875</v>
      </c>
      <c r="R341" s="8" t="s">
        <v>1952</v>
      </c>
      <c r="S341" s="8" t="s">
        <v>2659</v>
      </c>
      <c r="T341" s="8"/>
      <c r="U341" s="8"/>
      <c r="V341" s="8"/>
      <c r="W341" s="8"/>
      <c r="X341" s="8"/>
      <c r="Y341" s="8"/>
    </row>
    <row r="342" customHeight="1" spans="2:25">
      <c r="B342" s="7"/>
      <c r="C342" s="8" t="s">
        <v>1411</v>
      </c>
      <c r="D342" s="3" t="s">
        <v>2660</v>
      </c>
      <c r="E342" s="8" t="s">
        <v>2660</v>
      </c>
      <c r="F342" s="9" t="s">
        <v>2661</v>
      </c>
      <c r="G342" s="8" t="s">
        <v>2662</v>
      </c>
      <c r="H342" s="8" t="s">
        <v>1415</v>
      </c>
      <c r="I342" s="8" t="s">
        <v>1416</v>
      </c>
      <c r="J342" s="8" t="s">
        <v>2663</v>
      </c>
      <c r="K342" s="3" t="s">
        <v>278</v>
      </c>
      <c r="L342" s="8" t="s">
        <v>278</v>
      </c>
      <c r="M342" s="8" t="s">
        <v>50</v>
      </c>
      <c r="N342" s="8" t="s">
        <v>2664</v>
      </c>
      <c r="O342" s="8">
        <v>1</v>
      </c>
      <c r="P342" s="10">
        <v>42079</v>
      </c>
      <c r="Q342" s="8" t="s">
        <v>1948</v>
      </c>
      <c r="R342" s="8" t="s">
        <v>281</v>
      </c>
      <c r="S342" s="8" t="s">
        <v>1518</v>
      </c>
      <c r="T342" s="8" t="s">
        <v>2058</v>
      </c>
      <c r="U342" s="8" t="s">
        <v>284</v>
      </c>
      <c r="V342" s="8" t="s">
        <v>2665</v>
      </c>
      <c r="W342" s="8"/>
      <c r="X342" s="8"/>
      <c r="Y342" s="8"/>
    </row>
    <row r="343" customHeight="1" spans="2:25">
      <c r="B343" s="7"/>
      <c r="C343" s="8"/>
      <c r="D343" s="3" t="str">
        <f>D342</f>
        <v>孩子学啥</v>
      </c>
      <c r="E343" s="8"/>
      <c r="F343" s="9"/>
      <c r="G343" s="8"/>
      <c r="H343" s="8"/>
      <c r="I343" s="8"/>
      <c r="J343" s="8"/>
      <c r="K343" s="3" t="str">
        <f>K342</f>
        <v>运营中</v>
      </c>
      <c r="L343" s="8"/>
      <c r="M343" s="8"/>
      <c r="N343" s="8"/>
      <c r="O343" s="8">
        <v>1</v>
      </c>
      <c r="P343" s="10">
        <v>41821</v>
      </c>
      <c r="Q343" s="8" t="s">
        <v>1167</v>
      </c>
      <c r="R343" s="8" t="s">
        <v>1816</v>
      </c>
      <c r="S343" s="8" t="s">
        <v>2666</v>
      </c>
      <c r="T343" s="8"/>
      <c r="U343" s="8"/>
      <c r="V343" s="8"/>
      <c r="W343" s="8"/>
      <c r="X343" s="8"/>
      <c r="Y343" s="8"/>
    </row>
    <row r="344" customHeight="1" spans="2:25">
      <c r="B344" s="7"/>
      <c r="C344" s="8" t="s">
        <v>1422</v>
      </c>
      <c r="D344" s="3" t="s">
        <v>2667</v>
      </c>
      <c r="E344" s="8" t="s">
        <v>2667</v>
      </c>
      <c r="F344" s="9" t="s">
        <v>2668</v>
      </c>
      <c r="G344" s="8" t="s">
        <v>2669</v>
      </c>
      <c r="H344" s="8" t="s">
        <v>1426</v>
      </c>
      <c r="I344" s="8" t="s">
        <v>576</v>
      </c>
      <c r="J344" s="8" t="s">
        <v>553</v>
      </c>
      <c r="K344" s="3" t="s">
        <v>278</v>
      </c>
      <c r="L344" s="8" t="s">
        <v>278</v>
      </c>
      <c r="M344" s="8" t="s">
        <v>10</v>
      </c>
      <c r="N344" s="8" t="s">
        <v>279</v>
      </c>
      <c r="O344" s="8"/>
      <c r="P344" s="10">
        <v>42937</v>
      </c>
      <c r="Q344" s="8" t="s">
        <v>865</v>
      </c>
      <c r="R344" s="8" t="s">
        <v>1816</v>
      </c>
      <c r="S344" s="8" t="s">
        <v>2670</v>
      </c>
      <c r="T344" s="8" t="s">
        <v>2671</v>
      </c>
      <c r="U344" s="8" t="s">
        <v>2672</v>
      </c>
      <c r="V344" s="8" t="s">
        <v>2673</v>
      </c>
      <c r="W344" s="8" t="s">
        <v>2674</v>
      </c>
      <c r="X344" s="8" t="s">
        <v>1432</v>
      </c>
      <c r="Y344" s="8" t="s">
        <v>1433</v>
      </c>
    </row>
    <row r="345" customHeight="1" spans="2:25">
      <c r="B345" s="7"/>
      <c r="C345" s="8"/>
      <c r="D345" s="3" t="str">
        <f t="shared" ref="D345:D348" si="104">D344</f>
        <v>链农互动</v>
      </c>
      <c r="E345" s="8"/>
      <c r="F345" s="9"/>
      <c r="G345" s="8"/>
      <c r="H345" s="8"/>
      <c r="I345" s="8"/>
      <c r="J345" s="8"/>
      <c r="K345" s="3" t="str">
        <f t="shared" ref="K345:K348" si="105">K344</f>
        <v>运营中</v>
      </c>
      <c r="L345" s="8"/>
      <c r="M345" s="8"/>
      <c r="N345" s="8"/>
      <c r="O345" s="8"/>
      <c r="P345" s="10">
        <v>42172</v>
      </c>
      <c r="Q345" s="8" t="s">
        <v>868</v>
      </c>
      <c r="R345" s="8" t="s">
        <v>2675</v>
      </c>
      <c r="S345" s="8" t="s">
        <v>2676</v>
      </c>
      <c r="T345" s="8"/>
      <c r="U345" s="8"/>
      <c r="V345" s="8"/>
      <c r="W345" s="8"/>
      <c r="X345" s="8"/>
      <c r="Y345" s="8"/>
    </row>
    <row r="346" customHeight="1" spans="2:25">
      <c r="B346" s="7"/>
      <c r="C346" s="8"/>
      <c r="D346" s="3" t="str">
        <f t="shared" si="104"/>
        <v>链农互动</v>
      </c>
      <c r="E346" s="8"/>
      <c r="F346" s="9"/>
      <c r="G346" s="8"/>
      <c r="H346" s="8"/>
      <c r="I346" s="8"/>
      <c r="J346" s="8"/>
      <c r="K346" s="3" t="str">
        <f t="shared" si="105"/>
        <v>运营中</v>
      </c>
      <c r="L346" s="8"/>
      <c r="M346" s="8"/>
      <c r="N346" s="8"/>
      <c r="O346" s="8"/>
      <c r="P346" s="10">
        <v>41973</v>
      </c>
      <c r="Q346" s="8" t="s">
        <v>1167</v>
      </c>
      <c r="R346" s="8" t="s">
        <v>2677</v>
      </c>
      <c r="S346" s="8" t="s">
        <v>2234</v>
      </c>
      <c r="T346" s="8"/>
      <c r="U346" s="8"/>
      <c r="V346" s="8"/>
      <c r="W346" s="8"/>
      <c r="X346" s="8"/>
      <c r="Y346" s="8"/>
    </row>
    <row r="347" customHeight="1" spans="2:25">
      <c r="B347" s="7"/>
      <c r="C347" s="8"/>
      <c r="D347" s="3" t="str">
        <f t="shared" si="104"/>
        <v>链农互动</v>
      </c>
      <c r="E347" s="8"/>
      <c r="F347" s="9"/>
      <c r="G347" s="8"/>
      <c r="H347" s="8"/>
      <c r="I347" s="8"/>
      <c r="J347" s="8"/>
      <c r="K347" s="3" t="str">
        <f t="shared" si="105"/>
        <v>运营中</v>
      </c>
      <c r="L347" s="8"/>
      <c r="M347" s="8"/>
      <c r="N347" s="8"/>
      <c r="O347" s="8"/>
      <c r="P347" s="10">
        <v>41942</v>
      </c>
      <c r="Q347" s="8" t="s">
        <v>1875</v>
      </c>
      <c r="R347" s="8" t="s">
        <v>2388</v>
      </c>
      <c r="S347" s="8" t="s">
        <v>2678</v>
      </c>
      <c r="T347" s="8"/>
      <c r="U347" s="8"/>
      <c r="V347" s="8"/>
      <c r="W347" s="8"/>
      <c r="X347" s="8"/>
      <c r="Y347" s="8"/>
    </row>
    <row r="348" customHeight="1" spans="2:25">
      <c r="B348" s="7"/>
      <c r="C348" s="8"/>
      <c r="D348" s="3" t="str">
        <f t="shared" si="104"/>
        <v>链农互动</v>
      </c>
      <c r="E348" s="8"/>
      <c r="F348" s="9"/>
      <c r="G348" s="8"/>
      <c r="H348" s="8"/>
      <c r="I348" s="8"/>
      <c r="J348" s="8"/>
      <c r="K348" s="3" t="str">
        <f t="shared" si="105"/>
        <v>运营中</v>
      </c>
      <c r="L348" s="8"/>
      <c r="M348" s="8"/>
      <c r="N348" s="8"/>
      <c r="O348" s="8"/>
      <c r="P348" s="10">
        <v>41912</v>
      </c>
      <c r="Q348" s="8" t="s">
        <v>2378</v>
      </c>
      <c r="R348" s="8" t="s">
        <v>1952</v>
      </c>
      <c r="S348" s="8" t="s">
        <v>262</v>
      </c>
      <c r="T348" s="8"/>
      <c r="U348" s="8"/>
      <c r="V348" s="8"/>
      <c r="W348" s="8"/>
      <c r="X348" s="8"/>
      <c r="Y348" s="8"/>
    </row>
    <row r="349" customHeight="1" spans="2:25">
      <c r="B349" s="7"/>
      <c r="C349" s="8" t="s">
        <v>1438</v>
      </c>
      <c r="D349" s="3" t="s">
        <v>2679</v>
      </c>
      <c r="E349" s="8" t="s">
        <v>2679</v>
      </c>
      <c r="F349" s="9" t="s">
        <v>2680</v>
      </c>
      <c r="G349" s="8" t="s">
        <v>2681</v>
      </c>
      <c r="H349" s="8" t="s">
        <v>1442</v>
      </c>
      <c r="I349" s="8" t="s">
        <v>1443</v>
      </c>
      <c r="J349" s="8" t="s">
        <v>2397</v>
      </c>
      <c r="K349" s="3" t="s">
        <v>2026</v>
      </c>
      <c r="L349" s="8" t="s">
        <v>2026</v>
      </c>
      <c r="M349" s="8" t="s">
        <v>10</v>
      </c>
      <c r="N349" s="8" t="s">
        <v>2057</v>
      </c>
      <c r="O349" s="8"/>
      <c r="P349" s="10">
        <v>41898</v>
      </c>
      <c r="Q349" s="8" t="s">
        <v>868</v>
      </c>
      <c r="R349" s="8" t="s">
        <v>1816</v>
      </c>
      <c r="S349" s="8" t="s">
        <v>1518</v>
      </c>
      <c r="T349" s="8" t="s">
        <v>2682</v>
      </c>
      <c r="U349" s="8" t="s">
        <v>1819</v>
      </c>
      <c r="V349" s="8" t="s">
        <v>2683</v>
      </c>
      <c r="W349" s="8"/>
      <c r="X349" s="8"/>
      <c r="Y349" s="8" t="s">
        <v>1446</v>
      </c>
    </row>
    <row r="350" customHeight="1" spans="2:25">
      <c r="B350" s="7"/>
      <c r="C350" s="8"/>
      <c r="D350" s="3" t="str">
        <f t="shared" ref="D350:D351" si="106">D349</f>
        <v>上海石川科技</v>
      </c>
      <c r="E350" s="8"/>
      <c r="F350" s="9"/>
      <c r="G350" s="8"/>
      <c r="H350" s="8"/>
      <c r="I350" s="8"/>
      <c r="J350" s="8"/>
      <c r="K350" s="3" t="str">
        <f t="shared" ref="K350:K351" si="107">K349</f>
        <v>已关闭</v>
      </c>
      <c r="L350" s="8"/>
      <c r="M350" s="8"/>
      <c r="N350" s="8"/>
      <c r="O350" s="8"/>
      <c r="P350" s="10">
        <v>41287</v>
      </c>
      <c r="Q350" s="8" t="s">
        <v>1167</v>
      </c>
      <c r="R350" s="8" t="s">
        <v>1952</v>
      </c>
      <c r="S350" s="8" t="s">
        <v>2684</v>
      </c>
      <c r="T350" s="8"/>
      <c r="U350" s="8"/>
      <c r="V350" s="8"/>
      <c r="W350" s="8"/>
      <c r="X350" s="8"/>
      <c r="Y350" s="8"/>
    </row>
    <row r="351" customHeight="1" spans="2:25">
      <c r="B351" s="7"/>
      <c r="C351" s="8"/>
      <c r="D351" s="3" t="str">
        <f t="shared" si="106"/>
        <v>上海石川科技</v>
      </c>
      <c r="E351" s="8"/>
      <c r="F351" s="9"/>
      <c r="G351" s="8"/>
      <c r="H351" s="8"/>
      <c r="I351" s="8"/>
      <c r="J351" s="8"/>
      <c r="K351" s="3" t="str">
        <f t="shared" si="107"/>
        <v>已关闭</v>
      </c>
      <c r="L351" s="8"/>
      <c r="M351" s="8"/>
      <c r="N351" s="8"/>
      <c r="O351" s="8"/>
      <c r="P351" s="10">
        <v>40179</v>
      </c>
      <c r="Q351" s="8" t="s">
        <v>1875</v>
      </c>
      <c r="R351" s="8" t="s">
        <v>281</v>
      </c>
      <c r="S351" s="8" t="s">
        <v>262</v>
      </c>
      <c r="T351" s="8"/>
      <c r="U351" s="8"/>
      <c r="V351" s="8"/>
      <c r="W351" s="8"/>
      <c r="X351" s="8"/>
      <c r="Y351" s="8"/>
    </row>
    <row r="352" customHeight="1" spans="2:25">
      <c r="B352" s="7"/>
      <c r="C352" s="8" t="s">
        <v>1448</v>
      </c>
      <c r="D352" s="8" t="s">
        <v>2685</v>
      </c>
      <c r="E352" s="8" t="s">
        <v>2685</v>
      </c>
      <c r="F352" s="9" t="s">
        <v>2686</v>
      </c>
      <c r="G352" s="8" t="s">
        <v>2687</v>
      </c>
      <c r="H352" s="8" t="s">
        <v>1452</v>
      </c>
      <c r="I352" s="8" t="s">
        <v>552</v>
      </c>
      <c r="J352" s="8" t="s">
        <v>2688</v>
      </c>
      <c r="K352" s="8" t="s">
        <v>2026</v>
      </c>
      <c r="L352" s="8" t="s">
        <v>2026</v>
      </c>
      <c r="M352" s="8" t="s">
        <v>10</v>
      </c>
      <c r="N352" s="8" t="s">
        <v>2106</v>
      </c>
      <c r="O352" s="8"/>
      <c r="P352" s="10">
        <v>41892</v>
      </c>
      <c r="Q352" s="8" t="s">
        <v>1875</v>
      </c>
      <c r="R352" s="8" t="s">
        <v>281</v>
      </c>
      <c r="S352" s="8" t="s">
        <v>1518</v>
      </c>
      <c r="T352" s="8" t="s">
        <v>2689</v>
      </c>
      <c r="U352" s="8" t="s">
        <v>284</v>
      </c>
      <c r="V352" s="8" t="s">
        <v>2690</v>
      </c>
      <c r="W352" s="8"/>
      <c r="X352" s="8"/>
      <c r="Y352" s="8"/>
    </row>
    <row r="353" customHeight="1" spans="2:25">
      <c r="B353" s="7"/>
      <c r="C353" s="8" t="s">
        <v>1456</v>
      </c>
      <c r="D353" s="8" t="s">
        <v>2691</v>
      </c>
      <c r="E353" s="8" t="s">
        <v>2691</v>
      </c>
      <c r="F353" s="9" t="s">
        <v>2692</v>
      </c>
      <c r="G353" s="8" t="s">
        <v>2693</v>
      </c>
      <c r="H353" s="8" t="s">
        <v>1460</v>
      </c>
      <c r="I353" s="8" t="s">
        <v>1461</v>
      </c>
      <c r="J353" s="8" t="s">
        <v>807</v>
      </c>
      <c r="K353" s="8" t="s">
        <v>278</v>
      </c>
      <c r="L353" s="8" t="s">
        <v>278</v>
      </c>
      <c r="M353" s="8" t="s">
        <v>10</v>
      </c>
      <c r="N353" s="8" t="s">
        <v>279</v>
      </c>
      <c r="O353" s="8"/>
      <c r="P353" s="10">
        <v>41991</v>
      </c>
      <c r="Q353" s="8" t="s">
        <v>1167</v>
      </c>
      <c r="R353" s="8" t="s">
        <v>1816</v>
      </c>
      <c r="S353" s="8" t="s">
        <v>1518</v>
      </c>
      <c r="T353" s="8" t="s">
        <v>2058</v>
      </c>
      <c r="U353" s="8" t="s">
        <v>1819</v>
      </c>
      <c r="V353" s="8"/>
      <c r="W353" s="8"/>
      <c r="X353" s="8"/>
      <c r="Y353" s="8" t="s">
        <v>1462</v>
      </c>
    </row>
    <row r="354" customHeight="1" spans="2:25">
      <c r="B354" s="7"/>
      <c r="C354" s="8" t="s">
        <v>1463</v>
      </c>
      <c r="D354" s="8" t="s">
        <v>2694</v>
      </c>
      <c r="E354" s="8" t="s">
        <v>2694</v>
      </c>
      <c r="F354" s="9" t="s">
        <v>2695</v>
      </c>
      <c r="G354" s="8" t="s">
        <v>2687</v>
      </c>
      <c r="H354" s="8" t="s">
        <v>1466</v>
      </c>
      <c r="I354" s="8" t="s">
        <v>552</v>
      </c>
      <c r="J354" s="8" t="s">
        <v>2139</v>
      </c>
      <c r="K354" s="8" t="s">
        <v>2026</v>
      </c>
      <c r="L354" s="8" t="s">
        <v>2026</v>
      </c>
      <c r="M354" s="8" t="s">
        <v>50</v>
      </c>
      <c r="N354" s="8" t="s">
        <v>2696</v>
      </c>
      <c r="O354" s="8"/>
      <c r="P354" s="10">
        <v>42351</v>
      </c>
      <c r="Q354" s="8" t="s">
        <v>1875</v>
      </c>
      <c r="R354" s="8" t="s">
        <v>1981</v>
      </c>
      <c r="S354" s="8" t="s">
        <v>1518</v>
      </c>
      <c r="T354" s="8" t="s">
        <v>2697</v>
      </c>
      <c r="U354" s="8" t="s">
        <v>2698</v>
      </c>
      <c r="V354" s="8" t="s">
        <v>2699</v>
      </c>
      <c r="W354" s="8"/>
      <c r="X354" s="8"/>
      <c r="Y354" s="8"/>
    </row>
    <row r="355" customHeight="1" spans="2:25">
      <c r="B355" s="7"/>
      <c r="C355" s="8" t="s">
        <v>705</v>
      </c>
      <c r="D355" s="3" t="s">
        <v>2270</v>
      </c>
      <c r="E355" s="8" t="s">
        <v>2270</v>
      </c>
      <c r="F355" s="9" t="s">
        <v>2271</v>
      </c>
      <c r="G355" s="8" t="s">
        <v>2272</v>
      </c>
      <c r="H355" s="8" t="s">
        <v>709</v>
      </c>
      <c r="I355" s="8" t="s">
        <v>710</v>
      </c>
      <c r="J355" s="8" t="s">
        <v>890</v>
      </c>
      <c r="K355" s="3" t="s">
        <v>278</v>
      </c>
      <c r="L355" s="8" t="s">
        <v>278</v>
      </c>
      <c r="M355" s="8" t="s">
        <v>10</v>
      </c>
      <c r="N355" s="8" t="s">
        <v>279</v>
      </c>
      <c r="O355" s="8">
        <v>1</v>
      </c>
      <c r="P355" s="10">
        <v>43236</v>
      </c>
      <c r="Q355" s="8" t="s">
        <v>1948</v>
      </c>
      <c r="R355" s="8" t="s">
        <v>281</v>
      </c>
      <c r="S355" s="8" t="s">
        <v>809</v>
      </c>
      <c r="T355" s="8" t="s">
        <v>2273</v>
      </c>
      <c r="U355" s="8" t="s">
        <v>284</v>
      </c>
      <c r="V355" s="8" t="s">
        <v>2274</v>
      </c>
      <c r="W355" s="8" t="s">
        <v>2275</v>
      </c>
      <c r="X355" s="8" t="s">
        <v>714</v>
      </c>
      <c r="Y355" s="8" t="s">
        <v>715</v>
      </c>
    </row>
    <row r="356" customHeight="1" spans="2:25">
      <c r="B356" s="7"/>
      <c r="C356" s="8"/>
      <c r="D356" s="3" t="str">
        <f t="shared" ref="D356:D358" si="108">D355</f>
        <v>屏芯科技</v>
      </c>
      <c r="E356" s="8"/>
      <c r="F356" s="9"/>
      <c r="G356" s="8"/>
      <c r="H356" s="8"/>
      <c r="I356" s="8"/>
      <c r="J356" s="8"/>
      <c r="K356" s="3" t="str">
        <f t="shared" ref="K356:K358" si="109">K355</f>
        <v>运营中</v>
      </c>
      <c r="L356" s="8"/>
      <c r="M356" s="8"/>
      <c r="N356" s="8"/>
      <c r="O356" s="8">
        <v>1</v>
      </c>
      <c r="P356" s="10">
        <v>42480</v>
      </c>
      <c r="Q356" s="8" t="s">
        <v>1948</v>
      </c>
      <c r="R356" s="8" t="s">
        <v>281</v>
      </c>
      <c r="S356" s="8" t="s">
        <v>809</v>
      </c>
      <c r="T356" s="8"/>
      <c r="U356" s="8"/>
      <c r="V356" s="8"/>
      <c r="W356" s="8"/>
      <c r="X356" s="8"/>
      <c r="Y356" s="8"/>
    </row>
    <row r="357" customHeight="1" spans="2:25">
      <c r="B357" s="7"/>
      <c r="C357" s="8"/>
      <c r="D357" s="3" t="str">
        <f t="shared" si="108"/>
        <v>屏芯科技</v>
      </c>
      <c r="E357" s="8"/>
      <c r="F357" s="9"/>
      <c r="G357" s="8"/>
      <c r="H357" s="8"/>
      <c r="I357" s="8"/>
      <c r="J357" s="8"/>
      <c r="K357" s="3" t="str">
        <f t="shared" si="109"/>
        <v>运营中</v>
      </c>
      <c r="L357" s="8"/>
      <c r="M357" s="8"/>
      <c r="N357" s="8"/>
      <c r="O357" s="8">
        <v>1</v>
      </c>
      <c r="P357" s="10">
        <v>42214</v>
      </c>
      <c r="Q357" s="8" t="s">
        <v>280</v>
      </c>
      <c r="R357" s="8" t="s">
        <v>1816</v>
      </c>
      <c r="S357" s="8" t="s">
        <v>1518</v>
      </c>
      <c r="T357" s="8"/>
      <c r="U357" s="8"/>
      <c r="V357" s="8"/>
      <c r="W357" s="8"/>
      <c r="X357" s="8"/>
      <c r="Y357" s="8"/>
    </row>
    <row r="358" customHeight="1" spans="2:25">
      <c r="B358" s="7"/>
      <c r="C358" s="8"/>
      <c r="D358" s="3" t="str">
        <f t="shared" si="108"/>
        <v>屏芯科技</v>
      </c>
      <c r="E358" s="8"/>
      <c r="F358" s="9"/>
      <c r="G358" s="8"/>
      <c r="H358" s="8"/>
      <c r="I358" s="8"/>
      <c r="J358" s="8"/>
      <c r="K358" s="3" t="str">
        <f t="shared" si="109"/>
        <v>运营中</v>
      </c>
      <c r="L358" s="8"/>
      <c r="M358" s="8"/>
      <c r="N358" s="8"/>
      <c r="O358" s="8">
        <v>1</v>
      </c>
      <c r="P358" s="10">
        <v>41754</v>
      </c>
      <c r="Q358" s="8" t="s">
        <v>1167</v>
      </c>
      <c r="R358" s="8" t="s">
        <v>1816</v>
      </c>
      <c r="S358" s="8" t="s">
        <v>2276</v>
      </c>
      <c r="T358" s="8"/>
      <c r="U358" s="8"/>
      <c r="V358" s="8"/>
      <c r="W358" s="8"/>
      <c r="X358" s="8"/>
      <c r="Y358" s="8"/>
    </row>
    <row r="359" customHeight="1" spans="2:25">
      <c r="B359" s="7"/>
      <c r="C359" s="8" t="s">
        <v>1471</v>
      </c>
      <c r="D359" s="3" t="s">
        <v>2700</v>
      </c>
      <c r="E359" s="8" t="s">
        <v>2700</v>
      </c>
      <c r="F359" s="9" t="s">
        <v>2701</v>
      </c>
      <c r="G359" s="8" t="s">
        <v>2702</v>
      </c>
      <c r="H359" s="8" t="s">
        <v>1475</v>
      </c>
      <c r="I359" s="8" t="s">
        <v>1476</v>
      </c>
      <c r="J359" s="8" t="s">
        <v>2081</v>
      </c>
      <c r="K359" s="3" t="s">
        <v>278</v>
      </c>
      <c r="L359" s="8" t="s">
        <v>278</v>
      </c>
      <c r="M359" s="8" t="s">
        <v>50</v>
      </c>
      <c r="N359" s="8" t="s">
        <v>2664</v>
      </c>
      <c r="O359" s="8"/>
      <c r="P359" s="10">
        <v>43280</v>
      </c>
      <c r="Q359" s="8" t="s">
        <v>1167</v>
      </c>
      <c r="R359" s="8" t="s">
        <v>1816</v>
      </c>
      <c r="S359" s="8" t="s">
        <v>2703</v>
      </c>
      <c r="T359" s="8" t="s">
        <v>2704</v>
      </c>
      <c r="U359" s="8" t="s">
        <v>1819</v>
      </c>
      <c r="V359" s="8" t="s">
        <v>2705</v>
      </c>
      <c r="W359" s="8" t="s">
        <v>2706</v>
      </c>
      <c r="X359" s="8" t="s">
        <v>1481</v>
      </c>
      <c r="Y359" s="8" t="s">
        <v>1482</v>
      </c>
    </row>
    <row r="360" customHeight="1" spans="2:25">
      <c r="B360" s="7"/>
      <c r="C360" s="8"/>
      <c r="D360" s="3" t="str">
        <f t="shared" ref="D360:D361" si="110">D359</f>
        <v>袋鼠麻麻</v>
      </c>
      <c r="E360" s="8"/>
      <c r="F360" s="9"/>
      <c r="G360" s="8"/>
      <c r="H360" s="8"/>
      <c r="I360" s="8"/>
      <c r="J360" s="8"/>
      <c r="K360" s="3" t="str">
        <f t="shared" ref="K360:K361" si="111">K359</f>
        <v>运营中</v>
      </c>
      <c r="L360" s="8"/>
      <c r="M360" s="8"/>
      <c r="N360" s="8"/>
      <c r="O360" s="8"/>
      <c r="P360" s="10">
        <v>42930</v>
      </c>
      <c r="Q360" s="8" t="s">
        <v>1169</v>
      </c>
      <c r="R360" s="8" t="s">
        <v>2707</v>
      </c>
      <c r="S360" s="8" t="s">
        <v>2708</v>
      </c>
      <c r="T360" s="8"/>
      <c r="U360" s="8"/>
      <c r="V360" s="8"/>
      <c r="W360" s="8"/>
      <c r="X360" s="8"/>
      <c r="Y360" s="8"/>
    </row>
    <row r="361" customHeight="1" spans="2:25">
      <c r="B361" s="7"/>
      <c r="C361" s="8"/>
      <c r="D361" s="3" t="str">
        <f t="shared" si="110"/>
        <v>袋鼠麻麻</v>
      </c>
      <c r="E361" s="8"/>
      <c r="F361" s="9"/>
      <c r="G361" s="8"/>
      <c r="H361" s="8"/>
      <c r="I361" s="8"/>
      <c r="J361" s="8"/>
      <c r="K361" s="3" t="str">
        <f t="shared" si="111"/>
        <v>运营中</v>
      </c>
      <c r="L361" s="8"/>
      <c r="M361" s="8"/>
      <c r="N361" s="8"/>
      <c r="O361" s="8"/>
      <c r="P361" s="10">
        <v>42499</v>
      </c>
      <c r="Q361" s="8" t="s">
        <v>1875</v>
      </c>
      <c r="R361" s="8" t="s">
        <v>2709</v>
      </c>
      <c r="S361" s="8" t="s">
        <v>1518</v>
      </c>
      <c r="T361" s="8"/>
      <c r="U361" s="8"/>
      <c r="V361" s="8"/>
      <c r="W361" s="8"/>
      <c r="X361" s="8"/>
      <c r="Y361" s="8"/>
    </row>
    <row r="362" customHeight="1" spans="2:25">
      <c r="B362" s="7"/>
      <c r="C362" s="8" t="s">
        <v>1486</v>
      </c>
      <c r="D362" s="3" t="s">
        <v>2710</v>
      </c>
      <c r="E362" s="8" t="s">
        <v>2710</v>
      </c>
      <c r="F362" s="9" t="s">
        <v>2711</v>
      </c>
      <c r="G362" s="8" t="s">
        <v>2712</v>
      </c>
      <c r="H362" s="8" t="s">
        <v>1490</v>
      </c>
      <c r="I362" s="8" t="s">
        <v>1404</v>
      </c>
      <c r="J362" s="8" t="s">
        <v>1096</v>
      </c>
      <c r="K362" s="3" t="s">
        <v>278</v>
      </c>
      <c r="L362" s="8" t="s">
        <v>278</v>
      </c>
      <c r="M362" s="8" t="s">
        <v>10</v>
      </c>
      <c r="N362" s="8" t="s">
        <v>2035</v>
      </c>
      <c r="O362" s="8"/>
      <c r="P362" s="10">
        <v>43489</v>
      </c>
      <c r="Q362" s="8" t="s">
        <v>1579</v>
      </c>
      <c r="R362" s="8" t="s">
        <v>430</v>
      </c>
      <c r="S362" s="8" t="s">
        <v>2713</v>
      </c>
      <c r="T362" s="8" t="s">
        <v>2714</v>
      </c>
      <c r="U362" s="8" t="s">
        <v>1681</v>
      </c>
      <c r="V362" s="8" t="s">
        <v>2715</v>
      </c>
      <c r="W362" s="8" t="s">
        <v>2716</v>
      </c>
      <c r="X362" s="8" t="s">
        <v>1496</v>
      </c>
      <c r="Y362" s="8" t="s">
        <v>1497</v>
      </c>
    </row>
    <row r="363" customHeight="1" spans="2:25">
      <c r="B363" s="7"/>
      <c r="C363" s="8"/>
      <c r="D363" s="3" t="str">
        <f t="shared" ref="D363:D367" si="112">D362</f>
        <v>商米科技</v>
      </c>
      <c r="E363" s="8"/>
      <c r="F363" s="9"/>
      <c r="G363" s="8"/>
      <c r="H363" s="8"/>
      <c r="I363" s="8"/>
      <c r="J363" s="8"/>
      <c r="K363" s="3" t="str">
        <f t="shared" ref="K363:K367" si="113">K362</f>
        <v>运营中</v>
      </c>
      <c r="L363" s="8"/>
      <c r="M363" s="8"/>
      <c r="N363" s="8"/>
      <c r="O363" s="8"/>
      <c r="P363" s="10">
        <v>42951</v>
      </c>
      <c r="Q363" s="8" t="s">
        <v>425</v>
      </c>
      <c r="R363" s="8" t="s">
        <v>430</v>
      </c>
      <c r="S363" s="8" t="s">
        <v>262</v>
      </c>
      <c r="T363" s="8"/>
      <c r="U363" s="8"/>
      <c r="V363" s="8"/>
      <c r="W363" s="8"/>
      <c r="X363" s="8"/>
      <c r="Y363" s="8"/>
    </row>
    <row r="364" customHeight="1" spans="2:25">
      <c r="B364" s="7"/>
      <c r="C364" s="8"/>
      <c r="D364" s="3" t="str">
        <f t="shared" si="112"/>
        <v>商米科技</v>
      </c>
      <c r="E364" s="8"/>
      <c r="F364" s="9"/>
      <c r="G364" s="8"/>
      <c r="H364" s="8"/>
      <c r="I364" s="8"/>
      <c r="J364" s="8"/>
      <c r="K364" s="3" t="str">
        <f t="shared" si="113"/>
        <v>运营中</v>
      </c>
      <c r="L364" s="8"/>
      <c r="M364" s="8"/>
      <c r="N364" s="8"/>
      <c r="O364" s="8"/>
      <c r="P364" s="10">
        <v>42185</v>
      </c>
      <c r="Q364" s="8" t="s">
        <v>865</v>
      </c>
      <c r="R364" s="8" t="s">
        <v>866</v>
      </c>
      <c r="S364" s="8" t="s">
        <v>2717</v>
      </c>
      <c r="T364" s="8"/>
      <c r="U364" s="8"/>
      <c r="V364" s="8"/>
      <c r="W364" s="8"/>
      <c r="X364" s="8"/>
      <c r="Y364" s="8"/>
    </row>
    <row r="365" customHeight="1" spans="2:25">
      <c r="B365" s="7"/>
      <c r="C365" s="8"/>
      <c r="D365" s="3" t="str">
        <f t="shared" si="112"/>
        <v>商米科技</v>
      </c>
      <c r="E365" s="8"/>
      <c r="F365" s="9"/>
      <c r="G365" s="8"/>
      <c r="H365" s="8"/>
      <c r="I365" s="8"/>
      <c r="J365" s="8"/>
      <c r="K365" s="3" t="str">
        <f t="shared" si="113"/>
        <v>运营中</v>
      </c>
      <c r="L365" s="8"/>
      <c r="M365" s="8"/>
      <c r="N365" s="8"/>
      <c r="O365" s="8"/>
      <c r="P365" s="10">
        <v>42129</v>
      </c>
      <c r="Q365" s="8" t="s">
        <v>868</v>
      </c>
      <c r="R365" s="8" t="s">
        <v>2177</v>
      </c>
      <c r="S365" s="8" t="s">
        <v>2718</v>
      </c>
      <c r="T365" s="8"/>
      <c r="U365" s="8"/>
      <c r="V365" s="8"/>
      <c r="W365" s="8"/>
      <c r="X365" s="8"/>
      <c r="Y365" s="8"/>
    </row>
    <row r="366" customHeight="1" spans="2:25">
      <c r="B366" s="7"/>
      <c r="C366" s="8"/>
      <c r="D366" s="3" t="str">
        <f t="shared" si="112"/>
        <v>商米科技</v>
      </c>
      <c r="E366" s="8"/>
      <c r="F366" s="9"/>
      <c r="G366" s="8"/>
      <c r="H366" s="8"/>
      <c r="I366" s="8"/>
      <c r="J366" s="8"/>
      <c r="K366" s="3" t="str">
        <f t="shared" si="113"/>
        <v>运营中</v>
      </c>
      <c r="L366" s="8"/>
      <c r="M366" s="8"/>
      <c r="N366" s="8"/>
      <c r="O366" s="8"/>
      <c r="P366" s="10">
        <v>41874</v>
      </c>
      <c r="Q366" s="8" t="s">
        <v>1167</v>
      </c>
      <c r="R366" s="8" t="s">
        <v>2657</v>
      </c>
      <c r="S366" s="8" t="s">
        <v>2719</v>
      </c>
      <c r="T366" s="8"/>
      <c r="U366" s="8"/>
      <c r="V366" s="8"/>
      <c r="W366" s="8"/>
      <c r="X366" s="8"/>
      <c r="Y366" s="8"/>
    </row>
    <row r="367" customHeight="1" spans="2:25">
      <c r="B367" s="7"/>
      <c r="C367" s="8"/>
      <c r="D367" s="3" t="str">
        <f t="shared" si="112"/>
        <v>商米科技</v>
      </c>
      <c r="E367" s="8"/>
      <c r="F367" s="9"/>
      <c r="G367" s="8"/>
      <c r="H367" s="8"/>
      <c r="I367" s="8"/>
      <c r="J367" s="8"/>
      <c r="K367" s="3" t="str">
        <f t="shared" si="113"/>
        <v>运营中</v>
      </c>
      <c r="L367" s="8"/>
      <c r="M367" s="8"/>
      <c r="N367" s="8"/>
      <c r="O367" s="8"/>
      <c r="P367" s="10">
        <v>41643</v>
      </c>
      <c r="Q367" s="8" t="s">
        <v>1875</v>
      </c>
      <c r="R367" s="8" t="s">
        <v>281</v>
      </c>
      <c r="S367" s="8" t="s">
        <v>2659</v>
      </c>
      <c r="T367" s="8"/>
      <c r="U367" s="8"/>
      <c r="V367" s="8"/>
      <c r="W367" s="8"/>
      <c r="X367" s="8"/>
      <c r="Y367" s="8"/>
    </row>
    <row r="368" customHeight="1" spans="2:25">
      <c r="B368" s="7"/>
      <c r="C368" s="8" t="s">
        <v>966</v>
      </c>
      <c r="D368" s="3" t="s">
        <v>2411</v>
      </c>
      <c r="E368" s="8" t="s">
        <v>2411</v>
      </c>
      <c r="F368" s="9" t="s">
        <v>2412</v>
      </c>
      <c r="G368" s="8" t="s">
        <v>2413</v>
      </c>
      <c r="H368" s="8" t="s">
        <v>970</v>
      </c>
      <c r="I368" s="8" t="s">
        <v>971</v>
      </c>
      <c r="J368" s="8" t="s">
        <v>1096</v>
      </c>
      <c r="K368" s="3" t="s">
        <v>278</v>
      </c>
      <c r="L368" s="8" t="s">
        <v>278</v>
      </c>
      <c r="M368" s="8" t="s">
        <v>10</v>
      </c>
      <c r="N368" s="8" t="s">
        <v>279</v>
      </c>
      <c r="O368" s="8"/>
      <c r="P368" s="10">
        <v>43028</v>
      </c>
      <c r="Q368" s="8" t="s">
        <v>1167</v>
      </c>
      <c r="R368" s="8" t="s">
        <v>430</v>
      </c>
      <c r="S368" s="8" t="s">
        <v>2414</v>
      </c>
      <c r="T368" s="8" t="s">
        <v>2415</v>
      </c>
      <c r="U368" s="8" t="s">
        <v>1085</v>
      </c>
      <c r="V368" s="8" t="s">
        <v>2416</v>
      </c>
      <c r="W368" s="8" t="s">
        <v>2417</v>
      </c>
      <c r="X368" s="8" t="s">
        <v>977</v>
      </c>
      <c r="Y368" s="8" t="s">
        <v>978</v>
      </c>
    </row>
    <row r="369" customHeight="1" spans="2:25">
      <c r="B369" s="7"/>
      <c r="C369" s="8"/>
      <c r="D369" s="3" t="str">
        <f>D368</f>
        <v>大家来</v>
      </c>
      <c r="E369" s="8"/>
      <c r="F369" s="9"/>
      <c r="G369" s="8"/>
      <c r="H369" s="8"/>
      <c r="I369" s="8"/>
      <c r="J369" s="8"/>
      <c r="K369" s="3" t="str">
        <f>K368</f>
        <v>运营中</v>
      </c>
      <c r="L369" s="8"/>
      <c r="M369" s="8"/>
      <c r="N369" s="8"/>
      <c r="O369" s="8"/>
      <c r="P369" s="10">
        <v>42175</v>
      </c>
      <c r="Q369" s="8" t="s">
        <v>1875</v>
      </c>
      <c r="R369" s="8" t="s">
        <v>1963</v>
      </c>
      <c r="S369" s="8" t="s">
        <v>2418</v>
      </c>
      <c r="T369" s="8"/>
      <c r="U369" s="8"/>
      <c r="V369" s="8"/>
      <c r="W369" s="8"/>
      <c r="X369" s="8"/>
      <c r="Y369" s="8"/>
    </row>
    <row r="370" customHeight="1" spans="2:25">
      <c r="B370" s="7"/>
      <c r="C370" s="8" t="s">
        <v>1501</v>
      </c>
      <c r="D370" s="3" t="s">
        <v>2720</v>
      </c>
      <c r="E370" s="8" t="s">
        <v>2720</v>
      </c>
      <c r="F370" s="9" t="s">
        <v>2721</v>
      </c>
      <c r="G370" s="8" t="s">
        <v>2722</v>
      </c>
      <c r="H370" s="8" t="s">
        <v>1460</v>
      </c>
      <c r="I370" s="8" t="s">
        <v>457</v>
      </c>
      <c r="J370" s="8" t="s">
        <v>807</v>
      </c>
      <c r="K370" s="3" t="s">
        <v>278</v>
      </c>
      <c r="L370" s="8" t="s">
        <v>278</v>
      </c>
      <c r="M370" s="8" t="s">
        <v>27</v>
      </c>
      <c r="N370" s="8" t="s">
        <v>2057</v>
      </c>
      <c r="O370" s="8"/>
      <c r="P370" s="10">
        <v>42800</v>
      </c>
      <c r="Q370" s="8" t="s">
        <v>280</v>
      </c>
      <c r="R370" s="8" t="s">
        <v>281</v>
      </c>
      <c r="S370" s="8" t="s">
        <v>2723</v>
      </c>
      <c r="T370" s="8" t="s">
        <v>1886</v>
      </c>
      <c r="U370" s="8" t="s">
        <v>284</v>
      </c>
      <c r="V370" s="8" t="s">
        <v>2724</v>
      </c>
      <c r="W370" s="8" t="s">
        <v>2725</v>
      </c>
      <c r="X370" s="8" t="s">
        <v>1508</v>
      </c>
      <c r="Y370" s="8" t="s">
        <v>1509</v>
      </c>
    </row>
    <row r="371" customHeight="1" spans="2:25">
      <c r="B371" s="7"/>
      <c r="C371" s="8"/>
      <c r="D371" s="3" t="str">
        <f t="shared" ref="D371:D372" si="114">D370</f>
        <v>食为天信息</v>
      </c>
      <c r="E371" s="8"/>
      <c r="F371" s="9"/>
      <c r="G371" s="8"/>
      <c r="H371" s="8"/>
      <c r="I371" s="8"/>
      <c r="J371" s="8"/>
      <c r="K371" s="3" t="str">
        <f t="shared" ref="K371:K372" si="115">K370</f>
        <v>运营中</v>
      </c>
      <c r="L371" s="8"/>
      <c r="M371" s="8"/>
      <c r="N371" s="8"/>
      <c r="O371" s="8"/>
      <c r="P371" s="10">
        <v>42370</v>
      </c>
      <c r="Q371" s="8" t="s">
        <v>280</v>
      </c>
      <c r="R371" s="8" t="s">
        <v>1816</v>
      </c>
      <c r="S371" s="8" t="s">
        <v>2726</v>
      </c>
      <c r="T371" s="8"/>
      <c r="U371" s="8"/>
      <c r="V371" s="8"/>
      <c r="W371" s="8"/>
      <c r="X371" s="8"/>
      <c r="Y371" s="8"/>
    </row>
    <row r="372" customHeight="1" spans="2:25">
      <c r="B372" s="7"/>
      <c r="C372" s="8"/>
      <c r="D372" s="3" t="str">
        <f t="shared" si="114"/>
        <v>食为天信息</v>
      </c>
      <c r="E372" s="8"/>
      <c r="F372" s="9"/>
      <c r="G372" s="8"/>
      <c r="H372" s="8"/>
      <c r="I372" s="8"/>
      <c r="J372" s="8"/>
      <c r="K372" s="3" t="str">
        <f t="shared" si="115"/>
        <v>运营中</v>
      </c>
      <c r="L372" s="8"/>
      <c r="M372" s="8"/>
      <c r="N372" s="8"/>
      <c r="O372" s="8"/>
      <c r="P372" s="10">
        <v>42003</v>
      </c>
      <c r="Q372" s="8" t="s">
        <v>280</v>
      </c>
      <c r="R372" s="8" t="s">
        <v>1816</v>
      </c>
      <c r="S372" s="8" t="s">
        <v>1518</v>
      </c>
      <c r="T372" s="8"/>
      <c r="U372" s="8"/>
      <c r="V372" s="8"/>
      <c r="W372" s="8"/>
      <c r="X372" s="8"/>
      <c r="Y372" s="8"/>
    </row>
    <row r="373" customHeight="1" spans="2:25">
      <c r="B373" s="7"/>
      <c r="C373" s="8" t="s">
        <v>1511</v>
      </c>
      <c r="D373" s="8" t="s">
        <v>1513</v>
      </c>
      <c r="E373" s="8" t="s">
        <v>1513</v>
      </c>
      <c r="F373" s="9" t="s">
        <v>1514</v>
      </c>
      <c r="G373" s="8" t="s">
        <v>2727</v>
      </c>
      <c r="H373" s="8"/>
      <c r="I373" s="8" t="s">
        <v>1516</v>
      </c>
      <c r="J373" s="8" t="s">
        <v>952</v>
      </c>
      <c r="K373" s="8" t="s">
        <v>278</v>
      </c>
      <c r="L373" s="8" t="s">
        <v>278</v>
      </c>
      <c r="M373" s="8" t="s">
        <v>37</v>
      </c>
      <c r="N373" s="8" t="s">
        <v>1517</v>
      </c>
      <c r="O373" s="8"/>
      <c r="P373" s="10">
        <v>44480</v>
      </c>
      <c r="Q373" s="8" t="s">
        <v>280</v>
      </c>
      <c r="R373" s="8" t="s">
        <v>281</v>
      </c>
      <c r="S373" s="8" t="s">
        <v>1518</v>
      </c>
      <c r="T373" s="8" t="s">
        <v>810</v>
      </c>
      <c r="U373" s="8" t="s">
        <v>284</v>
      </c>
      <c r="V373" s="8"/>
      <c r="W373" s="8" t="s">
        <v>2728</v>
      </c>
      <c r="X373" s="8" t="s">
        <v>1520</v>
      </c>
      <c r="Y373" s="8" t="s">
        <v>1521</v>
      </c>
    </row>
    <row r="374" customHeight="1" spans="2:25">
      <c r="B374" s="7" t="s">
        <v>1645</v>
      </c>
      <c r="C374" s="8" t="s">
        <v>1523</v>
      </c>
      <c r="D374" s="3" t="s">
        <v>2729</v>
      </c>
      <c r="E374" s="8" t="s">
        <v>2729</v>
      </c>
      <c r="F374" s="9" t="s">
        <v>2730</v>
      </c>
      <c r="G374" s="8" t="s">
        <v>2731</v>
      </c>
      <c r="H374" s="8" t="s">
        <v>1527</v>
      </c>
      <c r="I374" s="8" t="s">
        <v>1528</v>
      </c>
      <c r="J374" s="8" t="s">
        <v>553</v>
      </c>
      <c r="K374" s="3" t="s">
        <v>2026</v>
      </c>
      <c r="L374" s="8" t="s">
        <v>2026</v>
      </c>
      <c r="M374" s="8" t="s">
        <v>10</v>
      </c>
      <c r="N374" s="8" t="s">
        <v>279</v>
      </c>
      <c r="O374" s="8"/>
      <c r="P374" s="10">
        <v>43077</v>
      </c>
      <c r="Q374" s="8" t="s">
        <v>868</v>
      </c>
      <c r="R374" s="8" t="s">
        <v>1816</v>
      </c>
      <c r="S374" s="8" t="s">
        <v>1767</v>
      </c>
      <c r="T374" s="8" t="s">
        <v>2732</v>
      </c>
      <c r="U374" s="8" t="s">
        <v>1819</v>
      </c>
      <c r="V374" s="8" t="s">
        <v>2733</v>
      </c>
      <c r="W374" s="8"/>
      <c r="X374" s="8"/>
      <c r="Y374" s="8"/>
    </row>
    <row r="375" customHeight="1" spans="2:25">
      <c r="B375" s="7"/>
      <c r="C375" s="8"/>
      <c r="D375" s="3" t="str">
        <f t="shared" ref="D375:D376" si="116">D374</f>
        <v>甜心摇滚沙拉</v>
      </c>
      <c r="E375" s="8"/>
      <c r="F375" s="9"/>
      <c r="G375" s="8"/>
      <c r="H375" s="8"/>
      <c r="I375" s="8"/>
      <c r="J375" s="8"/>
      <c r="K375" s="3" t="str">
        <f t="shared" ref="K375:K376" si="117">K374</f>
        <v>已关闭</v>
      </c>
      <c r="L375" s="8"/>
      <c r="M375" s="8"/>
      <c r="N375" s="8"/>
      <c r="O375" s="8"/>
      <c r="P375" s="10">
        <v>42058</v>
      </c>
      <c r="Q375" s="8" t="s">
        <v>1167</v>
      </c>
      <c r="R375" s="8" t="s">
        <v>1816</v>
      </c>
      <c r="S375" s="8" t="s">
        <v>2734</v>
      </c>
      <c r="T375" s="8"/>
      <c r="U375" s="8"/>
      <c r="V375" s="8"/>
      <c r="W375" s="8"/>
      <c r="X375" s="8"/>
      <c r="Y375" s="8"/>
    </row>
    <row r="376" customHeight="1" spans="2:25">
      <c r="B376" s="7"/>
      <c r="C376" s="8"/>
      <c r="D376" s="3" t="str">
        <f t="shared" si="116"/>
        <v>甜心摇滚沙拉</v>
      </c>
      <c r="E376" s="8"/>
      <c r="F376" s="9"/>
      <c r="G376" s="8"/>
      <c r="H376" s="8"/>
      <c r="I376" s="8"/>
      <c r="J376" s="8"/>
      <c r="K376" s="3" t="str">
        <f t="shared" si="117"/>
        <v>已关闭</v>
      </c>
      <c r="L376" s="8"/>
      <c r="M376" s="8"/>
      <c r="N376" s="8"/>
      <c r="O376" s="8"/>
      <c r="P376" s="10">
        <v>41897</v>
      </c>
      <c r="Q376" s="8" t="s">
        <v>1875</v>
      </c>
      <c r="R376" s="8" t="s">
        <v>1952</v>
      </c>
      <c r="S376" s="8" t="s">
        <v>2735</v>
      </c>
      <c r="T376" s="8"/>
      <c r="U376" s="8"/>
      <c r="V376" s="8"/>
      <c r="W376" s="8"/>
      <c r="X376" s="8"/>
      <c r="Y376" s="8"/>
    </row>
    <row r="377" customHeight="1" spans="2:25">
      <c r="B377" s="7"/>
      <c r="C377" s="8" t="s">
        <v>546</v>
      </c>
      <c r="D377" s="3" t="s">
        <v>2736</v>
      </c>
      <c r="E377" s="8" t="s">
        <v>2736</v>
      </c>
      <c r="F377" s="9" t="s">
        <v>2737</v>
      </c>
      <c r="G377" s="8" t="s">
        <v>2738</v>
      </c>
      <c r="H377" s="8" t="s">
        <v>1537</v>
      </c>
      <c r="I377" s="8" t="s">
        <v>576</v>
      </c>
      <c r="J377" s="8" t="s">
        <v>807</v>
      </c>
      <c r="K377" s="3" t="s">
        <v>278</v>
      </c>
      <c r="L377" s="8" t="s">
        <v>278</v>
      </c>
      <c r="M377" s="8" t="s">
        <v>27</v>
      </c>
      <c r="N377" s="8" t="s">
        <v>1957</v>
      </c>
      <c r="O377" s="8">
        <v>1</v>
      </c>
      <c r="P377" s="10">
        <v>43872</v>
      </c>
      <c r="Q377" s="8" t="s">
        <v>1948</v>
      </c>
      <c r="R377" s="8" t="s">
        <v>281</v>
      </c>
      <c r="S377" s="8" t="s">
        <v>548</v>
      </c>
      <c r="T377" s="8" t="s">
        <v>2739</v>
      </c>
      <c r="U377" s="8" t="s">
        <v>284</v>
      </c>
      <c r="V377" s="8" t="s">
        <v>2740</v>
      </c>
      <c r="W377" s="8" t="s">
        <v>2741</v>
      </c>
      <c r="X377" s="8" t="s">
        <v>1541</v>
      </c>
      <c r="Y377" s="8" t="s">
        <v>1542</v>
      </c>
    </row>
    <row r="378" customHeight="1" spans="2:25">
      <c r="B378" s="7"/>
      <c r="C378" s="8"/>
      <c r="D378" s="3" t="str">
        <f t="shared" ref="D378:D380" si="118">D377</f>
        <v>掌上快销</v>
      </c>
      <c r="E378" s="8"/>
      <c r="F378" s="9"/>
      <c r="G378" s="8"/>
      <c r="H378" s="8"/>
      <c r="I378" s="8"/>
      <c r="J378" s="8"/>
      <c r="K378" s="3" t="str">
        <f t="shared" ref="K378:K380" si="119">K377</f>
        <v>运营中</v>
      </c>
      <c r="L378" s="8"/>
      <c r="M378" s="8"/>
      <c r="N378" s="8"/>
      <c r="O378" s="8">
        <v>1</v>
      </c>
      <c r="P378" s="10">
        <v>43157</v>
      </c>
      <c r="Q378" s="8" t="s">
        <v>868</v>
      </c>
      <c r="R378" s="8" t="s">
        <v>2742</v>
      </c>
      <c r="S378" s="8" t="s">
        <v>2743</v>
      </c>
      <c r="T378" s="8"/>
      <c r="U378" s="8"/>
      <c r="V378" s="8"/>
      <c r="W378" s="8"/>
      <c r="X378" s="8"/>
      <c r="Y378" s="8"/>
    </row>
    <row r="379" customHeight="1" spans="2:25">
      <c r="B379" s="7"/>
      <c r="C379" s="8"/>
      <c r="D379" s="3" t="str">
        <f t="shared" si="118"/>
        <v>掌上快销</v>
      </c>
      <c r="E379" s="8"/>
      <c r="F379" s="9"/>
      <c r="G379" s="8"/>
      <c r="H379" s="8"/>
      <c r="I379" s="8"/>
      <c r="J379" s="8"/>
      <c r="K379" s="3" t="str">
        <f t="shared" si="119"/>
        <v>运营中</v>
      </c>
      <c r="L379" s="8"/>
      <c r="M379" s="8"/>
      <c r="N379" s="8"/>
      <c r="O379" s="8">
        <v>1</v>
      </c>
      <c r="P379" s="10">
        <v>42917</v>
      </c>
      <c r="Q379" s="8" t="s">
        <v>1167</v>
      </c>
      <c r="R379" s="8" t="s">
        <v>281</v>
      </c>
      <c r="S379" s="8" t="s">
        <v>2744</v>
      </c>
      <c r="T379" s="8"/>
      <c r="U379" s="8"/>
      <c r="V379" s="8"/>
      <c r="W379" s="8"/>
      <c r="X379" s="8"/>
      <c r="Y379" s="8"/>
    </row>
    <row r="380" customHeight="1" spans="2:25">
      <c r="B380" s="7"/>
      <c r="C380" s="8"/>
      <c r="D380" s="3" t="str">
        <f t="shared" si="118"/>
        <v>掌上快销</v>
      </c>
      <c r="E380" s="8"/>
      <c r="F380" s="9"/>
      <c r="G380" s="8"/>
      <c r="H380" s="8"/>
      <c r="I380" s="8"/>
      <c r="J380" s="8"/>
      <c r="K380" s="3" t="str">
        <f t="shared" si="119"/>
        <v>运营中</v>
      </c>
      <c r="L380" s="8"/>
      <c r="M380" s="8"/>
      <c r="N380" s="8"/>
      <c r="O380" s="8">
        <v>1</v>
      </c>
      <c r="P380" s="10">
        <v>42184</v>
      </c>
      <c r="Q380" s="8" t="s">
        <v>1875</v>
      </c>
      <c r="R380" s="8" t="s">
        <v>1952</v>
      </c>
      <c r="S380" s="8" t="s">
        <v>2745</v>
      </c>
      <c r="T380" s="8"/>
      <c r="U380" s="8"/>
      <c r="V380" s="8"/>
      <c r="W380" s="8"/>
      <c r="X380" s="8"/>
      <c r="Y380" s="8"/>
    </row>
    <row r="381" customHeight="1" spans="2:25">
      <c r="B381" s="7"/>
      <c r="C381" s="8" t="s">
        <v>546</v>
      </c>
      <c r="D381" s="3" t="s">
        <v>548</v>
      </c>
      <c r="E381" s="8" t="s">
        <v>548</v>
      </c>
      <c r="F381" s="9" t="s">
        <v>549</v>
      </c>
      <c r="G381" s="8" t="s">
        <v>2172</v>
      </c>
      <c r="H381" s="8" t="s">
        <v>551</v>
      </c>
      <c r="I381" s="8" t="s">
        <v>552</v>
      </c>
      <c r="J381" s="8" t="s">
        <v>553</v>
      </c>
      <c r="K381" s="3" t="s">
        <v>278</v>
      </c>
      <c r="L381" s="8" t="s">
        <v>278</v>
      </c>
      <c r="M381" s="8" t="s">
        <v>23</v>
      </c>
      <c r="N381" s="8" t="s">
        <v>554</v>
      </c>
      <c r="O381" s="8"/>
      <c r="P381" s="10">
        <v>43872</v>
      </c>
      <c r="Q381" s="8" t="s">
        <v>555</v>
      </c>
      <c r="R381" s="8" t="s">
        <v>556</v>
      </c>
      <c r="S381" s="8" t="s">
        <v>557</v>
      </c>
      <c r="T381" s="8" t="s">
        <v>558</v>
      </c>
      <c r="U381" s="8" t="s">
        <v>559</v>
      </c>
      <c r="V381" s="8" t="s">
        <v>560</v>
      </c>
      <c r="W381" s="8" t="s">
        <v>2173</v>
      </c>
      <c r="X381" s="8" t="s">
        <v>562</v>
      </c>
      <c r="Y381" s="8" t="s">
        <v>563</v>
      </c>
    </row>
    <row r="382" customHeight="1" spans="2:25">
      <c r="B382" s="7"/>
      <c r="C382" s="8"/>
      <c r="D382" s="3" t="str">
        <f t="shared" ref="D382:D389" si="120">D381</f>
        <v>易酒批</v>
      </c>
      <c r="E382" s="8"/>
      <c r="F382" s="9"/>
      <c r="G382" s="8"/>
      <c r="H382" s="8"/>
      <c r="I382" s="8"/>
      <c r="J382" s="8"/>
      <c r="K382" s="3" t="str">
        <f t="shared" ref="K382:K389" si="121">K381</f>
        <v>运营中</v>
      </c>
      <c r="L382" s="8"/>
      <c r="M382" s="8"/>
      <c r="N382" s="8"/>
      <c r="O382" s="8"/>
      <c r="P382" s="10">
        <v>43698</v>
      </c>
      <c r="Q382" s="8" t="s">
        <v>280</v>
      </c>
      <c r="R382" s="8" t="s">
        <v>953</v>
      </c>
      <c r="S382" s="8" t="s">
        <v>1996</v>
      </c>
      <c r="T382" s="8"/>
      <c r="U382" s="8"/>
      <c r="V382" s="8"/>
      <c r="W382" s="8"/>
      <c r="X382" s="8"/>
      <c r="Y382" s="8"/>
    </row>
    <row r="383" customHeight="1" spans="2:25">
      <c r="B383" s="7"/>
      <c r="C383" s="8"/>
      <c r="D383" s="3" t="str">
        <f t="shared" si="120"/>
        <v>易酒批</v>
      </c>
      <c r="E383" s="8"/>
      <c r="F383" s="9"/>
      <c r="G383" s="8"/>
      <c r="H383" s="8"/>
      <c r="I383" s="8"/>
      <c r="J383" s="8"/>
      <c r="K383" s="3" t="str">
        <f t="shared" si="121"/>
        <v>运营中</v>
      </c>
      <c r="L383" s="8"/>
      <c r="M383" s="8"/>
      <c r="N383" s="8"/>
      <c r="O383" s="8"/>
      <c r="P383" s="10">
        <v>43540</v>
      </c>
      <c r="Q383" s="8" t="s">
        <v>555</v>
      </c>
      <c r="R383" s="8" t="s">
        <v>919</v>
      </c>
      <c r="S383" s="8" t="s">
        <v>2174</v>
      </c>
      <c r="T383" s="8"/>
      <c r="U383" s="8"/>
      <c r="V383" s="8"/>
      <c r="W383" s="8"/>
      <c r="X383" s="8"/>
      <c r="Y383" s="8"/>
    </row>
    <row r="384" customHeight="1" spans="2:25">
      <c r="B384" s="7"/>
      <c r="C384" s="8"/>
      <c r="D384" s="3" t="str">
        <f t="shared" si="120"/>
        <v>易酒批</v>
      </c>
      <c r="E384" s="8"/>
      <c r="F384" s="9"/>
      <c r="G384" s="8"/>
      <c r="H384" s="8"/>
      <c r="I384" s="8"/>
      <c r="J384" s="8"/>
      <c r="K384" s="3" t="str">
        <f t="shared" si="121"/>
        <v>运营中</v>
      </c>
      <c r="L384" s="8"/>
      <c r="M384" s="8"/>
      <c r="N384" s="8"/>
      <c r="O384" s="8"/>
      <c r="P384" s="10">
        <v>43363</v>
      </c>
      <c r="Q384" s="8" t="s">
        <v>1579</v>
      </c>
      <c r="R384" s="8" t="s">
        <v>2130</v>
      </c>
      <c r="S384" s="8" t="s">
        <v>2175</v>
      </c>
      <c r="T384" s="8"/>
      <c r="U384" s="8"/>
      <c r="V384" s="8"/>
      <c r="W384" s="8"/>
      <c r="X384" s="8"/>
      <c r="Y384" s="8"/>
    </row>
    <row r="385" customHeight="1" spans="2:25">
      <c r="B385" s="7"/>
      <c r="C385" s="8"/>
      <c r="D385" s="3" t="str">
        <f t="shared" si="120"/>
        <v>易酒批</v>
      </c>
      <c r="E385" s="8"/>
      <c r="F385" s="9"/>
      <c r="G385" s="8"/>
      <c r="H385" s="8"/>
      <c r="I385" s="8"/>
      <c r="J385" s="8"/>
      <c r="K385" s="3" t="str">
        <f t="shared" si="121"/>
        <v>运营中</v>
      </c>
      <c r="L385" s="8"/>
      <c r="M385" s="8"/>
      <c r="N385" s="8"/>
      <c r="O385" s="8"/>
      <c r="P385" s="10">
        <v>42661</v>
      </c>
      <c r="Q385" s="8" t="s">
        <v>425</v>
      </c>
      <c r="R385" s="8" t="s">
        <v>919</v>
      </c>
      <c r="S385" s="8" t="s">
        <v>2176</v>
      </c>
      <c r="T385" s="8"/>
      <c r="U385" s="8"/>
      <c r="V385" s="8"/>
      <c r="W385" s="8"/>
      <c r="X385" s="8"/>
      <c r="Y385" s="8"/>
    </row>
    <row r="386" customHeight="1" spans="2:25">
      <c r="B386" s="7"/>
      <c r="C386" s="8"/>
      <c r="D386" s="3" t="str">
        <f t="shared" si="120"/>
        <v>易酒批</v>
      </c>
      <c r="E386" s="8"/>
      <c r="F386" s="9"/>
      <c r="G386" s="8"/>
      <c r="H386" s="8"/>
      <c r="I386" s="8"/>
      <c r="J386" s="8"/>
      <c r="K386" s="3" t="str">
        <f t="shared" si="121"/>
        <v>运营中</v>
      </c>
      <c r="L386" s="8"/>
      <c r="M386" s="8"/>
      <c r="N386" s="8"/>
      <c r="O386" s="8"/>
      <c r="P386" s="10">
        <v>42503</v>
      </c>
      <c r="Q386" s="8" t="s">
        <v>865</v>
      </c>
      <c r="R386" s="8" t="s">
        <v>430</v>
      </c>
      <c r="S386" s="8" t="s">
        <v>809</v>
      </c>
      <c r="T386" s="8"/>
      <c r="U386" s="8"/>
      <c r="V386" s="8"/>
      <c r="W386" s="8"/>
      <c r="X386" s="8"/>
      <c r="Y386" s="8"/>
    </row>
    <row r="387" customHeight="1" spans="2:25">
      <c r="B387" s="7"/>
      <c r="C387" s="8"/>
      <c r="D387" s="3" t="str">
        <f t="shared" si="120"/>
        <v>易酒批</v>
      </c>
      <c r="E387" s="8"/>
      <c r="F387" s="9"/>
      <c r="G387" s="8"/>
      <c r="H387" s="8"/>
      <c r="I387" s="8"/>
      <c r="J387" s="8"/>
      <c r="K387" s="3" t="str">
        <f t="shared" si="121"/>
        <v>运营中</v>
      </c>
      <c r="L387" s="8"/>
      <c r="M387" s="8"/>
      <c r="N387" s="8"/>
      <c r="O387" s="8"/>
      <c r="P387" s="10">
        <v>42449</v>
      </c>
      <c r="Q387" s="8" t="s">
        <v>865</v>
      </c>
      <c r="R387" s="8" t="s">
        <v>2177</v>
      </c>
      <c r="S387" s="8" t="s">
        <v>2178</v>
      </c>
      <c r="T387" s="8"/>
      <c r="U387" s="8"/>
      <c r="V387" s="8"/>
      <c r="W387" s="8"/>
      <c r="X387" s="8"/>
      <c r="Y387" s="8"/>
    </row>
    <row r="388" customHeight="1" spans="2:25">
      <c r="B388" s="7"/>
      <c r="C388" s="8"/>
      <c r="D388" s="3" t="str">
        <f t="shared" si="120"/>
        <v>易酒批</v>
      </c>
      <c r="E388" s="8"/>
      <c r="F388" s="9"/>
      <c r="G388" s="8"/>
      <c r="H388" s="8"/>
      <c r="I388" s="8"/>
      <c r="J388" s="8"/>
      <c r="K388" s="3" t="str">
        <f t="shared" si="121"/>
        <v>运营中</v>
      </c>
      <c r="L388" s="8"/>
      <c r="M388" s="8"/>
      <c r="N388" s="8"/>
      <c r="O388" s="8"/>
      <c r="P388" s="10">
        <v>42257</v>
      </c>
      <c r="Q388" s="8" t="s">
        <v>868</v>
      </c>
      <c r="R388" s="8" t="s">
        <v>2177</v>
      </c>
      <c r="S388" s="8" t="s">
        <v>2179</v>
      </c>
      <c r="T388" s="8"/>
      <c r="U388" s="8"/>
      <c r="V388" s="8"/>
      <c r="W388" s="8"/>
      <c r="X388" s="8"/>
      <c r="Y388" s="8"/>
    </row>
    <row r="389" customHeight="1" spans="2:25">
      <c r="B389" s="7"/>
      <c r="C389" s="8"/>
      <c r="D389" s="3" t="str">
        <f t="shared" si="120"/>
        <v>易酒批</v>
      </c>
      <c r="E389" s="8"/>
      <c r="F389" s="9"/>
      <c r="G389" s="8"/>
      <c r="H389" s="8"/>
      <c r="I389" s="8"/>
      <c r="J389" s="8"/>
      <c r="K389" s="3" t="str">
        <f t="shared" si="121"/>
        <v>运营中</v>
      </c>
      <c r="L389" s="8"/>
      <c r="M389" s="8"/>
      <c r="N389" s="8"/>
      <c r="O389" s="8"/>
      <c r="P389" s="10">
        <v>41981</v>
      </c>
      <c r="Q389" s="8" t="s">
        <v>1167</v>
      </c>
      <c r="R389" s="8" t="s">
        <v>1968</v>
      </c>
      <c r="S389" s="8" t="s">
        <v>2180</v>
      </c>
      <c r="T389" s="8"/>
      <c r="U389" s="8"/>
      <c r="V389" s="8"/>
      <c r="W389" s="8"/>
      <c r="X389" s="8"/>
      <c r="Y389" s="8"/>
    </row>
    <row r="390" customHeight="1" spans="2:25">
      <c r="B390" s="7"/>
      <c r="C390" s="8" t="s">
        <v>573</v>
      </c>
      <c r="D390" s="3" t="s">
        <v>20</v>
      </c>
      <c r="E390" s="8" t="s">
        <v>20</v>
      </c>
      <c r="F390" s="9" t="s">
        <v>2181</v>
      </c>
      <c r="G390" s="8"/>
      <c r="H390" s="8" t="s">
        <v>575</v>
      </c>
      <c r="I390" s="8" t="s">
        <v>576</v>
      </c>
      <c r="J390" s="8" t="s">
        <v>2182</v>
      </c>
      <c r="K390" s="3" t="s">
        <v>278</v>
      </c>
      <c r="L390" s="8" t="s">
        <v>278</v>
      </c>
      <c r="M390" s="8" t="s">
        <v>10</v>
      </c>
      <c r="N390" s="8" t="s">
        <v>279</v>
      </c>
      <c r="O390" s="8"/>
      <c r="P390" s="10">
        <v>44590</v>
      </c>
      <c r="Q390" s="8" t="s">
        <v>280</v>
      </c>
      <c r="R390" s="8" t="s">
        <v>2183</v>
      </c>
      <c r="S390" s="8" t="s">
        <v>579</v>
      </c>
      <c r="T390" s="8" t="s">
        <v>2184</v>
      </c>
      <c r="U390" s="8" t="s">
        <v>2185</v>
      </c>
      <c r="V390" s="8" t="s">
        <v>582</v>
      </c>
      <c r="W390" s="8"/>
      <c r="X390" s="8"/>
      <c r="Y390" s="8" t="s">
        <v>583</v>
      </c>
    </row>
    <row r="391" customHeight="1" spans="2:25">
      <c r="B391" s="7"/>
      <c r="C391" s="8"/>
      <c r="D391" s="3" t="str">
        <f t="shared" ref="D391:D402" si="122">D390</f>
        <v>Swiggy</v>
      </c>
      <c r="E391" s="8"/>
      <c r="F391" s="9"/>
      <c r="G391" s="8"/>
      <c r="H391" s="8"/>
      <c r="I391" s="8"/>
      <c r="J391" s="8"/>
      <c r="K391" s="3" t="str">
        <f t="shared" ref="K391:K402" si="123">K390</f>
        <v>运营中</v>
      </c>
      <c r="L391" s="8"/>
      <c r="M391" s="8"/>
      <c r="N391" s="8"/>
      <c r="O391" s="8"/>
      <c r="P391" s="10">
        <v>44398</v>
      </c>
      <c r="Q391" s="8" t="s">
        <v>280</v>
      </c>
      <c r="R391" s="8" t="s">
        <v>2186</v>
      </c>
      <c r="S391" s="8" t="s">
        <v>2187</v>
      </c>
      <c r="T391" s="8"/>
      <c r="U391" s="8"/>
      <c r="V391" s="8"/>
      <c r="W391" s="8"/>
      <c r="X391" s="8"/>
      <c r="Y391" s="8"/>
    </row>
    <row r="392" customHeight="1" spans="2:25">
      <c r="B392" s="7"/>
      <c r="C392" s="8"/>
      <c r="D392" s="3" t="str">
        <f t="shared" si="122"/>
        <v>Swiggy</v>
      </c>
      <c r="E392" s="8"/>
      <c r="F392" s="9"/>
      <c r="G392" s="8"/>
      <c r="H392" s="8"/>
      <c r="I392" s="8"/>
      <c r="J392" s="8"/>
      <c r="K392" s="3" t="str">
        <f t="shared" si="123"/>
        <v>运营中</v>
      </c>
      <c r="L392" s="8"/>
      <c r="M392" s="8"/>
      <c r="N392" s="8"/>
      <c r="O392" s="8"/>
      <c r="P392" s="10">
        <v>44292</v>
      </c>
      <c r="Q392" s="8" t="s">
        <v>280</v>
      </c>
      <c r="R392" s="8" t="s">
        <v>2188</v>
      </c>
      <c r="S392" s="8" t="s">
        <v>2189</v>
      </c>
      <c r="T392" s="8"/>
      <c r="U392" s="8"/>
      <c r="V392" s="8"/>
      <c r="W392" s="8"/>
      <c r="X392" s="8"/>
      <c r="Y392" s="8"/>
    </row>
    <row r="393" customHeight="1" spans="2:25">
      <c r="B393" s="7"/>
      <c r="C393" s="8"/>
      <c r="D393" s="3" t="str">
        <f t="shared" si="122"/>
        <v>Swiggy</v>
      </c>
      <c r="E393" s="8"/>
      <c r="F393" s="9"/>
      <c r="G393" s="8"/>
      <c r="H393" s="8"/>
      <c r="I393" s="8"/>
      <c r="J393" s="8"/>
      <c r="K393" s="3" t="str">
        <f t="shared" si="123"/>
        <v>运营中</v>
      </c>
      <c r="L393" s="8"/>
      <c r="M393" s="8"/>
      <c r="N393" s="8"/>
      <c r="O393" s="8"/>
      <c r="P393" s="10">
        <v>43928</v>
      </c>
      <c r="Q393" s="8" t="s">
        <v>280</v>
      </c>
      <c r="R393" s="8" t="s">
        <v>2190</v>
      </c>
      <c r="S393" s="8" t="s">
        <v>2191</v>
      </c>
      <c r="T393" s="8"/>
      <c r="U393" s="8"/>
      <c r="V393" s="8"/>
      <c r="W393" s="8"/>
      <c r="X393" s="8"/>
      <c r="Y393" s="8"/>
    </row>
    <row r="394" customHeight="1" spans="2:25">
      <c r="B394" s="7"/>
      <c r="C394" s="8"/>
      <c r="D394" s="3" t="str">
        <f t="shared" si="122"/>
        <v>Swiggy</v>
      </c>
      <c r="E394" s="8"/>
      <c r="F394" s="9"/>
      <c r="G394" s="8"/>
      <c r="H394" s="8"/>
      <c r="I394" s="8"/>
      <c r="J394" s="8"/>
      <c r="K394" s="3" t="str">
        <f t="shared" si="123"/>
        <v>运营中</v>
      </c>
      <c r="L394" s="8"/>
      <c r="M394" s="8"/>
      <c r="N394" s="8"/>
      <c r="O394" s="8"/>
      <c r="P394" s="10">
        <v>43881</v>
      </c>
      <c r="Q394" s="8" t="s">
        <v>280</v>
      </c>
      <c r="R394" s="8" t="s">
        <v>590</v>
      </c>
      <c r="S394" s="8" t="s">
        <v>591</v>
      </c>
      <c r="T394" s="8"/>
      <c r="U394" s="8"/>
      <c r="V394" s="8"/>
      <c r="W394" s="8"/>
      <c r="X394" s="8"/>
      <c r="Y394" s="8"/>
    </row>
    <row r="395" customHeight="1" spans="2:25">
      <c r="B395" s="7"/>
      <c r="C395" s="8"/>
      <c r="D395" s="3" t="str">
        <f t="shared" si="122"/>
        <v>Swiggy</v>
      </c>
      <c r="E395" s="8"/>
      <c r="F395" s="9"/>
      <c r="G395" s="8"/>
      <c r="H395" s="8"/>
      <c r="I395" s="8"/>
      <c r="J395" s="8"/>
      <c r="K395" s="3" t="str">
        <f t="shared" si="123"/>
        <v>运营中</v>
      </c>
      <c r="L395" s="8"/>
      <c r="M395" s="8"/>
      <c r="N395" s="8"/>
      <c r="O395" s="8"/>
      <c r="P395" s="10">
        <v>43454</v>
      </c>
      <c r="Q395" s="8" t="s">
        <v>2192</v>
      </c>
      <c r="R395" s="8" t="s">
        <v>2193</v>
      </c>
      <c r="S395" s="8" t="s">
        <v>2194</v>
      </c>
      <c r="T395" s="8"/>
      <c r="U395" s="8"/>
      <c r="V395" s="8"/>
      <c r="W395" s="8"/>
      <c r="X395" s="8"/>
      <c r="Y395" s="8"/>
    </row>
    <row r="396" customHeight="1" spans="2:25">
      <c r="B396" s="7"/>
      <c r="C396" s="8"/>
      <c r="D396" s="3" t="str">
        <f t="shared" si="122"/>
        <v>Swiggy</v>
      </c>
      <c r="E396" s="8"/>
      <c r="F396" s="9"/>
      <c r="G396" s="8"/>
      <c r="H396" s="8"/>
      <c r="I396" s="8"/>
      <c r="J396" s="8"/>
      <c r="K396" s="3" t="str">
        <f t="shared" si="123"/>
        <v>运营中</v>
      </c>
      <c r="L396" s="8"/>
      <c r="M396" s="8"/>
      <c r="N396" s="8"/>
      <c r="O396" s="8"/>
      <c r="P396" s="10">
        <v>43273</v>
      </c>
      <c r="Q396" s="8" t="s">
        <v>2195</v>
      </c>
      <c r="R396" s="8" t="s">
        <v>2196</v>
      </c>
      <c r="S396" s="8" t="s">
        <v>2197</v>
      </c>
      <c r="T396" s="8"/>
      <c r="U396" s="8"/>
      <c r="V396" s="8"/>
      <c r="W396" s="8"/>
      <c r="X396" s="8"/>
      <c r="Y396" s="8"/>
    </row>
    <row r="397" customHeight="1" spans="2:25">
      <c r="B397" s="7"/>
      <c r="C397" s="8"/>
      <c r="D397" s="3" t="str">
        <f t="shared" si="122"/>
        <v>Swiggy</v>
      </c>
      <c r="E397" s="8"/>
      <c r="F397" s="9"/>
      <c r="G397" s="8"/>
      <c r="H397" s="8"/>
      <c r="I397" s="8"/>
      <c r="J397" s="8"/>
      <c r="K397" s="3" t="str">
        <f t="shared" si="123"/>
        <v>运营中</v>
      </c>
      <c r="L397" s="8"/>
      <c r="M397" s="8"/>
      <c r="N397" s="8"/>
      <c r="O397" s="8"/>
      <c r="P397" s="10">
        <v>43139</v>
      </c>
      <c r="Q397" s="8" t="s">
        <v>2119</v>
      </c>
      <c r="R397" s="8" t="s">
        <v>919</v>
      </c>
      <c r="S397" s="8" t="s">
        <v>2198</v>
      </c>
      <c r="T397" s="8"/>
      <c r="U397" s="8"/>
      <c r="V397" s="8"/>
      <c r="W397" s="8"/>
      <c r="X397" s="8"/>
      <c r="Y397" s="8"/>
    </row>
    <row r="398" customHeight="1" spans="2:25">
      <c r="B398" s="7"/>
      <c r="C398" s="8"/>
      <c r="D398" s="3" t="str">
        <f t="shared" si="122"/>
        <v>Swiggy</v>
      </c>
      <c r="E398" s="8"/>
      <c r="F398" s="9"/>
      <c r="G398" s="8"/>
      <c r="H398" s="8"/>
      <c r="I398" s="8"/>
      <c r="J398" s="8"/>
      <c r="K398" s="3" t="str">
        <f t="shared" si="123"/>
        <v>运营中</v>
      </c>
      <c r="L398" s="8"/>
      <c r="M398" s="8"/>
      <c r="N398" s="8"/>
      <c r="O398" s="8"/>
      <c r="P398" s="10">
        <v>42886</v>
      </c>
      <c r="Q398" s="8" t="s">
        <v>1571</v>
      </c>
      <c r="R398" s="8" t="s">
        <v>953</v>
      </c>
      <c r="S398" s="8" t="s">
        <v>599</v>
      </c>
      <c r="T398" s="8"/>
      <c r="U398" s="8"/>
      <c r="V398" s="8"/>
      <c r="W398" s="8"/>
      <c r="X398" s="8"/>
      <c r="Y398" s="8"/>
    </row>
    <row r="399" customHeight="1" spans="2:25">
      <c r="B399" s="7"/>
      <c r="C399" s="8"/>
      <c r="D399" s="3" t="str">
        <f t="shared" si="122"/>
        <v>Swiggy</v>
      </c>
      <c r="E399" s="8"/>
      <c r="F399" s="9"/>
      <c r="G399" s="8"/>
      <c r="H399" s="8"/>
      <c r="I399" s="8"/>
      <c r="J399" s="8"/>
      <c r="K399" s="3" t="str">
        <f t="shared" si="123"/>
        <v>运营中</v>
      </c>
      <c r="L399" s="8"/>
      <c r="M399" s="8"/>
      <c r="N399" s="8"/>
      <c r="O399" s="8"/>
      <c r="P399" s="10">
        <v>42633</v>
      </c>
      <c r="Q399" s="8" t="s">
        <v>1579</v>
      </c>
      <c r="R399" s="8" t="s">
        <v>892</v>
      </c>
      <c r="S399" s="8" t="s">
        <v>601</v>
      </c>
      <c r="T399" s="8"/>
      <c r="U399" s="8"/>
      <c r="V399" s="8"/>
      <c r="W399" s="8"/>
      <c r="X399" s="8"/>
      <c r="Y399" s="8"/>
    </row>
    <row r="400" customHeight="1" spans="2:25">
      <c r="B400" s="7"/>
      <c r="C400" s="8"/>
      <c r="D400" s="3" t="str">
        <f t="shared" si="122"/>
        <v>Swiggy</v>
      </c>
      <c r="E400" s="8"/>
      <c r="F400" s="9"/>
      <c r="G400" s="8"/>
      <c r="H400" s="8"/>
      <c r="I400" s="8"/>
      <c r="J400" s="8"/>
      <c r="K400" s="3" t="str">
        <f t="shared" si="123"/>
        <v>运营中</v>
      </c>
      <c r="L400" s="8"/>
      <c r="M400" s="8"/>
      <c r="N400" s="8"/>
      <c r="O400" s="8"/>
      <c r="P400" s="10">
        <v>42388</v>
      </c>
      <c r="Q400" s="8" t="s">
        <v>425</v>
      </c>
      <c r="R400" s="8" t="s">
        <v>2110</v>
      </c>
      <c r="S400" s="8" t="s">
        <v>2199</v>
      </c>
      <c r="T400" s="8"/>
      <c r="U400" s="8"/>
      <c r="V400" s="8"/>
      <c r="W400" s="8"/>
      <c r="X400" s="8"/>
      <c r="Y400" s="8"/>
    </row>
    <row r="401" customHeight="1" spans="2:25">
      <c r="B401" s="7"/>
      <c r="C401" s="8"/>
      <c r="D401" s="3" t="str">
        <f t="shared" si="122"/>
        <v>Swiggy</v>
      </c>
      <c r="E401" s="8"/>
      <c r="F401" s="9"/>
      <c r="G401" s="8"/>
      <c r="H401" s="8"/>
      <c r="I401" s="8"/>
      <c r="J401" s="8"/>
      <c r="K401" s="3" t="str">
        <f t="shared" si="123"/>
        <v>运营中</v>
      </c>
      <c r="L401" s="8"/>
      <c r="M401" s="8"/>
      <c r="N401" s="8"/>
      <c r="O401" s="8"/>
      <c r="P401" s="10">
        <v>42179</v>
      </c>
      <c r="Q401" s="8" t="s">
        <v>868</v>
      </c>
      <c r="R401" s="8" t="s">
        <v>2200</v>
      </c>
      <c r="S401" s="8" t="s">
        <v>604</v>
      </c>
      <c r="T401" s="8"/>
      <c r="U401" s="8"/>
      <c r="V401" s="8"/>
      <c r="W401" s="8"/>
      <c r="X401" s="8"/>
      <c r="Y401" s="8"/>
    </row>
    <row r="402" customHeight="1" spans="2:25">
      <c r="B402" s="7"/>
      <c r="C402" s="8"/>
      <c r="D402" s="3" t="str">
        <f t="shared" si="122"/>
        <v>Swiggy</v>
      </c>
      <c r="E402" s="8"/>
      <c r="F402" s="9"/>
      <c r="G402" s="8"/>
      <c r="H402" s="8"/>
      <c r="I402" s="8"/>
      <c r="J402" s="8"/>
      <c r="K402" s="3" t="str">
        <f t="shared" si="123"/>
        <v>运营中</v>
      </c>
      <c r="L402" s="8"/>
      <c r="M402" s="8"/>
      <c r="N402" s="8"/>
      <c r="O402" s="8"/>
      <c r="P402" s="10">
        <v>42107</v>
      </c>
      <c r="Q402" s="8" t="s">
        <v>1167</v>
      </c>
      <c r="R402" s="8" t="s">
        <v>2021</v>
      </c>
      <c r="S402" s="8" t="s">
        <v>2199</v>
      </c>
      <c r="T402" s="8"/>
      <c r="U402" s="8"/>
      <c r="V402" s="8"/>
      <c r="W402" s="8"/>
      <c r="X402" s="8"/>
      <c r="Y402" s="8"/>
    </row>
    <row r="403" customHeight="1" spans="2:25">
      <c r="B403" s="7"/>
      <c r="C403" s="8" t="s">
        <v>1547</v>
      </c>
      <c r="D403" s="3" t="s">
        <v>2746</v>
      </c>
      <c r="E403" s="8" t="s">
        <v>2746</v>
      </c>
      <c r="F403" s="9" t="s">
        <v>2747</v>
      </c>
      <c r="G403" s="8" t="s">
        <v>2748</v>
      </c>
      <c r="H403" s="8" t="s">
        <v>1551</v>
      </c>
      <c r="I403" s="8" t="s">
        <v>1552</v>
      </c>
      <c r="J403" s="8" t="s">
        <v>952</v>
      </c>
      <c r="K403" s="3" t="s">
        <v>278</v>
      </c>
      <c r="L403" s="8" t="s">
        <v>278</v>
      </c>
      <c r="M403" s="8" t="s">
        <v>10</v>
      </c>
      <c r="N403" s="8" t="s">
        <v>279</v>
      </c>
      <c r="O403" s="8"/>
      <c r="P403" s="10">
        <v>44390</v>
      </c>
      <c r="Q403" s="8" t="s">
        <v>1579</v>
      </c>
      <c r="R403" s="8" t="s">
        <v>2749</v>
      </c>
      <c r="S403" s="8" t="s">
        <v>2750</v>
      </c>
      <c r="T403" s="8" t="s">
        <v>2751</v>
      </c>
      <c r="U403" s="8" t="s">
        <v>2752</v>
      </c>
      <c r="V403" s="8" t="s">
        <v>2753</v>
      </c>
      <c r="W403" s="8" t="s">
        <v>2754</v>
      </c>
      <c r="X403" s="8"/>
      <c r="Y403" s="8" t="s">
        <v>1559</v>
      </c>
    </row>
    <row r="404" customHeight="1" spans="2:25">
      <c r="B404" s="7"/>
      <c r="C404" s="8"/>
      <c r="D404" s="3" t="str">
        <f t="shared" ref="D404:D407" si="124">D403</f>
        <v>喜茶HEYTEA</v>
      </c>
      <c r="E404" s="8"/>
      <c r="F404" s="9"/>
      <c r="G404" s="8"/>
      <c r="H404" s="8"/>
      <c r="I404" s="8"/>
      <c r="J404" s="8"/>
      <c r="K404" s="3" t="str">
        <f t="shared" ref="K404:K407" si="125">K403</f>
        <v>运营中</v>
      </c>
      <c r="L404" s="8"/>
      <c r="M404" s="8"/>
      <c r="N404" s="8"/>
      <c r="O404" s="8"/>
      <c r="P404" s="10">
        <v>43913</v>
      </c>
      <c r="Q404" s="8" t="s">
        <v>425</v>
      </c>
      <c r="R404" s="8" t="s">
        <v>1644</v>
      </c>
      <c r="S404" s="8" t="s">
        <v>2755</v>
      </c>
      <c r="T404" s="8"/>
      <c r="U404" s="8"/>
      <c r="V404" s="8"/>
      <c r="W404" s="8"/>
      <c r="X404" s="8"/>
      <c r="Y404" s="8"/>
    </row>
    <row r="405" customHeight="1" spans="2:25">
      <c r="B405" s="7"/>
      <c r="C405" s="8"/>
      <c r="D405" s="3" t="str">
        <f t="shared" si="124"/>
        <v>喜茶HEYTEA</v>
      </c>
      <c r="E405" s="8"/>
      <c r="F405" s="9"/>
      <c r="G405" s="8"/>
      <c r="H405" s="8"/>
      <c r="I405" s="8"/>
      <c r="J405" s="8"/>
      <c r="K405" s="3" t="str">
        <f t="shared" si="125"/>
        <v>运营中</v>
      </c>
      <c r="L405" s="8"/>
      <c r="M405" s="8"/>
      <c r="N405" s="8"/>
      <c r="O405" s="8"/>
      <c r="P405" s="10">
        <v>43647</v>
      </c>
      <c r="Q405" s="8" t="s">
        <v>865</v>
      </c>
      <c r="R405" s="8" t="s">
        <v>430</v>
      </c>
      <c r="S405" s="8" t="s">
        <v>2756</v>
      </c>
      <c r="T405" s="8"/>
      <c r="U405" s="8"/>
      <c r="V405" s="8"/>
      <c r="W405" s="8"/>
      <c r="X405" s="8"/>
      <c r="Y405" s="8"/>
    </row>
    <row r="406" customHeight="1" spans="2:25">
      <c r="B406" s="7"/>
      <c r="C406" s="8"/>
      <c r="D406" s="3" t="str">
        <f t="shared" si="124"/>
        <v>喜茶HEYTEA</v>
      </c>
      <c r="E406" s="8"/>
      <c r="F406" s="9"/>
      <c r="G406" s="8"/>
      <c r="H406" s="8"/>
      <c r="I406" s="8"/>
      <c r="J406" s="8"/>
      <c r="K406" s="3" t="str">
        <f t="shared" si="125"/>
        <v>运营中</v>
      </c>
      <c r="L406" s="8"/>
      <c r="M406" s="8"/>
      <c r="N406" s="8"/>
      <c r="O406" s="8"/>
      <c r="P406" s="10">
        <v>43215</v>
      </c>
      <c r="Q406" s="8" t="s">
        <v>868</v>
      </c>
      <c r="R406" s="8" t="s">
        <v>1581</v>
      </c>
      <c r="S406" s="8" t="s">
        <v>2757</v>
      </c>
      <c r="T406" s="8"/>
      <c r="U406" s="8"/>
      <c r="V406" s="8"/>
      <c r="W406" s="8"/>
      <c r="X406" s="8"/>
      <c r="Y406" s="8"/>
    </row>
    <row r="407" customHeight="1" spans="2:25">
      <c r="B407" s="7"/>
      <c r="C407" s="8"/>
      <c r="D407" s="3" t="str">
        <f t="shared" si="124"/>
        <v>喜茶HEYTEA</v>
      </c>
      <c r="E407" s="8"/>
      <c r="F407" s="9"/>
      <c r="G407" s="8"/>
      <c r="H407" s="8"/>
      <c r="I407" s="8"/>
      <c r="J407" s="8"/>
      <c r="K407" s="3" t="str">
        <f t="shared" si="125"/>
        <v>运营中</v>
      </c>
      <c r="L407" s="8"/>
      <c r="M407" s="8"/>
      <c r="N407" s="8"/>
      <c r="O407" s="8"/>
      <c r="P407" s="10">
        <v>42604</v>
      </c>
      <c r="Q407" s="8" t="s">
        <v>1167</v>
      </c>
      <c r="R407" s="8" t="s">
        <v>866</v>
      </c>
      <c r="S407" s="8" t="s">
        <v>2758</v>
      </c>
      <c r="T407" s="8"/>
      <c r="U407" s="8"/>
      <c r="V407" s="8"/>
      <c r="W407" s="8"/>
      <c r="X407" s="8"/>
      <c r="Y407" s="8"/>
    </row>
    <row r="408" customHeight="1" spans="2:25">
      <c r="B408" s="7"/>
      <c r="C408" s="8" t="s">
        <v>1564</v>
      </c>
      <c r="D408" s="3" t="s">
        <v>1566</v>
      </c>
      <c r="E408" s="8" t="s">
        <v>1566</v>
      </c>
      <c r="F408" s="9" t="s">
        <v>1567</v>
      </c>
      <c r="G408" s="8" t="s">
        <v>2759</v>
      </c>
      <c r="H408" s="8" t="s">
        <v>1569</v>
      </c>
      <c r="I408" s="8" t="s">
        <v>1570</v>
      </c>
      <c r="J408" s="8" t="s">
        <v>807</v>
      </c>
      <c r="K408" s="3" t="s">
        <v>278</v>
      </c>
      <c r="L408" s="8" t="s">
        <v>278</v>
      </c>
      <c r="M408" s="8" t="s">
        <v>10</v>
      </c>
      <c r="N408" s="8" t="s">
        <v>279</v>
      </c>
      <c r="O408" s="8"/>
      <c r="P408" s="10">
        <v>44550</v>
      </c>
      <c r="Q408" s="8" t="s">
        <v>1571</v>
      </c>
      <c r="R408" s="8" t="s">
        <v>430</v>
      </c>
      <c r="S408" s="8" t="s">
        <v>1572</v>
      </c>
      <c r="T408" s="8" t="s">
        <v>1573</v>
      </c>
      <c r="U408" s="8" t="s">
        <v>1574</v>
      </c>
      <c r="V408" s="8" t="s">
        <v>1575</v>
      </c>
      <c r="W408" s="8" t="s">
        <v>2760</v>
      </c>
      <c r="X408" s="8" t="s">
        <v>1577</v>
      </c>
      <c r="Y408" s="8" t="s">
        <v>1578</v>
      </c>
    </row>
    <row r="409" customHeight="1" spans="2:25">
      <c r="B409" s="7"/>
      <c r="C409" s="8"/>
      <c r="D409" s="3" t="str">
        <f t="shared" ref="D409:D414" si="126">D408</f>
        <v>乐禾食品</v>
      </c>
      <c r="E409" s="8"/>
      <c r="F409" s="9"/>
      <c r="G409" s="8"/>
      <c r="H409" s="8"/>
      <c r="I409" s="8"/>
      <c r="J409" s="8"/>
      <c r="K409" s="3" t="str">
        <f t="shared" ref="K409:K414" si="127">K408</f>
        <v>运营中</v>
      </c>
      <c r="L409" s="8"/>
      <c r="M409" s="8"/>
      <c r="N409" s="8"/>
      <c r="O409" s="8"/>
      <c r="P409" s="10">
        <v>44183</v>
      </c>
      <c r="Q409" s="8" t="s">
        <v>1579</v>
      </c>
      <c r="R409" s="8" t="s">
        <v>430</v>
      </c>
      <c r="S409" s="8" t="s">
        <v>1580</v>
      </c>
      <c r="T409" s="8"/>
      <c r="U409" s="8"/>
      <c r="V409" s="8"/>
      <c r="W409" s="8"/>
      <c r="X409" s="8"/>
      <c r="Y409" s="8"/>
    </row>
    <row r="410" customHeight="1" spans="2:25">
      <c r="B410" s="7"/>
      <c r="C410" s="8"/>
      <c r="D410" s="3" t="str">
        <f t="shared" si="126"/>
        <v>乐禾食品</v>
      </c>
      <c r="E410" s="8"/>
      <c r="F410" s="9"/>
      <c r="G410" s="8"/>
      <c r="H410" s="8"/>
      <c r="I410" s="8"/>
      <c r="J410" s="8"/>
      <c r="K410" s="3" t="str">
        <f t="shared" si="127"/>
        <v>运营中</v>
      </c>
      <c r="L410" s="8"/>
      <c r="M410" s="8"/>
      <c r="N410" s="8"/>
      <c r="O410" s="8"/>
      <c r="P410" s="10">
        <v>43962</v>
      </c>
      <c r="Q410" s="8" t="s">
        <v>425</v>
      </c>
      <c r="R410" s="8" t="s">
        <v>1581</v>
      </c>
      <c r="S410" s="8" t="s">
        <v>1582</v>
      </c>
      <c r="T410" s="8"/>
      <c r="U410" s="8"/>
      <c r="V410" s="8"/>
      <c r="W410" s="8"/>
      <c r="X410" s="8"/>
      <c r="Y410" s="8"/>
    </row>
    <row r="411" customHeight="1" spans="2:25">
      <c r="B411" s="7"/>
      <c r="C411" s="8"/>
      <c r="D411" s="3" t="str">
        <f t="shared" si="126"/>
        <v>乐禾食品</v>
      </c>
      <c r="E411" s="8"/>
      <c r="F411" s="9"/>
      <c r="G411" s="8"/>
      <c r="H411" s="8"/>
      <c r="I411" s="8"/>
      <c r="J411" s="8"/>
      <c r="K411" s="3" t="str">
        <f t="shared" si="127"/>
        <v>运营中</v>
      </c>
      <c r="L411" s="8"/>
      <c r="M411" s="8"/>
      <c r="N411" s="8"/>
      <c r="O411" s="8"/>
      <c r="P411" s="10">
        <v>43759</v>
      </c>
      <c r="Q411" s="8" t="s">
        <v>865</v>
      </c>
      <c r="R411" s="8" t="s">
        <v>866</v>
      </c>
      <c r="S411" s="8" t="s">
        <v>2761</v>
      </c>
      <c r="T411" s="8"/>
      <c r="U411" s="8"/>
      <c r="V411" s="8"/>
      <c r="W411" s="8"/>
      <c r="X411" s="8"/>
      <c r="Y411" s="8"/>
    </row>
    <row r="412" customHeight="1" spans="2:25">
      <c r="B412" s="7"/>
      <c r="C412" s="8"/>
      <c r="D412" s="3" t="str">
        <f t="shared" si="126"/>
        <v>乐禾食品</v>
      </c>
      <c r="E412" s="8"/>
      <c r="F412" s="9"/>
      <c r="G412" s="8"/>
      <c r="H412" s="8"/>
      <c r="I412" s="8"/>
      <c r="J412" s="8"/>
      <c r="K412" s="3" t="str">
        <f t="shared" si="127"/>
        <v>运营中</v>
      </c>
      <c r="L412" s="8"/>
      <c r="M412" s="8"/>
      <c r="N412" s="8"/>
      <c r="O412" s="8"/>
      <c r="P412" s="10">
        <v>43552</v>
      </c>
      <c r="Q412" s="8" t="s">
        <v>868</v>
      </c>
      <c r="R412" s="8" t="s">
        <v>866</v>
      </c>
      <c r="S412" s="8" t="s">
        <v>2762</v>
      </c>
      <c r="T412" s="8"/>
      <c r="U412" s="8"/>
      <c r="V412" s="8"/>
      <c r="W412" s="8"/>
      <c r="X412" s="8"/>
      <c r="Y412" s="8"/>
    </row>
    <row r="413" customHeight="1" spans="2:25">
      <c r="B413" s="7"/>
      <c r="C413" s="8"/>
      <c r="D413" s="3" t="str">
        <f t="shared" si="126"/>
        <v>乐禾食品</v>
      </c>
      <c r="E413" s="8"/>
      <c r="F413" s="9"/>
      <c r="G413" s="8"/>
      <c r="H413" s="8"/>
      <c r="I413" s="8"/>
      <c r="J413" s="8"/>
      <c r="K413" s="3" t="str">
        <f t="shared" si="127"/>
        <v>运营中</v>
      </c>
      <c r="L413" s="8"/>
      <c r="M413" s="8"/>
      <c r="N413" s="8"/>
      <c r="O413" s="8"/>
      <c r="P413" s="10">
        <v>43070</v>
      </c>
      <c r="Q413" s="8" t="s">
        <v>1180</v>
      </c>
      <c r="R413" s="8" t="s">
        <v>281</v>
      </c>
      <c r="S413" s="8" t="s">
        <v>262</v>
      </c>
      <c r="T413" s="8"/>
      <c r="U413" s="8"/>
      <c r="V413" s="8"/>
      <c r="W413" s="8"/>
      <c r="X413" s="8"/>
      <c r="Y413" s="8"/>
    </row>
    <row r="414" customHeight="1" spans="2:25">
      <c r="B414" s="7"/>
      <c r="C414" s="8"/>
      <c r="D414" s="3" t="str">
        <f t="shared" si="126"/>
        <v>乐禾食品</v>
      </c>
      <c r="E414" s="8"/>
      <c r="F414" s="9"/>
      <c r="G414" s="8"/>
      <c r="H414" s="8"/>
      <c r="I414" s="8"/>
      <c r="J414" s="8"/>
      <c r="K414" s="3" t="str">
        <f t="shared" si="127"/>
        <v>运营中</v>
      </c>
      <c r="L414" s="8"/>
      <c r="M414" s="8"/>
      <c r="N414" s="8"/>
      <c r="O414" s="8"/>
      <c r="P414" s="10">
        <v>42339</v>
      </c>
      <c r="Q414" s="8" t="s">
        <v>1167</v>
      </c>
      <c r="R414" s="8" t="s">
        <v>2423</v>
      </c>
      <c r="S414" s="8" t="s">
        <v>2763</v>
      </c>
      <c r="T414" s="8"/>
      <c r="U414" s="8"/>
      <c r="V414" s="8"/>
      <c r="W414" s="8"/>
      <c r="X414" s="8"/>
      <c r="Y414" s="8"/>
    </row>
    <row r="415" customHeight="1" spans="2:25">
      <c r="B415" s="7"/>
      <c r="C415" s="8" t="s">
        <v>1586</v>
      </c>
      <c r="D415" s="3" t="s">
        <v>1588</v>
      </c>
      <c r="E415" s="8" t="s">
        <v>1588</v>
      </c>
      <c r="F415" s="9" t="s">
        <v>1589</v>
      </c>
      <c r="G415" s="8" t="s">
        <v>2764</v>
      </c>
      <c r="H415" s="8" t="s">
        <v>1591</v>
      </c>
      <c r="I415" s="8" t="s">
        <v>1592</v>
      </c>
      <c r="J415" s="8" t="s">
        <v>1145</v>
      </c>
      <c r="K415" s="3" t="s">
        <v>278</v>
      </c>
      <c r="L415" s="8" t="s">
        <v>278</v>
      </c>
      <c r="M415" s="8" t="s">
        <v>23</v>
      </c>
      <c r="N415" s="8" t="s">
        <v>554</v>
      </c>
      <c r="O415" s="8"/>
      <c r="P415" s="10">
        <v>44547</v>
      </c>
      <c r="Q415" s="8" t="s">
        <v>868</v>
      </c>
      <c r="R415" s="8" t="s">
        <v>281</v>
      </c>
      <c r="S415" s="8" t="s">
        <v>1593</v>
      </c>
      <c r="T415" s="8" t="s">
        <v>1594</v>
      </c>
      <c r="U415" s="8" t="s">
        <v>284</v>
      </c>
      <c r="V415" s="8" t="s">
        <v>1595</v>
      </c>
      <c r="W415" s="8" t="s">
        <v>2765</v>
      </c>
      <c r="X415" s="8" t="s">
        <v>1597</v>
      </c>
      <c r="Y415" s="8" t="s">
        <v>1598</v>
      </c>
    </row>
    <row r="416" customHeight="1" spans="2:25">
      <c r="B416" s="7"/>
      <c r="C416" s="8"/>
      <c r="D416" s="3" t="str">
        <f t="shared" ref="D416:D418" si="128">D415</f>
        <v>认养一头牛</v>
      </c>
      <c r="E416" s="8"/>
      <c r="F416" s="9"/>
      <c r="G416" s="8"/>
      <c r="H416" s="8"/>
      <c r="I416" s="8"/>
      <c r="J416" s="8"/>
      <c r="K416" s="3" t="str">
        <f t="shared" ref="K416:K418" si="129">K415</f>
        <v>运营中</v>
      </c>
      <c r="L416" s="8"/>
      <c r="M416" s="8"/>
      <c r="N416" s="8"/>
      <c r="O416" s="8"/>
      <c r="P416" s="10">
        <v>44305</v>
      </c>
      <c r="Q416" s="8" t="s">
        <v>1167</v>
      </c>
      <c r="R416" s="8" t="s">
        <v>430</v>
      </c>
      <c r="S416" s="8" t="s">
        <v>2766</v>
      </c>
      <c r="T416" s="8"/>
      <c r="U416" s="8"/>
      <c r="V416" s="8"/>
      <c r="W416" s="8"/>
      <c r="X416" s="8"/>
      <c r="Y416" s="8"/>
    </row>
    <row r="417" customHeight="1" spans="2:25">
      <c r="B417" s="7"/>
      <c r="C417" s="8"/>
      <c r="D417" s="3" t="str">
        <f t="shared" si="128"/>
        <v>认养一头牛</v>
      </c>
      <c r="E417" s="8"/>
      <c r="F417" s="9"/>
      <c r="G417" s="8"/>
      <c r="H417" s="8"/>
      <c r="I417" s="8"/>
      <c r="J417" s="8"/>
      <c r="K417" s="3" t="str">
        <f t="shared" si="129"/>
        <v>运营中</v>
      </c>
      <c r="L417" s="8"/>
      <c r="M417" s="8"/>
      <c r="N417" s="8"/>
      <c r="O417" s="8"/>
      <c r="P417" s="10">
        <v>43468</v>
      </c>
      <c r="Q417" s="8" t="s">
        <v>1169</v>
      </c>
      <c r="R417" s="8" t="s">
        <v>1816</v>
      </c>
      <c r="S417" s="8" t="s">
        <v>2767</v>
      </c>
      <c r="T417" s="8"/>
      <c r="U417" s="8"/>
      <c r="V417" s="8"/>
      <c r="W417" s="8"/>
      <c r="X417" s="8"/>
      <c r="Y417" s="8"/>
    </row>
    <row r="418" customHeight="1" spans="2:25">
      <c r="B418" s="7"/>
      <c r="C418" s="8"/>
      <c r="D418" s="3" t="str">
        <f t="shared" si="128"/>
        <v>认养一头牛</v>
      </c>
      <c r="E418" s="8"/>
      <c r="F418" s="9"/>
      <c r="G418" s="8"/>
      <c r="H418" s="8"/>
      <c r="I418" s="8"/>
      <c r="J418" s="8"/>
      <c r="K418" s="3" t="str">
        <f t="shared" si="129"/>
        <v>运营中</v>
      </c>
      <c r="L418" s="8"/>
      <c r="M418" s="8"/>
      <c r="N418" s="8"/>
      <c r="O418" s="8"/>
      <c r="P418" s="10">
        <v>42779</v>
      </c>
      <c r="Q418" s="8" t="s">
        <v>1875</v>
      </c>
      <c r="R418" s="8" t="s">
        <v>1952</v>
      </c>
      <c r="S418" s="8" t="s">
        <v>2768</v>
      </c>
      <c r="T418" s="8"/>
      <c r="U418" s="8"/>
      <c r="V418" s="8"/>
      <c r="W418" s="8"/>
      <c r="X418" s="8"/>
      <c r="Y418" s="8"/>
    </row>
    <row r="419" customHeight="1" spans="2:25">
      <c r="B419" s="7"/>
      <c r="C419" s="8" t="s">
        <v>1602</v>
      </c>
      <c r="D419" s="3" t="s">
        <v>2769</v>
      </c>
      <c r="E419" s="8" t="s">
        <v>2769</v>
      </c>
      <c r="F419" s="9" t="s">
        <v>2770</v>
      </c>
      <c r="G419" s="8" t="s">
        <v>2771</v>
      </c>
      <c r="H419" s="8"/>
      <c r="I419" s="8" t="s">
        <v>1404</v>
      </c>
      <c r="J419" s="8" t="s">
        <v>2081</v>
      </c>
      <c r="K419" s="3" t="s">
        <v>278</v>
      </c>
      <c r="L419" s="8" t="s">
        <v>278</v>
      </c>
      <c r="M419" s="8" t="s">
        <v>23</v>
      </c>
      <c r="N419" s="8" t="s">
        <v>2772</v>
      </c>
      <c r="O419" s="8"/>
      <c r="P419" s="10">
        <v>44258</v>
      </c>
      <c r="Q419" s="8" t="s">
        <v>865</v>
      </c>
      <c r="R419" s="8" t="s">
        <v>866</v>
      </c>
      <c r="S419" s="8" t="s">
        <v>2773</v>
      </c>
      <c r="T419" s="8" t="s">
        <v>1886</v>
      </c>
      <c r="U419" s="8" t="s">
        <v>1802</v>
      </c>
      <c r="V419" s="8" t="s">
        <v>2774</v>
      </c>
      <c r="W419" s="8" t="s">
        <v>2775</v>
      </c>
      <c r="X419" s="8" t="s">
        <v>1610</v>
      </c>
      <c r="Y419" s="8" t="s">
        <v>1611</v>
      </c>
    </row>
    <row r="420" customHeight="1" spans="2:25">
      <c r="B420" s="7"/>
      <c r="C420" s="8"/>
      <c r="D420" s="3" t="str">
        <f t="shared" ref="D420:D421" si="130">D419</f>
        <v>康品汇</v>
      </c>
      <c r="E420" s="8"/>
      <c r="F420" s="9"/>
      <c r="G420" s="8"/>
      <c r="H420" s="8"/>
      <c r="I420" s="8"/>
      <c r="J420" s="8"/>
      <c r="K420" s="3" t="str">
        <f t="shared" ref="K420:K421" si="131">K419</f>
        <v>运营中</v>
      </c>
      <c r="L420" s="8"/>
      <c r="M420" s="8"/>
      <c r="N420" s="8"/>
      <c r="O420" s="8"/>
      <c r="P420" s="10">
        <v>43194</v>
      </c>
      <c r="Q420" s="8" t="s">
        <v>868</v>
      </c>
      <c r="R420" s="8" t="s">
        <v>1816</v>
      </c>
      <c r="S420" s="8" t="s">
        <v>2776</v>
      </c>
      <c r="T420" s="8"/>
      <c r="U420" s="8"/>
      <c r="V420" s="8"/>
      <c r="W420" s="8"/>
      <c r="X420" s="8"/>
      <c r="Y420" s="8"/>
    </row>
    <row r="421" customHeight="1" spans="2:25">
      <c r="B421" s="7"/>
      <c r="C421" s="8"/>
      <c r="D421" s="3" t="str">
        <f t="shared" si="130"/>
        <v>康品汇</v>
      </c>
      <c r="E421" s="8"/>
      <c r="F421" s="9"/>
      <c r="G421" s="8"/>
      <c r="H421" s="8"/>
      <c r="I421" s="8"/>
      <c r="J421" s="8"/>
      <c r="K421" s="3" t="str">
        <f t="shared" si="131"/>
        <v>运营中</v>
      </c>
      <c r="L421" s="8"/>
      <c r="M421" s="8"/>
      <c r="N421" s="8"/>
      <c r="O421" s="8"/>
      <c r="P421" s="10">
        <v>43059</v>
      </c>
      <c r="Q421" s="8" t="s">
        <v>1167</v>
      </c>
      <c r="R421" s="8" t="s">
        <v>1816</v>
      </c>
      <c r="S421" s="8" t="s">
        <v>2777</v>
      </c>
      <c r="T421" s="8"/>
      <c r="U421" s="8"/>
      <c r="V421" s="8"/>
      <c r="W421" s="8"/>
      <c r="X421" s="8"/>
      <c r="Y421" s="8"/>
    </row>
    <row r="422" customHeight="1" spans="2:25">
      <c r="B422" s="7"/>
      <c r="C422" s="8" t="s">
        <v>1564</v>
      </c>
      <c r="D422" s="3" t="s">
        <v>2778</v>
      </c>
      <c r="E422" s="8" t="s">
        <v>2778</v>
      </c>
      <c r="F422" s="9" t="s">
        <v>2779</v>
      </c>
      <c r="G422" s="8" t="s">
        <v>2780</v>
      </c>
      <c r="H422" s="8" t="s">
        <v>1617</v>
      </c>
      <c r="I422" s="8" t="s">
        <v>1618</v>
      </c>
      <c r="J422" s="8" t="s">
        <v>952</v>
      </c>
      <c r="K422" s="3" t="s">
        <v>278</v>
      </c>
      <c r="L422" s="8" t="s">
        <v>278</v>
      </c>
      <c r="M422" s="8" t="s">
        <v>10</v>
      </c>
      <c r="N422" s="8" t="s">
        <v>279</v>
      </c>
      <c r="O422" s="8"/>
      <c r="P422" s="10">
        <v>44550</v>
      </c>
      <c r="Q422" s="8" t="s">
        <v>280</v>
      </c>
      <c r="R422" s="8" t="s">
        <v>866</v>
      </c>
      <c r="S422" s="8" t="s">
        <v>2781</v>
      </c>
      <c r="T422" s="8" t="s">
        <v>2782</v>
      </c>
      <c r="U422" s="8" t="s">
        <v>1215</v>
      </c>
      <c r="V422" s="8" t="s">
        <v>2783</v>
      </c>
      <c r="W422" s="8" t="s">
        <v>2784</v>
      </c>
      <c r="X422" s="8" t="s">
        <v>1624</v>
      </c>
      <c r="Y422" s="8" t="s">
        <v>1625</v>
      </c>
    </row>
    <row r="423" customHeight="1" spans="2:25">
      <c r="B423" s="7"/>
      <c r="C423" s="8"/>
      <c r="D423" s="3" t="str">
        <f t="shared" ref="D423:D426" si="132">D422</f>
        <v>幸福西饼</v>
      </c>
      <c r="E423" s="8"/>
      <c r="F423" s="9"/>
      <c r="G423" s="8"/>
      <c r="H423" s="8"/>
      <c r="I423" s="8"/>
      <c r="J423" s="8"/>
      <c r="K423" s="3" t="str">
        <f t="shared" ref="K423:K426" si="133">K422</f>
        <v>运营中</v>
      </c>
      <c r="L423" s="8"/>
      <c r="M423" s="8"/>
      <c r="N423" s="8"/>
      <c r="O423" s="8"/>
      <c r="P423" s="10">
        <v>43305</v>
      </c>
      <c r="Q423" s="8" t="s">
        <v>865</v>
      </c>
      <c r="R423" s="8" t="s">
        <v>1581</v>
      </c>
      <c r="S423" s="8" t="s">
        <v>2785</v>
      </c>
      <c r="T423" s="8"/>
      <c r="U423" s="8"/>
      <c r="V423" s="8"/>
      <c r="W423" s="8"/>
      <c r="X423" s="8"/>
      <c r="Y423" s="8"/>
    </row>
    <row r="424" customHeight="1" spans="2:25">
      <c r="B424" s="7"/>
      <c r="C424" s="8"/>
      <c r="D424" s="3" t="str">
        <f t="shared" si="132"/>
        <v>幸福西饼</v>
      </c>
      <c r="E424" s="8"/>
      <c r="F424" s="9"/>
      <c r="G424" s="8"/>
      <c r="H424" s="8"/>
      <c r="I424" s="8"/>
      <c r="J424" s="8"/>
      <c r="K424" s="3" t="str">
        <f t="shared" si="133"/>
        <v>运营中</v>
      </c>
      <c r="L424" s="8"/>
      <c r="M424" s="8"/>
      <c r="N424" s="8"/>
      <c r="O424" s="8"/>
      <c r="P424" s="10">
        <v>43166</v>
      </c>
      <c r="Q424" s="8" t="s">
        <v>868</v>
      </c>
      <c r="R424" s="8" t="s">
        <v>1170</v>
      </c>
      <c r="S424" s="8" t="s">
        <v>2786</v>
      </c>
      <c r="T424" s="8"/>
      <c r="U424" s="8"/>
      <c r="V424" s="8"/>
      <c r="W424" s="8"/>
      <c r="X424" s="8"/>
      <c r="Y424" s="8"/>
    </row>
    <row r="425" customHeight="1" spans="2:25">
      <c r="B425" s="7"/>
      <c r="C425" s="8"/>
      <c r="D425" s="3" t="str">
        <f t="shared" si="132"/>
        <v>幸福西饼</v>
      </c>
      <c r="E425" s="8"/>
      <c r="F425" s="9"/>
      <c r="G425" s="8"/>
      <c r="H425" s="8"/>
      <c r="I425" s="8"/>
      <c r="J425" s="8"/>
      <c r="K425" s="3" t="str">
        <f t="shared" si="133"/>
        <v>运营中</v>
      </c>
      <c r="L425" s="8"/>
      <c r="M425" s="8"/>
      <c r="N425" s="8"/>
      <c r="O425" s="8"/>
      <c r="P425" s="10">
        <v>43080</v>
      </c>
      <c r="Q425" s="8" t="s">
        <v>1167</v>
      </c>
      <c r="R425" s="8" t="s">
        <v>2787</v>
      </c>
      <c r="S425" s="8" t="s">
        <v>2788</v>
      </c>
      <c r="T425" s="8"/>
      <c r="U425" s="8"/>
      <c r="V425" s="8"/>
      <c r="W425" s="8"/>
      <c r="X425" s="8"/>
      <c r="Y425" s="8"/>
    </row>
    <row r="426" customHeight="1" spans="2:25">
      <c r="B426" s="7"/>
      <c r="C426" s="8"/>
      <c r="D426" s="3" t="str">
        <f t="shared" si="132"/>
        <v>幸福西饼</v>
      </c>
      <c r="E426" s="8"/>
      <c r="F426" s="9"/>
      <c r="G426" s="8"/>
      <c r="H426" s="8"/>
      <c r="I426" s="8"/>
      <c r="J426" s="8"/>
      <c r="K426" s="3" t="str">
        <f t="shared" si="133"/>
        <v>运营中</v>
      </c>
      <c r="L426" s="8"/>
      <c r="M426" s="8"/>
      <c r="N426" s="8"/>
      <c r="O426" s="8"/>
      <c r="P426" s="10">
        <v>42746</v>
      </c>
      <c r="Q426" s="8" t="s">
        <v>1169</v>
      </c>
      <c r="R426" s="8" t="s">
        <v>281</v>
      </c>
      <c r="S426" s="8" t="s">
        <v>2789</v>
      </c>
      <c r="T426" s="8"/>
      <c r="U426" s="8"/>
      <c r="V426" s="8"/>
      <c r="W426" s="8"/>
      <c r="X426" s="8"/>
      <c r="Y426" s="8"/>
    </row>
    <row r="427" customHeight="1" spans="2:25">
      <c r="B427" s="7"/>
      <c r="C427" s="8" t="s">
        <v>1631</v>
      </c>
      <c r="D427" s="3" t="s">
        <v>2790</v>
      </c>
      <c r="E427" s="8" t="s">
        <v>2790</v>
      </c>
      <c r="F427" s="9" t="s">
        <v>2791</v>
      </c>
      <c r="G427" s="8" t="s">
        <v>2792</v>
      </c>
      <c r="H427" s="8" t="s">
        <v>1635</v>
      </c>
      <c r="I427" s="8" t="s">
        <v>1636</v>
      </c>
      <c r="J427" s="8" t="s">
        <v>2139</v>
      </c>
      <c r="K427" s="3" t="s">
        <v>278</v>
      </c>
      <c r="L427" s="8" t="s">
        <v>278</v>
      </c>
      <c r="M427" s="8" t="s">
        <v>10</v>
      </c>
      <c r="N427" s="8" t="s">
        <v>279</v>
      </c>
      <c r="O427" s="8"/>
      <c r="P427" s="10">
        <v>44363</v>
      </c>
      <c r="Q427" s="8" t="s">
        <v>865</v>
      </c>
      <c r="R427" s="8" t="s">
        <v>1644</v>
      </c>
      <c r="S427" s="8" t="s">
        <v>2793</v>
      </c>
      <c r="T427" s="8" t="s">
        <v>2794</v>
      </c>
      <c r="U427" s="8" t="s">
        <v>2795</v>
      </c>
      <c r="V427" s="8" t="s">
        <v>2796</v>
      </c>
      <c r="W427" s="8" t="s">
        <v>2797</v>
      </c>
      <c r="X427" s="8" t="s">
        <v>1642</v>
      </c>
      <c r="Y427" s="8" t="s">
        <v>1643</v>
      </c>
    </row>
    <row r="428" customHeight="1" spans="2:25">
      <c r="B428" s="7"/>
      <c r="C428" s="8"/>
      <c r="D428" s="3" t="str">
        <f t="shared" ref="D428:D431" si="134">D427</f>
        <v>Manner咖啡</v>
      </c>
      <c r="E428" s="8"/>
      <c r="F428" s="9"/>
      <c r="G428" s="8"/>
      <c r="H428" s="8"/>
      <c r="I428" s="8"/>
      <c r="J428" s="8"/>
      <c r="K428" s="3" t="str">
        <f t="shared" ref="K428:K431" si="135">K427</f>
        <v>运营中</v>
      </c>
      <c r="L428" s="8"/>
      <c r="M428" s="8"/>
      <c r="N428" s="8"/>
      <c r="O428" s="8"/>
      <c r="P428" s="10">
        <v>44340</v>
      </c>
      <c r="Q428" s="8" t="s">
        <v>868</v>
      </c>
      <c r="R428" s="8" t="s">
        <v>1644</v>
      </c>
      <c r="S428" s="8" t="s">
        <v>1645</v>
      </c>
      <c r="T428" s="8"/>
      <c r="U428" s="8"/>
      <c r="V428" s="8"/>
      <c r="W428" s="8"/>
      <c r="X428" s="8"/>
      <c r="Y428" s="8"/>
    </row>
    <row r="429" customHeight="1" spans="2:25">
      <c r="B429" s="7"/>
      <c r="C429" s="8"/>
      <c r="D429" s="3" t="str">
        <f t="shared" si="134"/>
        <v>Manner咖啡</v>
      </c>
      <c r="E429" s="8"/>
      <c r="F429" s="9"/>
      <c r="G429" s="8"/>
      <c r="H429" s="8"/>
      <c r="I429" s="8"/>
      <c r="J429" s="8"/>
      <c r="K429" s="3" t="str">
        <f t="shared" si="135"/>
        <v>运营中</v>
      </c>
      <c r="L429" s="8"/>
      <c r="M429" s="8"/>
      <c r="N429" s="8"/>
      <c r="O429" s="8"/>
      <c r="P429" s="10">
        <v>44259</v>
      </c>
      <c r="Q429" s="8" t="s">
        <v>1180</v>
      </c>
      <c r="R429" s="8" t="s">
        <v>1966</v>
      </c>
      <c r="S429" s="8" t="s">
        <v>2798</v>
      </c>
      <c r="T429" s="8"/>
      <c r="U429" s="8"/>
      <c r="V429" s="8"/>
      <c r="W429" s="8"/>
      <c r="X429" s="8"/>
      <c r="Y429" s="8"/>
    </row>
    <row r="430" customHeight="1" spans="2:25">
      <c r="B430" s="7"/>
      <c r="C430" s="8"/>
      <c r="D430" s="3" t="str">
        <f t="shared" si="134"/>
        <v>Manner咖啡</v>
      </c>
      <c r="E430" s="8"/>
      <c r="F430" s="9"/>
      <c r="G430" s="8"/>
      <c r="H430" s="8"/>
      <c r="I430" s="8"/>
      <c r="J430" s="8"/>
      <c r="K430" s="3" t="str">
        <f t="shared" si="135"/>
        <v>运营中</v>
      </c>
      <c r="L430" s="8"/>
      <c r="M430" s="8"/>
      <c r="N430" s="8"/>
      <c r="O430" s="8"/>
      <c r="P430" s="10">
        <v>44189</v>
      </c>
      <c r="Q430" s="8" t="s">
        <v>280</v>
      </c>
      <c r="R430" s="8" t="s">
        <v>1966</v>
      </c>
      <c r="S430" s="8" t="s">
        <v>2799</v>
      </c>
      <c r="T430" s="8"/>
      <c r="U430" s="8"/>
      <c r="V430" s="8"/>
      <c r="W430" s="8"/>
      <c r="X430" s="8"/>
      <c r="Y430" s="8"/>
    </row>
    <row r="431" customHeight="1" spans="2:25">
      <c r="B431" s="7"/>
      <c r="C431" s="8"/>
      <c r="D431" s="3" t="str">
        <f t="shared" si="134"/>
        <v>Manner咖啡</v>
      </c>
      <c r="E431" s="8"/>
      <c r="F431" s="9"/>
      <c r="G431" s="8"/>
      <c r="H431" s="8"/>
      <c r="I431" s="8"/>
      <c r="J431" s="8"/>
      <c r="K431" s="3" t="str">
        <f t="shared" si="135"/>
        <v>运营中</v>
      </c>
      <c r="L431" s="8"/>
      <c r="M431" s="8"/>
      <c r="N431" s="8"/>
      <c r="O431" s="8"/>
      <c r="P431" s="10">
        <v>43392</v>
      </c>
      <c r="Q431" s="8" t="s">
        <v>1167</v>
      </c>
      <c r="R431" s="8" t="s">
        <v>2657</v>
      </c>
      <c r="S431" s="8" t="s">
        <v>2800</v>
      </c>
      <c r="T431" s="8"/>
      <c r="U431" s="8"/>
      <c r="V431" s="8"/>
      <c r="W431" s="8"/>
      <c r="X431" s="8"/>
      <c r="Y431" s="8"/>
    </row>
    <row r="432" customHeight="1" spans="2:25">
      <c r="B432" s="7"/>
      <c r="C432" s="8" t="s">
        <v>1649</v>
      </c>
      <c r="D432" s="3" t="s">
        <v>1651</v>
      </c>
      <c r="E432" s="8" t="s">
        <v>1651</v>
      </c>
      <c r="F432" s="9" t="s">
        <v>1652</v>
      </c>
      <c r="G432" s="8" t="s">
        <v>2801</v>
      </c>
      <c r="H432" s="8" t="s">
        <v>1654</v>
      </c>
      <c r="I432" s="8" t="s">
        <v>1655</v>
      </c>
      <c r="J432" s="8" t="s">
        <v>1656</v>
      </c>
      <c r="K432" s="3" t="s">
        <v>278</v>
      </c>
      <c r="L432" s="8" t="s">
        <v>278</v>
      </c>
      <c r="M432" s="8" t="s">
        <v>23</v>
      </c>
      <c r="N432" s="8" t="s">
        <v>1657</v>
      </c>
      <c r="O432" s="8"/>
      <c r="P432" s="10">
        <v>44400</v>
      </c>
      <c r="Q432" s="8" t="s">
        <v>280</v>
      </c>
      <c r="R432" s="8" t="s">
        <v>281</v>
      </c>
      <c r="S432" s="8" t="s">
        <v>1658</v>
      </c>
      <c r="T432" s="8" t="s">
        <v>1659</v>
      </c>
      <c r="U432" s="8" t="s">
        <v>1660</v>
      </c>
      <c r="V432" s="8" t="s">
        <v>1661</v>
      </c>
      <c r="W432" s="8" t="s">
        <v>2802</v>
      </c>
      <c r="X432" s="8" t="s">
        <v>1663</v>
      </c>
      <c r="Y432" s="8" t="s">
        <v>1664</v>
      </c>
    </row>
    <row r="433" customHeight="1" spans="2:25">
      <c r="B433" s="7"/>
      <c r="C433" s="8"/>
      <c r="D433" s="3" t="str">
        <f t="shared" ref="D433:D435" si="136">D432</f>
        <v>谊品生鲜</v>
      </c>
      <c r="E433" s="8"/>
      <c r="F433" s="9"/>
      <c r="G433" s="8"/>
      <c r="H433" s="8"/>
      <c r="I433" s="8"/>
      <c r="J433" s="8"/>
      <c r="K433" s="3" t="str">
        <f t="shared" ref="K433:K435" si="137">K432</f>
        <v>运营中</v>
      </c>
      <c r="L433" s="8"/>
      <c r="M433" s="8"/>
      <c r="N433" s="8"/>
      <c r="O433" s="8"/>
      <c r="P433" s="10">
        <v>44048</v>
      </c>
      <c r="Q433" s="8" t="s">
        <v>425</v>
      </c>
      <c r="R433" s="8" t="s">
        <v>2803</v>
      </c>
      <c r="S433" s="8" t="s">
        <v>2804</v>
      </c>
      <c r="T433" s="8"/>
      <c r="U433" s="8"/>
      <c r="V433" s="8"/>
      <c r="W433" s="8"/>
      <c r="X433" s="8"/>
      <c r="Y433" s="8"/>
    </row>
    <row r="434" customHeight="1" spans="2:25">
      <c r="B434" s="7"/>
      <c r="C434" s="8"/>
      <c r="D434" s="3" t="str">
        <f t="shared" si="136"/>
        <v>谊品生鲜</v>
      </c>
      <c r="E434" s="8"/>
      <c r="F434" s="9"/>
      <c r="G434" s="8"/>
      <c r="H434" s="8"/>
      <c r="I434" s="8"/>
      <c r="J434" s="8"/>
      <c r="K434" s="3" t="str">
        <f t="shared" si="137"/>
        <v>运营中</v>
      </c>
      <c r="L434" s="8"/>
      <c r="M434" s="8"/>
      <c r="N434" s="8"/>
      <c r="O434" s="8"/>
      <c r="P434" s="10">
        <v>43553</v>
      </c>
      <c r="Q434" s="8" t="s">
        <v>868</v>
      </c>
      <c r="R434" s="8" t="s">
        <v>1714</v>
      </c>
      <c r="S434" s="8" t="s">
        <v>2805</v>
      </c>
      <c r="T434" s="8"/>
      <c r="U434" s="8"/>
      <c r="V434" s="8"/>
      <c r="W434" s="8"/>
      <c r="X434" s="8"/>
      <c r="Y434" s="8"/>
    </row>
    <row r="435" customHeight="1" spans="2:25">
      <c r="B435" s="7"/>
      <c r="C435" s="8"/>
      <c r="D435" s="3" t="str">
        <f t="shared" si="136"/>
        <v>谊品生鲜</v>
      </c>
      <c r="E435" s="8"/>
      <c r="F435" s="9"/>
      <c r="G435" s="8"/>
      <c r="H435" s="8"/>
      <c r="I435" s="8"/>
      <c r="J435" s="8"/>
      <c r="K435" s="3" t="str">
        <f t="shared" si="137"/>
        <v>运营中</v>
      </c>
      <c r="L435" s="8"/>
      <c r="M435" s="8"/>
      <c r="N435" s="8"/>
      <c r="O435" s="8"/>
      <c r="P435" s="10">
        <v>43335</v>
      </c>
      <c r="Q435" s="8" t="s">
        <v>1167</v>
      </c>
      <c r="R435" s="8" t="s">
        <v>281</v>
      </c>
      <c r="S435" s="8" t="s">
        <v>2800</v>
      </c>
      <c r="T435" s="8"/>
      <c r="U435" s="8"/>
      <c r="V435" s="8"/>
      <c r="W435" s="8"/>
      <c r="X435" s="8"/>
      <c r="Y435" s="8"/>
    </row>
    <row r="436" customHeight="1" spans="2:25">
      <c r="B436" s="7"/>
      <c r="C436" s="8" t="s">
        <v>1669</v>
      </c>
      <c r="D436" s="3" t="s">
        <v>1671</v>
      </c>
      <c r="E436" s="8" t="s">
        <v>1671</v>
      </c>
      <c r="F436" s="9" t="s">
        <v>1672</v>
      </c>
      <c r="G436" s="8" t="s">
        <v>2806</v>
      </c>
      <c r="H436" s="8" t="s">
        <v>1674</v>
      </c>
      <c r="I436" s="8" t="s">
        <v>1675</v>
      </c>
      <c r="J436" s="8" t="s">
        <v>1676</v>
      </c>
      <c r="K436" s="3" t="s">
        <v>278</v>
      </c>
      <c r="L436" s="8" t="s">
        <v>278</v>
      </c>
      <c r="M436" s="8" t="s">
        <v>27</v>
      </c>
      <c r="N436" s="8" t="s">
        <v>1677</v>
      </c>
      <c r="O436" s="8"/>
      <c r="P436" s="10">
        <v>44526</v>
      </c>
      <c r="Q436" s="8" t="s">
        <v>425</v>
      </c>
      <c r="R436" s="8" t="s">
        <v>1678</v>
      </c>
      <c r="S436" s="8" t="s">
        <v>1679</v>
      </c>
      <c r="T436" s="8" t="s">
        <v>1680</v>
      </c>
      <c r="U436" s="8" t="s">
        <v>1681</v>
      </c>
      <c r="V436" s="8" t="s">
        <v>1682</v>
      </c>
      <c r="W436" s="8" t="s">
        <v>2807</v>
      </c>
      <c r="X436" s="8" t="s">
        <v>1684</v>
      </c>
      <c r="Y436" s="8" t="s">
        <v>1685</v>
      </c>
    </row>
    <row r="437" customHeight="1" spans="2:25">
      <c r="B437" s="7"/>
      <c r="C437" s="8"/>
      <c r="D437" s="3" t="str">
        <f t="shared" ref="D437:D438" si="138">D436</f>
        <v>甄云科技</v>
      </c>
      <c r="E437" s="8"/>
      <c r="F437" s="9"/>
      <c r="G437" s="8"/>
      <c r="H437" s="8"/>
      <c r="I437" s="8"/>
      <c r="J437" s="8"/>
      <c r="K437" s="3" t="str">
        <f t="shared" ref="K437:K438" si="139">K436</f>
        <v>运营中</v>
      </c>
      <c r="L437" s="8"/>
      <c r="M437" s="8"/>
      <c r="N437" s="8"/>
      <c r="O437" s="8"/>
      <c r="P437" s="10">
        <v>44138</v>
      </c>
      <c r="Q437" s="8" t="s">
        <v>868</v>
      </c>
      <c r="R437" s="8" t="s">
        <v>1170</v>
      </c>
      <c r="S437" s="8" t="s">
        <v>2808</v>
      </c>
      <c r="T437" s="8"/>
      <c r="U437" s="8"/>
      <c r="V437" s="8"/>
      <c r="W437" s="8"/>
      <c r="X437" s="8"/>
      <c r="Y437" s="8"/>
    </row>
    <row r="438" customHeight="1" spans="2:25">
      <c r="B438" s="7"/>
      <c r="C438" s="8"/>
      <c r="D438" s="3" t="str">
        <f t="shared" si="138"/>
        <v>甄云科技</v>
      </c>
      <c r="E438" s="8"/>
      <c r="F438" s="9"/>
      <c r="G438" s="8"/>
      <c r="H438" s="8"/>
      <c r="I438" s="8"/>
      <c r="J438" s="8"/>
      <c r="K438" s="3" t="str">
        <f t="shared" si="139"/>
        <v>运营中</v>
      </c>
      <c r="L438" s="8"/>
      <c r="M438" s="8"/>
      <c r="N438" s="8"/>
      <c r="O438" s="8"/>
      <c r="P438" s="10">
        <v>43357</v>
      </c>
      <c r="Q438" s="8" t="s">
        <v>1167</v>
      </c>
      <c r="R438" s="8" t="s">
        <v>2088</v>
      </c>
      <c r="S438" s="8" t="s">
        <v>2809</v>
      </c>
      <c r="T438" s="8"/>
      <c r="U438" s="8"/>
      <c r="V438" s="8"/>
      <c r="W438" s="8"/>
      <c r="X438" s="8"/>
      <c r="Y438" s="8"/>
    </row>
    <row r="439" customHeight="1" spans="2:25">
      <c r="B439" s="7"/>
      <c r="C439" s="8" t="s">
        <v>1688</v>
      </c>
      <c r="D439" s="3" t="s">
        <v>1690</v>
      </c>
      <c r="E439" s="8" t="s">
        <v>1690</v>
      </c>
      <c r="F439" s="9" t="s">
        <v>1691</v>
      </c>
      <c r="G439" s="8" t="s">
        <v>2810</v>
      </c>
      <c r="H439" s="8" t="s">
        <v>1693</v>
      </c>
      <c r="I439" s="8" t="s">
        <v>1694</v>
      </c>
      <c r="J439" s="8" t="s">
        <v>1695</v>
      </c>
      <c r="K439" s="3" t="s">
        <v>278</v>
      </c>
      <c r="L439" s="8" t="s">
        <v>278</v>
      </c>
      <c r="M439" s="8" t="s">
        <v>19</v>
      </c>
      <c r="N439" s="8" t="s">
        <v>1179</v>
      </c>
      <c r="O439" s="8"/>
      <c r="P439" s="10">
        <v>44903</v>
      </c>
      <c r="Q439" s="8" t="s">
        <v>425</v>
      </c>
      <c r="R439" s="8" t="s">
        <v>430</v>
      </c>
      <c r="S439" s="8" t="s">
        <v>1696</v>
      </c>
      <c r="T439" s="8" t="s">
        <v>1697</v>
      </c>
      <c r="U439" s="8" t="s">
        <v>1085</v>
      </c>
      <c r="V439" s="8"/>
      <c r="W439" s="8" t="s">
        <v>2811</v>
      </c>
      <c r="X439" s="8" t="s">
        <v>1699</v>
      </c>
      <c r="Y439" s="8" t="s">
        <v>1700</v>
      </c>
    </row>
    <row r="440" customHeight="1" spans="2:25">
      <c r="B440" s="7"/>
      <c r="C440" s="8"/>
      <c r="D440" s="3" t="str">
        <f t="shared" ref="D440:D444" si="140">D439</f>
        <v>晶湛半导体</v>
      </c>
      <c r="E440" s="8"/>
      <c r="F440" s="9"/>
      <c r="G440" s="8"/>
      <c r="H440" s="8"/>
      <c r="I440" s="8"/>
      <c r="J440" s="8"/>
      <c r="K440" s="3" t="str">
        <f t="shared" ref="K440:K444" si="141">K439</f>
        <v>运营中</v>
      </c>
      <c r="L440" s="8"/>
      <c r="M440" s="8"/>
      <c r="N440" s="8"/>
      <c r="O440" s="8"/>
      <c r="P440" s="10">
        <v>44623</v>
      </c>
      <c r="Q440" s="8" t="s">
        <v>865</v>
      </c>
      <c r="R440" s="8" t="s">
        <v>430</v>
      </c>
      <c r="S440" s="8" t="s">
        <v>2812</v>
      </c>
      <c r="T440" s="8"/>
      <c r="U440" s="8"/>
      <c r="V440" s="8"/>
      <c r="W440" s="8"/>
      <c r="X440" s="8"/>
      <c r="Y440" s="8"/>
    </row>
    <row r="441" customHeight="1" spans="2:25">
      <c r="B441" s="7"/>
      <c r="C441" s="8"/>
      <c r="D441" s="3" t="str">
        <f t="shared" si="140"/>
        <v>晶湛半导体</v>
      </c>
      <c r="E441" s="8"/>
      <c r="F441" s="9"/>
      <c r="G441" s="8"/>
      <c r="H441" s="8"/>
      <c r="I441" s="8"/>
      <c r="J441" s="8"/>
      <c r="K441" s="3" t="str">
        <f t="shared" si="141"/>
        <v>运营中</v>
      </c>
      <c r="L441" s="8"/>
      <c r="M441" s="8"/>
      <c r="N441" s="8"/>
      <c r="O441" s="8"/>
      <c r="P441" s="10">
        <v>44006</v>
      </c>
      <c r="Q441" s="8" t="s">
        <v>868</v>
      </c>
      <c r="R441" s="8" t="s">
        <v>281</v>
      </c>
      <c r="S441" s="8" t="s">
        <v>2813</v>
      </c>
      <c r="T441" s="8"/>
      <c r="U441" s="8"/>
      <c r="V441" s="8"/>
      <c r="W441" s="8"/>
      <c r="X441" s="8"/>
      <c r="Y441" s="8"/>
    </row>
    <row r="442" customHeight="1" spans="2:25">
      <c r="B442" s="7"/>
      <c r="C442" s="8"/>
      <c r="D442" s="3" t="str">
        <f t="shared" si="140"/>
        <v>晶湛半导体</v>
      </c>
      <c r="E442" s="8"/>
      <c r="F442" s="9"/>
      <c r="G442" s="8"/>
      <c r="H442" s="8"/>
      <c r="I442" s="8"/>
      <c r="J442" s="8"/>
      <c r="K442" s="3" t="str">
        <f t="shared" si="141"/>
        <v>运营中</v>
      </c>
      <c r="L442" s="8"/>
      <c r="M442" s="8"/>
      <c r="N442" s="8"/>
      <c r="O442" s="8"/>
      <c r="P442" s="10">
        <v>43558</v>
      </c>
      <c r="Q442" s="8" t="s">
        <v>1167</v>
      </c>
      <c r="R442" s="8" t="s">
        <v>281</v>
      </c>
      <c r="S442" s="8" t="s">
        <v>2814</v>
      </c>
      <c r="T442" s="8"/>
      <c r="U442" s="8"/>
      <c r="V442" s="8"/>
      <c r="W442" s="8"/>
      <c r="X442" s="8"/>
      <c r="Y442" s="8"/>
    </row>
    <row r="443" customHeight="1" spans="2:25">
      <c r="B443" s="7"/>
      <c r="C443" s="8"/>
      <c r="D443" s="3" t="str">
        <f t="shared" si="140"/>
        <v>晶湛半导体</v>
      </c>
      <c r="E443" s="8"/>
      <c r="F443" s="9"/>
      <c r="G443" s="8"/>
      <c r="H443" s="8"/>
      <c r="I443" s="8"/>
      <c r="J443" s="8"/>
      <c r="K443" s="3" t="str">
        <f t="shared" si="141"/>
        <v>运营中</v>
      </c>
      <c r="L443" s="8"/>
      <c r="M443" s="8"/>
      <c r="N443" s="8"/>
      <c r="O443" s="8"/>
      <c r="P443" s="10">
        <v>43440</v>
      </c>
      <c r="Q443" s="8" t="s">
        <v>1169</v>
      </c>
      <c r="R443" s="8" t="s">
        <v>281</v>
      </c>
      <c r="S443" s="8" t="s">
        <v>2815</v>
      </c>
      <c r="T443" s="8"/>
      <c r="U443" s="8"/>
      <c r="V443" s="8"/>
      <c r="W443" s="8"/>
      <c r="X443" s="8"/>
      <c r="Y443" s="8"/>
    </row>
    <row r="444" customHeight="1" spans="2:25">
      <c r="B444" s="7"/>
      <c r="C444" s="8"/>
      <c r="D444" s="3" t="str">
        <f t="shared" si="140"/>
        <v>晶湛半导体</v>
      </c>
      <c r="E444" s="8"/>
      <c r="F444" s="9"/>
      <c r="G444" s="8"/>
      <c r="H444" s="8"/>
      <c r="I444" s="8"/>
      <c r="J444" s="8"/>
      <c r="K444" s="3" t="str">
        <f t="shared" si="141"/>
        <v>运营中</v>
      </c>
      <c r="L444" s="8"/>
      <c r="M444" s="8"/>
      <c r="N444" s="8"/>
      <c r="O444" s="8"/>
      <c r="P444" s="10">
        <v>42468</v>
      </c>
      <c r="Q444" s="8" t="s">
        <v>1875</v>
      </c>
      <c r="R444" s="8" t="s">
        <v>281</v>
      </c>
      <c r="S444" s="8" t="s">
        <v>2816</v>
      </c>
      <c r="T444" s="8"/>
      <c r="U444" s="8"/>
      <c r="V444" s="8"/>
      <c r="W444" s="8"/>
      <c r="X444" s="8"/>
      <c r="Y444" s="8"/>
    </row>
    <row r="445" customHeight="1" spans="2:25">
      <c r="B445" s="7"/>
      <c r="C445" s="8" t="s">
        <v>1111</v>
      </c>
      <c r="D445" s="3" t="s">
        <v>1112</v>
      </c>
      <c r="E445" s="8" t="s">
        <v>1112</v>
      </c>
      <c r="F445" s="9" t="s">
        <v>2480</v>
      </c>
      <c r="G445" s="8"/>
      <c r="H445" s="8" t="s">
        <v>1114</v>
      </c>
      <c r="I445" s="8" t="s">
        <v>1115</v>
      </c>
      <c r="J445" s="8" t="s">
        <v>2481</v>
      </c>
      <c r="K445" s="3" t="s">
        <v>278</v>
      </c>
      <c r="L445" s="8" t="s">
        <v>278</v>
      </c>
      <c r="M445" s="8" t="s">
        <v>41</v>
      </c>
      <c r="N445" s="8" t="s">
        <v>2008</v>
      </c>
      <c r="O445" s="8"/>
      <c r="P445" s="10">
        <v>44432</v>
      </c>
      <c r="Q445" s="8" t="s">
        <v>425</v>
      </c>
      <c r="R445" s="8" t="s">
        <v>2482</v>
      </c>
      <c r="S445" s="8" t="s">
        <v>2483</v>
      </c>
      <c r="T445" s="8" t="s">
        <v>2484</v>
      </c>
      <c r="U445" s="8" t="s">
        <v>2485</v>
      </c>
      <c r="V445" s="8" t="s">
        <v>2486</v>
      </c>
      <c r="W445" s="8"/>
      <c r="X445" s="8"/>
      <c r="Y445" s="8"/>
    </row>
    <row r="446" customHeight="1" spans="2:25">
      <c r="B446" s="7"/>
      <c r="C446" s="8"/>
      <c r="D446" s="3" t="str">
        <f t="shared" ref="D446:D447" si="142">D445</f>
        <v>OPay</v>
      </c>
      <c r="E446" s="8"/>
      <c r="F446" s="9"/>
      <c r="G446" s="8"/>
      <c r="H446" s="8"/>
      <c r="I446" s="8"/>
      <c r="J446" s="8"/>
      <c r="K446" s="3" t="str">
        <f t="shared" ref="K446:K447" si="143">K445</f>
        <v>运营中</v>
      </c>
      <c r="L446" s="8"/>
      <c r="M446" s="8"/>
      <c r="N446" s="8"/>
      <c r="O446" s="8"/>
      <c r="P446" s="10">
        <v>43788</v>
      </c>
      <c r="Q446" s="8" t="s">
        <v>868</v>
      </c>
      <c r="R446" s="8" t="s">
        <v>2477</v>
      </c>
      <c r="S446" s="8" t="s">
        <v>2487</v>
      </c>
      <c r="T446" s="8"/>
      <c r="U446" s="8"/>
      <c r="V446" s="8"/>
      <c r="W446" s="8"/>
      <c r="X446" s="8"/>
      <c r="Y446" s="8"/>
    </row>
    <row r="447" customHeight="1" spans="2:25">
      <c r="B447" s="7"/>
      <c r="C447" s="8"/>
      <c r="D447" s="3" t="str">
        <f t="shared" si="142"/>
        <v>OPay</v>
      </c>
      <c r="E447" s="8"/>
      <c r="F447" s="9"/>
      <c r="G447" s="8"/>
      <c r="H447" s="8"/>
      <c r="I447" s="8"/>
      <c r="J447" s="8"/>
      <c r="K447" s="3" t="str">
        <f t="shared" si="143"/>
        <v>运营中</v>
      </c>
      <c r="L447" s="8"/>
      <c r="M447" s="8"/>
      <c r="N447" s="8"/>
      <c r="O447" s="8"/>
      <c r="P447" s="10">
        <v>43657</v>
      </c>
      <c r="Q447" s="8" t="s">
        <v>1167</v>
      </c>
      <c r="R447" s="8" t="s">
        <v>1857</v>
      </c>
      <c r="S447" s="8" t="s">
        <v>2488</v>
      </c>
      <c r="T447" s="8"/>
      <c r="U447" s="8"/>
      <c r="V447" s="8"/>
      <c r="W447" s="8"/>
      <c r="X447" s="8"/>
      <c r="Y447" s="8"/>
    </row>
    <row r="448" customHeight="1" spans="2:25">
      <c r="B448" s="7"/>
      <c r="C448" s="8" t="s">
        <v>1706</v>
      </c>
      <c r="D448" s="8" t="s">
        <v>1708</v>
      </c>
      <c r="E448" s="8" t="s">
        <v>1708</v>
      </c>
      <c r="F448" s="9" t="s">
        <v>1709</v>
      </c>
      <c r="G448" s="8" t="s">
        <v>2817</v>
      </c>
      <c r="H448" s="8" t="s">
        <v>1711</v>
      </c>
      <c r="I448" s="8" t="s">
        <v>1712</v>
      </c>
      <c r="J448" s="8" t="s">
        <v>1713</v>
      </c>
      <c r="K448" s="8" t="s">
        <v>278</v>
      </c>
      <c r="L448" s="8" t="s">
        <v>278</v>
      </c>
      <c r="M448" s="8" t="s">
        <v>10</v>
      </c>
      <c r="N448" s="8" t="s">
        <v>279</v>
      </c>
      <c r="O448" s="8"/>
      <c r="P448" s="10">
        <v>44209</v>
      </c>
      <c r="Q448" s="8" t="s">
        <v>1167</v>
      </c>
      <c r="R448" s="8" t="s">
        <v>1714</v>
      </c>
      <c r="S448" s="8" t="s">
        <v>1715</v>
      </c>
      <c r="T448" s="8" t="s">
        <v>1716</v>
      </c>
      <c r="U448" s="8" t="s">
        <v>1717</v>
      </c>
      <c r="V448" s="8" t="s">
        <v>1718</v>
      </c>
      <c r="W448" s="8" t="s">
        <v>2818</v>
      </c>
      <c r="X448" s="8" t="s">
        <v>1720</v>
      </c>
      <c r="Y448" s="8" t="s">
        <v>1721</v>
      </c>
    </row>
    <row r="449" customHeight="1" spans="2:25">
      <c r="B449" s="7"/>
      <c r="C449" s="8" t="s">
        <v>1722</v>
      </c>
      <c r="D449" s="8" t="s">
        <v>2819</v>
      </c>
      <c r="E449" s="8" t="s">
        <v>2819</v>
      </c>
      <c r="F449" s="9" t="s">
        <v>2820</v>
      </c>
      <c r="G449" s="8" t="s">
        <v>2821</v>
      </c>
      <c r="H449" s="8"/>
      <c r="I449" s="8" t="s">
        <v>1178</v>
      </c>
      <c r="J449" s="8" t="s">
        <v>2822</v>
      </c>
      <c r="K449" s="8" t="s">
        <v>278</v>
      </c>
      <c r="L449" s="8" t="s">
        <v>278</v>
      </c>
      <c r="M449" s="8" t="s">
        <v>23</v>
      </c>
      <c r="N449" s="8" t="s">
        <v>1657</v>
      </c>
      <c r="O449" s="8"/>
      <c r="P449" s="10">
        <v>43830</v>
      </c>
      <c r="Q449" s="8" t="s">
        <v>1167</v>
      </c>
      <c r="R449" s="8" t="s">
        <v>1816</v>
      </c>
      <c r="S449" s="8" t="s">
        <v>1645</v>
      </c>
      <c r="T449" s="8" t="s">
        <v>2058</v>
      </c>
      <c r="U449" s="8" t="s">
        <v>1819</v>
      </c>
      <c r="V449" s="8" t="s">
        <v>2823</v>
      </c>
      <c r="W449" s="8" t="s">
        <v>2824</v>
      </c>
      <c r="X449" s="8"/>
      <c r="Y449" s="8"/>
    </row>
    <row r="450" customHeight="1" spans="2:25">
      <c r="B450" s="7"/>
      <c r="C450" s="8" t="s">
        <v>1729</v>
      </c>
      <c r="D450" s="3" t="s">
        <v>2825</v>
      </c>
      <c r="E450" s="8" t="s">
        <v>2825</v>
      </c>
      <c r="F450" s="9" t="s">
        <v>2826</v>
      </c>
      <c r="G450" s="8" t="s">
        <v>2827</v>
      </c>
      <c r="H450" s="8" t="s">
        <v>1733</v>
      </c>
      <c r="I450" s="8" t="s">
        <v>1178</v>
      </c>
      <c r="J450" s="8" t="s">
        <v>890</v>
      </c>
      <c r="K450" s="3" t="s">
        <v>278</v>
      </c>
      <c r="L450" s="8" t="s">
        <v>278</v>
      </c>
      <c r="M450" s="8" t="s">
        <v>33</v>
      </c>
      <c r="N450" s="8" t="s">
        <v>1097</v>
      </c>
      <c r="O450" s="8"/>
      <c r="P450" s="10">
        <v>44897</v>
      </c>
      <c r="Q450" s="8" t="s">
        <v>868</v>
      </c>
      <c r="R450" s="8" t="s">
        <v>430</v>
      </c>
      <c r="S450" s="8" t="s">
        <v>2828</v>
      </c>
      <c r="T450" s="8" t="s">
        <v>2829</v>
      </c>
      <c r="U450" s="8" t="s">
        <v>2326</v>
      </c>
      <c r="V450" s="8" t="s">
        <v>2830</v>
      </c>
      <c r="W450" s="8" t="s">
        <v>2831</v>
      </c>
      <c r="X450" s="8"/>
      <c r="Y450" s="8"/>
    </row>
    <row r="451" customHeight="1" spans="2:25">
      <c r="B451" s="7"/>
      <c r="C451" s="8"/>
      <c r="D451" s="3" t="str">
        <f t="shared" ref="D451:D455" si="144">D450</f>
        <v>轻舟智航</v>
      </c>
      <c r="E451" s="8"/>
      <c r="F451" s="9"/>
      <c r="G451" s="8"/>
      <c r="H451" s="8"/>
      <c r="I451" s="8"/>
      <c r="J451" s="8"/>
      <c r="K451" s="3" t="str">
        <f t="shared" ref="K451:K455" si="145">K450</f>
        <v>运营中</v>
      </c>
      <c r="L451" s="8"/>
      <c r="M451" s="8"/>
      <c r="N451" s="8"/>
      <c r="O451" s="8"/>
      <c r="P451" s="10">
        <v>44424</v>
      </c>
      <c r="Q451" s="8" t="s">
        <v>1180</v>
      </c>
      <c r="R451" s="8" t="s">
        <v>919</v>
      </c>
      <c r="S451" s="8" t="s">
        <v>1738</v>
      </c>
      <c r="T451" s="8"/>
      <c r="U451" s="8"/>
      <c r="V451" s="8"/>
      <c r="W451" s="8"/>
      <c r="X451" s="8"/>
      <c r="Y451" s="8"/>
    </row>
    <row r="452" customHeight="1" spans="2:25">
      <c r="B452" s="7"/>
      <c r="C452" s="8"/>
      <c r="D452" s="3" t="str">
        <f t="shared" si="144"/>
        <v>轻舟智航</v>
      </c>
      <c r="E452" s="8"/>
      <c r="F452" s="9"/>
      <c r="G452" s="8"/>
      <c r="H452" s="8"/>
      <c r="I452" s="8"/>
      <c r="J452" s="8"/>
      <c r="K452" s="3" t="str">
        <f t="shared" si="145"/>
        <v>运营中</v>
      </c>
      <c r="L452" s="8"/>
      <c r="M452" s="8"/>
      <c r="N452" s="8"/>
      <c r="O452" s="8"/>
      <c r="P452" s="10">
        <v>44260</v>
      </c>
      <c r="Q452" s="8" t="s">
        <v>1167</v>
      </c>
      <c r="R452" s="8" t="s">
        <v>1966</v>
      </c>
      <c r="S452" s="8" t="s">
        <v>262</v>
      </c>
      <c r="T452" s="8"/>
      <c r="U452" s="8"/>
      <c r="V452" s="8"/>
      <c r="W452" s="8"/>
      <c r="X452" s="8"/>
      <c r="Y452" s="8"/>
    </row>
    <row r="453" customHeight="1" spans="2:25">
      <c r="B453" s="7"/>
      <c r="C453" s="8"/>
      <c r="D453" s="3" t="str">
        <f t="shared" si="144"/>
        <v>轻舟智航</v>
      </c>
      <c r="E453" s="8"/>
      <c r="F453" s="9"/>
      <c r="G453" s="8"/>
      <c r="H453" s="8"/>
      <c r="I453" s="8"/>
      <c r="J453" s="8"/>
      <c r="K453" s="3" t="str">
        <f t="shared" si="145"/>
        <v>运营中</v>
      </c>
      <c r="L453" s="8"/>
      <c r="M453" s="8"/>
      <c r="N453" s="8"/>
      <c r="O453" s="8"/>
      <c r="P453" s="10">
        <v>44198</v>
      </c>
      <c r="Q453" s="8" t="s">
        <v>280</v>
      </c>
      <c r="R453" s="8" t="s">
        <v>556</v>
      </c>
      <c r="S453" s="8" t="s">
        <v>2832</v>
      </c>
      <c r="T453" s="8"/>
      <c r="U453" s="8"/>
      <c r="V453" s="8"/>
      <c r="W453" s="8"/>
      <c r="X453" s="8"/>
      <c r="Y453" s="8"/>
    </row>
    <row r="454" customHeight="1" spans="2:25">
      <c r="B454" s="7"/>
      <c r="C454" s="8"/>
      <c r="D454" s="3" t="str">
        <f t="shared" si="144"/>
        <v>轻舟智航</v>
      </c>
      <c r="E454" s="8"/>
      <c r="F454" s="9"/>
      <c r="G454" s="8"/>
      <c r="H454" s="8"/>
      <c r="I454" s="8"/>
      <c r="J454" s="8"/>
      <c r="K454" s="3" t="str">
        <f t="shared" si="145"/>
        <v>运营中</v>
      </c>
      <c r="L454" s="8"/>
      <c r="M454" s="8"/>
      <c r="N454" s="8"/>
      <c r="O454" s="8"/>
      <c r="P454" s="10">
        <v>44116</v>
      </c>
      <c r="Q454" s="8" t="s">
        <v>280</v>
      </c>
      <c r="R454" s="8" t="s">
        <v>556</v>
      </c>
      <c r="S454" s="8" t="s">
        <v>2833</v>
      </c>
      <c r="T454" s="8"/>
      <c r="U454" s="8"/>
      <c r="V454" s="8"/>
      <c r="W454" s="8"/>
      <c r="X454" s="8"/>
      <c r="Y454" s="8"/>
    </row>
    <row r="455" customHeight="1" spans="2:25">
      <c r="B455" s="7"/>
      <c r="C455" s="8"/>
      <c r="D455" s="3" t="str">
        <f t="shared" si="144"/>
        <v>轻舟智航</v>
      </c>
      <c r="E455" s="8"/>
      <c r="F455" s="9"/>
      <c r="G455" s="8"/>
      <c r="H455" s="8"/>
      <c r="I455" s="8"/>
      <c r="J455" s="8"/>
      <c r="K455" s="3" t="str">
        <f t="shared" si="145"/>
        <v>运营中</v>
      </c>
      <c r="L455" s="8"/>
      <c r="M455" s="8"/>
      <c r="N455" s="8"/>
      <c r="O455" s="8"/>
      <c r="P455" s="10">
        <v>43924</v>
      </c>
      <c r="Q455" s="8" t="s">
        <v>2378</v>
      </c>
      <c r="R455" s="8" t="s">
        <v>1966</v>
      </c>
      <c r="S455" s="8" t="s">
        <v>2834</v>
      </c>
      <c r="T455" s="8"/>
      <c r="U455" s="8"/>
      <c r="V455" s="8"/>
      <c r="W455" s="8"/>
      <c r="X455" s="8"/>
      <c r="Y455" s="8"/>
    </row>
    <row r="456" customHeight="1" spans="2:25">
      <c r="B456" s="7"/>
      <c r="C456" s="8" t="s">
        <v>509</v>
      </c>
      <c r="D456" s="3" t="s">
        <v>2835</v>
      </c>
      <c r="E456" s="8" t="s">
        <v>2835</v>
      </c>
      <c r="F456" s="9" t="s">
        <v>2836</v>
      </c>
      <c r="G456" s="8" t="s">
        <v>2837</v>
      </c>
      <c r="H456" s="8" t="s">
        <v>1745</v>
      </c>
      <c r="I456" s="8" t="s">
        <v>1036</v>
      </c>
      <c r="J456" s="8" t="s">
        <v>952</v>
      </c>
      <c r="K456" s="3" t="s">
        <v>278</v>
      </c>
      <c r="L456" s="8" t="s">
        <v>278</v>
      </c>
      <c r="M456" s="8" t="s">
        <v>19</v>
      </c>
      <c r="N456" s="8" t="s">
        <v>2838</v>
      </c>
      <c r="O456" s="8"/>
      <c r="P456" s="10">
        <v>44967</v>
      </c>
      <c r="Q456" s="8" t="s">
        <v>791</v>
      </c>
      <c r="R456" s="8" t="s">
        <v>430</v>
      </c>
      <c r="S456" s="8" t="s">
        <v>2839</v>
      </c>
      <c r="T456" s="8" t="s">
        <v>2840</v>
      </c>
      <c r="U456" s="8" t="s">
        <v>2460</v>
      </c>
      <c r="V456" s="8"/>
      <c r="W456" s="8" t="s">
        <v>2841</v>
      </c>
      <c r="X456" s="8" t="s">
        <v>1750</v>
      </c>
      <c r="Y456" s="8" t="s">
        <v>1751</v>
      </c>
    </row>
    <row r="457" customHeight="1" spans="2:25">
      <c r="B457" s="7"/>
      <c r="C457" s="8"/>
      <c r="D457" s="3" t="str">
        <f t="shared" ref="D457:D462" si="146">D456</f>
        <v>灵明光子</v>
      </c>
      <c r="E457" s="8"/>
      <c r="F457" s="9"/>
      <c r="G457" s="8"/>
      <c r="H457" s="8"/>
      <c r="I457" s="8"/>
      <c r="J457" s="8"/>
      <c r="K457" s="3" t="str">
        <f t="shared" ref="K457:K462" si="147">K456</f>
        <v>运营中</v>
      </c>
      <c r="L457" s="8"/>
      <c r="M457" s="8"/>
      <c r="N457" s="8"/>
      <c r="O457" s="8"/>
      <c r="P457" s="10">
        <v>44662</v>
      </c>
      <c r="Q457" s="8" t="s">
        <v>425</v>
      </c>
      <c r="R457" s="8" t="s">
        <v>430</v>
      </c>
      <c r="S457" s="8" t="s">
        <v>1752</v>
      </c>
      <c r="T457" s="8"/>
      <c r="U457" s="8"/>
      <c r="V457" s="8"/>
      <c r="W457" s="8"/>
      <c r="X457" s="8"/>
      <c r="Y457" s="8"/>
    </row>
    <row r="458" customHeight="1" spans="2:25">
      <c r="B458" s="7"/>
      <c r="C458" s="8"/>
      <c r="D458" s="3" t="str">
        <f t="shared" si="146"/>
        <v>灵明光子</v>
      </c>
      <c r="E458" s="8"/>
      <c r="F458" s="9"/>
      <c r="G458" s="8"/>
      <c r="H458" s="8"/>
      <c r="I458" s="8"/>
      <c r="J458" s="8"/>
      <c r="K458" s="3" t="str">
        <f t="shared" si="147"/>
        <v>运营中</v>
      </c>
      <c r="L458" s="8"/>
      <c r="M458" s="8"/>
      <c r="N458" s="8"/>
      <c r="O458" s="8"/>
      <c r="P458" s="10">
        <v>44453</v>
      </c>
      <c r="Q458" s="8" t="s">
        <v>868</v>
      </c>
      <c r="R458" s="8" t="s">
        <v>1816</v>
      </c>
      <c r="S458" s="8" t="s">
        <v>2842</v>
      </c>
      <c r="T458" s="8"/>
      <c r="U458" s="8"/>
      <c r="V458" s="8"/>
      <c r="W458" s="8"/>
      <c r="X458" s="8"/>
      <c r="Y458" s="8"/>
    </row>
    <row r="459" customHeight="1" spans="2:25">
      <c r="B459" s="7"/>
      <c r="C459" s="8"/>
      <c r="D459" s="3" t="str">
        <f t="shared" si="146"/>
        <v>灵明光子</v>
      </c>
      <c r="E459" s="8"/>
      <c r="F459" s="9"/>
      <c r="G459" s="8"/>
      <c r="H459" s="8"/>
      <c r="I459" s="8"/>
      <c r="J459" s="8"/>
      <c r="K459" s="3" t="str">
        <f t="shared" si="147"/>
        <v>运营中</v>
      </c>
      <c r="L459" s="8"/>
      <c r="M459" s="8"/>
      <c r="N459" s="8"/>
      <c r="O459" s="8"/>
      <c r="P459" s="10">
        <v>44133</v>
      </c>
      <c r="Q459" s="8" t="s">
        <v>1180</v>
      </c>
      <c r="R459" s="8" t="s">
        <v>1816</v>
      </c>
      <c r="S459" s="8" t="s">
        <v>2843</v>
      </c>
      <c r="T459" s="8"/>
      <c r="U459" s="8"/>
      <c r="V459" s="8"/>
      <c r="W459" s="8"/>
      <c r="X459" s="8"/>
      <c r="Y459" s="8"/>
    </row>
    <row r="460" customHeight="1" spans="2:25">
      <c r="B460" s="7"/>
      <c r="C460" s="8"/>
      <c r="D460" s="3" t="str">
        <f t="shared" si="146"/>
        <v>灵明光子</v>
      </c>
      <c r="E460" s="8"/>
      <c r="F460" s="9"/>
      <c r="G460" s="8"/>
      <c r="H460" s="8"/>
      <c r="I460" s="8"/>
      <c r="J460" s="8"/>
      <c r="K460" s="3" t="str">
        <f t="shared" si="147"/>
        <v>运营中</v>
      </c>
      <c r="L460" s="8"/>
      <c r="M460" s="8"/>
      <c r="N460" s="8"/>
      <c r="O460" s="8"/>
      <c r="P460" s="10">
        <v>44006</v>
      </c>
      <c r="Q460" s="8" t="s">
        <v>1167</v>
      </c>
      <c r="R460" s="8" t="s">
        <v>1816</v>
      </c>
      <c r="S460" s="8" t="s">
        <v>2844</v>
      </c>
      <c r="T460" s="8"/>
      <c r="U460" s="8"/>
      <c r="V460" s="8"/>
      <c r="W460" s="8"/>
      <c r="X460" s="8"/>
      <c r="Y460" s="8"/>
    </row>
    <row r="461" customHeight="1" spans="2:25">
      <c r="B461" s="7"/>
      <c r="C461" s="8"/>
      <c r="D461" s="3" t="str">
        <f t="shared" si="146"/>
        <v>灵明光子</v>
      </c>
      <c r="E461" s="8"/>
      <c r="F461" s="9"/>
      <c r="G461" s="8"/>
      <c r="H461" s="8"/>
      <c r="I461" s="8"/>
      <c r="J461" s="8"/>
      <c r="K461" s="3" t="str">
        <f t="shared" si="147"/>
        <v>运营中</v>
      </c>
      <c r="L461" s="8"/>
      <c r="M461" s="8"/>
      <c r="N461" s="8"/>
      <c r="O461" s="8"/>
      <c r="P461" s="10">
        <v>43734</v>
      </c>
      <c r="Q461" s="8" t="s">
        <v>1169</v>
      </c>
      <c r="R461" s="8" t="s">
        <v>1816</v>
      </c>
      <c r="S461" s="8" t="s">
        <v>2845</v>
      </c>
      <c r="T461" s="8"/>
      <c r="U461" s="8"/>
      <c r="V461" s="8"/>
      <c r="W461" s="8"/>
      <c r="X461" s="8"/>
      <c r="Y461" s="8"/>
    </row>
    <row r="462" customHeight="1" spans="2:25">
      <c r="B462" s="7"/>
      <c r="C462" s="8"/>
      <c r="D462" s="3" t="str">
        <f t="shared" si="146"/>
        <v>灵明光子</v>
      </c>
      <c r="E462" s="8"/>
      <c r="F462" s="9"/>
      <c r="G462" s="8"/>
      <c r="H462" s="8"/>
      <c r="I462" s="8"/>
      <c r="J462" s="8"/>
      <c r="K462" s="3" t="str">
        <f t="shared" si="147"/>
        <v>运营中</v>
      </c>
      <c r="L462" s="8"/>
      <c r="M462" s="8"/>
      <c r="N462" s="8"/>
      <c r="O462" s="8"/>
      <c r="P462" s="10">
        <v>43250</v>
      </c>
      <c r="Q462" s="8" t="s">
        <v>1875</v>
      </c>
      <c r="R462" s="8" t="s">
        <v>281</v>
      </c>
      <c r="S462" s="8" t="s">
        <v>2846</v>
      </c>
      <c r="T462" s="8"/>
      <c r="U462" s="8"/>
      <c r="V462" s="8"/>
      <c r="W462" s="8"/>
      <c r="X462" s="8"/>
      <c r="Y462" s="8"/>
    </row>
    <row r="463" customHeight="1" spans="2:25">
      <c r="B463" s="7"/>
      <c r="C463" s="8" t="s">
        <v>1758</v>
      </c>
      <c r="D463" s="3" t="s">
        <v>2847</v>
      </c>
      <c r="E463" s="8" t="s">
        <v>2847</v>
      </c>
      <c r="F463" s="9" t="s">
        <v>2848</v>
      </c>
      <c r="G463" s="8" t="s">
        <v>2849</v>
      </c>
      <c r="H463" s="8" t="s">
        <v>1762</v>
      </c>
      <c r="I463" s="8" t="s">
        <v>1763</v>
      </c>
      <c r="J463" s="8" t="s">
        <v>1145</v>
      </c>
      <c r="K463" s="3" t="s">
        <v>278</v>
      </c>
      <c r="L463" s="8" t="s">
        <v>278</v>
      </c>
      <c r="M463" s="8" t="s">
        <v>23</v>
      </c>
      <c r="N463" s="8" t="s">
        <v>554</v>
      </c>
      <c r="O463" s="8"/>
      <c r="P463" s="10">
        <v>44224</v>
      </c>
      <c r="Q463" s="8" t="s">
        <v>1169</v>
      </c>
      <c r="R463" s="8" t="s">
        <v>281</v>
      </c>
      <c r="S463" s="8" t="s">
        <v>1764</v>
      </c>
      <c r="T463" s="8" t="s">
        <v>2850</v>
      </c>
      <c r="U463" s="8" t="s">
        <v>284</v>
      </c>
      <c r="V463" s="8"/>
      <c r="W463" s="8" t="s">
        <v>2851</v>
      </c>
      <c r="X463" s="8"/>
      <c r="Y463" s="8"/>
    </row>
    <row r="464" customHeight="1" spans="2:25">
      <c r="B464" s="7"/>
      <c r="C464" s="8"/>
      <c r="D464" s="3" t="str">
        <f>D463</f>
        <v>古茗茶饮</v>
      </c>
      <c r="E464" s="8"/>
      <c r="F464" s="9"/>
      <c r="G464" s="8"/>
      <c r="H464" s="8"/>
      <c r="I464" s="8"/>
      <c r="J464" s="8"/>
      <c r="K464" s="3" t="str">
        <f>K463</f>
        <v>运营中</v>
      </c>
      <c r="L464" s="8"/>
      <c r="M464" s="8"/>
      <c r="N464" s="8"/>
      <c r="O464" s="8"/>
      <c r="P464" s="10">
        <v>44019</v>
      </c>
      <c r="Q464" s="8" t="s">
        <v>280</v>
      </c>
      <c r="R464" s="8" t="s">
        <v>281</v>
      </c>
      <c r="S464" s="8" t="s">
        <v>1767</v>
      </c>
      <c r="T464" s="8"/>
      <c r="U464" s="8"/>
      <c r="V464" s="8"/>
      <c r="W464" s="8"/>
      <c r="X464" s="8"/>
      <c r="Y464" s="8"/>
    </row>
    <row r="465" customHeight="1" spans="2:25">
      <c r="B465" s="7"/>
      <c r="C465" s="8" t="s">
        <v>1768</v>
      </c>
      <c r="D465" s="3" t="s">
        <v>2852</v>
      </c>
      <c r="E465" s="8" t="s">
        <v>2852</v>
      </c>
      <c r="F465" s="9" t="s">
        <v>2853</v>
      </c>
      <c r="G465" s="8" t="s">
        <v>2854</v>
      </c>
      <c r="H465" s="8" t="s">
        <v>1772</v>
      </c>
      <c r="I465" s="8" t="s">
        <v>1144</v>
      </c>
      <c r="J465" s="8" t="s">
        <v>2520</v>
      </c>
      <c r="K465" s="3" t="s">
        <v>278</v>
      </c>
      <c r="L465" s="8" t="s">
        <v>278</v>
      </c>
      <c r="M465" s="8" t="s">
        <v>23</v>
      </c>
      <c r="N465" s="8" t="s">
        <v>808</v>
      </c>
      <c r="O465" s="8"/>
      <c r="P465" s="10">
        <v>44784</v>
      </c>
      <c r="Q465" s="8" t="s">
        <v>1180</v>
      </c>
      <c r="R465" s="8" t="s">
        <v>1816</v>
      </c>
      <c r="S465" s="8" t="s">
        <v>2833</v>
      </c>
      <c r="T465" s="8" t="s">
        <v>2855</v>
      </c>
      <c r="U465" s="8" t="s">
        <v>2856</v>
      </c>
      <c r="V465" s="8" t="s">
        <v>2857</v>
      </c>
      <c r="W465" s="8" t="s">
        <v>2858</v>
      </c>
      <c r="X465" s="8"/>
      <c r="Y465" s="8"/>
    </row>
    <row r="466" customHeight="1" spans="2:25">
      <c r="B466" s="7"/>
      <c r="C466" s="8"/>
      <c r="D466" s="3" t="str">
        <f t="shared" ref="D466:D468" si="148">D465</f>
        <v>怒喵科技Angry Miao</v>
      </c>
      <c r="E466" s="8"/>
      <c r="F466" s="9"/>
      <c r="G466" s="8"/>
      <c r="H466" s="8"/>
      <c r="I466" s="8"/>
      <c r="J466" s="8"/>
      <c r="K466" s="3" t="str">
        <f t="shared" ref="K466:K468" si="149">K465</f>
        <v>运营中</v>
      </c>
      <c r="L466" s="8"/>
      <c r="M466" s="8"/>
      <c r="N466" s="8"/>
      <c r="O466" s="8"/>
      <c r="P466" s="10">
        <v>44503</v>
      </c>
      <c r="Q466" s="8" t="s">
        <v>1167</v>
      </c>
      <c r="R466" s="8" t="s">
        <v>1778</v>
      </c>
      <c r="S466" s="8" t="s">
        <v>1645</v>
      </c>
      <c r="T466" s="8"/>
      <c r="U466" s="8"/>
      <c r="V466" s="8"/>
      <c r="W466" s="8"/>
      <c r="X466" s="8"/>
      <c r="Y466" s="8"/>
    </row>
    <row r="467" customHeight="1" spans="2:25">
      <c r="B467" s="7"/>
      <c r="C467" s="8"/>
      <c r="D467" s="3" t="str">
        <f t="shared" si="148"/>
        <v>怒喵科技Angry Miao</v>
      </c>
      <c r="E467" s="8"/>
      <c r="F467" s="9"/>
      <c r="G467" s="8"/>
      <c r="H467" s="8"/>
      <c r="I467" s="8"/>
      <c r="J467" s="8"/>
      <c r="K467" s="3" t="str">
        <f t="shared" si="149"/>
        <v>运营中</v>
      </c>
      <c r="L467" s="8"/>
      <c r="M467" s="8"/>
      <c r="N467" s="8"/>
      <c r="O467" s="8"/>
      <c r="P467" s="10">
        <v>44049</v>
      </c>
      <c r="Q467" s="8" t="s">
        <v>1169</v>
      </c>
      <c r="R467" s="8" t="s">
        <v>281</v>
      </c>
      <c r="S467" s="8" t="s">
        <v>2135</v>
      </c>
      <c r="T467" s="8"/>
      <c r="U467" s="8"/>
      <c r="V467" s="8"/>
      <c r="W467" s="8"/>
      <c r="X467" s="8"/>
      <c r="Y467" s="8"/>
    </row>
    <row r="468" customHeight="1" spans="2:25">
      <c r="B468" s="7"/>
      <c r="C468" s="8"/>
      <c r="D468" s="3" t="str">
        <f t="shared" si="148"/>
        <v>怒喵科技Angry Miao</v>
      </c>
      <c r="E468" s="8"/>
      <c r="F468" s="9"/>
      <c r="G468" s="8"/>
      <c r="H468" s="8"/>
      <c r="I468" s="8"/>
      <c r="J468" s="8"/>
      <c r="K468" s="3" t="str">
        <f t="shared" si="149"/>
        <v>运营中</v>
      </c>
      <c r="L468" s="8"/>
      <c r="M468" s="8"/>
      <c r="N468" s="8"/>
      <c r="O468" s="8"/>
      <c r="P468" s="10">
        <v>43767</v>
      </c>
      <c r="Q468" s="8" t="s">
        <v>1875</v>
      </c>
      <c r="R468" s="8" t="s">
        <v>1816</v>
      </c>
      <c r="S468" s="8" t="s">
        <v>2859</v>
      </c>
      <c r="T468" s="8"/>
      <c r="U468" s="8"/>
      <c r="V468" s="8"/>
      <c r="W468" s="8"/>
      <c r="X468" s="8"/>
      <c r="Y468" s="8"/>
    </row>
    <row r="469" customHeight="1" spans="2:25">
      <c r="B469" s="7"/>
      <c r="C469" s="8" t="s">
        <v>1780</v>
      </c>
      <c r="D469" s="3" t="s">
        <v>1782</v>
      </c>
      <c r="E469" s="8" t="s">
        <v>1782</v>
      </c>
      <c r="F469" s="9" t="s">
        <v>1783</v>
      </c>
      <c r="G469" s="8" t="s">
        <v>2860</v>
      </c>
      <c r="H469" s="8"/>
      <c r="I469" s="8" t="s">
        <v>1144</v>
      </c>
      <c r="J469" s="8" t="s">
        <v>952</v>
      </c>
      <c r="K469" s="3" t="s">
        <v>278</v>
      </c>
      <c r="L469" s="8" t="s">
        <v>278</v>
      </c>
      <c r="M469" s="8" t="s">
        <v>19</v>
      </c>
      <c r="N469" s="8" t="s">
        <v>891</v>
      </c>
      <c r="O469" s="8"/>
      <c r="P469" s="10">
        <v>45107</v>
      </c>
      <c r="Q469" s="8" t="s">
        <v>425</v>
      </c>
      <c r="R469" s="8" t="s">
        <v>1181</v>
      </c>
      <c r="S469" s="8" t="s">
        <v>1785</v>
      </c>
      <c r="T469" s="8" t="s">
        <v>1786</v>
      </c>
      <c r="U469" s="8" t="s">
        <v>1787</v>
      </c>
      <c r="V469" s="8"/>
      <c r="W469" s="8" t="s">
        <v>2861</v>
      </c>
      <c r="X469" s="8" t="s">
        <v>1789</v>
      </c>
      <c r="Y469" s="8" t="s">
        <v>1790</v>
      </c>
    </row>
    <row r="470" customHeight="1" spans="2:25">
      <c r="B470" s="7"/>
      <c r="C470" s="8"/>
      <c r="D470" s="3" t="str">
        <f t="shared" ref="D470:D471" si="150">D469</f>
        <v>康诺思腾</v>
      </c>
      <c r="E470" s="8"/>
      <c r="F470" s="9"/>
      <c r="G470" s="8"/>
      <c r="H470" s="8"/>
      <c r="I470" s="8"/>
      <c r="J470" s="8"/>
      <c r="K470" s="3" t="str">
        <f t="shared" ref="K470:K471" si="151">K469</f>
        <v>运营中</v>
      </c>
      <c r="L470" s="8"/>
      <c r="M470" s="8"/>
      <c r="N470" s="8"/>
      <c r="O470" s="8"/>
      <c r="P470" s="10">
        <v>44522</v>
      </c>
      <c r="Q470" s="8" t="s">
        <v>868</v>
      </c>
      <c r="R470" s="8" t="s">
        <v>863</v>
      </c>
      <c r="S470" s="8" t="s">
        <v>1791</v>
      </c>
      <c r="T470" s="8"/>
      <c r="U470" s="8"/>
      <c r="V470" s="8"/>
      <c r="W470" s="8"/>
      <c r="X470" s="8"/>
      <c r="Y470" s="8"/>
    </row>
    <row r="471" customHeight="1" spans="2:25">
      <c r="B471" s="7"/>
      <c r="C471" s="8"/>
      <c r="D471" s="3" t="str">
        <f t="shared" si="150"/>
        <v>康诺思腾</v>
      </c>
      <c r="E471" s="8"/>
      <c r="F471" s="9"/>
      <c r="G471" s="8"/>
      <c r="H471" s="8"/>
      <c r="I471" s="8"/>
      <c r="J471" s="8"/>
      <c r="K471" s="3" t="str">
        <f t="shared" si="151"/>
        <v>运营中</v>
      </c>
      <c r="L471" s="8"/>
      <c r="M471" s="8"/>
      <c r="N471" s="8"/>
      <c r="O471" s="8"/>
      <c r="P471" s="10">
        <v>44155</v>
      </c>
      <c r="Q471" s="8" t="s">
        <v>1167</v>
      </c>
      <c r="R471" s="8" t="s">
        <v>281</v>
      </c>
      <c r="S471" s="8" t="s">
        <v>2862</v>
      </c>
      <c r="T471" s="8"/>
      <c r="U471" s="8"/>
      <c r="V471" s="8"/>
      <c r="W471" s="8"/>
      <c r="X471" s="8"/>
      <c r="Y471" s="8"/>
    </row>
    <row r="472" customHeight="1" spans="2:25">
      <c r="B472" s="7"/>
      <c r="C472" s="8" t="s">
        <v>1793</v>
      </c>
      <c r="D472" s="3" t="s">
        <v>1795</v>
      </c>
      <c r="E472" s="8" t="s">
        <v>1795</v>
      </c>
      <c r="F472" s="9" t="s">
        <v>1796</v>
      </c>
      <c r="G472" s="8" t="s">
        <v>2863</v>
      </c>
      <c r="H472" s="8"/>
      <c r="I472" s="8" t="s">
        <v>1798</v>
      </c>
      <c r="J472" s="8" t="s">
        <v>277</v>
      </c>
      <c r="K472" s="3" t="s">
        <v>278</v>
      </c>
      <c r="L472" s="8" t="s">
        <v>278</v>
      </c>
      <c r="M472" s="8" t="s">
        <v>62</v>
      </c>
      <c r="N472" s="8" t="s">
        <v>1799</v>
      </c>
      <c r="O472" s="8"/>
      <c r="P472" s="10">
        <v>44501</v>
      </c>
      <c r="Q472" s="8" t="s">
        <v>865</v>
      </c>
      <c r="R472" s="8" t="s">
        <v>866</v>
      </c>
      <c r="S472" s="8" t="s">
        <v>1800</v>
      </c>
      <c r="T472" s="8" t="s">
        <v>1801</v>
      </c>
      <c r="U472" s="8" t="s">
        <v>1802</v>
      </c>
      <c r="V472" s="8" t="s">
        <v>1803</v>
      </c>
      <c r="W472" s="8" t="s">
        <v>2864</v>
      </c>
      <c r="X472" s="8"/>
      <c r="Y472" s="8" t="s">
        <v>1805</v>
      </c>
    </row>
    <row r="473" customHeight="1" spans="2:25">
      <c r="B473" s="7"/>
      <c r="C473" s="8"/>
      <c r="D473" s="3" t="str">
        <f t="shared" ref="D473:D475" si="152">D472</f>
        <v>变形积木</v>
      </c>
      <c r="E473" s="8"/>
      <c r="F473" s="9"/>
      <c r="G473" s="8"/>
      <c r="H473" s="8"/>
      <c r="I473" s="8"/>
      <c r="J473" s="8"/>
      <c r="K473" s="3" t="str">
        <f t="shared" ref="K473:K475" si="153">K472</f>
        <v>运营中</v>
      </c>
      <c r="L473" s="8"/>
      <c r="M473" s="8"/>
      <c r="N473" s="8"/>
      <c r="O473" s="8"/>
      <c r="P473" s="10">
        <v>44246</v>
      </c>
      <c r="Q473" s="8" t="s">
        <v>865</v>
      </c>
      <c r="R473" s="8" t="s">
        <v>281</v>
      </c>
      <c r="S473" s="8" t="s">
        <v>2865</v>
      </c>
      <c r="T473" s="8"/>
      <c r="U473" s="8"/>
      <c r="V473" s="8"/>
      <c r="W473" s="8"/>
      <c r="X473" s="8"/>
      <c r="Y473" s="8"/>
    </row>
    <row r="474" customHeight="1" spans="2:25">
      <c r="B474" s="7"/>
      <c r="C474" s="8"/>
      <c r="D474" s="3" t="str">
        <f t="shared" si="152"/>
        <v>变形积木</v>
      </c>
      <c r="E474" s="8"/>
      <c r="F474" s="9"/>
      <c r="G474" s="8"/>
      <c r="H474" s="8"/>
      <c r="I474" s="8"/>
      <c r="J474" s="8"/>
      <c r="K474" s="3" t="str">
        <f t="shared" si="153"/>
        <v>运营中</v>
      </c>
      <c r="L474" s="8"/>
      <c r="M474" s="8"/>
      <c r="N474" s="8"/>
      <c r="O474" s="8"/>
      <c r="P474" s="10">
        <v>44183</v>
      </c>
      <c r="Q474" s="8" t="s">
        <v>868</v>
      </c>
      <c r="R474" s="8" t="s">
        <v>866</v>
      </c>
      <c r="S474" s="8" t="s">
        <v>2866</v>
      </c>
      <c r="T474" s="8"/>
      <c r="U474" s="8"/>
      <c r="V474" s="8"/>
      <c r="W474" s="8"/>
      <c r="X474" s="8"/>
      <c r="Y474" s="8"/>
    </row>
    <row r="475" customHeight="1" spans="2:25">
      <c r="B475" s="7"/>
      <c r="C475" s="8"/>
      <c r="D475" s="3" t="str">
        <f t="shared" si="152"/>
        <v>变形积木</v>
      </c>
      <c r="E475" s="8"/>
      <c r="F475" s="9"/>
      <c r="G475" s="8"/>
      <c r="H475" s="8"/>
      <c r="I475" s="8"/>
      <c r="J475" s="8"/>
      <c r="K475" s="3" t="str">
        <f t="shared" si="153"/>
        <v>运营中</v>
      </c>
      <c r="L475" s="8"/>
      <c r="M475" s="8"/>
      <c r="N475" s="8"/>
      <c r="O475" s="8"/>
      <c r="P475" s="10">
        <v>44133</v>
      </c>
      <c r="Q475" s="8" t="s">
        <v>1167</v>
      </c>
      <c r="R475" s="8" t="s">
        <v>1963</v>
      </c>
      <c r="S475" s="8" t="s">
        <v>2867</v>
      </c>
      <c r="T475" s="8"/>
      <c r="U475" s="8"/>
      <c r="V475" s="8"/>
      <c r="W475" s="8"/>
      <c r="X475" s="8"/>
      <c r="Y475" s="8"/>
    </row>
    <row r="476" customHeight="1" spans="2:25">
      <c r="B476" s="7"/>
      <c r="C476" s="8" t="s">
        <v>1809</v>
      </c>
      <c r="D476" s="3" t="s">
        <v>1811</v>
      </c>
      <c r="E476" s="8" t="s">
        <v>1811</v>
      </c>
      <c r="F476" s="9" t="s">
        <v>1812</v>
      </c>
      <c r="G476" s="8" t="s">
        <v>2868</v>
      </c>
      <c r="H476" s="8" t="s">
        <v>1814</v>
      </c>
      <c r="I476" s="8" t="s">
        <v>1815</v>
      </c>
      <c r="J476" s="8" t="s">
        <v>553</v>
      </c>
      <c r="K476" s="3" t="s">
        <v>278</v>
      </c>
      <c r="L476" s="8" t="s">
        <v>278</v>
      </c>
      <c r="M476" s="8" t="s">
        <v>10</v>
      </c>
      <c r="N476" s="8" t="s">
        <v>279</v>
      </c>
      <c r="O476" s="8"/>
      <c r="P476" s="10">
        <v>44418</v>
      </c>
      <c r="Q476" s="8" t="s">
        <v>1167</v>
      </c>
      <c r="R476" s="8" t="s">
        <v>1816</v>
      </c>
      <c r="S476" s="8" t="s">
        <v>1817</v>
      </c>
      <c r="T476" s="8" t="s">
        <v>1818</v>
      </c>
      <c r="U476" s="8" t="s">
        <v>1819</v>
      </c>
      <c r="V476" s="8"/>
      <c r="W476" s="8" t="s">
        <v>2869</v>
      </c>
      <c r="X476" s="8" t="s">
        <v>1821</v>
      </c>
      <c r="Y476" s="8"/>
    </row>
    <row r="477" customHeight="1" spans="2:25">
      <c r="B477" s="7"/>
      <c r="C477" s="8"/>
      <c r="D477" s="3" t="str">
        <f>D476</f>
        <v>熊大爷</v>
      </c>
      <c r="E477" s="8"/>
      <c r="F477" s="9"/>
      <c r="G477" s="8"/>
      <c r="H477" s="8"/>
      <c r="I477" s="8"/>
      <c r="J477" s="8"/>
      <c r="K477" s="3" t="str">
        <f>K476</f>
        <v>运营中</v>
      </c>
      <c r="L477" s="8"/>
      <c r="M477" s="8"/>
      <c r="N477" s="8"/>
      <c r="O477" s="8"/>
      <c r="P477" s="10">
        <v>44224</v>
      </c>
      <c r="Q477" s="8" t="s">
        <v>1875</v>
      </c>
      <c r="R477" s="8" t="s">
        <v>1952</v>
      </c>
      <c r="S477" s="8" t="s">
        <v>2870</v>
      </c>
      <c r="T477" s="8"/>
      <c r="U477" s="8"/>
      <c r="V477" s="8"/>
      <c r="W477" s="8"/>
      <c r="X477" s="8"/>
      <c r="Y477" s="8"/>
    </row>
    <row r="478" customHeight="1" spans="2:25">
      <c r="B478" s="7"/>
      <c r="C478" s="8" t="s">
        <v>1823</v>
      </c>
      <c r="D478" s="3" t="s">
        <v>1825</v>
      </c>
      <c r="E478" s="8" t="s">
        <v>1825</v>
      </c>
      <c r="F478" s="9" t="s">
        <v>1826</v>
      </c>
      <c r="G478" s="8" t="s">
        <v>2871</v>
      </c>
      <c r="H478" s="8"/>
      <c r="I478" s="8" t="s">
        <v>1068</v>
      </c>
      <c r="J478" s="8" t="s">
        <v>952</v>
      </c>
      <c r="K478" s="3" t="s">
        <v>278</v>
      </c>
      <c r="L478" s="8" t="s">
        <v>278</v>
      </c>
      <c r="M478" s="8" t="s">
        <v>19</v>
      </c>
      <c r="N478" s="8" t="s">
        <v>1828</v>
      </c>
      <c r="O478" s="8"/>
      <c r="P478" s="10">
        <v>44529</v>
      </c>
      <c r="Q478" s="8" t="s">
        <v>868</v>
      </c>
      <c r="R478" s="8" t="s">
        <v>1170</v>
      </c>
      <c r="S478" s="8" t="s">
        <v>1829</v>
      </c>
      <c r="T478" s="8" t="s">
        <v>1830</v>
      </c>
      <c r="U478" s="8" t="s">
        <v>1085</v>
      </c>
      <c r="V478" s="8" t="s">
        <v>1831</v>
      </c>
      <c r="W478" s="8" t="s">
        <v>2872</v>
      </c>
      <c r="X478" s="8" t="s">
        <v>1833</v>
      </c>
      <c r="Y478" s="8" t="s">
        <v>1834</v>
      </c>
    </row>
    <row r="479" customHeight="1" spans="2:25">
      <c r="B479" s="7"/>
      <c r="C479" s="8"/>
      <c r="D479" s="3" t="str">
        <f>D478</f>
        <v>长芯盛智连</v>
      </c>
      <c r="E479" s="8"/>
      <c r="F479" s="9"/>
      <c r="G479" s="8"/>
      <c r="H479" s="8"/>
      <c r="I479" s="8"/>
      <c r="J479" s="8"/>
      <c r="K479" s="3" t="str">
        <f>K478</f>
        <v>运营中</v>
      </c>
      <c r="L479" s="8"/>
      <c r="M479" s="8"/>
      <c r="N479" s="8"/>
      <c r="O479" s="8"/>
      <c r="P479" s="10">
        <v>44256</v>
      </c>
      <c r="Q479" s="8" t="s">
        <v>1167</v>
      </c>
      <c r="R479" s="8" t="s">
        <v>1170</v>
      </c>
      <c r="S479" s="8" t="s">
        <v>2873</v>
      </c>
      <c r="T479" s="8"/>
      <c r="U479" s="8"/>
      <c r="V479" s="8"/>
      <c r="W479" s="8"/>
      <c r="X479" s="8"/>
      <c r="Y479" s="8"/>
    </row>
    <row r="480" customHeight="1" spans="2:25">
      <c r="B480" s="7"/>
      <c r="C480" s="8" t="s">
        <v>1172</v>
      </c>
      <c r="D480" s="3" t="s">
        <v>1174</v>
      </c>
      <c r="E480" s="8" t="s">
        <v>1174</v>
      </c>
      <c r="F480" s="9" t="s">
        <v>1175</v>
      </c>
      <c r="G480" s="8" t="s">
        <v>2513</v>
      </c>
      <c r="H480" s="8" t="s">
        <v>1177</v>
      </c>
      <c r="I480" s="8" t="s">
        <v>1178</v>
      </c>
      <c r="J480" s="8" t="s">
        <v>890</v>
      </c>
      <c r="K480" s="3" t="s">
        <v>278</v>
      </c>
      <c r="L480" s="8" t="s">
        <v>278</v>
      </c>
      <c r="M480" s="8" t="s">
        <v>19</v>
      </c>
      <c r="N480" s="8" t="s">
        <v>1179</v>
      </c>
      <c r="O480" s="8"/>
      <c r="P480" s="10">
        <v>44578</v>
      </c>
      <c r="Q480" s="8" t="s">
        <v>1180</v>
      </c>
      <c r="R480" s="8" t="s">
        <v>1181</v>
      </c>
      <c r="S480" s="8" t="s">
        <v>1182</v>
      </c>
      <c r="T480" s="8" t="s">
        <v>1183</v>
      </c>
      <c r="U480" s="8" t="s">
        <v>1184</v>
      </c>
      <c r="V480" s="8" t="s">
        <v>1185</v>
      </c>
      <c r="W480" s="8" t="s">
        <v>2514</v>
      </c>
      <c r="X480" s="8" t="s">
        <v>1187</v>
      </c>
      <c r="Y480" s="8" t="s">
        <v>1188</v>
      </c>
    </row>
    <row r="481" customHeight="1" spans="2:25">
      <c r="B481" s="7"/>
      <c r="C481" s="8"/>
      <c r="D481" s="3" t="str">
        <f t="shared" ref="D481:D483" si="154">D480</f>
        <v>爱芯元智</v>
      </c>
      <c r="E481" s="8"/>
      <c r="F481" s="9"/>
      <c r="G481" s="8"/>
      <c r="H481" s="8"/>
      <c r="I481" s="8"/>
      <c r="J481" s="8"/>
      <c r="K481" s="3" t="str">
        <f t="shared" ref="K481:K483" si="155">K480</f>
        <v>运营中</v>
      </c>
      <c r="L481" s="8"/>
      <c r="M481" s="8"/>
      <c r="N481" s="8"/>
      <c r="O481" s="8"/>
      <c r="P481" s="10">
        <v>44414</v>
      </c>
      <c r="Q481" s="8" t="s">
        <v>1180</v>
      </c>
      <c r="R481" s="8" t="s">
        <v>430</v>
      </c>
      <c r="S481" s="8" t="s">
        <v>1189</v>
      </c>
      <c r="T481" s="8"/>
      <c r="U481" s="8"/>
      <c r="V481" s="8"/>
      <c r="W481" s="8"/>
      <c r="X481" s="8"/>
      <c r="Y481" s="8"/>
    </row>
    <row r="482" customHeight="1" spans="2:25">
      <c r="B482" s="7"/>
      <c r="C482" s="8"/>
      <c r="D482" s="3" t="str">
        <f t="shared" si="154"/>
        <v>爱芯元智</v>
      </c>
      <c r="E482" s="8"/>
      <c r="F482" s="9"/>
      <c r="G482" s="8"/>
      <c r="H482" s="8"/>
      <c r="I482" s="8"/>
      <c r="J482" s="8"/>
      <c r="K482" s="3" t="str">
        <f t="shared" si="155"/>
        <v>运营中</v>
      </c>
      <c r="L482" s="8"/>
      <c r="M482" s="8"/>
      <c r="N482" s="8"/>
      <c r="O482" s="8"/>
      <c r="P482" s="10">
        <v>44293</v>
      </c>
      <c r="Q482" s="8" t="s">
        <v>1167</v>
      </c>
      <c r="R482" s="8" t="s">
        <v>430</v>
      </c>
      <c r="S482" s="8" t="s">
        <v>2515</v>
      </c>
      <c r="T482" s="8"/>
      <c r="U482" s="8"/>
      <c r="V482" s="8"/>
      <c r="W482" s="8"/>
      <c r="X482" s="8"/>
      <c r="Y482" s="8"/>
    </row>
    <row r="483" customHeight="1" spans="2:25">
      <c r="B483" s="7"/>
      <c r="C483" s="8"/>
      <c r="D483" s="3" t="str">
        <f t="shared" si="154"/>
        <v>爱芯元智</v>
      </c>
      <c r="E483" s="8"/>
      <c r="F483" s="9"/>
      <c r="G483" s="8"/>
      <c r="H483" s="8"/>
      <c r="I483" s="8"/>
      <c r="J483" s="8"/>
      <c r="K483" s="3" t="str">
        <f t="shared" si="155"/>
        <v>运营中</v>
      </c>
      <c r="L483" s="8"/>
      <c r="M483" s="8"/>
      <c r="N483" s="8"/>
      <c r="O483" s="8"/>
      <c r="P483" s="10">
        <v>44287</v>
      </c>
      <c r="Q483" s="8" t="s">
        <v>1169</v>
      </c>
      <c r="R483" s="8" t="s">
        <v>281</v>
      </c>
      <c r="S483" s="8" t="s">
        <v>2516</v>
      </c>
      <c r="T483" s="8"/>
      <c r="U483" s="8"/>
      <c r="V483" s="8"/>
      <c r="W483" s="8"/>
      <c r="X483" s="8"/>
      <c r="Y483" s="8"/>
    </row>
    <row r="484" customHeight="1" spans="2:25">
      <c r="B484" s="7"/>
      <c r="C484" s="8" t="s">
        <v>1836</v>
      </c>
      <c r="D484" s="3" t="s">
        <v>1838</v>
      </c>
      <c r="E484" s="8" t="s">
        <v>1838</v>
      </c>
      <c r="F484" s="9" t="s">
        <v>1839</v>
      </c>
      <c r="G484" s="8" t="s">
        <v>2874</v>
      </c>
      <c r="H484" s="8"/>
      <c r="I484" s="8" t="s">
        <v>1841</v>
      </c>
      <c r="J484" s="8" t="s">
        <v>1842</v>
      </c>
      <c r="K484" s="3" t="s">
        <v>278</v>
      </c>
      <c r="L484" s="8" t="s">
        <v>278</v>
      </c>
      <c r="M484" s="8" t="s">
        <v>23</v>
      </c>
      <c r="N484" s="8" t="s">
        <v>554</v>
      </c>
      <c r="O484" s="8"/>
      <c r="P484" s="10">
        <v>44441</v>
      </c>
      <c r="Q484" s="8" t="s">
        <v>280</v>
      </c>
      <c r="R484" s="8" t="s">
        <v>430</v>
      </c>
      <c r="S484" s="8" t="s">
        <v>1645</v>
      </c>
      <c r="T484" s="8" t="s">
        <v>1843</v>
      </c>
      <c r="U484" s="8" t="s">
        <v>1844</v>
      </c>
      <c r="V484" s="8" t="s">
        <v>1845</v>
      </c>
      <c r="W484" s="8" t="s">
        <v>2875</v>
      </c>
      <c r="X484" s="8"/>
      <c r="Y484" s="8"/>
    </row>
    <row r="485" customHeight="1" spans="2:25">
      <c r="B485" s="7"/>
      <c r="C485" s="8"/>
      <c r="D485" s="3" t="str">
        <f t="shared" ref="D485:D487" si="156">D484</f>
        <v>墨茉点心局</v>
      </c>
      <c r="E485" s="8"/>
      <c r="F485" s="9"/>
      <c r="G485" s="8"/>
      <c r="H485" s="8"/>
      <c r="I485" s="8"/>
      <c r="J485" s="8"/>
      <c r="K485" s="3" t="str">
        <f t="shared" ref="K485:K487" si="157">K484</f>
        <v>运营中</v>
      </c>
      <c r="L485" s="8"/>
      <c r="M485" s="8"/>
      <c r="N485" s="8"/>
      <c r="O485" s="8"/>
      <c r="P485" s="10">
        <v>44372</v>
      </c>
      <c r="Q485" s="8" t="s">
        <v>1167</v>
      </c>
      <c r="R485" s="8" t="s">
        <v>430</v>
      </c>
      <c r="S485" s="8" t="s">
        <v>2876</v>
      </c>
      <c r="T485" s="8"/>
      <c r="U485" s="8"/>
      <c r="V485" s="8"/>
      <c r="W485" s="8"/>
      <c r="X485" s="8"/>
      <c r="Y485" s="8"/>
    </row>
    <row r="486" customHeight="1" spans="2:25">
      <c r="B486" s="7"/>
      <c r="C486" s="8"/>
      <c r="D486" s="3" t="str">
        <f t="shared" si="156"/>
        <v>墨茉点心局</v>
      </c>
      <c r="E486" s="8"/>
      <c r="F486" s="9"/>
      <c r="G486" s="8"/>
      <c r="H486" s="8"/>
      <c r="I486" s="8"/>
      <c r="J486" s="8"/>
      <c r="K486" s="3" t="str">
        <f t="shared" si="157"/>
        <v>运营中</v>
      </c>
      <c r="L486" s="8"/>
      <c r="M486" s="8"/>
      <c r="N486" s="8"/>
      <c r="O486" s="8"/>
      <c r="P486" s="10">
        <v>44294</v>
      </c>
      <c r="Q486" s="8" t="s">
        <v>1169</v>
      </c>
      <c r="R486" s="8" t="s">
        <v>1816</v>
      </c>
      <c r="S486" s="8" t="s">
        <v>2877</v>
      </c>
      <c r="T486" s="8"/>
      <c r="U486" s="8"/>
      <c r="V486" s="8"/>
      <c r="W486" s="8"/>
      <c r="X486" s="8"/>
      <c r="Y486" s="8"/>
    </row>
    <row r="487" customHeight="1" spans="2:25">
      <c r="B487" s="7"/>
      <c r="C487" s="8"/>
      <c r="D487" s="3" t="str">
        <f t="shared" si="156"/>
        <v>墨茉点心局</v>
      </c>
      <c r="E487" s="8"/>
      <c r="F487" s="9"/>
      <c r="G487" s="8"/>
      <c r="H487" s="8"/>
      <c r="I487" s="8"/>
      <c r="J487" s="8"/>
      <c r="K487" s="3" t="str">
        <f t="shared" si="157"/>
        <v>运营中</v>
      </c>
      <c r="L487" s="8"/>
      <c r="M487" s="8"/>
      <c r="N487" s="8"/>
      <c r="O487" s="8"/>
      <c r="P487" s="10">
        <v>44091</v>
      </c>
      <c r="Q487" s="8" t="s">
        <v>1875</v>
      </c>
      <c r="R487" s="8" t="s">
        <v>1952</v>
      </c>
      <c r="S487" s="8" t="s">
        <v>2878</v>
      </c>
      <c r="T487" s="8"/>
      <c r="U487" s="8"/>
      <c r="V487" s="8"/>
      <c r="W487" s="8"/>
      <c r="X487" s="8"/>
      <c r="Y487" s="8"/>
    </row>
    <row r="488" customHeight="1" spans="2:25">
      <c r="B488" s="7"/>
      <c r="C488" s="8" t="s">
        <v>1850</v>
      </c>
      <c r="D488" s="3" t="s">
        <v>1852</v>
      </c>
      <c r="E488" s="8" t="s">
        <v>1852</v>
      </c>
      <c r="F488" s="9" t="s">
        <v>1853</v>
      </c>
      <c r="G488" s="8" t="s">
        <v>2879</v>
      </c>
      <c r="H488" s="8" t="s">
        <v>1855</v>
      </c>
      <c r="I488" s="8" t="s">
        <v>1856</v>
      </c>
      <c r="J488" s="8" t="s">
        <v>1695</v>
      </c>
      <c r="K488" s="3" t="s">
        <v>278</v>
      </c>
      <c r="L488" s="8" t="s">
        <v>278</v>
      </c>
      <c r="M488" s="8" t="s">
        <v>19</v>
      </c>
      <c r="N488" s="8" t="s">
        <v>891</v>
      </c>
      <c r="O488" s="8"/>
      <c r="P488" s="10">
        <v>44629</v>
      </c>
      <c r="Q488" s="8" t="s">
        <v>868</v>
      </c>
      <c r="R488" s="8" t="s">
        <v>1857</v>
      </c>
      <c r="S488" s="8" t="s">
        <v>1858</v>
      </c>
      <c r="T488" s="8" t="s">
        <v>1859</v>
      </c>
      <c r="U488" s="8" t="s">
        <v>1860</v>
      </c>
      <c r="V488" s="8" t="s">
        <v>1861</v>
      </c>
      <c r="W488" s="8" t="s">
        <v>2880</v>
      </c>
      <c r="X488" s="8" t="s">
        <v>1863</v>
      </c>
      <c r="Y488" s="8" t="s">
        <v>1864</v>
      </c>
    </row>
    <row r="489" customHeight="1" spans="2:25">
      <c r="B489" s="7"/>
      <c r="C489" s="8"/>
      <c r="D489" s="3" t="str">
        <f t="shared" ref="D489:D490" si="158">D488</f>
        <v>法奥FAIR</v>
      </c>
      <c r="E489" s="8"/>
      <c r="F489" s="9"/>
      <c r="G489" s="8"/>
      <c r="H489" s="8"/>
      <c r="I489" s="8"/>
      <c r="J489" s="8"/>
      <c r="K489" s="3" t="str">
        <f t="shared" ref="K489:K490" si="159">K488</f>
        <v>运营中</v>
      </c>
      <c r="L489" s="8"/>
      <c r="M489" s="8"/>
      <c r="N489" s="8"/>
      <c r="O489" s="8"/>
      <c r="P489" s="10">
        <v>44372</v>
      </c>
      <c r="Q489" s="8" t="s">
        <v>1180</v>
      </c>
      <c r="R489" s="8" t="s">
        <v>2675</v>
      </c>
      <c r="S489" s="8" t="s">
        <v>2881</v>
      </c>
      <c r="T489" s="8"/>
      <c r="U489" s="8"/>
      <c r="V489" s="8"/>
      <c r="W489" s="8"/>
      <c r="X489" s="8"/>
      <c r="Y489" s="8"/>
    </row>
    <row r="490" customHeight="1" spans="2:25">
      <c r="B490" s="7"/>
      <c r="C490" s="8"/>
      <c r="D490" s="3" t="str">
        <f t="shared" si="158"/>
        <v>法奥FAIR</v>
      </c>
      <c r="E490" s="8"/>
      <c r="F490" s="9"/>
      <c r="G490" s="8"/>
      <c r="H490" s="8"/>
      <c r="I490" s="8"/>
      <c r="J490" s="8"/>
      <c r="K490" s="3" t="str">
        <f t="shared" si="159"/>
        <v>运营中</v>
      </c>
      <c r="L490" s="8"/>
      <c r="M490" s="8"/>
      <c r="N490" s="8"/>
      <c r="O490" s="8"/>
      <c r="P490" s="10">
        <v>44326</v>
      </c>
      <c r="Q490" s="8" t="s">
        <v>1167</v>
      </c>
      <c r="R490" s="8" t="s">
        <v>556</v>
      </c>
      <c r="S490" s="8" t="s">
        <v>2053</v>
      </c>
      <c r="T490" s="8"/>
      <c r="U490" s="8"/>
      <c r="V490" s="8"/>
      <c r="W490" s="8"/>
      <c r="X490" s="8"/>
      <c r="Y490" s="8"/>
    </row>
    <row r="491" customHeight="1" spans="2:25">
      <c r="B491" s="7"/>
      <c r="C491" s="8" t="s">
        <v>1850</v>
      </c>
      <c r="D491" s="3" t="s">
        <v>2882</v>
      </c>
      <c r="E491" s="8" t="s">
        <v>2882</v>
      </c>
      <c r="F491" s="9" t="s">
        <v>2883</v>
      </c>
      <c r="G491" s="8" t="s">
        <v>2884</v>
      </c>
      <c r="H491" s="8"/>
      <c r="I491" s="8" t="s">
        <v>1869</v>
      </c>
      <c r="J491" s="8" t="s">
        <v>2885</v>
      </c>
      <c r="K491" s="3" t="s">
        <v>278</v>
      </c>
      <c r="L491" s="8" t="s">
        <v>278</v>
      </c>
      <c r="M491" s="8" t="s">
        <v>10</v>
      </c>
      <c r="N491" s="8" t="s">
        <v>279</v>
      </c>
      <c r="O491" s="8"/>
      <c r="P491" s="10">
        <v>44629</v>
      </c>
      <c r="Q491" s="8" t="s">
        <v>1167</v>
      </c>
      <c r="R491" s="8" t="s">
        <v>281</v>
      </c>
      <c r="S491" s="8" t="s">
        <v>2886</v>
      </c>
      <c r="T491" s="8" t="s">
        <v>2037</v>
      </c>
      <c r="U491" s="8" t="s">
        <v>284</v>
      </c>
      <c r="V491" s="8"/>
      <c r="W491" s="8" t="s">
        <v>2887</v>
      </c>
      <c r="X491" s="8" t="s">
        <v>1873</v>
      </c>
      <c r="Y491" s="8" t="s">
        <v>1874</v>
      </c>
    </row>
    <row r="492" customHeight="1" spans="2:25">
      <c r="B492" s="7"/>
      <c r="C492" s="8"/>
      <c r="D492" s="3" t="str">
        <f>D491</f>
        <v>顾思特汉堡</v>
      </c>
      <c r="E492" s="8"/>
      <c r="F492" s="9"/>
      <c r="G492" s="8"/>
      <c r="H492" s="8"/>
      <c r="I492" s="8"/>
      <c r="J492" s="8"/>
      <c r="K492" s="3" t="str">
        <f>K491</f>
        <v>运营中</v>
      </c>
      <c r="L492" s="8"/>
      <c r="M492" s="8"/>
      <c r="N492" s="8"/>
      <c r="O492" s="8"/>
      <c r="P492" s="10">
        <v>44538</v>
      </c>
      <c r="Q492" s="8" t="s">
        <v>1875</v>
      </c>
      <c r="R492" s="8" t="s">
        <v>1876</v>
      </c>
      <c r="S492" s="8" t="s">
        <v>1877</v>
      </c>
      <c r="T492" s="8"/>
      <c r="U492" s="8"/>
      <c r="V492" s="8"/>
      <c r="W492" s="8"/>
      <c r="X492" s="8"/>
      <c r="Y492" s="8"/>
    </row>
    <row r="493" customHeight="1" spans="2:25">
      <c r="B493" s="7"/>
      <c r="C493" s="8" t="s">
        <v>1237</v>
      </c>
      <c r="D493" s="3" t="s">
        <v>2539</v>
      </c>
      <c r="E493" s="8" t="s">
        <v>2539</v>
      </c>
      <c r="F493" s="9" t="s">
        <v>2540</v>
      </c>
      <c r="G493" s="8" t="s">
        <v>2541</v>
      </c>
      <c r="H493" s="8" t="s">
        <v>1241</v>
      </c>
      <c r="I493" s="8" t="s">
        <v>457</v>
      </c>
      <c r="J493" s="8" t="s">
        <v>952</v>
      </c>
      <c r="K493" s="3" t="s">
        <v>278</v>
      </c>
      <c r="L493" s="8" t="s">
        <v>278</v>
      </c>
      <c r="M493" s="8" t="s">
        <v>19</v>
      </c>
      <c r="N493" s="8" t="s">
        <v>2542</v>
      </c>
      <c r="O493" s="8"/>
      <c r="P493" s="10">
        <v>45098</v>
      </c>
      <c r="Q493" s="8" t="s">
        <v>868</v>
      </c>
      <c r="R493" s="8" t="s">
        <v>2543</v>
      </c>
      <c r="S493" s="8" t="s">
        <v>2544</v>
      </c>
      <c r="T493" s="8" t="s">
        <v>2545</v>
      </c>
      <c r="U493" s="8" t="s">
        <v>2546</v>
      </c>
      <c r="V493" s="8" t="s">
        <v>2547</v>
      </c>
      <c r="W493" s="8" t="s">
        <v>2548</v>
      </c>
      <c r="X493" s="8" t="s">
        <v>1249</v>
      </c>
      <c r="Y493" s="8" t="s">
        <v>1250</v>
      </c>
    </row>
    <row r="494" customHeight="1" spans="2:25">
      <c r="B494" s="7"/>
      <c r="C494" s="8"/>
      <c r="D494" s="3" t="str">
        <f t="shared" ref="D494:D497" si="160">D493</f>
        <v>欣旺达动力EVB</v>
      </c>
      <c r="E494" s="8"/>
      <c r="F494" s="9"/>
      <c r="G494" s="8"/>
      <c r="H494" s="8"/>
      <c r="I494" s="8"/>
      <c r="J494" s="8"/>
      <c r="K494" s="3" t="str">
        <f t="shared" ref="K494:K497" si="161">K493</f>
        <v>运营中</v>
      </c>
      <c r="L494" s="8"/>
      <c r="M494" s="8"/>
      <c r="N494" s="8"/>
      <c r="O494" s="8"/>
      <c r="P494" s="10">
        <v>45090</v>
      </c>
      <c r="Q494" s="8" t="s">
        <v>280</v>
      </c>
      <c r="R494" s="8" t="s">
        <v>1251</v>
      </c>
      <c r="S494" s="8" t="s">
        <v>1252</v>
      </c>
      <c r="T494" s="8"/>
      <c r="U494" s="8"/>
      <c r="V494" s="8"/>
      <c r="W494" s="8"/>
      <c r="X494" s="8"/>
      <c r="Y494" s="8"/>
    </row>
    <row r="495" customHeight="1" spans="2:25">
      <c r="B495" s="7"/>
      <c r="C495" s="8"/>
      <c r="D495" s="3" t="str">
        <f t="shared" si="160"/>
        <v>欣旺达动力EVB</v>
      </c>
      <c r="E495" s="8"/>
      <c r="F495" s="9"/>
      <c r="G495" s="8"/>
      <c r="H495" s="8"/>
      <c r="I495" s="8"/>
      <c r="J495" s="8"/>
      <c r="K495" s="3" t="str">
        <f t="shared" si="161"/>
        <v>运营中</v>
      </c>
      <c r="L495" s="8"/>
      <c r="M495" s="8"/>
      <c r="N495" s="8"/>
      <c r="O495" s="8"/>
      <c r="P495" s="10">
        <v>44798</v>
      </c>
      <c r="Q495" s="8" t="s">
        <v>1167</v>
      </c>
      <c r="R495" s="8" t="s">
        <v>1253</v>
      </c>
      <c r="S495" s="8" t="s">
        <v>1254</v>
      </c>
      <c r="T495" s="8"/>
      <c r="U495" s="8"/>
      <c r="V495" s="8"/>
      <c r="W495" s="8"/>
      <c r="X495" s="8"/>
      <c r="Y495" s="8"/>
    </row>
    <row r="496" customHeight="1" spans="2:25">
      <c r="B496" s="7"/>
      <c r="C496" s="8"/>
      <c r="D496" s="3" t="str">
        <f t="shared" si="160"/>
        <v>欣旺达动力EVB</v>
      </c>
      <c r="E496" s="8"/>
      <c r="F496" s="9"/>
      <c r="G496" s="8"/>
      <c r="H496" s="8"/>
      <c r="I496" s="8"/>
      <c r="J496" s="8"/>
      <c r="K496" s="3" t="str">
        <f t="shared" si="161"/>
        <v>运营中</v>
      </c>
      <c r="L496" s="8"/>
      <c r="M496" s="8"/>
      <c r="N496" s="8"/>
      <c r="O496" s="8"/>
      <c r="P496" s="10">
        <v>44721</v>
      </c>
      <c r="Q496" s="8" t="s">
        <v>280</v>
      </c>
      <c r="R496" s="8" t="s">
        <v>430</v>
      </c>
      <c r="S496" s="8" t="s">
        <v>2549</v>
      </c>
      <c r="T496" s="8"/>
      <c r="U496" s="8"/>
      <c r="V496" s="8"/>
      <c r="W496" s="8"/>
      <c r="X496" s="8"/>
      <c r="Y496" s="8"/>
    </row>
    <row r="497" customHeight="1" spans="2:25">
      <c r="B497" s="7"/>
      <c r="C497" s="8"/>
      <c r="D497" s="3" t="str">
        <f t="shared" si="160"/>
        <v>欣旺达动力EVB</v>
      </c>
      <c r="E497" s="8"/>
      <c r="F497" s="9"/>
      <c r="G497" s="8"/>
      <c r="H497" s="8"/>
      <c r="I497" s="8"/>
      <c r="J497" s="8"/>
      <c r="K497" s="3" t="str">
        <f t="shared" si="161"/>
        <v>运营中</v>
      </c>
      <c r="L497" s="8"/>
      <c r="M497" s="8"/>
      <c r="N497" s="8"/>
      <c r="O497" s="8"/>
      <c r="P497" s="10">
        <v>44620</v>
      </c>
      <c r="Q497" s="8" t="s">
        <v>280</v>
      </c>
      <c r="R497" s="8" t="s">
        <v>2550</v>
      </c>
      <c r="S497" s="8" t="s">
        <v>2551</v>
      </c>
      <c r="T497" s="8"/>
      <c r="U497" s="8"/>
      <c r="V497" s="8"/>
      <c r="W497" s="8"/>
      <c r="X497" s="8"/>
      <c r="Y497" s="8"/>
    </row>
    <row r="498" customHeight="1" spans="2:25">
      <c r="B498" s="7"/>
      <c r="C498" s="8" t="s">
        <v>1878</v>
      </c>
      <c r="D498" s="3" t="s">
        <v>1880</v>
      </c>
      <c r="E498" s="8" t="s">
        <v>1880</v>
      </c>
      <c r="F498" s="9" t="s">
        <v>1881</v>
      </c>
      <c r="G498" s="8" t="s">
        <v>2888</v>
      </c>
      <c r="H498" s="8" t="s">
        <v>1883</v>
      </c>
      <c r="I498" s="8" t="s">
        <v>1884</v>
      </c>
      <c r="J498" s="8" t="s">
        <v>890</v>
      </c>
      <c r="K498" s="3" t="s">
        <v>278</v>
      </c>
      <c r="L498" s="8" t="s">
        <v>278</v>
      </c>
      <c r="M498" s="8" t="s">
        <v>19</v>
      </c>
      <c r="N498" s="8" t="s">
        <v>1179</v>
      </c>
      <c r="O498" s="8"/>
      <c r="P498" s="10">
        <v>44754</v>
      </c>
      <c r="Q498" s="8" t="s">
        <v>1167</v>
      </c>
      <c r="R498" s="8" t="s">
        <v>281</v>
      </c>
      <c r="S498" s="8" t="s">
        <v>1885</v>
      </c>
      <c r="T498" s="8" t="s">
        <v>1886</v>
      </c>
      <c r="U498" s="8" t="s">
        <v>1802</v>
      </c>
      <c r="V498" s="8" t="s">
        <v>1887</v>
      </c>
      <c r="W498" s="8" t="s">
        <v>2889</v>
      </c>
      <c r="X498" s="8" t="s">
        <v>1889</v>
      </c>
      <c r="Y498" s="8" t="s">
        <v>1890</v>
      </c>
    </row>
    <row r="499" customHeight="1" spans="2:25">
      <c r="B499" s="7"/>
      <c r="C499" s="8"/>
      <c r="D499" s="3" t="str">
        <f t="shared" ref="D499:D500" si="162">D498</f>
        <v>芯格诺微电子</v>
      </c>
      <c r="E499" s="8"/>
      <c r="F499" s="9"/>
      <c r="G499" s="8"/>
      <c r="H499" s="8"/>
      <c r="I499" s="8"/>
      <c r="J499" s="8"/>
      <c r="K499" s="3" t="str">
        <f t="shared" ref="K499:K500" si="163">K498</f>
        <v>运营中</v>
      </c>
      <c r="L499" s="8"/>
      <c r="M499" s="8"/>
      <c r="N499" s="8"/>
      <c r="O499" s="8"/>
      <c r="P499" s="10">
        <v>44651</v>
      </c>
      <c r="Q499" s="8" t="s">
        <v>280</v>
      </c>
      <c r="R499" s="8" t="s">
        <v>1816</v>
      </c>
      <c r="S499" s="8" t="s">
        <v>2890</v>
      </c>
      <c r="T499" s="8"/>
      <c r="U499" s="8"/>
      <c r="V499" s="8"/>
      <c r="W499" s="8"/>
      <c r="X499" s="8"/>
      <c r="Y499" s="8"/>
    </row>
    <row r="500" customHeight="1" spans="2:25">
      <c r="B500" s="7"/>
      <c r="C500" s="8"/>
      <c r="D500" s="3" t="str">
        <f t="shared" si="162"/>
        <v>芯格诺微电子</v>
      </c>
      <c r="E500" s="8"/>
      <c r="F500" s="9"/>
      <c r="G500" s="8"/>
      <c r="H500" s="8"/>
      <c r="I500" s="8"/>
      <c r="J500" s="8"/>
      <c r="K500" s="3" t="str">
        <f t="shared" si="163"/>
        <v>运营中</v>
      </c>
      <c r="L500" s="8"/>
      <c r="M500" s="8"/>
      <c r="N500" s="8"/>
      <c r="O500" s="8"/>
      <c r="P500" s="10">
        <v>44364</v>
      </c>
      <c r="Q500" s="8" t="s">
        <v>1875</v>
      </c>
      <c r="R500" s="8" t="s">
        <v>1816</v>
      </c>
      <c r="S500" s="8" t="s">
        <v>1892</v>
      </c>
      <c r="T500" s="8"/>
      <c r="U500" s="8"/>
      <c r="V500" s="8"/>
      <c r="W500" s="8"/>
      <c r="X500" s="8"/>
      <c r="Y500" s="8"/>
    </row>
    <row r="501" customHeight="1" spans="2:25">
      <c r="B501" s="7"/>
      <c r="C501" s="8" t="s">
        <v>1893</v>
      </c>
      <c r="D501" s="8" t="s">
        <v>1895</v>
      </c>
      <c r="E501" s="8" t="s">
        <v>1895</v>
      </c>
      <c r="F501" s="9" t="s">
        <v>1896</v>
      </c>
      <c r="G501" s="8" t="s">
        <v>2891</v>
      </c>
      <c r="H501" s="8" t="s">
        <v>1898</v>
      </c>
      <c r="I501" s="8" t="s">
        <v>1128</v>
      </c>
      <c r="J501" s="8" t="s">
        <v>890</v>
      </c>
      <c r="K501" s="8" t="s">
        <v>278</v>
      </c>
      <c r="L501" s="8" t="s">
        <v>278</v>
      </c>
      <c r="M501" s="8" t="s">
        <v>19</v>
      </c>
      <c r="N501" s="8" t="s">
        <v>1899</v>
      </c>
      <c r="O501" s="8"/>
      <c r="P501" s="10">
        <v>44888</v>
      </c>
      <c r="Q501" s="8" t="s">
        <v>1875</v>
      </c>
      <c r="R501" s="8" t="s">
        <v>1857</v>
      </c>
      <c r="S501" s="8" t="s">
        <v>1900</v>
      </c>
      <c r="T501" s="8" t="s">
        <v>1901</v>
      </c>
      <c r="U501" s="8" t="s">
        <v>1902</v>
      </c>
      <c r="V501" s="8" t="s">
        <v>1903</v>
      </c>
      <c r="W501" s="8" t="s">
        <v>2892</v>
      </c>
      <c r="X501" s="8" t="s">
        <v>1905</v>
      </c>
      <c r="Y501" s="8" t="s">
        <v>1906</v>
      </c>
    </row>
    <row r="502" customHeight="1" spans="2:25">
      <c r="B502" s="7"/>
      <c r="C502" s="8" t="s">
        <v>1907</v>
      </c>
      <c r="D502" s="8" t="s">
        <v>1909</v>
      </c>
      <c r="E502" s="8" t="s">
        <v>1909</v>
      </c>
      <c r="F502" s="9" t="s">
        <v>1910</v>
      </c>
      <c r="G502" s="8" t="s">
        <v>2893</v>
      </c>
      <c r="H502" s="8"/>
      <c r="I502" s="8" t="s">
        <v>820</v>
      </c>
      <c r="J502" s="8" t="s">
        <v>1912</v>
      </c>
      <c r="K502" s="8" t="s">
        <v>278</v>
      </c>
      <c r="L502" s="8" t="s">
        <v>278</v>
      </c>
      <c r="M502" s="8" t="s">
        <v>23</v>
      </c>
      <c r="N502" s="8" t="s">
        <v>554</v>
      </c>
      <c r="O502" s="8"/>
      <c r="P502" s="10">
        <v>44819</v>
      </c>
      <c r="Q502" s="8" t="s">
        <v>1167</v>
      </c>
      <c r="R502" s="8" t="s">
        <v>1060</v>
      </c>
      <c r="S502" s="8" t="s">
        <v>1913</v>
      </c>
      <c r="T502" s="8" t="s">
        <v>1830</v>
      </c>
      <c r="U502" s="8" t="s">
        <v>1681</v>
      </c>
      <c r="V502" s="8" t="s">
        <v>1914</v>
      </c>
      <c r="W502" s="8" t="s">
        <v>2894</v>
      </c>
      <c r="X502" s="8" t="s">
        <v>1916</v>
      </c>
      <c r="Y502" s="8" t="s">
        <v>1917</v>
      </c>
    </row>
    <row r="503" customHeight="1" spans="2:25">
      <c r="B503" s="7" t="s">
        <v>2298</v>
      </c>
      <c r="C503" s="8" t="s">
        <v>1918</v>
      </c>
      <c r="D503" s="3" t="s">
        <v>2895</v>
      </c>
      <c r="E503" s="8" t="s">
        <v>2895</v>
      </c>
      <c r="F503" s="9" t="s">
        <v>2896</v>
      </c>
      <c r="G503" s="8" t="s">
        <v>2897</v>
      </c>
      <c r="H503" s="8" t="s">
        <v>1922</v>
      </c>
      <c r="I503" s="8" t="s">
        <v>1923</v>
      </c>
      <c r="J503" s="8" t="s">
        <v>2898</v>
      </c>
      <c r="K503" s="3" t="s">
        <v>278</v>
      </c>
      <c r="L503" s="8" t="s">
        <v>278</v>
      </c>
      <c r="M503" s="8" t="s">
        <v>33</v>
      </c>
      <c r="N503" s="8" t="s">
        <v>2237</v>
      </c>
      <c r="O503" s="8"/>
      <c r="P503" s="10">
        <v>42849</v>
      </c>
      <c r="Q503" s="8" t="s">
        <v>1167</v>
      </c>
      <c r="R503" s="8" t="s">
        <v>866</v>
      </c>
      <c r="S503" s="8" t="s">
        <v>2298</v>
      </c>
      <c r="T503" s="8" t="s">
        <v>2899</v>
      </c>
      <c r="U503" s="8" t="s">
        <v>1802</v>
      </c>
      <c r="V503" s="8" t="s">
        <v>2900</v>
      </c>
      <c r="W503" s="8" t="s">
        <v>2901</v>
      </c>
      <c r="X503" s="8"/>
      <c r="Y503" s="8" t="s">
        <v>1928</v>
      </c>
    </row>
    <row r="504" customHeight="1" spans="2:25">
      <c r="B504" s="7"/>
      <c r="C504" s="8"/>
      <c r="D504" s="3" t="str">
        <f>D503</f>
        <v>UniBike由你单车</v>
      </c>
      <c r="E504" s="8"/>
      <c r="F504" s="9"/>
      <c r="G504" s="8"/>
      <c r="H504" s="8"/>
      <c r="I504" s="8"/>
      <c r="J504" s="8"/>
      <c r="K504" s="3" t="str">
        <f>K503</f>
        <v>运营中</v>
      </c>
      <c r="L504" s="8"/>
      <c r="M504" s="8"/>
      <c r="N504" s="8"/>
      <c r="O504" s="8"/>
      <c r="P504" s="10">
        <v>42705</v>
      </c>
      <c r="Q504" s="8" t="s">
        <v>1875</v>
      </c>
      <c r="R504" s="8" t="s">
        <v>1981</v>
      </c>
      <c r="S504" s="8" t="s">
        <v>2298</v>
      </c>
      <c r="T504" s="8"/>
      <c r="U504" s="8"/>
      <c r="V504" s="8"/>
      <c r="W504" s="8"/>
      <c r="X504" s="8"/>
      <c r="Y504" s="8"/>
    </row>
    <row r="505" customHeight="1" spans="2:25">
      <c r="B505" s="7"/>
      <c r="C505" s="8" t="s">
        <v>1929</v>
      </c>
      <c r="D505" s="3" t="s">
        <v>2902</v>
      </c>
      <c r="E505" s="8" t="s">
        <v>2902</v>
      </c>
      <c r="F505" s="9" t="s">
        <v>2903</v>
      </c>
      <c r="G505" s="8" t="s">
        <v>2904</v>
      </c>
      <c r="H505" s="8" t="s">
        <v>1933</v>
      </c>
      <c r="I505" s="8" t="s">
        <v>355</v>
      </c>
      <c r="J505" s="8" t="s">
        <v>1676</v>
      </c>
      <c r="K505" s="3" t="s">
        <v>278</v>
      </c>
      <c r="L505" s="8" t="s">
        <v>278</v>
      </c>
      <c r="M505" s="8" t="s">
        <v>33</v>
      </c>
      <c r="N505" s="8" t="s">
        <v>2237</v>
      </c>
      <c r="O505" s="8"/>
      <c r="P505" s="10">
        <v>43160</v>
      </c>
      <c r="Q505" s="8" t="s">
        <v>1167</v>
      </c>
      <c r="R505" s="8" t="s">
        <v>281</v>
      </c>
      <c r="S505" s="8" t="s">
        <v>2298</v>
      </c>
      <c r="T505" s="8" t="s">
        <v>2905</v>
      </c>
      <c r="U505" s="8" t="s">
        <v>284</v>
      </c>
      <c r="V505" s="8" t="s">
        <v>2906</v>
      </c>
      <c r="W505" s="8" t="s">
        <v>2907</v>
      </c>
      <c r="X505" s="8" t="s">
        <v>1937</v>
      </c>
      <c r="Y505" s="8" t="s">
        <v>1938</v>
      </c>
    </row>
    <row r="506" customHeight="1" spans="2:25">
      <c r="B506" s="7"/>
      <c r="C506" s="8"/>
      <c r="D506" s="3" t="str">
        <f>D505</f>
        <v>展卷科技</v>
      </c>
      <c r="E506" s="8"/>
      <c r="F506" s="9"/>
      <c r="G506" s="8"/>
      <c r="H506" s="8"/>
      <c r="I506" s="8"/>
      <c r="J506" s="8"/>
      <c r="K506" s="3" t="str">
        <f>K505</f>
        <v>运营中</v>
      </c>
      <c r="L506" s="8"/>
      <c r="M506" s="8"/>
      <c r="N506" s="8"/>
      <c r="O506" s="8"/>
      <c r="P506" s="10">
        <v>42752</v>
      </c>
      <c r="Q506" s="8" t="s">
        <v>1875</v>
      </c>
      <c r="R506" s="8" t="s">
        <v>1981</v>
      </c>
      <c r="S506" s="8" t="s">
        <v>2908</v>
      </c>
      <c r="T506" s="8"/>
      <c r="U506" s="8"/>
      <c r="V506" s="8"/>
      <c r="W506" s="8"/>
      <c r="X506" s="8"/>
      <c r="Y506" s="8"/>
    </row>
    <row r="507" customHeight="1" spans="2:25">
      <c r="B507" s="7"/>
      <c r="C507" s="8" t="s">
        <v>1063</v>
      </c>
      <c r="D507" s="3" t="s">
        <v>2464</v>
      </c>
      <c r="E507" s="8" t="s">
        <v>2464</v>
      </c>
      <c r="F507" s="9" t="s">
        <v>2465</v>
      </c>
      <c r="G507" s="8" t="s">
        <v>2466</v>
      </c>
      <c r="H507" s="8" t="s">
        <v>1067</v>
      </c>
      <c r="I507" s="8" t="s">
        <v>1068</v>
      </c>
      <c r="J507" s="8" t="s">
        <v>2449</v>
      </c>
      <c r="K507" s="3" t="s">
        <v>278</v>
      </c>
      <c r="L507" s="8" t="s">
        <v>278</v>
      </c>
      <c r="M507" s="8" t="s">
        <v>33</v>
      </c>
      <c r="N507" s="8" t="s">
        <v>2237</v>
      </c>
      <c r="O507" s="8"/>
      <c r="P507" s="10">
        <v>43463</v>
      </c>
      <c r="Q507" s="8" t="s">
        <v>280</v>
      </c>
      <c r="R507" s="8" t="s">
        <v>1816</v>
      </c>
      <c r="S507" s="8" t="s">
        <v>2467</v>
      </c>
      <c r="T507" s="8" t="s">
        <v>1818</v>
      </c>
      <c r="U507" s="8" t="s">
        <v>2468</v>
      </c>
      <c r="V507" s="8" t="s">
        <v>2469</v>
      </c>
      <c r="W507" s="8" t="s">
        <v>2470</v>
      </c>
      <c r="X507" s="8" t="s">
        <v>1073</v>
      </c>
      <c r="Y507" s="8" t="s">
        <v>1074</v>
      </c>
    </row>
    <row r="508" customHeight="1" spans="2:25">
      <c r="B508" s="7"/>
      <c r="C508" s="8"/>
      <c r="D508" s="3" t="str">
        <f>D507</f>
        <v>WKUP单车</v>
      </c>
      <c r="E508" s="8"/>
      <c r="F508" s="9"/>
      <c r="G508" s="8"/>
      <c r="H508" s="8"/>
      <c r="I508" s="8"/>
      <c r="J508" s="8"/>
      <c r="K508" s="3" t="str">
        <f>K507</f>
        <v>运营中</v>
      </c>
      <c r="L508" s="8"/>
      <c r="M508" s="8"/>
      <c r="N508" s="8"/>
      <c r="O508" s="8"/>
      <c r="P508" s="10">
        <v>42159</v>
      </c>
      <c r="Q508" s="8" t="s">
        <v>1875</v>
      </c>
      <c r="R508" s="8" t="s">
        <v>1952</v>
      </c>
      <c r="S508" s="8" t="s">
        <v>2471</v>
      </c>
      <c r="T508" s="8"/>
      <c r="U508" s="8"/>
      <c r="V508" s="8"/>
      <c r="W508" s="8"/>
      <c r="X508" s="8"/>
      <c r="Y508" s="8"/>
    </row>
  </sheetData>
  <sheetProtection formatCells="0" formatColumns="0" formatRows="0" insertRows="0" insertColumns="0" insertHyperlinks="0" deleteColumns="0" deleteRows="0" sort="0" autoFilter="0" pivotTables="0"/>
  <autoFilter ref="B1:Y508">
    <extLst/>
  </autoFilter>
  <mergeCells count="1668">
    <mergeCell ref="B2:B291"/>
    <mergeCell ref="B292:B373"/>
    <mergeCell ref="B374:B502"/>
    <mergeCell ref="B503:B508"/>
    <mergeCell ref="C2:C3"/>
    <mergeCell ref="C4:C9"/>
    <mergeCell ref="C10:C12"/>
    <mergeCell ref="C13:C19"/>
    <mergeCell ref="C20:C22"/>
    <mergeCell ref="C23:C24"/>
    <mergeCell ref="C25:C28"/>
    <mergeCell ref="C29:C32"/>
    <mergeCell ref="C33:C35"/>
    <mergeCell ref="C36:C41"/>
    <mergeCell ref="C43:C45"/>
    <mergeCell ref="C46:C49"/>
    <mergeCell ref="C50:C58"/>
    <mergeCell ref="C59:C60"/>
    <mergeCell ref="C61:C66"/>
    <mergeCell ref="C67:C75"/>
    <mergeCell ref="C76:C78"/>
    <mergeCell ref="C79:C85"/>
    <mergeCell ref="C86:C87"/>
    <mergeCell ref="C88:C96"/>
    <mergeCell ref="C97:C109"/>
    <mergeCell ref="C110:C119"/>
    <mergeCell ref="C120:C125"/>
    <mergeCell ref="C126:C141"/>
    <mergeCell ref="C142:C150"/>
    <mergeCell ref="C152:C155"/>
    <mergeCell ref="C156:C163"/>
    <mergeCell ref="C164:C165"/>
    <mergeCell ref="C166:C178"/>
    <mergeCell ref="C179:C188"/>
    <mergeCell ref="C190:C193"/>
    <mergeCell ref="C194:C195"/>
    <mergeCell ref="C196:C206"/>
    <mergeCell ref="C208:C214"/>
    <mergeCell ref="C215:C218"/>
    <mergeCell ref="C221:C226"/>
    <mergeCell ref="C227:C228"/>
    <mergeCell ref="C229:C234"/>
    <mergeCell ref="C235:C236"/>
    <mergeCell ref="C237:C239"/>
    <mergeCell ref="C240:C241"/>
    <mergeCell ref="C242:C244"/>
    <mergeCell ref="C245:C246"/>
    <mergeCell ref="C247:C248"/>
    <mergeCell ref="C249:C253"/>
    <mergeCell ref="C254:C256"/>
    <mergeCell ref="C257:C260"/>
    <mergeCell ref="C261:C264"/>
    <mergeCell ref="C265:C267"/>
    <mergeCell ref="C268:C271"/>
    <mergeCell ref="C272:C275"/>
    <mergeCell ref="C276:C279"/>
    <mergeCell ref="C280:C283"/>
    <mergeCell ref="C284:C288"/>
    <mergeCell ref="C289:C291"/>
    <mergeCell ref="C292:C301"/>
    <mergeCell ref="C302:C308"/>
    <mergeCell ref="C309:C319"/>
    <mergeCell ref="C320:C322"/>
    <mergeCell ref="C323:C326"/>
    <mergeCell ref="C327:C329"/>
    <mergeCell ref="C331:C334"/>
    <mergeCell ref="C335:C336"/>
    <mergeCell ref="C337:C338"/>
    <mergeCell ref="C339:C341"/>
    <mergeCell ref="C342:C343"/>
    <mergeCell ref="C344:C348"/>
    <mergeCell ref="C349:C351"/>
    <mergeCell ref="C355:C358"/>
    <mergeCell ref="C359:C361"/>
    <mergeCell ref="C362:C367"/>
    <mergeCell ref="C368:C369"/>
    <mergeCell ref="C370:C372"/>
    <mergeCell ref="C374:C376"/>
    <mergeCell ref="C377:C380"/>
    <mergeCell ref="C381:C389"/>
    <mergeCell ref="C390:C402"/>
    <mergeCell ref="C403:C407"/>
    <mergeCell ref="C408:C414"/>
    <mergeCell ref="C415:C418"/>
    <mergeCell ref="C419:C421"/>
    <mergeCell ref="C422:C426"/>
    <mergeCell ref="C427:C431"/>
    <mergeCell ref="C432:C435"/>
    <mergeCell ref="C436:C438"/>
    <mergeCell ref="C439:C444"/>
    <mergeCell ref="C445:C447"/>
    <mergeCell ref="C450:C455"/>
    <mergeCell ref="C456:C462"/>
    <mergeCell ref="C463:C464"/>
    <mergeCell ref="C465:C468"/>
    <mergeCell ref="C469:C471"/>
    <mergeCell ref="C472:C475"/>
    <mergeCell ref="C476:C477"/>
    <mergeCell ref="C478:C479"/>
    <mergeCell ref="C480:C483"/>
    <mergeCell ref="C484:C487"/>
    <mergeCell ref="C488:C490"/>
    <mergeCell ref="C491:C492"/>
    <mergeCell ref="C493:C497"/>
    <mergeCell ref="C498:C500"/>
    <mergeCell ref="C503:C504"/>
    <mergeCell ref="C505:C506"/>
    <mergeCell ref="C507:C508"/>
    <mergeCell ref="E2:E3"/>
    <mergeCell ref="E4:E9"/>
    <mergeCell ref="E10:E12"/>
    <mergeCell ref="E13:E19"/>
    <mergeCell ref="E20:E22"/>
    <mergeCell ref="E23:E24"/>
    <mergeCell ref="E25:E28"/>
    <mergeCell ref="E29:E32"/>
    <mergeCell ref="E33:E35"/>
    <mergeCell ref="E36:E41"/>
    <mergeCell ref="E43:E45"/>
    <mergeCell ref="E46:E49"/>
    <mergeCell ref="E50:E58"/>
    <mergeCell ref="E59:E60"/>
    <mergeCell ref="E61:E66"/>
    <mergeCell ref="E67:E75"/>
    <mergeCell ref="E76:E78"/>
    <mergeCell ref="E79:E85"/>
    <mergeCell ref="E86:E87"/>
    <mergeCell ref="E88:E96"/>
    <mergeCell ref="E97:E109"/>
    <mergeCell ref="E110:E119"/>
    <mergeCell ref="E120:E125"/>
    <mergeCell ref="E126:E141"/>
    <mergeCell ref="E142:E150"/>
    <mergeCell ref="E152:E155"/>
    <mergeCell ref="E156:E163"/>
    <mergeCell ref="E164:E165"/>
    <mergeCell ref="E166:E178"/>
    <mergeCell ref="E179:E188"/>
    <mergeCell ref="E190:E193"/>
    <mergeCell ref="E194:E195"/>
    <mergeCell ref="E196:E206"/>
    <mergeCell ref="E208:E214"/>
    <mergeCell ref="E215:E218"/>
    <mergeCell ref="E221:E226"/>
    <mergeCell ref="E227:E228"/>
    <mergeCell ref="E229:E234"/>
    <mergeCell ref="E235:E236"/>
    <mergeCell ref="E237:E239"/>
    <mergeCell ref="E240:E241"/>
    <mergeCell ref="E242:E244"/>
    <mergeCell ref="E245:E246"/>
    <mergeCell ref="E247:E248"/>
    <mergeCell ref="E249:E253"/>
    <mergeCell ref="E254:E256"/>
    <mergeCell ref="E257:E260"/>
    <mergeCell ref="E261:E264"/>
    <mergeCell ref="E265:E267"/>
    <mergeCell ref="E268:E271"/>
    <mergeCell ref="E272:E275"/>
    <mergeCell ref="E276:E279"/>
    <mergeCell ref="E280:E283"/>
    <mergeCell ref="E284:E288"/>
    <mergeCell ref="E289:E291"/>
    <mergeCell ref="E292:E301"/>
    <mergeCell ref="E302:E308"/>
    <mergeCell ref="E309:E319"/>
    <mergeCell ref="E320:E322"/>
    <mergeCell ref="E323:E326"/>
    <mergeCell ref="E327:E329"/>
    <mergeCell ref="E331:E334"/>
    <mergeCell ref="E335:E336"/>
    <mergeCell ref="E337:E338"/>
    <mergeCell ref="E339:E341"/>
    <mergeCell ref="E342:E343"/>
    <mergeCell ref="E344:E348"/>
    <mergeCell ref="E349:E351"/>
    <mergeCell ref="E355:E358"/>
    <mergeCell ref="E359:E361"/>
    <mergeCell ref="E362:E367"/>
    <mergeCell ref="E368:E369"/>
    <mergeCell ref="E370:E372"/>
    <mergeCell ref="E374:E376"/>
    <mergeCell ref="E377:E380"/>
    <mergeCell ref="E381:E389"/>
    <mergeCell ref="E390:E402"/>
    <mergeCell ref="E403:E407"/>
    <mergeCell ref="E408:E414"/>
    <mergeCell ref="E415:E418"/>
    <mergeCell ref="E419:E421"/>
    <mergeCell ref="E422:E426"/>
    <mergeCell ref="E427:E431"/>
    <mergeCell ref="E432:E435"/>
    <mergeCell ref="E436:E438"/>
    <mergeCell ref="E439:E444"/>
    <mergeCell ref="E445:E447"/>
    <mergeCell ref="E450:E455"/>
    <mergeCell ref="E456:E462"/>
    <mergeCell ref="E463:E464"/>
    <mergeCell ref="E465:E468"/>
    <mergeCell ref="E469:E471"/>
    <mergeCell ref="E472:E475"/>
    <mergeCell ref="E476:E477"/>
    <mergeCell ref="E478:E479"/>
    <mergeCell ref="E480:E483"/>
    <mergeCell ref="E484:E487"/>
    <mergeCell ref="E488:E490"/>
    <mergeCell ref="E491:E492"/>
    <mergeCell ref="E493:E497"/>
    <mergeCell ref="E498:E500"/>
    <mergeCell ref="E503:E504"/>
    <mergeCell ref="E505:E506"/>
    <mergeCell ref="E507:E508"/>
    <mergeCell ref="F2:F3"/>
    <mergeCell ref="F4:F9"/>
    <mergeCell ref="F10:F12"/>
    <mergeCell ref="F13:F19"/>
    <mergeCell ref="F20:F22"/>
    <mergeCell ref="F23:F24"/>
    <mergeCell ref="F25:F28"/>
    <mergeCell ref="F29:F32"/>
    <mergeCell ref="F33:F35"/>
    <mergeCell ref="F36:F41"/>
    <mergeCell ref="F43:F45"/>
    <mergeCell ref="F46:F49"/>
    <mergeCell ref="F50:F58"/>
    <mergeCell ref="F59:F60"/>
    <mergeCell ref="F61:F66"/>
    <mergeCell ref="F67:F75"/>
    <mergeCell ref="F76:F78"/>
    <mergeCell ref="F79:F85"/>
    <mergeCell ref="F86:F87"/>
    <mergeCell ref="F88:F96"/>
    <mergeCell ref="F97:F109"/>
    <mergeCell ref="F110:F119"/>
    <mergeCell ref="F120:F125"/>
    <mergeCell ref="F126:F141"/>
    <mergeCell ref="F142:F150"/>
    <mergeCell ref="F152:F155"/>
    <mergeCell ref="F156:F163"/>
    <mergeCell ref="F164:F165"/>
    <mergeCell ref="F166:F178"/>
    <mergeCell ref="F179:F188"/>
    <mergeCell ref="F190:F193"/>
    <mergeCell ref="F194:F195"/>
    <mergeCell ref="F196:F206"/>
    <mergeCell ref="F208:F214"/>
    <mergeCell ref="F215:F218"/>
    <mergeCell ref="F221:F226"/>
    <mergeCell ref="F227:F228"/>
    <mergeCell ref="F229:F234"/>
    <mergeCell ref="F235:F236"/>
    <mergeCell ref="F237:F239"/>
    <mergeCell ref="F240:F241"/>
    <mergeCell ref="F242:F244"/>
    <mergeCell ref="F245:F246"/>
    <mergeCell ref="F247:F248"/>
    <mergeCell ref="F249:F253"/>
    <mergeCell ref="F254:F256"/>
    <mergeCell ref="F257:F260"/>
    <mergeCell ref="F261:F264"/>
    <mergeCell ref="F265:F267"/>
    <mergeCell ref="F268:F271"/>
    <mergeCell ref="F272:F275"/>
    <mergeCell ref="F276:F279"/>
    <mergeCell ref="F280:F283"/>
    <mergeCell ref="F284:F288"/>
    <mergeCell ref="F289:F291"/>
    <mergeCell ref="F292:F301"/>
    <mergeCell ref="F302:F308"/>
    <mergeCell ref="F309:F319"/>
    <mergeCell ref="F320:F322"/>
    <mergeCell ref="F323:F326"/>
    <mergeCell ref="F327:F329"/>
    <mergeCell ref="F331:F334"/>
    <mergeCell ref="F335:F336"/>
    <mergeCell ref="F337:F338"/>
    <mergeCell ref="F339:F341"/>
    <mergeCell ref="F342:F343"/>
    <mergeCell ref="F344:F348"/>
    <mergeCell ref="F349:F351"/>
    <mergeCell ref="F355:F358"/>
    <mergeCell ref="F359:F361"/>
    <mergeCell ref="F362:F367"/>
    <mergeCell ref="F368:F369"/>
    <mergeCell ref="F370:F372"/>
    <mergeCell ref="F374:F376"/>
    <mergeCell ref="F377:F380"/>
    <mergeCell ref="F381:F389"/>
    <mergeCell ref="F390:F402"/>
    <mergeCell ref="F403:F407"/>
    <mergeCell ref="F408:F414"/>
    <mergeCell ref="F415:F418"/>
    <mergeCell ref="F419:F421"/>
    <mergeCell ref="F422:F426"/>
    <mergeCell ref="F427:F431"/>
    <mergeCell ref="F432:F435"/>
    <mergeCell ref="F436:F438"/>
    <mergeCell ref="F439:F444"/>
    <mergeCell ref="F445:F447"/>
    <mergeCell ref="F450:F455"/>
    <mergeCell ref="F456:F462"/>
    <mergeCell ref="F463:F464"/>
    <mergeCell ref="F465:F468"/>
    <mergeCell ref="F469:F471"/>
    <mergeCell ref="F472:F475"/>
    <mergeCell ref="F476:F477"/>
    <mergeCell ref="F478:F479"/>
    <mergeCell ref="F480:F483"/>
    <mergeCell ref="F484:F487"/>
    <mergeCell ref="F488:F490"/>
    <mergeCell ref="F491:F492"/>
    <mergeCell ref="F493:F497"/>
    <mergeCell ref="F498:F500"/>
    <mergeCell ref="F503:F504"/>
    <mergeCell ref="F505:F506"/>
    <mergeCell ref="F507:F508"/>
    <mergeCell ref="G2:G3"/>
    <mergeCell ref="G4:G9"/>
    <mergeCell ref="G10:G12"/>
    <mergeCell ref="G13:G19"/>
    <mergeCell ref="G20:G22"/>
    <mergeCell ref="G23:G24"/>
    <mergeCell ref="G25:G28"/>
    <mergeCell ref="G29:G32"/>
    <mergeCell ref="G33:G35"/>
    <mergeCell ref="G36:G41"/>
    <mergeCell ref="G43:G45"/>
    <mergeCell ref="G46:G49"/>
    <mergeCell ref="G50:G58"/>
    <mergeCell ref="G59:G60"/>
    <mergeCell ref="G61:G66"/>
    <mergeCell ref="G67:G75"/>
    <mergeCell ref="G76:G78"/>
    <mergeCell ref="G79:G85"/>
    <mergeCell ref="G86:G87"/>
    <mergeCell ref="G88:G96"/>
    <mergeCell ref="G97:G109"/>
    <mergeCell ref="G110:G119"/>
    <mergeCell ref="G120:G125"/>
    <mergeCell ref="G126:G141"/>
    <mergeCell ref="G142:G150"/>
    <mergeCell ref="G152:G155"/>
    <mergeCell ref="G156:G163"/>
    <mergeCell ref="G164:G165"/>
    <mergeCell ref="G166:G178"/>
    <mergeCell ref="G179:G188"/>
    <mergeCell ref="G190:G193"/>
    <mergeCell ref="G194:G195"/>
    <mergeCell ref="G196:G206"/>
    <mergeCell ref="G208:G214"/>
    <mergeCell ref="G215:G218"/>
    <mergeCell ref="G221:G226"/>
    <mergeCell ref="G227:G228"/>
    <mergeCell ref="G229:G234"/>
    <mergeCell ref="G235:G236"/>
    <mergeCell ref="G237:G239"/>
    <mergeCell ref="G240:G241"/>
    <mergeCell ref="G242:G244"/>
    <mergeCell ref="G245:G246"/>
    <mergeCell ref="G247:G248"/>
    <mergeCell ref="G249:G253"/>
    <mergeCell ref="G254:G256"/>
    <mergeCell ref="G257:G260"/>
    <mergeCell ref="G261:G264"/>
    <mergeCell ref="G265:G267"/>
    <mergeCell ref="G268:G271"/>
    <mergeCell ref="G272:G275"/>
    <mergeCell ref="G276:G279"/>
    <mergeCell ref="G280:G283"/>
    <mergeCell ref="G284:G288"/>
    <mergeCell ref="G289:G291"/>
    <mergeCell ref="G292:G301"/>
    <mergeCell ref="G302:G308"/>
    <mergeCell ref="G309:G319"/>
    <mergeCell ref="G320:G322"/>
    <mergeCell ref="G323:G326"/>
    <mergeCell ref="G327:G329"/>
    <mergeCell ref="G331:G334"/>
    <mergeCell ref="G335:G336"/>
    <mergeCell ref="G337:G338"/>
    <mergeCell ref="G339:G341"/>
    <mergeCell ref="G342:G343"/>
    <mergeCell ref="G344:G348"/>
    <mergeCell ref="G349:G351"/>
    <mergeCell ref="G355:G358"/>
    <mergeCell ref="G359:G361"/>
    <mergeCell ref="G362:G367"/>
    <mergeCell ref="G368:G369"/>
    <mergeCell ref="G370:G372"/>
    <mergeCell ref="G374:G376"/>
    <mergeCell ref="G377:G380"/>
    <mergeCell ref="G381:G389"/>
    <mergeCell ref="G390:G402"/>
    <mergeCell ref="G403:G407"/>
    <mergeCell ref="G408:G414"/>
    <mergeCell ref="G415:G418"/>
    <mergeCell ref="G419:G421"/>
    <mergeCell ref="G422:G426"/>
    <mergeCell ref="G427:G431"/>
    <mergeCell ref="G432:G435"/>
    <mergeCell ref="G436:G438"/>
    <mergeCell ref="G439:G444"/>
    <mergeCell ref="G445:G447"/>
    <mergeCell ref="G450:G455"/>
    <mergeCell ref="G456:G462"/>
    <mergeCell ref="G463:G464"/>
    <mergeCell ref="G465:G468"/>
    <mergeCell ref="G469:G471"/>
    <mergeCell ref="G472:G475"/>
    <mergeCell ref="G476:G477"/>
    <mergeCell ref="G478:G479"/>
    <mergeCell ref="G480:G483"/>
    <mergeCell ref="G484:G487"/>
    <mergeCell ref="G488:G490"/>
    <mergeCell ref="G491:G492"/>
    <mergeCell ref="G493:G497"/>
    <mergeCell ref="G498:G500"/>
    <mergeCell ref="G503:G504"/>
    <mergeCell ref="G505:G506"/>
    <mergeCell ref="G507:G508"/>
    <mergeCell ref="H2:H3"/>
    <mergeCell ref="H4:H9"/>
    <mergeCell ref="H10:H12"/>
    <mergeCell ref="H13:H19"/>
    <mergeCell ref="H20:H22"/>
    <mergeCell ref="H23:H24"/>
    <mergeCell ref="H25:H28"/>
    <mergeCell ref="H29:H32"/>
    <mergeCell ref="H33:H35"/>
    <mergeCell ref="H36:H41"/>
    <mergeCell ref="H43:H45"/>
    <mergeCell ref="H46:H49"/>
    <mergeCell ref="H50:H58"/>
    <mergeCell ref="H59:H60"/>
    <mergeCell ref="H61:H66"/>
    <mergeCell ref="H67:H75"/>
    <mergeCell ref="H76:H78"/>
    <mergeCell ref="H79:H85"/>
    <mergeCell ref="H86:H87"/>
    <mergeCell ref="H88:H96"/>
    <mergeCell ref="H97:H109"/>
    <mergeCell ref="H110:H119"/>
    <mergeCell ref="H120:H125"/>
    <mergeCell ref="H126:H141"/>
    <mergeCell ref="H142:H150"/>
    <mergeCell ref="H152:H155"/>
    <mergeCell ref="H156:H163"/>
    <mergeCell ref="H164:H165"/>
    <mergeCell ref="H166:H178"/>
    <mergeCell ref="H179:H188"/>
    <mergeCell ref="H190:H193"/>
    <mergeCell ref="H194:H195"/>
    <mergeCell ref="H196:H206"/>
    <mergeCell ref="H208:H214"/>
    <mergeCell ref="H215:H218"/>
    <mergeCell ref="H221:H226"/>
    <mergeCell ref="H227:H228"/>
    <mergeCell ref="H229:H234"/>
    <mergeCell ref="H235:H236"/>
    <mergeCell ref="H237:H239"/>
    <mergeCell ref="H240:H241"/>
    <mergeCell ref="H242:H244"/>
    <mergeCell ref="H245:H246"/>
    <mergeCell ref="H247:H248"/>
    <mergeCell ref="H249:H253"/>
    <mergeCell ref="H254:H256"/>
    <mergeCell ref="H257:H260"/>
    <mergeCell ref="H261:H264"/>
    <mergeCell ref="H265:H267"/>
    <mergeCell ref="H268:H271"/>
    <mergeCell ref="H272:H275"/>
    <mergeCell ref="H276:H279"/>
    <mergeCell ref="H280:H283"/>
    <mergeCell ref="H284:H288"/>
    <mergeCell ref="H289:H291"/>
    <mergeCell ref="H292:H301"/>
    <mergeCell ref="H302:H308"/>
    <mergeCell ref="H309:H319"/>
    <mergeCell ref="H320:H322"/>
    <mergeCell ref="H323:H326"/>
    <mergeCell ref="H327:H329"/>
    <mergeCell ref="H331:H334"/>
    <mergeCell ref="H335:H336"/>
    <mergeCell ref="H337:H338"/>
    <mergeCell ref="H339:H341"/>
    <mergeCell ref="H342:H343"/>
    <mergeCell ref="H344:H348"/>
    <mergeCell ref="H349:H351"/>
    <mergeCell ref="H355:H358"/>
    <mergeCell ref="H359:H361"/>
    <mergeCell ref="H362:H367"/>
    <mergeCell ref="H368:H369"/>
    <mergeCell ref="H370:H372"/>
    <mergeCell ref="H374:H376"/>
    <mergeCell ref="H377:H380"/>
    <mergeCell ref="H381:H389"/>
    <mergeCell ref="H390:H402"/>
    <mergeCell ref="H403:H407"/>
    <mergeCell ref="H408:H414"/>
    <mergeCell ref="H415:H418"/>
    <mergeCell ref="H419:H421"/>
    <mergeCell ref="H422:H426"/>
    <mergeCell ref="H427:H431"/>
    <mergeCell ref="H432:H435"/>
    <mergeCell ref="H436:H438"/>
    <mergeCell ref="H439:H444"/>
    <mergeCell ref="H445:H447"/>
    <mergeCell ref="H450:H455"/>
    <mergeCell ref="H456:H462"/>
    <mergeCell ref="H463:H464"/>
    <mergeCell ref="H465:H468"/>
    <mergeCell ref="H469:H471"/>
    <mergeCell ref="H472:H475"/>
    <mergeCell ref="H476:H477"/>
    <mergeCell ref="H478:H479"/>
    <mergeCell ref="H480:H483"/>
    <mergeCell ref="H484:H487"/>
    <mergeCell ref="H488:H490"/>
    <mergeCell ref="H491:H492"/>
    <mergeCell ref="H493:H497"/>
    <mergeCell ref="H498:H500"/>
    <mergeCell ref="H503:H504"/>
    <mergeCell ref="H505:H506"/>
    <mergeCell ref="H507:H508"/>
    <mergeCell ref="I2:I3"/>
    <mergeCell ref="I4:I9"/>
    <mergeCell ref="I10:I12"/>
    <mergeCell ref="I13:I19"/>
    <mergeCell ref="I20:I22"/>
    <mergeCell ref="I23:I24"/>
    <mergeCell ref="I25:I28"/>
    <mergeCell ref="I29:I32"/>
    <mergeCell ref="I33:I35"/>
    <mergeCell ref="I36:I41"/>
    <mergeCell ref="I43:I45"/>
    <mergeCell ref="I46:I49"/>
    <mergeCell ref="I50:I58"/>
    <mergeCell ref="I59:I60"/>
    <mergeCell ref="I61:I66"/>
    <mergeCell ref="I67:I75"/>
    <mergeCell ref="I76:I78"/>
    <mergeCell ref="I79:I85"/>
    <mergeCell ref="I86:I87"/>
    <mergeCell ref="I88:I96"/>
    <mergeCell ref="I97:I109"/>
    <mergeCell ref="I110:I119"/>
    <mergeCell ref="I120:I125"/>
    <mergeCell ref="I126:I141"/>
    <mergeCell ref="I142:I150"/>
    <mergeCell ref="I152:I155"/>
    <mergeCell ref="I156:I163"/>
    <mergeCell ref="I164:I165"/>
    <mergeCell ref="I166:I178"/>
    <mergeCell ref="I179:I188"/>
    <mergeCell ref="I190:I193"/>
    <mergeCell ref="I194:I195"/>
    <mergeCell ref="I196:I206"/>
    <mergeCell ref="I208:I214"/>
    <mergeCell ref="I215:I218"/>
    <mergeCell ref="I221:I226"/>
    <mergeCell ref="I227:I228"/>
    <mergeCell ref="I229:I234"/>
    <mergeCell ref="I235:I236"/>
    <mergeCell ref="I237:I239"/>
    <mergeCell ref="I240:I241"/>
    <mergeCell ref="I242:I244"/>
    <mergeCell ref="I245:I246"/>
    <mergeCell ref="I247:I248"/>
    <mergeCell ref="I249:I253"/>
    <mergeCell ref="I254:I256"/>
    <mergeCell ref="I257:I260"/>
    <mergeCell ref="I261:I264"/>
    <mergeCell ref="I265:I267"/>
    <mergeCell ref="I268:I271"/>
    <mergeCell ref="I272:I275"/>
    <mergeCell ref="I276:I279"/>
    <mergeCell ref="I280:I283"/>
    <mergeCell ref="I284:I288"/>
    <mergeCell ref="I289:I291"/>
    <mergeCell ref="I292:I301"/>
    <mergeCell ref="I302:I308"/>
    <mergeCell ref="I309:I319"/>
    <mergeCell ref="I320:I322"/>
    <mergeCell ref="I323:I326"/>
    <mergeCell ref="I327:I329"/>
    <mergeCell ref="I331:I334"/>
    <mergeCell ref="I335:I336"/>
    <mergeCell ref="I337:I338"/>
    <mergeCell ref="I339:I341"/>
    <mergeCell ref="I342:I343"/>
    <mergeCell ref="I344:I348"/>
    <mergeCell ref="I349:I351"/>
    <mergeCell ref="I355:I358"/>
    <mergeCell ref="I359:I361"/>
    <mergeCell ref="I362:I367"/>
    <mergeCell ref="I368:I369"/>
    <mergeCell ref="I370:I372"/>
    <mergeCell ref="I374:I376"/>
    <mergeCell ref="I377:I380"/>
    <mergeCell ref="I381:I389"/>
    <mergeCell ref="I390:I402"/>
    <mergeCell ref="I403:I407"/>
    <mergeCell ref="I408:I414"/>
    <mergeCell ref="I415:I418"/>
    <mergeCell ref="I419:I421"/>
    <mergeCell ref="I422:I426"/>
    <mergeCell ref="I427:I431"/>
    <mergeCell ref="I432:I435"/>
    <mergeCell ref="I436:I438"/>
    <mergeCell ref="I439:I444"/>
    <mergeCell ref="I445:I447"/>
    <mergeCell ref="I450:I455"/>
    <mergeCell ref="I456:I462"/>
    <mergeCell ref="I463:I464"/>
    <mergeCell ref="I465:I468"/>
    <mergeCell ref="I469:I471"/>
    <mergeCell ref="I472:I475"/>
    <mergeCell ref="I476:I477"/>
    <mergeCell ref="I478:I479"/>
    <mergeCell ref="I480:I483"/>
    <mergeCell ref="I484:I487"/>
    <mergeCell ref="I488:I490"/>
    <mergeCell ref="I491:I492"/>
    <mergeCell ref="I493:I497"/>
    <mergeCell ref="I498:I500"/>
    <mergeCell ref="I503:I504"/>
    <mergeCell ref="I505:I506"/>
    <mergeCell ref="I507:I508"/>
    <mergeCell ref="J2:J3"/>
    <mergeCell ref="J4:J9"/>
    <mergeCell ref="J10:J12"/>
    <mergeCell ref="J13:J19"/>
    <mergeCell ref="J20:J22"/>
    <mergeCell ref="J23:J24"/>
    <mergeCell ref="J25:J28"/>
    <mergeCell ref="J29:J32"/>
    <mergeCell ref="J33:J35"/>
    <mergeCell ref="J36:J41"/>
    <mergeCell ref="J43:J45"/>
    <mergeCell ref="J46:J49"/>
    <mergeCell ref="J50:J58"/>
    <mergeCell ref="J59:J60"/>
    <mergeCell ref="J61:J66"/>
    <mergeCell ref="J67:J75"/>
    <mergeCell ref="J76:J78"/>
    <mergeCell ref="J79:J85"/>
    <mergeCell ref="J86:J87"/>
    <mergeCell ref="J88:J96"/>
    <mergeCell ref="J97:J109"/>
    <mergeCell ref="J110:J119"/>
    <mergeCell ref="J120:J125"/>
    <mergeCell ref="J126:J141"/>
    <mergeCell ref="J142:J150"/>
    <mergeCell ref="J152:J155"/>
    <mergeCell ref="J156:J163"/>
    <mergeCell ref="J164:J165"/>
    <mergeCell ref="J166:J178"/>
    <mergeCell ref="J179:J188"/>
    <mergeCell ref="J190:J193"/>
    <mergeCell ref="J194:J195"/>
    <mergeCell ref="J196:J206"/>
    <mergeCell ref="J208:J214"/>
    <mergeCell ref="J215:J218"/>
    <mergeCell ref="J221:J226"/>
    <mergeCell ref="J227:J228"/>
    <mergeCell ref="J229:J234"/>
    <mergeCell ref="J235:J236"/>
    <mergeCell ref="J237:J239"/>
    <mergeCell ref="J240:J241"/>
    <mergeCell ref="J242:J244"/>
    <mergeCell ref="J245:J246"/>
    <mergeCell ref="J247:J248"/>
    <mergeCell ref="J249:J253"/>
    <mergeCell ref="J254:J256"/>
    <mergeCell ref="J257:J260"/>
    <mergeCell ref="J261:J264"/>
    <mergeCell ref="J265:J267"/>
    <mergeCell ref="J268:J271"/>
    <mergeCell ref="J272:J275"/>
    <mergeCell ref="J276:J279"/>
    <mergeCell ref="J280:J283"/>
    <mergeCell ref="J284:J288"/>
    <mergeCell ref="J289:J291"/>
    <mergeCell ref="J292:J301"/>
    <mergeCell ref="J302:J308"/>
    <mergeCell ref="J309:J319"/>
    <mergeCell ref="J320:J322"/>
    <mergeCell ref="J323:J326"/>
    <mergeCell ref="J327:J329"/>
    <mergeCell ref="J331:J334"/>
    <mergeCell ref="J335:J336"/>
    <mergeCell ref="J337:J338"/>
    <mergeCell ref="J339:J341"/>
    <mergeCell ref="J342:J343"/>
    <mergeCell ref="J344:J348"/>
    <mergeCell ref="J349:J351"/>
    <mergeCell ref="J355:J358"/>
    <mergeCell ref="J359:J361"/>
    <mergeCell ref="J362:J367"/>
    <mergeCell ref="J368:J369"/>
    <mergeCell ref="J370:J372"/>
    <mergeCell ref="J374:J376"/>
    <mergeCell ref="J377:J380"/>
    <mergeCell ref="J381:J389"/>
    <mergeCell ref="J390:J402"/>
    <mergeCell ref="J403:J407"/>
    <mergeCell ref="J408:J414"/>
    <mergeCell ref="J415:J418"/>
    <mergeCell ref="J419:J421"/>
    <mergeCell ref="J422:J426"/>
    <mergeCell ref="J427:J431"/>
    <mergeCell ref="J432:J435"/>
    <mergeCell ref="J436:J438"/>
    <mergeCell ref="J439:J444"/>
    <mergeCell ref="J445:J447"/>
    <mergeCell ref="J450:J455"/>
    <mergeCell ref="J456:J462"/>
    <mergeCell ref="J463:J464"/>
    <mergeCell ref="J465:J468"/>
    <mergeCell ref="J469:J471"/>
    <mergeCell ref="J472:J475"/>
    <mergeCell ref="J476:J477"/>
    <mergeCell ref="J478:J479"/>
    <mergeCell ref="J480:J483"/>
    <mergeCell ref="J484:J487"/>
    <mergeCell ref="J488:J490"/>
    <mergeCell ref="J491:J492"/>
    <mergeCell ref="J493:J497"/>
    <mergeCell ref="J498:J500"/>
    <mergeCell ref="J503:J504"/>
    <mergeCell ref="J505:J506"/>
    <mergeCell ref="J507:J508"/>
    <mergeCell ref="L2:L3"/>
    <mergeCell ref="L4:L9"/>
    <mergeCell ref="L10:L12"/>
    <mergeCell ref="L13:L19"/>
    <mergeCell ref="L20:L22"/>
    <mergeCell ref="L23:L24"/>
    <mergeCell ref="L25:L28"/>
    <mergeCell ref="L29:L32"/>
    <mergeCell ref="L33:L35"/>
    <mergeCell ref="L36:L41"/>
    <mergeCell ref="L43:L45"/>
    <mergeCell ref="L46:L49"/>
    <mergeCell ref="L50:L58"/>
    <mergeCell ref="L59:L60"/>
    <mergeCell ref="L61:L66"/>
    <mergeCell ref="L67:L75"/>
    <mergeCell ref="L76:L78"/>
    <mergeCell ref="L79:L85"/>
    <mergeCell ref="L86:L87"/>
    <mergeCell ref="L88:L96"/>
    <mergeCell ref="L97:L109"/>
    <mergeCell ref="L110:L119"/>
    <mergeCell ref="L120:L125"/>
    <mergeCell ref="L126:L141"/>
    <mergeCell ref="L142:L150"/>
    <mergeCell ref="L152:L155"/>
    <mergeCell ref="L156:L163"/>
    <mergeCell ref="L164:L165"/>
    <mergeCell ref="L166:L178"/>
    <mergeCell ref="L179:L188"/>
    <mergeCell ref="L190:L193"/>
    <mergeCell ref="L194:L195"/>
    <mergeCell ref="L196:L206"/>
    <mergeCell ref="L208:L214"/>
    <mergeCell ref="L215:L218"/>
    <mergeCell ref="L221:L226"/>
    <mergeCell ref="L227:L228"/>
    <mergeCell ref="L229:L234"/>
    <mergeCell ref="L235:L236"/>
    <mergeCell ref="L237:L239"/>
    <mergeCell ref="L240:L241"/>
    <mergeCell ref="L242:L244"/>
    <mergeCell ref="L245:L246"/>
    <mergeCell ref="L247:L248"/>
    <mergeCell ref="L249:L253"/>
    <mergeCell ref="L254:L256"/>
    <mergeCell ref="L257:L260"/>
    <mergeCell ref="L261:L264"/>
    <mergeCell ref="L265:L267"/>
    <mergeCell ref="L268:L271"/>
    <mergeCell ref="L272:L275"/>
    <mergeCell ref="L276:L279"/>
    <mergeCell ref="L280:L283"/>
    <mergeCell ref="L284:L288"/>
    <mergeCell ref="L289:L291"/>
    <mergeCell ref="L292:L301"/>
    <mergeCell ref="L302:L308"/>
    <mergeCell ref="L309:L319"/>
    <mergeCell ref="L320:L322"/>
    <mergeCell ref="L323:L326"/>
    <mergeCell ref="L327:L329"/>
    <mergeCell ref="L331:L334"/>
    <mergeCell ref="L335:L336"/>
    <mergeCell ref="L337:L338"/>
    <mergeCell ref="L339:L341"/>
    <mergeCell ref="L342:L343"/>
    <mergeCell ref="L344:L348"/>
    <mergeCell ref="L349:L351"/>
    <mergeCell ref="L355:L358"/>
    <mergeCell ref="L359:L361"/>
    <mergeCell ref="L362:L367"/>
    <mergeCell ref="L368:L369"/>
    <mergeCell ref="L370:L372"/>
    <mergeCell ref="L374:L376"/>
    <mergeCell ref="L377:L380"/>
    <mergeCell ref="L381:L389"/>
    <mergeCell ref="L390:L402"/>
    <mergeCell ref="L403:L407"/>
    <mergeCell ref="L408:L414"/>
    <mergeCell ref="L415:L418"/>
    <mergeCell ref="L419:L421"/>
    <mergeCell ref="L422:L426"/>
    <mergeCell ref="L427:L431"/>
    <mergeCell ref="L432:L435"/>
    <mergeCell ref="L436:L438"/>
    <mergeCell ref="L439:L444"/>
    <mergeCell ref="L445:L447"/>
    <mergeCell ref="L450:L455"/>
    <mergeCell ref="L456:L462"/>
    <mergeCell ref="L463:L464"/>
    <mergeCell ref="L465:L468"/>
    <mergeCell ref="L469:L471"/>
    <mergeCell ref="L472:L475"/>
    <mergeCell ref="L476:L477"/>
    <mergeCell ref="L478:L479"/>
    <mergeCell ref="L480:L483"/>
    <mergeCell ref="L484:L487"/>
    <mergeCell ref="L488:L490"/>
    <mergeCell ref="L491:L492"/>
    <mergeCell ref="L493:L497"/>
    <mergeCell ref="L498:L500"/>
    <mergeCell ref="L503:L504"/>
    <mergeCell ref="L505:L506"/>
    <mergeCell ref="L507:L508"/>
    <mergeCell ref="M2:M3"/>
    <mergeCell ref="M4:M9"/>
    <mergeCell ref="M10:M12"/>
    <mergeCell ref="M13:M19"/>
    <mergeCell ref="M20:M22"/>
    <mergeCell ref="M23:M24"/>
    <mergeCell ref="M25:M28"/>
    <mergeCell ref="M29:M32"/>
    <mergeCell ref="M33:M35"/>
    <mergeCell ref="M36:M41"/>
    <mergeCell ref="M43:M45"/>
    <mergeCell ref="M46:M49"/>
    <mergeCell ref="M50:M58"/>
    <mergeCell ref="M59:M60"/>
    <mergeCell ref="M61:M66"/>
    <mergeCell ref="M67:M75"/>
    <mergeCell ref="M76:M78"/>
    <mergeCell ref="M79:M85"/>
    <mergeCell ref="M86:M87"/>
    <mergeCell ref="M88:M96"/>
    <mergeCell ref="M97:M109"/>
    <mergeCell ref="M110:M119"/>
    <mergeCell ref="M120:M125"/>
    <mergeCell ref="M126:M141"/>
    <mergeCell ref="M142:M150"/>
    <mergeCell ref="M152:M155"/>
    <mergeCell ref="M156:M163"/>
    <mergeCell ref="M164:M165"/>
    <mergeCell ref="M166:M178"/>
    <mergeCell ref="M179:M188"/>
    <mergeCell ref="M190:M193"/>
    <mergeCell ref="M194:M195"/>
    <mergeCell ref="M196:M206"/>
    <mergeCell ref="M208:M214"/>
    <mergeCell ref="M215:M218"/>
    <mergeCell ref="M221:M226"/>
    <mergeCell ref="M227:M228"/>
    <mergeCell ref="M229:M234"/>
    <mergeCell ref="M235:M236"/>
    <mergeCell ref="M237:M239"/>
    <mergeCell ref="M240:M241"/>
    <mergeCell ref="M242:M244"/>
    <mergeCell ref="M245:M246"/>
    <mergeCell ref="M247:M248"/>
    <mergeCell ref="M249:M253"/>
    <mergeCell ref="M254:M256"/>
    <mergeCell ref="M257:M260"/>
    <mergeCell ref="M261:M264"/>
    <mergeCell ref="M265:M267"/>
    <mergeCell ref="M268:M271"/>
    <mergeCell ref="M272:M275"/>
    <mergeCell ref="M276:M279"/>
    <mergeCell ref="M280:M283"/>
    <mergeCell ref="M284:M288"/>
    <mergeCell ref="M289:M291"/>
    <mergeCell ref="M292:M301"/>
    <mergeCell ref="M302:M308"/>
    <mergeCell ref="M309:M319"/>
    <mergeCell ref="M320:M322"/>
    <mergeCell ref="M323:M326"/>
    <mergeCell ref="M327:M329"/>
    <mergeCell ref="M331:M334"/>
    <mergeCell ref="M335:M336"/>
    <mergeCell ref="M337:M338"/>
    <mergeCell ref="M339:M341"/>
    <mergeCell ref="M342:M343"/>
    <mergeCell ref="M344:M348"/>
    <mergeCell ref="M349:M351"/>
    <mergeCell ref="M355:M358"/>
    <mergeCell ref="M359:M361"/>
    <mergeCell ref="M362:M367"/>
    <mergeCell ref="M368:M369"/>
    <mergeCell ref="M370:M372"/>
    <mergeCell ref="M374:M376"/>
    <mergeCell ref="M377:M380"/>
    <mergeCell ref="M381:M389"/>
    <mergeCell ref="M390:M402"/>
    <mergeCell ref="M403:M407"/>
    <mergeCell ref="M408:M414"/>
    <mergeCell ref="M415:M418"/>
    <mergeCell ref="M419:M421"/>
    <mergeCell ref="M422:M426"/>
    <mergeCell ref="M427:M431"/>
    <mergeCell ref="M432:M435"/>
    <mergeCell ref="M436:M438"/>
    <mergeCell ref="M439:M444"/>
    <mergeCell ref="M445:M447"/>
    <mergeCell ref="M450:M455"/>
    <mergeCell ref="M456:M462"/>
    <mergeCell ref="M463:M464"/>
    <mergeCell ref="M465:M468"/>
    <mergeCell ref="M469:M471"/>
    <mergeCell ref="M472:M475"/>
    <mergeCell ref="M476:M477"/>
    <mergeCell ref="M478:M479"/>
    <mergeCell ref="M480:M483"/>
    <mergeCell ref="M484:M487"/>
    <mergeCell ref="M488:M490"/>
    <mergeCell ref="M491:M492"/>
    <mergeCell ref="M493:M497"/>
    <mergeCell ref="M498:M500"/>
    <mergeCell ref="M503:M504"/>
    <mergeCell ref="M505:M506"/>
    <mergeCell ref="M507:M508"/>
    <mergeCell ref="N2:N3"/>
    <mergeCell ref="N4:N9"/>
    <mergeCell ref="N10:N12"/>
    <mergeCell ref="N13:N19"/>
    <mergeCell ref="N20:N22"/>
    <mergeCell ref="N23:N24"/>
    <mergeCell ref="N25:N28"/>
    <mergeCell ref="N29:N32"/>
    <mergeCell ref="N33:N35"/>
    <mergeCell ref="N36:N41"/>
    <mergeCell ref="N43:N45"/>
    <mergeCell ref="N46:N49"/>
    <mergeCell ref="N50:N58"/>
    <mergeCell ref="N59:N60"/>
    <mergeCell ref="N61:N66"/>
    <mergeCell ref="N67:N75"/>
    <mergeCell ref="N76:N78"/>
    <mergeCell ref="N79:N85"/>
    <mergeCell ref="N86:N87"/>
    <mergeCell ref="N88:N96"/>
    <mergeCell ref="N97:N109"/>
    <mergeCell ref="N110:N119"/>
    <mergeCell ref="N120:N125"/>
    <mergeCell ref="N126:N141"/>
    <mergeCell ref="N142:N150"/>
    <mergeCell ref="N152:N155"/>
    <mergeCell ref="N156:N163"/>
    <mergeCell ref="N164:N165"/>
    <mergeCell ref="N166:N178"/>
    <mergeCell ref="N179:N188"/>
    <mergeCell ref="N190:N193"/>
    <mergeCell ref="N194:N195"/>
    <mergeCell ref="N196:N206"/>
    <mergeCell ref="N208:N214"/>
    <mergeCell ref="N215:N218"/>
    <mergeCell ref="N221:N226"/>
    <mergeCell ref="N227:N228"/>
    <mergeCell ref="N229:N234"/>
    <mergeCell ref="N235:N236"/>
    <mergeCell ref="N237:N239"/>
    <mergeCell ref="N240:N241"/>
    <mergeCell ref="N242:N244"/>
    <mergeCell ref="N245:N246"/>
    <mergeCell ref="N247:N248"/>
    <mergeCell ref="N249:N253"/>
    <mergeCell ref="N254:N256"/>
    <mergeCell ref="N257:N260"/>
    <mergeCell ref="N261:N264"/>
    <mergeCell ref="N265:N267"/>
    <mergeCell ref="N268:N271"/>
    <mergeCell ref="N272:N275"/>
    <mergeCell ref="N276:N279"/>
    <mergeCell ref="N280:N283"/>
    <mergeCell ref="N284:N288"/>
    <mergeCell ref="N289:N291"/>
    <mergeCell ref="N292:N301"/>
    <mergeCell ref="N302:N308"/>
    <mergeCell ref="N309:N319"/>
    <mergeCell ref="N320:N322"/>
    <mergeCell ref="N323:N326"/>
    <mergeCell ref="N327:N329"/>
    <mergeCell ref="N331:N334"/>
    <mergeCell ref="N335:N336"/>
    <mergeCell ref="N337:N338"/>
    <mergeCell ref="N339:N341"/>
    <mergeCell ref="N342:N343"/>
    <mergeCell ref="N344:N348"/>
    <mergeCell ref="N349:N351"/>
    <mergeCell ref="N355:N358"/>
    <mergeCell ref="N359:N361"/>
    <mergeCell ref="N362:N367"/>
    <mergeCell ref="N368:N369"/>
    <mergeCell ref="N370:N372"/>
    <mergeCell ref="N374:N376"/>
    <mergeCell ref="N377:N380"/>
    <mergeCell ref="N381:N389"/>
    <mergeCell ref="N390:N402"/>
    <mergeCell ref="N403:N407"/>
    <mergeCell ref="N408:N414"/>
    <mergeCell ref="N415:N418"/>
    <mergeCell ref="N419:N421"/>
    <mergeCell ref="N422:N426"/>
    <mergeCell ref="N427:N431"/>
    <mergeCell ref="N432:N435"/>
    <mergeCell ref="N436:N438"/>
    <mergeCell ref="N439:N444"/>
    <mergeCell ref="N445:N447"/>
    <mergeCell ref="N450:N455"/>
    <mergeCell ref="N456:N462"/>
    <mergeCell ref="N463:N464"/>
    <mergeCell ref="N465:N468"/>
    <mergeCell ref="N469:N471"/>
    <mergeCell ref="N472:N475"/>
    <mergeCell ref="N476:N477"/>
    <mergeCell ref="N478:N479"/>
    <mergeCell ref="N480:N483"/>
    <mergeCell ref="N484:N487"/>
    <mergeCell ref="N488:N490"/>
    <mergeCell ref="N491:N492"/>
    <mergeCell ref="N493:N497"/>
    <mergeCell ref="N498:N500"/>
    <mergeCell ref="N503:N504"/>
    <mergeCell ref="N505:N506"/>
    <mergeCell ref="N507:N508"/>
    <mergeCell ref="T2:T3"/>
    <mergeCell ref="T4:T9"/>
    <mergeCell ref="T10:T12"/>
    <mergeCell ref="T13:T19"/>
    <mergeCell ref="T20:T22"/>
    <mergeCell ref="T23:T24"/>
    <mergeCell ref="T25:T28"/>
    <mergeCell ref="T29:T32"/>
    <mergeCell ref="T33:T35"/>
    <mergeCell ref="T36:T41"/>
    <mergeCell ref="T43:T45"/>
    <mergeCell ref="T46:T49"/>
    <mergeCell ref="T50:T58"/>
    <mergeCell ref="T59:T60"/>
    <mergeCell ref="T61:T66"/>
    <mergeCell ref="T67:T75"/>
    <mergeCell ref="T76:T78"/>
    <mergeCell ref="T79:T85"/>
    <mergeCell ref="T86:T87"/>
    <mergeCell ref="T88:T96"/>
    <mergeCell ref="T97:T109"/>
    <mergeCell ref="T110:T119"/>
    <mergeCell ref="T120:T125"/>
    <mergeCell ref="T126:T141"/>
    <mergeCell ref="T142:T150"/>
    <mergeCell ref="T152:T155"/>
    <mergeCell ref="T156:T163"/>
    <mergeCell ref="T164:T165"/>
    <mergeCell ref="T166:T178"/>
    <mergeCell ref="T179:T188"/>
    <mergeCell ref="T190:T193"/>
    <mergeCell ref="T194:T195"/>
    <mergeCell ref="T196:T206"/>
    <mergeCell ref="T208:T214"/>
    <mergeCell ref="T215:T218"/>
    <mergeCell ref="T221:T226"/>
    <mergeCell ref="T227:T228"/>
    <mergeCell ref="T229:T234"/>
    <mergeCell ref="T235:T236"/>
    <mergeCell ref="T237:T239"/>
    <mergeCell ref="T240:T241"/>
    <mergeCell ref="T242:T244"/>
    <mergeCell ref="T245:T246"/>
    <mergeCell ref="T247:T248"/>
    <mergeCell ref="T249:T253"/>
    <mergeCell ref="T254:T256"/>
    <mergeCell ref="T257:T260"/>
    <mergeCell ref="T261:T264"/>
    <mergeCell ref="T265:T267"/>
    <mergeCell ref="T268:T271"/>
    <mergeCell ref="T272:T275"/>
    <mergeCell ref="T276:T279"/>
    <mergeCell ref="T280:T283"/>
    <mergeCell ref="T284:T288"/>
    <mergeCell ref="T289:T291"/>
    <mergeCell ref="T292:T301"/>
    <mergeCell ref="T302:T308"/>
    <mergeCell ref="T309:T319"/>
    <mergeCell ref="T320:T322"/>
    <mergeCell ref="T323:T326"/>
    <mergeCell ref="T327:T329"/>
    <mergeCell ref="T331:T334"/>
    <mergeCell ref="T335:T336"/>
    <mergeCell ref="T337:T338"/>
    <mergeCell ref="T339:T341"/>
    <mergeCell ref="T342:T343"/>
    <mergeCell ref="T344:T348"/>
    <mergeCell ref="T349:T351"/>
    <mergeCell ref="T355:T358"/>
    <mergeCell ref="T359:T361"/>
    <mergeCell ref="T362:T367"/>
    <mergeCell ref="T368:T369"/>
    <mergeCell ref="T370:T372"/>
    <mergeCell ref="T374:T376"/>
    <mergeCell ref="T377:T380"/>
    <mergeCell ref="T381:T389"/>
    <mergeCell ref="T390:T402"/>
    <mergeCell ref="T403:T407"/>
    <mergeCell ref="T408:T414"/>
    <mergeCell ref="T415:T418"/>
    <mergeCell ref="T419:T421"/>
    <mergeCell ref="T422:T426"/>
    <mergeCell ref="T427:T431"/>
    <mergeCell ref="T432:T435"/>
    <mergeCell ref="T436:T438"/>
    <mergeCell ref="T439:T444"/>
    <mergeCell ref="T445:T447"/>
    <mergeCell ref="T450:T455"/>
    <mergeCell ref="T456:T462"/>
    <mergeCell ref="T463:T464"/>
    <mergeCell ref="T465:T468"/>
    <mergeCell ref="T469:T471"/>
    <mergeCell ref="T472:T475"/>
    <mergeCell ref="T476:T477"/>
    <mergeCell ref="T478:T479"/>
    <mergeCell ref="T480:T483"/>
    <mergeCell ref="T484:T487"/>
    <mergeCell ref="T488:T490"/>
    <mergeCell ref="T491:T492"/>
    <mergeCell ref="T493:T497"/>
    <mergeCell ref="T498:T500"/>
    <mergeCell ref="T503:T504"/>
    <mergeCell ref="T505:T506"/>
    <mergeCell ref="T507:T508"/>
    <mergeCell ref="U2:U3"/>
    <mergeCell ref="U4:U9"/>
    <mergeCell ref="U10:U12"/>
    <mergeCell ref="U13:U19"/>
    <mergeCell ref="U20:U22"/>
    <mergeCell ref="U23:U24"/>
    <mergeCell ref="U25:U28"/>
    <mergeCell ref="U29:U32"/>
    <mergeCell ref="U33:U35"/>
    <mergeCell ref="U36:U41"/>
    <mergeCell ref="U43:U45"/>
    <mergeCell ref="U46:U49"/>
    <mergeCell ref="U50:U58"/>
    <mergeCell ref="U59:U60"/>
    <mergeCell ref="U61:U66"/>
    <mergeCell ref="U67:U75"/>
    <mergeCell ref="U76:U78"/>
    <mergeCell ref="U79:U85"/>
    <mergeCell ref="U86:U87"/>
    <mergeCell ref="U88:U96"/>
    <mergeCell ref="U97:U109"/>
    <mergeCell ref="U110:U119"/>
    <mergeCell ref="U120:U125"/>
    <mergeCell ref="U126:U141"/>
    <mergeCell ref="U142:U150"/>
    <mergeCell ref="U152:U155"/>
    <mergeCell ref="U156:U163"/>
    <mergeCell ref="U164:U165"/>
    <mergeCell ref="U166:U178"/>
    <mergeCell ref="U179:U188"/>
    <mergeCell ref="U190:U193"/>
    <mergeCell ref="U194:U195"/>
    <mergeCell ref="U196:U206"/>
    <mergeCell ref="U208:U214"/>
    <mergeCell ref="U215:U218"/>
    <mergeCell ref="U221:U226"/>
    <mergeCell ref="U227:U228"/>
    <mergeCell ref="U229:U234"/>
    <mergeCell ref="U235:U236"/>
    <mergeCell ref="U237:U239"/>
    <mergeCell ref="U240:U241"/>
    <mergeCell ref="U242:U244"/>
    <mergeCell ref="U245:U246"/>
    <mergeCell ref="U247:U248"/>
    <mergeCell ref="U249:U253"/>
    <mergeCell ref="U254:U256"/>
    <mergeCell ref="U257:U260"/>
    <mergeCell ref="U261:U264"/>
    <mergeCell ref="U265:U267"/>
    <mergeCell ref="U268:U271"/>
    <mergeCell ref="U272:U275"/>
    <mergeCell ref="U276:U279"/>
    <mergeCell ref="U280:U283"/>
    <mergeCell ref="U284:U288"/>
    <mergeCell ref="U289:U291"/>
    <mergeCell ref="U292:U301"/>
    <mergeCell ref="U302:U308"/>
    <mergeCell ref="U309:U319"/>
    <mergeCell ref="U320:U322"/>
    <mergeCell ref="U323:U326"/>
    <mergeCell ref="U327:U329"/>
    <mergeCell ref="U331:U334"/>
    <mergeCell ref="U335:U336"/>
    <mergeCell ref="U337:U338"/>
    <mergeCell ref="U339:U341"/>
    <mergeCell ref="U342:U343"/>
    <mergeCell ref="U344:U348"/>
    <mergeCell ref="U349:U351"/>
    <mergeCell ref="U355:U358"/>
    <mergeCell ref="U359:U361"/>
    <mergeCell ref="U362:U367"/>
    <mergeCell ref="U368:U369"/>
    <mergeCell ref="U370:U372"/>
    <mergeCell ref="U374:U376"/>
    <mergeCell ref="U377:U380"/>
    <mergeCell ref="U381:U389"/>
    <mergeCell ref="U390:U402"/>
    <mergeCell ref="U403:U407"/>
    <mergeCell ref="U408:U414"/>
    <mergeCell ref="U415:U418"/>
    <mergeCell ref="U419:U421"/>
    <mergeCell ref="U422:U426"/>
    <mergeCell ref="U427:U431"/>
    <mergeCell ref="U432:U435"/>
    <mergeCell ref="U436:U438"/>
    <mergeCell ref="U439:U444"/>
    <mergeCell ref="U445:U447"/>
    <mergeCell ref="U450:U455"/>
    <mergeCell ref="U456:U462"/>
    <mergeCell ref="U463:U464"/>
    <mergeCell ref="U465:U468"/>
    <mergeCell ref="U469:U471"/>
    <mergeCell ref="U472:U475"/>
    <mergeCell ref="U476:U477"/>
    <mergeCell ref="U478:U479"/>
    <mergeCell ref="U480:U483"/>
    <mergeCell ref="U484:U487"/>
    <mergeCell ref="U488:U490"/>
    <mergeCell ref="U491:U492"/>
    <mergeCell ref="U493:U497"/>
    <mergeCell ref="U498:U500"/>
    <mergeCell ref="U503:U504"/>
    <mergeCell ref="U505:U506"/>
    <mergeCell ref="U507:U508"/>
    <mergeCell ref="V2:V3"/>
    <mergeCell ref="V4:V9"/>
    <mergeCell ref="V10:V12"/>
    <mergeCell ref="V13:V19"/>
    <mergeCell ref="V20:V22"/>
    <mergeCell ref="V23:V24"/>
    <mergeCell ref="V25:V28"/>
    <mergeCell ref="V29:V32"/>
    <mergeCell ref="V33:V35"/>
    <mergeCell ref="V36:V41"/>
    <mergeCell ref="V43:V45"/>
    <mergeCell ref="V46:V49"/>
    <mergeCell ref="V50:V58"/>
    <mergeCell ref="V59:V60"/>
    <mergeCell ref="V61:V66"/>
    <mergeCell ref="V67:V75"/>
    <mergeCell ref="V76:V78"/>
    <mergeCell ref="V79:V85"/>
    <mergeCell ref="V86:V87"/>
    <mergeCell ref="V88:V96"/>
    <mergeCell ref="V97:V109"/>
    <mergeCell ref="V110:V119"/>
    <mergeCell ref="V120:V125"/>
    <mergeCell ref="V126:V141"/>
    <mergeCell ref="V142:V150"/>
    <mergeCell ref="V152:V155"/>
    <mergeCell ref="V156:V163"/>
    <mergeCell ref="V164:V165"/>
    <mergeCell ref="V166:V178"/>
    <mergeCell ref="V179:V188"/>
    <mergeCell ref="V190:V193"/>
    <mergeCell ref="V194:V195"/>
    <mergeCell ref="V196:V206"/>
    <mergeCell ref="V208:V214"/>
    <mergeCell ref="V215:V218"/>
    <mergeCell ref="V221:V226"/>
    <mergeCell ref="V227:V228"/>
    <mergeCell ref="V229:V234"/>
    <mergeCell ref="V235:V236"/>
    <mergeCell ref="V237:V239"/>
    <mergeCell ref="V240:V241"/>
    <mergeCell ref="V242:V244"/>
    <mergeCell ref="V245:V246"/>
    <mergeCell ref="V247:V248"/>
    <mergeCell ref="V249:V253"/>
    <mergeCell ref="V254:V256"/>
    <mergeCell ref="V257:V260"/>
    <mergeCell ref="V261:V264"/>
    <mergeCell ref="V265:V267"/>
    <mergeCell ref="V268:V271"/>
    <mergeCell ref="V272:V275"/>
    <mergeCell ref="V276:V279"/>
    <mergeCell ref="V280:V283"/>
    <mergeCell ref="V284:V288"/>
    <mergeCell ref="V289:V291"/>
    <mergeCell ref="V292:V301"/>
    <mergeCell ref="V302:V308"/>
    <mergeCell ref="V309:V319"/>
    <mergeCell ref="V320:V322"/>
    <mergeCell ref="V323:V326"/>
    <mergeCell ref="V327:V329"/>
    <mergeCell ref="V331:V334"/>
    <mergeCell ref="V335:V336"/>
    <mergeCell ref="V337:V338"/>
    <mergeCell ref="V339:V341"/>
    <mergeCell ref="V342:V343"/>
    <mergeCell ref="V344:V348"/>
    <mergeCell ref="V349:V351"/>
    <mergeCell ref="V355:V358"/>
    <mergeCell ref="V359:V361"/>
    <mergeCell ref="V362:V367"/>
    <mergeCell ref="V368:V369"/>
    <mergeCell ref="V370:V372"/>
    <mergeCell ref="V374:V376"/>
    <mergeCell ref="V377:V380"/>
    <mergeCell ref="V381:V389"/>
    <mergeCell ref="V390:V402"/>
    <mergeCell ref="V403:V407"/>
    <mergeCell ref="V408:V414"/>
    <mergeCell ref="V415:V418"/>
    <mergeCell ref="V419:V421"/>
    <mergeCell ref="V422:V426"/>
    <mergeCell ref="V427:V431"/>
    <mergeCell ref="V432:V435"/>
    <mergeCell ref="V436:V438"/>
    <mergeCell ref="V439:V444"/>
    <mergeCell ref="V445:V447"/>
    <mergeCell ref="V450:V455"/>
    <mergeCell ref="V456:V462"/>
    <mergeCell ref="V463:V464"/>
    <mergeCell ref="V465:V468"/>
    <mergeCell ref="V469:V471"/>
    <mergeCell ref="V472:V475"/>
    <mergeCell ref="V476:V477"/>
    <mergeCell ref="V478:V479"/>
    <mergeCell ref="V480:V483"/>
    <mergeCell ref="V484:V487"/>
    <mergeCell ref="V488:V490"/>
    <mergeCell ref="V491:V492"/>
    <mergeCell ref="V493:V497"/>
    <mergeCell ref="V498:V500"/>
    <mergeCell ref="V503:V504"/>
    <mergeCell ref="V505:V506"/>
    <mergeCell ref="V507:V508"/>
    <mergeCell ref="W2:W3"/>
    <mergeCell ref="W4:W9"/>
    <mergeCell ref="W10:W12"/>
    <mergeCell ref="W13:W19"/>
    <mergeCell ref="W20:W22"/>
    <mergeCell ref="W23:W24"/>
    <mergeCell ref="W25:W28"/>
    <mergeCell ref="W29:W32"/>
    <mergeCell ref="W33:W35"/>
    <mergeCell ref="W36:W41"/>
    <mergeCell ref="W43:W45"/>
    <mergeCell ref="W46:W49"/>
    <mergeCell ref="W50:W58"/>
    <mergeCell ref="W59:W60"/>
    <mergeCell ref="W61:W66"/>
    <mergeCell ref="W67:W75"/>
    <mergeCell ref="W76:W78"/>
    <mergeCell ref="W79:W85"/>
    <mergeCell ref="W86:W87"/>
    <mergeCell ref="W88:W96"/>
    <mergeCell ref="W97:W109"/>
    <mergeCell ref="W110:W119"/>
    <mergeCell ref="W120:W125"/>
    <mergeCell ref="W126:W141"/>
    <mergeCell ref="W142:W150"/>
    <mergeCell ref="W152:W155"/>
    <mergeCell ref="W156:W163"/>
    <mergeCell ref="W164:W165"/>
    <mergeCell ref="W166:W178"/>
    <mergeCell ref="W179:W188"/>
    <mergeCell ref="W190:W193"/>
    <mergeCell ref="W194:W195"/>
    <mergeCell ref="W196:W206"/>
    <mergeCell ref="W208:W214"/>
    <mergeCell ref="W215:W218"/>
    <mergeCell ref="W221:W226"/>
    <mergeCell ref="W227:W228"/>
    <mergeCell ref="W229:W234"/>
    <mergeCell ref="W235:W236"/>
    <mergeCell ref="W237:W239"/>
    <mergeCell ref="W240:W241"/>
    <mergeCell ref="W242:W244"/>
    <mergeCell ref="W245:W246"/>
    <mergeCell ref="W247:W248"/>
    <mergeCell ref="W249:W253"/>
    <mergeCell ref="W254:W256"/>
    <mergeCell ref="W257:W260"/>
    <mergeCell ref="W261:W264"/>
    <mergeCell ref="W265:W267"/>
    <mergeCell ref="W268:W271"/>
    <mergeCell ref="W272:W275"/>
    <mergeCell ref="W276:W279"/>
    <mergeCell ref="W280:W283"/>
    <mergeCell ref="W284:W288"/>
    <mergeCell ref="W289:W291"/>
    <mergeCell ref="W292:W301"/>
    <mergeCell ref="W302:W308"/>
    <mergeCell ref="W309:W319"/>
    <mergeCell ref="W320:W322"/>
    <mergeCell ref="W323:W326"/>
    <mergeCell ref="W327:W329"/>
    <mergeCell ref="W331:W334"/>
    <mergeCell ref="W335:W336"/>
    <mergeCell ref="W337:W338"/>
    <mergeCell ref="W339:W341"/>
    <mergeCell ref="W342:W343"/>
    <mergeCell ref="W344:W348"/>
    <mergeCell ref="W349:W351"/>
    <mergeCell ref="W355:W358"/>
    <mergeCell ref="W359:W361"/>
    <mergeCell ref="W362:W367"/>
    <mergeCell ref="W368:W369"/>
    <mergeCell ref="W370:W372"/>
    <mergeCell ref="W374:W376"/>
    <mergeCell ref="W377:W380"/>
    <mergeCell ref="W381:W389"/>
    <mergeCell ref="W390:W402"/>
    <mergeCell ref="W403:W407"/>
    <mergeCell ref="W408:W414"/>
    <mergeCell ref="W415:W418"/>
    <mergeCell ref="W419:W421"/>
    <mergeCell ref="W422:W426"/>
    <mergeCell ref="W427:W431"/>
    <mergeCell ref="W432:W435"/>
    <mergeCell ref="W436:W438"/>
    <mergeCell ref="W439:W444"/>
    <mergeCell ref="W445:W447"/>
    <mergeCell ref="W450:W455"/>
    <mergeCell ref="W456:W462"/>
    <mergeCell ref="W463:W464"/>
    <mergeCell ref="W465:W468"/>
    <mergeCell ref="W469:W471"/>
    <mergeCell ref="W472:W475"/>
    <mergeCell ref="W476:W477"/>
    <mergeCell ref="W478:W479"/>
    <mergeCell ref="W480:W483"/>
    <mergeCell ref="W484:W487"/>
    <mergeCell ref="W488:W490"/>
    <mergeCell ref="W491:W492"/>
    <mergeCell ref="W493:W497"/>
    <mergeCell ref="W498:W500"/>
    <mergeCell ref="W503:W504"/>
    <mergeCell ref="W505:W506"/>
    <mergeCell ref="W507:W508"/>
    <mergeCell ref="X2:X3"/>
    <mergeCell ref="X4:X9"/>
    <mergeCell ref="X10:X12"/>
    <mergeCell ref="X13:X19"/>
    <mergeCell ref="X20:X22"/>
    <mergeCell ref="X23:X24"/>
    <mergeCell ref="X25:X28"/>
    <mergeCell ref="X29:X32"/>
    <mergeCell ref="X33:X35"/>
    <mergeCell ref="X36:X41"/>
    <mergeCell ref="X43:X45"/>
    <mergeCell ref="X46:X49"/>
    <mergeCell ref="X50:X58"/>
    <mergeCell ref="X59:X60"/>
    <mergeCell ref="X61:X66"/>
    <mergeCell ref="X67:X75"/>
    <mergeCell ref="X76:X78"/>
    <mergeCell ref="X79:X85"/>
    <mergeCell ref="X86:X87"/>
    <mergeCell ref="X88:X96"/>
    <mergeCell ref="X97:X109"/>
    <mergeCell ref="X110:X119"/>
    <mergeCell ref="X120:X125"/>
    <mergeCell ref="X126:X141"/>
    <mergeCell ref="X142:X150"/>
    <mergeCell ref="X152:X155"/>
    <mergeCell ref="X156:X163"/>
    <mergeCell ref="X164:X165"/>
    <mergeCell ref="X166:X178"/>
    <mergeCell ref="X179:X188"/>
    <mergeCell ref="X190:X193"/>
    <mergeCell ref="X194:X195"/>
    <mergeCell ref="X196:X206"/>
    <mergeCell ref="X208:X214"/>
    <mergeCell ref="X215:X218"/>
    <mergeCell ref="X221:X226"/>
    <mergeCell ref="X227:X228"/>
    <mergeCell ref="X229:X234"/>
    <mergeCell ref="X235:X236"/>
    <mergeCell ref="X237:X239"/>
    <mergeCell ref="X240:X241"/>
    <mergeCell ref="X242:X244"/>
    <mergeCell ref="X245:X246"/>
    <mergeCell ref="X247:X248"/>
    <mergeCell ref="X249:X253"/>
    <mergeCell ref="X254:X256"/>
    <mergeCell ref="X257:X260"/>
    <mergeCell ref="X261:X264"/>
    <mergeCell ref="X265:X267"/>
    <mergeCell ref="X268:X271"/>
    <mergeCell ref="X272:X275"/>
    <mergeCell ref="X276:X279"/>
    <mergeCell ref="X280:X283"/>
    <mergeCell ref="X284:X288"/>
    <mergeCell ref="X289:X291"/>
    <mergeCell ref="X292:X301"/>
    <mergeCell ref="X302:X308"/>
    <mergeCell ref="X309:X319"/>
    <mergeCell ref="X320:X322"/>
    <mergeCell ref="X323:X326"/>
    <mergeCell ref="X327:X329"/>
    <mergeCell ref="X331:X334"/>
    <mergeCell ref="X335:X336"/>
    <mergeCell ref="X337:X338"/>
    <mergeCell ref="X339:X341"/>
    <mergeCell ref="X342:X343"/>
    <mergeCell ref="X344:X348"/>
    <mergeCell ref="X349:X351"/>
    <mergeCell ref="X355:X358"/>
    <mergeCell ref="X359:X361"/>
    <mergeCell ref="X362:X367"/>
    <mergeCell ref="X368:X369"/>
    <mergeCell ref="X370:X372"/>
    <mergeCell ref="X374:X376"/>
    <mergeCell ref="X377:X380"/>
    <mergeCell ref="X381:X389"/>
    <mergeCell ref="X390:X402"/>
    <mergeCell ref="X403:X407"/>
    <mergeCell ref="X408:X414"/>
    <mergeCell ref="X415:X418"/>
    <mergeCell ref="X419:X421"/>
    <mergeCell ref="X422:X426"/>
    <mergeCell ref="X427:X431"/>
    <mergeCell ref="X432:X435"/>
    <mergeCell ref="X436:X438"/>
    <mergeCell ref="X439:X444"/>
    <mergeCell ref="X445:X447"/>
    <mergeCell ref="X450:X455"/>
    <mergeCell ref="X456:X462"/>
    <mergeCell ref="X463:X464"/>
    <mergeCell ref="X465:X468"/>
    <mergeCell ref="X469:X471"/>
    <mergeCell ref="X472:X475"/>
    <mergeCell ref="X476:X477"/>
    <mergeCell ref="X478:X479"/>
    <mergeCell ref="X480:X483"/>
    <mergeCell ref="X484:X487"/>
    <mergeCell ref="X488:X490"/>
    <mergeCell ref="X491:X492"/>
    <mergeCell ref="X493:X497"/>
    <mergeCell ref="X498:X500"/>
    <mergeCell ref="X503:X504"/>
    <mergeCell ref="X505:X506"/>
    <mergeCell ref="X507:X508"/>
    <mergeCell ref="Y2:Y3"/>
    <mergeCell ref="Y4:Y9"/>
    <mergeCell ref="Y10:Y12"/>
    <mergeCell ref="Y13:Y19"/>
    <mergeCell ref="Y20:Y22"/>
    <mergeCell ref="Y23:Y24"/>
    <mergeCell ref="Y25:Y28"/>
    <mergeCell ref="Y29:Y32"/>
    <mergeCell ref="Y33:Y35"/>
    <mergeCell ref="Y36:Y41"/>
    <mergeCell ref="Y43:Y45"/>
    <mergeCell ref="Y46:Y49"/>
    <mergeCell ref="Y50:Y58"/>
    <mergeCell ref="Y59:Y60"/>
    <mergeCell ref="Y61:Y66"/>
    <mergeCell ref="Y67:Y75"/>
    <mergeCell ref="Y76:Y78"/>
    <mergeCell ref="Y79:Y85"/>
    <mergeCell ref="Y86:Y87"/>
    <mergeCell ref="Y88:Y96"/>
    <mergeCell ref="Y97:Y109"/>
    <mergeCell ref="Y110:Y119"/>
    <mergeCell ref="Y120:Y125"/>
    <mergeCell ref="Y126:Y141"/>
    <mergeCell ref="Y142:Y150"/>
    <mergeCell ref="Y152:Y155"/>
    <mergeCell ref="Y156:Y163"/>
    <mergeCell ref="Y164:Y165"/>
    <mergeCell ref="Y166:Y178"/>
    <mergeCell ref="Y179:Y188"/>
    <mergeCell ref="Y190:Y193"/>
    <mergeCell ref="Y194:Y195"/>
    <mergeCell ref="Y196:Y206"/>
    <mergeCell ref="Y208:Y214"/>
    <mergeCell ref="Y215:Y218"/>
    <mergeCell ref="Y221:Y226"/>
    <mergeCell ref="Y227:Y228"/>
    <mergeCell ref="Y229:Y234"/>
    <mergeCell ref="Y235:Y236"/>
    <mergeCell ref="Y237:Y239"/>
    <mergeCell ref="Y240:Y241"/>
    <mergeCell ref="Y242:Y244"/>
    <mergeCell ref="Y245:Y246"/>
    <mergeCell ref="Y247:Y248"/>
    <mergeCell ref="Y249:Y253"/>
    <mergeCell ref="Y254:Y256"/>
    <mergeCell ref="Y257:Y260"/>
    <mergeCell ref="Y261:Y264"/>
    <mergeCell ref="Y265:Y267"/>
    <mergeCell ref="Y268:Y271"/>
    <mergeCell ref="Y272:Y275"/>
    <mergeCell ref="Y276:Y279"/>
    <mergeCell ref="Y280:Y283"/>
    <mergeCell ref="Y284:Y288"/>
    <mergeCell ref="Y289:Y291"/>
    <mergeCell ref="Y292:Y301"/>
    <mergeCell ref="Y302:Y308"/>
    <mergeCell ref="Y309:Y319"/>
    <mergeCell ref="Y320:Y322"/>
    <mergeCell ref="Y323:Y326"/>
    <mergeCell ref="Y327:Y329"/>
    <mergeCell ref="Y331:Y334"/>
    <mergeCell ref="Y335:Y336"/>
    <mergeCell ref="Y337:Y338"/>
    <mergeCell ref="Y339:Y341"/>
    <mergeCell ref="Y342:Y343"/>
    <mergeCell ref="Y344:Y348"/>
    <mergeCell ref="Y349:Y351"/>
    <mergeCell ref="Y355:Y358"/>
    <mergeCell ref="Y359:Y361"/>
    <mergeCell ref="Y362:Y367"/>
    <mergeCell ref="Y368:Y369"/>
    <mergeCell ref="Y370:Y372"/>
    <mergeCell ref="Y374:Y376"/>
    <mergeCell ref="Y377:Y380"/>
    <mergeCell ref="Y381:Y389"/>
    <mergeCell ref="Y390:Y402"/>
    <mergeCell ref="Y403:Y407"/>
    <mergeCell ref="Y408:Y414"/>
    <mergeCell ref="Y415:Y418"/>
    <mergeCell ref="Y419:Y421"/>
    <mergeCell ref="Y422:Y426"/>
    <mergeCell ref="Y427:Y431"/>
    <mergeCell ref="Y432:Y435"/>
    <mergeCell ref="Y436:Y438"/>
    <mergeCell ref="Y439:Y444"/>
    <mergeCell ref="Y445:Y447"/>
    <mergeCell ref="Y450:Y455"/>
    <mergeCell ref="Y456:Y462"/>
    <mergeCell ref="Y463:Y464"/>
    <mergeCell ref="Y465:Y468"/>
    <mergeCell ref="Y469:Y471"/>
    <mergeCell ref="Y472:Y475"/>
    <mergeCell ref="Y476:Y477"/>
    <mergeCell ref="Y478:Y479"/>
    <mergeCell ref="Y480:Y483"/>
    <mergeCell ref="Y484:Y487"/>
    <mergeCell ref="Y488:Y490"/>
    <mergeCell ref="Y491:Y492"/>
    <mergeCell ref="Y493:Y497"/>
    <mergeCell ref="Y498:Y500"/>
    <mergeCell ref="Y503:Y504"/>
    <mergeCell ref="Y505:Y506"/>
    <mergeCell ref="Y507:Y508"/>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3</vt:i4>
      </vt:variant>
    </vt:vector>
  </HeadingPairs>
  <TitlesOfParts>
    <vt:vector size="3" baseType="lpstr">
      <vt:lpstr>美团系投资情况概览</vt:lpstr>
      <vt:lpstr>美团系投资_2020-2023</vt:lpstr>
      <vt:lpstr>美团系投资_Full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Cecilia</cp:lastModifiedBy>
  <dcterms:created xsi:type="dcterms:W3CDTF">2023-07-28T05:46:00Z</dcterms:created>
  <dcterms:modified xsi:type="dcterms:W3CDTF">2023-07-29T13:06:44Z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FEDBA1B3913E49F898FE1CD560C96338</vt:lpwstr>
  </property>
  <property fmtid="{D5CDD505-2E9C-101B-9397-08002B2CF9AE}" pid="3" name="KSOProductBuildVer">
    <vt:lpwstr>1033-11.2.0.11537</vt:lpwstr>
  </property>
</Properties>
</file>